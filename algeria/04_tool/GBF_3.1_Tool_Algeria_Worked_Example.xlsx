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tup" sheetId="2" state="visible" r:id="rId2"/>
    <sheet name="PA_OECM_Register" sheetId="3" state="visible" r:id="rId3"/>
    <sheet name="Headline_3.1" sheetId="4" state="visible" r:id="rId4"/>
    <sheet name="Ecosystems" sheetId="5" state="visible" r:id="rId5"/>
    <sheet name="KBA_Coverage" sheetId="6" state="visible" r:id="rId6"/>
    <sheet name="Governance" sheetId="7" state="visible" r:id="rId7"/>
    <sheet name="Mgmt_Effectiveness" sheetId="8" state="visible" r:id="rId8"/>
    <sheet name="Time_Series" sheetId="9" state="visible" r:id="rId9"/>
    <sheet name="QC_Checks" sheetId="10" state="visible" r:id="rId10"/>
    <sheet name="Dashboard" sheetId="11" state="visible" r:id="rId11"/>
    <sheet name="Metadata" sheetId="12" state="visible" r:id="rId12"/>
    <sheet name="References" sheetId="13" state="visible" r:id="rId13"/>
    <sheet name="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1">
    <font>
      <name val="Calibri"/>
      <family val="2"/>
      <color theme="1"/>
      <sz val="11"/>
      <scheme val="minor"/>
    </font>
    <font>
      <name val="Arial"/>
      <b val="1"/>
      <color rgb="001F4E3D"/>
      <sz val="11"/>
    </font>
    <font>
      <name val="Arial"/>
      <b val="1"/>
      <sz val="10"/>
    </font>
    <font>
      <name val="Arial"/>
      <b val="1"/>
      <color rgb="001F4E3D"/>
      <sz val="16"/>
    </font>
    <font>
      <name val="Arial"/>
      <i val="1"/>
      <color rgb="00595959"/>
      <sz val="9"/>
    </font>
    <font>
      <name val="Arial"/>
      <sz val="10"/>
    </font>
    <font>
      <name val="Arial"/>
      <b val="1"/>
      <color rgb="00FFFFFF"/>
      <sz val="10"/>
    </font>
    <font>
      <name val="Arial"/>
      <color rgb="000000FF"/>
      <sz val="10"/>
    </font>
    <font>
      <name val="Arial"/>
      <color rgb="00008000"/>
      <sz val="10"/>
    </font>
    <font>
      <name val="Arial"/>
      <b val="1"/>
      <sz val="11"/>
    </font>
    <font>
      <name val="Arial"/>
      <color theme="1"/>
      <sz val="11"/>
    </font>
  </fonts>
  <fills count="9">
    <fill>
      <patternFill/>
    </fill>
    <fill>
      <patternFill patternType="gray125"/>
    </fill>
    <fill>
      <patternFill patternType="solid">
        <fgColor rgb="00D9EAD3"/>
      </patternFill>
    </fill>
    <fill>
      <patternFill patternType="solid">
        <fgColor rgb="00FFF2CC"/>
      </patternFill>
    </fill>
    <fill>
      <patternFill patternType="solid">
        <fgColor rgb="00F2F2F2"/>
      </patternFill>
    </fill>
    <fill>
      <patternFill patternType="solid">
        <fgColor rgb="00DDEBF7"/>
      </patternFill>
    </fill>
    <fill>
      <patternFill patternType="solid">
        <fgColor rgb="00FCE4D6"/>
      </patternFill>
    </fill>
    <fill>
      <patternFill patternType="solid">
        <fgColor rgb="001F4E3D"/>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7" borderId="1" applyAlignment="1" pivotButton="0" quotePrefix="0" xfId="0">
      <alignment horizontal="center" vertical="center" wrapText="1"/>
    </xf>
    <xf numFmtId="0" fontId="7" fillId="3" borderId="1" pivotButton="0" quotePrefix="0" xfId="0"/>
    <xf numFmtId="1" fontId="7" fillId="3" borderId="1" pivotButton="0" quotePrefix="0" xfId="0"/>
    <xf numFmtId="164" fontId="7" fillId="3" borderId="1" pivotButton="0" quotePrefix="0" xfId="0"/>
    <xf numFmtId="165" fontId="7" fillId="3" borderId="1" pivotButton="0" quotePrefix="0" xfId="0"/>
    <xf numFmtId="0" fontId="4" fillId="0" borderId="0" applyAlignment="1" pivotButton="0" quotePrefix="0" xfId="0">
      <alignment vertical="top"/>
    </xf>
    <xf numFmtId="0" fontId="1" fillId="0" borderId="0" pivotButton="0" quotePrefix="0" xfId="0"/>
    <xf numFmtId="0" fontId="6" fillId="8" borderId="1" applyAlignment="1" pivotButton="0" quotePrefix="0" xfId="0">
      <alignment horizontal="center" vertical="center" wrapText="1"/>
    </xf>
    <xf numFmtId="0" fontId="7" fillId="3" borderId="0" pivotButton="0" quotePrefix="0" xfId="0"/>
    <xf numFmtId="164" fontId="7" fillId="3" borderId="0" pivotButton="0" quotePrefix="0" xfId="0"/>
    <xf numFmtId="0" fontId="5" fillId="4" borderId="0" pivotButton="0" quotePrefix="0" xfId="0"/>
    <xf numFmtId="164" fontId="5" fillId="4" borderId="0" pivotButton="0" quotePrefix="0" xfId="0"/>
    <xf numFmtId="2" fontId="5" fillId="4" borderId="0" pivotButton="0" quotePrefix="0" xfId="0"/>
    <xf numFmtId="164" fontId="8" fillId="4" borderId="1" pivotButton="0" quotePrefix="0" xfId="0"/>
    <xf numFmtId="164" fontId="5" fillId="4" borderId="1" pivotButton="0" quotePrefix="0" xfId="0"/>
    <xf numFmtId="165" fontId="5" fillId="4" borderId="1" pivotButton="0" quotePrefix="0" xfId="0"/>
    <xf numFmtId="165" fontId="9" fillId="5" borderId="1" pivotButton="0" quotePrefix="0" xfId="0"/>
    <xf numFmtId="165" fontId="8" fillId="4" borderId="1" pivotButton="0" quotePrefix="0" xfId="0"/>
    <xf numFmtId="166" fontId="5" fillId="4" borderId="1" pivotButton="0" quotePrefix="0" xfId="0"/>
    <xf numFmtId="0" fontId="5" fillId="4" borderId="1" pivotButton="0" quotePrefix="0" xfId="0"/>
    <xf numFmtId="0" fontId="8" fillId="4" borderId="1" pivotButton="0" quotePrefix="0" xfId="0"/>
    <xf numFmtId="3" fontId="5" fillId="4" borderId="1" pivotButton="0" quotePrefix="0" xfId="0"/>
    <xf numFmtId="1" fontId="5" fillId="4" borderId="1" pivotButton="0" quotePrefix="0" xfId="0"/>
    <xf numFmtId="2" fontId="7" fillId="3" borderId="1" pivotButton="0" quotePrefix="0" xfId="0"/>
    <xf numFmtId="1" fontId="2" fillId="4" borderId="1" pivotButton="0" quotePrefix="0" xfId="0"/>
    <xf numFmtId="164" fontId="2" fillId="4" borderId="1" pivotButton="0" quotePrefix="0" xfId="0"/>
    <xf numFmtId="165" fontId="2" fillId="4" borderId="1" pivotButton="0" quotePrefix="0" xfId="0"/>
    <xf numFmtId="167" fontId="5" fillId="4" borderId="1" pivotButton="0" quotePrefix="0" xfId="0"/>
    <xf numFmtId="0" fontId="2" fillId="4" borderId="1" pivotButton="0" quotePrefix="0" xfId="0"/>
    <xf numFmtId="1" fontId="9" fillId="5" borderId="1" pivotButton="0" quotePrefix="0" xfId="0"/>
    <xf numFmtId="0" fontId="2" fillId="0" borderId="0" pivotButton="0" quotePrefix="0" xfId="0"/>
    <xf numFmtId="0" fontId="1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Coverage by realm: PAs and OECMs</a:t>
            </a:r>
          </a:p>
        </rich>
      </tx>
    </title>
    <plotArea>
      <barChart>
        <barDir val="col"/>
        <grouping val="stacked"/>
        <ser>
          <idx val="0"/>
          <order val="0"/>
          <tx>
            <strRef>
              <f>'Headline_3.1'!H5</f>
            </strRef>
          </tx>
          <spPr>
            <a:ln>
              <a:prstDash val="solid"/>
            </a:ln>
          </spPr>
          <cat>
            <numRef>
              <f>'Headline_3.1'!$A$6:$A$7</f>
            </numRef>
          </cat>
          <val>
            <numRef>
              <f>'Headline_3.1'!$H$6:$H$7</f>
            </numRef>
          </val>
        </ser>
        <ser>
          <idx val="1"/>
          <order val="1"/>
          <tx>
            <strRef>
              <f>'Headline_3.1'!I5</f>
            </strRef>
          </tx>
          <spPr>
            <a:ln>
              <a:prstDash val="solid"/>
            </a:ln>
          </spPr>
          <cat>
            <numRef>
              <f>'Headline_3.1'!$A$6:$A$7</f>
            </numRef>
          </cat>
          <val>
            <numRef>
              <f>'Headline_3.1'!$I$6:$I$7</f>
            </numRef>
          </val>
        </ser>
        <gapWidth val="150"/>
        <overlap val="10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Coverage over time (expected value with imputed years)</a:t>
            </a:r>
          </a:p>
        </rich>
      </tx>
    </title>
    <plotArea>
      <lineChart>
        <grouping val="standard"/>
        <ser>
          <idx val="0"/>
          <order val="0"/>
          <tx>
            <strRef>
              <f>'Time_Series'!F4</f>
            </strRef>
          </tx>
          <spPr>
            <a:ln>
              <a:prstDash val="solid"/>
            </a:ln>
          </spPr>
          <marker>
            <symbol val="none"/>
            <spPr>
              <a:ln>
                <a:prstDash val="solid"/>
              </a:ln>
            </spPr>
          </marker>
          <cat>
            <numRef>
              <f>'Time_Series'!$A$5:$A$205</f>
            </numRef>
          </cat>
          <val>
            <numRef>
              <f>'Time_Series'!$F$5:$F$205</f>
            </numRef>
          </val>
        </ser>
        <ser>
          <idx val="1"/>
          <order val="1"/>
          <tx>
            <strRef>
              <f>'Time_Series'!I4</f>
            </strRef>
          </tx>
          <spPr>
            <a:ln>
              <a:prstDash val="solid"/>
            </a:ln>
          </spPr>
          <marker>
            <symbol val="none"/>
            <spPr>
              <a:ln>
                <a:prstDash val="solid"/>
              </a:ln>
            </spPr>
          </marker>
          <cat>
            <numRef>
              <f>'Time_Series'!$A$5:$A$205</f>
            </numRef>
          </cat>
          <val>
            <numRef>
              <f>'Time_Series'!$I$5:$I$205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3D"/>
    <outlinePr summaryBelow="1" summaryRight="1"/>
    <pageSetUpPr/>
  </sheetPr>
  <dimension ref="A1:B33"/>
  <sheetViews>
    <sheetView showGridLines="0" workbookViewId="0">
      <selection activeCell="A1" sqref="A1"/>
    </sheetView>
  </sheetViews>
  <sheetFormatPr baseColWidth="8" defaultRowHeight="15"/>
  <cols>
    <col width="30" customWidth="1" min="1" max="1"/>
    <col width="140" customWidth="1" min="2" max="2"/>
  </cols>
  <sheetData>
    <row r="1">
      <c r="A1" s="1" t="inlineStr">
        <is>
          <t>GBF Headline Indicator 3.1 – National Calculation &amp; Reporting Tool</t>
        </is>
      </c>
    </row>
    <row r="2">
      <c r="A2" s="2" t="inlineStr">
        <is>
          <t>Coverage of protected areas and other effective area-based conservation measures (OECMs) – built on the official metadata (gbf-indicators.org/metadata/headline/3-1, updated 1 Sept 2024)</t>
        </is>
      </c>
    </row>
    <row r="3"/>
    <row r="4">
      <c r="A4" s="3" t="inlineStr">
        <is>
          <t>PURPOSE</t>
        </is>
      </c>
      <c r="B4" s="4" t="n"/>
    </row>
    <row r="5" ht="56" customHeight="1">
      <c r="A5" s="5" t="inlineStr">
        <is>
          <t>What this tool does</t>
        </is>
      </c>
      <c r="B5" s="6" t="inlineStr">
        <is>
          <t>Computes Headline Indicator 3.1 for Target 3 of the Kunming-Montreal Global Biodiversity Framework (KMGBF) at national level, plus the five disaggregations listed in the metadata: (1) PAs vs OECMs, (2) realm/biome/ecosystem, (3) Key Biodiversity Areas, (4) management effectiveness, (5) governance type. It also produces a time series, quality-control checks and a reporting dashboard.</t>
        </is>
      </c>
    </row>
    <row r="6" ht="70" customHeight="1">
      <c r="A6" s="5" t="inlineStr">
        <is>
          <t>What this tool does NOT do</t>
        </is>
      </c>
      <c r="B6" s="6" t="inlineStr">
        <is>
          <t>Excel cannot perform spatial operations. The metadata's steps 1–6 (filter, buffer points, merge, flatten/dissolve, erase PA from OECMs, intersect with base map, project to Mollweide) must be done in a GIS (QGIS, ArcGIS, R 'wdpar' package, Python geopandas). The tool takes the resulting areas and performs step 7 (coverage calculation), the disaggregations, the time series and the quality checks. If no GIS capacity exists, the tool falls back to reported/GIS areas per site and flags the result as an upper bound (overlaps may be double-counted).</t>
        </is>
      </c>
    </row>
    <row r="7" ht="56" customHeight="1">
      <c r="A7" s="5" t="inlineStr">
        <is>
          <t>Relationship with Protected Planet</t>
        </is>
      </c>
      <c r="B7" s="6" t="inlineStr">
        <is>
          <t>UNEP-WCMC/IUCN publish monthly national statistics on Protected Planet computed with the same method. This tool lets a country (a) reproduce and reconcile those figures, (b) include national data not yet submitted to the WDPA/WD-OECM, (c) compute the disaggregations that are published only biennially or not at all for its own national ecosystem maps, and (d) document every step for the national report.</t>
        </is>
      </c>
    </row>
    <row r="8">
      <c r="A8" s="3" t="inlineStr">
        <is>
          <t>SHEET GUIDE</t>
        </is>
      </c>
      <c r="B8" s="4" t="n"/>
    </row>
    <row r="9" ht="28" customHeight="1">
      <c r="A9" s="5" t="inlineStr">
        <is>
          <t>1. Setup</t>
        </is>
      </c>
      <c r="B9" s="6" t="inlineStr">
        <is>
          <t>Country, reporting year, realm areas (base-map denominators), method-compliance declarations, thresholds and optional GIS totals.</t>
        </is>
      </c>
    </row>
    <row r="10" ht="28" customHeight="1">
      <c r="A10" s="5" t="inlineStr">
        <is>
          <t>2. PA_OECM_Register</t>
        </is>
      </c>
      <c r="B10" s="6" t="inlineStr">
        <is>
          <t>One row per protected area / OECM using WDPA/WD-OECM attribute names. Applies the metadata inclusion filters automatically and flags data-quality issues.</t>
        </is>
      </c>
    </row>
    <row r="11" ht="28" customHeight="1">
      <c r="A11" s="5" t="inlineStr">
        <is>
          <t>3. Headline_3.1</t>
        </is>
      </c>
      <c r="B11" s="6" t="inlineStr">
        <is>
          <t>Headline indicator: % terrestrial &amp; inland water and % marine &amp; coastal area covered, split PA vs OECM, distance to the 30% target, inland waters.</t>
        </is>
      </c>
    </row>
    <row r="12" ht="28" customHeight="1">
      <c r="A12" s="5" t="inlineStr">
        <is>
          <t>4. Ecosystems</t>
        </is>
      </c>
      <c r="B12" s="6" t="inlineStr">
        <is>
          <t>Disaggregation by IUCN Global Ecosystem Typology biome, by Ecosystem Functional Group/ecoregion/national ecosystem type, and inland waters (rivers, lakes &amp; wetlands).</t>
        </is>
      </c>
    </row>
    <row r="13" ht="15" customHeight="1">
      <c r="A13" s="5" t="inlineStr">
        <is>
          <t>5. KBA_Coverage</t>
        </is>
      </c>
      <c r="B13" s="6" t="inlineStr">
        <is>
          <t>Mean % of each KBA covered by PAs and/or OECMs (aligned with SDG 14.5.1, 15.1.2, 15.4.1).</t>
        </is>
      </c>
    </row>
    <row r="14" ht="28" customHeight="1">
      <c r="A14" s="5" t="inlineStr">
        <is>
          <t>6. Governance</t>
        </is>
      </c>
      <c r="B14" s="6" t="inlineStr">
        <is>
          <t>Coverage by WDPA governance type and the four IUCN governance types (proxy for 'equitably governed'); supplementary IUCN management categories.</t>
        </is>
      </c>
    </row>
    <row r="15" ht="15" customHeight="1">
      <c r="A15" s="5" t="inlineStr">
        <is>
          <t>7. Mgmt_Effectiveness</t>
        </is>
      </c>
      <c r="B15" s="6" t="inlineStr">
        <is>
          <t>Coverage by management-effectiveness class (PROVISIONAL – the official methodology is still under development).</t>
        </is>
      </c>
    </row>
    <row r="16" ht="15" customHeight="1">
      <c r="A16" s="5" t="inlineStr">
        <is>
          <t>8. Time_Series</t>
        </is>
      </c>
      <c r="B16" s="6" t="inlineStr">
        <is>
          <t>Cumulative coverage by year from STATUS_YR, with the metadata's treatment of missing designation years.</t>
        </is>
      </c>
    </row>
    <row r="17" ht="15" customHeight="1">
      <c r="A17" s="5" t="inlineStr">
        <is>
          <t>9. QC_Checks</t>
        </is>
      </c>
      <c r="B17" s="6" t="inlineStr">
        <is>
          <t>Automated method-compliance and data-quality checks. Resolve every WARN before reporting.</t>
        </is>
      </c>
    </row>
    <row r="18" ht="15" customHeight="1">
      <c r="A18" s="5" t="inlineStr">
        <is>
          <t>10. Dashboard</t>
        </is>
      </c>
      <c r="B18" s="6" t="inlineStr">
        <is>
          <t>Summary figures and charts for the national report.</t>
        </is>
      </c>
    </row>
    <row r="19" ht="15" customHeight="1">
      <c r="A19" s="5" t="inlineStr">
        <is>
          <t>11. Metadata / References</t>
        </is>
      </c>
      <c r="B19" s="6" t="inlineStr">
        <is>
          <t>Summary of the official metadata (definitions, method, limitations) and the scientific references.</t>
        </is>
      </c>
    </row>
    <row r="20">
      <c r="A20" s="3" t="inlineStr">
        <is>
          <t>WORKFLOW</t>
        </is>
      </c>
      <c r="B20" s="4" t="n"/>
    </row>
    <row r="21" ht="42" customHeight="1">
      <c r="A21" s="5" t="inlineStr">
        <is>
          <t>Step 1 – Data</t>
        </is>
      </c>
      <c r="B21" s="6" t="inlineStr">
        <is>
          <t>Download the national WDPA and WD-OECM (protectedplanet.net) and add any nationally recognised sites not yet reported. Download KBA polygons (keybiodiversityareas.org) and national ecosystem maps (cross-walked to the Global Ecosystem Typology).</t>
        </is>
      </c>
    </row>
    <row r="22" ht="28" customHeight="1">
      <c r="A22" s="5" t="inlineStr">
        <is>
          <t>Step 2 – Filter</t>
        </is>
      </c>
      <c r="B22" s="6" t="inlineStr">
        <is>
          <t>Remove sites with STATUS 'Proposed' or 'Not Reported', points without REP_AREA, and UNESCO-MAB Biosphere Reserves (the register does this automatically; do the same in GIS).</t>
        </is>
      </c>
    </row>
    <row r="23" ht="28" customHeight="1">
      <c r="A23" s="5" t="inlineStr">
        <is>
          <t>Step 3 – Buffer points</t>
        </is>
      </c>
      <c r="B23" s="6" t="inlineStr">
        <is>
          <t>Buffer point sites with a circle of area = REP_AREA (radius = √(REP_AREA/π), computed in the register column 'Buffer radius').</t>
        </is>
      </c>
    </row>
    <row r="24" ht="56" customHeight="1">
      <c r="A24" s="5" t="inlineStr">
        <is>
          <t>Step 4 – Flatten &amp; erase</t>
        </is>
      </c>
      <c r="B24" s="6" t="inlineStr">
        <is>
          <t>Merge polygons + buffered points; dissolve PAs into one flat layer. For OECMs: erase all areas overlapping PAs, then dissolve. To keep the time series exact, attribute each overlapping area to the EARLIEST-designated site (PAs before OECMs). Then TRANSFER site-level attributes (PAME, governance) from overlapping records that describe the same physical site to the record holding the area – otherwise the effectiveness and governance disaggregations are understated.</t>
        </is>
      </c>
    </row>
    <row r="25" ht="28" customHeight="1">
      <c r="A25" s="5" t="inlineStr">
        <is>
          <t>Step 5 – Intersect &amp; project</t>
        </is>
      </c>
      <c r="B25" s="6" t="inlineStr">
        <is>
          <t>Intersect with the national base map (land + territorial sea/EEZ), project to Mollweide equal-area (ESRI:54009), compute km² for land and sea parts.</t>
        </is>
      </c>
    </row>
    <row r="26" ht="28" customHeight="1">
      <c r="A26" s="5" t="inlineStr">
        <is>
          <t>Step 6 – Enter</t>
        </is>
      </c>
      <c r="B26" s="6" t="inlineStr">
        <is>
          <t>Enter per-site net areas in the register (columns R–S) or the national flattened totals in Setup (override). Enter KBA and ecosystem overlap areas.</t>
        </is>
      </c>
    </row>
    <row r="27" ht="15" customHeight="1">
      <c r="A27" s="5" t="inlineStr">
        <is>
          <t>Step 7 – Check &amp; report</t>
        </is>
      </c>
      <c r="B27" s="6" t="inlineStr">
        <is>
          <t>Review QC_Checks, then report from Headline_3.1 and Dashboard. Record dataset versions in Setup.</t>
        </is>
      </c>
    </row>
    <row r="28">
      <c r="A28" s="3" t="inlineStr">
        <is>
          <t>COLOUR LEGEND</t>
        </is>
      </c>
      <c r="B28" s="4" t="n"/>
    </row>
    <row r="29" ht="15" customHeight="1">
      <c r="A29" s="7" t="inlineStr">
        <is>
          <t>Yellow cell, blue text</t>
        </is>
      </c>
      <c r="B29" s="6" t="inlineStr">
        <is>
          <t>INPUT – enter or paste data here.</t>
        </is>
      </c>
    </row>
    <row r="30" ht="15" customHeight="1">
      <c r="A30" s="8" t="inlineStr">
        <is>
          <t>Grey cell, black text</t>
        </is>
      </c>
      <c r="B30" s="6" t="inlineStr">
        <is>
          <t>CALCULATION – do not overwrite (formulas).</t>
        </is>
      </c>
    </row>
    <row r="31" ht="15" customHeight="1">
      <c r="A31" s="9" t="inlineStr">
        <is>
          <t>Blue cell, bold</t>
        </is>
      </c>
      <c r="B31" s="6" t="inlineStr">
        <is>
          <t>KEY RESULT.</t>
        </is>
      </c>
    </row>
    <row r="32" ht="15" customHeight="1">
      <c r="A32" s="10" t="inlineStr">
        <is>
          <t>Orange rows</t>
        </is>
      </c>
      <c r="B32" s="6" t="inlineStr">
        <is>
          <t>EXAMPLE data from a FICTIONAL country, showing the expected format. Delete/overwrite before use.</t>
        </is>
      </c>
    </row>
    <row r="33" ht="15" customHeight="1">
      <c r="A33" s="5" t="inlineStr">
        <is>
          <t>Units</t>
        </is>
      </c>
      <c r="B33" s="6" t="inlineStr">
        <is>
          <t>All areas in km² (Mollweide equal-area). River length in km. Percentages stored as fractions (0.30 = 30%).</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29"/>
  <sheetViews>
    <sheetView showGridLines="0" workbookViewId="0">
      <selection activeCell="A1" sqref="A1"/>
    </sheetView>
  </sheetViews>
  <sheetFormatPr baseColWidth="8" defaultRowHeight="15"/>
  <cols>
    <col width="52" customWidth="1" min="1" max="1"/>
    <col width="38" customWidth="1" min="2" max="2"/>
    <col width="12" customWidth="1" min="3" max="3"/>
    <col width="110" customWidth="1" min="4" max="4"/>
  </cols>
  <sheetData>
    <row r="1">
      <c r="A1" s="1" t="inlineStr">
        <is>
          <t>1. Setup – country parameters, denominators and method declarations</t>
        </is>
      </c>
    </row>
    <row r="2">
      <c r="A2" s="2" t="inlineStr">
        <is>
          <t>Fill every yellow cell. Areas must come from the SAME base map and projection used for the PA/OECM areas.</t>
        </is>
      </c>
    </row>
    <row r="3" ht="30" customHeight="1">
      <c r="A3" s="11" t="inlineStr">
        <is>
          <t>Parameter</t>
        </is>
      </c>
      <c r="B3" s="11" t="inlineStr">
        <is>
          <t>Value</t>
        </is>
      </c>
      <c r="C3" s="11" t="inlineStr">
        <is>
          <t>Unit</t>
        </is>
      </c>
      <c r="D3" s="11" t="inlineStr">
        <is>
          <t>Notes / source (metadata 3.1)</t>
        </is>
      </c>
    </row>
    <row r="4">
      <c r="A4" s="5" t="inlineStr">
        <is>
          <t>Country / jurisdiction</t>
        </is>
      </c>
      <c r="B4" s="12" t="inlineStr">
        <is>
          <t>Algeria</t>
        </is>
      </c>
      <c r="C4" s="6" t="inlineStr">
        <is>
          <t>text</t>
        </is>
      </c>
      <c r="D4" s="6" t="inlineStr"/>
    </row>
    <row r="5">
      <c r="A5" s="5" t="inlineStr">
        <is>
          <t>ISO3 code</t>
        </is>
      </c>
      <c r="B5" s="12" t="inlineStr">
        <is>
          <t>DZA</t>
        </is>
      </c>
      <c r="C5" s="6" t="inlineStr">
        <is>
          <t>text</t>
        </is>
      </c>
      <c r="D5" s="6" t="inlineStr">
        <is>
          <t>ISO 3166-1 alpha-3</t>
        </is>
      </c>
    </row>
    <row r="6">
      <c r="A6" s="5" t="inlineStr">
        <is>
          <t>Reporting year</t>
        </is>
      </c>
      <c r="B6" s="13" t="n">
        <v>2026</v>
      </c>
      <c r="C6" s="6" t="inlineStr">
        <is>
          <t>year</t>
        </is>
      </c>
      <c r="D6" s="6" t="inlineStr">
        <is>
          <t>Year of the national report / data cut-off</t>
        </is>
      </c>
    </row>
    <row r="7">
      <c r="A7" s="5" t="inlineStr">
        <is>
          <t>WDPA / WD-OECM release used</t>
        </is>
      </c>
      <c r="B7" s="12" t="inlineStr">
        <is>
          <t>WDPA/WD-OECM October 2026 (Protected Planet; UNEP-WCMC map service)</t>
        </is>
      </c>
      <c r="C7" s="6" t="inlineStr">
        <is>
          <t>text</t>
        </is>
      </c>
      <c r="D7" s="6" t="inlineStr">
        <is>
          <t>Monthly release from protectedplanet.net; record month &amp; year</t>
        </is>
      </c>
    </row>
    <row r="8">
      <c r="A8" s="5" t="inlineStr">
        <is>
          <t>KBA dataset version</t>
        </is>
      </c>
      <c r="B8" s="12" t="inlineStr">
        <is>
          <t>World Database of KBAs, September 2026 release (KBAsGlobal_2026_September, 65 Algeria polygons)</t>
        </is>
      </c>
      <c r="C8" s="6" t="inlineStr">
        <is>
          <t>text</t>
        </is>
      </c>
      <c r="D8" s="6" t="inlineStr">
        <is>
          <t>World Database of KBAs (BirdLife International on behalf of the KBA Partnership)</t>
        </is>
      </c>
    </row>
    <row r="9">
      <c r="A9" s="5" t="inlineStr">
        <is>
          <t>Base map used</t>
        </is>
      </c>
      <c r="B9" s="12" t="inlineStr">
        <is>
          <t>geoBoundaries ADM0, inland holes filled (land) + Marine Regions EEZ v12 with coastal gaps, minus land (sea); Mollweide ESRI:54009</t>
        </is>
      </c>
      <c r="C9" s="6" t="inlineStr">
        <is>
          <t>text</t>
        </is>
      </c>
      <c r="D9" s="6" t="inlineStr">
        <is>
          <t>Metadata: EEZ (VLIZ), World Vector Shoreline 3rd ed., GADM. National official boundaries are acceptable if documented</t>
        </is>
      </c>
    </row>
    <row r="10">
      <c r="A10" s="5" t="inlineStr">
        <is>
          <t>Terrestrial area (land incl. inland waters)</t>
        </is>
      </c>
      <c r="B10" s="14" t="n">
        <v>2318644.15</v>
      </c>
      <c r="C10" s="6" t="inlineStr">
        <is>
          <t>km²</t>
        </is>
      </c>
      <c r="D10" s="6" t="inlineStr">
        <is>
          <t>Denominator, terrestrial realm. Mollweide equal-area. (Antarctica excluded globally)</t>
        </is>
      </c>
    </row>
    <row r="11">
      <c r="A11" s="5" t="inlineStr">
        <is>
          <t>Marine &amp; coastal area (territorial sea + EEZ)</t>
        </is>
      </c>
      <c r="B11" s="14" t="n">
        <v>131439.54</v>
      </c>
      <c r="C11" s="6" t="inlineStr">
        <is>
          <t>km²</t>
        </is>
      </c>
      <c r="D11" s="6" t="inlineStr">
        <is>
          <t>Denominator, marine realm. Areas beyond national jurisdiction are excluded at national level</t>
        </is>
      </c>
    </row>
    <row r="12">
      <c r="A12" s="5" t="inlineStr">
        <is>
          <t>Target coverage</t>
        </is>
      </c>
      <c r="B12" s="15" t="n">
        <v>0.3</v>
      </c>
      <c r="C12" s="6" t="inlineStr">
        <is>
          <t>fraction</t>
        </is>
      </c>
      <c r="D12" s="6" t="inlineStr">
        <is>
          <t>KMGBF Target 3: at least 30% of terrestrial &amp; inland water and of marine &amp; coastal areas</t>
        </is>
      </c>
    </row>
    <row r="13">
      <c r="A13" s="5" t="inlineStr">
        <is>
          <t>Target year</t>
        </is>
      </c>
      <c r="B13" s="13" t="n">
        <v>2030</v>
      </c>
      <c r="C13" s="6" t="inlineStr">
        <is>
          <t>year</t>
        </is>
      </c>
      <c r="D13" s="6" t="inlineStr"/>
    </row>
    <row r="14">
      <c r="A14" s="5" t="inlineStr">
        <is>
          <t>PA layer flattened (overlaps dissolved) in GIS?</t>
        </is>
      </c>
      <c r="B14" s="12" t="inlineStr">
        <is>
          <t>Y</t>
        </is>
      </c>
      <c r="C14" s="6" t="inlineStr">
        <is>
          <t>Y/N</t>
        </is>
      </c>
      <c r="D14" s="6" t="inlineStr">
        <is>
          <t>Method step 4: flatten to avoid double counting</t>
        </is>
      </c>
    </row>
    <row r="15">
      <c r="A15" s="5" t="inlineStr">
        <is>
          <t>OECM layer: PA overlap erased and flattened?</t>
        </is>
      </c>
      <c r="B15" s="12" t="inlineStr">
        <is>
          <t>Y</t>
        </is>
      </c>
      <c r="C15" s="6" t="inlineStr">
        <is>
          <t>Y/N</t>
        </is>
      </c>
      <c r="D15" s="6" t="inlineStr">
        <is>
          <t>OECM method step 4: erase areas where OECMs overlap PAs</t>
        </is>
      </c>
    </row>
    <row r="16">
      <c r="A16" s="5" t="inlineStr">
        <is>
          <t>Areas computed in Mollweide equal-area projection?</t>
        </is>
      </c>
      <c r="B16" s="12" t="inlineStr">
        <is>
          <t>Y</t>
        </is>
      </c>
      <c r="C16" s="6" t="inlineStr">
        <is>
          <t>Y/N</t>
        </is>
      </c>
      <c r="D16" s="6" t="inlineStr">
        <is>
          <t>Method step 6</t>
        </is>
      </c>
    </row>
    <row r="17">
      <c r="A17" s="5" t="inlineStr">
        <is>
          <t>Overlaps attributed to earliest-designated site?</t>
        </is>
      </c>
      <c r="B17" s="12" t="inlineStr">
        <is>
          <t>Y</t>
        </is>
      </c>
      <c r="C17" s="6" t="inlineStr">
        <is>
          <t>Y/N</t>
        </is>
      </c>
      <c r="D17" s="6" t="inlineStr">
        <is>
          <t>Needed for an exact time series from per-site net areas (tool recommendation, not in metadata)</t>
        </is>
      </c>
    </row>
    <row r="18">
      <c r="A18" s="5" t="inlineStr">
        <is>
          <t>OPTIONAL GIS total – PA terrestrial (flattened)</t>
        </is>
      </c>
      <c r="B18" s="14" t="n"/>
      <c r="C18" s="6" t="inlineStr">
        <is>
          <t>km²</t>
        </is>
      </c>
      <c r="D18" s="6" t="inlineStr">
        <is>
          <t>If entered, overrides the register sum in the headline (reconciliation shown in QC)</t>
        </is>
      </c>
    </row>
    <row r="19">
      <c r="A19" s="5" t="inlineStr">
        <is>
          <t>OPTIONAL GIS total – OECM terrestrial (PA-erased, flattened)</t>
        </is>
      </c>
      <c r="B19" s="14" t="n"/>
      <c r="C19" s="6" t="inlineStr">
        <is>
          <t>km²</t>
        </is>
      </c>
      <c r="D19" s="6" t="inlineStr">
        <is>
          <t>As above</t>
        </is>
      </c>
    </row>
    <row r="20">
      <c r="A20" s="5" t="inlineStr">
        <is>
          <t>OPTIONAL GIS total – PA marine (flattened)</t>
        </is>
      </c>
      <c r="B20" s="14" t="n"/>
      <c r="C20" s="6" t="inlineStr">
        <is>
          <t>km²</t>
        </is>
      </c>
      <c r="D20" s="6" t="inlineStr">
        <is>
          <t>As above</t>
        </is>
      </c>
    </row>
    <row r="21">
      <c r="A21" s="5" t="inlineStr">
        <is>
          <t>OPTIONAL GIS total – OECM marine (PA-erased, flattened)</t>
        </is>
      </c>
      <c r="B21" s="14" t="n"/>
      <c r="C21" s="6" t="inlineStr">
        <is>
          <t>km²</t>
        </is>
      </c>
      <c r="D21" s="6" t="inlineStr">
        <is>
          <t>As above</t>
        </is>
      </c>
    </row>
    <row r="22">
      <c r="A22" s="5" t="inlineStr">
        <is>
          <t>KBA marine classification threshold</t>
        </is>
      </c>
      <c r="B22" s="15" t="n">
        <v>0.05</v>
      </c>
      <c r="C22" s="6" t="inlineStr">
        <is>
          <t>fraction</t>
        </is>
      </c>
      <c r="D22" s="6" t="inlineStr">
        <is>
          <t>Metadata: a KBA with ≥5% overlap with the ocean is classified as marine</t>
        </is>
      </c>
    </row>
    <row r="23">
      <c r="A23" s="5" t="inlineStr">
        <is>
          <t>KBA 'complete coverage' threshold</t>
        </is>
      </c>
      <c r="B23" s="15" t="n">
        <v>0.98</v>
      </c>
      <c r="C23" s="6" t="inlineStr">
        <is>
          <t>fraction</t>
        </is>
      </c>
      <c r="D23" s="6" t="inlineStr">
        <is>
          <t>Tolerance for digitisation error; 98% used by Butchart et al. (2012). National choice – document it</t>
        </is>
      </c>
    </row>
    <row r="24">
      <c r="A24" s="5" t="inlineStr">
        <is>
          <t>PAME 'High' class – minimum normalised score</t>
        </is>
      </c>
      <c r="B24" s="13" t="n">
        <v>67</v>
      </c>
      <c r="C24" s="6" t="inlineStr">
        <is>
          <t>score 0–100</t>
        </is>
      </c>
      <c r="D24" s="6" t="inlineStr">
        <is>
          <t>PROVISIONAL national choice; official effectiveness methodology still under development (UNEP-WCMC, IUCN &amp; JNCC 2023)</t>
        </is>
      </c>
    </row>
    <row r="25">
      <c r="A25" s="5" t="inlineStr">
        <is>
          <t>PAME 'Moderate' class – minimum normalised score</t>
        </is>
      </c>
      <c r="B25" s="13" t="n">
        <v>33</v>
      </c>
      <c r="C25" s="6" t="inlineStr">
        <is>
          <t>score 0–100</t>
        </is>
      </c>
      <c r="D25" s="6" t="inlineStr">
        <is>
          <t>PROVISIONAL national choice; scores below are 'Low'</t>
        </is>
      </c>
    </row>
    <row r="26">
      <c r="A26" s="5" t="inlineStr">
        <is>
          <t>PAME validity window</t>
        </is>
      </c>
      <c r="B26" s="13" t="n">
        <v>5</v>
      </c>
      <c r="C26" s="6" t="inlineStr">
        <is>
          <t>years</t>
        </is>
      </c>
      <c r="D26" s="6" t="inlineStr">
        <is>
          <t>Assessments older than this are classed 'Assessment outdated'. National choice</t>
        </is>
      </c>
    </row>
    <row r="27">
      <c r="A27" s="5" t="inlineStr">
        <is>
          <t>Time-series start year</t>
        </is>
      </c>
      <c r="B27" s="13" t="n">
        <v>1940</v>
      </c>
      <c r="C27" s="6" t="inlineStr">
        <is>
          <t>year</t>
        </is>
      </c>
      <c r="D27" s="6" t="inlineStr">
        <is>
          <t>Global series starts 1819; choose the year of the first national site or earlier</t>
        </is>
      </c>
    </row>
    <row r="28"/>
    <row r="29">
      <c r="A29" s="16" t="inlineStr">
        <is>
          <t>Worked example: real WDPA/WD-OECM October 2026 records for Algeria (71 PA polygons, 2 PA points, 5 OECMs). Net areas from 03_analysis/scripts/01_gis_flatten.py: points buffered, clipped to land / sea, PAs flattened, OECMs PA-erased and flattened, overlaps attributed to the earliest-designated site.</t>
        </is>
      </c>
    </row>
  </sheetData>
  <dataValidations count="1">
    <dataValidation sqref="B14 B15 B16 B1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13" customWidth="1" min="4" max="4"/>
    <col width="12" customWidth="1" min="5" max="5"/>
    <col width="11" customWidth="1" min="6" max="6"/>
    <col width="30" customWidth="1" min="7" max="7"/>
    <col width="13" customWidth="1" min="8" max="8"/>
    <col width="11" customWidth="1" min="9" max="9"/>
    <col width="12" customWidth="1" min="10" max="10"/>
    <col width="11" customWidth="1" min="11" max="11"/>
    <col width="11" customWidth="1" min="12" max="12"/>
    <col width="11" customWidth="1" min="13" max="13"/>
    <col width="11" customWidth="1" min="14" max="14"/>
    <col width="11" customWidth="1" min="15" max="15"/>
    <col width="12" customWidth="1" min="16" max="16"/>
    <col width="12" customWidth="1" min="17" max="17"/>
    <col width="15" customWidth="1" min="18" max="18"/>
    <col width="15" customWidth="1" min="19" max="19"/>
    <col width="10" customWidth="1" min="20" max="20"/>
    <col width="18" customWidth="1" min="21" max="21"/>
    <col width="9" customWidth="1" min="22" max="22"/>
    <col width="11" customWidth="1" min="23" max="23"/>
    <col width="15" customWidth="1" min="24" max="24"/>
    <col width="22" customWidth="1" min="25" max="25"/>
    <col width="10" customWidth="1" min="26" max="26"/>
    <col width="26" customWidth="1" min="27" max="27"/>
    <col width="12" customWidth="1" min="28" max="28"/>
    <col width="12" customWidth="1" min="29" max="29"/>
    <col width="12" customWidth="1" min="30" max="30"/>
    <col width="9" customWidth="1" min="31" max="31"/>
    <col width="13" customWidth="1" min="32" max="32"/>
    <col width="13" customWidth="1" min="33" max="33"/>
    <col width="11" customWidth="1" min="34" max="34"/>
    <col width="12" customWidth="1" min="35" max="35"/>
    <col width="30" customWidth="1" min="36" max="36"/>
    <col width="18" customWidth="1" min="37" max="37"/>
    <col width="60" customWidth="1" min="38" max="38"/>
  </cols>
  <sheetData>
    <row r="1">
      <c r="A1" s="1" t="inlineStr">
        <is>
          <t>2. PA &amp; OECM register – one row per site (WDPA / WD-OECM attribute names)</t>
        </is>
      </c>
    </row>
    <row r="2">
      <c r="A2" s="2" t="inlineStr">
        <is>
          <t>Columns A–Y = inputs. Columns Z–AL = automatic calculations. Net areas (R–S) come from the flattened GIS layers (metadata steps 1–6); if left blank, gross areas are used and flagged.</t>
        </is>
      </c>
    </row>
    <row r="3">
      <c r="A3" s="17" t="inlineStr">
        <is>
          <t>INPUTS (A–Y)</t>
        </is>
      </c>
      <c r="Z3" s="17" t="inlineStr">
        <is>
          <t>CALCULATIONS (Z–AL) – do not edit</t>
        </is>
      </c>
    </row>
    <row r="4" ht="80" customHeight="1">
      <c r="A4" s="11" t="inlineStr">
        <is>
          <t>WDPAID / national ID</t>
        </is>
      </c>
      <c r="B4" s="11" t="inlineStr">
        <is>
          <t>NAME</t>
        </is>
      </c>
      <c r="C4" s="11" t="inlineStr">
        <is>
          <t>DESIG_ENG (designation)</t>
        </is>
      </c>
      <c r="D4" s="11" t="inlineStr">
        <is>
          <t>DESIG_TYPE</t>
        </is>
      </c>
      <c r="E4" s="11" t="inlineStr">
        <is>
          <t>Site type (PA / OECM)
[WDPA PA_DEF 1/0]</t>
        </is>
      </c>
      <c r="F4" s="11" t="inlineStr">
        <is>
          <t>IUCN_CAT</t>
        </is>
      </c>
      <c r="G4" s="11" t="inlineStr">
        <is>
          <t>GOV_TYPE</t>
        </is>
      </c>
      <c r="H4" s="11" t="inlineStr">
        <is>
          <t>STATUS</t>
        </is>
      </c>
      <c r="I4" s="11" t="inlineStr">
        <is>
          <t>STATUS_YR
(0/blank = unknown)</t>
        </is>
      </c>
      <c r="J4" s="11" t="inlineStr">
        <is>
          <t>MARINE
0=terr., 1=coastal, 2=marine</t>
        </is>
      </c>
      <c r="K4" s="11" t="inlineStr">
        <is>
          <t>Geometry
(Polygon / Point)</t>
        </is>
      </c>
      <c r="L4" s="11" t="inlineStr">
        <is>
          <t>REP_AREA
(km²)</t>
        </is>
      </c>
      <c r="M4" s="11" t="inlineStr">
        <is>
          <t>REP_M_AREA
(km²)</t>
        </is>
      </c>
      <c r="N4" s="11" t="inlineStr">
        <is>
          <t>GIS_AREA
(km², Mollweide)</t>
        </is>
      </c>
      <c r="O4" s="11" t="inlineStr">
        <is>
          <t>GIS_M_AREA
(km², Mollweide)</t>
        </is>
      </c>
      <c r="P4" s="11" t="inlineStr">
        <is>
          <t>UNESCO-MAB Biosphere Reserve? (Y/N)</t>
        </is>
      </c>
      <c r="Q4" s="11" t="inlineStr">
        <is>
          <t>MAB exception: count anyway? (Y/N)</t>
        </is>
      </c>
      <c r="R4" s="11" t="inlineStr">
        <is>
          <t>NET terrestrial area after flattening / PA-erase (km²)</t>
        </is>
      </c>
      <c r="S4" s="11" t="inlineStr">
        <is>
          <t>NET marine area after flattening / PA-erase (km²)</t>
        </is>
      </c>
      <c r="T4" s="11" t="inlineStr">
        <is>
          <t>PAME assessed? (Y/N)</t>
        </is>
      </c>
      <c r="U4" s="11" t="inlineStr">
        <is>
          <t>PAME tool</t>
        </is>
      </c>
      <c r="V4" s="11" t="inlineStr">
        <is>
          <t>PAME year</t>
        </is>
      </c>
      <c r="W4" s="11" t="inlineStr">
        <is>
          <t>PAME score (normalised 0–100)</t>
        </is>
      </c>
      <c r="X4" s="11" t="inlineStr">
        <is>
          <t>Effectiveness class – manual override (optional)</t>
        </is>
      </c>
      <c r="Y4" s="11" t="inlineStr">
        <is>
          <t>Notes / source</t>
        </is>
      </c>
      <c r="Z4" s="18" t="inlineStr">
        <is>
          <t>INCLUDED in indicator (1/0)</t>
        </is>
      </c>
      <c r="AA4" s="18" t="inlineStr">
        <is>
          <t>Exclusion reason</t>
        </is>
      </c>
      <c r="AB4" s="18" t="inlineStr">
        <is>
          <t>Gross total area used (km²)</t>
        </is>
      </c>
      <c r="AC4" s="18" t="inlineStr">
        <is>
          <t>Gross marine area (km²)</t>
        </is>
      </c>
      <c r="AD4" s="18" t="inlineStr">
        <is>
          <t>Gross terrestrial area (km²)</t>
        </is>
      </c>
      <c r="AE4" s="18" t="inlineStr">
        <is>
          <t>Net area supplied? (1/0)</t>
        </is>
      </c>
      <c r="AF4" s="18" t="inlineStr">
        <is>
          <t>TERRESTRIAL area counted (km²)</t>
        </is>
      </c>
      <c r="AG4" s="18" t="inlineStr">
        <is>
          <t>MARINE area counted (km²)</t>
        </is>
      </c>
      <c r="AH4" s="18" t="inlineStr">
        <is>
          <t>Designation year known (0 = missing)</t>
        </is>
      </c>
      <c r="AI4" s="18" t="inlineStr">
        <is>
          <t>Point buffer radius (km) = √(REP_AREA/π)</t>
        </is>
      </c>
      <c r="AJ4" s="18" t="inlineStr">
        <is>
          <t>IUCN governance type (A–D)</t>
        </is>
      </c>
      <c r="AK4" s="18" t="inlineStr">
        <is>
          <t>Effectiveness class</t>
        </is>
      </c>
      <c r="AL4" s="18" t="inlineStr">
        <is>
          <t>QC flags</t>
        </is>
      </c>
    </row>
    <row r="5">
      <c r="A5" s="19" t="n">
        <v>4999</v>
      </c>
      <c r="B5" s="19" t="inlineStr">
        <is>
          <t>Tassili n'Ajjer</t>
        </is>
      </c>
      <c r="C5" s="19" t="inlineStr">
        <is>
          <t>World Heritage Site (natural or mixed)</t>
        </is>
      </c>
      <c r="D5" s="19" t="inlineStr">
        <is>
          <t>International</t>
        </is>
      </c>
      <c r="E5" s="19" t="inlineStr">
        <is>
          <t>PA</t>
        </is>
      </c>
      <c r="F5" s="19" t="inlineStr">
        <is>
          <t>Not Applicable</t>
        </is>
      </c>
      <c r="G5" s="19" t="inlineStr">
        <is>
          <t>Not Reported</t>
        </is>
      </c>
      <c r="H5" s="19" t="inlineStr">
        <is>
          <t>Inscribed</t>
        </is>
      </c>
      <c r="I5" s="19" t="n">
        <v>1982</v>
      </c>
      <c r="J5" s="19" t="n">
        <v>0</v>
      </c>
      <c r="K5" s="19" t="inlineStr">
        <is>
          <t>Polygon</t>
        </is>
      </c>
      <c r="L5" s="20" t="n">
        <v>72000</v>
      </c>
      <c r="M5" s="20" t="n">
        <v>0</v>
      </c>
      <c r="N5" s="20" t="n">
        <v>75389.98699999999</v>
      </c>
      <c r="O5" s="20" t="n">
        <v>0</v>
      </c>
      <c r="P5" s="19" t="inlineStr">
        <is>
          <t>N</t>
        </is>
      </c>
      <c r="Q5" s="19" t="n"/>
      <c r="R5" s="20" t="n">
        <v>75619.41800000001</v>
      </c>
      <c r="S5" s="20" t="n">
        <v>0</v>
      </c>
      <c r="T5" s="19" t="inlineStr">
        <is>
          <t>Y</t>
        </is>
      </c>
      <c r="U5" s="19" t="inlineStr">
        <is>
          <t>Other</t>
        </is>
      </c>
      <c r="V5" s="19" t="n">
        <v>2025</v>
      </c>
      <c r="W5" s="19" t="n"/>
      <c r="X5" s="19" t="n"/>
      <c r="Y5" s="19" t="inlineStr">
        <is>
          <t>GD-PAME: IUCN World Heritage Outlook 2025; IUCN World Heritage Outlook 2020; IUCN World Heritage Outlook 2017; World Heritage Outlook Report 2014; Biosphere Reserve Effectiveness of Management Index (BREMi) 2013 (from record 20389); Management Effectiveness Tracking Tool (METT) 2010; Birdlife Important Bird and Biodiversity Area Monitoring (Birdlife IBA) 2001</t>
        </is>
      </c>
      <c r="Z5" s="21">
        <f>IF(AND($A5="",$B5=""),"",IF(OR($E5="",$H5="",$H5="Proposed",$H5="Not Reported"),0,IF(AND($P5="Y",$Q5&lt;&gt;"Y"),0,IF(AND($K5="Point",N($L5)&lt;=0),0,IF(AND(N($L5)&lt;=0,N($N5)&lt;=0,N($R5)+N($S5)&lt;=0),0,1)))))</f>
        <v/>
      </c>
      <c r="AA5" s="21">
        <f>IF(AND($A5="",$B5=""),"",IF($E5="","Site type missing",IF($H5="","STATUS missing",IF($H5="Proposed","STATUS = Proposed",IF($H5="Not Reported","STATUS = Not Reported",IF(AND($P5="Y",$Q5&lt;&gt;"Y"),"UNESCO-MAB Biosphere Reserve",IF(AND($K5="Point",N($L5)&lt;=0),"Point without REP_AREA",IF(AND(N($L5)&lt;=0,N($N5)&lt;=0,N($R5)+N($S5)&lt;=0),"No area information",""))))))))</f>
        <v/>
      </c>
      <c r="AB5" s="22">
        <f>IF(AND($A5="",$B5=""),"",IF($K5="Point",N($L5),IF(N($N5)&gt;0,N($N5),N($L5))))</f>
        <v/>
      </c>
      <c r="AC5" s="22">
        <f>IF(AND($A5="",$B5=""),"",MIN(AB5,IF(N($J5)=0,0,IF(N($J5)=2,AB5,IF(AND($K5&lt;&gt;"Point",N($O5)&gt;0),N($O5),N($M5))))))</f>
        <v/>
      </c>
      <c r="AD5" s="22">
        <f>IF(AND($A5="",$B5=""),"",MAX(0,AB5-AC5))</f>
        <v/>
      </c>
      <c r="AE5" s="21">
        <f>IF(AND($A5="",$B5=""),"",IF(OR($R5&lt;&gt;"",$S5&lt;&gt;""),1,0))</f>
        <v/>
      </c>
      <c r="AF5" s="22">
        <f>IF(AND($A5="",$B5=""),"",IF(Z5=1,IF(AE5=1,N($R5),AD5),0))</f>
        <v/>
      </c>
      <c r="AG5" s="22">
        <f>IF(AND($A5="",$B5=""),"",IF(Z5=1,IF(AE5=1,N($S5),AC5),0))</f>
        <v/>
      </c>
      <c r="AH5" s="21">
        <f>IF(AND($A5="",$B5=""),"",IF(AND(ISNUMBER($I5),N($I5)&gt;0),$I5,0))</f>
        <v/>
      </c>
      <c r="AI5" s="23">
        <f>IF(AND(NOT(AND($A5="",$B5="")),$K5="Point",N($L5)&gt;0),SQRT(N($L5)/PI()),"")</f>
        <v/>
      </c>
      <c r="AJ5" s="21">
        <f>IF(AND($A5="",$B5=""),"",IFERROR(VLOOKUP($G5,Lists!$D$4:$E$15,2,FALSE),"Not reported"))</f>
        <v/>
      </c>
      <c r="AK5" s="21">
        <f>IF(AND($A5="",$B5=""),"",IF($X5&lt;&gt;"",$X5,IF($T5&lt;&gt;"Y","Not assessed",IF(AND(ISNUMBER($V5),Setup!$B$6-$V5&gt;Setup!$B$26),"Assessment outdated",IF(NOT(ISNUMBER($W5)),"Assessed – no score",IF($W5&gt;=Setup!$B$24,"High",IF($W5&gt;=Setup!$B$25,"Moderate","Low")))))))</f>
        <v/>
      </c>
      <c r="AL5" s="21">
        <f>IF(AND($A5="",$B5=""),"",IF(Z5=0,"",IF(AND(AE5=1,N($R5)&gt;AD5*1.01+0.001),"Net terrestrial &gt; gross; ","")&amp;IF(AND(AE5=1,N($S5)&gt;AC5*1.01+0.001),"Net marine &gt; gross; ","")&amp;IF(AE5=0,"No net area – gross used, overlaps may be double-counted; ","")&amp;IF(AH5=0,"STATUS_YR missing – imputed in time series; ","")&amp;IF(AND(ISNUMBER($I5),N($I5)&gt;Setup!$B$6),"STATUS_YR after reporting year; ","")&amp;IF(OR($G5="",$G5="Not Reported"),"GOV_TYPE not reported; ","")&amp;IF(AND(N($J5)=1,$K5="Point",N($M5)&lt;=0),"Coastal point without REP_M_AREA – land/sea split unknown; ","")&amp;IF(AND(N($J5)=0,N($S5)&gt;0),"MARINE=0 but net marine &gt;0; ","")&amp;IF(AND(N($J5)=2,N($R5)&gt;0),"MARINE=2 but net terrestrial &gt;0; ","")&amp;IF($K5="Point","Buffered point – coverage approximate; ","")))</f>
        <v/>
      </c>
    </row>
    <row r="6">
      <c r="A6" s="19" t="n">
        <v>4118</v>
      </c>
      <c r="B6" s="19" t="inlineStr">
        <is>
          <t>Djurdjura</t>
        </is>
      </c>
      <c r="C6" s="19" t="inlineStr">
        <is>
          <t>National Park</t>
        </is>
      </c>
      <c r="D6" s="19" t="inlineStr">
        <is>
          <t>National</t>
        </is>
      </c>
      <c r="E6" s="19" t="inlineStr">
        <is>
          <t>PA</t>
        </is>
      </c>
      <c r="F6" s="19" t="inlineStr">
        <is>
          <t>II</t>
        </is>
      </c>
      <c r="G6" s="19" t="inlineStr">
        <is>
          <t>Federal or national ministry or agency</t>
        </is>
      </c>
      <c r="H6" s="19" t="inlineStr">
        <is>
          <t>Designated</t>
        </is>
      </c>
      <c r="I6" s="19" t="n">
        <v>1983</v>
      </c>
      <c r="J6" s="19" t="n">
        <v>0</v>
      </c>
      <c r="K6" s="19" t="inlineStr">
        <is>
          <t>Polygon</t>
        </is>
      </c>
      <c r="L6" s="20" t="n">
        <v>185.5</v>
      </c>
      <c r="M6" s="20" t="n">
        <v>0</v>
      </c>
      <c r="N6" s="20" t="n">
        <v>202.167</v>
      </c>
      <c r="O6" s="20" t="n">
        <v>0</v>
      </c>
      <c r="P6" s="19" t="inlineStr">
        <is>
          <t>N</t>
        </is>
      </c>
      <c r="Q6" s="19" t="n"/>
      <c r="R6" s="20" t="n">
        <v>202.569</v>
      </c>
      <c r="S6" s="20" t="n">
        <v>0</v>
      </c>
      <c r="T6" s="19" t="inlineStr">
        <is>
          <t>Y</t>
        </is>
      </c>
      <c r="U6" s="19" t="inlineStr">
        <is>
          <t>METT</t>
        </is>
      </c>
      <c r="V6" s="19" t="n">
        <v>2013</v>
      </c>
      <c r="W6" s="19" t="n"/>
      <c r="X6" s="19" t="n"/>
      <c r="Y6" s="19" t="inlineStr">
        <is>
          <t>GD-PAME: Management Effectiveness Tracking Tool (METT) 2013; Biosphere Reserve Effectiveness of Management Index (BREMi) 2013 (from record 145569); Governance of Biodiversity Research Project (GOBI Survey) 2006 (from record 145569)</t>
        </is>
      </c>
      <c r="Z6" s="21">
        <f>IF(AND($A6="",$B6=""),"",IF(OR($E6="",$H6="",$H6="Proposed",$H6="Not Reported"),0,IF(AND($P6="Y",$Q6&lt;&gt;"Y"),0,IF(AND($K6="Point",N($L6)&lt;=0),0,IF(AND(N($L6)&lt;=0,N($N6)&lt;=0,N($R6)+N($S6)&lt;=0),0,1)))))</f>
        <v/>
      </c>
      <c r="AA6" s="21">
        <f>IF(AND($A6="",$B6=""),"",IF($E6="","Site type missing",IF($H6="","STATUS missing",IF($H6="Proposed","STATUS = Proposed",IF($H6="Not Reported","STATUS = Not Reported",IF(AND($P6="Y",$Q6&lt;&gt;"Y"),"UNESCO-MAB Biosphere Reserve",IF(AND($K6="Point",N($L6)&lt;=0),"Point without REP_AREA",IF(AND(N($L6)&lt;=0,N($N6)&lt;=0,N($R6)+N($S6)&lt;=0),"No area information",""))))))))</f>
        <v/>
      </c>
      <c r="AB6" s="22">
        <f>IF(AND($A6="",$B6=""),"",IF($K6="Point",N($L6),IF(N($N6)&gt;0,N($N6),N($L6))))</f>
        <v/>
      </c>
      <c r="AC6" s="22">
        <f>IF(AND($A6="",$B6=""),"",MIN(AB6,IF(N($J6)=0,0,IF(N($J6)=2,AB6,IF(AND($K6&lt;&gt;"Point",N($O6)&gt;0),N($O6),N($M6))))))</f>
        <v/>
      </c>
      <c r="AD6" s="22">
        <f>IF(AND($A6="",$B6=""),"",MAX(0,AB6-AC6))</f>
        <v/>
      </c>
      <c r="AE6" s="21">
        <f>IF(AND($A6="",$B6=""),"",IF(OR($R6&lt;&gt;"",$S6&lt;&gt;""),1,0))</f>
        <v/>
      </c>
      <c r="AF6" s="22">
        <f>IF(AND($A6="",$B6=""),"",IF(Z6=1,IF(AE6=1,N($R6),AD6),0))</f>
        <v/>
      </c>
      <c r="AG6" s="22">
        <f>IF(AND($A6="",$B6=""),"",IF(Z6=1,IF(AE6=1,N($S6),AC6),0))</f>
        <v/>
      </c>
      <c r="AH6" s="21">
        <f>IF(AND($A6="",$B6=""),"",IF(AND(ISNUMBER($I6),N($I6)&gt;0),$I6,0))</f>
        <v/>
      </c>
      <c r="AI6" s="23">
        <f>IF(AND(NOT(AND($A6="",$B6="")),$K6="Point",N($L6)&gt;0),SQRT(N($L6)/PI()),"")</f>
        <v/>
      </c>
      <c r="AJ6" s="21">
        <f>IF(AND($A6="",$B6=""),"",IFERROR(VLOOKUP($G6,Lists!$D$4:$E$15,2,FALSE),"Not reported"))</f>
        <v/>
      </c>
      <c r="AK6" s="21">
        <f>IF(AND($A6="",$B6=""),"",IF($X6&lt;&gt;"",$X6,IF($T6&lt;&gt;"Y","Not assessed",IF(AND(ISNUMBER($V6),Setup!$B$6-$V6&gt;Setup!$B$26),"Assessment outdated",IF(NOT(ISNUMBER($W6)),"Assessed – no score",IF($W6&gt;=Setup!$B$24,"High",IF($W6&gt;=Setup!$B$25,"Moderate","Low")))))))</f>
        <v/>
      </c>
      <c r="AL6" s="21">
        <f>IF(AND($A6="",$B6=""),"",IF(Z6=0,"",IF(AND(AE6=1,N($R6)&gt;AD6*1.01+0.001),"Net terrestrial &gt; gross; ","")&amp;IF(AND(AE6=1,N($S6)&gt;AC6*1.01+0.001),"Net marine &gt; gross; ","")&amp;IF(AE6=0,"No net area – gross used, overlaps may be double-counted; ","")&amp;IF(AH6=0,"STATUS_YR missing – imputed in time series; ","")&amp;IF(AND(ISNUMBER($I6),N($I6)&gt;Setup!$B$6),"STATUS_YR after reporting year; ","")&amp;IF(OR($G6="",$G6="Not Reported"),"GOV_TYPE not reported; ","")&amp;IF(AND(N($J6)=1,$K6="Point",N($M6)&lt;=0),"Coastal point without REP_M_AREA – land/sea split unknown; ","")&amp;IF(AND(N($J6)=0,N($S6)&gt;0),"MARINE=0 but net marine &gt;0; ","")&amp;IF(AND(N($J6)=2,N($R6)&gt;0),"MARINE=2 but net terrestrial &gt;0; ","")&amp;IF($K6="Point","Buffered point – coverage approximate; ","")))</f>
        <v/>
      </c>
    </row>
    <row r="7">
      <c r="A7" s="19" t="n">
        <v>9739</v>
      </c>
      <c r="B7" s="19" t="inlineStr">
        <is>
          <t>Théniet El Had</t>
        </is>
      </c>
      <c r="C7" s="19" t="inlineStr">
        <is>
          <t>National Park</t>
        </is>
      </c>
      <c r="D7" s="19" t="inlineStr">
        <is>
          <t>National</t>
        </is>
      </c>
      <c r="E7" s="19" t="inlineStr">
        <is>
          <t>PA</t>
        </is>
      </c>
      <c r="F7" s="19" t="inlineStr">
        <is>
          <t>II</t>
        </is>
      </c>
      <c r="G7" s="19" t="inlineStr">
        <is>
          <t>Federal or national ministry or agency</t>
        </is>
      </c>
      <c r="H7" s="19" t="inlineStr">
        <is>
          <t>Designated</t>
        </is>
      </c>
      <c r="I7" s="19" t="n">
        <v>1983</v>
      </c>
      <c r="J7" s="19" t="n">
        <v>0</v>
      </c>
      <c r="K7" s="19" t="inlineStr">
        <is>
          <t>Polygon</t>
        </is>
      </c>
      <c r="L7" s="20" t="n">
        <v>34.24</v>
      </c>
      <c r="M7" s="20" t="n">
        <v>0</v>
      </c>
      <c r="N7" s="20" t="n">
        <v>40.47</v>
      </c>
      <c r="O7" s="20" t="n">
        <v>0</v>
      </c>
      <c r="P7" s="19" t="inlineStr">
        <is>
          <t>N</t>
        </is>
      </c>
      <c r="Q7" s="19" t="n"/>
      <c r="R7" s="20" t="n">
        <v>40.556</v>
      </c>
      <c r="S7" s="20" t="n">
        <v>0</v>
      </c>
      <c r="T7" s="19" t="inlineStr">
        <is>
          <t>N</t>
        </is>
      </c>
      <c r="U7" s="19" t="n"/>
      <c r="V7" s="19" t="n"/>
      <c r="W7" s="19" t="n"/>
      <c r="X7" s="19" t="n"/>
      <c r="Y7" s="19" t="n"/>
      <c r="Z7" s="21">
        <f>IF(AND($A7="",$B7=""),"",IF(OR($E7="",$H7="",$H7="Proposed",$H7="Not Reported"),0,IF(AND($P7="Y",$Q7&lt;&gt;"Y"),0,IF(AND($K7="Point",N($L7)&lt;=0),0,IF(AND(N($L7)&lt;=0,N($N7)&lt;=0,N($R7)+N($S7)&lt;=0),0,1)))))</f>
        <v/>
      </c>
      <c r="AA7" s="21">
        <f>IF(AND($A7="",$B7=""),"",IF($E7="","Site type missing",IF($H7="","STATUS missing",IF($H7="Proposed","STATUS = Proposed",IF($H7="Not Reported","STATUS = Not Reported",IF(AND($P7="Y",$Q7&lt;&gt;"Y"),"UNESCO-MAB Biosphere Reserve",IF(AND($K7="Point",N($L7)&lt;=0),"Point without REP_AREA",IF(AND(N($L7)&lt;=0,N($N7)&lt;=0,N($R7)+N($S7)&lt;=0),"No area information",""))))))))</f>
        <v/>
      </c>
      <c r="AB7" s="22">
        <f>IF(AND($A7="",$B7=""),"",IF($K7="Point",N($L7),IF(N($N7)&gt;0,N($N7),N($L7))))</f>
        <v/>
      </c>
      <c r="AC7" s="22">
        <f>IF(AND($A7="",$B7=""),"",MIN(AB7,IF(N($J7)=0,0,IF(N($J7)=2,AB7,IF(AND($K7&lt;&gt;"Point",N($O7)&gt;0),N($O7),N($M7))))))</f>
        <v/>
      </c>
      <c r="AD7" s="22">
        <f>IF(AND($A7="",$B7=""),"",MAX(0,AB7-AC7))</f>
        <v/>
      </c>
      <c r="AE7" s="21">
        <f>IF(AND($A7="",$B7=""),"",IF(OR($R7&lt;&gt;"",$S7&lt;&gt;""),1,0))</f>
        <v/>
      </c>
      <c r="AF7" s="22">
        <f>IF(AND($A7="",$B7=""),"",IF(Z7=1,IF(AE7=1,N($R7),AD7),0))</f>
        <v/>
      </c>
      <c r="AG7" s="22">
        <f>IF(AND($A7="",$B7=""),"",IF(Z7=1,IF(AE7=1,N($S7),AC7),0))</f>
        <v/>
      </c>
      <c r="AH7" s="21">
        <f>IF(AND($A7="",$B7=""),"",IF(AND(ISNUMBER($I7),N($I7)&gt;0),$I7,0))</f>
        <v/>
      </c>
      <c r="AI7" s="23">
        <f>IF(AND(NOT(AND($A7="",$B7="")),$K7="Point",N($L7)&gt;0),SQRT(N($L7)/PI()),"")</f>
        <v/>
      </c>
      <c r="AJ7" s="21">
        <f>IF(AND($A7="",$B7=""),"",IFERROR(VLOOKUP($G7,Lists!$D$4:$E$15,2,FALSE),"Not reported"))</f>
        <v/>
      </c>
      <c r="AK7" s="21">
        <f>IF(AND($A7="",$B7=""),"",IF($X7&lt;&gt;"",$X7,IF($T7&lt;&gt;"Y","Not assessed",IF(AND(ISNUMBER($V7),Setup!$B$6-$V7&gt;Setup!$B$26),"Assessment outdated",IF(NOT(ISNUMBER($W7)),"Assessed – no score",IF($W7&gt;=Setup!$B$24,"High",IF($W7&gt;=Setup!$B$25,"Moderate","Low")))))))</f>
        <v/>
      </c>
      <c r="AL7" s="21">
        <f>IF(AND($A7="",$B7=""),"",IF(Z7=0,"",IF(AND(AE7=1,N($R7)&gt;AD7*1.01+0.001),"Net terrestrial &gt; gross; ","")&amp;IF(AND(AE7=1,N($S7)&gt;AC7*1.01+0.001),"Net marine &gt; gross; ","")&amp;IF(AE7=0,"No net area – gross used, overlaps may be double-counted; ","")&amp;IF(AH7=0,"STATUS_YR missing – imputed in time series; ","")&amp;IF(AND(ISNUMBER($I7),N($I7)&gt;Setup!$B$6),"STATUS_YR after reporting year; ","")&amp;IF(OR($G7="",$G7="Not Reported"),"GOV_TYPE not reported; ","")&amp;IF(AND(N($J7)=1,$K7="Point",N($M7)&lt;=0),"Coastal point without REP_M_AREA – land/sea split unknown; ","")&amp;IF(AND(N($J7)=0,N($S7)&gt;0),"MARINE=0 but net marine &gt;0; ","")&amp;IF(AND(N($J7)=2,N($R7)&gt;0),"MARINE=2 but net terrestrial &gt;0; ","")&amp;IF($K7="Point","Buffered point – coverage approximate; ","")))</f>
        <v/>
      </c>
    </row>
    <row r="8">
      <c r="A8" s="19" t="n">
        <v>9740</v>
      </c>
      <c r="B8" s="19" t="inlineStr">
        <is>
          <t>Chréa</t>
        </is>
      </c>
      <c r="C8" s="19" t="inlineStr">
        <is>
          <t>National Park</t>
        </is>
      </c>
      <c r="D8" s="19" t="inlineStr">
        <is>
          <t>National</t>
        </is>
      </c>
      <c r="E8" s="19" t="inlineStr">
        <is>
          <t>PA</t>
        </is>
      </c>
      <c r="F8" s="19" t="inlineStr">
        <is>
          <t>II</t>
        </is>
      </c>
      <c r="G8" s="19" t="inlineStr">
        <is>
          <t>Federal or national ministry or agency</t>
        </is>
      </c>
      <c r="H8" s="19" t="inlineStr">
        <is>
          <t>Designated</t>
        </is>
      </c>
      <c r="I8" s="19" t="n">
        <v>1983</v>
      </c>
      <c r="J8" s="19" t="n">
        <v>0</v>
      </c>
      <c r="K8" s="19" t="inlineStr">
        <is>
          <t>Polygon</t>
        </is>
      </c>
      <c r="L8" s="20" t="n">
        <v>265.87</v>
      </c>
      <c r="M8" s="20" t="n">
        <v>0</v>
      </c>
      <c r="N8" s="20" t="n">
        <v>276.858</v>
      </c>
      <c r="O8" s="20" t="n">
        <v>0</v>
      </c>
      <c r="P8" s="19" t="inlineStr">
        <is>
          <t>N</t>
        </is>
      </c>
      <c r="Q8" s="19" t="n"/>
      <c r="R8" s="20" t="n">
        <v>277.412</v>
      </c>
      <c r="S8" s="20" t="n">
        <v>0</v>
      </c>
      <c r="T8" s="19" t="inlineStr">
        <is>
          <t>Y</t>
        </is>
      </c>
      <c r="U8" s="19" t="inlineStr">
        <is>
          <t>Other</t>
        </is>
      </c>
      <c r="V8" s="19" t="n">
        <v>2013</v>
      </c>
      <c r="W8" s="19" t="n"/>
      <c r="X8" s="19" t="n"/>
      <c r="Y8" s="19" t="inlineStr">
        <is>
          <t>GD-PAME: Biosphere Reserve Effectiveness of Management Index (BREMi) 2013 (from record 900713)</t>
        </is>
      </c>
      <c r="Z8" s="21">
        <f>IF(AND($A8="",$B8=""),"",IF(OR($E8="",$H8="",$H8="Proposed",$H8="Not Reported"),0,IF(AND($P8="Y",$Q8&lt;&gt;"Y"),0,IF(AND($K8="Point",N($L8)&lt;=0),0,IF(AND(N($L8)&lt;=0,N($N8)&lt;=0,N($R8)+N($S8)&lt;=0),0,1)))))</f>
        <v/>
      </c>
      <c r="AA8" s="21">
        <f>IF(AND($A8="",$B8=""),"",IF($E8="","Site type missing",IF($H8="","STATUS missing",IF($H8="Proposed","STATUS = Proposed",IF($H8="Not Reported","STATUS = Not Reported",IF(AND($P8="Y",$Q8&lt;&gt;"Y"),"UNESCO-MAB Biosphere Reserve",IF(AND($K8="Point",N($L8)&lt;=0),"Point without REP_AREA",IF(AND(N($L8)&lt;=0,N($N8)&lt;=0,N($R8)+N($S8)&lt;=0),"No area information",""))))))))</f>
        <v/>
      </c>
      <c r="AB8" s="22">
        <f>IF(AND($A8="",$B8=""),"",IF($K8="Point",N($L8),IF(N($N8)&gt;0,N($N8),N($L8))))</f>
        <v/>
      </c>
      <c r="AC8" s="22">
        <f>IF(AND($A8="",$B8=""),"",MIN(AB8,IF(N($J8)=0,0,IF(N($J8)=2,AB8,IF(AND($K8&lt;&gt;"Point",N($O8)&gt;0),N($O8),N($M8))))))</f>
        <v/>
      </c>
      <c r="AD8" s="22">
        <f>IF(AND($A8="",$B8=""),"",MAX(0,AB8-AC8))</f>
        <v/>
      </c>
      <c r="AE8" s="21">
        <f>IF(AND($A8="",$B8=""),"",IF(OR($R8&lt;&gt;"",$S8&lt;&gt;""),1,0))</f>
        <v/>
      </c>
      <c r="AF8" s="22">
        <f>IF(AND($A8="",$B8=""),"",IF(Z8=1,IF(AE8=1,N($R8),AD8),0))</f>
        <v/>
      </c>
      <c r="AG8" s="22">
        <f>IF(AND($A8="",$B8=""),"",IF(Z8=1,IF(AE8=1,N($S8),AC8),0))</f>
        <v/>
      </c>
      <c r="AH8" s="21">
        <f>IF(AND($A8="",$B8=""),"",IF(AND(ISNUMBER($I8),N($I8)&gt;0),$I8,0))</f>
        <v/>
      </c>
      <c r="AI8" s="23">
        <f>IF(AND(NOT(AND($A8="",$B8="")),$K8="Point",N($L8)&gt;0),SQRT(N($L8)/PI()),"")</f>
        <v/>
      </c>
      <c r="AJ8" s="21">
        <f>IF(AND($A8="",$B8=""),"",IFERROR(VLOOKUP($G8,Lists!$D$4:$E$15,2,FALSE),"Not reported"))</f>
        <v/>
      </c>
      <c r="AK8" s="21">
        <f>IF(AND($A8="",$B8=""),"",IF($X8&lt;&gt;"",$X8,IF($T8&lt;&gt;"Y","Not assessed",IF(AND(ISNUMBER($V8),Setup!$B$6-$V8&gt;Setup!$B$26),"Assessment outdated",IF(NOT(ISNUMBER($W8)),"Assessed – no score",IF($W8&gt;=Setup!$B$24,"High",IF($W8&gt;=Setup!$B$25,"Moderate","Low")))))))</f>
        <v/>
      </c>
      <c r="AL8" s="21">
        <f>IF(AND($A8="",$B8=""),"",IF(Z8=0,"",IF(AND(AE8=1,N($R8)&gt;AD8*1.01+0.001),"Net terrestrial &gt; gross; ","")&amp;IF(AND(AE8=1,N($S8)&gt;AC8*1.01+0.001),"Net marine &gt; gross; ","")&amp;IF(AE8=0,"No net area – gross used, overlaps may be double-counted; ","")&amp;IF(AH8=0,"STATUS_YR missing – imputed in time series; ","")&amp;IF(AND(ISNUMBER($I8),N($I8)&gt;Setup!$B$6),"STATUS_YR after reporting year; ","")&amp;IF(OR($G8="",$G8="Not Reported"),"GOV_TYPE not reported; ","")&amp;IF(AND(N($J8)=1,$K8="Point",N($M8)&lt;=0),"Coastal point without REP_M_AREA – land/sea split unknown; ","")&amp;IF(AND(N($J8)=0,N($S8)&gt;0),"MARINE=0 but net marine &gt;0; ","")&amp;IF(AND(N($J8)=2,N($R8)&gt;0),"MARINE=2 but net terrestrial &gt;0; ","")&amp;IF($K8="Point","Buffered point – coverage approximate; ","")))</f>
        <v/>
      </c>
    </row>
    <row r="9">
      <c r="A9" s="19" t="n">
        <v>9741</v>
      </c>
      <c r="B9" s="19" t="inlineStr">
        <is>
          <t>El Kala</t>
        </is>
      </c>
      <c r="C9" s="19" t="inlineStr">
        <is>
          <t>National Park</t>
        </is>
      </c>
      <c r="D9" s="19" t="inlineStr">
        <is>
          <t>National</t>
        </is>
      </c>
      <c r="E9" s="19" t="inlineStr">
        <is>
          <t>PA</t>
        </is>
      </c>
      <c r="F9" s="19" t="inlineStr">
        <is>
          <t>II</t>
        </is>
      </c>
      <c r="G9" s="19" t="inlineStr">
        <is>
          <t>Federal or national ministry or agency</t>
        </is>
      </c>
      <c r="H9" s="19" t="inlineStr">
        <is>
          <t>Designated</t>
        </is>
      </c>
      <c r="I9" s="19" t="n">
        <v>1983</v>
      </c>
      <c r="J9" s="19" t="n">
        <v>0</v>
      </c>
      <c r="K9" s="19" t="inlineStr">
        <is>
          <t>Polygon</t>
        </is>
      </c>
      <c r="L9" s="20" t="n">
        <v>764.38</v>
      </c>
      <c r="M9" s="20" t="n">
        <v>32.09</v>
      </c>
      <c r="N9" s="20" t="n">
        <v>776.954</v>
      </c>
      <c r="O9" s="20" t="n">
        <v>0.8159999999999999</v>
      </c>
      <c r="P9" s="19" t="inlineStr">
        <is>
          <t>N</t>
        </is>
      </c>
      <c r="Q9" s="19" t="n"/>
      <c r="R9" s="20" t="n">
        <v>772.875</v>
      </c>
      <c r="S9" s="20" t="n">
        <v>0.542</v>
      </c>
      <c r="T9" s="19" t="inlineStr">
        <is>
          <t>Y</t>
        </is>
      </c>
      <c r="U9" s="19" t="inlineStr">
        <is>
          <t>Other</t>
        </is>
      </c>
      <c r="V9" s="19" t="n">
        <v>2013</v>
      </c>
      <c r="W9" s="19" t="n"/>
      <c r="X9" s="19" t="n"/>
      <c r="Y9" s="19" t="inlineStr">
        <is>
          <t>GD-PAME: Biosphere Reserve Effectiveness of Management Index (BREMi) 2013 (from record 26620)</t>
        </is>
      </c>
      <c r="Z9" s="21">
        <f>IF(AND($A9="",$B9=""),"",IF(OR($E9="",$H9="",$H9="Proposed",$H9="Not Reported"),0,IF(AND($P9="Y",$Q9&lt;&gt;"Y"),0,IF(AND($K9="Point",N($L9)&lt;=0),0,IF(AND(N($L9)&lt;=0,N($N9)&lt;=0,N($R9)+N($S9)&lt;=0),0,1)))))</f>
        <v/>
      </c>
      <c r="AA9" s="21">
        <f>IF(AND($A9="",$B9=""),"",IF($E9="","Site type missing",IF($H9="","STATUS missing",IF($H9="Proposed","STATUS = Proposed",IF($H9="Not Reported","STATUS = Not Reported",IF(AND($P9="Y",$Q9&lt;&gt;"Y"),"UNESCO-MAB Biosphere Reserve",IF(AND($K9="Point",N($L9)&lt;=0),"Point without REP_AREA",IF(AND(N($L9)&lt;=0,N($N9)&lt;=0,N($R9)+N($S9)&lt;=0),"No area information",""))))))))</f>
        <v/>
      </c>
      <c r="AB9" s="22">
        <f>IF(AND($A9="",$B9=""),"",IF($K9="Point",N($L9),IF(N($N9)&gt;0,N($N9),N($L9))))</f>
        <v/>
      </c>
      <c r="AC9" s="22">
        <f>IF(AND($A9="",$B9=""),"",MIN(AB9,IF(N($J9)=0,0,IF(N($J9)=2,AB9,IF(AND($K9&lt;&gt;"Point",N($O9)&gt;0),N($O9),N($M9))))))</f>
        <v/>
      </c>
      <c r="AD9" s="22">
        <f>IF(AND($A9="",$B9=""),"",MAX(0,AB9-AC9))</f>
        <v/>
      </c>
      <c r="AE9" s="21">
        <f>IF(AND($A9="",$B9=""),"",IF(OR($R9&lt;&gt;"",$S9&lt;&gt;""),1,0))</f>
        <v/>
      </c>
      <c r="AF9" s="22">
        <f>IF(AND($A9="",$B9=""),"",IF(Z9=1,IF(AE9=1,N($R9),AD9),0))</f>
        <v/>
      </c>
      <c r="AG9" s="22">
        <f>IF(AND($A9="",$B9=""),"",IF(Z9=1,IF(AE9=1,N($S9),AC9),0))</f>
        <v/>
      </c>
      <c r="AH9" s="21">
        <f>IF(AND($A9="",$B9=""),"",IF(AND(ISNUMBER($I9),N($I9)&gt;0),$I9,0))</f>
        <v/>
      </c>
      <c r="AI9" s="23">
        <f>IF(AND(NOT(AND($A9="",$B9="")),$K9="Point",N($L9)&gt;0),SQRT(N($L9)/PI()),"")</f>
        <v/>
      </c>
      <c r="AJ9" s="21">
        <f>IF(AND($A9="",$B9=""),"",IFERROR(VLOOKUP($G9,Lists!$D$4:$E$15,2,FALSE),"Not reported"))</f>
        <v/>
      </c>
      <c r="AK9" s="21">
        <f>IF(AND($A9="",$B9=""),"",IF($X9&lt;&gt;"",$X9,IF($T9&lt;&gt;"Y","Not assessed",IF(AND(ISNUMBER($V9),Setup!$B$6-$V9&gt;Setup!$B$26),"Assessment outdated",IF(NOT(ISNUMBER($W9)),"Assessed – no score",IF($W9&gt;=Setup!$B$24,"High",IF($W9&gt;=Setup!$B$25,"Moderate","Low")))))))</f>
        <v/>
      </c>
      <c r="AL9" s="21">
        <f>IF(AND($A9="",$B9=""),"",IF(Z9=0,"",IF(AND(AE9=1,N($R9)&gt;AD9*1.01+0.001),"Net terrestrial &gt; gross; ","")&amp;IF(AND(AE9=1,N($S9)&gt;AC9*1.01+0.001),"Net marine &gt; gross; ","")&amp;IF(AE9=0,"No net area – gross used, overlaps may be double-counted; ","")&amp;IF(AH9=0,"STATUS_YR missing – imputed in time series; ","")&amp;IF(AND(ISNUMBER($I9),N($I9)&gt;Setup!$B$6),"STATUS_YR after reporting year; ","")&amp;IF(OR($G9="",$G9="Not Reported"),"GOV_TYPE not reported; ","")&amp;IF(AND(N($J9)=1,$K9="Point",N($M9)&lt;=0),"Coastal point without REP_M_AREA – land/sea split unknown; ","")&amp;IF(AND(N($J9)=0,N($S9)&gt;0),"MARINE=0 but net marine &gt;0; ","")&amp;IF(AND(N($J9)=2,N($R9)&gt;0),"MARINE=2 but net terrestrial &gt;0; ","")&amp;IF($K9="Point","Buffered point – coverage approximate; ","")))</f>
        <v/>
      </c>
    </row>
    <row r="10">
      <c r="A10" s="19" t="n">
        <v>17706</v>
      </c>
      <c r="B10" s="19" t="inlineStr">
        <is>
          <t>Réserve Intégrale du Lac Oubeïra</t>
        </is>
      </c>
      <c r="C10" s="19" t="inlineStr">
        <is>
          <t>Wetland of International Importance (Ramsar Site)</t>
        </is>
      </c>
      <c r="D10" s="19" t="inlineStr">
        <is>
          <t>International</t>
        </is>
      </c>
      <c r="E10" s="19" t="inlineStr">
        <is>
          <t>PA</t>
        </is>
      </c>
      <c r="F10" s="19" t="inlineStr">
        <is>
          <t>Not Reported</t>
        </is>
      </c>
      <c r="G10" s="19" t="inlineStr">
        <is>
          <t>Federal or national ministry or agency</t>
        </is>
      </c>
      <c r="H10" s="19" t="inlineStr">
        <is>
          <t>Designated</t>
        </is>
      </c>
      <c r="I10" s="19" t="n">
        <v>1983</v>
      </c>
      <c r="J10" s="19" t="n">
        <v>0</v>
      </c>
      <c r="K10" s="19" t="inlineStr">
        <is>
          <t>Polygon</t>
        </is>
      </c>
      <c r="L10" s="20" t="n">
        <v>22</v>
      </c>
      <c r="M10" s="20" t="n">
        <v>0</v>
      </c>
      <c r="N10" s="20" t="n">
        <v>24.051</v>
      </c>
      <c r="O10" s="20" t="n">
        <v>0</v>
      </c>
      <c r="P10" s="19" t="inlineStr">
        <is>
          <t>N</t>
        </is>
      </c>
      <c r="Q10" s="19" t="n"/>
      <c r="R10" s="20" t="n">
        <v>0</v>
      </c>
      <c r="S10" s="20" t="n">
        <v>0</v>
      </c>
      <c r="T10" s="19" t="inlineStr">
        <is>
          <t>Y</t>
        </is>
      </c>
      <c r="U10" s="19" t="inlineStr">
        <is>
          <t>Other</t>
        </is>
      </c>
      <c r="V10" s="19" t="n">
        <v>2001</v>
      </c>
      <c r="W10" s="19" t="n"/>
      <c r="X10" s="19" t="n"/>
      <c r="Y10" s="19" t="inlineStr">
        <is>
          <t>GD-PAME: Birdlife Important Bird and Biodiversity Area Monitoring (Birdlife IBA) 2001; Overlap attributed to earlier site</t>
        </is>
      </c>
      <c r="Z10" s="21">
        <f>IF(AND($A10="",$B10=""),"",IF(OR($E10="",$H10="",$H10="Proposed",$H10="Not Reported"),0,IF(AND($P10="Y",$Q10&lt;&gt;"Y"),0,IF(AND($K10="Point",N($L10)&lt;=0),0,IF(AND(N($L10)&lt;=0,N($N10)&lt;=0,N($R10)+N($S10)&lt;=0),0,1)))))</f>
        <v/>
      </c>
      <c r="AA10" s="21">
        <f>IF(AND($A10="",$B10=""),"",IF($E10="","Site type missing",IF($H10="","STATUS missing",IF($H10="Proposed","STATUS = Proposed",IF($H10="Not Reported","STATUS = Not Reported",IF(AND($P10="Y",$Q10&lt;&gt;"Y"),"UNESCO-MAB Biosphere Reserve",IF(AND($K10="Point",N($L10)&lt;=0),"Point without REP_AREA",IF(AND(N($L10)&lt;=0,N($N10)&lt;=0,N($R10)+N($S10)&lt;=0),"No area information",""))))))))</f>
        <v/>
      </c>
      <c r="AB10" s="22">
        <f>IF(AND($A10="",$B10=""),"",IF($K10="Point",N($L10),IF(N($N10)&gt;0,N($N10),N($L10))))</f>
        <v/>
      </c>
      <c r="AC10" s="22">
        <f>IF(AND($A10="",$B10=""),"",MIN(AB10,IF(N($J10)=0,0,IF(N($J10)=2,AB10,IF(AND($K10&lt;&gt;"Point",N($O10)&gt;0),N($O10),N($M10))))))</f>
        <v/>
      </c>
      <c r="AD10" s="22">
        <f>IF(AND($A10="",$B10=""),"",MAX(0,AB10-AC10))</f>
        <v/>
      </c>
      <c r="AE10" s="21">
        <f>IF(AND($A10="",$B10=""),"",IF(OR($R10&lt;&gt;"",$S10&lt;&gt;""),1,0))</f>
        <v/>
      </c>
      <c r="AF10" s="22">
        <f>IF(AND($A10="",$B10=""),"",IF(Z10=1,IF(AE10=1,N($R10),AD10),0))</f>
        <v/>
      </c>
      <c r="AG10" s="22">
        <f>IF(AND($A10="",$B10=""),"",IF(Z10=1,IF(AE10=1,N($S10),AC10),0))</f>
        <v/>
      </c>
      <c r="AH10" s="21">
        <f>IF(AND($A10="",$B10=""),"",IF(AND(ISNUMBER($I10),N($I10)&gt;0),$I10,0))</f>
        <v/>
      </c>
      <c r="AI10" s="23">
        <f>IF(AND(NOT(AND($A10="",$B10="")),$K10="Point",N($L10)&gt;0),SQRT(N($L10)/PI()),"")</f>
        <v/>
      </c>
      <c r="AJ10" s="21">
        <f>IF(AND($A10="",$B10=""),"",IFERROR(VLOOKUP($G10,Lists!$D$4:$E$15,2,FALSE),"Not reported"))</f>
        <v/>
      </c>
      <c r="AK10" s="21">
        <f>IF(AND($A10="",$B10=""),"",IF($X10&lt;&gt;"",$X10,IF($T10&lt;&gt;"Y","Not assessed",IF(AND(ISNUMBER($V10),Setup!$B$6-$V10&gt;Setup!$B$26),"Assessment outdated",IF(NOT(ISNUMBER($W10)),"Assessed – no score",IF($W10&gt;=Setup!$B$24,"High",IF($W10&gt;=Setup!$B$25,"Moderate","Low")))))))</f>
        <v/>
      </c>
      <c r="AL10" s="21">
        <f>IF(AND($A10="",$B10=""),"",IF(Z10=0,"",IF(AND(AE10=1,N($R10)&gt;AD10*1.01+0.001),"Net terrestrial &gt; gross; ","")&amp;IF(AND(AE10=1,N($S10)&gt;AC10*1.01+0.001),"Net marine &gt; gross; ","")&amp;IF(AE10=0,"No net area – gross used, overlaps may be double-counted; ","")&amp;IF(AH10=0,"STATUS_YR missing – imputed in time series; ","")&amp;IF(AND(ISNUMBER($I10),N($I10)&gt;Setup!$B$6),"STATUS_YR after reporting year; ","")&amp;IF(OR($G10="",$G10="Not Reported"),"GOV_TYPE not reported; ","")&amp;IF(AND(N($J10)=1,$K10="Point",N($M10)&lt;=0),"Coastal point without REP_M_AREA – land/sea split unknown; ","")&amp;IF(AND(N($J10)=0,N($S10)&gt;0),"MARINE=0 but net marine &gt;0; ","")&amp;IF(AND(N($J10)=2,N($R10)&gt;0),"MARINE=2 but net terrestrial &gt;0; ","")&amp;IF($K10="Point","Buffered point – coverage approximate; ","")))</f>
        <v/>
      </c>
    </row>
    <row r="11">
      <c r="A11" s="19" t="n">
        <v>67756</v>
      </c>
      <c r="B11" s="19" t="inlineStr">
        <is>
          <t>Réserve Intégrale du Lac Tonga</t>
        </is>
      </c>
      <c r="C11" s="19" t="inlineStr">
        <is>
          <t>Wetland of International Importance (Ramsar Site)</t>
        </is>
      </c>
      <c r="D11" s="19" t="inlineStr">
        <is>
          <t>International</t>
        </is>
      </c>
      <c r="E11" s="19" t="inlineStr">
        <is>
          <t>PA</t>
        </is>
      </c>
      <c r="F11" s="19" t="inlineStr">
        <is>
          <t>Not Reported</t>
        </is>
      </c>
      <c r="G11" s="19" t="inlineStr">
        <is>
          <t>Federal or national ministry or agency</t>
        </is>
      </c>
      <c r="H11" s="19" t="inlineStr">
        <is>
          <t>Designated</t>
        </is>
      </c>
      <c r="I11" s="19" t="n">
        <v>1983</v>
      </c>
      <c r="J11" s="19" t="n">
        <v>0</v>
      </c>
      <c r="K11" s="19" t="inlineStr">
        <is>
          <t>Polygon</t>
        </is>
      </c>
      <c r="L11" s="20" t="n">
        <v>27</v>
      </c>
      <c r="M11" s="20" t="n">
        <v>0</v>
      </c>
      <c r="N11" s="20" t="n">
        <v>52.833</v>
      </c>
      <c r="O11" s="20" t="n">
        <v>0.148</v>
      </c>
      <c r="P11" s="19" t="inlineStr">
        <is>
          <t>N</t>
        </is>
      </c>
      <c r="Q11" s="19" t="n"/>
      <c r="R11" s="20" t="n">
        <v>0.098</v>
      </c>
      <c r="S11" s="20" t="n">
        <v>0.109</v>
      </c>
      <c r="T11" s="19" t="inlineStr">
        <is>
          <t>Y</t>
        </is>
      </c>
      <c r="U11" s="19" t="inlineStr">
        <is>
          <t>Other</t>
        </is>
      </c>
      <c r="V11" s="19" t="n">
        <v>2001</v>
      </c>
      <c r="W11" s="19" t="n"/>
      <c r="X11" s="19" t="n"/>
      <c r="Y11" s="19" t="inlineStr">
        <is>
          <t>GD-PAME: Birdlife Important Bird and Biodiversity Area Monitoring (Birdlife IBA) 2001; Overlap attributed to earlier site</t>
        </is>
      </c>
      <c r="Z11" s="21">
        <f>IF(AND($A11="",$B11=""),"",IF(OR($E11="",$H11="",$H11="Proposed",$H11="Not Reported"),0,IF(AND($P11="Y",$Q11&lt;&gt;"Y"),0,IF(AND($K11="Point",N($L11)&lt;=0),0,IF(AND(N($L11)&lt;=0,N($N11)&lt;=0,N($R11)+N($S11)&lt;=0),0,1)))))</f>
        <v/>
      </c>
      <c r="AA11" s="21">
        <f>IF(AND($A11="",$B11=""),"",IF($E11="","Site type missing",IF($H11="","STATUS missing",IF($H11="Proposed","STATUS = Proposed",IF($H11="Not Reported","STATUS = Not Reported",IF(AND($P11="Y",$Q11&lt;&gt;"Y"),"UNESCO-MAB Biosphere Reserve",IF(AND($K11="Point",N($L11)&lt;=0),"Point without REP_AREA",IF(AND(N($L11)&lt;=0,N($N11)&lt;=0,N($R11)+N($S11)&lt;=0),"No area information",""))))))))</f>
        <v/>
      </c>
      <c r="AB11" s="22">
        <f>IF(AND($A11="",$B11=""),"",IF($K11="Point",N($L11),IF(N($N11)&gt;0,N($N11),N($L11))))</f>
        <v/>
      </c>
      <c r="AC11" s="22">
        <f>IF(AND($A11="",$B11=""),"",MIN(AB11,IF(N($J11)=0,0,IF(N($J11)=2,AB11,IF(AND($K11&lt;&gt;"Point",N($O11)&gt;0),N($O11),N($M11))))))</f>
        <v/>
      </c>
      <c r="AD11" s="22">
        <f>IF(AND($A11="",$B11=""),"",MAX(0,AB11-AC11))</f>
        <v/>
      </c>
      <c r="AE11" s="21">
        <f>IF(AND($A11="",$B11=""),"",IF(OR($R11&lt;&gt;"",$S11&lt;&gt;""),1,0))</f>
        <v/>
      </c>
      <c r="AF11" s="22">
        <f>IF(AND($A11="",$B11=""),"",IF(Z11=1,IF(AE11=1,N($R11),AD11),0))</f>
        <v/>
      </c>
      <c r="AG11" s="22">
        <f>IF(AND($A11="",$B11=""),"",IF(Z11=1,IF(AE11=1,N($S11),AC11),0))</f>
        <v/>
      </c>
      <c r="AH11" s="21">
        <f>IF(AND($A11="",$B11=""),"",IF(AND(ISNUMBER($I11),N($I11)&gt;0),$I11,0))</f>
        <v/>
      </c>
      <c r="AI11" s="23">
        <f>IF(AND(NOT(AND($A11="",$B11="")),$K11="Point",N($L11)&gt;0),SQRT(N($L11)/PI()),"")</f>
        <v/>
      </c>
      <c r="AJ11" s="21">
        <f>IF(AND($A11="",$B11=""),"",IFERROR(VLOOKUP($G11,Lists!$D$4:$E$15,2,FALSE),"Not reported"))</f>
        <v/>
      </c>
      <c r="AK11" s="21">
        <f>IF(AND($A11="",$B11=""),"",IF($X11&lt;&gt;"",$X11,IF($T11&lt;&gt;"Y","Not assessed",IF(AND(ISNUMBER($V11),Setup!$B$6-$V11&gt;Setup!$B$26),"Assessment outdated",IF(NOT(ISNUMBER($W11)),"Assessed – no score",IF($W11&gt;=Setup!$B$24,"High",IF($W11&gt;=Setup!$B$25,"Moderate","Low")))))))</f>
        <v/>
      </c>
      <c r="AL11" s="21">
        <f>IF(AND($A11="",$B11=""),"",IF(Z11=0,"",IF(AND(AE11=1,N($R11)&gt;AD11*1.01+0.001),"Net terrestrial &gt; gross; ","")&amp;IF(AND(AE11=1,N($S11)&gt;AC11*1.01+0.001),"Net marine &gt; gross; ","")&amp;IF(AE11=0,"No net area – gross used, overlaps may be double-counted; ","")&amp;IF(AH11=0,"STATUS_YR missing – imputed in time series; ","")&amp;IF(AND(ISNUMBER($I11),N($I11)&gt;Setup!$B$6),"STATUS_YR after reporting year; ","")&amp;IF(OR($G11="",$G11="Not Reported"),"GOV_TYPE not reported; ","")&amp;IF(AND(N($J11)=1,$K11="Point",N($M11)&lt;=0),"Coastal point without REP_M_AREA – land/sea split unknown; ","")&amp;IF(AND(N($J11)=0,N($S11)&gt;0),"MARINE=0 but net marine &gt;0; ","")&amp;IF(AND(N($J11)=2,N($R11)&gt;0),"MARINE=2 but net terrestrial &gt;0; ","")&amp;IF($K11="Point","Buffered point – coverage approximate; ","")))</f>
        <v/>
      </c>
    </row>
    <row r="12">
      <c r="A12" s="19" t="n">
        <v>9742</v>
      </c>
      <c r="B12" s="19" t="inlineStr">
        <is>
          <t>Belezma</t>
        </is>
      </c>
      <c r="C12" s="19" t="inlineStr">
        <is>
          <t>National Park</t>
        </is>
      </c>
      <c r="D12" s="19" t="inlineStr">
        <is>
          <t>National</t>
        </is>
      </c>
      <c r="E12" s="19" t="inlineStr">
        <is>
          <t>PA</t>
        </is>
      </c>
      <c r="F12" s="19" t="inlineStr">
        <is>
          <t>II</t>
        </is>
      </c>
      <c r="G12" s="19" t="inlineStr">
        <is>
          <t>Federal or national ministry or agency</t>
        </is>
      </c>
      <c r="H12" s="19" t="inlineStr">
        <is>
          <t>Designated</t>
        </is>
      </c>
      <c r="I12" s="19" t="n">
        <v>1984</v>
      </c>
      <c r="J12" s="19" t="n">
        <v>0</v>
      </c>
      <c r="K12" s="19" t="inlineStr">
        <is>
          <t>Polygon</t>
        </is>
      </c>
      <c r="L12" s="20" t="n">
        <v>262.5</v>
      </c>
      <c r="M12" s="20" t="n">
        <v>0</v>
      </c>
      <c r="N12" s="20" t="n">
        <v>272.123</v>
      </c>
      <c r="O12" s="20" t="n">
        <v>0</v>
      </c>
      <c r="P12" s="19" t="inlineStr">
        <is>
          <t>N</t>
        </is>
      </c>
      <c r="Q12" s="19" t="n"/>
      <c r="R12" s="20" t="n">
        <v>272.716</v>
      </c>
      <c r="S12" s="20" t="n">
        <v>0</v>
      </c>
      <c r="T12" s="19" t="inlineStr">
        <is>
          <t>N</t>
        </is>
      </c>
      <c r="U12" s="19" t="n"/>
      <c r="V12" s="19" t="n"/>
      <c r="W12" s="19" t="n"/>
      <c r="X12" s="19" t="n"/>
      <c r="Y12" s="19" t="n"/>
      <c r="Z12" s="21">
        <f>IF(AND($A12="",$B12=""),"",IF(OR($E12="",$H12="",$H12="Proposed",$H12="Not Reported"),0,IF(AND($P12="Y",$Q12&lt;&gt;"Y"),0,IF(AND($K12="Point",N($L12)&lt;=0),0,IF(AND(N($L12)&lt;=0,N($N12)&lt;=0,N($R12)+N($S12)&lt;=0),0,1)))))</f>
        <v/>
      </c>
      <c r="AA12" s="21">
        <f>IF(AND($A12="",$B12=""),"",IF($E12="","Site type missing",IF($H12="","STATUS missing",IF($H12="Proposed","STATUS = Proposed",IF($H12="Not Reported","STATUS = Not Reported",IF(AND($P12="Y",$Q12&lt;&gt;"Y"),"UNESCO-MAB Biosphere Reserve",IF(AND($K12="Point",N($L12)&lt;=0),"Point without REP_AREA",IF(AND(N($L12)&lt;=0,N($N12)&lt;=0,N($R12)+N($S12)&lt;=0),"No area information",""))))))))</f>
        <v/>
      </c>
      <c r="AB12" s="22">
        <f>IF(AND($A12="",$B12=""),"",IF($K12="Point",N($L12),IF(N($N12)&gt;0,N($N12),N($L12))))</f>
        <v/>
      </c>
      <c r="AC12" s="22">
        <f>IF(AND($A12="",$B12=""),"",MIN(AB12,IF(N($J12)=0,0,IF(N($J12)=2,AB12,IF(AND($K12&lt;&gt;"Point",N($O12)&gt;0),N($O12),N($M12))))))</f>
        <v/>
      </c>
      <c r="AD12" s="22">
        <f>IF(AND($A12="",$B12=""),"",MAX(0,AB12-AC12))</f>
        <v/>
      </c>
      <c r="AE12" s="21">
        <f>IF(AND($A12="",$B12=""),"",IF(OR($R12&lt;&gt;"",$S12&lt;&gt;""),1,0))</f>
        <v/>
      </c>
      <c r="AF12" s="22">
        <f>IF(AND($A12="",$B12=""),"",IF(Z12=1,IF(AE12=1,N($R12),AD12),0))</f>
        <v/>
      </c>
      <c r="AG12" s="22">
        <f>IF(AND($A12="",$B12=""),"",IF(Z12=1,IF(AE12=1,N($S12),AC12),0))</f>
        <v/>
      </c>
      <c r="AH12" s="21">
        <f>IF(AND($A12="",$B12=""),"",IF(AND(ISNUMBER($I12),N($I12)&gt;0),$I12,0))</f>
        <v/>
      </c>
      <c r="AI12" s="23">
        <f>IF(AND(NOT(AND($A12="",$B12="")),$K12="Point",N($L12)&gt;0),SQRT(N($L12)/PI()),"")</f>
        <v/>
      </c>
      <c r="AJ12" s="21">
        <f>IF(AND($A12="",$B12=""),"",IFERROR(VLOOKUP($G12,Lists!$D$4:$E$15,2,FALSE),"Not reported"))</f>
        <v/>
      </c>
      <c r="AK12" s="21">
        <f>IF(AND($A12="",$B12=""),"",IF($X12&lt;&gt;"",$X12,IF($T12&lt;&gt;"Y","Not assessed",IF(AND(ISNUMBER($V12),Setup!$B$6-$V12&gt;Setup!$B$26),"Assessment outdated",IF(NOT(ISNUMBER($W12)),"Assessed – no score",IF($W12&gt;=Setup!$B$24,"High",IF($W12&gt;=Setup!$B$25,"Moderate","Low")))))))</f>
        <v/>
      </c>
      <c r="AL12" s="21">
        <f>IF(AND($A12="",$B12=""),"",IF(Z12=0,"",IF(AND(AE12=1,N($R12)&gt;AD12*1.01+0.001),"Net terrestrial &gt; gross; ","")&amp;IF(AND(AE12=1,N($S12)&gt;AC12*1.01+0.001),"Net marine &gt; gross; ","")&amp;IF(AE12=0,"No net area – gross used, overlaps may be double-counted; ","")&amp;IF(AH12=0,"STATUS_YR missing – imputed in time series; ","")&amp;IF(AND(ISNUMBER($I12),N($I12)&gt;Setup!$B$6),"STATUS_YR after reporting year; ","")&amp;IF(OR($G12="",$G12="Not Reported"),"GOV_TYPE not reported; ","")&amp;IF(AND(N($J12)=1,$K12="Point",N($M12)&lt;=0),"Coastal point without REP_M_AREA – land/sea split unknown; ","")&amp;IF(AND(N($J12)=0,N($S12)&gt;0),"MARINE=0 but net marine &gt;0; ","")&amp;IF(AND(N($J12)=2,N($R12)&gt;0),"MARINE=2 but net terrestrial &gt;0; ","")&amp;IF($K12="Point","Buffered point – coverage approximate; ","")))</f>
        <v/>
      </c>
    </row>
    <row r="13">
      <c r="A13" s="19" t="n">
        <v>9743</v>
      </c>
      <c r="B13" s="19" t="inlineStr">
        <is>
          <t>Taza</t>
        </is>
      </c>
      <c r="C13" s="19" t="inlineStr">
        <is>
          <t>National Park</t>
        </is>
      </c>
      <c r="D13" s="19" t="inlineStr">
        <is>
          <t>National</t>
        </is>
      </c>
      <c r="E13" s="19" t="inlineStr">
        <is>
          <t>PA</t>
        </is>
      </c>
      <c r="F13" s="19" t="inlineStr">
        <is>
          <t>II</t>
        </is>
      </c>
      <c r="G13" s="19" t="inlineStr">
        <is>
          <t>Federal or national ministry or agency</t>
        </is>
      </c>
      <c r="H13" s="19" t="inlineStr">
        <is>
          <t>Designated</t>
        </is>
      </c>
      <c r="I13" s="19" t="n">
        <v>1984</v>
      </c>
      <c r="J13" s="19" t="n">
        <v>0</v>
      </c>
      <c r="K13" s="19" t="inlineStr">
        <is>
          <t>Polygon</t>
        </is>
      </c>
      <c r="L13" s="20" t="n">
        <v>38.07</v>
      </c>
      <c r="M13" s="20" t="n">
        <v>8.970000000000001</v>
      </c>
      <c r="N13" s="20" t="n">
        <v>41.155</v>
      </c>
      <c r="O13" s="20" t="n">
        <v>0.502</v>
      </c>
      <c r="P13" s="19" t="inlineStr">
        <is>
          <t>N</t>
        </is>
      </c>
      <c r="Q13" s="19" t="n"/>
      <c r="R13" s="20" t="n">
        <v>41.069</v>
      </c>
      <c r="S13" s="20" t="n">
        <v>0.165</v>
      </c>
      <c r="T13" s="19" t="inlineStr">
        <is>
          <t>Y</t>
        </is>
      </c>
      <c r="U13" s="19" t="inlineStr">
        <is>
          <t>Other</t>
        </is>
      </c>
      <c r="V13" s="19" t="n">
        <v>2013</v>
      </c>
      <c r="W13" s="19" t="n"/>
      <c r="X13" s="19" t="n"/>
      <c r="Y13" s="19" t="inlineStr">
        <is>
          <t>GD-PAME: Biosphere Reserve Effectiveness of Management Index (BREMi) 2013 (from record 902530); Governance of Biodiversity Research Project (GOBI Survey) 2006 (from record 902530)</t>
        </is>
      </c>
      <c r="Z13" s="21">
        <f>IF(AND($A13="",$B13=""),"",IF(OR($E13="",$H13="",$H13="Proposed",$H13="Not Reported"),0,IF(AND($P13="Y",$Q13&lt;&gt;"Y"),0,IF(AND($K13="Point",N($L13)&lt;=0),0,IF(AND(N($L13)&lt;=0,N($N13)&lt;=0,N($R13)+N($S13)&lt;=0),0,1)))))</f>
        <v/>
      </c>
      <c r="AA13" s="21">
        <f>IF(AND($A13="",$B13=""),"",IF($E13="","Site type missing",IF($H13="","STATUS missing",IF($H13="Proposed","STATUS = Proposed",IF($H13="Not Reported","STATUS = Not Reported",IF(AND($P13="Y",$Q13&lt;&gt;"Y"),"UNESCO-MAB Biosphere Reserve",IF(AND($K13="Point",N($L13)&lt;=0),"Point without REP_AREA",IF(AND(N($L13)&lt;=0,N($N13)&lt;=0,N($R13)+N($S13)&lt;=0),"No area information",""))))))))</f>
        <v/>
      </c>
      <c r="AB13" s="22">
        <f>IF(AND($A13="",$B13=""),"",IF($K13="Point",N($L13),IF(N($N13)&gt;0,N($N13),N($L13))))</f>
        <v/>
      </c>
      <c r="AC13" s="22">
        <f>IF(AND($A13="",$B13=""),"",MIN(AB13,IF(N($J13)=0,0,IF(N($J13)=2,AB13,IF(AND($K13&lt;&gt;"Point",N($O13)&gt;0),N($O13),N($M13))))))</f>
        <v/>
      </c>
      <c r="AD13" s="22">
        <f>IF(AND($A13="",$B13=""),"",MAX(0,AB13-AC13))</f>
        <v/>
      </c>
      <c r="AE13" s="21">
        <f>IF(AND($A13="",$B13=""),"",IF(OR($R13&lt;&gt;"",$S13&lt;&gt;""),1,0))</f>
        <v/>
      </c>
      <c r="AF13" s="22">
        <f>IF(AND($A13="",$B13=""),"",IF(Z13=1,IF(AE13=1,N($R13),AD13),0))</f>
        <v/>
      </c>
      <c r="AG13" s="22">
        <f>IF(AND($A13="",$B13=""),"",IF(Z13=1,IF(AE13=1,N($S13),AC13),0))</f>
        <v/>
      </c>
      <c r="AH13" s="21">
        <f>IF(AND($A13="",$B13=""),"",IF(AND(ISNUMBER($I13),N($I13)&gt;0),$I13,0))</f>
        <v/>
      </c>
      <c r="AI13" s="23">
        <f>IF(AND(NOT(AND($A13="",$B13="")),$K13="Point",N($L13)&gt;0),SQRT(N($L13)/PI()),"")</f>
        <v/>
      </c>
      <c r="AJ13" s="21">
        <f>IF(AND($A13="",$B13=""),"",IFERROR(VLOOKUP($G13,Lists!$D$4:$E$15,2,FALSE),"Not reported"))</f>
        <v/>
      </c>
      <c r="AK13" s="21">
        <f>IF(AND($A13="",$B13=""),"",IF($X13&lt;&gt;"",$X13,IF($T13&lt;&gt;"Y","Not assessed",IF(AND(ISNUMBER($V13),Setup!$B$6-$V13&gt;Setup!$B$26),"Assessment outdated",IF(NOT(ISNUMBER($W13)),"Assessed – no score",IF($W13&gt;=Setup!$B$24,"High",IF($W13&gt;=Setup!$B$25,"Moderate","Low")))))))</f>
        <v/>
      </c>
      <c r="AL13" s="21">
        <f>IF(AND($A13="",$B13=""),"",IF(Z13=0,"",IF(AND(AE13=1,N($R13)&gt;AD13*1.01+0.001),"Net terrestrial &gt; gross; ","")&amp;IF(AND(AE13=1,N($S13)&gt;AC13*1.01+0.001),"Net marine &gt; gross; ","")&amp;IF(AE13=0,"No net area – gross used, overlaps may be double-counted; ","")&amp;IF(AH13=0,"STATUS_YR missing – imputed in time series; ","")&amp;IF(AND(ISNUMBER($I13),N($I13)&gt;Setup!$B$6),"STATUS_YR after reporting year; ","")&amp;IF(OR($G13="",$G13="Not Reported"),"GOV_TYPE not reported; ","")&amp;IF(AND(N($J13)=1,$K13="Point",N($M13)&lt;=0),"Coastal point without REP_M_AREA – land/sea split unknown; ","")&amp;IF(AND(N($J13)=0,N($S13)&gt;0),"MARINE=0 but net marine &gt;0; ","")&amp;IF(AND(N($J13)=2,N($R13)&gt;0),"MARINE=2 but net terrestrial &gt;0; ","")&amp;IF($K13="Point","Buffered point – coverage approximate; ","")))</f>
        <v/>
      </c>
    </row>
    <row r="14">
      <c r="A14" s="19" t="n">
        <v>9747</v>
      </c>
      <c r="B14" s="19" t="inlineStr">
        <is>
          <t>Gouraya</t>
        </is>
      </c>
      <c r="C14" s="19" t="inlineStr">
        <is>
          <t>National Park</t>
        </is>
      </c>
      <c r="D14" s="19" t="inlineStr">
        <is>
          <t>National</t>
        </is>
      </c>
      <c r="E14" s="19" t="inlineStr">
        <is>
          <t>PA</t>
        </is>
      </c>
      <c r="F14" s="19" t="inlineStr">
        <is>
          <t>II</t>
        </is>
      </c>
      <c r="G14" s="19" t="inlineStr">
        <is>
          <t>Federal or national ministry or agency</t>
        </is>
      </c>
      <c r="H14" s="19" t="inlineStr">
        <is>
          <t>Designated</t>
        </is>
      </c>
      <c r="I14" s="19" t="n">
        <v>1984</v>
      </c>
      <c r="J14" s="19" t="n">
        <v>0</v>
      </c>
      <c r="K14" s="19" t="inlineStr">
        <is>
          <t>Polygon</t>
        </is>
      </c>
      <c r="L14" s="20" t="n">
        <v>20.8</v>
      </c>
      <c r="M14" s="20" t="n">
        <v>10.21</v>
      </c>
      <c r="N14" s="20" t="n">
        <v>21.2</v>
      </c>
      <c r="O14" s="20" t="n">
        <v>1.195</v>
      </c>
      <c r="P14" s="19" t="inlineStr">
        <is>
          <t>N</t>
        </is>
      </c>
      <c r="Q14" s="19" t="n"/>
      <c r="R14" s="20" t="n">
        <v>21.039</v>
      </c>
      <c r="S14" s="20" t="n">
        <v>0.202</v>
      </c>
      <c r="T14" s="19" t="inlineStr">
        <is>
          <t>Y</t>
        </is>
      </c>
      <c r="U14" s="19" t="inlineStr">
        <is>
          <t>Other</t>
        </is>
      </c>
      <c r="V14" s="19" t="n">
        <v>2013</v>
      </c>
      <c r="W14" s="19" t="n"/>
      <c r="X14" s="19" t="n"/>
      <c r="Y14" s="19" t="inlineStr">
        <is>
          <t>GD-PAME: Biosphere Reserve Effectiveness of Management Index (BREMi) 2013 (from record 902531); Governance of Biodiversity Research Project (GOBI Survey) 2006 (from record 902531)</t>
        </is>
      </c>
      <c r="Z14" s="21">
        <f>IF(AND($A14="",$B14=""),"",IF(OR($E14="",$H14="",$H14="Proposed",$H14="Not Reported"),0,IF(AND($P14="Y",$Q14&lt;&gt;"Y"),0,IF(AND($K14="Point",N($L14)&lt;=0),0,IF(AND(N($L14)&lt;=0,N($N14)&lt;=0,N($R14)+N($S14)&lt;=0),0,1)))))</f>
        <v/>
      </c>
      <c r="AA14" s="21">
        <f>IF(AND($A14="",$B14=""),"",IF($E14="","Site type missing",IF($H14="","STATUS missing",IF($H14="Proposed","STATUS = Proposed",IF($H14="Not Reported","STATUS = Not Reported",IF(AND($P14="Y",$Q14&lt;&gt;"Y"),"UNESCO-MAB Biosphere Reserve",IF(AND($K14="Point",N($L14)&lt;=0),"Point without REP_AREA",IF(AND(N($L14)&lt;=0,N($N14)&lt;=0,N($R14)+N($S14)&lt;=0),"No area information",""))))))))</f>
        <v/>
      </c>
      <c r="AB14" s="22">
        <f>IF(AND($A14="",$B14=""),"",IF($K14="Point",N($L14),IF(N($N14)&gt;0,N($N14),N($L14))))</f>
        <v/>
      </c>
      <c r="AC14" s="22">
        <f>IF(AND($A14="",$B14=""),"",MIN(AB14,IF(N($J14)=0,0,IF(N($J14)=2,AB14,IF(AND($K14&lt;&gt;"Point",N($O14)&gt;0),N($O14),N($M14))))))</f>
        <v/>
      </c>
      <c r="AD14" s="22">
        <f>IF(AND($A14="",$B14=""),"",MAX(0,AB14-AC14))</f>
        <v/>
      </c>
      <c r="AE14" s="21">
        <f>IF(AND($A14="",$B14=""),"",IF(OR($R14&lt;&gt;"",$S14&lt;&gt;""),1,0))</f>
        <v/>
      </c>
      <c r="AF14" s="22">
        <f>IF(AND($A14="",$B14=""),"",IF(Z14=1,IF(AE14=1,N($R14),AD14),0))</f>
        <v/>
      </c>
      <c r="AG14" s="22">
        <f>IF(AND($A14="",$B14=""),"",IF(Z14=1,IF(AE14=1,N($S14),AC14),0))</f>
        <v/>
      </c>
      <c r="AH14" s="21">
        <f>IF(AND($A14="",$B14=""),"",IF(AND(ISNUMBER($I14),N($I14)&gt;0),$I14,0))</f>
        <v/>
      </c>
      <c r="AI14" s="23">
        <f>IF(AND(NOT(AND($A14="",$B14="")),$K14="Point",N($L14)&gt;0),SQRT(N($L14)/PI()),"")</f>
        <v/>
      </c>
      <c r="AJ14" s="21">
        <f>IF(AND($A14="",$B14=""),"",IFERROR(VLOOKUP($G14,Lists!$D$4:$E$15,2,FALSE),"Not reported"))</f>
        <v/>
      </c>
      <c r="AK14" s="21">
        <f>IF(AND($A14="",$B14=""),"",IF($X14&lt;&gt;"",$X14,IF($T14&lt;&gt;"Y","Not assessed",IF(AND(ISNUMBER($V14),Setup!$B$6-$V14&gt;Setup!$B$26),"Assessment outdated",IF(NOT(ISNUMBER($W14)),"Assessed – no score",IF($W14&gt;=Setup!$B$24,"High",IF($W14&gt;=Setup!$B$25,"Moderate","Low")))))))</f>
        <v/>
      </c>
      <c r="AL14" s="21">
        <f>IF(AND($A14="",$B14=""),"",IF(Z14=0,"",IF(AND(AE14=1,N($R14)&gt;AD14*1.01+0.001),"Net terrestrial &gt; gross; ","")&amp;IF(AND(AE14=1,N($S14)&gt;AC14*1.01+0.001),"Net marine &gt; gross; ","")&amp;IF(AE14=0,"No net area – gross used, overlaps may be double-counted; ","")&amp;IF(AH14=0,"STATUS_YR missing – imputed in time series; ","")&amp;IF(AND(ISNUMBER($I14),N($I14)&gt;Setup!$B$6),"STATUS_YR after reporting year; ","")&amp;IF(OR($G14="",$G14="Not Reported"),"GOV_TYPE not reported; ","")&amp;IF(AND(N($J14)=1,$K14="Point",N($M14)&lt;=0),"Coastal point without REP_M_AREA – land/sea split unknown; ","")&amp;IF(AND(N($J14)=0,N($S14)&gt;0),"MARINE=0 but net marine &gt;0; ","")&amp;IF(AND(N($J14)=2,N($R14)&gt;0),"MARINE=2 but net terrestrial &gt;0; ","")&amp;IF($K14="Point","Buffered point – coverage approximate; ","")))</f>
        <v/>
      </c>
    </row>
    <row r="15">
      <c r="A15" s="19" t="n">
        <v>20389</v>
      </c>
      <c r="B15" s="19" t="inlineStr">
        <is>
          <t>Tassili N'Ajjer</t>
        </is>
      </c>
      <c r="C15" s="19" t="inlineStr">
        <is>
          <t>UNESCO-MAB Biosphere Reserve</t>
        </is>
      </c>
      <c r="D15" s="19" t="inlineStr">
        <is>
          <t>International</t>
        </is>
      </c>
      <c r="E15" s="19" t="inlineStr">
        <is>
          <t>PA</t>
        </is>
      </c>
      <c r="F15" s="19" t="inlineStr">
        <is>
          <t>Not Applicable</t>
        </is>
      </c>
      <c r="G15" s="19" t="inlineStr">
        <is>
          <t>Not Reported</t>
        </is>
      </c>
      <c r="H15" s="19" t="inlineStr">
        <is>
          <t>Designated</t>
        </is>
      </c>
      <c r="I15" s="19" t="n">
        <v>1986</v>
      </c>
      <c r="J15" s="19" t="n">
        <v>0</v>
      </c>
      <c r="K15" s="19" t="inlineStr">
        <is>
          <t>Polygon</t>
        </is>
      </c>
      <c r="L15" s="20" t="n">
        <v>72000</v>
      </c>
      <c r="M15" s="20" t="n">
        <v>0</v>
      </c>
      <c r="N15" s="20" t="n">
        <v>98902.485</v>
      </c>
      <c r="O15" s="20" t="n">
        <v>0</v>
      </c>
      <c r="P15" s="19" t="inlineStr">
        <is>
          <t>Y</t>
        </is>
      </c>
      <c r="Q15" s="19" t="n"/>
      <c r="R15" s="20" t="n"/>
      <c r="S15" s="20" t="n"/>
      <c r="T15" s="19" t="inlineStr">
        <is>
          <t>N</t>
        </is>
      </c>
      <c r="U15" s="19" t="n"/>
      <c r="V15" s="19" t="n"/>
      <c r="W15" s="19" t="n"/>
      <c r="X15" s="19" t="n"/>
      <c r="Y15" s="19" t="inlineStr">
        <is>
          <t>Excluded in GIS: UNESCO-MAB Biosphere Reserve</t>
        </is>
      </c>
      <c r="Z15" s="21">
        <f>IF(AND($A15="",$B15=""),"",IF(OR($E15="",$H15="",$H15="Proposed",$H15="Not Reported"),0,IF(AND($P15="Y",$Q15&lt;&gt;"Y"),0,IF(AND($K15="Point",N($L15)&lt;=0),0,IF(AND(N($L15)&lt;=0,N($N15)&lt;=0,N($R15)+N($S15)&lt;=0),0,1)))))</f>
        <v/>
      </c>
      <c r="AA15" s="21">
        <f>IF(AND($A15="",$B15=""),"",IF($E15="","Site type missing",IF($H15="","STATUS missing",IF($H15="Proposed","STATUS = Proposed",IF($H15="Not Reported","STATUS = Not Reported",IF(AND($P15="Y",$Q15&lt;&gt;"Y"),"UNESCO-MAB Biosphere Reserve",IF(AND($K15="Point",N($L15)&lt;=0),"Point without REP_AREA",IF(AND(N($L15)&lt;=0,N($N15)&lt;=0,N($R15)+N($S15)&lt;=0),"No area information",""))))))))</f>
        <v/>
      </c>
      <c r="AB15" s="22">
        <f>IF(AND($A15="",$B15=""),"",IF($K15="Point",N($L15),IF(N($N15)&gt;0,N($N15),N($L15))))</f>
        <v/>
      </c>
      <c r="AC15" s="22">
        <f>IF(AND($A15="",$B15=""),"",MIN(AB15,IF(N($J15)=0,0,IF(N($J15)=2,AB15,IF(AND($K15&lt;&gt;"Point",N($O15)&gt;0),N($O15),N($M15))))))</f>
        <v/>
      </c>
      <c r="AD15" s="22">
        <f>IF(AND($A15="",$B15=""),"",MAX(0,AB15-AC15))</f>
        <v/>
      </c>
      <c r="AE15" s="21">
        <f>IF(AND($A15="",$B15=""),"",IF(OR($R15&lt;&gt;"",$S15&lt;&gt;""),1,0))</f>
        <v/>
      </c>
      <c r="AF15" s="22">
        <f>IF(AND($A15="",$B15=""),"",IF(Z15=1,IF(AE15=1,N($R15),AD15),0))</f>
        <v/>
      </c>
      <c r="AG15" s="22">
        <f>IF(AND($A15="",$B15=""),"",IF(Z15=1,IF(AE15=1,N($S15),AC15),0))</f>
        <v/>
      </c>
      <c r="AH15" s="21">
        <f>IF(AND($A15="",$B15=""),"",IF(AND(ISNUMBER($I15),N($I15)&gt;0),$I15,0))</f>
        <v/>
      </c>
      <c r="AI15" s="23">
        <f>IF(AND(NOT(AND($A15="",$B15="")),$K15="Point",N($L15)&gt;0),SQRT(N($L15)/PI()),"")</f>
        <v/>
      </c>
      <c r="AJ15" s="21">
        <f>IF(AND($A15="",$B15=""),"",IFERROR(VLOOKUP($G15,Lists!$D$4:$E$15,2,FALSE),"Not reported"))</f>
        <v/>
      </c>
      <c r="AK15" s="21">
        <f>IF(AND($A15="",$B15=""),"",IF($X15&lt;&gt;"",$X15,IF($T15&lt;&gt;"Y","Not assessed",IF(AND(ISNUMBER($V15),Setup!$B$6-$V15&gt;Setup!$B$26),"Assessment outdated",IF(NOT(ISNUMBER($W15)),"Assessed – no score",IF($W15&gt;=Setup!$B$24,"High",IF($W15&gt;=Setup!$B$25,"Moderate","Low")))))))</f>
        <v/>
      </c>
      <c r="AL15" s="21">
        <f>IF(AND($A15="",$B15=""),"",IF(Z15=0,"",IF(AND(AE15=1,N($R15)&gt;AD15*1.01+0.001),"Net terrestrial &gt; gross; ","")&amp;IF(AND(AE15=1,N($S15)&gt;AC15*1.01+0.001),"Net marine &gt; gross; ","")&amp;IF(AE15=0,"No net area – gross used, overlaps may be double-counted; ","")&amp;IF(AH15=0,"STATUS_YR missing – imputed in time series; ","")&amp;IF(AND(ISNUMBER($I15),N($I15)&gt;Setup!$B$6),"STATUS_YR after reporting year; ","")&amp;IF(OR($G15="",$G15="Not Reported"),"GOV_TYPE not reported; ","")&amp;IF(AND(N($J15)=1,$K15="Point",N($M15)&lt;=0),"Coastal point without REP_M_AREA – land/sea split unknown; ","")&amp;IF(AND(N($J15)=0,N($S15)&gt;0),"MARINE=0 but net marine &gt;0; ","")&amp;IF(AND(N($J15)=2,N($R15)&gt;0),"MARINE=2 but net terrestrial &gt;0; ","")&amp;IF($K15="Point","Buffered point – coverage approximate; ","")))</f>
        <v/>
      </c>
    </row>
    <row r="16">
      <c r="A16" s="19" t="n">
        <v>26620</v>
      </c>
      <c r="B16" s="19" t="inlineStr">
        <is>
          <t>El Kala</t>
        </is>
      </c>
      <c r="C16" s="19" t="inlineStr">
        <is>
          <t>UNESCO-MAB Biosphere Reserve</t>
        </is>
      </c>
      <c r="D16" s="19" t="inlineStr">
        <is>
          <t>International</t>
        </is>
      </c>
      <c r="E16" s="19" t="inlineStr">
        <is>
          <t>PA</t>
        </is>
      </c>
      <c r="F16" s="19" t="inlineStr">
        <is>
          <t>Not Applicable</t>
        </is>
      </c>
      <c r="G16" s="19" t="inlineStr">
        <is>
          <t>Not Reported</t>
        </is>
      </c>
      <c r="H16" s="19" t="inlineStr">
        <is>
          <t>Designated</t>
        </is>
      </c>
      <c r="I16" s="19" t="n">
        <v>1990</v>
      </c>
      <c r="J16" s="19" t="n">
        <v>0</v>
      </c>
      <c r="K16" s="19" t="inlineStr">
        <is>
          <t>Polygon</t>
        </is>
      </c>
      <c r="L16" s="20" t="n">
        <v>764.38</v>
      </c>
      <c r="M16" s="20" t="n">
        <v>0</v>
      </c>
      <c r="N16" s="20" t="n">
        <v>776.954</v>
      </c>
      <c r="O16" s="20" t="n">
        <v>0.8159999999999999</v>
      </c>
      <c r="P16" s="19" t="inlineStr">
        <is>
          <t>Y</t>
        </is>
      </c>
      <c r="Q16" s="19" t="n"/>
      <c r="R16" s="20" t="n"/>
      <c r="S16" s="20" t="n"/>
      <c r="T16" s="19" t="inlineStr">
        <is>
          <t>N</t>
        </is>
      </c>
      <c r="U16" s="19" t="n"/>
      <c r="V16" s="19" t="n"/>
      <c r="W16" s="19" t="n"/>
      <c r="X16" s="19" t="n"/>
      <c r="Y16" s="19" t="inlineStr">
        <is>
          <t>Excluded in GIS: UNESCO-MAB Biosphere Reserve</t>
        </is>
      </c>
      <c r="Z16" s="21">
        <f>IF(AND($A16="",$B16=""),"",IF(OR($E16="",$H16="",$H16="Proposed",$H16="Not Reported"),0,IF(AND($P16="Y",$Q16&lt;&gt;"Y"),0,IF(AND($K16="Point",N($L16)&lt;=0),0,IF(AND(N($L16)&lt;=0,N($N16)&lt;=0,N($R16)+N($S16)&lt;=0),0,1)))))</f>
        <v/>
      </c>
      <c r="AA16" s="21">
        <f>IF(AND($A16="",$B16=""),"",IF($E16="","Site type missing",IF($H16="","STATUS missing",IF($H16="Proposed","STATUS = Proposed",IF($H16="Not Reported","STATUS = Not Reported",IF(AND($P16="Y",$Q16&lt;&gt;"Y"),"UNESCO-MAB Biosphere Reserve",IF(AND($K16="Point",N($L16)&lt;=0),"Point without REP_AREA",IF(AND(N($L16)&lt;=0,N($N16)&lt;=0,N($R16)+N($S16)&lt;=0),"No area information",""))))))))</f>
        <v/>
      </c>
      <c r="AB16" s="22">
        <f>IF(AND($A16="",$B16=""),"",IF($K16="Point",N($L16),IF(N($N16)&gt;0,N($N16),N($L16))))</f>
        <v/>
      </c>
      <c r="AC16" s="22">
        <f>IF(AND($A16="",$B16=""),"",MIN(AB16,IF(N($J16)=0,0,IF(N($J16)=2,AB16,IF(AND($K16&lt;&gt;"Point",N($O16)&gt;0),N($O16),N($M16))))))</f>
        <v/>
      </c>
      <c r="AD16" s="22">
        <f>IF(AND($A16="",$B16=""),"",MAX(0,AB16-AC16))</f>
        <v/>
      </c>
      <c r="AE16" s="21">
        <f>IF(AND($A16="",$B16=""),"",IF(OR($R16&lt;&gt;"",$S16&lt;&gt;""),1,0))</f>
        <v/>
      </c>
      <c r="AF16" s="22">
        <f>IF(AND($A16="",$B16=""),"",IF(Z16=1,IF(AE16=1,N($R16),AD16),0))</f>
        <v/>
      </c>
      <c r="AG16" s="22">
        <f>IF(AND($A16="",$B16=""),"",IF(Z16=1,IF(AE16=1,N($S16),AC16),0))</f>
        <v/>
      </c>
      <c r="AH16" s="21">
        <f>IF(AND($A16="",$B16=""),"",IF(AND(ISNUMBER($I16),N($I16)&gt;0),$I16,0))</f>
        <v/>
      </c>
      <c r="AI16" s="23">
        <f>IF(AND(NOT(AND($A16="",$B16="")),$K16="Point",N($L16)&gt;0),SQRT(N($L16)/PI()),"")</f>
        <v/>
      </c>
      <c r="AJ16" s="21">
        <f>IF(AND($A16="",$B16=""),"",IFERROR(VLOOKUP($G16,Lists!$D$4:$E$15,2,FALSE),"Not reported"))</f>
        <v/>
      </c>
      <c r="AK16" s="21">
        <f>IF(AND($A16="",$B16=""),"",IF($X16&lt;&gt;"",$X16,IF($T16&lt;&gt;"Y","Not assessed",IF(AND(ISNUMBER($V16),Setup!$B$6-$V16&gt;Setup!$B$26),"Assessment outdated",IF(NOT(ISNUMBER($W16)),"Assessed – no score",IF($W16&gt;=Setup!$B$24,"High",IF($W16&gt;=Setup!$B$25,"Moderate","Low")))))))</f>
        <v/>
      </c>
      <c r="AL16" s="21">
        <f>IF(AND($A16="",$B16=""),"",IF(Z16=0,"",IF(AND(AE16=1,N($R16)&gt;AD16*1.01+0.001),"Net terrestrial &gt; gross; ","")&amp;IF(AND(AE16=1,N($S16)&gt;AC16*1.01+0.001),"Net marine &gt; gross; ","")&amp;IF(AE16=0,"No net area – gross used, overlaps may be double-counted; ","")&amp;IF(AH16=0,"STATUS_YR missing – imputed in time series; ","")&amp;IF(AND(ISNUMBER($I16),N($I16)&gt;Setup!$B$6),"STATUS_YR after reporting year; ","")&amp;IF(OR($G16="",$G16="Not Reported"),"GOV_TYPE not reported; ","")&amp;IF(AND(N($J16)=1,$K16="Point",N($M16)&lt;=0),"Coastal point without REP_M_AREA – land/sea split unknown; ","")&amp;IF(AND(N($J16)=0,N($S16)&gt;0),"MARINE=0 but net marine &gt;0; ","")&amp;IF(AND(N($J16)=2,N($R16)&gt;0),"MARINE=2 but net terrestrial &gt;0; ","")&amp;IF($K16="Point","Buffered point – coverage approximate; ","")))</f>
        <v/>
      </c>
    </row>
    <row r="17">
      <c r="A17" s="19" t="n">
        <v>101170</v>
      </c>
      <c r="B17" s="19" t="inlineStr">
        <is>
          <t>Tlemcen</t>
        </is>
      </c>
      <c r="C17" s="19" t="inlineStr">
        <is>
          <t>National Park</t>
        </is>
      </c>
      <c r="D17" s="19" t="inlineStr">
        <is>
          <t>National</t>
        </is>
      </c>
      <c r="E17" s="19" t="inlineStr">
        <is>
          <t>PA</t>
        </is>
      </c>
      <c r="F17" s="19" t="inlineStr">
        <is>
          <t>II</t>
        </is>
      </c>
      <c r="G17" s="19" t="inlineStr">
        <is>
          <t>Federal or national ministry or agency</t>
        </is>
      </c>
      <c r="H17" s="19" t="inlineStr">
        <is>
          <t>Designated</t>
        </is>
      </c>
      <c r="I17" s="19" t="n">
        <v>1993</v>
      </c>
      <c r="J17" s="19" t="n">
        <v>0</v>
      </c>
      <c r="K17" s="19" t="inlineStr">
        <is>
          <t>Polygon</t>
        </is>
      </c>
      <c r="L17" s="20" t="n">
        <v>82.25</v>
      </c>
      <c r="M17" s="20" t="n">
        <v>0</v>
      </c>
      <c r="N17" s="20" t="n">
        <v>82.011</v>
      </c>
      <c r="O17" s="20" t="n">
        <v>0</v>
      </c>
      <c r="P17" s="19" t="inlineStr">
        <is>
          <t>N</t>
        </is>
      </c>
      <c r="Q17" s="19" t="n"/>
      <c r="R17" s="20" t="n">
        <v>82.203</v>
      </c>
      <c r="S17" s="20" t="n">
        <v>0</v>
      </c>
      <c r="T17" s="19" t="inlineStr">
        <is>
          <t>N</t>
        </is>
      </c>
      <c r="U17" s="19" t="n"/>
      <c r="V17" s="19" t="n"/>
      <c r="W17" s="19" t="n"/>
      <c r="X17" s="19" t="n"/>
      <c r="Y17" s="19" t="n"/>
      <c r="Z17" s="21">
        <f>IF(AND($A17="",$B17=""),"",IF(OR($E17="",$H17="",$H17="Proposed",$H17="Not Reported"),0,IF(AND($P17="Y",$Q17&lt;&gt;"Y"),0,IF(AND($K17="Point",N($L17)&lt;=0),0,IF(AND(N($L17)&lt;=0,N($N17)&lt;=0,N($R17)+N($S17)&lt;=0),0,1)))))</f>
        <v/>
      </c>
      <c r="AA17" s="21">
        <f>IF(AND($A17="",$B17=""),"",IF($E17="","Site type missing",IF($H17="","STATUS missing",IF($H17="Proposed","STATUS = Proposed",IF($H17="Not Reported","STATUS = Not Reported",IF(AND($P17="Y",$Q17&lt;&gt;"Y"),"UNESCO-MAB Biosphere Reserve",IF(AND($K17="Point",N($L17)&lt;=0),"Point without REP_AREA",IF(AND(N($L17)&lt;=0,N($N17)&lt;=0,N($R17)+N($S17)&lt;=0),"No area information",""))))))))</f>
        <v/>
      </c>
      <c r="AB17" s="22">
        <f>IF(AND($A17="",$B17=""),"",IF($K17="Point",N($L17),IF(N($N17)&gt;0,N($N17),N($L17))))</f>
        <v/>
      </c>
      <c r="AC17" s="22">
        <f>IF(AND($A17="",$B17=""),"",MIN(AB17,IF(N($J17)=0,0,IF(N($J17)=2,AB17,IF(AND($K17&lt;&gt;"Point",N($O17)&gt;0),N($O17),N($M17))))))</f>
        <v/>
      </c>
      <c r="AD17" s="22">
        <f>IF(AND($A17="",$B17=""),"",MAX(0,AB17-AC17))</f>
        <v/>
      </c>
      <c r="AE17" s="21">
        <f>IF(AND($A17="",$B17=""),"",IF(OR($R17&lt;&gt;"",$S17&lt;&gt;""),1,0))</f>
        <v/>
      </c>
      <c r="AF17" s="22">
        <f>IF(AND($A17="",$B17=""),"",IF(Z17=1,IF(AE17=1,N($R17),AD17),0))</f>
        <v/>
      </c>
      <c r="AG17" s="22">
        <f>IF(AND($A17="",$B17=""),"",IF(Z17=1,IF(AE17=1,N($S17),AC17),0))</f>
        <v/>
      </c>
      <c r="AH17" s="21">
        <f>IF(AND($A17="",$B17=""),"",IF(AND(ISNUMBER($I17),N($I17)&gt;0),$I17,0))</f>
        <v/>
      </c>
      <c r="AI17" s="23">
        <f>IF(AND(NOT(AND($A17="",$B17="")),$K17="Point",N($L17)&gt;0),SQRT(N($L17)/PI()),"")</f>
        <v/>
      </c>
      <c r="AJ17" s="21">
        <f>IF(AND($A17="",$B17=""),"",IFERROR(VLOOKUP($G17,Lists!$D$4:$E$15,2,FALSE),"Not reported"))</f>
        <v/>
      </c>
      <c r="AK17" s="21">
        <f>IF(AND($A17="",$B17=""),"",IF($X17&lt;&gt;"",$X17,IF($T17&lt;&gt;"Y","Not assessed",IF(AND(ISNUMBER($V17),Setup!$B$6-$V17&gt;Setup!$B$26),"Assessment outdated",IF(NOT(ISNUMBER($W17)),"Assessed – no score",IF($W17&gt;=Setup!$B$24,"High",IF($W17&gt;=Setup!$B$25,"Moderate","Low")))))))</f>
        <v/>
      </c>
      <c r="AL17" s="21">
        <f>IF(AND($A17="",$B17=""),"",IF(Z17=0,"",IF(AND(AE17=1,N($R17)&gt;AD17*1.01+0.001),"Net terrestrial &gt; gross; ","")&amp;IF(AND(AE17=1,N($S17)&gt;AC17*1.01+0.001),"Net marine &gt; gross; ","")&amp;IF(AE17=0,"No net area – gross used, overlaps may be double-counted; ","")&amp;IF(AH17=0,"STATUS_YR missing – imputed in time series; ","")&amp;IF(AND(ISNUMBER($I17),N($I17)&gt;Setup!$B$6),"STATUS_YR after reporting year; ","")&amp;IF(OR($G17="",$G17="Not Reported"),"GOV_TYPE not reported; ","")&amp;IF(AND(N($J17)=1,$K17="Point",N($M17)&lt;=0),"Coastal point without REP_M_AREA – land/sea split unknown; ","")&amp;IF(AND(N($J17)=0,N($S17)&gt;0),"MARINE=0 but net marine &gt;0; ","")&amp;IF(AND(N($J17)=2,N($R17)&gt;0),"MARINE=2 but net terrestrial &gt;0; ","")&amp;IF($K17="Point","Buffered point – coverage approximate; ","")))</f>
        <v/>
      </c>
    </row>
    <row r="18">
      <c r="A18" s="19" t="n">
        <v>145569</v>
      </c>
      <c r="B18" s="19" t="inlineStr">
        <is>
          <t>Djurdjura</t>
        </is>
      </c>
      <c r="C18" s="19" t="inlineStr">
        <is>
          <t>UNESCO-MAB Biosphere Reserve</t>
        </is>
      </c>
      <c r="D18" s="19" t="inlineStr">
        <is>
          <t>International</t>
        </is>
      </c>
      <c r="E18" s="19" t="inlineStr">
        <is>
          <t>PA</t>
        </is>
      </c>
      <c r="F18" s="19" t="inlineStr">
        <is>
          <t>Not Applicable</t>
        </is>
      </c>
      <c r="G18" s="19" t="inlineStr">
        <is>
          <t>Not Reported</t>
        </is>
      </c>
      <c r="H18" s="19" t="inlineStr">
        <is>
          <t>Designated</t>
        </is>
      </c>
      <c r="I18" s="19" t="n">
        <v>1997</v>
      </c>
      <c r="J18" s="19" t="n">
        <v>0</v>
      </c>
      <c r="K18" s="19" t="inlineStr">
        <is>
          <t>Polygon</t>
        </is>
      </c>
      <c r="L18" s="20" t="n">
        <v>376.9073</v>
      </c>
      <c r="M18" s="20" t="n">
        <v>0</v>
      </c>
      <c r="N18" s="20" t="n">
        <v>379.97</v>
      </c>
      <c r="O18" s="20" t="n">
        <v>0</v>
      </c>
      <c r="P18" s="19" t="inlineStr">
        <is>
          <t>Y</t>
        </is>
      </c>
      <c r="Q18" s="19" t="n"/>
      <c r="R18" s="20" t="n"/>
      <c r="S18" s="20" t="n"/>
      <c r="T18" s="19" t="inlineStr">
        <is>
          <t>N</t>
        </is>
      </c>
      <c r="U18" s="19" t="n"/>
      <c r="V18" s="19" t="n"/>
      <c r="W18" s="19" t="n"/>
      <c r="X18" s="19" t="n"/>
      <c r="Y18" s="19" t="inlineStr">
        <is>
          <t>Excluded in GIS: UNESCO-MAB Biosphere Reserve</t>
        </is>
      </c>
      <c r="Z18" s="21">
        <f>IF(AND($A18="",$B18=""),"",IF(OR($E18="",$H18="",$H18="Proposed",$H18="Not Reported"),0,IF(AND($P18="Y",$Q18&lt;&gt;"Y"),0,IF(AND($K18="Point",N($L18)&lt;=0),0,IF(AND(N($L18)&lt;=0,N($N18)&lt;=0,N($R18)+N($S18)&lt;=0),0,1)))))</f>
        <v/>
      </c>
      <c r="AA18" s="21">
        <f>IF(AND($A18="",$B18=""),"",IF($E18="","Site type missing",IF($H18="","STATUS missing",IF($H18="Proposed","STATUS = Proposed",IF($H18="Not Reported","STATUS = Not Reported",IF(AND($P18="Y",$Q18&lt;&gt;"Y"),"UNESCO-MAB Biosphere Reserve",IF(AND($K18="Point",N($L18)&lt;=0),"Point without REP_AREA",IF(AND(N($L18)&lt;=0,N($N18)&lt;=0,N($R18)+N($S18)&lt;=0),"No area information",""))))))))</f>
        <v/>
      </c>
      <c r="AB18" s="22">
        <f>IF(AND($A18="",$B18=""),"",IF($K18="Point",N($L18),IF(N($N18)&gt;0,N($N18),N($L18))))</f>
        <v/>
      </c>
      <c r="AC18" s="22">
        <f>IF(AND($A18="",$B18=""),"",MIN(AB18,IF(N($J18)=0,0,IF(N($J18)=2,AB18,IF(AND($K18&lt;&gt;"Point",N($O18)&gt;0),N($O18),N($M18))))))</f>
        <v/>
      </c>
      <c r="AD18" s="22">
        <f>IF(AND($A18="",$B18=""),"",MAX(0,AB18-AC18))</f>
        <v/>
      </c>
      <c r="AE18" s="21">
        <f>IF(AND($A18="",$B18=""),"",IF(OR($R18&lt;&gt;"",$S18&lt;&gt;""),1,0))</f>
        <v/>
      </c>
      <c r="AF18" s="22">
        <f>IF(AND($A18="",$B18=""),"",IF(Z18=1,IF(AE18=1,N($R18),AD18),0))</f>
        <v/>
      </c>
      <c r="AG18" s="22">
        <f>IF(AND($A18="",$B18=""),"",IF(Z18=1,IF(AE18=1,N($S18),AC18),0))</f>
        <v/>
      </c>
      <c r="AH18" s="21">
        <f>IF(AND($A18="",$B18=""),"",IF(AND(ISNUMBER($I18),N($I18)&gt;0),$I18,0))</f>
        <v/>
      </c>
      <c r="AI18" s="23">
        <f>IF(AND(NOT(AND($A18="",$B18="")),$K18="Point",N($L18)&gt;0),SQRT(N($L18)/PI()),"")</f>
        <v/>
      </c>
      <c r="AJ18" s="21">
        <f>IF(AND($A18="",$B18=""),"",IFERROR(VLOOKUP($G18,Lists!$D$4:$E$15,2,FALSE),"Not reported"))</f>
        <v/>
      </c>
      <c r="AK18" s="21">
        <f>IF(AND($A18="",$B18=""),"",IF($X18&lt;&gt;"",$X18,IF($T18&lt;&gt;"Y","Not assessed",IF(AND(ISNUMBER($V18),Setup!$B$6-$V18&gt;Setup!$B$26),"Assessment outdated",IF(NOT(ISNUMBER($W18)),"Assessed – no score",IF($W18&gt;=Setup!$B$24,"High",IF($W18&gt;=Setup!$B$25,"Moderate","Low")))))))</f>
        <v/>
      </c>
      <c r="AL18" s="21">
        <f>IF(AND($A18="",$B18=""),"",IF(Z18=0,"",IF(AND(AE18=1,N($R18)&gt;AD18*1.01+0.001),"Net terrestrial &gt; gross; ","")&amp;IF(AND(AE18=1,N($S18)&gt;AC18*1.01+0.001),"Net marine &gt; gross; ","")&amp;IF(AE18=0,"No net area – gross used, overlaps may be double-counted; ","")&amp;IF(AH18=0,"STATUS_YR missing – imputed in time series; ","")&amp;IF(AND(ISNUMBER($I18),N($I18)&gt;Setup!$B$6),"STATUS_YR after reporting year; ","")&amp;IF(OR($G18="",$G18="Not Reported"),"GOV_TYPE not reported; ","")&amp;IF(AND(N($J18)=1,$K18="Point",N($M18)&lt;=0),"Coastal point without REP_M_AREA – land/sea split unknown; ","")&amp;IF(AND(N($J18)=0,N($S18)&gt;0),"MARINE=0 but net marine &gt;0; ","")&amp;IF(AND(N($J18)=2,N($R18)&gt;0),"MARINE=2 but net terrestrial &gt;0; ","")&amp;IF($K18="Point","Buffered point – coverage approximate; ","")))</f>
        <v/>
      </c>
    </row>
    <row r="19">
      <c r="A19" s="19" t="n">
        <v>198304</v>
      </c>
      <c r="B19" s="19" t="inlineStr">
        <is>
          <t>Réserve Naturelle du Lac des Oiseaux</t>
        </is>
      </c>
      <c r="C19" s="19" t="inlineStr">
        <is>
          <t>Wetland of International Importance (Ramsar Site)</t>
        </is>
      </c>
      <c r="D19" s="19" t="inlineStr">
        <is>
          <t>International</t>
        </is>
      </c>
      <c r="E19" s="19" t="inlineStr">
        <is>
          <t>PA</t>
        </is>
      </c>
      <c r="F19" s="19" t="inlineStr">
        <is>
          <t>Not Reported</t>
        </is>
      </c>
      <c r="G19" s="19" t="inlineStr">
        <is>
          <t>Federal or national ministry or agency</t>
        </is>
      </c>
      <c r="H19" s="19" t="inlineStr">
        <is>
          <t>Designated</t>
        </is>
      </c>
      <c r="I19" s="19" t="n">
        <v>1999</v>
      </c>
      <c r="J19" s="19" t="n">
        <v>0</v>
      </c>
      <c r="K19" s="19" t="inlineStr">
        <is>
          <t>Polygon</t>
        </is>
      </c>
      <c r="L19" s="20" t="n">
        <v>1.2</v>
      </c>
      <c r="M19" s="20" t="n">
        <v>0</v>
      </c>
      <c r="N19" s="20" t="n">
        <v>0.8149999999999999</v>
      </c>
      <c r="O19" s="20" t="n">
        <v>0</v>
      </c>
      <c r="P19" s="19" t="inlineStr">
        <is>
          <t>N</t>
        </is>
      </c>
      <c r="Q19" s="19" t="n"/>
      <c r="R19" s="20" t="n">
        <v>0.8169999999999999</v>
      </c>
      <c r="S19" s="20" t="n">
        <v>0</v>
      </c>
      <c r="T19" s="19" t="inlineStr">
        <is>
          <t>N</t>
        </is>
      </c>
      <c r="U19" s="19" t="n"/>
      <c r="V19" s="19" t="n"/>
      <c r="W19" s="19" t="n"/>
      <c r="X19" s="19" t="n"/>
      <c r="Y19" s="19" t="n"/>
      <c r="Z19" s="21">
        <f>IF(AND($A19="",$B19=""),"",IF(OR($E19="",$H19="",$H19="Proposed",$H19="Not Reported"),0,IF(AND($P19="Y",$Q19&lt;&gt;"Y"),0,IF(AND($K19="Point",N($L19)&lt;=0),0,IF(AND(N($L19)&lt;=0,N($N19)&lt;=0,N($R19)+N($S19)&lt;=0),0,1)))))</f>
        <v/>
      </c>
      <c r="AA19" s="21">
        <f>IF(AND($A19="",$B19=""),"",IF($E19="","Site type missing",IF($H19="","STATUS missing",IF($H19="Proposed","STATUS = Proposed",IF($H19="Not Reported","STATUS = Not Reported",IF(AND($P19="Y",$Q19&lt;&gt;"Y"),"UNESCO-MAB Biosphere Reserve",IF(AND($K19="Point",N($L19)&lt;=0),"Point without REP_AREA",IF(AND(N($L19)&lt;=0,N($N19)&lt;=0,N($R19)+N($S19)&lt;=0),"No area information",""))))))))</f>
        <v/>
      </c>
      <c r="AB19" s="22">
        <f>IF(AND($A19="",$B19=""),"",IF($K19="Point",N($L19),IF(N($N19)&gt;0,N($N19),N($L19))))</f>
        <v/>
      </c>
      <c r="AC19" s="22">
        <f>IF(AND($A19="",$B19=""),"",MIN(AB19,IF(N($J19)=0,0,IF(N($J19)=2,AB19,IF(AND($K19&lt;&gt;"Point",N($O19)&gt;0),N($O19),N($M19))))))</f>
        <v/>
      </c>
      <c r="AD19" s="22">
        <f>IF(AND($A19="",$B19=""),"",MAX(0,AB19-AC19))</f>
        <v/>
      </c>
      <c r="AE19" s="21">
        <f>IF(AND($A19="",$B19=""),"",IF(OR($R19&lt;&gt;"",$S19&lt;&gt;""),1,0))</f>
        <v/>
      </c>
      <c r="AF19" s="22">
        <f>IF(AND($A19="",$B19=""),"",IF(Z19=1,IF(AE19=1,N($R19),AD19),0))</f>
        <v/>
      </c>
      <c r="AG19" s="22">
        <f>IF(AND($A19="",$B19=""),"",IF(Z19=1,IF(AE19=1,N($S19),AC19),0))</f>
        <v/>
      </c>
      <c r="AH19" s="21">
        <f>IF(AND($A19="",$B19=""),"",IF(AND(ISNUMBER($I19),N($I19)&gt;0),$I19,0))</f>
        <v/>
      </c>
      <c r="AI19" s="23">
        <f>IF(AND(NOT(AND($A19="",$B19="")),$K19="Point",N($L19)&gt;0),SQRT(N($L19)/PI()),"")</f>
        <v/>
      </c>
      <c r="AJ19" s="21">
        <f>IF(AND($A19="",$B19=""),"",IFERROR(VLOOKUP($G19,Lists!$D$4:$E$15,2,FALSE),"Not reported"))</f>
        <v/>
      </c>
      <c r="AK19" s="21">
        <f>IF(AND($A19="",$B19=""),"",IF($X19&lt;&gt;"",$X19,IF($T19&lt;&gt;"Y","Not assessed",IF(AND(ISNUMBER($V19),Setup!$B$6-$V19&gt;Setup!$B$26),"Assessment outdated",IF(NOT(ISNUMBER($W19)),"Assessed – no score",IF($W19&gt;=Setup!$B$24,"High",IF($W19&gt;=Setup!$B$25,"Moderate","Low")))))))</f>
        <v/>
      </c>
      <c r="AL19" s="21">
        <f>IF(AND($A19="",$B19=""),"",IF(Z19=0,"",IF(AND(AE19=1,N($R19)&gt;AD19*1.01+0.001),"Net terrestrial &gt; gross; ","")&amp;IF(AND(AE19=1,N($S19)&gt;AC19*1.01+0.001),"Net marine &gt; gross; ","")&amp;IF(AE19=0,"No net area – gross used, overlaps may be double-counted; ","")&amp;IF(AH19=0,"STATUS_YR missing – imputed in time series; ","")&amp;IF(AND(ISNUMBER($I19),N($I19)&gt;Setup!$B$6),"STATUS_YR after reporting year; ","")&amp;IF(OR($G19="",$G19="Not Reported"),"GOV_TYPE not reported; ","")&amp;IF(AND(N($J19)=1,$K19="Point",N($M19)&lt;=0),"Coastal point without REP_M_AREA – land/sea split unknown; ","")&amp;IF(AND(N($J19)=0,N($S19)&gt;0),"MARINE=0 but net marine &gt;0; ","")&amp;IF(AND(N($J19)=2,N($R19)&gt;0),"MARINE=2 but net terrestrial &gt;0; ","")&amp;IF($K19="Point","Buffered point – coverage approximate; ","")))</f>
        <v/>
      </c>
    </row>
    <row r="20">
      <c r="A20" s="19" t="n">
        <v>555599910</v>
      </c>
      <c r="B20" s="19" t="inlineStr">
        <is>
          <t>Banc Des Kabyles Marine Reserve</t>
        </is>
      </c>
      <c r="C20" s="19" t="inlineStr">
        <is>
          <t>Specially Protected Areas of Mediterranean Importance (Barcelona Convention)</t>
        </is>
      </c>
      <c r="D20" s="19" t="inlineStr">
        <is>
          <t>Regional</t>
        </is>
      </c>
      <c r="E20" s="19" t="inlineStr">
        <is>
          <t>PA</t>
        </is>
      </c>
      <c r="F20" s="19" t="inlineStr">
        <is>
          <t>Not Assigned</t>
        </is>
      </c>
      <c r="G20" s="19" t="inlineStr">
        <is>
          <t>Federal or national ministry or agency</t>
        </is>
      </c>
      <c r="H20" s="19" t="inlineStr">
        <is>
          <t>Adopted</t>
        </is>
      </c>
      <c r="I20" s="19" t="n">
        <v>2001</v>
      </c>
      <c r="J20" s="19" t="n">
        <v>2</v>
      </c>
      <c r="K20" s="19" t="inlineStr">
        <is>
          <t>Polygon</t>
        </is>
      </c>
      <c r="L20" s="20" t="n">
        <v>6</v>
      </c>
      <c r="M20" s="20" t="n">
        <v>4.01</v>
      </c>
      <c r="N20" s="20" t="n">
        <v>4.005</v>
      </c>
      <c r="O20" s="20" t="n">
        <v>4.005</v>
      </c>
      <c r="P20" s="19" t="inlineStr">
        <is>
          <t>N</t>
        </is>
      </c>
      <c r="Q20" s="19" t="n"/>
      <c r="R20" s="20" t="n">
        <v>0</v>
      </c>
      <c r="S20" s="20" t="n">
        <v>4.013</v>
      </c>
      <c r="T20" s="19" t="inlineStr">
        <is>
          <t>N</t>
        </is>
      </c>
      <c r="U20" s="19" t="n"/>
      <c r="V20" s="19" t="n"/>
      <c r="W20" s="19" t="n"/>
      <c r="X20" s="19" t="n"/>
      <c r="Y20" s="19" t="n"/>
      <c r="Z20" s="21">
        <f>IF(AND($A20="",$B20=""),"",IF(OR($E20="",$H20="",$H20="Proposed",$H20="Not Reported"),0,IF(AND($P20="Y",$Q20&lt;&gt;"Y"),0,IF(AND($K20="Point",N($L20)&lt;=0),0,IF(AND(N($L20)&lt;=0,N($N20)&lt;=0,N($R20)+N($S20)&lt;=0),0,1)))))</f>
        <v/>
      </c>
      <c r="AA20" s="21">
        <f>IF(AND($A20="",$B20=""),"",IF($E20="","Site type missing",IF($H20="","STATUS missing",IF($H20="Proposed","STATUS = Proposed",IF($H20="Not Reported","STATUS = Not Reported",IF(AND($P20="Y",$Q20&lt;&gt;"Y"),"UNESCO-MAB Biosphere Reserve",IF(AND($K20="Point",N($L20)&lt;=0),"Point without REP_AREA",IF(AND(N($L20)&lt;=0,N($N20)&lt;=0,N($R20)+N($S20)&lt;=0),"No area information",""))))))))</f>
        <v/>
      </c>
      <c r="AB20" s="22">
        <f>IF(AND($A20="",$B20=""),"",IF($K20="Point",N($L20),IF(N($N20)&gt;0,N($N20),N($L20))))</f>
        <v/>
      </c>
      <c r="AC20" s="22">
        <f>IF(AND($A20="",$B20=""),"",MIN(AB20,IF(N($J20)=0,0,IF(N($J20)=2,AB20,IF(AND($K20&lt;&gt;"Point",N($O20)&gt;0),N($O20),N($M20))))))</f>
        <v/>
      </c>
      <c r="AD20" s="22">
        <f>IF(AND($A20="",$B20=""),"",MAX(0,AB20-AC20))</f>
        <v/>
      </c>
      <c r="AE20" s="21">
        <f>IF(AND($A20="",$B20=""),"",IF(OR($R20&lt;&gt;"",$S20&lt;&gt;""),1,0))</f>
        <v/>
      </c>
      <c r="AF20" s="22">
        <f>IF(AND($A20="",$B20=""),"",IF(Z20=1,IF(AE20=1,N($R20),AD20),0))</f>
        <v/>
      </c>
      <c r="AG20" s="22">
        <f>IF(AND($A20="",$B20=""),"",IF(Z20=1,IF(AE20=1,N($S20),AC20),0))</f>
        <v/>
      </c>
      <c r="AH20" s="21">
        <f>IF(AND($A20="",$B20=""),"",IF(AND(ISNUMBER($I20),N($I20)&gt;0),$I20,0))</f>
        <v/>
      </c>
      <c r="AI20" s="23">
        <f>IF(AND(NOT(AND($A20="",$B20="")),$K20="Point",N($L20)&gt;0),SQRT(N($L20)/PI()),"")</f>
        <v/>
      </c>
      <c r="AJ20" s="21">
        <f>IF(AND($A20="",$B20=""),"",IFERROR(VLOOKUP($G20,Lists!$D$4:$E$15,2,FALSE),"Not reported"))</f>
        <v/>
      </c>
      <c r="AK20" s="21">
        <f>IF(AND($A20="",$B20=""),"",IF($X20&lt;&gt;"",$X20,IF($T20&lt;&gt;"Y","Not assessed",IF(AND(ISNUMBER($V20),Setup!$B$6-$V20&gt;Setup!$B$26),"Assessment outdated",IF(NOT(ISNUMBER($W20)),"Assessed – no score",IF($W20&gt;=Setup!$B$24,"High",IF($W20&gt;=Setup!$B$25,"Moderate","Low")))))))</f>
        <v/>
      </c>
      <c r="AL20" s="21">
        <f>IF(AND($A20="",$B20=""),"",IF(Z20=0,"",IF(AND(AE20=1,N($R20)&gt;AD20*1.01+0.001),"Net terrestrial &gt; gross; ","")&amp;IF(AND(AE20=1,N($S20)&gt;AC20*1.01+0.001),"Net marine &gt; gross; ","")&amp;IF(AE20=0,"No net area – gross used, overlaps may be double-counted; ","")&amp;IF(AH20=0,"STATUS_YR missing – imputed in time series; ","")&amp;IF(AND(ISNUMBER($I20),N($I20)&gt;Setup!$B$6),"STATUS_YR after reporting year; ","")&amp;IF(OR($G20="",$G20="Not Reported"),"GOV_TYPE not reported; ","")&amp;IF(AND(N($J20)=1,$K20="Point",N($M20)&lt;=0),"Coastal point without REP_M_AREA – land/sea split unknown; ","")&amp;IF(AND(N($J20)=0,N($S20)&gt;0),"MARINE=0 but net marine &gt;0; ","")&amp;IF(AND(N($J20)=2,N($R20)&gt;0),"MARINE=2 but net terrestrial &gt;0; ","")&amp;IF($K20="Point","Buffered point – coverage approximate; ","")))</f>
        <v/>
      </c>
    </row>
    <row r="21">
      <c r="A21" s="19" t="n">
        <v>900571</v>
      </c>
      <c r="B21" s="19" t="inlineStr">
        <is>
          <t>Vallée d'Iherir</t>
        </is>
      </c>
      <c r="C21" s="19" t="inlineStr">
        <is>
          <t>Wetland of International Importance (Ramsar Site)</t>
        </is>
      </c>
      <c r="D21" s="19" t="inlineStr">
        <is>
          <t>International</t>
        </is>
      </c>
      <c r="E21" s="19" t="inlineStr">
        <is>
          <t>PA</t>
        </is>
      </c>
      <c r="F21" s="19" t="inlineStr">
        <is>
          <t>Not Reported</t>
        </is>
      </c>
      <c r="G21" s="19" t="inlineStr">
        <is>
          <t>Federal or national ministry or agency</t>
        </is>
      </c>
      <c r="H21" s="19" t="inlineStr">
        <is>
          <t>Designated</t>
        </is>
      </c>
      <c r="I21" s="19" t="n">
        <v>2001</v>
      </c>
      <c r="J21" s="19" t="n">
        <v>0</v>
      </c>
      <c r="K21" s="19" t="inlineStr">
        <is>
          <t>Polygon</t>
        </is>
      </c>
      <c r="L21" s="20" t="n">
        <v>578.9186</v>
      </c>
      <c r="M21" s="20" t="n">
        <v>0</v>
      </c>
      <c r="N21" s="20" t="n">
        <v>578.92</v>
      </c>
      <c r="O21" s="20" t="n">
        <v>0</v>
      </c>
      <c r="P21" s="19" t="inlineStr">
        <is>
          <t>N</t>
        </is>
      </c>
      <c r="Q21" s="19" t="n"/>
      <c r="R21" s="20" t="n">
        <v>0</v>
      </c>
      <c r="S21" s="20" t="n">
        <v>0</v>
      </c>
      <c r="T21" s="19" t="inlineStr">
        <is>
          <t>N</t>
        </is>
      </c>
      <c r="U21" s="19" t="n"/>
      <c r="V21" s="19" t="n"/>
      <c r="W21" s="19" t="n"/>
      <c r="X21" s="19" t="n"/>
      <c r="Y21" s="19" t="inlineStr">
        <is>
          <t>Overlap attributed to earlier site</t>
        </is>
      </c>
      <c r="Z21" s="21">
        <f>IF(AND($A21="",$B21=""),"",IF(OR($E21="",$H21="",$H21="Proposed",$H21="Not Reported"),0,IF(AND($P21="Y",$Q21&lt;&gt;"Y"),0,IF(AND($K21="Point",N($L21)&lt;=0),0,IF(AND(N($L21)&lt;=0,N($N21)&lt;=0,N($R21)+N($S21)&lt;=0),0,1)))))</f>
        <v/>
      </c>
      <c r="AA21" s="21">
        <f>IF(AND($A21="",$B21=""),"",IF($E21="","Site type missing",IF($H21="","STATUS missing",IF($H21="Proposed","STATUS = Proposed",IF($H21="Not Reported","STATUS = Not Reported",IF(AND($P21="Y",$Q21&lt;&gt;"Y"),"UNESCO-MAB Biosphere Reserve",IF(AND($K21="Point",N($L21)&lt;=0),"Point without REP_AREA",IF(AND(N($L21)&lt;=0,N($N21)&lt;=0,N($R21)+N($S21)&lt;=0),"No area information",""))))))))</f>
        <v/>
      </c>
      <c r="AB21" s="22">
        <f>IF(AND($A21="",$B21=""),"",IF($K21="Point",N($L21),IF(N($N21)&gt;0,N($N21),N($L21))))</f>
        <v/>
      </c>
      <c r="AC21" s="22">
        <f>IF(AND($A21="",$B21=""),"",MIN(AB21,IF(N($J21)=0,0,IF(N($J21)=2,AB21,IF(AND($K21&lt;&gt;"Point",N($O21)&gt;0),N($O21),N($M21))))))</f>
        <v/>
      </c>
      <c r="AD21" s="22">
        <f>IF(AND($A21="",$B21=""),"",MAX(0,AB21-AC21))</f>
        <v/>
      </c>
      <c r="AE21" s="21">
        <f>IF(AND($A21="",$B21=""),"",IF(OR($R21&lt;&gt;"",$S21&lt;&gt;""),1,0))</f>
        <v/>
      </c>
      <c r="AF21" s="22">
        <f>IF(AND($A21="",$B21=""),"",IF(Z21=1,IF(AE21=1,N($R21),AD21),0))</f>
        <v/>
      </c>
      <c r="AG21" s="22">
        <f>IF(AND($A21="",$B21=""),"",IF(Z21=1,IF(AE21=1,N($S21),AC21),0))</f>
        <v/>
      </c>
      <c r="AH21" s="21">
        <f>IF(AND($A21="",$B21=""),"",IF(AND(ISNUMBER($I21),N($I21)&gt;0),$I21,0))</f>
        <v/>
      </c>
      <c r="AI21" s="23">
        <f>IF(AND(NOT(AND($A21="",$B21="")),$K21="Point",N($L21)&gt;0),SQRT(N($L21)/PI()),"")</f>
        <v/>
      </c>
      <c r="AJ21" s="21">
        <f>IF(AND($A21="",$B21=""),"",IFERROR(VLOOKUP($G21,Lists!$D$4:$E$15,2,FALSE),"Not reported"))</f>
        <v/>
      </c>
      <c r="AK21" s="21">
        <f>IF(AND($A21="",$B21=""),"",IF($X21&lt;&gt;"",$X21,IF($T21&lt;&gt;"Y","Not assessed",IF(AND(ISNUMBER($V21),Setup!$B$6-$V21&gt;Setup!$B$26),"Assessment outdated",IF(NOT(ISNUMBER($W21)),"Assessed – no score",IF($W21&gt;=Setup!$B$24,"High",IF($W21&gt;=Setup!$B$25,"Moderate","Low")))))))</f>
        <v/>
      </c>
      <c r="AL21" s="21">
        <f>IF(AND($A21="",$B21=""),"",IF(Z21=0,"",IF(AND(AE21=1,N($R21)&gt;AD21*1.01+0.001),"Net terrestrial &gt; gross; ","")&amp;IF(AND(AE21=1,N($S21)&gt;AC21*1.01+0.001),"Net marine &gt; gross; ","")&amp;IF(AE21=0,"No net area – gross used, overlaps may be double-counted; ","")&amp;IF(AH21=0,"STATUS_YR missing – imputed in time series; ","")&amp;IF(AND(ISNUMBER($I21),N($I21)&gt;Setup!$B$6),"STATUS_YR after reporting year; ","")&amp;IF(OR($G21="",$G21="Not Reported"),"GOV_TYPE not reported; ","")&amp;IF(AND(N($J21)=1,$K21="Point",N($M21)&lt;=0),"Coastal point without REP_M_AREA – land/sea split unknown; ","")&amp;IF(AND(N($J21)=0,N($S21)&gt;0),"MARINE=0 but net marine &gt;0; ","")&amp;IF(AND(N($J21)=2,N($R21)&gt;0),"MARINE=2 but net terrestrial &gt;0; ","")&amp;IF($K21="Point","Buffered point – coverage approximate; ","")))</f>
        <v/>
      </c>
    </row>
    <row r="22">
      <c r="A22" s="19" t="n">
        <v>900572</v>
      </c>
      <c r="B22" s="19" t="inlineStr">
        <is>
          <t>Oasis d'Ouled Saïd</t>
        </is>
      </c>
      <c r="C22" s="19" t="inlineStr">
        <is>
          <t>Wetland of International Importance (Ramsar Site)</t>
        </is>
      </c>
      <c r="D22" s="19" t="inlineStr">
        <is>
          <t>International</t>
        </is>
      </c>
      <c r="E22" s="19" t="inlineStr">
        <is>
          <t>PA</t>
        </is>
      </c>
      <c r="F22" s="19" t="inlineStr">
        <is>
          <t>Not Reported</t>
        </is>
      </c>
      <c r="G22" s="19" t="inlineStr">
        <is>
          <t>Federal or national ministry or agency</t>
        </is>
      </c>
      <c r="H22" s="19" t="inlineStr">
        <is>
          <t>Designated</t>
        </is>
      </c>
      <c r="I22" s="19" t="n">
        <v>2001</v>
      </c>
      <c r="J22" s="19" t="n">
        <v>0</v>
      </c>
      <c r="K22" s="19" t="inlineStr">
        <is>
          <t>Polygon</t>
        </is>
      </c>
      <c r="L22" s="20" t="n">
        <v>254</v>
      </c>
      <c r="M22" s="20" t="n">
        <v>0</v>
      </c>
      <c r="N22" s="20" t="n">
        <v>654.393</v>
      </c>
      <c r="O22" s="20" t="n">
        <v>0</v>
      </c>
      <c r="P22" s="19" t="inlineStr">
        <is>
          <t>N</t>
        </is>
      </c>
      <c r="Q22" s="19" t="n"/>
      <c r="R22" s="20" t="n">
        <v>656.6799999999999</v>
      </c>
      <c r="S22" s="20" t="n">
        <v>0</v>
      </c>
      <c r="T22" s="19" t="inlineStr">
        <is>
          <t>N</t>
        </is>
      </c>
      <c r="U22" s="19" t="n"/>
      <c r="V22" s="19" t="n"/>
      <c r="W22" s="19" t="n"/>
      <c r="X22" s="19" t="n"/>
      <c r="Y22" s="19" t="n"/>
      <c r="Z22" s="21">
        <f>IF(AND($A22="",$B22=""),"",IF(OR($E22="",$H22="",$H22="Proposed",$H22="Not Reported"),0,IF(AND($P22="Y",$Q22&lt;&gt;"Y"),0,IF(AND($K22="Point",N($L22)&lt;=0),0,IF(AND(N($L22)&lt;=0,N($N22)&lt;=0,N($R22)+N($S22)&lt;=0),0,1)))))</f>
        <v/>
      </c>
      <c r="AA22" s="21">
        <f>IF(AND($A22="",$B22=""),"",IF($E22="","Site type missing",IF($H22="","STATUS missing",IF($H22="Proposed","STATUS = Proposed",IF($H22="Not Reported","STATUS = Not Reported",IF(AND($P22="Y",$Q22&lt;&gt;"Y"),"UNESCO-MAB Biosphere Reserve",IF(AND($K22="Point",N($L22)&lt;=0),"Point without REP_AREA",IF(AND(N($L22)&lt;=0,N($N22)&lt;=0,N($R22)+N($S22)&lt;=0),"No area information",""))))))))</f>
        <v/>
      </c>
      <c r="AB22" s="22">
        <f>IF(AND($A22="",$B22=""),"",IF($K22="Point",N($L22),IF(N($N22)&gt;0,N($N22),N($L22))))</f>
        <v/>
      </c>
      <c r="AC22" s="22">
        <f>IF(AND($A22="",$B22=""),"",MIN(AB22,IF(N($J22)=0,0,IF(N($J22)=2,AB22,IF(AND($K22&lt;&gt;"Point",N($O22)&gt;0),N($O22),N($M22))))))</f>
        <v/>
      </c>
      <c r="AD22" s="22">
        <f>IF(AND($A22="",$B22=""),"",MAX(0,AB22-AC22))</f>
        <v/>
      </c>
      <c r="AE22" s="21">
        <f>IF(AND($A22="",$B22=""),"",IF(OR($R22&lt;&gt;"",$S22&lt;&gt;""),1,0))</f>
        <v/>
      </c>
      <c r="AF22" s="22">
        <f>IF(AND($A22="",$B22=""),"",IF(Z22=1,IF(AE22=1,N($R22),AD22),0))</f>
        <v/>
      </c>
      <c r="AG22" s="22">
        <f>IF(AND($A22="",$B22=""),"",IF(Z22=1,IF(AE22=1,N($S22),AC22),0))</f>
        <v/>
      </c>
      <c r="AH22" s="21">
        <f>IF(AND($A22="",$B22=""),"",IF(AND(ISNUMBER($I22),N($I22)&gt;0),$I22,0))</f>
        <v/>
      </c>
      <c r="AI22" s="23">
        <f>IF(AND(NOT(AND($A22="",$B22="")),$K22="Point",N($L22)&gt;0),SQRT(N($L22)/PI()),"")</f>
        <v/>
      </c>
      <c r="AJ22" s="21">
        <f>IF(AND($A22="",$B22=""),"",IFERROR(VLOOKUP($G22,Lists!$D$4:$E$15,2,FALSE),"Not reported"))</f>
        <v/>
      </c>
      <c r="AK22" s="21">
        <f>IF(AND($A22="",$B22=""),"",IF($X22&lt;&gt;"",$X22,IF($T22&lt;&gt;"Y","Not assessed",IF(AND(ISNUMBER($V22),Setup!$B$6-$V22&gt;Setup!$B$26),"Assessment outdated",IF(NOT(ISNUMBER($W22)),"Assessed – no score",IF($W22&gt;=Setup!$B$24,"High",IF($W22&gt;=Setup!$B$25,"Moderate","Low")))))))</f>
        <v/>
      </c>
      <c r="AL22" s="21">
        <f>IF(AND($A22="",$B22=""),"",IF(Z22=0,"",IF(AND(AE22=1,N($R22)&gt;AD22*1.01+0.001),"Net terrestrial &gt; gross; ","")&amp;IF(AND(AE22=1,N($S22)&gt;AC22*1.01+0.001),"Net marine &gt; gross; ","")&amp;IF(AE22=0,"No net area – gross used, overlaps may be double-counted; ","")&amp;IF(AH22=0,"STATUS_YR missing – imputed in time series; ","")&amp;IF(AND(ISNUMBER($I22),N($I22)&gt;Setup!$B$6),"STATUS_YR after reporting year; ","")&amp;IF(OR($G22="",$G22="Not Reported"),"GOV_TYPE not reported; ","")&amp;IF(AND(N($J22)=1,$K22="Point",N($M22)&lt;=0),"Coastal point without REP_M_AREA – land/sea split unknown; ","")&amp;IF(AND(N($J22)=0,N($S22)&gt;0),"MARINE=0 but net marine &gt;0; ","")&amp;IF(AND(N($J22)=2,N($R22)&gt;0),"MARINE=2 but net terrestrial &gt;0; ","")&amp;IF($K22="Point","Buffered point – coverage approximate; ","")))</f>
        <v/>
      </c>
    </row>
    <row r="23">
      <c r="A23" s="19" t="n">
        <v>900573</v>
      </c>
      <c r="B23" s="19" t="inlineStr">
        <is>
          <t>Gueltates d'Issakarassène</t>
        </is>
      </c>
      <c r="C23" s="19" t="inlineStr">
        <is>
          <t>Wetland of International Importance (Ramsar Site)</t>
        </is>
      </c>
      <c r="D23" s="19" t="inlineStr">
        <is>
          <t>International</t>
        </is>
      </c>
      <c r="E23" s="19" t="inlineStr">
        <is>
          <t>PA</t>
        </is>
      </c>
      <c r="F23" s="19" t="inlineStr">
        <is>
          <t>Not Reported</t>
        </is>
      </c>
      <c r="G23" s="19" t="inlineStr">
        <is>
          <t>Federal or national ministry or agency</t>
        </is>
      </c>
      <c r="H23" s="19" t="inlineStr">
        <is>
          <t>Designated</t>
        </is>
      </c>
      <c r="I23" s="19" t="n">
        <v>2001</v>
      </c>
      <c r="J23" s="19" t="n">
        <v>0</v>
      </c>
      <c r="K23" s="19" t="inlineStr">
        <is>
          <t>Polygon</t>
        </is>
      </c>
      <c r="L23" s="20" t="n">
        <v>351</v>
      </c>
      <c r="M23" s="20" t="n">
        <v>0</v>
      </c>
      <c r="N23" s="20" t="n">
        <v>340.999</v>
      </c>
      <c r="O23" s="20" t="n">
        <v>0</v>
      </c>
      <c r="P23" s="19" t="inlineStr">
        <is>
          <t>N</t>
        </is>
      </c>
      <c r="Q23" s="19" t="n"/>
      <c r="R23" s="20" t="n">
        <v>342.573</v>
      </c>
      <c r="S23" s="20" t="n">
        <v>0</v>
      </c>
      <c r="T23" s="19" t="inlineStr">
        <is>
          <t>N</t>
        </is>
      </c>
      <c r="U23" s="19" t="n"/>
      <c r="V23" s="19" t="n"/>
      <c r="W23" s="19" t="n"/>
      <c r="X23" s="19" t="n"/>
      <c r="Y23" s="19" t="n"/>
      <c r="Z23" s="21">
        <f>IF(AND($A23="",$B23=""),"",IF(OR($E23="",$H23="",$H23="Proposed",$H23="Not Reported"),0,IF(AND($P23="Y",$Q23&lt;&gt;"Y"),0,IF(AND($K23="Point",N($L23)&lt;=0),0,IF(AND(N($L23)&lt;=0,N($N23)&lt;=0,N($R23)+N($S23)&lt;=0),0,1)))))</f>
        <v/>
      </c>
      <c r="AA23" s="21">
        <f>IF(AND($A23="",$B23=""),"",IF($E23="","Site type missing",IF($H23="","STATUS missing",IF($H23="Proposed","STATUS = Proposed",IF($H23="Not Reported","STATUS = Not Reported",IF(AND($P23="Y",$Q23&lt;&gt;"Y"),"UNESCO-MAB Biosphere Reserve",IF(AND($K23="Point",N($L23)&lt;=0),"Point without REP_AREA",IF(AND(N($L23)&lt;=0,N($N23)&lt;=0,N($R23)+N($S23)&lt;=0),"No area information",""))))))))</f>
        <v/>
      </c>
      <c r="AB23" s="22">
        <f>IF(AND($A23="",$B23=""),"",IF($K23="Point",N($L23),IF(N($N23)&gt;0,N($N23),N($L23))))</f>
        <v/>
      </c>
      <c r="AC23" s="22">
        <f>IF(AND($A23="",$B23=""),"",MIN(AB23,IF(N($J23)=0,0,IF(N($J23)=2,AB23,IF(AND($K23&lt;&gt;"Point",N($O23)&gt;0),N($O23),N($M23))))))</f>
        <v/>
      </c>
      <c r="AD23" s="22">
        <f>IF(AND($A23="",$B23=""),"",MAX(0,AB23-AC23))</f>
        <v/>
      </c>
      <c r="AE23" s="21">
        <f>IF(AND($A23="",$B23=""),"",IF(OR($R23&lt;&gt;"",$S23&lt;&gt;""),1,0))</f>
        <v/>
      </c>
      <c r="AF23" s="22">
        <f>IF(AND($A23="",$B23=""),"",IF(Z23=1,IF(AE23=1,N($R23),AD23),0))</f>
        <v/>
      </c>
      <c r="AG23" s="22">
        <f>IF(AND($A23="",$B23=""),"",IF(Z23=1,IF(AE23=1,N($S23),AC23),0))</f>
        <v/>
      </c>
      <c r="AH23" s="21">
        <f>IF(AND($A23="",$B23=""),"",IF(AND(ISNUMBER($I23),N($I23)&gt;0),$I23,0))</f>
        <v/>
      </c>
      <c r="AI23" s="23">
        <f>IF(AND(NOT(AND($A23="",$B23="")),$K23="Point",N($L23)&gt;0),SQRT(N($L23)/PI()),"")</f>
        <v/>
      </c>
      <c r="AJ23" s="21">
        <f>IF(AND($A23="",$B23=""),"",IFERROR(VLOOKUP($G23,Lists!$D$4:$E$15,2,FALSE),"Not reported"))</f>
        <v/>
      </c>
      <c r="AK23" s="21">
        <f>IF(AND($A23="",$B23=""),"",IF($X23&lt;&gt;"",$X23,IF($T23&lt;&gt;"Y","Not assessed",IF(AND(ISNUMBER($V23),Setup!$B$6-$V23&gt;Setup!$B$26),"Assessment outdated",IF(NOT(ISNUMBER($W23)),"Assessed – no score",IF($W23&gt;=Setup!$B$24,"High",IF($W23&gt;=Setup!$B$25,"Moderate","Low")))))))</f>
        <v/>
      </c>
      <c r="AL23" s="21">
        <f>IF(AND($A23="",$B23=""),"",IF(Z23=0,"",IF(AND(AE23=1,N($R23)&gt;AD23*1.01+0.001),"Net terrestrial &gt; gross; ","")&amp;IF(AND(AE23=1,N($S23)&gt;AC23*1.01+0.001),"Net marine &gt; gross; ","")&amp;IF(AE23=0,"No net area – gross used, overlaps may be double-counted; ","")&amp;IF(AH23=0,"STATUS_YR missing – imputed in time series; ","")&amp;IF(AND(ISNUMBER($I23),N($I23)&gt;Setup!$B$6),"STATUS_YR after reporting year; ","")&amp;IF(OR($G23="",$G23="Not Reported"),"GOV_TYPE not reported; ","")&amp;IF(AND(N($J23)=1,$K23="Point",N($M23)&lt;=0),"Coastal point without REP_M_AREA – land/sea split unknown; ","")&amp;IF(AND(N($J23)=0,N($S23)&gt;0),"MARINE=0 but net marine &gt;0; ","")&amp;IF(AND(N($J23)=2,N($R23)&gt;0),"MARINE=2 but net terrestrial &gt;0; ","")&amp;IF($K23="Point","Buffered point – coverage approximate; ","")))</f>
        <v/>
      </c>
    </row>
    <row r="24">
      <c r="A24" s="19" t="n">
        <v>900574</v>
      </c>
      <c r="B24" s="19" t="inlineStr">
        <is>
          <t>Complexe de zones humides de la plaine de Guerbès-Sanhadja</t>
        </is>
      </c>
      <c r="C24" s="19" t="inlineStr">
        <is>
          <t>Wetland of International Importance (Ramsar Site)</t>
        </is>
      </c>
      <c r="D24" s="19" t="inlineStr">
        <is>
          <t>International</t>
        </is>
      </c>
      <c r="E24" s="19" t="inlineStr">
        <is>
          <t>PA</t>
        </is>
      </c>
      <c r="F24" s="19" t="inlineStr">
        <is>
          <t>Not Reported</t>
        </is>
      </c>
      <c r="G24" s="19" t="inlineStr">
        <is>
          <t>Federal or national ministry or agency</t>
        </is>
      </c>
      <c r="H24" s="19" t="inlineStr">
        <is>
          <t>Designated</t>
        </is>
      </c>
      <c r="I24" s="19" t="n">
        <v>2001</v>
      </c>
      <c r="J24" s="19" t="n">
        <v>0</v>
      </c>
      <c r="K24" s="19" t="inlineStr">
        <is>
          <t>Polygon</t>
        </is>
      </c>
      <c r="L24" s="20" t="n">
        <v>421</v>
      </c>
      <c r="M24" s="20" t="n">
        <v>0</v>
      </c>
      <c r="N24" s="20" t="n">
        <v>308.65</v>
      </c>
      <c r="O24" s="20" t="n">
        <v>0.058</v>
      </c>
      <c r="P24" s="19" t="inlineStr">
        <is>
          <t>N</t>
        </is>
      </c>
      <c r="Q24" s="19" t="n"/>
      <c r="R24" s="20" t="n">
        <v>309.232</v>
      </c>
      <c r="S24" s="20" t="n">
        <v>0.001</v>
      </c>
      <c r="T24" s="19" t="inlineStr">
        <is>
          <t>N</t>
        </is>
      </c>
      <c r="U24" s="19" t="n"/>
      <c r="V24" s="19" t="n"/>
      <c r="W24" s="19" t="n"/>
      <c r="X24" s="19" t="n"/>
      <c r="Y24" s="19" t="n"/>
      <c r="Z24" s="21">
        <f>IF(AND($A24="",$B24=""),"",IF(OR($E24="",$H24="",$H24="Proposed",$H24="Not Reported"),0,IF(AND($P24="Y",$Q24&lt;&gt;"Y"),0,IF(AND($K24="Point",N($L24)&lt;=0),0,IF(AND(N($L24)&lt;=0,N($N24)&lt;=0,N($R24)+N($S24)&lt;=0),0,1)))))</f>
        <v/>
      </c>
      <c r="AA24" s="21">
        <f>IF(AND($A24="",$B24=""),"",IF($E24="","Site type missing",IF($H24="","STATUS missing",IF($H24="Proposed","STATUS = Proposed",IF($H24="Not Reported","STATUS = Not Reported",IF(AND($P24="Y",$Q24&lt;&gt;"Y"),"UNESCO-MAB Biosphere Reserve",IF(AND($K24="Point",N($L24)&lt;=0),"Point without REP_AREA",IF(AND(N($L24)&lt;=0,N($N24)&lt;=0,N($R24)+N($S24)&lt;=0),"No area information",""))))))))</f>
        <v/>
      </c>
      <c r="AB24" s="22">
        <f>IF(AND($A24="",$B24=""),"",IF($K24="Point",N($L24),IF(N($N24)&gt;0,N($N24),N($L24))))</f>
        <v/>
      </c>
      <c r="AC24" s="22">
        <f>IF(AND($A24="",$B24=""),"",MIN(AB24,IF(N($J24)=0,0,IF(N($J24)=2,AB24,IF(AND($K24&lt;&gt;"Point",N($O24)&gt;0),N($O24),N($M24))))))</f>
        <v/>
      </c>
      <c r="AD24" s="22">
        <f>IF(AND($A24="",$B24=""),"",MAX(0,AB24-AC24))</f>
        <v/>
      </c>
      <c r="AE24" s="21">
        <f>IF(AND($A24="",$B24=""),"",IF(OR($R24&lt;&gt;"",$S24&lt;&gt;""),1,0))</f>
        <v/>
      </c>
      <c r="AF24" s="22">
        <f>IF(AND($A24="",$B24=""),"",IF(Z24=1,IF(AE24=1,N($R24),AD24),0))</f>
        <v/>
      </c>
      <c r="AG24" s="22">
        <f>IF(AND($A24="",$B24=""),"",IF(Z24=1,IF(AE24=1,N($S24),AC24),0))</f>
        <v/>
      </c>
      <c r="AH24" s="21">
        <f>IF(AND($A24="",$B24=""),"",IF(AND(ISNUMBER($I24),N($I24)&gt;0),$I24,0))</f>
        <v/>
      </c>
      <c r="AI24" s="23">
        <f>IF(AND(NOT(AND($A24="",$B24="")),$K24="Point",N($L24)&gt;0),SQRT(N($L24)/PI()),"")</f>
        <v/>
      </c>
      <c r="AJ24" s="21">
        <f>IF(AND($A24="",$B24=""),"",IFERROR(VLOOKUP($G24,Lists!$D$4:$E$15,2,FALSE),"Not reported"))</f>
        <v/>
      </c>
      <c r="AK24" s="21">
        <f>IF(AND($A24="",$B24=""),"",IF($X24&lt;&gt;"",$X24,IF($T24&lt;&gt;"Y","Not assessed",IF(AND(ISNUMBER($V24),Setup!$B$6-$V24&gt;Setup!$B$26),"Assessment outdated",IF(NOT(ISNUMBER($W24)),"Assessed – no score",IF($W24&gt;=Setup!$B$24,"High",IF($W24&gt;=Setup!$B$25,"Moderate","Low")))))))</f>
        <v/>
      </c>
      <c r="AL24" s="21">
        <f>IF(AND($A24="",$B24=""),"",IF(Z24=0,"",IF(AND(AE24=1,N($R24)&gt;AD24*1.01+0.001),"Net terrestrial &gt; gross; ","")&amp;IF(AND(AE24=1,N($S24)&gt;AC24*1.01+0.001),"Net marine &gt; gross; ","")&amp;IF(AE24=0,"No net area – gross used, overlaps may be double-counted; ","")&amp;IF(AH24=0,"STATUS_YR missing – imputed in time series; ","")&amp;IF(AND(ISNUMBER($I24),N($I24)&gt;Setup!$B$6),"STATUS_YR after reporting year; ","")&amp;IF(OR($G24="",$G24="Not Reported"),"GOV_TYPE not reported; ","")&amp;IF(AND(N($J24)=1,$K24="Point",N($M24)&lt;=0),"Coastal point without REP_M_AREA – land/sea split unknown; ","")&amp;IF(AND(N($J24)=0,N($S24)&gt;0),"MARINE=0 but net marine &gt;0; ","")&amp;IF(AND(N($J24)=2,N($R24)&gt;0),"MARINE=2 but net terrestrial &gt;0; ","")&amp;IF($K24="Point","Buffered point – coverage approximate; ","")))</f>
        <v/>
      </c>
    </row>
    <row r="25">
      <c r="A25" s="19" t="n">
        <v>900575</v>
      </c>
      <c r="B25" s="19" t="inlineStr">
        <is>
          <t>Marais de la Macta</t>
        </is>
      </c>
      <c r="C25" s="19" t="inlineStr">
        <is>
          <t>Wetland of International Importance (Ramsar Site)</t>
        </is>
      </c>
      <c r="D25" s="19" t="inlineStr">
        <is>
          <t>International</t>
        </is>
      </c>
      <c r="E25" s="19" t="inlineStr">
        <is>
          <t>PA</t>
        </is>
      </c>
      <c r="F25" s="19" t="inlineStr">
        <is>
          <t>Not Reported</t>
        </is>
      </c>
      <c r="G25" s="19" t="inlineStr">
        <is>
          <t>Federal or national ministry or agency</t>
        </is>
      </c>
      <c r="H25" s="19" t="inlineStr">
        <is>
          <t>Designated</t>
        </is>
      </c>
      <c r="I25" s="19" t="n">
        <v>2001</v>
      </c>
      <c r="J25" s="19" t="n">
        <v>0</v>
      </c>
      <c r="K25" s="19" t="inlineStr">
        <is>
          <t>Polygon</t>
        </is>
      </c>
      <c r="L25" s="20" t="n">
        <v>445</v>
      </c>
      <c r="M25" s="20" t="n">
        <v>0</v>
      </c>
      <c r="N25" s="20" t="n">
        <v>440.789</v>
      </c>
      <c r="O25" s="20" t="n">
        <v>0</v>
      </c>
      <c r="P25" s="19" t="inlineStr">
        <is>
          <t>N</t>
        </is>
      </c>
      <c r="Q25" s="19" t="n"/>
      <c r="R25" s="20" t="n">
        <v>441.739</v>
      </c>
      <c r="S25" s="20" t="n">
        <v>0</v>
      </c>
      <c r="T25" s="19" t="inlineStr">
        <is>
          <t>N</t>
        </is>
      </c>
      <c r="U25" s="19" t="n"/>
      <c r="V25" s="19" t="n"/>
      <c r="W25" s="19" t="n"/>
      <c r="X25" s="19" t="n"/>
      <c r="Y25" s="19" t="n"/>
      <c r="Z25" s="21">
        <f>IF(AND($A25="",$B25=""),"",IF(OR($E25="",$H25="",$H25="Proposed",$H25="Not Reported"),0,IF(AND($P25="Y",$Q25&lt;&gt;"Y"),0,IF(AND($K25="Point",N($L25)&lt;=0),0,IF(AND(N($L25)&lt;=0,N($N25)&lt;=0,N($R25)+N($S25)&lt;=0),0,1)))))</f>
        <v/>
      </c>
      <c r="AA25" s="21">
        <f>IF(AND($A25="",$B25=""),"",IF($E25="","Site type missing",IF($H25="","STATUS missing",IF($H25="Proposed","STATUS = Proposed",IF($H25="Not Reported","STATUS = Not Reported",IF(AND($P25="Y",$Q25&lt;&gt;"Y"),"UNESCO-MAB Biosphere Reserve",IF(AND($K25="Point",N($L25)&lt;=0),"Point without REP_AREA",IF(AND(N($L25)&lt;=0,N($N25)&lt;=0,N($R25)+N($S25)&lt;=0),"No area information",""))))))))</f>
        <v/>
      </c>
      <c r="AB25" s="22">
        <f>IF(AND($A25="",$B25=""),"",IF($K25="Point",N($L25),IF(N($N25)&gt;0,N($N25),N($L25))))</f>
        <v/>
      </c>
      <c r="AC25" s="22">
        <f>IF(AND($A25="",$B25=""),"",MIN(AB25,IF(N($J25)=0,0,IF(N($J25)=2,AB25,IF(AND($K25&lt;&gt;"Point",N($O25)&gt;0),N($O25),N($M25))))))</f>
        <v/>
      </c>
      <c r="AD25" s="22">
        <f>IF(AND($A25="",$B25=""),"",MAX(0,AB25-AC25))</f>
        <v/>
      </c>
      <c r="AE25" s="21">
        <f>IF(AND($A25="",$B25=""),"",IF(OR($R25&lt;&gt;"",$S25&lt;&gt;""),1,0))</f>
        <v/>
      </c>
      <c r="AF25" s="22">
        <f>IF(AND($A25="",$B25=""),"",IF(Z25=1,IF(AE25=1,N($R25),AD25),0))</f>
        <v/>
      </c>
      <c r="AG25" s="22">
        <f>IF(AND($A25="",$B25=""),"",IF(Z25=1,IF(AE25=1,N($S25),AC25),0))</f>
        <v/>
      </c>
      <c r="AH25" s="21">
        <f>IF(AND($A25="",$B25=""),"",IF(AND(ISNUMBER($I25),N($I25)&gt;0),$I25,0))</f>
        <v/>
      </c>
      <c r="AI25" s="23">
        <f>IF(AND(NOT(AND($A25="",$B25="")),$K25="Point",N($L25)&gt;0),SQRT(N($L25)/PI()),"")</f>
        <v/>
      </c>
      <c r="AJ25" s="21">
        <f>IF(AND($A25="",$B25=""),"",IFERROR(VLOOKUP($G25,Lists!$D$4:$E$15,2,FALSE),"Not reported"))</f>
        <v/>
      </c>
      <c r="AK25" s="21">
        <f>IF(AND($A25="",$B25=""),"",IF($X25&lt;&gt;"",$X25,IF($T25&lt;&gt;"Y","Not assessed",IF(AND(ISNUMBER($V25),Setup!$B$6-$V25&gt;Setup!$B$26),"Assessment outdated",IF(NOT(ISNUMBER($W25)),"Assessed – no score",IF($W25&gt;=Setup!$B$24,"High",IF($W25&gt;=Setup!$B$25,"Moderate","Low")))))))</f>
        <v/>
      </c>
      <c r="AL25" s="21">
        <f>IF(AND($A25="",$B25=""),"",IF(Z25=0,"",IF(AND(AE25=1,N($R25)&gt;AD25*1.01+0.001),"Net terrestrial &gt; gross; ","")&amp;IF(AND(AE25=1,N($S25)&gt;AC25*1.01+0.001),"Net marine &gt; gross; ","")&amp;IF(AE25=0,"No net area – gross used, overlaps may be double-counted; ","")&amp;IF(AH25=0,"STATUS_YR missing – imputed in time series; ","")&amp;IF(AND(ISNUMBER($I25),N($I25)&gt;Setup!$B$6),"STATUS_YR after reporting year; ","")&amp;IF(OR($G25="",$G25="Not Reported"),"GOV_TYPE not reported; ","")&amp;IF(AND(N($J25)=1,$K25="Point",N($M25)&lt;=0),"Coastal point without REP_M_AREA – land/sea split unknown; ","")&amp;IF(AND(N($J25)=0,N($S25)&gt;0),"MARINE=0 but net marine &gt;0; ","")&amp;IF(AND(N($J25)=2,N($R25)&gt;0),"MARINE=2 but net terrestrial &gt;0; ","")&amp;IF($K25="Point","Buffered point – coverage approximate; ","")))</f>
        <v/>
      </c>
    </row>
    <row r="26">
      <c r="A26" s="19" t="n">
        <v>900576</v>
      </c>
      <c r="B26" s="19" t="inlineStr">
        <is>
          <t>Grande Sebkha d'Oran</t>
        </is>
      </c>
      <c r="C26" s="19" t="inlineStr">
        <is>
          <t>Wetland of International Importance (Ramsar Site)</t>
        </is>
      </c>
      <c r="D26" s="19" t="inlineStr">
        <is>
          <t>International</t>
        </is>
      </c>
      <c r="E26" s="19" t="inlineStr">
        <is>
          <t>PA</t>
        </is>
      </c>
      <c r="F26" s="19" t="inlineStr">
        <is>
          <t>Not Reported</t>
        </is>
      </c>
      <c r="G26" s="19" t="inlineStr">
        <is>
          <t>Federal or national ministry or agency</t>
        </is>
      </c>
      <c r="H26" s="19" t="inlineStr">
        <is>
          <t>Designated</t>
        </is>
      </c>
      <c r="I26" s="19" t="n">
        <v>2001</v>
      </c>
      <c r="J26" s="19" t="n">
        <v>0</v>
      </c>
      <c r="K26" s="19" t="inlineStr">
        <is>
          <t>Polygon</t>
        </is>
      </c>
      <c r="L26" s="20" t="n">
        <v>568.7</v>
      </c>
      <c r="M26" s="20" t="n">
        <v>0</v>
      </c>
      <c r="N26" s="20" t="n">
        <v>595.617</v>
      </c>
      <c r="O26" s="20" t="n">
        <v>0</v>
      </c>
      <c r="P26" s="19" t="inlineStr">
        <is>
          <t>N</t>
        </is>
      </c>
      <c r="Q26" s="19" t="n"/>
      <c r="R26" s="20" t="n">
        <v>596.926</v>
      </c>
      <c r="S26" s="20" t="n">
        <v>0</v>
      </c>
      <c r="T26" s="19" t="inlineStr">
        <is>
          <t>N</t>
        </is>
      </c>
      <c r="U26" s="19" t="n"/>
      <c r="V26" s="19" t="n"/>
      <c r="W26" s="19" t="n"/>
      <c r="X26" s="19" t="n"/>
      <c r="Y26" s="19" t="n"/>
      <c r="Z26" s="21">
        <f>IF(AND($A26="",$B26=""),"",IF(OR($E26="",$H26="",$H26="Proposed",$H26="Not Reported"),0,IF(AND($P26="Y",$Q26&lt;&gt;"Y"),0,IF(AND($K26="Point",N($L26)&lt;=0),0,IF(AND(N($L26)&lt;=0,N($N26)&lt;=0,N($R26)+N($S26)&lt;=0),0,1)))))</f>
        <v/>
      </c>
      <c r="AA26" s="21">
        <f>IF(AND($A26="",$B26=""),"",IF($E26="","Site type missing",IF($H26="","STATUS missing",IF($H26="Proposed","STATUS = Proposed",IF($H26="Not Reported","STATUS = Not Reported",IF(AND($P26="Y",$Q26&lt;&gt;"Y"),"UNESCO-MAB Biosphere Reserve",IF(AND($K26="Point",N($L26)&lt;=0),"Point without REP_AREA",IF(AND(N($L26)&lt;=0,N($N26)&lt;=0,N($R26)+N($S26)&lt;=0),"No area information",""))))))))</f>
        <v/>
      </c>
      <c r="AB26" s="22">
        <f>IF(AND($A26="",$B26=""),"",IF($K26="Point",N($L26),IF(N($N26)&gt;0,N($N26),N($L26))))</f>
        <v/>
      </c>
      <c r="AC26" s="22">
        <f>IF(AND($A26="",$B26=""),"",MIN(AB26,IF(N($J26)=0,0,IF(N($J26)=2,AB26,IF(AND($K26&lt;&gt;"Point",N($O26)&gt;0),N($O26),N($M26))))))</f>
        <v/>
      </c>
      <c r="AD26" s="22">
        <f>IF(AND($A26="",$B26=""),"",MAX(0,AB26-AC26))</f>
        <v/>
      </c>
      <c r="AE26" s="21">
        <f>IF(AND($A26="",$B26=""),"",IF(OR($R26&lt;&gt;"",$S26&lt;&gt;""),1,0))</f>
        <v/>
      </c>
      <c r="AF26" s="22">
        <f>IF(AND($A26="",$B26=""),"",IF(Z26=1,IF(AE26=1,N($R26),AD26),0))</f>
        <v/>
      </c>
      <c r="AG26" s="22">
        <f>IF(AND($A26="",$B26=""),"",IF(Z26=1,IF(AE26=1,N($S26),AC26),0))</f>
        <v/>
      </c>
      <c r="AH26" s="21">
        <f>IF(AND($A26="",$B26=""),"",IF(AND(ISNUMBER($I26),N($I26)&gt;0),$I26,0))</f>
        <v/>
      </c>
      <c r="AI26" s="23">
        <f>IF(AND(NOT(AND($A26="",$B26="")),$K26="Point",N($L26)&gt;0),SQRT(N($L26)/PI()),"")</f>
        <v/>
      </c>
      <c r="AJ26" s="21">
        <f>IF(AND($A26="",$B26=""),"",IFERROR(VLOOKUP($G26,Lists!$D$4:$E$15,2,FALSE),"Not reported"))</f>
        <v/>
      </c>
      <c r="AK26" s="21">
        <f>IF(AND($A26="",$B26=""),"",IF($X26&lt;&gt;"",$X26,IF($T26&lt;&gt;"Y","Not assessed",IF(AND(ISNUMBER($V26),Setup!$B$6-$V26&gt;Setup!$B$26),"Assessment outdated",IF(NOT(ISNUMBER($W26)),"Assessed – no score",IF($W26&gt;=Setup!$B$24,"High",IF($W26&gt;=Setup!$B$25,"Moderate","Low")))))))</f>
        <v/>
      </c>
      <c r="AL26" s="21">
        <f>IF(AND($A26="",$B26=""),"",IF(Z26=0,"",IF(AND(AE26=1,N($R26)&gt;AD26*1.01+0.001),"Net terrestrial &gt; gross; ","")&amp;IF(AND(AE26=1,N($S26)&gt;AC26*1.01+0.001),"Net marine &gt; gross; ","")&amp;IF(AE26=0,"No net area – gross used, overlaps may be double-counted; ","")&amp;IF(AH26=0,"STATUS_YR missing – imputed in time series; ","")&amp;IF(AND(ISNUMBER($I26),N($I26)&gt;Setup!$B$6),"STATUS_YR after reporting year; ","")&amp;IF(OR($G26="",$G26="Not Reported"),"GOV_TYPE not reported; ","")&amp;IF(AND(N($J26)=1,$K26="Point",N($M26)&lt;=0),"Coastal point without REP_M_AREA – land/sea split unknown; ","")&amp;IF(AND(N($J26)=0,N($S26)&gt;0),"MARINE=0 but net marine &gt;0; ","")&amp;IF(AND(N($J26)=2,N($R26)&gt;0),"MARINE=2 but net terrestrial &gt;0; ","")&amp;IF($K26="Point","Buffered point – coverage approximate; ","")))</f>
        <v/>
      </c>
    </row>
    <row r="27">
      <c r="A27" s="19" t="n">
        <v>900577</v>
      </c>
      <c r="B27" s="19" t="inlineStr">
        <is>
          <t>Oasis de Tamantit et Sid Ahmed Timmi</t>
        </is>
      </c>
      <c r="C27" s="19" t="inlineStr">
        <is>
          <t>Wetland of International Importance (Ramsar Site)</t>
        </is>
      </c>
      <c r="D27" s="19" t="inlineStr">
        <is>
          <t>International</t>
        </is>
      </c>
      <c r="E27" s="19" t="inlineStr">
        <is>
          <t>PA</t>
        </is>
      </c>
      <c r="F27" s="19" t="inlineStr">
        <is>
          <t>Not Reported</t>
        </is>
      </c>
      <c r="G27" s="19" t="inlineStr">
        <is>
          <t>Federal or national ministry or agency</t>
        </is>
      </c>
      <c r="H27" s="19" t="inlineStr">
        <is>
          <t>Designated</t>
        </is>
      </c>
      <c r="I27" s="19" t="n">
        <v>2001</v>
      </c>
      <c r="J27" s="19" t="n">
        <v>0</v>
      </c>
      <c r="K27" s="19" t="inlineStr">
        <is>
          <t>Polygon</t>
        </is>
      </c>
      <c r="L27" s="20" t="n">
        <v>957</v>
      </c>
      <c r="M27" s="20" t="n">
        <v>0</v>
      </c>
      <c r="N27" s="20" t="n">
        <v>1017.82</v>
      </c>
      <c r="O27" s="20" t="n">
        <v>0</v>
      </c>
      <c r="P27" s="19" t="inlineStr">
        <is>
          <t>N</t>
        </is>
      </c>
      <c r="Q27" s="19" t="n"/>
      <c r="R27" s="20" t="n">
        <v>1021.708</v>
      </c>
      <c r="S27" s="20" t="n">
        <v>0</v>
      </c>
      <c r="T27" s="19" t="inlineStr">
        <is>
          <t>N</t>
        </is>
      </c>
      <c r="U27" s="19" t="n"/>
      <c r="V27" s="19" t="n"/>
      <c r="W27" s="19" t="n"/>
      <c r="X27" s="19" t="n"/>
      <c r="Y27" s="19" t="n"/>
      <c r="Z27" s="21">
        <f>IF(AND($A27="",$B27=""),"",IF(OR($E27="",$H27="",$H27="Proposed",$H27="Not Reported"),0,IF(AND($P27="Y",$Q27&lt;&gt;"Y"),0,IF(AND($K27="Point",N($L27)&lt;=0),0,IF(AND(N($L27)&lt;=0,N($N27)&lt;=0,N($R27)+N($S27)&lt;=0),0,1)))))</f>
        <v/>
      </c>
      <c r="AA27" s="21">
        <f>IF(AND($A27="",$B27=""),"",IF($E27="","Site type missing",IF($H27="","STATUS missing",IF($H27="Proposed","STATUS = Proposed",IF($H27="Not Reported","STATUS = Not Reported",IF(AND($P27="Y",$Q27&lt;&gt;"Y"),"UNESCO-MAB Biosphere Reserve",IF(AND($K27="Point",N($L27)&lt;=0),"Point without REP_AREA",IF(AND(N($L27)&lt;=0,N($N27)&lt;=0,N($R27)+N($S27)&lt;=0),"No area information",""))))))))</f>
        <v/>
      </c>
      <c r="AB27" s="22">
        <f>IF(AND($A27="",$B27=""),"",IF($K27="Point",N($L27),IF(N($N27)&gt;0,N($N27),N($L27))))</f>
        <v/>
      </c>
      <c r="AC27" s="22">
        <f>IF(AND($A27="",$B27=""),"",MIN(AB27,IF(N($J27)=0,0,IF(N($J27)=2,AB27,IF(AND($K27&lt;&gt;"Point",N($O27)&gt;0),N($O27),N($M27))))))</f>
        <v/>
      </c>
      <c r="AD27" s="22">
        <f>IF(AND($A27="",$B27=""),"",MAX(0,AB27-AC27))</f>
        <v/>
      </c>
      <c r="AE27" s="21">
        <f>IF(AND($A27="",$B27=""),"",IF(OR($R27&lt;&gt;"",$S27&lt;&gt;""),1,0))</f>
        <v/>
      </c>
      <c r="AF27" s="22">
        <f>IF(AND($A27="",$B27=""),"",IF(Z27=1,IF(AE27=1,N($R27),AD27),0))</f>
        <v/>
      </c>
      <c r="AG27" s="22">
        <f>IF(AND($A27="",$B27=""),"",IF(Z27=1,IF(AE27=1,N($S27),AC27),0))</f>
        <v/>
      </c>
      <c r="AH27" s="21">
        <f>IF(AND($A27="",$B27=""),"",IF(AND(ISNUMBER($I27),N($I27)&gt;0),$I27,0))</f>
        <v/>
      </c>
      <c r="AI27" s="23">
        <f>IF(AND(NOT(AND($A27="",$B27="")),$K27="Point",N($L27)&gt;0),SQRT(N($L27)/PI()),"")</f>
        <v/>
      </c>
      <c r="AJ27" s="21">
        <f>IF(AND($A27="",$B27=""),"",IFERROR(VLOOKUP($G27,Lists!$D$4:$E$15,2,FALSE),"Not reported"))</f>
        <v/>
      </c>
      <c r="AK27" s="21">
        <f>IF(AND($A27="",$B27=""),"",IF($X27&lt;&gt;"",$X27,IF($T27&lt;&gt;"Y","Not assessed",IF(AND(ISNUMBER($V27),Setup!$B$6-$V27&gt;Setup!$B$26),"Assessment outdated",IF(NOT(ISNUMBER($W27)),"Assessed – no score",IF($W27&gt;=Setup!$B$24,"High",IF($W27&gt;=Setup!$B$25,"Moderate","Low")))))))</f>
        <v/>
      </c>
      <c r="AL27" s="21">
        <f>IF(AND($A27="",$B27=""),"",IF(Z27=0,"",IF(AND(AE27=1,N($R27)&gt;AD27*1.01+0.001),"Net terrestrial &gt; gross; ","")&amp;IF(AND(AE27=1,N($S27)&gt;AC27*1.01+0.001),"Net marine &gt; gross; ","")&amp;IF(AE27=0,"No net area – gross used, overlaps may be double-counted; ","")&amp;IF(AH27=0,"STATUS_YR missing – imputed in time series; ","")&amp;IF(AND(ISNUMBER($I27),N($I27)&gt;Setup!$B$6),"STATUS_YR after reporting year; ","")&amp;IF(OR($G27="",$G27="Not Reported"),"GOV_TYPE not reported; ","")&amp;IF(AND(N($J27)=1,$K27="Point",N($M27)&lt;=0),"Coastal point without REP_M_AREA – land/sea split unknown; ","")&amp;IF(AND(N($J27)=0,N($S27)&gt;0),"MARINE=0 but net marine &gt;0; ","")&amp;IF(AND(N($J27)=2,N($R27)&gt;0),"MARINE=2 but net terrestrial &gt;0; ","")&amp;IF($K27="Point","Buffered point – coverage approximate; ","")))</f>
        <v/>
      </c>
    </row>
    <row r="28">
      <c r="A28" s="19" t="n">
        <v>900578</v>
      </c>
      <c r="B28" s="19" t="inlineStr">
        <is>
          <t>Chott Merouane et Oued Khrouf</t>
        </is>
      </c>
      <c r="C28" s="19" t="inlineStr">
        <is>
          <t>Wetland of International Importance (Ramsar Site)</t>
        </is>
      </c>
      <c r="D28" s="19" t="inlineStr">
        <is>
          <t>International</t>
        </is>
      </c>
      <c r="E28" s="19" t="inlineStr">
        <is>
          <t>PA</t>
        </is>
      </c>
      <c r="F28" s="19" t="inlineStr">
        <is>
          <t>Not Reported</t>
        </is>
      </c>
      <c r="G28" s="19" t="inlineStr">
        <is>
          <t>Federal or national ministry or agency</t>
        </is>
      </c>
      <c r="H28" s="19" t="inlineStr">
        <is>
          <t>Designated</t>
        </is>
      </c>
      <c r="I28" s="19" t="n">
        <v>2001</v>
      </c>
      <c r="J28" s="19" t="n">
        <v>0</v>
      </c>
      <c r="K28" s="19" t="inlineStr">
        <is>
          <t>Polygon</t>
        </is>
      </c>
      <c r="L28" s="20" t="n">
        <v>3377</v>
      </c>
      <c r="M28" s="20" t="n">
        <v>0</v>
      </c>
      <c r="N28" s="20" t="n">
        <v>3243.627</v>
      </c>
      <c r="O28" s="20" t="n">
        <v>0</v>
      </c>
      <c r="P28" s="19" t="inlineStr">
        <is>
          <t>N</t>
        </is>
      </c>
      <c r="Q28" s="19" t="n"/>
      <c r="R28" s="20" t="n">
        <v>3251.908</v>
      </c>
      <c r="S28" s="20" t="n">
        <v>0</v>
      </c>
      <c r="T28" s="19" t="inlineStr">
        <is>
          <t>N</t>
        </is>
      </c>
      <c r="U28" s="19" t="n"/>
      <c r="V28" s="19" t="n"/>
      <c r="W28" s="19" t="n"/>
      <c r="X28" s="19" t="n"/>
      <c r="Y28" s="19" t="n"/>
      <c r="Z28" s="21">
        <f>IF(AND($A28="",$B28=""),"",IF(OR($E28="",$H28="",$H28="Proposed",$H28="Not Reported"),0,IF(AND($P28="Y",$Q28&lt;&gt;"Y"),0,IF(AND($K28="Point",N($L28)&lt;=0),0,IF(AND(N($L28)&lt;=0,N($N28)&lt;=0,N($R28)+N($S28)&lt;=0),0,1)))))</f>
        <v/>
      </c>
      <c r="AA28" s="21">
        <f>IF(AND($A28="",$B28=""),"",IF($E28="","Site type missing",IF($H28="","STATUS missing",IF($H28="Proposed","STATUS = Proposed",IF($H28="Not Reported","STATUS = Not Reported",IF(AND($P28="Y",$Q28&lt;&gt;"Y"),"UNESCO-MAB Biosphere Reserve",IF(AND($K28="Point",N($L28)&lt;=0),"Point without REP_AREA",IF(AND(N($L28)&lt;=0,N($N28)&lt;=0,N($R28)+N($S28)&lt;=0),"No area information",""))))))))</f>
        <v/>
      </c>
      <c r="AB28" s="22">
        <f>IF(AND($A28="",$B28=""),"",IF($K28="Point",N($L28),IF(N($N28)&gt;0,N($N28),N($L28))))</f>
        <v/>
      </c>
      <c r="AC28" s="22">
        <f>IF(AND($A28="",$B28=""),"",MIN(AB28,IF(N($J28)=0,0,IF(N($J28)=2,AB28,IF(AND($K28&lt;&gt;"Point",N($O28)&gt;0),N($O28),N($M28))))))</f>
        <v/>
      </c>
      <c r="AD28" s="22">
        <f>IF(AND($A28="",$B28=""),"",MAX(0,AB28-AC28))</f>
        <v/>
      </c>
      <c r="AE28" s="21">
        <f>IF(AND($A28="",$B28=""),"",IF(OR($R28&lt;&gt;"",$S28&lt;&gt;""),1,0))</f>
        <v/>
      </c>
      <c r="AF28" s="22">
        <f>IF(AND($A28="",$B28=""),"",IF(Z28=1,IF(AE28=1,N($R28),AD28),0))</f>
        <v/>
      </c>
      <c r="AG28" s="22">
        <f>IF(AND($A28="",$B28=""),"",IF(Z28=1,IF(AE28=1,N($S28),AC28),0))</f>
        <v/>
      </c>
      <c r="AH28" s="21">
        <f>IF(AND($A28="",$B28=""),"",IF(AND(ISNUMBER($I28),N($I28)&gt;0),$I28,0))</f>
        <v/>
      </c>
      <c r="AI28" s="23">
        <f>IF(AND(NOT(AND($A28="",$B28="")),$K28="Point",N($L28)&gt;0),SQRT(N($L28)/PI()),"")</f>
        <v/>
      </c>
      <c r="AJ28" s="21">
        <f>IF(AND($A28="",$B28=""),"",IFERROR(VLOOKUP($G28,Lists!$D$4:$E$15,2,FALSE),"Not reported"))</f>
        <v/>
      </c>
      <c r="AK28" s="21">
        <f>IF(AND($A28="",$B28=""),"",IF($X28&lt;&gt;"",$X28,IF($T28&lt;&gt;"Y","Not assessed",IF(AND(ISNUMBER($V28),Setup!$B$6-$V28&gt;Setup!$B$26),"Assessment outdated",IF(NOT(ISNUMBER($W28)),"Assessed – no score",IF($W28&gt;=Setup!$B$24,"High",IF($W28&gt;=Setup!$B$25,"Moderate","Low")))))))</f>
        <v/>
      </c>
      <c r="AL28" s="21">
        <f>IF(AND($A28="",$B28=""),"",IF(Z28=0,"",IF(AND(AE28=1,N($R28)&gt;AD28*1.01+0.001),"Net terrestrial &gt; gross; ","")&amp;IF(AND(AE28=1,N($S28)&gt;AC28*1.01+0.001),"Net marine &gt; gross; ","")&amp;IF(AE28=0,"No net area – gross used, overlaps may be double-counted; ","")&amp;IF(AH28=0,"STATUS_YR missing – imputed in time series; ","")&amp;IF(AND(ISNUMBER($I28),N($I28)&gt;Setup!$B$6),"STATUS_YR after reporting year; ","")&amp;IF(OR($G28="",$G28="Not Reported"),"GOV_TYPE not reported; ","")&amp;IF(AND(N($J28)=1,$K28="Point",N($M28)&lt;=0),"Coastal point without REP_M_AREA – land/sea split unknown; ","")&amp;IF(AND(N($J28)=0,N($S28)&gt;0),"MARINE=0 but net marine &gt;0; ","")&amp;IF(AND(N($J28)=2,N($R28)&gt;0),"MARINE=2 but net terrestrial &gt;0; ","")&amp;IF($K28="Point","Buffered point – coverage approximate; ","")))</f>
        <v/>
      </c>
    </row>
    <row r="29">
      <c r="A29" s="19" t="n">
        <v>900579</v>
      </c>
      <c r="B29" s="19" t="inlineStr">
        <is>
          <t>Chott el Hodna</t>
        </is>
      </c>
      <c r="C29" s="19" t="inlineStr">
        <is>
          <t>Wetland of International Importance (Ramsar Site)</t>
        </is>
      </c>
      <c r="D29" s="19" t="inlineStr">
        <is>
          <t>International</t>
        </is>
      </c>
      <c r="E29" s="19" t="inlineStr">
        <is>
          <t>PA</t>
        </is>
      </c>
      <c r="F29" s="19" t="inlineStr">
        <is>
          <t>Not Reported</t>
        </is>
      </c>
      <c r="G29" s="19" t="inlineStr">
        <is>
          <t>Federal or national ministry or agency</t>
        </is>
      </c>
      <c r="H29" s="19" t="inlineStr">
        <is>
          <t>Designated</t>
        </is>
      </c>
      <c r="I29" s="19" t="n">
        <v>2001</v>
      </c>
      <c r="J29" s="19" t="n">
        <v>0</v>
      </c>
      <c r="K29" s="19" t="inlineStr">
        <is>
          <t>Polygon</t>
        </is>
      </c>
      <c r="L29" s="20" t="n">
        <v>3620</v>
      </c>
      <c r="M29" s="20" t="n">
        <v>0</v>
      </c>
      <c r="N29" s="20" t="n">
        <v>3598.817</v>
      </c>
      <c r="O29" s="20" t="n">
        <v>0</v>
      </c>
      <c r="P29" s="19" t="inlineStr">
        <is>
          <t>N</t>
        </is>
      </c>
      <c r="Q29" s="19" t="n"/>
      <c r="R29" s="20" t="n">
        <v>3606.785</v>
      </c>
      <c r="S29" s="20" t="n">
        <v>0</v>
      </c>
      <c r="T29" s="19" t="inlineStr">
        <is>
          <t>N</t>
        </is>
      </c>
      <c r="U29" s="19" t="n"/>
      <c r="V29" s="19" t="n"/>
      <c r="W29" s="19" t="n"/>
      <c r="X29" s="19" t="n"/>
      <c r="Y29" s="19" t="n"/>
      <c r="Z29" s="21">
        <f>IF(AND($A29="",$B29=""),"",IF(OR($E29="",$H29="",$H29="Proposed",$H29="Not Reported"),0,IF(AND($P29="Y",$Q29&lt;&gt;"Y"),0,IF(AND($K29="Point",N($L29)&lt;=0),0,IF(AND(N($L29)&lt;=0,N($N29)&lt;=0,N($R29)+N($S29)&lt;=0),0,1)))))</f>
        <v/>
      </c>
      <c r="AA29" s="21">
        <f>IF(AND($A29="",$B29=""),"",IF($E29="","Site type missing",IF($H29="","STATUS missing",IF($H29="Proposed","STATUS = Proposed",IF($H29="Not Reported","STATUS = Not Reported",IF(AND($P29="Y",$Q29&lt;&gt;"Y"),"UNESCO-MAB Biosphere Reserve",IF(AND($K29="Point",N($L29)&lt;=0),"Point without REP_AREA",IF(AND(N($L29)&lt;=0,N($N29)&lt;=0,N($R29)+N($S29)&lt;=0),"No area information",""))))))))</f>
        <v/>
      </c>
      <c r="AB29" s="22">
        <f>IF(AND($A29="",$B29=""),"",IF($K29="Point",N($L29),IF(N($N29)&gt;0,N($N29),N($L29))))</f>
        <v/>
      </c>
      <c r="AC29" s="22">
        <f>IF(AND($A29="",$B29=""),"",MIN(AB29,IF(N($J29)=0,0,IF(N($J29)=2,AB29,IF(AND($K29&lt;&gt;"Point",N($O29)&gt;0),N($O29),N($M29))))))</f>
        <v/>
      </c>
      <c r="AD29" s="22">
        <f>IF(AND($A29="",$B29=""),"",MAX(0,AB29-AC29))</f>
        <v/>
      </c>
      <c r="AE29" s="21">
        <f>IF(AND($A29="",$B29=""),"",IF(OR($R29&lt;&gt;"",$S29&lt;&gt;""),1,0))</f>
        <v/>
      </c>
      <c r="AF29" s="22">
        <f>IF(AND($A29="",$B29=""),"",IF(Z29=1,IF(AE29=1,N($R29),AD29),0))</f>
        <v/>
      </c>
      <c r="AG29" s="22">
        <f>IF(AND($A29="",$B29=""),"",IF(Z29=1,IF(AE29=1,N($S29),AC29),0))</f>
        <v/>
      </c>
      <c r="AH29" s="21">
        <f>IF(AND($A29="",$B29=""),"",IF(AND(ISNUMBER($I29),N($I29)&gt;0),$I29,0))</f>
        <v/>
      </c>
      <c r="AI29" s="23">
        <f>IF(AND(NOT(AND($A29="",$B29="")),$K29="Point",N($L29)&gt;0),SQRT(N($L29)/PI()),"")</f>
        <v/>
      </c>
      <c r="AJ29" s="21">
        <f>IF(AND($A29="",$B29=""),"",IFERROR(VLOOKUP($G29,Lists!$D$4:$E$15,2,FALSE),"Not reported"))</f>
        <v/>
      </c>
      <c r="AK29" s="21">
        <f>IF(AND($A29="",$B29=""),"",IF($X29&lt;&gt;"",$X29,IF($T29&lt;&gt;"Y","Not assessed",IF(AND(ISNUMBER($V29),Setup!$B$6-$V29&gt;Setup!$B$26),"Assessment outdated",IF(NOT(ISNUMBER($W29)),"Assessed – no score",IF($W29&gt;=Setup!$B$24,"High",IF($W29&gt;=Setup!$B$25,"Moderate","Low")))))))</f>
        <v/>
      </c>
      <c r="AL29" s="21">
        <f>IF(AND($A29="",$B29=""),"",IF(Z29=0,"",IF(AND(AE29=1,N($R29)&gt;AD29*1.01+0.001),"Net terrestrial &gt; gross; ","")&amp;IF(AND(AE29=1,N($S29)&gt;AC29*1.01+0.001),"Net marine &gt; gross; ","")&amp;IF(AE29=0,"No net area – gross used, overlaps may be double-counted; ","")&amp;IF(AH29=0,"STATUS_YR missing – imputed in time series; ","")&amp;IF(AND(ISNUMBER($I29),N($I29)&gt;Setup!$B$6),"STATUS_YR after reporting year; ","")&amp;IF(OR($G29="",$G29="Not Reported"),"GOV_TYPE not reported; ","")&amp;IF(AND(N($J29)=1,$K29="Point",N($M29)&lt;=0),"Coastal point without REP_M_AREA – land/sea split unknown; ","")&amp;IF(AND(N($J29)=0,N($S29)&gt;0),"MARINE=0 but net marine &gt;0; ","")&amp;IF(AND(N($J29)=2,N($R29)&gt;0),"MARINE=2 but net terrestrial &gt;0; ","")&amp;IF($K29="Point","Buffered point – coverage approximate; ","")))</f>
        <v/>
      </c>
    </row>
    <row r="30">
      <c r="A30" s="19" t="n">
        <v>900580</v>
      </c>
      <c r="B30" s="19" t="inlineStr">
        <is>
          <t>Chott ech Chergui</t>
        </is>
      </c>
      <c r="C30" s="19" t="inlineStr">
        <is>
          <t>Wetland of International Importance (Ramsar Site)</t>
        </is>
      </c>
      <c r="D30" s="19" t="inlineStr">
        <is>
          <t>International</t>
        </is>
      </c>
      <c r="E30" s="19" t="inlineStr">
        <is>
          <t>PA</t>
        </is>
      </c>
      <c r="F30" s="19" t="inlineStr">
        <is>
          <t>Not Reported</t>
        </is>
      </c>
      <c r="G30" s="19" t="inlineStr">
        <is>
          <t>Federal or national ministry or agency</t>
        </is>
      </c>
      <c r="H30" s="19" t="inlineStr">
        <is>
          <t>Designated</t>
        </is>
      </c>
      <c r="I30" s="19" t="n">
        <v>2001</v>
      </c>
      <c r="J30" s="19" t="n">
        <v>0</v>
      </c>
      <c r="K30" s="19" t="inlineStr">
        <is>
          <t>Polygon</t>
        </is>
      </c>
      <c r="L30" s="20" t="n">
        <v>8555</v>
      </c>
      <c r="M30" s="20" t="n">
        <v>0</v>
      </c>
      <c r="N30" s="20" t="n">
        <v>8470.589</v>
      </c>
      <c r="O30" s="20" t="n">
        <v>0</v>
      </c>
      <c r="P30" s="19" t="inlineStr">
        <is>
          <t>N</t>
        </is>
      </c>
      <c r="Q30" s="19" t="n"/>
      <c r="R30" s="20" t="n">
        <v>8491.540999999999</v>
      </c>
      <c r="S30" s="20" t="n">
        <v>0</v>
      </c>
      <c r="T30" s="19" t="inlineStr">
        <is>
          <t>N</t>
        </is>
      </c>
      <c r="U30" s="19" t="n"/>
      <c r="V30" s="19" t="n"/>
      <c r="W30" s="19" t="n"/>
      <c r="X30" s="19" t="n"/>
      <c r="Y30" s="19" t="n"/>
      <c r="Z30" s="21">
        <f>IF(AND($A30="",$B30=""),"",IF(OR($E30="",$H30="",$H30="Proposed",$H30="Not Reported"),0,IF(AND($P30="Y",$Q30&lt;&gt;"Y"),0,IF(AND($K30="Point",N($L30)&lt;=0),0,IF(AND(N($L30)&lt;=0,N($N30)&lt;=0,N($R30)+N($S30)&lt;=0),0,1)))))</f>
        <v/>
      </c>
      <c r="AA30" s="21">
        <f>IF(AND($A30="",$B30=""),"",IF($E30="","Site type missing",IF($H30="","STATUS missing",IF($H30="Proposed","STATUS = Proposed",IF($H30="Not Reported","STATUS = Not Reported",IF(AND($P30="Y",$Q30&lt;&gt;"Y"),"UNESCO-MAB Biosphere Reserve",IF(AND($K30="Point",N($L30)&lt;=0),"Point without REP_AREA",IF(AND(N($L30)&lt;=0,N($N30)&lt;=0,N($R30)+N($S30)&lt;=0),"No area information",""))))))))</f>
        <v/>
      </c>
      <c r="AB30" s="22">
        <f>IF(AND($A30="",$B30=""),"",IF($K30="Point",N($L30),IF(N($N30)&gt;0,N($N30),N($L30))))</f>
        <v/>
      </c>
      <c r="AC30" s="22">
        <f>IF(AND($A30="",$B30=""),"",MIN(AB30,IF(N($J30)=0,0,IF(N($J30)=2,AB30,IF(AND($K30&lt;&gt;"Point",N($O30)&gt;0),N($O30),N($M30))))))</f>
        <v/>
      </c>
      <c r="AD30" s="22">
        <f>IF(AND($A30="",$B30=""),"",MAX(0,AB30-AC30))</f>
        <v/>
      </c>
      <c r="AE30" s="21">
        <f>IF(AND($A30="",$B30=""),"",IF(OR($R30&lt;&gt;"",$S30&lt;&gt;""),1,0))</f>
        <v/>
      </c>
      <c r="AF30" s="22">
        <f>IF(AND($A30="",$B30=""),"",IF(Z30=1,IF(AE30=1,N($R30),AD30),0))</f>
        <v/>
      </c>
      <c r="AG30" s="22">
        <f>IF(AND($A30="",$B30=""),"",IF(Z30=1,IF(AE30=1,N($S30),AC30),0))</f>
        <v/>
      </c>
      <c r="AH30" s="21">
        <f>IF(AND($A30="",$B30=""),"",IF(AND(ISNUMBER($I30),N($I30)&gt;0),$I30,0))</f>
        <v/>
      </c>
      <c r="AI30" s="23">
        <f>IF(AND(NOT(AND($A30="",$B30="")),$K30="Point",N($L30)&gt;0),SQRT(N($L30)/PI()),"")</f>
        <v/>
      </c>
      <c r="AJ30" s="21">
        <f>IF(AND($A30="",$B30=""),"",IFERROR(VLOOKUP($G30,Lists!$D$4:$E$15,2,FALSE),"Not reported"))</f>
        <v/>
      </c>
      <c r="AK30" s="21">
        <f>IF(AND($A30="",$B30=""),"",IF($X30&lt;&gt;"",$X30,IF($T30&lt;&gt;"Y","Not assessed",IF(AND(ISNUMBER($V30),Setup!$B$6-$V30&gt;Setup!$B$26),"Assessment outdated",IF(NOT(ISNUMBER($W30)),"Assessed – no score",IF($W30&gt;=Setup!$B$24,"High",IF($W30&gt;=Setup!$B$25,"Moderate","Low")))))))</f>
        <v/>
      </c>
      <c r="AL30" s="21">
        <f>IF(AND($A30="",$B30=""),"",IF(Z30=0,"",IF(AND(AE30=1,N($R30)&gt;AD30*1.01+0.001),"Net terrestrial &gt; gross; ","")&amp;IF(AND(AE30=1,N($S30)&gt;AC30*1.01+0.001),"Net marine &gt; gross; ","")&amp;IF(AE30=0,"No net area – gross used, overlaps may be double-counted; ","")&amp;IF(AH30=0,"STATUS_YR missing – imputed in time series; ","")&amp;IF(AND(ISNUMBER($I30),N($I30)&gt;Setup!$B$6),"STATUS_YR after reporting year; ","")&amp;IF(OR($G30="",$G30="Not Reported"),"GOV_TYPE not reported; ","")&amp;IF(AND(N($J30)=1,$K30="Point",N($M30)&lt;=0),"Coastal point without REP_M_AREA – land/sea split unknown; ","")&amp;IF(AND(N($J30)=0,N($S30)&gt;0),"MARINE=0 but net marine &gt;0; ","")&amp;IF(AND(N($J30)=2,N($R30)&gt;0),"MARINE=2 but net terrestrial &gt;0; ","")&amp;IF($K30="Point","Buffered point – coverage approximate; ","")))</f>
        <v/>
      </c>
    </row>
    <row r="31">
      <c r="A31" s="19" t="n">
        <v>900713</v>
      </c>
      <c r="B31" s="19" t="inlineStr">
        <is>
          <t>Chréa</t>
        </is>
      </c>
      <c r="C31" s="19" t="inlineStr">
        <is>
          <t>UNESCO-MAB Biosphere Reserve</t>
        </is>
      </c>
      <c r="D31" s="19" t="inlineStr">
        <is>
          <t>International</t>
        </is>
      </c>
      <c r="E31" s="19" t="inlineStr">
        <is>
          <t>PA</t>
        </is>
      </c>
      <c r="F31" s="19" t="inlineStr">
        <is>
          <t>Not Applicable</t>
        </is>
      </c>
      <c r="G31" s="19" t="inlineStr">
        <is>
          <t>Not Reported</t>
        </is>
      </c>
      <c r="H31" s="19" t="inlineStr">
        <is>
          <t>Designated</t>
        </is>
      </c>
      <c r="I31" s="19" t="n">
        <v>2002</v>
      </c>
      <c r="J31" s="19" t="n">
        <v>0</v>
      </c>
      <c r="K31" s="19" t="inlineStr">
        <is>
          <t>Polygon</t>
        </is>
      </c>
      <c r="L31" s="20" t="n">
        <v>369.85</v>
      </c>
      <c r="M31" s="20" t="n">
        <v>0</v>
      </c>
      <c r="N31" s="20" t="n">
        <v>412.16</v>
      </c>
      <c r="O31" s="20" t="n">
        <v>0</v>
      </c>
      <c r="P31" s="19" t="inlineStr">
        <is>
          <t>Y</t>
        </is>
      </c>
      <c r="Q31" s="19" t="n"/>
      <c r="R31" s="20" t="n"/>
      <c r="S31" s="20" t="n"/>
      <c r="T31" s="19" t="inlineStr">
        <is>
          <t>N</t>
        </is>
      </c>
      <c r="U31" s="19" t="n"/>
      <c r="V31" s="19" t="n"/>
      <c r="W31" s="19" t="n"/>
      <c r="X31" s="19" t="n"/>
      <c r="Y31" s="19" t="inlineStr">
        <is>
          <t>Excluded in GIS: UNESCO-MAB Biosphere Reserve</t>
        </is>
      </c>
      <c r="Z31" s="21">
        <f>IF(AND($A31="",$B31=""),"",IF(OR($E31="",$H31="",$H31="Proposed",$H31="Not Reported"),0,IF(AND($P31="Y",$Q31&lt;&gt;"Y"),0,IF(AND($K31="Point",N($L31)&lt;=0),0,IF(AND(N($L31)&lt;=0,N($N31)&lt;=0,N($R31)+N($S31)&lt;=0),0,1)))))</f>
        <v/>
      </c>
      <c r="AA31" s="21">
        <f>IF(AND($A31="",$B31=""),"",IF($E31="","Site type missing",IF($H31="","STATUS missing",IF($H31="Proposed","STATUS = Proposed",IF($H31="Not Reported","STATUS = Not Reported",IF(AND($P31="Y",$Q31&lt;&gt;"Y"),"UNESCO-MAB Biosphere Reserve",IF(AND($K31="Point",N($L31)&lt;=0),"Point without REP_AREA",IF(AND(N($L31)&lt;=0,N($N31)&lt;=0,N($R31)+N($S31)&lt;=0),"No area information",""))))))))</f>
        <v/>
      </c>
      <c r="AB31" s="22">
        <f>IF(AND($A31="",$B31=""),"",IF($K31="Point",N($L31),IF(N($N31)&gt;0,N($N31),N($L31))))</f>
        <v/>
      </c>
      <c r="AC31" s="22">
        <f>IF(AND($A31="",$B31=""),"",MIN(AB31,IF(N($J31)=0,0,IF(N($J31)=2,AB31,IF(AND($K31&lt;&gt;"Point",N($O31)&gt;0),N($O31),N($M31))))))</f>
        <v/>
      </c>
      <c r="AD31" s="22">
        <f>IF(AND($A31="",$B31=""),"",MAX(0,AB31-AC31))</f>
        <v/>
      </c>
      <c r="AE31" s="21">
        <f>IF(AND($A31="",$B31=""),"",IF(OR($R31&lt;&gt;"",$S31&lt;&gt;""),1,0))</f>
        <v/>
      </c>
      <c r="AF31" s="22">
        <f>IF(AND($A31="",$B31=""),"",IF(Z31=1,IF(AE31=1,N($R31),AD31),0))</f>
        <v/>
      </c>
      <c r="AG31" s="22">
        <f>IF(AND($A31="",$B31=""),"",IF(Z31=1,IF(AE31=1,N($S31),AC31),0))</f>
        <v/>
      </c>
      <c r="AH31" s="21">
        <f>IF(AND($A31="",$B31=""),"",IF(AND(ISNUMBER($I31),N($I31)&gt;0),$I31,0))</f>
        <v/>
      </c>
      <c r="AI31" s="23">
        <f>IF(AND(NOT(AND($A31="",$B31="")),$K31="Point",N($L31)&gt;0),SQRT(N($L31)/PI()),"")</f>
        <v/>
      </c>
      <c r="AJ31" s="21">
        <f>IF(AND($A31="",$B31=""),"",IFERROR(VLOOKUP($G31,Lists!$D$4:$E$15,2,FALSE),"Not reported"))</f>
        <v/>
      </c>
      <c r="AK31" s="21">
        <f>IF(AND($A31="",$B31=""),"",IF($X31&lt;&gt;"",$X31,IF($T31&lt;&gt;"Y","Not assessed",IF(AND(ISNUMBER($V31),Setup!$B$6-$V31&gt;Setup!$B$26),"Assessment outdated",IF(NOT(ISNUMBER($W31)),"Assessed – no score",IF($W31&gt;=Setup!$B$24,"High",IF($W31&gt;=Setup!$B$25,"Moderate","Low")))))))</f>
        <v/>
      </c>
      <c r="AL31" s="21">
        <f>IF(AND($A31="",$B31=""),"",IF(Z31=0,"",IF(AND(AE31=1,N($R31)&gt;AD31*1.01+0.001),"Net terrestrial &gt; gross; ","")&amp;IF(AND(AE31=1,N($S31)&gt;AC31*1.01+0.001),"Net marine &gt; gross; ","")&amp;IF(AE31=0,"No net area – gross used, overlaps may be double-counted; ","")&amp;IF(AH31=0,"STATUS_YR missing – imputed in time series; ","")&amp;IF(AND(ISNUMBER($I31),N($I31)&gt;Setup!$B$6),"STATUS_YR after reporting year; ","")&amp;IF(OR($G31="",$G31="Not Reported"),"GOV_TYPE not reported; ","")&amp;IF(AND(N($J31)=1,$K31="Point",N($M31)&lt;=0),"Coastal point without REP_M_AREA – land/sea split unknown; ","")&amp;IF(AND(N($J31)=0,N($S31)&gt;0),"MARINE=0 but net marine &gt;0; ","")&amp;IF(AND(N($J31)=2,N($R31)&gt;0),"MARINE=2 but net terrestrial &gt;0; ","")&amp;IF($K31="Point","Buffered point – coverage approximate; ","")))</f>
        <v/>
      </c>
    </row>
    <row r="32">
      <c r="A32" s="19" t="n">
        <v>19571</v>
      </c>
      <c r="B32" s="19" t="inlineStr">
        <is>
          <t>Réserve Naturelle Marine des Iles Habibas</t>
        </is>
      </c>
      <c r="C32" s="19" t="inlineStr">
        <is>
          <t>Marine Nature Reserve</t>
        </is>
      </c>
      <c r="D32" s="19" t="inlineStr">
        <is>
          <t>National</t>
        </is>
      </c>
      <c r="E32" s="19" t="inlineStr">
        <is>
          <t>PA</t>
        </is>
      </c>
      <c r="F32" s="19" t="inlineStr">
        <is>
          <t>Ia</t>
        </is>
      </c>
      <c r="G32" s="19" t="inlineStr">
        <is>
          <t>Federal or national ministry or agency</t>
        </is>
      </c>
      <c r="H32" s="19" t="inlineStr">
        <is>
          <t>Designated</t>
        </is>
      </c>
      <c r="I32" s="19" t="n">
        <v>2003</v>
      </c>
      <c r="J32" s="19" t="n">
        <v>2</v>
      </c>
      <c r="K32" s="19" t="inlineStr">
        <is>
          <t>Point</t>
        </is>
      </c>
      <c r="L32" s="20" t="n">
        <v>26.84</v>
      </c>
      <c r="M32" s="20" t="n">
        <v>26.84</v>
      </c>
      <c r="N32" s="20" t="n"/>
      <c r="O32" s="20" t="n"/>
      <c r="P32" s="19" t="inlineStr">
        <is>
          <t>N</t>
        </is>
      </c>
      <c r="Q32" s="19" t="n"/>
      <c r="R32" s="20" t="n">
        <v>0</v>
      </c>
      <c r="S32" s="20" t="n">
        <v>26.837</v>
      </c>
      <c r="T32" s="19" t="inlineStr">
        <is>
          <t>N</t>
        </is>
      </c>
      <c r="U32" s="19" t="n"/>
      <c r="V32" s="19" t="n"/>
      <c r="W32" s="19" t="n"/>
      <c r="X32" s="19" t="n"/>
      <c r="Y32" s="19" t="n"/>
      <c r="Z32" s="21">
        <f>IF(AND($A32="",$B32=""),"",IF(OR($E32="",$H32="",$H32="Proposed",$H32="Not Reported"),0,IF(AND($P32="Y",$Q32&lt;&gt;"Y"),0,IF(AND($K32="Point",N($L32)&lt;=0),0,IF(AND(N($L32)&lt;=0,N($N32)&lt;=0,N($R32)+N($S32)&lt;=0),0,1)))))</f>
        <v/>
      </c>
      <c r="AA32" s="21">
        <f>IF(AND($A32="",$B32=""),"",IF($E32="","Site type missing",IF($H32="","STATUS missing",IF($H32="Proposed","STATUS = Proposed",IF($H32="Not Reported","STATUS = Not Reported",IF(AND($P32="Y",$Q32&lt;&gt;"Y"),"UNESCO-MAB Biosphere Reserve",IF(AND($K32="Point",N($L32)&lt;=0),"Point without REP_AREA",IF(AND(N($L32)&lt;=0,N($N32)&lt;=0,N($R32)+N($S32)&lt;=0),"No area information",""))))))))</f>
        <v/>
      </c>
      <c r="AB32" s="22">
        <f>IF(AND($A32="",$B32=""),"",IF($K32="Point",N($L32),IF(N($N32)&gt;0,N($N32),N($L32))))</f>
        <v/>
      </c>
      <c r="AC32" s="22">
        <f>IF(AND($A32="",$B32=""),"",MIN(AB32,IF(N($J32)=0,0,IF(N($J32)=2,AB32,IF(AND($K32&lt;&gt;"Point",N($O32)&gt;0),N($O32),N($M32))))))</f>
        <v/>
      </c>
      <c r="AD32" s="22">
        <f>IF(AND($A32="",$B32=""),"",MAX(0,AB32-AC32))</f>
        <v/>
      </c>
      <c r="AE32" s="21">
        <f>IF(AND($A32="",$B32=""),"",IF(OR($R32&lt;&gt;"",$S32&lt;&gt;""),1,0))</f>
        <v/>
      </c>
      <c r="AF32" s="22">
        <f>IF(AND($A32="",$B32=""),"",IF(Z32=1,IF(AE32=1,N($R32),AD32),0))</f>
        <v/>
      </c>
      <c r="AG32" s="22">
        <f>IF(AND($A32="",$B32=""),"",IF(Z32=1,IF(AE32=1,N($S32),AC32),0))</f>
        <v/>
      </c>
      <c r="AH32" s="21">
        <f>IF(AND($A32="",$B32=""),"",IF(AND(ISNUMBER($I32),N($I32)&gt;0),$I32,0))</f>
        <v/>
      </c>
      <c r="AI32" s="23">
        <f>IF(AND(NOT(AND($A32="",$B32="")),$K32="Point",N($L32)&gt;0),SQRT(N($L32)/PI()),"")</f>
        <v/>
      </c>
      <c r="AJ32" s="21">
        <f>IF(AND($A32="",$B32=""),"",IFERROR(VLOOKUP($G32,Lists!$D$4:$E$15,2,FALSE),"Not reported"))</f>
        <v/>
      </c>
      <c r="AK32" s="21">
        <f>IF(AND($A32="",$B32=""),"",IF($X32&lt;&gt;"",$X32,IF($T32&lt;&gt;"Y","Not assessed",IF(AND(ISNUMBER($V32),Setup!$B$6-$V32&gt;Setup!$B$26),"Assessment outdated",IF(NOT(ISNUMBER($W32)),"Assessed – no score",IF($W32&gt;=Setup!$B$24,"High",IF($W32&gt;=Setup!$B$25,"Moderate","Low")))))))</f>
        <v/>
      </c>
      <c r="AL32" s="21">
        <f>IF(AND($A32="",$B32=""),"",IF(Z32=0,"",IF(AND(AE32=1,N($R32)&gt;AD32*1.01+0.001),"Net terrestrial &gt; gross; ","")&amp;IF(AND(AE32=1,N($S32)&gt;AC32*1.01+0.001),"Net marine &gt; gross; ","")&amp;IF(AE32=0,"No net area – gross used, overlaps may be double-counted; ","")&amp;IF(AH32=0,"STATUS_YR missing – imputed in time series; ","")&amp;IF(AND(ISNUMBER($I32),N($I32)&gt;Setup!$B$6),"STATUS_YR after reporting year; ","")&amp;IF(OR($G32="",$G32="Not Reported"),"GOV_TYPE not reported; ","")&amp;IF(AND(N($J32)=1,$K32="Point",N($M32)&lt;=0),"Coastal point without REP_M_AREA – land/sea split unknown; ","")&amp;IF(AND(N($J32)=0,N($S32)&gt;0),"MARINE=0 but net marine &gt;0; ","")&amp;IF(AND(N($J32)=2,N($R32)&gt;0),"MARINE=2 but net terrestrial &gt;0; ","")&amp;IF($K32="Point","Buffered point – coverage approximate; ","")))</f>
        <v/>
      </c>
    </row>
    <row r="33">
      <c r="A33" s="19" t="n">
        <v>72354</v>
      </c>
      <c r="B33" s="19" t="inlineStr">
        <is>
          <t>Parc National de Djebel Aissa</t>
        </is>
      </c>
      <c r="C33" s="19" t="inlineStr">
        <is>
          <t>National Park</t>
        </is>
      </c>
      <c r="D33" s="19" t="inlineStr">
        <is>
          <t>National</t>
        </is>
      </c>
      <c r="E33" s="19" t="inlineStr">
        <is>
          <t>PA</t>
        </is>
      </c>
      <c r="F33" s="19" t="inlineStr">
        <is>
          <t>II</t>
        </is>
      </c>
      <c r="G33" s="19" t="inlineStr">
        <is>
          <t>Not Reported</t>
        </is>
      </c>
      <c r="H33" s="19" t="inlineStr">
        <is>
          <t>Designated</t>
        </is>
      </c>
      <c r="I33" s="19" t="n">
        <v>2003</v>
      </c>
      <c r="J33" s="19" t="n">
        <v>0</v>
      </c>
      <c r="K33" s="19" t="inlineStr">
        <is>
          <t>Point</t>
        </is>
      </c>
      <c r="L33" s="20" t="n">
        <v>244</v>
      </c>
      <c r="M33" s="20" t="n">
        <v>0</v>
      </c>
      <c r="N33" s="20" t="n"/>
      <c r="O33" s="20" t="n"/>
      <c r="P33" s="19" t="inlineStr">
        <is>
          <t>N</t>
        </is>
      </c>
      <c r="Q33" s="19" t="n"/>
      <c r="R33" s="20" t="n">
        <v>243.976</v>
      </c>
      <c r="S33" s="20" t="n">
        <v>0</v>
      </c>
      <c r="T33" s="19" t="inlineStr">
        <is>
          <t>N</t>
        </is>
      </c>
      <c r="U33" s="19" t="n"/>
      <c r="V33" s="19" t="n"/>
      <c r="W33" s="19" t="n"/>
      <c r="X33" s="19" t="n"/>
      <c r="Y33" s="19" t="n"/>
      <c r="Z33" s="21">
        <f>IF(AND($A33="",$B33=""),"",IF(OR($E33="",$H33="",$H33="Proposed",$H33="Not Reported"),0,IF(AND($P33="Y",$Q33&lt;&gt;"Y"),0,IF(AND($K33="Point",N($L33)&lt;=0),0,IF(AND(N($L33)&lt;=0,N($N33)&lt;=0,N($R33)+N($S33)&lt;=0),0,1)))))</f>
        <v/>
      </c>
      <c r="AA33" s="21">
        <f>IF(AND($A33="",$B33=""),"",IF($E33="","Site type missing",IF($H33="","STATUS missing",IF($H33="Proposed","STATUS = Proposed",IF($H33="Not Reported","STATUS = Not Reported",IF(AND($P33="Y",$Q33&lt;&gt;"Y"),"UNESCO-MAB Biosphere Reserve",IF(AND($K33="Point",N($L33)&lt;=0),"Point without REP_AREA",IF(AND(N($L33)&lt;=0,N($N33)&lt;=0,N($R33)+N($S33)&lt;=0),"No area information",""))))))))</f>
        <v/>
      </c>
      <c r="AB33" s="22">
        <f>IF(AND($A33="",$B33=""),"",IF($K33="Point",N($L33),IF(N($N33)&gt;0,N($N33),N($L33))))</f>
        <v/>
      </c>
      <c r="AC33" s="22">
        <f>IF(AND($A33="",$B33=""),"",MIN(AB33,IF(N($J33)=0,0,IF(N($J33)=2,AB33,IF(AND($K33&lt;&gt;"Point",N($O33)&gt;0),N($O33),N($M33))))))</f>
        <v/>
      </c>
      <c r="AD33" s="22">
        <f>IF(AND($A33="",$B33=""),"",MAX(0,AB33-AC33))</f>
        <v/>
      </c>
      <c r="AE33" s="21">
        <f>IF(AND($A33="",$B33=""),"",IF(OR($R33&lt;&gt;"",$S33&lt;&gt;""),1,0))</f>
        <v/>
      </c>
      <c r="AF33" s="22">
        <f>IF(AND($A33="",$B33=""),"",IF(Z33=1,IF(AE33=1,N($R33),AD33),0))</f>
        <v/>
      </c>
      <c r="AG33" s="22">
        <f>IF(AND($A33="",$B33=""),"",IF(Z33=1,IF(AE33=1,N($S33),AC33),0))</f>
        <v/>
      </c>
      <c r="AH33" s="21">
        <f>IF(AND($A33="",$B33=""),"",IF(AND(ISNUMBER($I33),N($I33)&gt;0),$I33,0))</f>
        <v/>
      </c>
      <c r="AI33" s="23">
        <f>IF(AND(NOT(AND($A33="",$B33="")),$K33="Point",N($L33)&gt;0),SQRT(N($L33)/PI()),"")</f>
        <v/>
      </c>
      <c r="AJ33" s="21">
        <f>IF(AND($A33="",$B33=""),"",IFERROR(VLOOKUP($G33,Lists!$D$4:$E$15,2,FALSE),"Not reported"))</f>
        <v/>
      </c>
      <c r="AK33" s="21">
        <f>IF(AND($A33="",$B33=""),"",IF($X33&lt;&gt;"",$X33,IF($T33&lt;&gt;"Y","Not assessed",IF(AND(ISNUMBER($V33),Setup!$B$6-$V33&gt;Setup!$B$26),"Assessment outdated",IF(NOT(ISNUMBER($W33)),"Assessed – no score",IF($W33&gt;=Setup!$B$24,"High",IF($W33&gt;=Setup!$B$25,"Moderate","Low")))))))</f>
        <v/>
      </c>
      <c r="AL33" s="21">
        <f>IF(AND($A33="",$B33=""),"",IF(Z33=0,"",IF(AND(AE33=1,N($R33)&gt;AD33*1.01+0.001),"Net terrestrial &gt; gross; ","")&amp;IF(AND(AE33=1,N($S33)&gt;AC33*1.01+0.001),"Net marine &gt; gross; ","")&amp;IF(AE33=0,"No net area – gross used, overlaps may be double-counted; ","")&amp;IF(AH33=0,"STATUS_YR missing – imputed in time series; ","")&amp;IF(AND(ISNUMBER($I33),N($I33)&gt;Setup!$B$6),"STATUS_YR after reporting year; ","")&amp;IF(OR($G33="",$G33="Not Reported"),"GOV_TYPE not reported; ","")&amp;IF(AND(N($J33)=1,$K33="Point",N($M33)&lt;=0),"Coastal point without REP_M_AREA – land/sea split unknown; ","")&amp;IF(AND(N($J33)=0,N($S33)&gt;0),"MARINE=0 but net marine &gt;0; ","")&amp;IF(AND(N($J33)=2,N($R33)&gt;0),"MARINE=2 but net terrestrial &gt;0; ","")&amp;IF($K33="Point","Buffered point – coverage approximate; ","")))</f>
        <v/>
      </c>
    </row>
    <row r="34">
      <c r="A34" s="19" t="n">
        <v>901222</v>
      </c>
      <c r="B34" s="19" t="inlineStr">
        <is>
          <t>Aulnaie de Aïn Khiar</t>
        </is>
      </c>
      <c r="C34" s="19" t="inlineStr">
        <is>
          <t>Wetland of International Importance (Ramsar Site)</t>
        </is>
      </c>
      <c r="D34" s="19" t="inlineStr">
        <is>
          <t>International</t>
        </is>
      </c>
      <c r="E34" s="19" t="inlineStr">
        <is>
          <t>PA</t>
        </is>
      </c>
      <c r="F34" s="19" t="inlineStr">
        <is>
          <t>Not Reported</t>
        </is>
      </c>
      <c r="G34" s="19" t="inlineStr">
        <is>
          <t>Federal or national ministry or agency</t>
        </is>
      </c>
      <c r="H34" s="19" t="inlineStr">
        <is>
          <t>Designated</t>
        </is>
      </c>
      <c r="I34" s="19" t="n">
        <v>2003</v>
      </c>
      <c r="J34" s="19" t="n">
        <v>0</v>
      </c>
      <c r="K34" s="19" t="inlineStr">
        <is>
          <t>Polygon</t>
        </is>
      </c>
      <c r="L34" s="20" t="n">
        <v>1.8</v>
      </c>
      <c r="M34" s="20" t="n">
        <v>0</v>
      </c>
      <c r="N34" s="20" t="n">
        <v>1.679</v>
      </c>
      <c r="O34" s="20" t="n">
        <v>0</v>
      </c>
      <c r="P34" s="19" t="inlineStr">
        <is>
          <t>N</t>
        </is>
      </c>
      <c r="Q34" s="19" t="n"/>
      <c r="R34" s="20" t="n">
        <v>0.008</v>
      </c>
      <c r="S34" s="20" t="n">
        <v>0</v>
      </c>
      <c r="T34" s="19" t="inlineStr">
        <is>
          <t>N</t>
        </is>
      </c>
      <c r="U34" s="19" t="n"/>
      <c r="V34" s="19" t="n"/>
      <c r="W34" s="19" t="n"/>
      <c r="X34" s="19" t="n"/>
      <c r="Y34" s="19" t="inlineStr">
        <is>
          <t>Overlap attributed to earlier site</t>
        </is>
      </c>
      <c r="Z34" s="21">
        <f>IF(AND($A34="",$B34=""),"",IF(OR($E34="",$H34="",$H34="Proposed",$H34="Not Reported"),0,IF(AND($P34="Y",$Q34&lt;&gt;"Y"),0,IF(AND($K34="Point",N($L34)&lt;=0),0,IF(AND(N($L34)&lt;=0,N($N34)&lt;=0,N($R34)+N($S34)&lt;=0),0,1)))))</f>
        <v/>
      </c>
      <c r="AA34" s="21">
        <f>IF(AND($A34="",$B34=""),"",IF($E34="","Site type missing",IF($H34="","STATUS missing",IF($H34="Proposed","STATUS = Proposed",IF($H34="Not Reported","STATUS = Not Reported",IF(AND($P34="Y",$Q34&lt;&gt;"Y"),"UNESCO-MAB Biosphere Reserve",IF(AND($K34="Point",N($L34)&lt;=0),"Point without REP_AREA",IF(AND(N($L34)&lt;=0,N($N34)&lt;=0,N($R34)+N($S34)&lt;=0),"No area information",""))))))))</f>
        <v/>
      </c>
      <c r="AB34" s="22">
        <f>IF(AND($A34="",$B34=""),"",IF($K34="Point",N($L34),IF(N($N34)&gt;0,N($N34),N($L34))))</f>
        <v/>
      </c>
      <c r="AC34" s="22">
        <f>IF(AND($A34="",$B34=""),"",MIN(AB34,IF(N($J34)=0,0,IF(N($J34)=2,AB34,IF(AND($K34&lt;&gt;"Point",N($O34)&gt;0),N($O34),N($M34))))))</f>
        <v/>
      </c>
      <c r="AD34" s="22">
        <f>IF(AND($A34="",$B34=""),"",MAX(0,AB34-AC34))</f>
        <v/>
      </c>
      <c r="AE34" s="21">
        <f>IF(AND($A34="",$B34=""),"",IF(OR($R34&lt;&gt;"",$S34&lt;&gt;""),1,0))</f>
        <v/>
      </c>
      <c r="AF34" s="22">
        <f>IF(AND($A34="",$B34=""),"",IF(Z34=1,IF(AE34=1,N($R34),AD34),0))</f>
        <v/>
      </c>
      <c r="AG34" s="22">
        <f>IF(AND($A34="",$B34=""),"",IF(Z34=1,IF(AE34=1,N($S34),AC34),0))</f>
        <v/>
      </c>
      <c r="AH34" s="21">
        <f>IF(AND($A34="",$B34=""),"",IF(AND(ISNUMBER($I34),N($I34)&gt;0),$I34,0))</f>
        <v/>
      </c>
      <c r="AI34" s="23">
        <f>IF(AND(NOT(AND($A34="",$B34="")),$K34="Point",N($L34)&gt;0),SQRT(N($L34)/PI()),"")</f>
        <v/>
      </c>
      <c r="AJ34" s="21">
        <f>IF(AND($A34="",$B34=""),"",IFERROR(VLOOKUP($G34,Lists!$D$4:$E$15,2,FALSE),"Not reported"))</f>
        <v/>
      </c>
      <c r="AK34" s="21">
        <f>IF(AND($A34="",$B34=""),"",IF($X34&lt;&gt;"",$X34,IF($T34&lt;&gt;"Y","Not assessed",IF(AND(ISNUMBER($V34),Setup!$B$6-$V34&gt;Setup!$B$26),"Assessment outdated",IF(NOT(ISNUMBER($W34)),"Assessed – no score",IF($W34&gt;=Setup!$B$24,"High",IF($W34&gt;=Setup!$B$25,"Moderate","Low")))))))</f>
        <v/>
      </c>
      <c r="AL34" s="21">
        <f>IF(AND($A34="",$B34=""),"",IF(Z34=0,"",IF(AND(AE34=1,N($R34)&gt;AD34*1.01+0.001),"Net terrestrial &gt; gross; ","")&amp;IF(AND(AE34=1,N($S34)&gt;AC34*1.01+0.001),"Net marine &gt; gross; ","")&amp;IF(AE34=0,"No net area – gross used, overlaps may be double-counted; ","")&amp;IF(AH34=0,"STATUS_YR missing – imputed in time series; ","")&amp;IF(AND(ISNUMBER($I34),N($I34)&gt;Setup!$B$6),"STATUS_YR after reporting year; ","")&amp;IF(OR($G34="",$G34="Not Reported"),"GOV_TYPE not reported; ","")&amp;IF(AND(N($J34)=1,$K34="Point",N($M34)&lt;=0),"Coastal point without REP_M_AREA – land/sea split unknown; ","")&amp;IF(AND(N($J34)=0,N($S34)&gt;0),"MARINE=0 but net marine &gt;0; ","")&amp;IF(AND(N($J34)=2,N($R34)&gt;0),"MARINE=2 but net terrestrial &gt;0; ","")&amp;IF($K34="Point","Buffered point – coverage approximate; ","")))</f>
        <v/>
      </c>
    </row>
    <row r="35">
      <c r="A35" s="19" t="n">
        <v>901223</v>
      </c>
      <c r="B35" s="19" t="inlineStr">
        <is>
          <t>Chott Zahrez Chergui</t>
        </is>
      </c>
      <c r="C35" s="19" t="inlineStr">
        <is>
          <t>Wetland of International Importance (Ramsar Site)</t>
        </is>
      </c>
      <c r="D35" s="19" t="inlineStr">
        <is>
          <t>International</t>
        </is>
      </c>
      <c r="E35" s="19" t="inlineStr">
        <is>
          <t>PA</t>
        </is>
      </c>
      <c r="F35" s="19" t="inlineStr">
        <is>
          <t>Not Reported</t>
        </is>
      </c>
      <c r="G35" s="19" t="inlineStr">
        <is>
          <t>Federal or national ministry or agency</t>
        </is>
      </c>
      <c r="H35" s="19" t="inlineStr">
        <is>
          <t>Designated</t>
        </is>
      </c>
      <c r="I35" s="19" t="n">
        <v>2003</v>
      </c>
      <c r="J35" s="19" t="n">
        <v>0</v>
      </c>
      <c r="K35" s="19" t="inlineStr">
        <is>
          <t>Polygon</t>
        </is>
      </c>
      <c r="L35" s="20" t="n">
        <v>509.85</v>
      </c>
      <c r="M35" s="20" t="n">
        <v>0</v>
      </c>
      <c r="N35" s="20" t="n">
        <v>510.274</v>
      </c>
      <c r="O35" s="20" t="n">
        <v>0</v>
      </c>
      <c r="P35" s="19" t="inlineStr">
        <is>
          <t>N</t>
        </is>
      </c>
      <c r="Q35" s="19" t="n"/>
      <c r="R35" s="20" t="n">
        <v>511.426</v>
      </c>
      <c r="S35" s="20" t="n">
        <v>0</v>
      </c>
      <c r="T35" s="19" t="inlineStr">
        <is>
          <t>N</t>
        </is>
      </c>
      <c r="U35" s="19" t="n"/>
      <c r="V35" s="19" t="n"/>
      <c r="W35" s="19" t="n"/>
      <c r="X35" s="19" t="n"/>
      <c r="Y35" s="19" t="n"/>
      <c r="Z35" s="21">
        <f>IF(AND($A35="",$B35=""),"",IF(OR($E35="",$H35="",$H35="Proposed",$H35="Not Reported"),0,IF(AND($P35="Y",$Q35&lt;&gt;"Y"),0,IF(AND($K35="Point",N($L35)&lt;=0),0,IF(AND(N($L35)&lt;=0,N($N35)&lt;=0,N($R35)+N($S35)&lt;=0),0,1)))))</f>
        <v/>
      </c>
      <c r="AA35" s="21">
        <f>IF(AND($A35="",$B35=""),"",IF($E35="","Site type missing",IF($H35="","STATUS missing",IF($H35="Proposed","STATUS = Proposed",IF($H35="Not Reported","STATUS = Not Reported",IF(AND($P35="Y",$Q35&lt;&gt;"Y"),"UNESCO-MAB Biosphere Reserve",IF(AND($K35="Point",N($L35)&lt;=0),"Point without REP_AREA",IF(AND(N($L35)&lt;=0,N($N35)&lt;=0,N($R35)+N($S35)&lt;=0),"No area information",""))))))))</f>
        <v/>
      </c>
      <c r="AB35" s="22">
        <f>IF(AND($A35="",$B35=""),"",IF($K35="Point",N($L35),IF(N($N35)&gt;0,N($N35),N($L35))))</f>
        <v/>
      </c>
      <c r="AC35" s="22">
        <f>IF(AND($A35="",$B35=""),"",MIN(AB35,IF(N($J35)=0,0,IF(N($J35)=2,AB35,IF(AND($K35&lt;&gt;"Point",N($O35)&gt;0),N($O35),N($M35))))))</f>
        <v/>
      </c>
      <c r="AD35" s="22">
        <f>IF(AND($A35="",$B35=""),"",MAX(0,AB35-AC35))</f>
        <v/>
      </c>
      <c r="AE35" s="21">
        <f>IF(AND($A35="",$B35=""),"",IF(OR($R35&lt;&gt;"",$S35&lt;&gt;""),1,0))</f>
        <v/>
      </c>
      <c r="AF35" s="22">
        <f>IF(AND($A35="",$B35=""),"",IF(Z35=1,IF(AE35=1,N($R35),AD35),0))</f>
        <v/>
      </c>
      <c r="AG35" s="22">
        <f>IF(AND($A35="",$B35=""),"",IF(Z35=1,IF(AE35=1,N($S35),AC35),0))</f>
        <v/>
      </c>
      <c r="AH35" s="21">
        <f>IF(AND($A35="",$B35=""),"",IF(AND(ISNUMBER($I35),N($I35)&gt;0),$I35,0))</f>
        <v/>
      </c>
      <c r="AI35" s="23">
        <f>IF(AND(NOT(AND($A35="",$B35="")),$K35="Point",N($L35)&gt;0),SQRT(N($L35)/PI()),"")</f>
        <v/>
      </c>
      <c r="AJ35" s="21">
        <f>IF(AND($A35="",$B35=""),"",IFERROR(VLOOKUP($G35,Lists!$D$4:$E$15,2,FALSE),"Not reported"))</f>
        <v/>
      </c>
      <c r="AK35" s="21">
        <f>IF(AND($A35="",$B35=""),"",IF($X35&lt;&gt;"",$X35,IF($T35&lt;&gt;"Y","Not assessed",IF(AND(ISNUMBER($V35),Setup!$B$6-$V35&gt;Setup!$B$26),"Assessment outdated",IF(NOT(ISNUMBER($W35)),"Assessed – no score",IF($W35&gt;=Setup!$B$24,"High",IF($W35&gt;=Setup!$B$25,"Moderate","Low")))))))</f>
        <v/>
      </c>
      <c r="AL35" s="21">
        <f>IF(AND($A35="",$B35=""),"",IF(Z35=0,"",IF(AND(AE35=1,N($R35)&gt;AD35*1.01+0.001),"Net terrestrial &gt; gross; ","")&amp;IF(AND(AE35=1,N($S35)&gt;AC35*1.01+0.001),"Net marine &gt; gross; ","")&amp;IF(AE35=0,"No net area – gross used, overlaps may be double-counted; ","")&amp;IF(AH35=0,"STATUS_YR missing – imputed in time series; ","")&amp;IF(AND(ISNUMBER($I35),N($I35)&gt;Setup!$B$6),"STATUS_YR after reporting year; ","")&amp;IF(OR($G35="",$G35="Not Reported"),"GOV_TYPE not reported; ","")&amp;IF(AND(N($J35)=1,$K35="Point",N($M35)&lt;=0),"Coastal point without REP_M_AREA – land/sea split unknown; ","")&amp;IF(AND(N($J35)=0,N($S35)&gt;0),"MARINE=0 but net marine &gt;0; ","")&amp;IF(AND(N($J35)=2,N($R35)&gt;0),"MARINE=2 but net terrestrial &gt;0; ","")&amp;IF($K35="Point","Buffered point – coverage approximate; ","")))</f>
        <v/>
      </c>
    </row>
    <row r="36">
      <c r="A36" s="19" t="n">
        <v>901224</v>
      </c>
      <c r="B36" s="19" t="inlineStr">
        <is>
          <t>Chott Zahrez Gharbi</t>
        </is>
      </c>
      <c r="C36" s="19" t="inlineStr">
        <is>
          <t>Wetland of International Importance (Ramsar Site)</t>
        </is>
      </c>
      <c r="D36" s="19" t="inlineStr">
        <is>
          <t>International</t>
        </is>
      </c>
      <c r="E36" s="19" t="inlineStr">
        <is>
          <t>PA</t>
        </is>
      </c>
      <c r="F36" s="19" t="inlineStr">
        <is>
          <t>Not Reported</t>
        </is>
      </c>
      <c r="G36" s="19" t="inlineStr">
        <is>
          <t>Federal or national ministry or agency</t>
        </is>
      </c>
      <c r="H36" s="19" t="inlineStr">
        <is>
          <t>Designated</t>
        </is>
      </c>
      <c r="I36" s="19" t="n">
        <v>2003</v>
      </c>
      <c r="J36" s="19" t="n">
        <v>0</v>
      </c>
      <c r="K36" s="19" t="inlineStr">
        <is>
          <t>Polygon</t>
        </is>
      </c>
      <c r="L36" s="20" t="n">
        <v>522</v>
      </c>
      <c r="M36" s="20" t="n">
        <v>0</v>
      </c>
      <c r="N36" s="20" t="n">
        <v>524.075</v>
      </c>
      <c r="O36" s="20" t="n">
        <v>0</v>
      </c>
      <c r="P36" s="19" t="inlineStr">
        <is>
          <t>N</t>
        </is>
      </c>
      <c r="Q36" s="19" t="n"/>
      <c r="R36" s="20" t="n">
        <v>525.293</v>
      </c>
      <c r="S36" s="20" t="n">
        <v>0</v>
      </c>
      <c r="T36" s="19" t="inlineStr">
        <is>
          <t>N</t>
        </is>
      </c>
      <c r="U36" s="19" t="n"/>
      <c r="V36" s="19" t="n"/>
      <c r="W36" s="19" t="n"/>
      <c r="X36" s="19" t="n"/>
      <c r="Y36" s="19" t="n"/>
      <c r="Z36" s="21">
        <f>IF(AND($A36="",$B36=""),"",IF(OR($E36="",$H36="",$H36="Proposed",$H36="Not Reported"),0,IF(AND($P36="Y",$Q36&lt;&gt;"Y"),0,IF(AND($K36="Point",N($L36)&lt;=0),0,IF(AND(N($L36)&lt;=0,N($N36)&lt;=0,N($R36)+N($S36)&lt;=0),0,1)))))</f>
        <v/>
      </c>
      <c r="AA36" s="21">
        <f>IF(AND($A36="",$B36=""),"",IF($E36="","Site type missing",IF($H36="","STATUS missing",IF($H36="Proposed","STATUS = Proposed",IF($H36="Not Reported","STATUS = Not Reported",IF(AND($P36="Y",$Q36&lt;&gt;"Y"),"UNESCO-MAB Biosphere Reserve",IF(AND($K36="Point",N($L36)&lt;=0),"Point without REP_AREA",IF(AND(N($L36)&lt;=0,N($N36)&lt;=0,N($R36)+N($S36)&lt;=0),"No area information",""))))))))</f>
        <v/>
      </c>
      <c r="AB36" s="22">
        <f>IF(AND($A36="",$B36=""),"",IF($K36="Point",N($L36),IF(N($N36)&gt;0,N($N36),N($L36))))</f>
        <v/>
      </c>
      <c r="AC36" s="22">
        <f>IF(AND($A36="",$B36=""),"",MIN(AB36,IF(N($J36)=0,0,IF(N($J36)=2,AB36,IF(AND($K36&lt;&gt;"Point",N($O36)&gt;0),N($O36),N($M36))))))</f>
        <v/>
      </c>
      <c r="AD36" s="22">
        <f>IF(AND($A36="",$B36=""),"",MAX(0,AB36-AC36))</f>
        <v/>
      </c>
      <c r="AE36" s="21">
        <f>IF(AND($A36="",$B36=""),"",IF(OR($R36&lt;&gt;"",$S36&lt;&gt;""),1,0))</f>
        <v/>
      </c>
      <c r="AF36" s="22">
        <f>IF(AND($A36="",$B36=""),"",IF(Z36=1,IF(AE36=1,N($R36),AD36),0))</f>
        <v/>
      </c>
      <c r="AG36" s="22">
        <f>IF(AND($A36="",$B36=""),"",IF(Z36=1,IF(AE36=1,N($S36),AC36),0))</f>
        <v/>
      </c>
      <c r="AH36" s="21">
        <f>IF(AND($A36="",$B36=""),"",IF(AND(ISNUMBER($I36),N($I36)&gt;0),$I36,0))</f>
        <v/>
      </c>
      <c r="AI36" s="23">
        <f>IF(AND(NOT(AND($A36="",$B36="")),$K36="Point",N($L36)&gt;0),SQRT(N($L36)/PI()),"")</f>
        <v/>
      </c>
      <c r="AJ36" s="21">
        <f>IF(AND($A36="",$B36=""),"",IFERROR(VLOOKUP($G36,Lists!$D$4:$E$15,2,FALSE),"Not reported"))</f>
        <v/>
      </c>
      <c r="AK36" s="21">
        <f>IF(AND($A36="",$B36=""),"",IF($X36&lt;&gt;"",$X36,IF($T36&lt;&gt;"Y","Not assessed",IF(AND(ISNUMBER($V36),Setup!$B$6-$V36&gt;Setup!$B$26),"Assessment outdated",IF(NOT(ISNUMBER($W36)),"Assessed – no score",IF($W36&gt;=Setup!$B$24,"High",IF($W36&gt;=Setup!$B$25,"Moderate","Low")))))))</f>
        <v/>
      </c>
      <c r="AL36" s="21">
        <f>IF(AND($A36="",$B36=""),"",IF(Z36=0,"",IF(AND(AE36=1,N($R36)&gt;AD36*1.01+0.001),"Net terrestrial &gt; gross; ","")&amp;IF(AND(AE36=1,N($S36)&gt;AC36*1.01+0.001),"Net marine &gt; gross; ","")&amp;IF(AE36=0,"No net area – gross used, overlaps may be double-counted; ","")&amp;IF(AH36=0,"STATUS_YR missing – imputed in time series; ","")&amp;IF(AND(ISNUMBER($I36),N($I36)&gt;Setup!$B$6),"STATUS_YR after reporting year; ","")&amp;IF(OR($G36="",$G36="Not Reported"),"GOV_TYPE not reported; ","")&amp;IF(AND(N($J36)=1,$K36="Point",N($M36)&lt;=0),"Coastal point without REP_M_AREA – land/sea split unknown; ","")&amp;IF(AND(N($J36)=0,N($S36)&gt;0),"MARINE=0 but net marine &gt;0; ","")&amp;IF(AND(N($J36)=2,N($R36)&gt;0),"MARINE=2 but net terrestrial &gt;0; ","")&amp;IF($K36="Point","Buffered point – coverage approximate; ","")))</f>
        <v/>
      </c>
    </row>
    <row r="37">
      <c r="A37" s="19" t="n">
        <v>901225</v>
      </c>
      <c r="B37" s="19" t="inlineStr">
        <is>
          <t>Chott Melrhir</t>
        </is>
      </c>
      <c r="C37" s="19" t="inlineStr">
        <is>
          <t>Wetland of International Importance (Ramsar Site)</t>
        </is>
      </c>
      <c r="D37" s="19" t="inlineStr">
        <is>
          <t>International</t>
        </is>
      </c>
      <c r="E37" s="19" t="inlineStr">
        <is>
          <t>PA</t>
        </is>
      </c>
      <c r="F37" s="19" t="inlineStr">
        <is>
          <t>Not Reported</t>
        </is>
      </c>
      <c r="G37" s="19" t="inlineStr">
        <is>
          <t>Federal or national ministry or agency</t>
        </is>
      </c>
      <c r="H37" s="19" t="inlineStr">
        <is>
          <t>Designated</t>
        </is>
      </c>
      <c r="I37" s="19" t="n">
        <v>2003</v>
      </c>
      <c r="J37" s="19" t="n">
        <v>0</v>
      </c>
      <c r="K37" s="19" t="inlineStr">
        <is>
          <t>Polygon</t>
        </is>
      </c>
      <c r="L37" s="20" t="n">
        <v>5515</v>
      </c>
      <c r="M37" s="20" t="n">
        <v>0</v>
      </c>
      <c r="N37" s="20" t="n">
        <v>5386.079</v>
      </c>
      <c r="O37" s="20" t="n">
        <v>0</v>
      </c>
      <c r="P37" s="19" t="inlineStr">
        <is>
          <t>N</t>
        </is>
      </c>
      <c r="Q37" s="19" t="n"/>
      <c r="R37" s="20" t="n">
        <v>5399.405</v>
      </c>
      <c r="S37" s="20" t="n">
        <v>0</v>
      </c>
      <c r="T37" s="19" t="inlineStr">
        <is>
          <t>N</t>
        </is>
      </c>
      <c r="U37" s="19" t="n"/>
      <c r="V37" s="19" t="n"/>
      <c r="W37" s="19" t="n"/>
      <c r="X37" s="19" t="n"/>
      <c r="Y37" s="19" t="n"/>
      <c r="Z37" s="21">
        <f>IF(AND($A37="",$B37=""),"",IF(OR($E37="",$H37="",$H37="Proposed",$H37="Not Reported"),0,IF(AND($P37="Y",$Q37&lt;&gt;"Y"),0,IF(AND($K37="Point",N($L37)&lt;=0),0,IF(AND(N($L37)&lt;=0,N($N37)&lt;=0,N($R37)+N($S37)&lt;=0),0,1)))))</f>
        <v/>
      </c>
      <c r="AA37" s="21">
        <f>IF(AND($A37="",$B37=""),"",IF($E37="","Site type missing",IF($H37="","STATUS missing",IF($H37="Proposed","STATUS = Proposed",IF($H37="Not Reported","STATUS = Not Reported",IF(AND($P37="Y",$Q37&lt;&gt;"Y"),"UNESCO-MAB Biosphere Reserve",IF(AND($K37="Point",N($L37)&lt;=0),"Point without REP_AREA",IF(AND(N($L37)&lt;=0,N($N37)&lt;=0,N($R37)+N($S37)&lt;=0),"No area information",""))))))))</f>
        <v/>
      </c>
      <c r="AB37" s="22">
        <f>IF(AND($A37="",$B37=""),"",IF($K37="Point",N($L37),IF(N($N37)&gt;0,N($N37),N($L37))))</f>
        <v/>
      </c>
      <c r="AC37" s="22">
        <f>IF(AND($A37="",$B37=""),"",MIN(AB37,IF(N($J37)=0,0,IF(N($J37)=2,AB37,IF(AND($K37&lt;&gt;"Point",N($O37)&gt;0),N($O37),N($M37))))))</f>
        <v/>
      </c>
      <c r="AD37" s="22">
        <f>IF(AND($A37="",$B37=""),"",MAX(0,AB37-AC37))</f>
        <v/>
      </c>
      <c r="AE37" s="21">
        <f>IF(AND($A37="",$B37=""),"",IF(OR($R37&lt;&gt;"",$S37&lt;&gt;""),1,0))</f>
        <v/>
      </c>
      <c r="AF37" s="22">
        <f>IF(AND($A37="",$B37=""),"",IF(Z37=1,IF(AE37=1,N($R37),AD37),0))</f>
        <v/>
      </c>
      <c r="AG37" s="22">
        <f>IF(AND($A37="",$B37=""),"",IF(Z37=1,IF(AE37=1,N($S37),AC37),0))</f>
        <v/>
      </c>
      <c r="AH37" s="21">
        <f>IF(AND($A37="",$B37=""),"",IF(AND(ISNUMBER($I37),N($I37)&gt;0),$I37,0))</f>
        <v/>
      </c>
      <c r="AI37" s="23">
        <f>IF(AND(NOT(AND($A37="",$B37="")),$K37="Point",N($L37)&gt;0),SQRT(N($L37)/PI()),"")</f>
        <v/>
      </c>
      <c r="AJ37" s="21">
        <f>IF(AND($A37="",$B37=""),"",IFERROR(VLOOKUP($G37,Lists!$D$4:$E$15,2,FALSE),"Not reported"))</f>
        <v/>
      </c>
      <c r="AK37" s="21">
        <f>IF(AND($A37="",$B37=""),"",IF($X37&lt;&gt;"",$X37,IF($T37&lt;&gt;"Y","Not assessed",IF(AND(ISNUMBER($V37),Setup!$B$6-$V37&gt;Setup!$B$26),"Assessment outdated",IF(NOT(ISNUMBER($W37)),"Assessed – no score",IF($W37&gt;=Setup!$B$24,"High",IF($W37&gt;=Setup!$B$25,"Moderate","Low")))))))</f>
        <v/>
      </c>
      <c r="AL37" s="21">
        <f>IF(AND($A37="",$B37=""),"",IF(Z37=0,"",IF(AND(AE37=1,N($R37)&gt;AD37*1.01+0.001),"Net terrestrial &gt; gross; ","")&amp;IF(AND(AE37=1,N($S37)&gt;AC37*1.01+0.001),"Net marine &gt; gross; ","")&amp;IF(AE37=0,"No net area – gross used, overlaps may be double-counted; ","")&amp;IF(AH37=0,"STATUS_YR missing – imputed in time series; ","")&amp;IF(AND(ISNUMBER($I37),N($I37)&gt;Setup!$B$6),"STATUS_YR after reporting year; ","")&amp;IF(OR($G37="",$G37="Not Reported"),"GOV_TYPE not reported; ","")&amp;IF(AND(N($J37)=1,$K37="Point",N($M37)&lt;=0),"Coastal point without REP_M_AREA – land/sea split unknown; ","")&amp;IF(AND(N($J37)=0,N($S37)&gt;0),"MARINE=0 but net marine &gt;0; ","")&amp;IF(AND(N($J37)=2,N($R37)&gt;0),"MARINE=2 but net terrestrial &gt;0; ","")&amp;IF($K37="Point","Buffered point – coverage approximate; ","")))</f>
        <v/>
      </c>
    </row>
    <row r="38">
      <c r="A38" s="19" t="n">
        <v>901226</v>
      </c>
      <c r="B38" s="19" t="inlineStr">
        <is>
          <t>Grotte karstique de Ghar Boumâaza</t>
        </is>
      </c>
      <c r="C38" s="19" t="inlineStr">
        <is>
          <t>Wetland of International Importance (Ramsar Site)</t>
        </is>
      </c>
      <c r="D38" s="19" t="inlineStr">
        <is>
          <t>International</t>
        </is>
      </c>
      <c r="E38" s="19" t="inlineStr">
        <is>
          <t>PA</t>
        </is>
      </c>
      <c r="F38" s="19" t="inlineStr">
        <is>
          <t>Not Reported</t>
        </is>
      </c>
      <c r="G38" s="19" t="inlineStr">
        <is>
          <t>Federal or national ministry or agency</t>
        </is>
      </c>
      <c r="H38" s="19" t="inlineStr">
        <is>
          <t>Designated</t>
        </is>
      </c>
      <c r="I38" s="19" t="n">
        <v>2003</v>
      </c>
      <c r="J38" s="19" t="n">
        <v>0</v>
      </c>
      <c r="K38" s="19" t="inlineStr">
        <is>
          <t>Polygon</t>
        </is>
      </c>
      <c r="L38" s="20" t="n">
        <v>200</v>
      </c>
      <c r="M38" s="20" t="n">
        <v>0</v>
      </c>
      <c r="N38" s="20" t="n">
        <v>532.859</v>
      </c>
      <c r="O38" s="20" t="n">
        <v>0</v>
      </c>
      <c r="P38" s="19" t="inlineStr">
        <is>
          <t>N</t>
        </is>
      </c>
      <c r="Q38" s="19" t="n"/>
      <c r="R38" s="20" t="n">
        <v>533.008</v>
      </c>
      <c r="S38" s="20" t="n">
        <v>0</v>
      </c>
      <c r="T38" s="19" t="inlineStr">
        <is>
          <t>N</t>
        </is>
      </c>
      <c r="U38" s="19" t="n"/>
      <c r="V38" s="19" t="n"/>
      <c r="W38" s="19" t="n"/>
      <c r="X38" s="19" t="n"/>
      <c r="Y38" s="19" t="n"/>
      <c r="Z38" s="21">
        <f>IF(AND($A38="",$B38=""),"",IF(OR($E38="",$H38="",$H38="Proposed",$H38="Not Reported"),0,IF(AND($P38="Y",$Q38&lt;&gt;"Y"),0,IF(AND($K38="Point",N($L38)&lt;=0),0,IF(AND(N($L38)&lt;=0,N($N38)&lt;=0,N($R38)+N($S38)&lt;=0),0,1)))))</f>
        <v/>
      </c>
      <c r="AA38" s="21">
        <f>IF(AND($A38="",$B38=""),"",IF($E38="","Site type missing",IF($H38="","STATUS missing",IF($H38="Proposed","STATUS = Proposed",IF($H38="Not Reported","STATUS = Not Reported",IF(AND($P38="Y",$Q38&lt;&gt;"Y"),"UNESCO-MAB Biosphere Reserve",IF(AND($K38="Point",N($L38)&lt;=0),"Point without REP_AREA",IF(AND(N($L38)&lt;=0,N($N38)&lt;=0,N($R38)+N($S38)&lt;=0),"No area information",""))))))))</f>
        <v/>
      </c>
      <c r="AB38" s="22">
        <f>IF(AND($A38="",$B38=""),"",IF($K38="Point",N($L38),IF(N($N38)&gt;0,N($N38),N($L38))))</f>
        <v/>
      </c>
      <c r="AC38" s="22">
        <f>IF(AND($A38="",$B38=""),"",MIN(AB38,IF(N($J38)=0,0,IF(N($J38)=2,AB38,IF(AND($K38&lt;&gt;"Point",N($O38)&gt;0),N($O38),N($M38))))))</f>
        <v/>
      </c>
      <c r="AD38" s="22">
        <f>IF(AND($A38="",$B38=""),"",MAX(0,AB38-AC38))</f>
        <v/>
      </c>
      <c r="AE38" s="21">
        <f>IF(AND($A38="",$B38=""),"",IF(OR($R38&lt;&gt;"",$S38&lt;&gt;""),1,0))</f>
        <v/>
      </c>
      <c r="AF38" s="22">
        <f>IF(AND($A38="",$B38=""),"",IF(Z38=1,IF(AE38=1,N($R38),AD38),0))</f>
        <v/>
      </c>
      <c r="AG38" s="22">
        <f>IF(AND($A38="",$B38=""),"",IF(Z38=1,IF(AE38=1,N($S38),AC38),0))</f>
        <v/>
      </c>
      <c r="AH38" s="21">
        <f>IF(AND($A38="",$B38=""),"",IF(AND(ISNUMBER($I38),N($I38)&gt;0),$I38,0))</f>
        <v/>
      </c>
      <c r="AI38" s="23">
        <f>IF(AND(NOT(AND($A38="",$B38="")),$K38="Point",N($L38)&gt;0),SQRT(N($L38)/PI()),"")</f>
        <v/>
      </c>
      <c r="AJ38" s="21">
        <f>IF(AND($A38="",$B38=""),"",IFERROR(VLOOKUP($G38,Lists!$D$4:$E$15,2,FALSE),"Not reported"))</f>
        <v/>
      </c>
      <c r="AK38" s="21">
        <f>IF(AND($A38="",$B38=""),"",IF($X38&lt;&gt;"",$X38,IF($T38&lt;&gt;"Y","Not assessed",IF(AND(ISNUMBER($V38),Setup!$B$6-$V38&gt;Setup!$B$26),"Assessment outdated",IF(NOT(ISNUMBER($W38)),"Assessed – no score",IF($W38&gt;=Setup!$B$24,"High",IF($W38&gt;=Setup!$B$25,"Moderate","Low")))))))</f>
        <v/>
      </c>
      <c r="AL38" s="21">
        <f>IF(AND($A38="",$B38=""),"",IF(Z38=0,"",IF(AND(AE38=1,N($R38)&gt;AD38*1.01+0.001),"Net terrestrial &gt; gross; ","")&amp;IF(AND(AE38=1,N($S38)&gt;AC38*1.01+0.001),"Net marine &gt; gross; ","")&amp;IF(AE38=0,"No net area – gross used, overlaps may be double-counted; ","")&amp;IF(AH38=0,"STATUS_YR missing – imputed in time series; ","")&amp;IF(AND(ISNUMBER($I38),N($I38)&gt;Setup!$B$6),"STATUS_YR after reporting year; ","")&amp;IF(OR($G38="",$G38="Not Reported"),"GOV_TYPE not reported; ","")&amp;IF(AND(N($J38)=1,$K38="Point",N($M38)&lt;=0),"Coastal point without REP_M_AREA – land/sea split unknown; ","")&amp;IF(AND(N($J38)=0,N($S38)&gt;0),"MARINE=0 but net marine &gt;0; ","")&amp;IF(AND(N($J38)=2,N($R38)&gt;0),"MARINE=2 but net terrestrial &gt;0; ","")&amp;IF($K38="Point","Buffered point – coverage approximate; ","")))</f>
        <v/>
      </c>
    </row>
    <row r="39">
      <c r="A39" s="19" t="n">
        <v>901227</v>
      </c>
      <c r="B39" s="19" t="inlineStr">
        <is>
          <t>Gueltates Afilal</t>
        </is>
      </c>
      <c r="C39" s="19" t="inlineStr">
        <is>
          <t>Wetland of International Importance (Ramsar Site)</t>
        </is>
      </c>
      <c r="D39" s="19" t="inlineStr">
        <is>
          <t>International</t>
        </is>
      </c>
      <c r="E39" s="19" t="inlineStr">
        <is>
          <t>PA</t>
        </is>
      </c>
      <c r="F39" s="19" t="inlineStr">
        <is>
          <t>Not Reported</t>
        </is>
      </c>
      <c r="G39" s="19" t="inlineStr">
        <is>
          <t>Federal or national ministry or agency</t>
        </is>
      </c>
      <c r="H39" s="19" t="inlineStr">
        <is>
          <t>Designated</t>
        </is>
      </c>
      <c r="I39" s="19" t="n">
        <v>2003</v>
      </c>
      <c r="J39" s="19" t="n">
        <v>0</v>
      </c>
      <c r="K39" s="19" t="inlineStr">
        <is>
          <t>Polygon</t>
        </is>
      </c>
      <c r="L39" s="20" t="n">
        <v>209</v>
      </c>
      <c r="M39" s="20" t="n">
        <v>0</v>
      </c>
      <c r="N39" s="20" t="n">
        <v>192.584</v>
      </c>
      <c r="O39" s="20" t="n">
        <v>0</v>
      </c>
      <c r="P39" s="19" t="inlineStr">
        <is>
          <t>N</t>
        </is>
      </c>
      <c r="Q39" s="19" t="n"/>
      <c r="R39" s="20" t="n">
        <v>193.481</v>
      </c>
      <c r="S39" s="20" t="n">
        <v>0</v>
      </c>
      <c r="T39" s="19" t="inlineStr">
        <is>
          <t>N</t>
        </is>
      </c>
      <c r="U39" s="19" t="n"/>
      <c r="V39" s="19" t="n"/>
      <c r="W39" s="19" t="n"/>
      <c r="X39" s="19" t="n"/>
      <c r="Y39" s="19" t="n"/>
      <c r="Z39" s="21">
        <f>IF(AND($A39="",$B39=""),"",IF(OR($E39="",$H39="",$H39="Proposed",$H39="Not Reported"),0,IF(AND($P39="Y",$Q39&lt;&gt;"Y"),0,IF(AND($K39="Point",N($L39)&lt;=0),0,IF(AND(N($L39)&lt;=0,N($N39)&lt;=0,N($R39)+N($S39)&lt;=0),0,1)))))</f>
        <v/>
      </c>
      <c r="AA39" s="21">
        <f>IF(AND($A39="",$B39=""),"",IF($E39="","Site type missing",IF($H39="","STATUS missing",IF($H39="Proposed","STATUS = Proposed",IF($H39="Not Reported","STATUS = Not Reported",IF(AND($P39="Y",$Q39&lt;&gt;"Y"),"UNESCO-MAB Biosphere Reserve",IF(AND($K39="Point",N($L39)&lt;=0),"Point without REP_AREA",IF(AND(N($L39)&lt;=0,N($N39)&lt;=0,N($R39)+N($S39)&lt;=0),"No area information",""))))))))</f>
        <v/>
      </c>
      <c r="AB39" s="22">
        <f>IF(AND($A39="",$B39=""),"",IF($K39="Point",N($L39),IF(N($N39)&gt;0,N($N39),N($L39))))</f>
        <v/>
      </c>
      <c r="AC39" s="22">
        <f>IF(AND($A39="",$B39=""),"",MIN(AB39,IF(N($J39)=0,0,IF(N($J39)=2,AB39,IF(AND($K39&lt;&gt;"Point",N($O39)&gt;0),N($O39),N($M39))))))</f>
        <v/>
      </c>
      <c r="AD39" s="22">
        <f>IF(AND($A39="",$B39=""),"",MAX(0,AB39-AC39))</f>
        <v/>
      </c>
      <c r="AE39" s="21">
        <f>IF(AND($A39="",$B39=""),"",IF(OR($R39&lt;&gt;"",$S39&lt;&gt;""),1,0))</f>
        <v/>
      </c>
      <c r="AF39" s="22">
        <f>IF(AND($A39="",$B39=""),"",IF(Z39=1,IF(AE39=1,N($R39),AD39),0))</f>
        <v/>
      </c>
      <c r="AG39" s="22">
        <f>IF(AND($A39="",$B39=""),"",IF(Z39=1,IF(AE39=1,N($S39),AC39),0))</f>
        <v/>
      </c>
      <c r="AH39" s="21">
        <f>IF(AND($A39="",$B39=""),"",IF(AND(ISNUMBER($I39),N($I39)&gt;0),$I39,0))</f>
        <v/>
      </c>
      <c r="AI39" s="23">
        <f>IF(AND(NOT(AND($A39="",$B39="")),$K39="Point",N($L39)&gt;0),SQRT(N($L39)/PI()),"")</f>
        <v/>
      </c>
      <c r="AJ39" s="21">
        <f>IF(AND($A39="",$B39=""),"",IFERROR(VLOOKUP($G39,Lists!$D$4:$E$15,2,FALSE),"Not reported"))</f>
        <v/>
      </c>
      <c r="AK39" s="21">
        <f>IF(AND($A39="",$B39=""),"",IF($X39&lt;&gt;"",$X39,IF($T39&lt;&gt;"Y","Not assessed",IF(AND(ISNUMBER($V39),Setup!$B$6-$V39&gt;Setup!$B$26),"Assessment outdated",IF(NOT(ISNUMBER($W39)),"Assessed – no score",IF($W39&gt;=Setup!$B$24,"High",IF($W39&gt;=Setup!$B$25,"Moderate","Low")))))))</f>
        <v/>
      </c>
      <c r="AL39" s="21">
        <f>IF(AND($A39="",$B39=""),"",IF(Z39=0,"",IF(AND(AE39=1,N($R39)&gt;AD39*1.01+0.001),"Net terrestrial &gt; gross; ","")&amp;IF(AND(AE39=1,N($S39)&gt;AC39*1.01+0.001),"Net marine &gt; gross; ","")&amp;IF(AE39=0,"No net area – gross used, overlaps may be double-counted; ","")&amp;IF(AH39=0,"STATUS_YR missing – imputed in time series; ","")&amp;IF(AND(ISNUMBER($I39),N($I39)&gt;Setup!$B$6),"STATUS_YR after reporting year; ","")&amp;IF(OR($G39="",$G39="Not Reported"),"GOV_TYPE not reported; ","")&amp;IF(AND(N($J39)=1,$K39="Point",N($M39)&lt;=0),"Coastal point without REP_M_AREA – land/sea split unknown; ","")&amp;IF(AND(N($J39)=0,N($S39)&gt;0),"MARINE=0 but net marine &gt;0; ","")&amp;IF(AND(N($J39)=2,N($R39)&gt;0),"MARINE=2 but net terrestrial &gt;0; ","")&amp;IF($K39="Point","Buffered point – coverage approximate; ","")))</f>
        <v/>
      </c>
    </row>
    <row r="40">
      <c r="A40" s="19" t="n">
        <v>901228</v>
      </c>
      <c r="B40" s="19" t="inlineStr">
        <is>
          <t>Lac de Fetzara</t>
        </is>
      </c>
      <c r="C40" s="19" t="inlineStr">
        <is>
          <t>Wetland of International Importance (Ramsar Site)</t>
        </is>
      </c>
      <c r="D40" s="19" t="inlineStr">
        <is>
          <t>International</t>
        </is>
      </c>
      <c r="E40" s="19" t="inlineStr">
        <is>
          <t>PA</t>
        </is>
      </c>
      <c r="F40" s="19" t="inlineStr">
        <is>
          <t>Not Reported</t>
        </is>
      </c>
      <c r="G40" s="19" t="inlineStr">
        <is>
          <t>Federal or national ministry or agency</t>
        </is>
      </c>
      <c r="H40" s="19" t="inlineStr">
        <is>
          <t>Designated</t>
        </is>
      </c>
      <c r="I40" s="19" t="n">
        <v>2003</v>
      </c>
      <c r="J40" s="19" t="n">
        <v>0</v>
      </c>
      <c r="K40" s="19" t="inlineStr">
        <is>
          <t>Polygon</t>
        </is>
      </c>
      <c r="L40" s="20" t="n">
        <v>120</v>
      </c>
      <c r="M40" s="20" t="n">
        <v>0</v>
      </c>
      <c r="N40" s="20" t="n">
        <v>123.067</v>
      </c>
      <c r="O40" s="20" t="n">
        <v>0</v>
      </c>
      <c r="P40" s="19" t="inlineStr">
        <is>
          <t>N</t>
        </is>
      </c>
      <c r="Q40" s="19" t="n"/>
      <c r="R40" s="20" t="n">
        <v>123.302</v>
      </c>
      <c r="S40" s="20" t="n">
        <v>0</v>
      </c>
      <c r="T40" s="19" t="inlineStr">
        <is>
          <t>N</t>
        </is>
      </c>
      <c r="U40" s="19" t="n"/>
      <c r="V40" s="19" t="n"/>
      <c r="W40" s="19" t="n"/>
      <c r="X40" s="19" t="n"/>
      <c r="Y40" s="19" t="n"/>
      <c r="Z40" s="21">
        <f>IF(AND($A40="",$B40=""),"",IF(OR($E40="",$H40="",$H40="Proposed",$H40="Not Reported"),0,IF(AND($P40="Y",$Q40&lt;&gt;"Y"),0,IF(AND($K40="Point",N($L40)&lt;=0),0,IF(AND(N($L40)&lt;=0,N($N40)&lt;=0,N($R40)+N($S40)&lt;=0),0,1)))))</f>
        <v/>
      </c>
      <c r="AA40" s="21">
        <f>IF(AND($A40="",$B40=""),"",IF($E40="","Site type missing",IF($H40="","STATUS missing",IF($H40="Proposed","STATUS = Proposed",IF($H40="Not Reported","STATUS = Not Reported",IF(AND($P40="Y",$Q40&lt;&gt;"Y"),"UNESCO-MAB Biosphere Reserve",IF(AND($K40="Point",N($L40)&lt;=0),"Point without REP_AREA",IF(AND(N($L40)&lt;=0,N($N40)&lt;=0,N($R40)+N($S40)&lt;=0),"No area information",""))))))))</f>
        <v/>
      </c>
      <c r="AB40" s="22">
        <f>IF(AND($A40="",$B40=""),"",IF($K40="Point",N($L40),IF(N($N40)&gt;0,N($N40),N($L40))))</f>
        <v/>
      </c>
      <c r="AC40" s="22">
        <f>IF(AND($A40="",$B40=""),"",MIN(AB40,IF(N($J40)=0,0,IF(N($J40)=2,AB40,IF(AND($K40&lt;&gt;"Point",N($O40)&gt;0),N($O40),N($M40))))))</f>
        <v/>
      </c>
      <c r="AD40" s="22">
        <f>IF(AND($A40="",$B40=""),"",MAX(0,AB40-AC40))</f>
        <v/>
      </c>
      <c r="AE40" s="21">
        <f>IF(AND($A40="",$B40=""),"",IF(OR($R40&lt;&gt;"",$S40&lt;&gt;""),1,0))</f>
        <v/>
      </c>
      <c r="AF40" s="22">
        <f>IF(AND($A40="",$B40=""),"",IF(Z40=1,IF(AE40=1,N($R40),AD40),0))</f>
        <v/>
      </c>
      <c r="AG40" s="22">
        <f>IF(AND($A40="",$B40=""),"",IF(Z40=1,IF(AE40=1,N($S40),AC40),0))</f>
        <v/>
      </c>
      <c r="AH40" s="21">
        <f>IF(AND($A40="",$B40=""),"",IF(AND(ISNUMBER($I40),N($I40)&gt;0),$I40,0))</f>
        <v/>
      </c>
      <c r="AI40" s="23">
        <f>IF(AND(NOT(AND($A40="",$B40="")),$K40="Point",N($L40)&gt;0),SQRT(N($L40)/PI()),"")</f>
        <v/>
      </c>
      <c r="AJ40" s="21">
        <f>IF(AND($A40="",$B40=""),"",IFERROR(VLOOKUP($G40,Lists!$D$4:$E$15,2,FALSE),"Not reported"))</f>
        <v/>
      </c>
      <c r="AK40" s="21">
        <f>IF(AND($A40="",$B40=""),"",IF($X40&lt;&gt;"",$X40,IF($T40&lt;&gt;"Y","Not assessed",IF(AND(ISNUMBER($V40),Setup!$B$6-$V40&gt;Setup!$B$26),"Assessment outdated",IF(NOT(ISNUMBER($W40)),"Assessed – no score",IF($W40&gt;=Setup!$B$24,"High",IF($W40&gt;=Setup!$B$25,"Moderate","Low")))))))</f>
        <v/>
      </c>
      <c r="AL40" s="21">
        <f>IF(AND($A40="",$B40=""),"",IF(Z40=0,"",IF(AND(AE40=1,N($R40)&gt;AD40*1.01+0.001),"Net terrestrial &gt; gross; ","")&amp;IF(AND(AE40=1,N($S40)&gt;AC40*1.01+0.001),"Net marine &gt; gross; ","")&amp;IF(AE40=0,"No net area – gross used, overlaps may be double-counted; ","")&amp;IF(AH40=0,"STATUS_YR missing – imputed in time series; ","")&amp;IF(AND(ISNUMBER($I40),N($I40)&gt;Setup!$B$6),"STATUS_YR after reporting year; ","")&amp;IF(OR($G40="",$G40="Not Reported"),"GOV_TYPE not reported; ","")&amp;IF(AND(N($J40)=1,$K40="Point",N($M40)&lt;=0),"Coastal point without REP_M_AREA – land/sea split unknown; ","")&amp;IF(AND(N($J40)=0,N($S40)&gt;0),"MARINE=0 but net marine &gt;0; ","")&amp;IF(AND(N($J40)=2,N($R40)&gt;0),"MARINE=2 but net terrestrial &gt;0; ","")&amp;IF($K40="Point","Buffered point – coverage approximate; ","")))</f>
        <v/>
      </c>
    </row>
    <row r="41">
      <c r="A41" s="19" t="n">
        <v>901229</v>
      </c>
      <c r="B41" s="19" t="inlineStr">
        <is>
          <t>Cirque de Aïn Ouarka</t>
        </is>
      </c>
      <c r="C41" s="19" t="inlineStr">
        <is>
          <t>Wetland of International Importance (Ramsar Site)</t>
        </is>
      </c>
      <c r="D41" s="19" t="inlineStr">
        <is>
          <t>International</t>
        </is>
      </c>
      <c r="E41" s="19" t="inlineStr">
        <is>
          <t>PA</t>
        </is>
      </c>
      <c r="F41" s="19" t="inlineStr">
        <is>
          <t>Not Reported</t>
        </is>
      </c>
      <c r="G41" s="19" t="inlineStr">
        <is>
          <t>Federal or national ministry or agency</t>
        </is>
      </c>
      <c r="H41" s="19" t="inlineStr">
        <is>
          <t>Designated</t>
        </is>
      </c>
      <c r="I41" s="19" t="n">
        <v>2003</v>
      </c>
      <c r="J41" s="19" t="n">
        <v>0</v>
      </c>
      <c r="K41" s="19" t="inlineStr">
        <is>
          <t>Polygon</t>
        </is>
      </c>
      <c r="L41" s="20" t="n">
        <v>23.5</v>
      </c>
      <c r="M41" s="20" t="n">
        <v>0</v>
      </c>
      <c r="N41" s="20" t="n">
        <v>0.95</v>
      </c>
      <c r="O41" s="20" t="n">
        <v>0</v>
      </c>
      <c r="P41" s="19" t="inlineStr">
        <is>
          <t>N</t>
        </is>
      </c>
      <c r="Q41" s="19" t="n"/>
      <c r="R41" s="20" t="n">
        <v>0.953</v>
      </c>
      <c r="S41" s="20" t="n">
        <v>0</v>
      </c>
      <c r="T41" s="19" t="inlineStr">
        <is>
          <t>N</t>
        </is>
      </c>
      <c r="U41" s="19" t="n"/>
      <c r="V41" s="19" t="n"/>
      <c r="W41" s="19" t="n"/>
      <c r="X41" s="19" t="n"/>
      <c r="Y41" s="19" t="n"/>
      <c r="Z41" s="21">
        <f>IF(AND($A41="",$B41=""),"",IF(OR($E41="",$H41="",$H41="Proposed",$H41="Not Reported"),0,IF(AND($P41="Y",$Q41&lt;&gt;"Y"),0,IF(AND($K41="Point",N($L41)&lt;=0),0,IF(AND(N($L41)&lt;=0,N($N41)&lt;=0,N($R41)+N($S41)&lt;=0),0,1)))))</f>
        <v/>
      </c>
      <c r="AA41" s="21">
        <f>IF(AND($A41="",$B41=""),"",IF($E41="","Site type missing",IF($H41="","STATUS missing",IF($H41="Proposed","STATUS = Proposed",IF($H41="Not Reported","STATUS = Not Reported",IF(AND($P41="Y",$Q41&lt;&gt;"Y"),"UNESCO-MAB Biosphere Reserve",IF(AND($K41="Point",N($L41)&lt;=0),"Point without REP_AREA",IF(AND(N($L41)&lt;=0,N($N41)&lt;=0,N($R41)+N($S41)&lt;=0),"No area information",""))))))))</f>
        <v/>
      </c>
      <c r="AB41" s="22">
        <f>IF(AND($A41="",$B41=""),"",IF($K41="Point",N($L41),IF(N($N41)&gt;0,N($N41),N($L41))))</f>
        <v/>
      </c>
      <c r="AC41" s="22">
        <f>IF(AND($A41="",$B41=""),"",MIN(AB41,IF(N($J41)=0,0,IF(N($J41)=2,AB41,IF(AND($K41&lt;&gt;"Point",N($O41)&gt;0),N($O41),N($M41))))))</f>
        <v/>
      </c>
      <c r="AD41" s="22">
        <f>IF(AND($A41="",$B41=""),"",MAX(0,AB41-AC41))</f>
        <v/>
      </c>
      <c r="AE41" s="21">
        <f>IF(AND($A41="",$B41=""),"",IF(OR($R41&lt;&gt;"",$S41&lt;&gt;""),1,0))</f>
        <v/>
      </c>
      <c r="AF41" s="22">
        <f>IF(AND($A41="",$B41=""),"",IF(Z41=1,IF(AE41=1,N($R41),AD41),0))</f>
        <v/>
      </c>
      <c r="AG41" s="22">
        <f>IF(AND($A41="",$B41=""),"",IF(Z41=1,IF(AE41=1,N($S41),AC41),0))</f>
        <v/>
      </c>
      <c r="AH41" s="21">
        <f>IF(AND($A41="",$B41=""),"",IF(AND(ISNUMBER($I41),N($I41)&gt;0),$I41,0))</f>
        <v/>
      </c>
      <c r="AI41" s="23">
        <f>IF(AND(NOT(AND($A41="",$B41="")),$K41="Point",N($L41)&gt;0),SQRT(N($L41)/PI()),"")</f>
        <v/>
      </c>
      <c r="AJ41" s="21">
        <f>IF(AND($A41="",$B41=""),"",IFERROR(VLOOKUP($G41,Lists!$D$4:$E$15,2,FALSE),"Not reported"))</f>
        <v/>
      </c>
      <c r="AK41" s="21">
        <f>IF(AND($A41="",$B41=""),"",IF($X41&lt;&gt;"",$X41,IF($T41&lt;&gt;"Y","Not assessed",IF(AND(ISNUMBER($V41),Setup!$B$6-$V41&gt;Setup!$B$26),"Assessment outdated",IF(NOT(ISNUMBER($W41)),"Assessed – no score",IF($W41&gt;=Setup!$B$24,"High",IF($W41&gt;=Setup!$B$25,"Moderate","Low")))))))</f>
        <v/>
      </c>
      <c r="AL41" s="21">
        <f>IF(AND($A41="",$B41=""),"",IF(Z41=0,"",IF(AND(AE41=1,N($R41)&gt;AD41*1.01+0.001),"Net terrestrial &gt; gross; ","")&amp;IF(AND(AE41=1,N($S41)&gt;AC41*1.01+0.001),"Net marine &gt; gross; ","")&amp;IF(AE41=0,"No net area – gross used, overlaps may be double-counted; ","")&amp;IF(AH41=0,"STATUS_YR missing – imputed in time series; ","")&amp;IF(AND(ISNUMBER($I41),N($I41)&gt;Setup!$B$6),"STATUS_YR after reporting year; ","")&amp;IF(OR($G41="",$G41="Not Reported"),"GOV_TYPE not reported; ","")&amp;IF(AND(N($J41)=1,$K41="Point",N($M41)&lt;=0),"Coastal point without REP_M_AREA – land/sea split unknown; ","")&amp;IF(AND(N($J41)=0,N($S41)&gt;0),"MARINE=0 but net marine &gt;0; ","")&amp;IF(AND(N($J41)=2,N($R41)&gt;0),"MARINE=2 but net terrestrial &gt;0; ","")&amp;IF($K41="Point","Buffered point – coverage approximate; ","")))</f>
        <v/>
      </c>
    </row>
    <row r="42">
      <c r="A42" s="19" t="n">
        <v>901230</v>
      </c>
      <c r="B42" s="19" t="inlineStr">
        <is>
          <t>Oasis de Moghrar et de Tiout</t>
        </is>
      </c>
      <c r="C42" s="19" t="inlineStr">
        <is>
          <t>Wetland of International Importance (Ramsar Site)</t>
        </is>
      </c>
      <c r="D42" s="19" t="inlineStr">
        <is>
          <t>International</t>
        </is>
      </c>
      <c r="E42" s="19" t="inlineStr">
        <is>
          <t>PA</t>
        </is>
      </c>
      <c r="F42" s="19" t="inlineStr">
        <is>
          <t>Not Reported</t>
        </is>
      </c>
      <c r="G42" s="19" t="inlineStr">
        <is>
          <t>Federal or national ministry or agency</t>
        </is>
      </c>
      <c r="H42" s="19" t="inlineStr">
        <is>
          <t>Designated</t>
        </is>
      </c>
      <c r="I42" s="19" t="n">
        <v>2003</v>
      </c>
      <c r="J42" s="19" t="n">
        <v>0</v>
      </c>
      <c r="K42" s="19" t="inlineStr">
        <is>
          <t>Polygon</t>
        </is>
      </c>
      <c r="L42" s="20" t="n">
        <v>1955</v>
      </c>
      <c r="M42" s="20" t="n">
        <v>0</v>
      </c>
      <c r="N42" s="20" t="n">
        <v>1931.337</v>
      </c>
      <c r="O42" s="20" t="n">
        <v>0</v>
      </c>
      <c r="P42" s="19" t="inlineStr">
        <is>
          <t>N</t>
        </is>
      </c>
      <c r="Q42" s="19" t="n"/>
      <c r="R42" s="20" t="n">
        <v>1936.763</v>
      </c>
      <c r="S42" s="20" t="n">
        <v>0</v>
      </c>
      <c r="T42" s="19" t="inlineStr">
        <is>
          <t>N</t>
        </is>
      </c>
      <c r="U42" s="19" t="n"/>
      <c r="V42" s="19" t="n"/>
      <c r="W42" s="19" t="n"/>
      <c r="X42" s="19" t="n"/>
      <c r="Y42" s="19" t="n"/>
      <c r="Z42" s="21">
        <f>IF(AND($A42="",$B42=""),"",IF(OR($E42="",$H42="",$H42="Proposed",$H42="Not Reported"),0,IF(AND($P42="Y",$Q42&lt;&gt;"Y"),0,IF(AND($K42="Point",N($L42)&lt;=0),0,IF(AND(N($L42)&lt;=0,N($N42)&lt;=0,N($R42)+N($S42)&lt;=0),0,1)))))</f>
        <v/>
      </c>
      <c r="AA42" s="21">
        <f>IF(AND($A42="",$B42=""),"",IF($E42="","Site type missing",IF($H42="","STATUS missing",IF($H42="Proposed","STATUS = Proposed",IF($H42="Not Reported","STATUS = Not Reported",IF(AND($P42="Y",$Q42&lt;&gt;"Y"),"UNESCO-MAB Biosphere Reserve",IF(AND($K42="Point",N($L42)&lt;=0),"Point without REP_AREA",IF(AND(N($L42)&lt;=0,N($N42)&lt;=0,N($R42)+N($S42)&lt;=0),"No area information",""))))))))</f>
        <v/>
      </c>
      <c r="AB42" s="22">
        <f>IF(AND($A42="",$B42=""),"",IF($K42="Point",N($L42),IF(N($N42)&gt;0,N($N42),N($L42))))</f>
        <v/>
      </c>
      <c r="AC42" s="22">
        <f>IF(AND($A42="",$B42=""),"",MIN(AB42,IF(N($J42)=0,0,IF(N($J42)=2,AB42,IF(AND($K42&lt;&gt;"Point",N($O42)&gt;0),N($O42),N($M42))))))</f>
        <v/>
      </c>
      <c r="AD42" s="22">
        <f>IF(AND($A42="",$B42=""),"",MAX(0,AB42-AC42))</f>
        <v/>
      </c>
      <c r="AE42" s="21">
        <f>IF(AND($A42="",$B42=""),"",IF(OR($R42&lt;&gt;"",$S42&lt;&gt;""),1,0))</f>
        <v/>
      </c>
      <c r="AF42" s="22">
        <f>IF(AND($A42="",$B42=""),"",IF(Z42=1,IF(AE42=1,N($R42),AD42),0))</f>
        <v/>
      </c>
      <c r="AG42" s="22">
        <f>IF(AND($A42="",$B42=""),"",IF(Z42=1,IF(AE42=1,N($S42),AC42),0))</f>
        <v/>
      </c>
      <c r="AH42" s="21">
        <f>IF(AND($A42="",$B42=""),"",IF(AND(ISNUMBER($I42),N($I42)&gt;0),$I42,0))</f>
        <v/>
      </c>
      <c r="AI42" s="23">
        <f>IF(AND(NOT(AND($A42="",$B42="")),$K42="Point",N($L42)&gt;0),SQRT(N($L42)/PI()),"")</f>
        <v/>
      </c>
      <c r="AJ42" s="21">
        <f>IF(AND($A42="",$B42=""),"",IFERROR(VLOOKUP($G42,Lists!$D$4:$E$15,2,FALSE),"Not reported"))</f>
        <v/>
      </c>
      <c r="AK42" s="21">
        <f>IF(AND($A42="",$B42=""),"",IF($X42&lt;&gt;"",$X42,IF($T42&lt;&gt;"Y","Not assessed",IF(AND(ISNUMBER($V42),Setup!$B$6-$V42&gt;Setup!$B$26),"Assessment outdated",IF(NOT(ISNUMBER($W42)),"Assessed – no score",IF($W42&gt;=Setup!$B$24,"High",IF($W42&gt;=Setup!$B$25,"Moderate","Low")))))))</f>
        <v/>
      </c>
      <c r="AL42" s="21">
        <f>IF(AND($A42="",$B42=""),"",IF(Z42=0,"",IF(AND(AE42=1,N($R42)&gt;AD42*1.01+0.001),"Net terrestrial &gt; gross; ","")&amp;IF(AND(AE42=1,N($S42)&gt;AC42*1.01+0.001),"Net marine &gt; gross; ","")&amp;IF(AE42=0,"No net area – gross used, overlaps may be double-counted; ","")&amp;IF(AH42=0,"STATUS_YR missing – imputed in time series; ","")&amp;IF(AND(ISNUMBER($I42),N($I42)&gt;Setup!$B$6),"STATUS_YR after reporting year; ","")&amp;IF(OR($G42="",$G42="Not Reported"),"GOV_TYPE not reported; ","")&amp;IF(AND(N($J42)=1,$K42="Point",N($M42)&lt;=0),"Coastal point without REP_M_AREA – land/sea split unknown; ","")&amp;IF(AND(N($J42)=0,N($S42)&gt;0),"MARINE=0 but net marine &gt;0; ","")&amp;IF(AND(N($J42)=2,N($R42)&gt;0),"MARINE=2 but net terrestrial &gt;0; ","")&amp;IF($K42="Point","Buffered point – coverage approximate; ","")))</f>
        <v/>
      </c>
    </row>
    <row r="43">
      <c r="A43" s="19" t="n">
        <v>901231</v>
      </c>
      <c r="B43" s="19" t="inlineStr">
        <is>
          <t>Marais de la Mekhada</t>
        </is>
      </c>
      <c r="C43" s="19" t="inlineStr">
        <is>
          <t>Wetland of International Importance (Ramsar Site)</t>
        </is>
      </c>
      <c r="D43" s="19" t="inlineStr">
        <is>
          <t>International</t>
        </is>
      </c>
      <c r="E43" s="19" t="inlineStr">
        <is>
          <t>PA</t>
        </is>
      </c>
      <c r="F43" s="19" t="inlineStr">
        <is>
          <t>Not Reported</t>
        </is>
      </c>
      <c r="G43" s="19" t="inlineStr">
        <is>
          <t>Federal or national ministry or agency</t>
        </is>
      </c>
      <c r="H43" s="19" t="inlineStr">
        <is>
          <t>Designated</t>
        </is>
      </c>
      <c r="I43" s="19" t="n">
        <v>2003</v>
      </c>
      <c r="J43" s="19" t="n">
        <v>0</v>
      </c>
      <c r="K43" s="19" t="inlineStr">
        <is>
          <t>Polygon</t>
        </is>
      </c>
      <c r="L43" s="20" t="n">
        <v>89</v>
      </c>
      <c r="M43" s="20" t="n">
        <v>0</v>
      </c>
      <c r="N43" s="20" t="n">
        <v>73.488</v>
      </c>
      <c r="O43" s="20" t="n">
        <v>0</v>
      </c>
      <c r="P43" s="19" t="inlineStr">
        <is>
          <t>N</t>
        </is>
      </c>
      <c r="Q43" s="19" t="n"/>
      <c r="R43" s="20" t="n">
        <v>73.628</v>
      </c>
      <c r="S43" s="20" t="n">
        <v>0</v>
      </c>
      <c r="T43" s="19" t="inlineStr">
        <is>
          <t>N</t>
        </is>
      </c>
      <c r="U43" s="19" t="n"/>
      <c r="V43" s="19" t="n"/>
      <c r="W43" s="19" t="n"/>
      <c r="X43" s="19" t="n"/>
      <c r="Y43" s="19" t="n"/>
      <c r="Z43" s="21">
        <f>IF(AND($A43="",$B43=""),"",IF(OR($E43="",$H43="",$H43="Proposed",$H43="Not Reported"),0,IF(AND($P43="Y",$Q43&lt;&gt;"Y"),0,IF(AND($K43="Point",N($L43)&lt;=0),0,IF(AND(N($L43)&lt;=0,N($N43)&lt;=0,N($R43)+N($S43)&lt;=0),0,1)))))</f>
        <v/>
      </c>
      <c r="AA43" s="21">
        <f>IF(AND($A43="",$B43=""),"",IF($E43="","Site type missing",IF($H43="","STATUS missing",IF($H43="Proposed","STATUS = Proposed",IF($H43="Not Reported","STATUS = Not Reported",IF(AND($P43="Y",$Q43&lt;&gt;"Y"),"UNESCO-MAB Biosphere Reserve",IF(AND($K43="Point",N($L43)&lt;=0),"Point without REP_AREA",IF(AND(N($L43)&lt;=0,N($N43)&lt;=0,N($R43)+N($S43)&lt;=0),"No area information",""))))))))</f>
        <v/>
      </c>
      <c r="AB43" s="22">
        <f>IF(AND($A43="",$B43=""),"",IF($K43="Point",N($L43),IF(N($N43)&gt;0,N($N43),N($L43))))</f>
        <v/>
      </c>
      <c r="AC43" s="22">
        <f>IF(AND($A43="",$B43=""),"",MIN(AB43,IF(N($J43)=0,0,IF(N($J43)=2,AB43,IF(AND($K43&lt;&gt;"Point",N($O43)&gt;0),N($O43),N($M43))))))</f>
        <v/>
      </c>
      <c r="AD43" s="22">
        <f>IF(AND($A43="",$B43=""),"",MAX(0,AB43-AC43))</f>
        <v/>
      </c>
      <c r="AE43" s="21">
        <f>IF(AND($A43="",$B43=""),"",IF(OR($R43&lt;&gt;"",$S43&lt;&gt;""),1,0))</f>
        <v/>
      </c>
      <c r="AF43" s="22">
        <f>IF(AND($A43="",$B43=""),"",IF(Z43=1,IF(AE43=1,N($R43),AD43),0))</f>
        <v/>
      </c>
      <c r="AG43" s="22">
        <f>IF(AND($A43="",$B43=""),"",IF(Z43=1,IF(AE43=1,N($S43),AC43),0))</f>
        <v/>
      </c>
      <c r="AH43" s="21">
        <f>IF(AND($A43="",$B43=""),"",IF(AND(ISNUMBER($I43),N($I43)&gt;0),$I43,0))</f>
        <v/>
      </c>
      <c r="AI43" s="23">
        <f>IF(AND(NOT(AND($A43="",$B43="")),$K43="Point",N($L43)&gt;0),SQRT(N($L43)/PI()),"")</f>
        <v/>
      </c>
      <c r="AJ43" s="21">
        <f>IF(AND($A43="",$B43=""),"",IFERROR(VLOOKUP($G43,Lists!$D$4:$E$15,2,FALSE),"Not reported"))</f>
        <v/>
      </c>
      <c r="AK43" s="21">
        <f>IF(AND($A43="",$B43=""),"",IF($X43&lt;&gt;"",$X43,IF($T43&lt;&gt;"Y","Not assessed",IF(AND(ISNUMBER($V43),Setup!$B$6-$V43&gt;Setup!$B$26),"Assessment outdated",IF(NOT(ISNUMBER($W43)),"Assessed – no score",IF($W43&gt;=Setup!$B$24,"High",IF($W43&gt;=Setup!$B$25,"Moderate","Low")))))))</f>
        <v/>
      </c>
      <c r="AL43" s="21">
        <f>IF(AND($A43="",$B43=""),"",IF(Z43=0,"",IF(AND(AE43=1,N($R43)&gt;AD43*1.01+0.001),"Net terrestrial &gt; gross; ","")&amp;IF(AND(AE43=1,N($S43)&gt;AC43*1.01+0.001),"Net marine &gt; gross; ","")&amp;IF(AE43=0,"No net area – gross used, overlaps may be double-counted; ","")&amp;IF(AH43=0,"STATUS_YR missing – imputed in time series; ","")&amp;IF(AND(ISNUMBER($I43),N($I43)&gt;Setup!$B$6),"STATUS_YR after reporting year; ","")&amp;IF(OR($G43="",$G43="Not Reported"),"GOV_TYPE not reported; ","")&amp;IF(AND(N($J43)=1,$K43="Point",N($M43)&lt;=0),"Coastal point without REP_M_AREA – land/sea split unknown; ","")&amp;IF(AND(N($J43)=0,N($S43)&gt;0),"MARINE=0 but net marine &gt;0; ","")&amp;IF(AND(N($J43)=2,N($R43)&gt;0),"MARINE=2 but net terrestrial &gt;0; ","")&amp;IF($K43="Point","Buffered point – coverage approximate; ","")))</f>
        <v/>
      </c>
    </row>
    <row r="44">
      <c r="A44" s="19" t="n">
        <v>901232</v>
      </c>
      <c r="B44" s="19" t="inlineStr">
        <is>
          <t>Réserve Naturelle du Lac de Béni-Bélaïd</t>
        </is>
      </c>
      <c r="C44" s="19" t="inlineStr">
        <is>
          <t>Wetland of International Importance (Ramsar Site)</t>
        </is>
      </c>
      <c r="D44" s="19" t="inlineStr">
        <is>
          <t>International</t>
        </is>
      </c>
      <c r="E44" s="19" t="inlineStr">
        <is>
          <t>PA</t>
        </is>
      </c>
      <c r="F44" s="19" t="inlineStr">
        <is>
          <t>Not Reported</t>
        </is>
      </c>
      <c r="G44" s="19" t="inlineStr">
        <is>
          <t>Federal or national ministry or agency</t>
        </is>
      </c>
      <c r="H44" s="19" t="inlineStr">
        <is>
          <t>Designated</t>
        </is>
      </c>
      <c r="I44" s="19" t="n">
        <v>2003</v>
      </c>
      <c r="J44" s="19" t="n">
        <v>0</v>
      </c>
      <c r="K44" s="19" t="inlineStr">
        <is>
          <t>Polygon</t>
        </is>
      </c>
      <c r="L44" s="20" t="n">
        <v>6</v>
      </c>
      <c r="M44" s="20" t="n">
        <v>0</v>
      </c>
      <c r="N44" s="20" t="n">
        <v>13.897</v>
      </c>
      <c r="O44" s="20" t="n">
        <v>0.447</v>
      </c>
      <c r="P44" s="19" t="inlineStr">
        <is>
          <t>N</t>
        </is>
      </c>
      <c r="Q44" s="19" t="n"/>
      <c r="R44" s="20" t="n">
        <v>13.919</v>
      </c>
      <c r="S44" s="20" t="n">
        <v>0.005</v>
      </c>
      <c r="T44" s="19" t="inlineStr">
        <is>
          <t>N</t>
        </is>
      </c>
      <c r="U44" s="19" t="n"/>
      <c r="V44" s="19" t="n"/>
      <c r="W44" s="19" t="n"/>
      <c r="X44" s="19" t="n"/>
      <c r="Y44" s="19" t="n"/>
      <c r="Z44" s="21">
        <f>IF(AND($A44="",$B44=""),"",IF(OR($E44="",$H44="",$H44="Proposed",$H44="Not Reported"),0,IF(AND($P44="Y",$Q44&lt;&gt;"Y"),0,IF(AND($K44="Point",N($L44)&lt;=0),0,IF(AND(N($L44)&lt;=0,N($N44)&lt;=0,N($R44)+N($S44)&lt;=0),0,1)))))</f>
        <v/>
      </c>
      <c r="AA44" s="21">
        <f>IF(AND($A44="",$B44=""),"",IF($E44="","Site type missing",IF($H44="","STATUS missing",IF($H44="Proposed","STATUS = Proposed",IF($H44="Not Reported","STATUS = Not Reported",IF(AND($P44="Y",$Q44&lt;&gt;"Y"),"UNESCO-MAB Biosphere Reserve",IF(AND($K44="Point",N($L44)&lt;=0),"Point without REP_AREA",IF(AND(N($L44)&lt;=0,N($N44)&lt;=0,N($R44)+N($S44)&lt;=0),"No area information",""))))))))</f>
        <v/>
      </c>
      <c r="AB44" s="22">
        <f>IF(AND($A44="",$B44=""),"",IF($K44="Point",N($L44),IF(N($N44)&gt;0,N($N44),N($L44))))</f>
        <v/>
      </c>
      <c r="AC44" s="22">
        <f>IF(AND($A44="",$B44=""),"",MIN(AB44,IF(N($J44)=0,0,IF(N($J44)=2,AB44,IF(AND($K44&lt;&gt;"Point",N($O44)&gt;0),N($O44),N($M44))))))</f>
        <v/>
      </c>
      <c r="AD44" s="22">
        <f>IF(AND($A44="",$B44=""),"",MAX(0,AB44-AC44))</f>
        <v/>
      </c>
      <c r="AE44" s="21">
        <f>IF(AND($A44="",$B44=""),"",IF(OR($R44&lt;&gt;"",$S44&lt;&gt;""),1,0))</f>
        <v/>
      </c>
      <c r="AF44" s="22">
        <f>IF(AND($A44="",$B44=""),"",IF(Z44=1,IF(AE44=1,N($R44),AD44),0))</f>
        <v/>
      </c>
      <c r="AG44" s="22">
        <f>IF(AND($A44="",$B44=""),"",IF(Z44=1,IF(AE44=1,N($S44),AC44),0))</f>
        <v/>
      </c>
      <c r="AH44" s="21">
        <f>IF(AND($A44="",$B44=""),"",IF(AND(ISNUMBER($I44),N($I44)&gt;0),$I44,0))</f>
        <v/>
      </c>
      <c r="AI44" s="23">
        <f>IF(AND(NOT(AND($A44="",$B44="")),$K44="Point",N($L44)&gt;0),SQRT(N($L44)/PI()),"")</f>
        <v/>
      </c>
      <c r="AJ44" s="21">
        <f>IF(AND($A44="",$B44=""),"",IFERROR(VLOOKUP($G44,Lists!$D$4:$E$15,2,FALSE),"Not reported"))</f>
        <v/>
      </c>
      <c r="AK44" s="21">
        <f>IF(AND($A44="",$B44=""),"",IF($X44&lt;&gt;"",$X44,IF($T44&lt;&gt;"Y","Not assessed",IF(AND(ISNUMBER($V44),Setup!$B$6-$V44&gt;Setup!$B$26),"Assessment outdated",IF(NOT(ISNUMBER($W44)),"Assessed – no score",IF($W44&gt;=Setup!$B$24,"High",IF($W44&gt;=Setup!$B$25,"Moderate","Low")))))))</f>
        <v/>
      </c>
      <c r="AL44" s="21">
        <f>IF(AND($A44="",$B44=""),"",IF(Z44=0,"",IF(AND(AE44=1,N($R44)&gt;AD44*1.01+0.001),"Net terrestrial &gt; gross; ","")&amp;IF(AND(AE44=1,N($S44)&gt;AC44*1.01+0.001),"Net marine &gt; gross; ","")&amp;IF(AE44=0,"No net area – gross used, overlaps may be double-counted; ","")&amp;IF(AH44=0,"STATUS_YR missing – imputed in time series; ","")&amp;IF(AND(ISNUMBER($I44),N($I44)&gt;Setup!$B$6),"STATUS_YR after reporting year; ","")&amp;IF(OR($G44="",$G44="Not Reported"),"GOV_TYPE not reported; ","")&amp;IF(AND(N($J44)=1,$K44="Point",N($M44)&lt;=0),"Coastal point without REP_M_AREA – land/sea split unknown; ","")&amp;IF(AND(N($J44)=0,N($S44)&gt;0),"MARINE=0 but net marine &gt;0; ","")&amp;IF(AND(N($J44)=2,N($R44)&gt;0),"MARINE=2 but net terrestrial &gt;0; ","")&amp;IF($K44="Point","Buffered point – coverage approximate; ","")))</f>
        <v/>
      </c>
    </row>
    <row r="45">
      <c r="A45" s="19" t="n">
        <v>901233</v>
      </c>
      <c r="B45" s="19" t="inlineStr">
        <is>
          <t>Réserve Naturelle du Lac de Réghaïa</t>
        </is>
      </c>
      <c r="C45" s="19" t="inlineStr">
        <is>
          <t>Wetland of International Importance (Ramsar Site)</t>
        </is>
      </c>
      <c r="D45" s="19" t="inlineStr">
        <is>
          <t>International</t>
        </is>
      </c>
      <c r="E45" s="19" t="inlineStr">
        <is>
          <t>PA</t>
        </is>
      </c>
      <c r="F45" s="19" t="inlineStr">
        <is>
          <t>Not Reported</t>
        </is>
      </c>
      <c r="G45" s="19" t="inlineStr">
        <is>
          <t>Federal or national ministry or agency</t>
        </is>
      </c>
      <c r="H45" s="19" t="inlineStr">
        <is>
          <t>Designated</t>
        </is>
      </c>
      <c r="I45" s="19" t="n">
        <v>2003</v>
      </c>
      <c r="J45" s="19" t="n">
        <v>0</v>
      </c>
      <c r="K45" s="19" t="inlineStr">
        <is>
          <t>Polygon</t>
        </is>
      </c>
      <c r="L45" s="20" t="n">
        <v>8.42</v>
      </c>
      <c r="M45" s="20" t="n">
        <v>0</v>
      </c>
      <c r="N45" s="20" t="n">
        <v>2.636</v>
      </c>
      <c r="O45" s="20" t="n">
        <v>0.033</v>
      </c>
      <c r="P45" s="19" t="inlineStr">
        <is>
          <t>N</t>
        </is>
      </c>
      <c r="Q45" s="19" t="n"/>
      <c r="R45" s="20" t="n">
        <v>2.63</v>
      </c>
      <c r="S45" s="20" t="n">
        <v>0.011</v>
      </c>
      <c r="T45" s="19" t="inlineStr">
        <is>
          <t>N</t>
        </is>
      </c>
      <c r="U45" s="19" t="n"/>
      <c r="V45" s="19" t="n"/>
      <c r="W45" s="19" t="n"/>
      <c r="X45" s="19" t="n"/>
      <c r="Y45" s="19" t="n"/>
      <c r="Z45" s="21">
        <f>IF(AND($A45="",$B45=""),"",IF(OR($E45="",$H45="",$H45="Proposed",$H45="Not Reported"),0,IF(AND($P45="Y",$Q45&lt;&gt;"Y"),0,IF(AND($K45="Point",N($L45)&lt;=0),0,IF(AND(N($L45)&lt;=0,N($N45)&lt;=0,N($R45)+N($S45)&lt;=0),0,1)))))</f>
        <v/>
      </c>
      <c r="AA45" s="21">
        <f>IF(AND($A45="",$B45=""),"",IF($E45="","Site type missing",IF($H45="","STATUS missing",IF($H45="Proposed","STATUS = Proposed",IF($H45="Not Reported","STATUS = Not Reported",IF(AND($P45="Y",$Q45&lt;&gt;"Y"),"UNESCO-MAB Biosphere Reserve",IF(AND($K45="Point",N($L45)&lt;=0),"Point without REP_AREA",IF(AND(N($L45)&lt;=0,N($N45)&lt;=0,N($R45)+N($S45)&lt;=0),"No area information",""))))))))</f>
        <v/>
      </c>
      <c r="AB45" s="22">
        <f>IF(AND($A45="",$B45=""),"",IF($K45="Point",N($L45),IF(N($N45)&gt;0,N($N45),N($L45))))</f>
        <v/>
      </c>
      <c r="AC45" s="22">
        <f>IF(AND($A45="",$B45=""),"",MIN(AB45,IF(N($J45)=0,0,IF(N($J45)=2,AB45,IF(AND($K45&lt;&gt;"Point",N($O45)&gt;0),N($O45),N($M45))))))</f>
        <v/>
      </c>
      <c r="AD45" s="22">
        <f>IF(AND($A45="",$B45=""),"",MAX(0,AB45-AC45))</f>
        <v/>
      </c>
      <c r="AE45" s="21">
        <f>IF(AND($A45="",$B45=""),"",IF(OR($R45&lt;&gt;"",$S45&lt;&gt;""),1,0))</f>
        <v/>
      </c>
      <c r="AF45" s="22">
        <f>IF(AND($A45="",$B45=""),"",IF(Z45=1,IF(AE45=1,N($R45),AD45),0))</f>
        <v/>
      </c>
      <c r="AG45" s="22">
        <f>IF(AND($A45="",$B45=""),"",IF(Z45=1,IF(AE45=1,N($S45),AC45),0))</f>
        <v/>
      </c>
      <c r="AH45" s="21">
        <f>IF(AND($A45="",$B45=""),"",IF(AND(ISNUMBER($I45),N($I45)&gt;0),$I45,0))</f>
        <v/>
      </c>
      <c r="AI45" s="23">
        <f>IF(AND(NOT(AND($A45="",$B45="")),$K45="Point",N($L45)&gt;0),SQRT(N($L45)/PI()),"")</f>
        <v/>
      </c>
      <c r="AJ45" s="21">
        <f>IF(AND($A45="",$B45=""),"",IFERROR(VLOOKUP($G45,Lists!$D$4:$E$15,2,FALSE),"Not reported"))</f>
        <v/>
      </c>
      <c r="AK45" s="21">
        <f>IF(AND($A45="",$B45=""),"",IF($X45&lt;&gt;"",$X45,IF($T45&lt;&gt;"Y","Not assessed",IF(AND(ISNUMBER($V45),Setup!$B$6-$V45&gt;Setup!$B$26),"Assessment outdated",IF(NOT(ISNUMBER($W45)),"Assessed – no score",IF($W45&gt;=Setup!$B$24,"High",IF($W45&gt;=Setup!$B$25,"Moderate","Low")))))))</f>
        <v/>
      </c>
      <c r="AL45" s="21">
        <f>IF(AND($A45="",$B45=""),"",IF(Z45=0,"",IF(AND(AE45=1,N($R45)&gt;AD45*1.01+0.001),"Net terrestrial &gt; gross; ","")&amp;IF(AND(AE45=1,N($S45)&gt;AC45*1.01+0.001),"Net marine &gt; gross; ","")&amp;IF(AE45=0,"No net area – gross used, overlaps may be double-counted; ","")&amp;IF(AH45=0,"STATUS_YR missing – imputed in time series; ","")&amp;IF(AND(ISNUMBER($I45),N($I45)&gt;Setup!$B$6),"STATUS_YR after reporting year; ","")&amp;IF(OR($G45="",$G45="Not Reported"),"GOV_TYPE not reported; ","")&amp;IF(AND(N($J45)=1,$K45="Point",N($M45)&lt;=0),"Coastal point without REP_M_AREA – land/sea split unknown; ","")&amp;IF(AND(N($J45)=0,N($S45)&gt;0),"MARINE=0 but net marine &gt;0; ","")&amp;IF(AND(N($J45)=2,N($R45)&gt;0),"MARINE=2 but net terrestrial &gt;0; ","")&amp;IF($K45="Point","Buffered point – coverage approximate; ","")))</f>
        <v/>
      </c>
    </row>
    <row r="46">
      <c r="A46" s="19" t="n">
        <v>901234</v>
      </c>
      <c r="B46" s="19" t="inlineStr">
        <is>
          <t>Tourbière du Lac Noir</t>
        </is>
      </c>
      <c r="C46" s="19" t="inlineStr">
        <is>
          <t>Wetland of International Importance (Ramsar Site)</t>
        </is>
      </c>
      <c r="D46" s="19" t="inlineStr">
        <is>
          <t>International</t>
        </is>
      </c>
      <c r="E46" s="19" t="inlineStr">
        <is>
          <t>PA</t>
        </is>
      </c>
      <c r="F46" s="19" t="inlineStr">
        <is>
          <t>Not Reported</t>
        </is>
      </c>
      <c r="G46" s="19" t="inlineStr">
        <is>
          <t>Federal or national ministry or agency</t>
        </is>
      </c>
      <c r="H46" s="19" t="inlineStr">
        <is>
          <t>Designated</t>
        </is>
      </c>
      <c r="I46" s="19" t="n">
        <v>2003</v>
      </c>
      <c r="J46" s="19" t="n">
        <v>0</v>
      </c>
      <c r="K46" s="19" t="inlineStr">
        <is>
          <t>Polygon</t>
        </is>
      </c>
      <c r="L46" s="20" t="n">
        <v>0.05</v>
      </c>
      <c r="M46" s="20" t="n">
        <v>0</v>
      </c>
      <c r="N46" s="20" t="n">
        <v>0.097</v>
      </c>
      <c r="O46" s="20" t="n">
        <v>0</v>
      </c>
      <c r="P46" s="19" t="inlineStr">
        <is>
          <t>N</t>
        </is>
      </c>
      <c r="Q46" s="19" t="n"/>
      <c r="R46" s="20" t="n">
        <v>0</v>
      </c>
      <c r="S46" s="20" t="n">
        <v>0</v>
      </c>
      <c r="T46" s="19" t="inlineStr">
        <is>
          <t>N</t>
        </is>
      </c>
      <c r="U46" s="19" t="n"/>
      <c r="V46" s="19" t="n"/>
      <c r="W46" s="19" t="n"/>
      <c r="X46" s="19" t="n"/>
      <c r="Y46" s="19" t="inlineStr">
        <is>
          <t>Overlap attributed to earlier site</t>
        </is>
      </c>
      <c r="Z46" s="21">
        <f>IF(AND($A46="",$B46=""),"",IF(OR($E46="",$H46="",$H46="Proposed",$H46="Not Reported"),0,IF(AND($P46="Y",$Q46&lt;&gt;"Y"),0,IF(AND($K46="Point",N($L46)&lt;=0),0,IF(AND(N($L46)&lt;=0,N($N46)&lt;=0,N($R46)+N($S46)&lt;=0),0,1)))))</f>
        <v/>
      </c>
      <c r="AA46" s="21">
        <f>IF(AND($A46="",$B46=""),"",IF($E46="","Site type missing",IF($H46="","STATUS missing",IF($H46="Proposed","STATUS = Proposed",IF($H46="Not Reported","STATUS = Not Reported",IF(AND($P46="Y",$Q46&lt;&gt;"Y"),"UNESCO-MAB Biosphere Reserve",IF(AND($K46="Point",N($L46)&lt;=0),"Point without REP_AREA",IF(AND(N($L46)&lt;=0,N($N46)&lt;=0,N($R46)+N($S46)&lt;=0),"No area information",""))))))))</f>
        <v/>
      </c>
      <c r="AB46" s="22">
        <f>IF(AND($A46="",$B46=""),"",IF($K46="Point",N($L46),IF(N($N46)&gt;0,N($N46),N($L46))))</f>
        <v/>
      </c>
      <c r="AC46" s="22">
        <f>IF(AND($A46="",$B46=""),"",MIN(AB46,IF(N($J46)=0,0,IF(N($J46)=2,AB46,IF(AND($K46&lt;&gt;"Point",N($O46)&gt;0),N($O46),N($M46))))))</f>
        <v/>
      </c>
      <c r="AD46" s="22">
        <f>IF(AND($A46="",$B46=""),"",MAX(0,AB46-AC46))</f>
        <v/>
      </c>
      <c r="AE46" s="21">
        <f>IF(AND($A46="",$B46=""),"",IF(OR($R46&lt;&gt;"",$S46&lt;&gt;""),1,0))</f>
        <v/>
      </c>
      <c r="AF46" s="22">
        <f>IF(AND($A46="",$B46=""),"",IF(Z46=1,IF(AE46=1,N($R46),AD46),0))</f>
        <v/>
      </c>
      <c r="AG46" s="22">
        <f>IF(AND($A46="",$B46=""),"",IF(Z46=1,IF(AE46=1,N($S46),AC46),0))</f>
        <v/>
      </c>
      <c r="AH46" s="21">
        <f>IF(AND($A46="",$B46=""),"",IF(AND(ISNUMBER($I46),N($I46)&gt;0),$I46,0))</f>
        <v/>
      </c>
      <c r="AI46" s="23">
        <f>IF(AND(NOT(AND($A46="",$B46="")),$K46="Point",N($L46)&gt;0),SQRT(N($L46)/PI()),"")</f>
        <v/>
      </c>
      <c r="AJ46" s="21">
        <f>IF(AND($A46="",$B46=""),"",IFERROR(VLOOKUP($G46,Lists!$D$4:$E$15,2,FALSE),"Not reported"))</f>
        <v/>
      </c>
      <c r="AK46" s="21">
        <f>IF(AND($A46="",$B46=""),"",IF($X46&lt;&gt;"",$X46,IF($T46&lt;&gt;"Y","Not assessed",IF(AND(ISNUMBER($V46),Setup!$B$6-$V46&gt;Setup!$B$26),"Assessment outdated",IF(NOT(ISNUMBER($W46)),"Assessed – no score",IF($W46&gt;=Setup!$B$24,"High",IF($W46&gt;=Setup!$B$25,"Moderate","Low")))))))</f>
        <v/>
      </c>
      <c r="AL46" s="21">
        <f>IF(AND($A46="",$B46=""),"",IF(Z46=0,"",IF(AND(AE46=1,N($R46)&gt;AD46*1.01+0.001),"Net terrestrial &gt; gross; ","")&amp;IF(AND(AE46=1,N($S46)&gt;AC46*1.01+0.001),"Net marine &gt; gross; ","")&amp;IF(AE46=0,"No net area – gross used, overlaps may be double-counted; ","")&amp;IF(AH46=0,"STATUS_YR missing – imputed in time series; ","")&amp;IF(AND(ISNUMBER($I46),N($I46)&gt;Setup!$B$6),"STATUS_YR after reporting year; ","")&amp;IF(OR($G46="",$G46="Not Reported"),"GOV_TYPE not reported; ","")&amp;IF(AND(N($J46)=1,$K46="Point",N($M46)&lt;=0),"Coastal point without REP_M_AREA – land/sea split unknown; ","")&amp;IF(AND(N($J46)=0,N($S46)&gt;0),"MARINE=0 but net marine &gt;0; ","")&amp;IF(AND(N($J46)=2,N($R46)&gt;0),"MARINE=2 but net terrestrial &gt;0; ","")&amp;IF($K46="Point","Buffered point – coverage approximate; ","")))</f>
        <v/>
      </c>
    </row>
    <row r="47">
      <c r="A47" s="19" t="n">
        <v>902530</v>
      </c>
      <c r="B47" s="19" t="inlineStr">
        <is>
          <t>Taza</t>
        </is>
      </c>
      <c r="C47" s="19" t="inlineStr">
        <is>
          <t>UNESCO-MAB Biosphere Reserve</t>
        </is>
      </c>
      <c r="D47" s="19" t="inlineStr">
        <is>
          <t>International</t>
        </is>
      </c>
      <c r="E47" s="19" t="inlineStr">
        <is>
          <t>PA</t>
        </is>
      </c>
      <c r="F47" s="19" t="inlineStr">
        <is>
          <t>Not Applicable</t>
        </is>
      </c>
      <c r="G47" s="19" t="inlineStr">
        <is>
          <t>Not Reported</t>
        </is>
      </c>
      <c r="H47" s="19" t="inlineStr">
        <is>
          <t>Designated</t>
        </is>
      </c>
      <c r="I47" s="19" t="n">
        <v>2004</v>
      </c>
      <c r="J47" s="19" t="n">
        <v>0</v>
      </c>
      <c r="K47" s="19" t="inlineStr">
        <is>
          <t>Polygon</t>
        </is>
      </c>
      <c r="L47" s="20" t="n">
        <v>35.73</v>
      </c>
      <c r="M47" s="20" t="n">
        <v>0</v>
      </c>
      <c r="N47" s="20" t="n">
        <v>62.317</v>
      </c>
      <c r="O47" s="20" t="n">
        <v>0.369</v>
      </c>
      <c r="P47" s="19" t="inlineStr">
        <is>
          <t>Y</t>
        </is>
      </c>
      <c r="Q47" s="19" t="n"/>
      <c r="R47" s="20" t="n"/>
      <c r="S47" s="20" t="n"/>
      <c r="T47" s="19" t="inlineStr">
        <is>
          <t>N</t>
        </is>
      </c>
      <c r="U47" s="19" t="n"/>
      <c r="V47" s="19" t="n"/>
      <c r="W47" s="19" t="n"/>
      <c r="X47" s="19" t="n"/>
      <c r="Y47" s="19" t="inlineStr">
        <is>
          <t>Excluded in GIS: UNESCO-MAB Biosphere Reserve</t>
        </is>
      </c>
      <c r="Z47" s="21">
        <f>IF(AND($A47="",$B47=""),"",IF(OR($E47="",$H47="",$H47="Proposed",$H47="Not Reported"),0,IF(AND($P47="Y",$Q47&lt;&gt;"Y"),0,IF(AND($K47="Point",N($L47)&lt;=0),0,IF(AND(N($L47)&lt;=0,N($N47)&lt;=0,N($R47)+N($S47)&lt;=0),0,1)))))</f>
        <v/>
      </c>
      <c r="AA47" s="21">
        <f>IF(AND($A47="",$B47=""),"",IF($E47="","Site type missing",IF($H47="","STATUS missing",IF($H47="Proposed","STATUS = Proposed",IF($H47="Not Reported","STATUS = Not Reported",IF(AND($P47="Y",$Q47&lt;&gt;"Y"),"UNESCO-MAB Biosphere Reserve",IF(AND($K47="Point",N($L47)&lt;=0),"Point without REP_AREA",IF(AND(N($L47)&lt;=0,N($N47)&lt;=0,N($R47)+N($S47)&lt;=0),"No area information",""))))))))</f>
        <v/>
      </c>
      <c r="AB47" s="22">
        <f>IF(AND($A47="",$B47=""),"",IF($K47="Point",N($L47),IF(N($N47)&gt;0,N($N47),N($L47))))</f>
        <v/>
      </c>
      <c r="AC47" s="22">
        <f>IF(AND($A47="",$B47=""),"",MIN(AB47,IF(N($J47)=0,0,IF(N($J47)=2,AB47,IF(AND($K47&lt;&gt;"Point",N($O47)&gt;0),N($O47),N($M47))))))</f>
        <v/>
      </c>
      <c r="AD47" s="22">
        <f>IF(AND($A47="",$B47=""),"",MAX(0,AB47-AC47))</f>
        <v/>
      </c>
      <c r="AE47" s="21">
        <f>IF(AND($A47="",$B47=""),"",IF(OR($R47&lt;&gt;"",$S47&lt;&gt;""),1,0))</f>
        <v/>
      </c>
      <c r="AF47" s="22">
        <f>IF(AND($A47="",$B47=""),"",IF(Z47=1,IF(AE47=1,N($R47),AD47),0))</f>
        <v/>
      </c>
      <c r="AG47" s="22">
        <f>IF(AND($A47="",$B47=""),"",IF(Z47=1,IF(AE47=1,N($S47),AC47),0))</f>
        <v/>
      </c>
      <c r="AH47" s="21">
        <f>IF(AND($A47="",$B47=""),"",IF(AND(ISNUMBER($I47),N($I47)&gt;0),$I47,0))</f>
        <v/>
      </c>
      <c r="AI47" s="23">
        <f>IF(AND(NOT(AND($A47="",$B47="")),$K47="Point",N($L47)&gt;0),SQRT(N($L47)/PI()),"")</f>
        <v/>
      </c>
      <c r="AJ47" s="21">
        <f>IF(AND($A47="",$B47=""),"",IFERROR(VLOOKUP($G47,Lists!$D$4:$E$15,2,FALSE),"Not reported"))</f>
        <v/>
      </c>
      <c r="AK47" s="21">
        <f>IF(AND($A47="",$B47=""),"",IF($X47&lt;&gt;"",$X47,IF($T47&lt;&gt;"Y","Not assessed",IF(AND(ISNUMBER($V47),Setup!$B$6-$V47&gt;Setup!$B$26),"Assessment outdated",IF(NOT(ISNUMBER($W47)),"Assessed – no score",IF($W47&gt;=Setup!$B$24,"High",IF($W47&gt;=Setup!$B$25,"Moderate","Low")))))))</f>
        <v/>
      </c>
      <c r="AL47" s="21">
        <f>IF(AND($A47="",$B47=""),"",IF(Z47=0,"",IF(AND(AE47=1,N($R47)&gt;AD47*1.01+0.001),"Net terrestrial &gt; gross; ","")&amp;IF(AND(AE47=1,N($S47)&gt;AC47*1.01+0.001),"Net marine &gt; gross; ","")&amp;IF(AE47=0,"No net area – gross used, overlaps may be double-counted; ","")&amp;IF(AH47=0,"STATUS_YR missing – imputed in time series; ","")&amp;IF(AND(ISNUMBER($I47),N($I47)&gt;Setup!$B$6),"STATUS_YR after reporting year; ","")&amp;IF(OR($G47="",$G47="Not Reported"),"GOV_TYPE not reported; ","")&amp;IF(AND(N($J47)=1,$K47="Point",N($M47)&lt;=0),"Coastal point without REP_M_AREA – land/sea split unknown; ","")&amp;IF(AND(N($J47)=0,N($S47)&gt;0),"MARINE=0 but net marine &gt;0; ","")&amp;IF(AND(N($J47)=2,N($R47)&gt;0),"MARINE=2 but net terrestrial &gt;0; ","")&amp;IF($K47="Point","Buffered point – coverage approximate; ","")))</f>
        <v/>
      </c>
    </row>
    <row r="48">
      <c r="A48" s="19" t="n">
        <v>902531</v>
      </c>
      <c r="B48" s="19" t="inlineStr">
        <is>
          <t>Gouraya</t>
        </is>
      </c>
      <c r="C48" s="19" t="inlineStr">
        <is>
          <t>UNESCO-MAB Biosphere Reserve</t>
        </is>
      </c>
      <c r="D48" s="19" t="inlineStr">
        <is>
          <t>International</t>
        </is>
      </c>
      <c r="E48" s="19" t="inlineStr">
        <is>
          <t>PA</t>
        </is>
      </c>
      <c r="F48" s="19" t="inlineStr">
        <is>
          <t>Not Applicable</t>
        </is>
      </c>
      <c r="G48" s="19" t="inlineStr">
        <is>
          <t>Not Reported</t>
        </is>
      </c>
      <c r="H48" s="19" t="inlineStr">
        <is>
          <t>Designated</t>
        </is>
      </c>
      <c r="I48" s="19" t="n">
        <v>2004</v>
      </c>
      <c r="J48" s="19" t="n">
        <v>0</v>
      </c>
      <c r="K48" s="19" t="inlineStr">
        <is>
          <t>Polygon</t>
        </is>
      </c>
      <c r="L48" s="20" t="n">
        <v>20.8</v>
      </c>
      <c r="M48" s="20" t="n">
        <v>0</v>
      </c>
      <c r="N48" s="20" t="n">
        <v>21.108</v>
      </c>
      <c r="O48" s="20" t="n">
        <v>0.958</v>
      </c>
      <c r="P48" s="19" t="inlineStr">
        <is>
          <t>Y</t>
        </is>
      </c>
      <c r="Q48" s="19" t="n"/>
      <c r="R48" s="20" t="n"/>
      <c r="S48" s="20" t="n"/>
      <c r="T48" s="19" t="inlineStr">
        <is>
          <t>N</t>
        </is>
      </c>
      <c r="U48" s="19" t="n"/>
      <c r="V48" s="19" t="n"/>
      <c r="W48" s="19" t="n"/>
      <c r="X48" s="19" t="n"/>
      <c r="Y48" s="19" t="inlineStr">
        <is>
          <t>Excluded in GIS: UNESCO-MAB Biosphere Reserve</t>
        </is>
      </c>
      <c r="Z48" s="21">
        <f>IF(AND($A48="",$B48=""),"",IF(OR($E48="",$H48="",$H48="Proposed",$H48="Not Reported"),0,IF(AND($P48="Y",$Q48&lt;&gt;"Y"),0,IF(AND($K48="Point",N($L48)&lt;=0),0,IF(AND(N($L48)&lt;=0,N($N48)&lt;=0,N($R48)+N($S48)&lt;=0),0,1)))))</f>
        <v/>
      </c>
      <c r="AA48" s="21">
        <f>IF(AND($A48="",$B48=""),"",IF($E48="","Site type missing",IF($H48="","STATUS missing",IF($H48="Proposed","STATUS = Proposed",IF($H48="Not Reported","STATUS = Not Reported",IF(AND($P48="Y",$Q48&lt;&gt;"Y"),"UNESCO-MAB Biosphere Reserve",IF(AND($K48="Point",N($L48)&lt;=0),"Point without REP_AREA",IF(AND(N($L48)&lt;=0,N($N48)&lt;=0,N($R48)+N($S48)&lt;=0),"No area information",""))))))))</f>
        <v/>
      </c>
      <c r="AB48" s="22">
        <f>IF(AND($A48="",$B48=""),"",IF($K48="Point",N($L48),IF(N($N48)&gt;0,N($N48),N($L48))))</f>
        <v/>
      </c>
      <c r="AC48" s="22">
        <f>IF(AND($A48="",$B48=""),"",MIN(AB48,IF(N($J48)=0,0,IF(N($J48)=2,AB48,IF(AND($K48&lt;&gt;"Point",N($O48)&gt;0),N($O48),N($M48))))))</f>
        <v/>
      </c>
      <c r="AD48" s="22">
        <f>IF(AND($A48="",$B48=""),"",MAX(0,AB48-AC48))</f>
        <v/>
      </c>
      <c r="AE48" s="21">
        <f>IF(AND($A48="",$B48=""),"",IF(OR($R48&lt;&gt;"",$S48&lt;&gt;""),1,0))</f>
        <v/>
      </c>
      <c r="AF48" s="22">
        <f>IF(AND($A48="",$B48=""),"",IF(Z48=1,IF(AE48=1,N($R48),AD48),0))</f>
        <v/>
      </c>
      <c r="AG48" s="22">
        <f>IF(AND($A48="",$B48=""),"",IF(Z48=1,IF(AE48=1,N($S48),AC48),0))</f>
        <v/>
      </c>
      <c r="AH48" s="21">
        <f>IF(AND($A48="",$B48=""),"",IF(AND(ISNUMBER($I48),N($I48)&gt;0),$I48,0))</f>
        <v/>
      </c>
      <c r="AI48" s="23">
        <f>IF(AND(NOT(AND($A48="",$B48="")),$K48="Point",N($L48)&gt;0),SQRT(N($L48)/PI()),"")</f>
        <v/>
      </c>
      <c r="AJ48" s="21">
        <f>IF(AND($A48="",$B48=""),"",IFERROR(VLOOKUP($G48,Lists!$D$4:$E$15,2,FALSE),"Not reported"))</f>
        <v/>
      </c>
      <c r="AK48" s="21">
        <f>IF(AND($A48="",$B48=""),"",IF($X48&lt;&gt;"",$X48,IF($T48&lt;&gt;"Y","Not assessed",IF(AND(ISNUMBER($V48),Setup!$B$6-$V48&gt;Setup!$B$26),"Assessment outdated",IF(NOT(ISNUMBER($W48)),"Assessed – no score",IF($W48&gt;=Setup!$B$24,"High",IF($W48&gt;=Setup!$B$25,"Moderate","Low")))))))</f>
        <v/>
      </c>
      <c r="AL48" s="21">
        <f>IF(AND($A48="",$B48=""),"",IF(Z48=0,"",IF(AND(AE48=1,N($R48)&gt;AD48*1.01+0.001),"Net terrestrial &gt; gross; ","")&amp;IF(AND(AE48=1,N($S48)&gt;AC48*1.01+0.001),"Net marine &gt; gross; ","")&amp;IF(AE48=0,"No net area – gross used, overlaps may be double-counted; ","")&amp;IF(AH48=0,"STATUS_YR missing – imputed in time series; ","")&amp;IF(AND(ISNUMBER($I48),N($I48)&gt;Setup!$B$6),"STATUS_YR after reporting year; ","")&amp;IF(OR($G48="",$G48="Not Reported"),"GOV_TYPE not reported; ","")&amp;IF(AND(N($J48)=1,$K48="Point",N($M48)&lt;=0),"Coastal point without REP_M_AREA – land/sea split unknown; ","")&amp;IF(AND(N($J48)=0,N($S48)&gt;0),"MARINE=0 but net marine &gt;0; ","")&amp;IF(AND(N($J48)=2,N($R48)&gt;0),"MARINE=2 but net terrestrial &gt;0; ","")&amp;IF($K48="Point","Buffered point – coverage approximate; ","")))</f>
        <v/>
      </c>
    </row>
    <row r="49">
      <c r="A49" s="19" t="n">
        <v>902839</v>
      </c>
      <c r="B49" s="19" t="inlineStr">
        <is>
          <t>Chott Aïn El Beïda</t>
        </is>
      </c>
      <c r="C49" s="19" t="inlineStr">
        <is>
          <t>Wetland of International Importance (Ramsar Site)</t>
        </is>
      </c>
      <c r="D49" s="19" t="inlineStr">
        <is>
          <t>International</t>
        </is>
      </c>
      <c r="E49" s="19" t="inlineStr">
        <is>
          <t>PA</t>
        </is>
      </c>
      <c r="F49" s="19" t="inlineStr">
        <is>
          <t>Not Reported</t>
        </is>
      </c>
      <c r="G49" s="19" t="inlineStr">
        <is>
          <t>Federal or national ministry or agency</t>
        </is>
      </c>
      <c r="H49" s="19" t="inlineStr">
        <is>
          <t>Designated</t>
        </is>
      </c>
      <c r="I49" s="19" t="n">
        <v>2004</v>
      </c>
      <c r="J49" s="19" t="n">
        <v>0</v>
      </c>
      <c r="K49" s="19" t="inlineStr">
        <is>
          <t>Polygon</t>
        </is>
      </c>
      <c r="L49" s="20" t="n">
        <v>68.53</v>
      </c>
      <c r="M49" s="20" t="n">
        <v>0</v>
      </c>
      <c r="N49" s="20" t="n">
        <v>71.60299999999999</v>
      </c>
      <c r="O49" s="20" t="n">
        <v>0</v>
      </c>
      <c r="P49" s="19" t="inlineStr">
        <is>
          <t>N</t>
        </is>
      </c>
      <c r="Q49" s="19" t="n"/>
      <c r="R49" s="20" t="n">
        <v>71.815</v>
      </c>
      <c r="S49" s="20" t="n">
        <v>0</v>
      </c>
      <c r="T49" s="19" t="inlineStr">
        <is>
          <t>N</t>
        </is>
      </c>
      <c r="U49" s="19" t="n"/>
      <c r="V49" s="19" t="n"/>
      <c r="W49" s="19" t="n"/>
      <c r="X49" s="19" t="n"/>
      <c r="Y49" s="19" t="n"/>
      <c r="Z49" s="21">
        <f>IF(AND($A49="",$B49=""),"",IF(OR($E49="",$H49="",$H49="Proposed",$H49="Not Reported"),0,IF(AND($P49="Y",$Q49&lt;&gt;"Y"),0,IF(AND($K49="Point",N($L49)&lt;=0),0,IF(AND(N($L49)&lt;=0,N($N49)&lt;=0,N($R49)+N($S49)&lt;=0),0,1)))))</f>
        <v/>
      </c>
      <c r="AA49" s="21">
        <f>IF(AND($A49="",$B49=""),"",IF($E49="","Site type missing",IF($H49="","STATUS missing",IF($H49="Proposed","STATUS = Proposed",IF($H49="Not Reported","STATUS = Not Reported",IF(AND($P49="Y",$Q49&lt;&gt;"Y"),"UNESCO-MAB Biosphere Reserve",IF(AND($K49="Point",N($L49)&lt;=0),"Point without REP_AREA",IF(AND(N($L49)&lt;=0,N($N49)&lt;=0,N($R49)+N($S49)&lt;=0),"No area information",""))))))))</f>
        <v/>
      </c>
      <c r="AB49" s="22">
        <f>IF(AND($A49="",$B49=""),"",IF($K49="Point",N($L49),IF(N($N49)&gt;0,N($N49),N($L49))))</f>
        <v/>
      </c>
      <c r="AC49" s="22">
        <f>IF(AND($A49="",$B49=""),"",MIN(AB49,IF(N($J49)=0,0,IF(N($J49)=2,AB49,IF(AND($K49&lt;&gt;"Point",N($O49)&gt;0),N($O49),N($M49))))))</f>
        <v/>
      </c>
      <c r="AD49" s="22">
        <f>IF(AND($A49="",$B49=""),"",MAX(0,AB49-AC49))</f>
        <v/>
      </c>
      <c r="AE49" s="21">
        <f>IF(AND($A49="",$B49=""),"",IF(OR($R49&lt;&gt;"",$S49&lt;&gt;""),1,0))</f>
        <v/>
      </c>
      <c r="AF49" s="22">
        <f>IF(AND($A49="",$B49=""),"",IF(Z49=1,IF(AE49=1,N($R49),AD49),0))</f>
        <v/>
      </c>
      <c r="AG49" s="22">
        <f>IF(AND($A49="",$B49=""),"",IF(Z49=1,IF(AE49=1,N($S49),AC49),0))</f>
        <v/>
      </c>
      <c r="AH49" s="21">
        <f>IF(AND($A49="",$B49=""),"",IF(AND(ISNUMBER($I49),N($I49)&gt;0),$I49,0))</f>
        <v/>
      </c>
      <c r="AI49" s="23">
        <f>IF(AND(NOT(AND($A49="",$B49="")),$K49="Point",N($L49)&gt;0),SQRT(N($L49)/PI()),"")</f>
        <v/>
      </c>
      <c r="AJ49" s="21">
        <f>IF(AND($A49="",$B49=""),"",IFERROR(VLOOKUP($G49,Lists!$D$4:$E$15,2,FALSE),"Not reported"))</f>
        <v/>
      </c>
      <c r="AK49" s="21">
        <f>IF(AND($A49="",$B49=""),"",IF($X49&lt;&gt;"",$X49,IF($T49&lt;&gt;"Y","Not assessed",IF(AND(ISNUMBER($V49),Setup!$B$6-$V49&gt;Setup!$B$26),"Assessment outdated",IF(NOT(ISNUMBER($W49)),"Assessed – no score",IF($W49&gt;=Setup!$B$24,"High",IF($W49&gt;=Setup!$B$25,"Moderate","Low")))))))</f>
        <v/>
      </c>
      <c r="AL49" s="21">
        <f>IF(AND($A49="",$B49=""),"",IF(Z49=0,"",IF(AND(AE49=1,N($R49)&gt;AD49*1.01+0.001),"Net terrestrial &gt; gross; ","")&amp;IF(AND(AE49=1,N($S49)&gt;AC49*1.01+0.001),"Net marine &gt; gross; ","")&amp;IF(AE49=0,"No net area – gross used, overlaps may be double-counted; ","")&amp;IF(AH49=0,"STATUS_YR missing – imputed in time series; ","")&amp;IF(AND(ISNUMBER($I49),N($I49)&gt;Setup!$B$6),"STATUS_YR after reporting year; ","")&amp;IF(OR($G49="",$G49="Not Reported"),"GOV_TYPE not reported; ","")&amp;IF(AND(N($J49)=1,$K49="Point",N($M49)&lt;=0),"Coastal point without REP_M_AREA – land/sea split unknown; ","")&amp;IF(AND(N($J49)=0,N($S49)&gt;0),"MARINE=0 but net marine &gt;0; ","")&amp;IF(AND(N($J49)=2,N($R49)&gt;0),"MARINE=2 but net terrestrial &gt;0; ","")&amp;IF($K49="Point","Buffered point – coverage approximate; ","")))</f>
        <v/>
      </c>
    </row>
    <row r="50">
      <c r="A50" s="19" t="n">
        <v>902840</v>
      </c>
      <c r="B50" s="19" t="inlineStr">
        <is>
          <t>Chott El Beïdha-Hammam Essoukhna</t>
        </is>
      </c>
      <c r="C50" s="19" t="inlineStr">
        <is>
          <t>Wetland of International Importance (Ramsar Site)</t>
        </is>
      </c>
      <c r="D50" s="19" t="inlineStr">
        <is>
          <t>International</t>
        </is>
      </c>
      <c r="E50" s="19" t="inlineStr">
        <is>
          <t>PA</t>
        </is>
      </c>
      <c r="F50" s="19" t="inlineStr">
        <is>
          <t>Not Reported</t>
        </is>
      </c>
      <c r="G50" s="19" t="inlineStr">
        <is>
          <t>Federal or national ministry or agency</t>
        </is>
      </c>
      <c r="H50" s="19" t="inlineStr">
        <is>
          <t>Designated</t>
        </is>
      </c>
      <c r="I50" s="19" t="n">
        <v>2004</v>
      </c>
      <c r="J50" s="19" t="n">
        <v>0</v>
      </c>
      <c r="K50" s="19" t="inlineStr">
        <is>
          <t>Polygon</t>
        </is>
      </c>
      <c r="L50" s="20" t="n">
        <v>122.23</v>
      </c>
      <c r="M50" s="20" t="n">
        <v>0</v>
      </c>
      <c r="N50" s="20" t="n">
        <v>122.133</v>
      </c>
      <c r="O50" s="20" t="n">
        <v>0</v>
      </c>
      <c r="P50" s="19" t="inlineStr">
        <is>
          <t>N</t>
        </is>
      </c>
      <c r="Q50" s="19" t="n"/>
      <c r="R50" s="20" t="n">
        <v>122.39</v>
      </c>
      <c r="S50" s="20" t="n">
        <v>0</v>
      </c>
      <c r="T50" s="19" t="inlineStr">
        <is>
          <t>N</t>
        </is>
      </c>
      <c r="U50" s="19" t="n"/>
      <c r="V50" s="19" t="n"/>
      <c r="W50" s="19" t="n"/>
      <c r="X50" s="19" t="n"/>
      <c r="Y50" s="19" t="n"/>
      <c r="Z50" s="21">
        <f>IF(AND($A50="",$B50=""),"",IF(OR($E50="",$H50="",$H50="Proposed",$H50="Not Reported"),0,IF(AND($P50="Y",$Q50&lt;&gt;"Y"),0,IF(AND($K50="Point",N($L50)&lt;=0),0,IF(AND(N($L50)&lt;=0,N($N50)&lt;=0,N($R50)+N($S50)&lt;=0),0,1)))))</f>
        <v/>
      </c>
      <c r="AA50" s="21">
        <f>IF(AND($A50="",$B50=""),"",IF($E50="","Site type missing",IF($H50="","STATUS missing",IF($H50="Proposed","STATUS = Proposed",IF($H50="Not Reported","STATUS = Not Reported",IF(AND($P50="Y",$Q50&lt;&gt;"Y"),"UNESCO-MAB Biosphere Reserve",IF(AND($K50="Point",N($L50)&lt;=0),"Point without REP_AREA",IF(AND(N($L50)&lt;=0,N($N50)&lt;=0,N($R50)+N($S50)&lt;=0),"No area information",""))))))))</f>
        <v/>
      </c>
      <c r="AB50" s="22">
        <f>IF(AND($A50="",$B50=""),"",IF($K50="Point",N($L50),IF(N($N50)&gt;0,N($N50),N($L50))))</f>
        <v/>
      </c>
      <c r="AC50" s="22">
        <f>IF(AND($A50="",$B50=""),"",MIN(AB50,IF(N($J50)=0,0,IF(N($J50)=2,AB50,IF(AND($K50&lt;&gt;"Point",N($O50)&gt;0),N($O50),N($M50))))))</f>
        <v/>
      </c>
      <c r="AD50" s="22">
        <f>IF(AND($A50="",$B50=""),"",MAX(0,AB50-AC50))</f>
        <v/>
      </c>
      <c r="AE50" s="21">
        <f>IF(AND($A50="",$B50=""),"",IF(OR($R50&lt;&gt;"",$S50&lt;&gt;""),1,0))</f>
        <v/>
      </c>
      <c r="AF50" s="22">
        <f>IF(AND($A50="",$B50=""),"",IF(Z50=1,IF(AE50=1,N($R50),AD50),0))</f>
        <v/>
      </c>
      <c r="AG50" s="22">
        <f>IF(AND($A50="",$B50=""),"",IF(Z50=1,IF(AE50=1,N($S50),AC50),0))</f>
        <v/>
      </c>
      <c r="AH50" s="21">
        <f>IF(AND($A50="",$B50=""),"",IF(AND(ISNUMBER($I50),N($I50)&gt;0),$I50,0))</f>
        <v/>
      </c>
      <c r="AI50" s="23">
        <f>IF(AND(NOT(AND($A50="",$B50="")),$K50="Point",N($L50)&gt;0),SQRT(N($L50)/PI()),"")</f>
        <v/>
      </c>
      <c r="AJ50" s="21">
        <f>IF(AND($A50="",$B50=""),"",IFERROR(VLOOKUP($G50,Lists!$D$4:$E$15,2,FALSE),"Not reported"))</f>
        <v/>
      </c>
      <c r="AK50" s="21">
        <f>IF(AND($A50="",$B50=""),"",IF($X50&lt;&gt;"",$X50,IF($T50&lt;&gt;"Y","Not assessed",IF(AND(ISNUMBER($V50),Setup!$B$6-$V50&gt;Setup!$B$26),"Assessment outdated",IF(NOT(ISNUMBER($W50)),"Assessed – no score",IF($W50&gt;=Setup!$B$24,"High",IF($W50&gt;=Setup!$B$25,"Moderate","Low")))))))</f>
        <v/>
      </c>
      <c r="AL50" s="21">
        <f>IF(AND($A50="",$B50=""),"",IF(Z50=0,"",IF(AND(AE50=1,N($R50)&gt;AD50*1.01+0.001),"Net terrestrial &gt; gross; ","")&amp;IF(AND(AE50=1,N($S50)&gt;AC50*1.01+0.001),"Net marine &gt; gross; ","")&amp;IF(AE50=0,"No net area – gross used, overlaps may be double-counted; ","")&amp;IF(AH50=0,"STATUS_YR missing – imputed in time series; ","")&amp;IF(AND(ISNUMBER($I50),N($I50)&gt;Setup!$B$6),"STATUS_YR after reporting year; ","")&amp;IF(OR($G50="",$G50="Not Reported"),"GOV_TYPE not reported; ","")&amp;IF(AND(N($J50)=1,$K50="Point",N($M50)&lt;=0),"Coastal point without REP_M_AREA – land/sea split unknown; ","")&amp;IF(AND(N($J50)=0,N($S50)&gt;0),"MARINE=0 but net marine &gt;0; ","")&amp;IF(AND(N($J50)=2,N($R50)&gt;0),"MARINE=2 but net terrestrial &gt;0; ","")&amp;IF($K50="Point","Buffered point – coverage approximate; ","")))</f>
        <v/>
      </c>
    </row>
    <row r="51">
      <c r="A51" s="19" t="n">
        <v>902841</v>
      </c>
      <c r="B51" s="19" t="inlineStr">
        <is>
          <t>Chott Oum El Raneb</t>
        </is>
      </c>
      <c r="C51" s="19" t="inlineStr">
        <is>
          <t>Wetland of International Importance (Ramsar Site)</t>
        </is>
      </c>
      <c r="D51" s="19" t="inlineStr">
        <is>
          <t>International</t>
        </is>
      </c>
      <c r="E51" s="19" t="inlineStr">
        <is>
          <t>PA</t>
        </is>
      </c>
      <c r="F51" s="19" t="inlineStr">
        <is>
          <t>Not Reported</t>
        </is>
      </c>
      <c r="G51" s="19" t="inlineStr">
        <is>
          <t>Federal or national ministry or agency</t>
        </is>
      </c>
      <c r="H51" s="19" t="inlineStr">
        <is>
          <t>Designated</t>
        </is>
      </c>
      <c r="I51" s="19" t="n">
        <v>2004</v>
      </c>
      <c r="J51" s="19" t="n">
        <v>0</v>
      </c>
      <c r="K51" s="19" t="inlineStr">
        <is>
          <t>Polygon</t>
        </is>
      </c>
      <c r="L51" s="20" t="n">
        <v>71.55</v>
      </c>
      <c r="M51" s="20" t="n">
        <v>0</v>
      </c>
      <c r="N51" s="20" t="n">
        <v>71.521</v>
      </c>
      <c r="O51" s="20" t="n">
        <v>0</v>
      </c>
      <c r="P51" s="19" t="inlineStr">
        <is>
          <t>N</t>
        </is>
      </c>
      <c r="Q51" s="19" t="n"/>
      <c r="R51" s="20" t="n">
        <v>71.732</v>
      </c>
      <c r="S51" s="20" t="n">
        <v>0</v>
      </c>
      <c r="T51" s="19" t="inlineStr">
        <is>
          <t>N</t>
        </is>
      </c>
      <c r="U51" s="19" t="n"/>
      <c r="V51" s="19" t="n"/>
      <c r="W51" s="19" t="n"/>
      <c r="X51" s="19" t="n"/>
      <c r="Y51" s="19" t="n"/>
      <c r="Z51" s="21">
        <f>IF(AND($A51="",$B51=""),"",IF(OR($E51="",$H51="",$H51="Proposed",$H51="Not Reported"),0,IF(AND($P51="Y",$Q51&lt;&gt;"Y"),0,IF(AND($K51="Point",N($L51)&lt;=0),0,IF(AND(N($L51)&lt;=0,N($N51)&lt;=0,N($R51)+N($S51)&lt;=0),0,1)))))</f>
        <v/>
      </c>
      <c r="AA51" s="21">
        <f>IF(AND($A51="",$B51=""),"",IF($E51="","Site type missing",IF($H51="","STATUS missing",IF($H51="Proposed","STATUS = Proposed",IF($H51="Not Reported","STATUS = Not Reported",IF(AND($P51="Y",$Q51&lt;&gt;"Y"),"UNESCO-MAB Biosphere Reserve",IF(AND($K51="Point",N($L51)&lt;=0),"Point without REP_AREA",IF(AND(N($L51)&lt;=0,N($N51)&lt;=0,N($R51)+N($S51)&lt;=0),"No area information",""))))))))</f>
        <v/>
      </c>
      <c r="AB51" s="22">
        <f>IF(AND($A51="",$B51=""),"",IF($K51="Point",N($L51),IF(N($N51)&gt;0,N($N51),N($L51))))</f>
        <v/>
      </c>
      <c r="AC51" s="22">
        <f>IF(AND($A51="",$B51=""),"",MIN(AB51,IF(N($J51)=0,0,IF(N($J51)=2,AB51,IF(AND($K51&lt;&gt;"Point",N($O51)&gt;0),N($O51),N($M51))))))</f>
        <v/>
      </c>
      <c r="AD51" s="22">
        <f>IF(AND($A51="",$B51=""),"",MAX(0,AB51-AC51))</f>
        <v/>
      </c>
      <c r="AE51" s="21">
        <f>IF(AND($A51="",$B51=""),"",IF(OR($R51&lt;&gt;"",$S51&lt;&gt;""),1,0))</f>
        <v/>
      </c>
      <c r="AF51" s="22">
        <f>IF(AND($A51="",$B51=""),"",IF(Z51=1,IF(AE51=1,N($R51),AD51),0))</f>
        <v/>
      </c>
      <c r="AG51" s="22">
        <f>IF(AND($A51="",$B51=""),"",IF(Z51=1,IF(AE51=1,N($S51),AC51),0))</f>
        <v/>
      </c>
      <c r="AH51" s="21">
        <f>IF(AND($A51="",$B51=""),"",IF(AND(ISNUMBER($I51),N($I51)&gt;0),$I51,0))</f>
        <v/>
      </c>
      <c r="AI51" s="23">
        <f>IF(AND(NOT(AND($A51="",$B51="")),$K51="Point",N($L51)&gt;0),SQRT(N($L51)/PI()),"")</f>
        <v/>
      </c>
      <c r="AJ51" s="21">
        <f>IF(AND($A51="",$B51=""),"",IFERROR(VLOOKUP($G51,Lists!$D$4:$E$15,2,FALSE),"Not reported"))</f>
        <v/>
      </c>
      <c r="AK51" s="21">
        <f>IF(AND($A51="",$B51=""),"",IF($X51&lt;&gt;"",$X51,IF($T51&lt;&gt;"Y","Not assessed",IF(AND(ISNUMBER($V51),Setup!$B$6-$V51&gt;Setup!$B$26),"Assessment outdated",IF(NOT(ISNUMBER($W51)),"Assessed – no score",IF($W51&gt;=Setup!$B$24,"High",IF($W51&gt;=Setup!$B$25,"Moderate","Low")))))))</f>
        <v/>
      </c>
      <c r="AL51" s="21">
        <f>IF(AND($A51="",$B51=""),"",IF(Z51=0,"",IF(AND(AE51=1,N($R51)&gt;AD51*1.01+0.001),"Net terrestrial &gt; gross; ","")&amp;IF(AND(AE51=1,N($S51)&gt;AC51*1.01+0.001),"Net marine &gt; gross; ","")&amp;IF(AE51=0,"No net area – gross used, overlaps may be double-counted; ","")&amp;IF(AH51=0,"STATUS_YR missing – imputed in time series; ","")&amp;IF(AND(ISNUMBER($I51),N($I51)&gt;Setup!$B$6),"STATUS_YR after reporting year; ","")&amp;IF(OR($G51="",$G51="Not Reported"),"GOV_TYPE not reported; ","")&amp;IF(AND(N($J51)=1,$K51="Point",N($M51)&lt;=0),"Coastal point without REP_M_AREA – land/sea split unknown; ","")&amp;IF(AND(N($J51)=0,N($S51)&gt;0),"MARINE=0 but net marine &gt;0; ","")&amp;IF(AND(N($J51)=2,N($R51)&gt;0),"MARINE=2 but net terrestrial &gt;0; ","")&amp;IF($K51="Point","Buffered point – coverage approximate; ","")))</f>
        <v/>
      </c>
    </row>
    <row r="52">
      <c r="A52" s="19" t="n">
        <v>902842</v>
      </c>
      <c r="B52" s="19" t="inlineStr">
        <is>
          <t>Chott Sidi Slimane</t>
        </is>
      </c>
      <c r="C52" s="19" t="inlineStr">
        <is>
          <t>Wetland of International Importance (Ramsar Site)</t>
        </is>
      </c>
      <c r="D52" s="19" t="inlineStr">
        <is>
          <t>International</t>
        </is>
      </c>
      <c r="E52" s="19" t="inlineStr">
        <is>
          <t>PA</t>
        </is>
      </c>
      <c r="F52" s="19" t="inlineStr">
        <is>
          <t>Not Reported</t>
        </is>
      </c>
      <c r="G52" s="19" t="inlineStr">
        <is>
          <t>Federal or national ministry or agency</t>
        </is>
      </c>
      <c r="H52" s="19" t="inlineStr">
        <is>
          <t>Designated</t>
        </is>
      </c>
      <c r="I52" s="19" t="n">
        <v>2004</v>
      </c>
      <c r="J52" s="19" t="n">
        <v>0</v>
      </c>
      <c r="K52" s="19" t="inlineStr">
        <is>
          <t>Polygon</t>
        </is>
      </c>
      <c r="L52" s="20" t="n">
        <v>6.16</v>
      </c>
      <c r="M52" s="20" t="n">
        <v>0</v>
      </c>
      <c r="N52" s="20" t="n">
        <v>8.847</v>
      </c>
      <c r="O52" s="20" t="n">
        <v>0</v>
      </c>
      <c r="P52" s="19" t="inlineStr">
        <is>
          <t>N</t>
        </is>
      </c>
      <c r="Q52" s="19" t="n"/>
      <c r="R52" s="20" t="n">
        <v>8.871</v>
      </c>
      <c r="S52" s="20" t="n">
        <v>0</v>
      </c>
      <c r="T52" s="19" t="inlineStr">
        <is>
          <t>N</t>
        </is>
      </c>
      <c r="U52" s="19" t="n"/>
      <c r="V52" s="19" t="n"/>
      <c r="W52" s="19" t="n"/>
      <c r="X52" s="19" t="n"/>
      <c r="Y52" s="19" t="n"/>
      <c r="Z52" s="21">
        <f>IF(AND($A52="",$B52=""),"",IF(OR($E52="",$H52="",$H52="Proposed",$H52="Not Reported"),0,IF(AND($P52="Y",$Q52&lt;&gt;"Y"),0,IF(AND($K52="Point",N($L52)&lt;=0),0,IF(AND(N($L52)&lt;=0,N($N52)&lt;=0,N($R52)+N($S52)&lt;=0),0,1)))))</f>
        <v/>
      </c>
      <c r="AA52" s="21">
        <f>IF(AND($A52="",$B52=""),"",IF($E52="","Site type missing",IF($H52="","STATUS missing",IF($H52="Proposed","STATUS = Proposed",IF($H52="Not Reported","STATUS = Not Reported",IF(AND($P52="Y",$Q52&lt;&gt;"Y"),"UNESCO-MAB Biosphere Reserve",IF(AND($K52="Point",N($L52)&lt;=0),"Point without REP_AREA",IF(AND(N($L52)&lt;=0,N($N52)&lt;=0,N($R52)+N($S52)&lt;=0),"No area information",""))))))))</f>
        <v/>
      </c>
      <c r="AB52" s="22">
        <f>IF(AND($A52="",$B52=""),"",IF($K52="Point",N($L52),IF(N($N52)&gt;0,N($N52),N($L52))))</f>
        <v/>
      </c>
      <c r="AC52" s="22">
        <f>IF(AND($A52="",$B52=""),"",MIN(AB52,IF(N($J52)=0,0,IF(N($J52)=2,AB52,IF(AND($K52&lt;&gt;"Point",N($O52)&gt;0),N($O52),N($M52))))))</f>
        <v/>
      </c>
      <c r="AD52" s="22">
        <f>IF(AND($A52="",$B52=""),"",MAX(0,AB52-AC52))</f>
        <v/>
      </c>
      <c r="AE52" s="21">
        <f>IF(AND($A52="",$B52=""),"",IF(OR($R52&lt;&gt;"",$S52&lt;&gt;""),1,0))</f>
        <v/>
      </c>
      <c r="AF52" s="22">
        <f>IF(AND($A52="",$B52=""),"",IF(Z52=1,IF(AE52=1,N($R52),AD52),0))</f>
        <v/>
      </c>
      <c r="AG52" s="22">
        <f>IF(AND($A52="",$B52=""),"",IF(Z52=1,IF(AE52=1,N($S52),AC52),0))</f>
        <v/>
      </c>
      <c r="AH52" s="21">
        <f>IF(AND($A52="",$B52=""),"",IF(AND(ISNUMBER($I52),N($I52)&gt;0),$I52,0))</f>
        <v/>
      </c>
      <c r="AI52" s="23">
        <f>IF(AND(NOT(AND($A52="",$B52="")),$K52="Point",N($L52)&gt;0),SQRT(N($L52)/PI()),"")</f>
        <v/>
      </c>
      <c r="AJ52" s="21">
        <f>IF(AND($A52="",$B52=""),"",IFERROR(VLOOKUP($G52,Lists!$D$4:$E$15,2,FALSE),"Not reported"))</f>
        <v/>
      </c>
      <c r="AK52" s="21">
        <f>IF(AND($A52="",$B52=""),"",IF($X52&lt;&gt;"",$X52,IF($T52&lt;&gt;"Y","Not assessed",IF(AND(ISNUMBER($V52),Setup!$B$6-$V52&gt;Setup!$B$26),"Assessment outdated",IF(NOT(ISNUMBER($W52)),"Assessed – no score",IF($W52&gt;=Setup!$B$24,"High",IF($W52&gt;=Setup!$B$25,"Moderate","Low")))))))</f>
        <v/>
      </c>
      <c r="AL52" s="21">
        <f>IF(AND($A52="",$B52=""),"",IF(Z52=0,"",IF(AND(AE52=1,N($R52)&gt;AD52*1.01+0.001),"Net terrestrial &gt; gross; ","")&amp;IF(AND(AE52=1,N($S52)&gt;AC52*1.01+0.001),"Net marine &gt; gross; ","")&amp;IF(AE52=0,"No net area – gross used, overlaps may be double-counted; ","")&amp;IF(AH52=0,"STATUS_YR missing – imputed in time series; ","")&amp;IF(AND(ISNUMBER($I52),N($I52)&gt;Setup!$B$6),"STATUS_YR after reporting year; ","")&amp;IF(OR($G52="",$G52="Not Reported"),"GOV_TYPE not reported; ","")&amp;IF(AND(N($J52)=1,$K52="Point",N($M52)&lt;=0),"Coastal point without REP_M_AREA – land/sea split unknown; ","")&amp;IF(AND(N($J52)=0,N($S52)&gt;0),"MARINE=0 but net marine &gt;0; ","")&amp;IF(AND(N($J52)=2,N($R52)&gt;0),"MARINE=2 but net terrestrial &gt;0; ","")&amp;IF($K52="Point","Buffered point – coverage approximate; ","")))</f>
        <v/>
      </c>
    </row>
    <row r="53">
      <c r="A53" s="19" t="n">
        <v>902843</v>
      </c>
      <c r="B53" s="19" t="inlineStr">
        <is>
          <t>Chott Tinsilt</t>
        </is>
      </c>
      <c r="C53" s="19" t="inlineStr">
        <is>
          <t>Wetland of International Importance (Ramsar Site)</t>
        </is>
      </c>
      <c r="D53" s="19" t="inlineStr">
        <is>
          <t>International</t>
        </is>
      </c>
      <c r="E53" s="19" t="inlineStr">
        <is>
          <t>PA</t>
        </is>
      </c>
      <c r="F53" s="19" t="inlineStr">
        <is>
          <t>Not Reported</t>
        </is>
      </c>
      <c r="G53" s="19" t="inlineStr">
        <is>
          <t>Federal or national ministry or agency</t>
        </is>
      </c>
      <c r="H53" s="19" t="inlineStr">
        <is>
          <t>Designated</t>
        </is>
      </c>
      <c r="I53" s="19" t="n">
        <v>2004</v>
      </c>
      <c r="J53" s="19" t="n">
        <v>0</v>
      </c>
      <c r="K53" s="19" t="inlineStr">
        <is>
          <t>Polygon</t>
        </is>
      </c>
      <c r="L53" s="20" t="n">
        <v>21.54</v>
      </c>
      <c r="M53" s="20" t="n">
        <v>0</v>
      </c>
      <c r="N53" s="20" t="n">
        <v>22.02</v>
      </c>
      <c r="O53" s="20" t="n">
        <v>0</v>
      </c>
      <c r="P53" s="19" t="inlineStr">
        <is>
          <t>N</t>
        </is>
      </c>
      <c r="Q53" s="19" t="n"/>
      <c r="R53" s="20" t="n">
        <v>22.067</v>
      </c>
      <c r="S53" s="20" t="n">
        <v>0</v>
      </c>
      <c r="T53" s="19" t="inlineStr">
        <is>
          <t>N</t>
        </is>
      </c>
      <c r="U53" s="19" t="n"/>
      <c r="V53" s="19" t="n"/>
      <c r="W53" s="19" t="n"/>
      <c r="X53" s="19" t="n"/>
      <c r="Y53" s="19" t="n"/>
      <c r="Z53" s="21">
        <f>IF(AND($A53="",$B53=""),"",IF(OR($E53="",$H53="",$H53="Proposed",$H53="Not Reported"),0,IF(AND($P53="Y",$Q53&lt;&gt;"Y"),0,IF(AND($K53="Point",N($L53)&lt;=0),0,IF(AND(N($L53)&lt;=0,N($N53)&lt;=0,N($R53)+N($S53)&lt;=0),0,1)))))</f>
        <v/>
      </c>
      <c r="AA53" s="21">
        <f>IF(AND($A53="",$B53=""),"",IF($E53="","Site type missing",IF($H53="","STATUS missing",IF($H53="Proposed","STATUS = Proposed",IF($H53="Not Reported","STATUS = Not Reported",IF(AND($P53="Y",$Q53&lt;&gt;"Y"),"UNESCO-MAB Biosphere Reserve",IF(AND($K53="Point",N($L53)&lt;=0),"Point without REP_AREA",IF(AND(N($L53)&lt;=0,N($N53)&lt;=0,N($R53)+N($S53)&lt;=0),"No area information",""))))))))</f>
        <v/>
      </c>
      <c r="AB53" s="22">
        <f>IF(AND($A53="",$B53=""),"",IF($K53="Point",N($L53),IF(N($N53)&gt;0,N($N53),N($L53))))</f>
        <v/>
      </c>
      <c r="AC53" s="22">
        <f>IF(AND($A53="",$B53=""),"",MIN(AB53,IF(N($J53)=0,0,IF(N($J53)=2,AB53,IF(AND($K53&lt;&gt;"Point",N($O53)&gt;0),N($O53),N($M53))))))</f>
        <v/>
      </c>
      <c r="AD53" s="22">
        <f>IF(AND($A53="",$B53=""),"",MAX(0,AB53-AC53))</f>
        <v/>
      </c>
      <c r="AE53" s="21">
        <f>IF(AND($A53="",$B53=""),"",IF(OR($R53&lt;&gt;"",$S53&lt;&gt;""),1,0))</f>
        <v/>
      </c>
      <c r="AF53" s="22">
        <f>IF(AND($A53="",$B53=""),"",IF(Z53=1,IF(AE53=1,N($R53),AD53),0))</f>
        <v/>
      </c>
      <c r="AG53" s="22">
        <f>IF(AND($A53="",$B53=""),"",IF(Z53=1,IF(AE53=1,N($S53),AC53),0))</f>
        <v/>
      </c>
      <c r="AH53" s="21">
        <f>IF(AND($A53="",$B53=""),"",IF(AND(ISNUMBER($I53),N($I53)&gt;0),$I53,0))</f>
        <v/>
      </c>
      <c r="AI53" s="23">
        <f>IF(AND(NOT(AND($A53="",$B53="")),$K53="Point",N($L53)&gt;0),SQRT(N($L53)/PI()),"")</f>
        <v/>
      </c>
      <c r="AJ53" s="21">
        <f>IF(AND($A53="",$B53=""),"",IFERROR(VLOOKUP($G53,Lists!$D$4:$E$15,2,FALSE),"Not reported"))</f>
        <v/>
      </c>
      <c r="AK53" s="21">
        <f>IF(AND($A53="",$B53=""),"",IF($X53&lt;&gt;"",$X53,IF($T53&lt;&gt;"Y","Not assessed",IF(AND(ISNUMBER($V53),Setup!$B$6-$V53&gt;Setup!$B$26),"Assessment outdated",IF(NOT(ISNUMBER($W53)),"Assessed – no score",IF($W53&gt;=Setup!$B$24,"High",IF($W53&gt;=Setup!$B$25,"Moderate","Low")))))))</f>
        <v/>
      </c>
      <c r="AL53" s="21">
        <f>IF(AND($A53="",$B53=""),"",IF(Z53=0,"",IF(AND(AE53=1,N($R53)&gt;AD53*1.01+0.001),"Net terrestrial &gt; gross; ","")&amp;IF(AND(AE53=1,N($S53)&gt;AC53*1.01+0.001),"Net marine &gt; gross; ","")&amp;IF(AE53=0,"No net area – gross used, overlaps may be double-counted; ","")&amp;IF(AH53=0,"STATUS_YR missing – imputed in time series; ","")&amp;IF(AND(ISNUMBER($I53),N($I53)&gt;Setup!$B$6),"STATUS_YR after reporting year; ","")&amp;IF(OR($G53="",$G53="Not Reported"),"GOV_TYPE not reported; ","")&amp;IF(AND(N($J53)=1,$K53="Point",N($M53)&lt;=0),"Coastal point without REP_M_AREA – land/sea split unknown; ","")&amp;IF(AND(N($J53)=0,N($S53)&gt;0),"MARINE=0 but net marine &gt;0; ","")&amp;IF(AND(N($J53)=2,N($R53)&gt;0),"MARINE=2 but net terrestrial &gt;0; ","")&amp;IF($K53="Point","Buffered point – coverage approximate; ","")))</f>
        <v/>
      </c>
    </row>
    <row r="54">
      <c r="A54" s="19" t="n">
        <v>902844</v>
      </c>
      <c r="B54" s="19" t="inlineStr">
        <is>
          <t>Dayet El Ferd</t>
        </is>
      </c>
      <c r="C54" s="19" t="inlineStr">
        <is>
          <t>Wetland of International Importance (Ramsar Site)</t>
        </is>
      </c>
      <c r="D54" s="19" t="inlineStr">
        <is>
          <t>International</t>
        </is>
      </c>
      <c r="E54" s="19" t="inlineStr">
        <is>
          <t>PA</t>
        </is>
      </c>
      <c r="F54" s="19" t="inlineStr">
        <is>
          <t>Not Reported</t>
        </is>
      </c>
      <c r="G54" s="19" t="inlineStr">
        <is>
          <t>Federal or national ministry or agency</t>
        </is>
      </c>
      <c r="H54" s="19" t="inlineStr">
        <is>
          <t>Designated</t>
        </is>
      </c>
      <c r="I54" s="19" t="n">
        <v>2004</v>
      </c>
      <c r="J54" s="19" t="n">
        <v>0</v>
      </c>
      <c r="K54" s="19" t="inlineStr">
        <is>
          <t>Polygon</t>
        </is>
      </c>
      <c r="L54" s="20" t="n">
        <v>33.23</v>
      </c>
      <c r="M54" s="20" t="n">
        <v>0</v>
      </c>
      <c r="N54" s="20" t="n">
        <v>24.726</v>
      </c>
      <c r="O54" s="20" t="n">
        <v>0</v>
      </c>
      <c r="P54" s="19" t="inlineStr">
        <is>
          <t>N</t>
        </is>
      </c>
      <c r="Q54" s="19" t="n"/>
      <c r="R54" s="20" t="n">
        <v>24.785</v>
      </c>
      <c r="S54" s="20" t="n">
        <v>0</v>
      </c>
      <c r="T54" s="19" t="inlineStr">
        <is>
          <t>N</t>
        </is>
      </c>
      <c r="U54" s="19" t="n"/>
      <c r="V54" s="19" t="n"/>
      <c r="W54" s="19" t="n"/>
      <c r="X54" s="19" t="n"/>
      <c r="Y54" s="19" t="n"/>
      <c r="Z54" s="21">
        <f>IF(AND($A54="",$B54=""),"",IF(OR($E54="",$H54="",$H54="Proposed",$H54="Not Reported"),0,IF(AND($P54="Y",$Q54&lt;&gt;"Y"),0,IF(AND($K54="Point",N($L54)&lt;=0),0,IF(AND(N($L54)&lt;=0,N($N54)&lt;=0,N($R54)+N($S54)&lt;=0),0,1)))))</f>
        <v/>
      </c>
      <c r="AA54" s="21">
        <f>IF(AND($A54="",$B54=""),"",IF($E54="","Site type missing",IF($H54="","STATUS missing",IF($H54="Proposed","STATUS = Proposed",IF($H54="Not Reported","STATUS = Not Reported",IF(AND($P54="Y",$Q54&lt;&gt;"Y"),"UNESCO-MAB Biosphere Reserve",IF(AND($K54="Point",N($L54)&lt;=0),"Point without REP_AREA",IF(AND(N($L54)&lt;=0,N($N54)&lt;=0,N($R54)+N($S54)&lt;=0),"No area information",""))))))))</f>
        <v/>
      </c>
      <c r="AB54" s="22">
        <f>IF(AND($A54="",$B54=""),"",IF($K54="Point",N($L54),IF(N($N54)&gt;0,N($N54),N($L54))))</f>
        <v/>
      </c>
      <c r="AC54" s="22">
        <f>IF(AND($A54="",$B54=""),"",MIN(AB54,IF(N($J54)=0,0,IF(N($J54)=2,AB54,IF(AND($K54&lt;&gt;"Point",N($O54)&gt;0),N($O54),N($M54))))))</f>
        <v/>
      </c>
      <c r="AD54" s="22">
        <f>IF(AND($A54="",$B54=""),"",MAX(0,AB54-AC54))</f>
        <v/>
      </c>
      <c r="AE54" s="21">
        <f>IF(AND($A54="",$B54=""),"",IF(OR($R54&lt;&gt;"",$S54&lt;&gt;""),1,0))</f>
        <v/>
      </c>
      <c r="AF54" s="22">
        <f>IF(AND($A54="",$B54=""),"",IF(Z54=1,IF(AE54=1,N($R54),AD54),0))</f>
        <v/>
      </c>
      <c r="AG54" s="22">
        <f>IF(AND($A54="",$B54=""),"",IF(Z54=1,IF(AE54=1,N($S54),AC54),0))</f>
        <v/>
      </c>
      <c r="AH54" s="21">
        <f>IF(AND($A54="",$B54=""),"",IF(AND(ISNUMBER($I54),N($I54)&gt;0),$I54,0))</f>
        <v/>
      </c>
      <c r="AI54" s="23">
        <f>IF(AND(NOT(AND($A54="",$B54="")),$K54="Point",N($L54)&gt;0),SQRT(N($L54)/PI()),"")</f>
        <v/>
      </c>
      <c r="AJ54" s="21">
        <f>IF(AND($A54="",$B54=""),"",IFERROR(VLOOKUP($G54,Lists!$D$4:$E$15,2,FALSE),"Not reported"))</f>
        <v/>
      </c>
      <c r="AK54" s="21">
        <f>IF(AND($A54="",$B54=""),"",IF($X54&lt;&gt;"",$X54,IF($T54&lt;&gt;"Y","Not assessed",IF(AND(ISNUMBER($V54),Setup!$B$6-$V54&gt;Setup!$B$26),"Assessment outdated",IF(NOT(ISNUMBER($W54)),"Assessed – no score",IF($W54&gt;=Setup!$B$24,"High",IF($W54&gt;=Setup!$B$25,"Moderate","Low")))))))</f>
        <v/>
      </c>
      <c r="AL54" s="21">
        <f>IF(AND($A54="",$B54=""),"",IF(Z54=0,"",IF(AND(AE54=1,N($R54)&gt;AD54*1.01+0.001),"Net terrestrial &gt; gross; ","")&amp;IF(AND(AE54=1,N($S54)&gt;AC54*1.01+0.001),"Net marine &gt; gross; ","")&amp;IF(AE54=0,"No net area – gross used, overlaps may be double-counted; ","")&amp;IF(AH54=0,"STATUS_YR missing – imputed in time series; ","")&amp;IF(AND(ISNUMBER($I54),N($I54)&gt;Setup!$B$6),"STATUS_YR after reporting year; ","")&amp;IF(OR($G54="",$G54="Not Reported"),"GOV_TYPE not reported; ","")&amp;IF(AND(N($J54)=1,$K54="Point",N($M54)&lt;=0),"Coastal point without REP_M_AREA – land/sea split unknown; ","")&amp;IF(AND(N($J54)=0,N($S54)&gt;0),"MARINE=0 but net marine &gt;0; ","")&amp;IF(AND(N($J54)=2,N($R54)&gt;0),"MARINE=2 but net terrestrial &gt;0; ","")&amp;IF($K54="Point","Buffered point – coverage approximate; ","")))</f>
        <v/>
      </c>
    </row>
    <row r="55">
      <c r="A55" s="19" t="n">
        <v>902845</v>
      </c>
      <c r="B55" s="19" t="inlineStr">
        <is>
          <t>Garaet Annk Djemel et El Merhsel</t>
        </is>
      </c>
      <c r="C55" s="19" t="inlineStr">
        <is>
          <t>Wetland of International Importance (Ramsar Site)</t>
        </is>
      </c>
      <c r="D55" s="19" t="inlineStr">
        <is>
          <t>International</t>
        </is>
      </c>
      <c r="E55" s="19" t="inlineStr">
        <is>
          <t>PA</t>
        </is>
      </c>
      <c r="F55" s="19" t="inlineStr">
        <is>
          <t>Not Reported</t>
        </is>
      </c>
      <c r="G55" s="19" t="inlineStr">
        <is>
          <t>Federal or national ministry or agency</t>
        </is>
      </c>
      <c r="H55" s="19" t="inlineStr">
        <is>
          <t>Designated</t>
        </is>
      </c>
      <c r="I55" s="19" t="n">
        <v>2004</v>
      </c>
      <c r="J55" s="19" t="n">
        <v>0</v>
      </c>
      <c r="K55" s="19" t="inlineStr">
        <is>
          <t>Polygon</t>
        </is>
      </c>
      <c r="L55" s="20" t="n">
        <v>181.4</v>
      </c>
      <c r="M55" s="20" t="n">
        <v>0</v>
      </c>
      <c r="N55" s="20" t="n">
        <v>127.731</v>
      </c>
      <c r="O55" s="20" t="n">
        <v>0</v>
      </c>
      <c r="P55" s="19" t="inlineStr">
        <is>
          <t>N</t>
        </is>
      </c>
      <c r="Q55" s="19" t="n"/>
      <c r="R55" s="20" t="n">
        <v>128.004</v>
      </c>
      <c r="S55" s="20" t="n">
        <v>0</v>
      </c>
      <c r="T55" s="19" t="inlineStr">
        <is>
          <t>N</t>
        </is>
      </c>
      <c r="U55" s="19" t="n"/>
      <c r="V55" s="19" t="n"/>
      <c r="W55" s="19" t="n"/>
      <c r="X55" s="19" t="n"/>
      <c r="Y55" s="19" t="n"/>
      <c r="Z55" s="21">
        <f>IF(AND($A55="",$B55=""),"",IF(OR($E55="",$H55="",$H55="Proposed",$H55="Not Reported"),0,IF(AND($P55="Y",$Q55&lt;&gt;"Y"),0,IF(AND($K55="Point",N($L55)&lt;=0),0,IF(AND(N($L55)&lt;=0,N($N55)&lt;=0,N($R55)+N($S55)&lt;=0),0,1)))))</f>
        <v/>
      </c>
      <c r="AA55" s="21">
        <f>IF(AND($A55="",$B55=""),"",IF($E55="","Site type missing",IF($H55="","STATUS missing",IF($H55="Proposed","STATUS = Proposed",IF($H55="Not Reported","STATUS = Not Reported",IF(AND($P55="Y",$Q55&lt;&gt;"Y"),"UNESCO-MAB Biosphere Reserve",IF(AND($K55="Point",N($L55)&lt;=0),"Point without REP_AREA",IF(AND(N($L55)&lt;=0,N($N55)&lt;=0,N($R55)+N($S55)&lt;=0),"No area information",""))))))))</f>
        <v/>
      </c>
      <c r="AB55" s="22">
        <f>IF(AND($A55="",$B55=""),"",IF($K55="Point",N($L55),IF(N($N55)&gt;0,N($N55),N($L55))))</f>
        <v/>
      </c>
      <c r="AC55" s="22">
        <f>IF(AND($A55="",$B55=""),"",MIN(AB55,IF(N($J55)=0,0,IF(N($J55)=2,AB55,IF(AND($K55&lt;&gt;"Point",N($O55)&gt;0),N($O55),N($M55))))))</f>
        <v/>
      </c>
      <c r="AD55" s="22">
        <f>IF(AND($A55="",$B55=""),"",MAX(0,AB55-AC55))</f>
        <v/>
      </c>
      <c r="AE55" s="21">
        <f>IF(AND($A55="",$B55=""),"",IF(OR($R55&lt;&gt;"",$S55&lt;&gt;""),1,0))</f>
        <v/>
      </c>
      <c r="AF55" s="22">
        <f>IF(AND($A55="",$B55=""),"",IF(Z55=1,IF(AE55=1,N($R55),AD55),0))</f>
        <v/>
      </c>
      <c r="AG55" s="22">
        <f>IF(AND($A55="",$B55=""),"",IF(Z55=1,IF(AE55=1,N($S55),AC55),0))</f>
        <v/>
      </c>
      <c r="AH55" s="21">
        <f>IF(AND($A55="",$B55=""),"",IF(AND(ISNUMBER($I55),N($I55)&gt;0),$I55,0))</f>
        <v/>
      </c>
      <c r="AI55" s="23">
        <f>IF(AND(NOT(AND($A55="",$B55="")),$K55="Point",N($L55)&gt;0),SQRT(N($L55)/PI()),"")</f>
        <v/>
      </c>
      <c r="AJ55" s="21">
        <f>IF(AND($A55="",$B55=""),"",IFERROR(VLOOKUP($G55,Lists!$D$4:$E$15,2,FALSE),"Not reported"))</f>
        <v/>
      </c>
      <c r="AK55" s="21">
        <f>IF(AND($A55="",$B55=""),"",IF($X55&lt;&gt;"",$X55,IF($T55&lt;&gt;"Y","Not assessed",IF(AND(ISNUMBER($V55),Setup!$B$6-$V55&gt;Setup!$B$26),"Assessment outdated",IF(NOT(ISNUMBER($W55)),"Assessed – no score",IF($W55&gt;=Setup!$B$24,"High",IF($W55&gt;=Setup!$B$25,"Moderate","Low")))))))</f>
        <v/>
      </c>
      <c r="AL55" s="21">
        <f>IF(AND($A55="",$B55=""),"",IF(Z55=0,"",IF(AND(AE55=1,N($R55)&gt;AD55*1.01+0.001),"Net terrestrial &gt; gross; ","")&amp;IF(AND(AE55=1,N($S55)&gt;AC55*1.01+0.001),"Net marine &gt; gross; ","")&amp;IF(AE55=0,"No net area – gross used, overlaps may be double-counted; ","")&amp;IF(AH55=0,"STATUS_YR missing – imputed in time series; ","")&amp;IF(AND(ISNUMBER($I55),N($I55)&gt;Setup!$B$6),"STATUS_YR after reporting year; ","")&amp;IF(OR($G55="",$G55="Not Reported"),"GOV_TYPE not reported; ","")&amp;IF(AND(N($J55)=1,$K55="Point",N($M55)&lt;=0),"Coastal point without REP_M_AREA – land/sea split unknown; ","")&amp;IF(AND(N($J55)=0,N($S55)&gt;0),"MARINE=0 but net marine &gt;0; ","")&amp;IF(AND(N($J55)=2,N($R55)&gt;0),"MARINE=2 but net terrestrial &gt;0; ","")&amp;IF($K55="Point","Buffered point – coverage approximate; ","")))</f>
        <v/>
      </c>
    </row>
    <row r="56">
      <c r="A56" s="19" t="n">
        <v>902846</v>
      </c>
      <c r="B56" s="19" t="inlineStr">
        <is>
          <t>Garaet El Taref</t>
        </is>
      </c>
      <c r="C56" s="19" t="inlineStr">
        <is>
          <t>Wetland of International Importance (Ramsar Site)</t>
        </is>
      </c>
      <c r="D56" s="19" t="inlineStr">
        <is>
          <t>International</t>
        </is>
      </c>
      <c r="E56" s="19" t="inlineStr">
        <is>
          <t>PA</t>
        </is>
      </c>
      <c r="F56" s="19" t="inlineStr">
        <is>
          <t>Not Reported</t>
        </is>
      </c>
      <c r="G56" s="19" t="inlineStr">
        <is>
          <t>Federal or national ministry or agency</t>
        </is>
      </c>
      <c r="H56" s="19" t="inlineStr">
        <is>
          <t>Designated</t>
        </is>
      </c>
      <c r="I56" s="19" t="n">
        <v>2004</v>
      </c>
      <c r="J56" s="19" t="n">
        <v>0</v>
      </c>
      <c r="K56" s="19" t="inlineStr">
        <is>
          <t>Polygon</t>
        </is>
      </c>
      <c r="L56" s="20" t="n">
        <v>334.6</v>
      </c>
      <c r="M56" s="20" t="n">
        <v>0</v>
      </c>
      <c r="N56" s="20" t="n">
        <v>334.632</v>
      </c>
      <c r="O56" s="20" t="n">
        <v>0</v>
      </c>
      <c r="P56" s="19" t="inlineStr">
        <is>
          <t>N</t>
        </is>
      </c>
      <c r="Q56" s="19" t="n"/>
      <c r="R56" s="20" t="n">
        <v>335.355</v>
      </c>
      <c r="S56" s="20" t="n">
        <v>0</v>
      </c>
      <c r="T56" s="19" t="inlineStr">
        <is>
          <t>N</t>
        </is>
      </c>
      <c r="U56" s="19" t="n"/>
      <c r="V56" s="19" t="n"/>
      <c r="W56" s="19" t="n"/>
      <c r="X56" s="19" t="n"/>
      <c r="Y56" s="19" t="n"/>
      <c r="Z56" s="21">
        <f>IF(AND($A56="",$B56=""),"",IF(OR($E56="",$H56="",$H56="Proposed",$H56="Not Reported"),0,IF(AND($P56="Y",$Q56&lt;&gt;"Y"),0,IF(AND($K56="Point",N($L56)&lt;=0),0,IF(AND(N($L56)&lt;=0,N($N56)&lt;=0,N($R56)+N($S56)&lt;=0),0,1)))))</f>
        <v/>
      </c>
      <c r="AA56" s="21">
        <f>IF(AND($A56="",$B56=""),"",IF($E56="","Site type missing",IF($H56="","STATUS missing",IF($H56="Proposed","STATUS = Proposed",IF($H56="Not Reported","STATUS = Not Reported",IF(AND($P56="Y",$Q56&lt;&gt;"Y"),"UNESCO-MAB Biosphere Reserve",IF(AND($K56="Point",N($L56)&lt;=0),"Point without REP_AREA",IF(AND(N($L56)&lt;=0,N($N56)&lt;=0,N($R56)+N($S56)&lt;=0),"No area information",""))))))))</f>
        <v/>
      </c>
      <c r="AB56" s="22">
        <f>IF(AND($A56="",$B56=""),"",IF($K56="Point",N($L56),IF(N($N56)&gt;0,N($N56),N($L56))))</f>
        <v/>
      </c>
      <c r="AC56" s="22">
        <f>IF(AND($A56="",$B56=""),"",MIN(AB56,IF(N($J56)=0,0,IF(N($J56)=2,AB56,IF(AND($K56&lt;&gt;"Point",N($O56)&gt;0),N($O56),N($M56))))))</f>
        <v/>
      </c>
      <c r="AD56" s="22">
        <f>IF(AND($A56="",$B56=""),"",MAX(0,AB56-AC56))</f>
        <v/>
      </c>
      <c r="AE56" s="21">
        <f>IF(AND($A56="",$B56=""),"",IF(OR($R56&lt;&gt;"",$S56&lt;&gt;""),1,0))</f>
        <v/>
      </c>
      <c r="AF56" s="22">
        <f>IF(AND($A56="",$B56=""),"",IF(Z56=1,IF(AE56=1,N($R56),AD56),0))</f>
        <v/>
      </c>
      <c r="AG56" s="22">
        <f>IF(AND($A56="",$B56=""),"",IF(Z56=1,IF(AE56=1,N($S56),AC56),0))</f>
        <v/>
      </c>
      <c r="AH56" s="21">
        <f>IF(AND($A56="",$B56=""),"",IF(AND(ISNUMBER($I56),N($I56)&gt;0),$I56,0))</f>
        <v/>
      </c>
      <c r="AI56" s="23">
        <f>IF(AND(NOT(AND($A56="",$B56="")),$K56="Point",N($L56)&gt;0),SQRT(N($L56)/PI()),"")</f>
        <v/>
      </c>
      <c r="AJ56" s="21">
        <f>IF(AND($A56="",$B56=""),"",IFERROR(VLOOKUP($G56,Lists!$D$4:$E$15,2,FALSE),"Not reported"))</f>
        <v/>
      </c>
      <c r="AK56" s="21">
        <f>IF(AND($A56="",$B56=""),"",IF($X56&lt;&gt;"",$X56,IF($T56&lt;&gt;"Y","Not assessed",IF(AND(ISNUMBER($V56),Setup!$B$6-$V56&gt;Setup!$B$26),"Assessment outdated",IF(NOT(ISNUMBER($W56)),"Assessed – no score",IF($W56&gt;=Setup!$B$24,"High",IF($W56&gt;=Setup!$B$25,"Moderate","Low")))))))</f>
        <v/>
      </c>
      <c r="AL56" s="21">
        <f>IF(AND($A56="",$B56=""),"",IF(Z56=0,"",IF(AND(AE56=1,N($R56)&gt;AD56*1.01+0.001),"Net terrestrial &gt; gross; ","")&amp;IF(AND(AE56=1,N($S56)&gt;AC56*1.01+0.001),"Net marine &gt; gross; ","")&amp;IF(AE56=0,"No net area – gross used, overlaps may be double-counted; ","")&amp;IF(AH56=0,"STATUS_YR missing – imputed in time series; ","")&amp;IF(AND(ISNUMBER($I56),N($I56)&gt;Setup!$B$6),"STATUS_YR after reporting year; ","")&amp;IF(OR($G56="",$G56="Not Reported"),"GOV_TYPE not reported; ","")&amp;IF(AND(N($J56)=1,$K56="Point",N($M56)&lt;=0),"Coastal point without REP_M_AREA – land/sea split unknown; ","")&amp;IF(AND(N($J56)=0,N($S56)&gt;0),"MARINE=0 but net marine &gt;0; ","")&amp;IF(AND(N($J56)=2,N($R56)&gt;0),"MARINE=2 but net terrestrial &gt;0; ","")&amp;IF($K56="Point","Buffered point – coverage approximate; ","")))</f>
        <v/>
      </c>
    </row>
    <row r="57">
      <c r="A57" s="19" t="n">
        <v>902847</v>
      </c>
      <c r="B57" s="19" t="inlineStr">
        <is>
          <t>Garaet Guellif</t>
        </is>
      </c>
      <c r="C57" s="19" t="inlineStr">
        <is>
          <t>Wetland of International Importance (Ramsar Site)</t>
        </is>
      </c>
      <c r="D57" s="19" t="inlineStr">
        <is>
          <t>International</t>
        </is>
      </c>
      <c r="E57" s="19" t="inlineStr">
        <is>
          <t>PA</t>
        </is>
      </c>
      <c r="F57" s="19" t="inlineStr">
        <is>
          <t>Not Reported</t>
        </is>
      </c>
      <c r="G57" s="19" t="inlineStr">
        <is>
          <t>Federal or national ministry or agency</t>
        </is>
      </c>
      <c r="H57" s="19" t="inlineStr">
        <is>
          <t>Designated</t>
        </is>
      </c>
      <c r="I57" s="19" t="n">
        <v>2004</v>
      </c>
      <c r="J57" s="19" t="n">
        <v>0</v>
      </c>
      <c r="K57" s="19" t="inlineStr">
        <is>
          <t>Polygon</t>
        </is>
      </c>
      <c r="L57" s="20" t="n">
        <v>240</v>
      </c>
      <c r="M57" s="20" t="n">
        <v>0</v>
      </c>
      <c r="N57" s="20" t="n">
        <v>244.889</v>
      </c>
      <c r="O57" s="20" t="n">
        <v>0</v>
      </c>
      <c r="P57" s="19" t="inlineStr">
        <is>
          <t>N</t>
        </is>
      </c>
      <c r="Q57" s="19" t="n"/>
      <c r="R57" s="20" t="n">
        <v>245.412</v>
      </c>
      <c r="S57" s="20" t="n">
        <v>0</v>
      </c>
      <c r="T57" s="19" t="inlineStr">
        <is>
          <t>N</t>
        </is>
      </c>
      <c r="U57" s="19" t="n"/>
      <c r="V57" s="19" t="n"/>
      <c r="W57" s="19" t="n"/>
      <c r="X57" s="19" t="n"/>
      <c r="Y57" s="19" t="n"/>
      <c r="Z57" s="21">
        <f>IF(AND($A57="",$B57=""),"",IF(OR($E57="",$H57="",$H57="Proposed",$H57="Not Reported"),0,IF(AND($P57="Y",$Q57&lt;&gt;"Y"),0,IF(AND($K57="Point",N($L57)&lt;=0),0,IF(AND(N($L57)&lt;=0,N($N57)&lt;=0,N($R57)+N($S57)&lt;=0),0,1)))))</f>
        <v/>
      </c>
      <c r="AA57" s="21">
        <f>IF(AND($A57="",$B57=""),"",IF($E57="","Site type missing",IF($H57="","STATUS missing",IF($H57="Proposed","STATUS = Proposed",IF($H57="Not Reported","STATUS = Not Reported",IF(AND($P57="Y",$Q57&lt;&gt;"Y"),"UNESCO-MAB Biosphere Reserve",IF(AND($K57="Point",N($L57)&lt;=0),"Point without REP_AREA",IF(AND(N($L57)&lt;=0,N($N57)&lt;=0,N($R57)+N($S57)&lt;=0),"No area information",""))))))))</f>
        <v/>
      </c>
      <c r="AB57" s="22">
        <f>IF(AND($A57="",$B57=""),"",IF($K57="Point",N($L57),IF(N($N57)&gt;0,N($N57),N($L57))))</f>
        <v/>
      </c>
      <c r="AC57" s="22">
        <f>IF(AND($A57="",$B57=""),"",MIN(AB57,IF(N($J57)=0,0,IF(N($J57)=2,AB57,IF(AND($K57&lt;&gt;"Point",N($O57)&gt;0),N($O57),N($M57))))))</f>
        <v/>
      </c>
      <c r="AD57" s="22">
        <f>IF(AND($A57="",$B57=""),"",MAX(0,AB57-AC57))</f>
        <v/>
      </c>
      <c r="AE57" s="21">
        <f>IF(AND($A57="",$B57=""),"",IF(OR($R57&lt;&gt;"",$S57&lt;&gt;""),1,0))</f>
        <v/>
      </c>
      <c r="AF57" s="22">
        <f>IF(AND($A57="",$B57=""),"",IF(Z57=1,IF(AE57=1,N($R57),AD57),0))</f>
        <v/>
      </c>
      <c r="AG57" s="22">
        <f>IF(AND($A57="",$B57=""),"",IF(Z57=1,IF(AE57=1,N($S57),AC57),0))</f>
        <v/>
      </c>
      <c r="AH57" s="21">
        <f>IF(AND($A57="",$B57=""),"",IF(AND(ISNUMBER($I57),N($I57)&gt;0),$I57,0))</f>
        <v/>
      </c>
      <c r="AI57" s="23">
        <f>IF(AND(NOT(AND($A57="",$B57="")),$K57="Point",N($L57)&gt;0),SQRT(N($L57)/PI()),"")</f>
        <v/>
      </c>
      <c r="AJ57" s="21">
        <f>IF(AND($A57="",$B57=""),"",IFERROR(VLOOKUP($G57,Lists!$D$4:$E$15,2,FALSE),"Not reported"))</f>
        <v/>
      </c>
      <c r="AK57" s="21">
        <f>IF(AND($A57="",$B57=""),"",IF($X57&lt;&gt;"",$X57,IF($T57&lt;&gt;"Y","Not assessed",IF(AND(ISNUMBER($V57),Setup!$B$6-$V57&gt;Setup!$B$26),"Assessment outdated",IF(NOT(ISNUMBER($W57)),"Assessed – no score",IF($W57&gt;=Setup!$B$24,"High",IF($W57&gt;=Setup!$B$25,"Moderate","Low")))))))</f>
        <v/>
      </c>
      <c r="AL57" s="21">
        <f>IF(AND($A57="",$B57=""),"",IF(Z57=0,"",IF(AND(AE57=1,N($R57)&gt;AD57*1.01+0.001),"Net terrestrial &gt; gross; ","")&amp;IF(AND(AE57=1,N($S57)&gt;AC57*1.01+0.001),"Net marine &gt; gross; ","")&amp;IF(AE57=0,"No net area – gross used, overlaps may be double-counted; ","")&amp;IF(AH57=0,"STATUS_YR missing – imputed in time series; ","")&amp;IF(AND(ISNUMBER($I57),N($I57)&gt;Setup!$B$6),"STATUS_YR after reporting year; ","")&amp;IF(OR($G57="",$G57="Not Reported"),"GOV_TYPE not reported; ","")&amp;IF(AND(N($J57)=1,$K57="Point",N($M57)&lt;=0),"Coastal point without REP_M_AREA – land/sea split unknown; ","")&amp;IF(AND(N($J57)=0,N($S57)&gt;0),"MARINE=0 but net marine &gt;0; ","")&amp;IF(AND(N($J57)=2,N($R57)&gt;0),"MARINE=2 but net terrestrial &gt;0; ","")&amp;IF($K57="Point","Buffered point – coverage approximate; ","")))</f>
        <v/>
      </c>
    </row>
    <row r="58">
      <c r="A58" s="19" t="n">
        <v>902848</v>
      </c>
      <c r="B58" s="19" t="inlineStr">
        <is>
          <t>Lac de Télamine</t>
        </is>
      </c>
      <c r="C58" s="19" t="inlineStr">
        <is>
          <t>Wetland of International Importance (Ramsar Site)</t>
        </is>
      </c>
      <c r="D58" s="19" t="inlineStr">
        <is>
          <t>International</t>
        </is>
      </c>
      <c r="E58" s="19" t="inlineStr">
        <is>
          <t>PA</t>
        </is>
      </c>
      <c r="F58" s="19" t="inlineStr">
        <is>
          <t>Not Reported</t>
        </is>
      </c>
      <c r="G58" s="19" t="inlineStr">
        <is>
          <t>Federal or national ministry or agency</t>
        </is>
      </c>
      <c r="H58" s="19" t="inlineStr">
        <is>
          <t>Designated</t>
        </is>
      </c>
      <c r="I58" s="19" t="n">
        <v>2004</v>
      </c>
      <c r="J58" s="19" t="n">
        <v>0</v>
      </c>
      <c r="K58" s="19" t="inlineStr">
        <is>
          <t>Polygon</t>
        </is>
      </c>
      <c r="L58" s="20" t="n">
        <v>23.99</v>
      </c>
      <c r="M58" s="20" t="n">
        <v>0</v>
      </c>
      <c r="N58" s="20" t="n">
        <v>48.718</v>
      </c>
      <c r="O58" s="20" t="n">
        <v>0</v>
      </c>
      <c r="P58" s="19" t="inlineStr">
        <is>
          <t>N</t>
        </is>
      </c>
      <c r="Q58" s="19" t="n"/>
      <c r="R58" s="20" t="n">
        <v>48.823</v>
      </c>
      <c r="S58" s="20" t="n">
        <v>0</v>
      </c>
      <c r="T58" s="19" t="inlineStr">
        <is>
          <t>N</t>
        </is>
      </c>
      <c r="U58" s="19" t="n"/>
      <c r="V58" s="19" t="n"/>
      <c r="W58" s="19" t="n"/>
      <c r="X58" s="19" t="n"/>
      <c r="Y58" s="19" t="n"/>
      <c r="Z58" s="21">
        <f>IF(AND($A58="",$B58=""),"",IF(OR($E58="",$H58="",$H58="Proposed",$H58="Not Reported"),0,IF(AND($P58="Y",$Q58&lt;&gt;"Y"),0,IF(AND($K58="Point",N($L58)&lt;=0),0,IF(AND(N($L58)&lt;=0,N($N58)&lt;=0,N($R58)+N($S58)&lt;=0),0,1)))))</f>
        <v/>
      </c>
      <c r="AA58" s="21">
        <f>IF(AND($A58="",$B58=""),"",IF($E58="","Site type missing",IF($H58="","STATUS missing",IF($H58="Proposed","STATUS = Proposed",IF($H58="Not Reported","STATUS = Not Reported",IF(AND($P58="Y",$Q58&lt;&gt;"Y"),"UNESCO-MAB Biosphere Reserve",IF(AND($K58="Point",N($L58)&lt;=0),"Point without REP_AREA",IF(AND(N($L58)&lt;=0,N($N58)&lt;=0,N($R58)+N($S58)&lt;=0),"No area information",""))))))))</f>
        <v/>
      </c>
      <c r="AB58" s="22">
        <f>IF(AND($A58="",$B58=""),"",IF($K58="Point",N($L58),IF(N($N58)&gt;0,N($N58),N($L58))))</f>
        <v/>
      </c>
      <c r="AC58" s="22">
        <f>IF(AND($A58="",$B58=""),"",MIN(AB58,IF(N($J58)=0,0,IF(N($J58)=2,AB58,IF(AND($K58&lt;&gt;"Point",N($O58)&gt;0),N($O58),N($M58))))))</f>
        <v/>
      </c>
      <c r="AD58" s="22">
        <f>IF(AND($A58="",$B58=""),"",MAX(0,AB58-AC58))</f>
        <v/>
      </c>
      <c r="AE58" s="21">
        <f>IF(AND($A58="",$B58=""),"",IF(OR($R58&lt;&gt;"",$S58&lt;&gt;""),1,0))</f>
        <v/>
      </c>
      <c r="AF58" s="22">
        <f>IF(AND($A58="",$B58=""),"",IF(Z58=1,IF(AE58=1,N($R58),AD58),0))</f>
        <v/>
      </c>
      <c r="AG58" s="22">
        <f>IF(AND($A58="",$B58=""),"",IF(Z58=1,IF(AE58=1,N($S58),AC58),0))</f>
        <v/>
      </c>
      <c r="AH58" s="21">
        <f>IF(AND($A58="",$B58=""),"",IF(AND(ISNUMBER($I58),N($I58)&gt;0),$I58,0))</f>
        <v/>
      </c>
      <c r="AI58" s="23">
        <f>IF(AND(NOT(AND($A58="",$B58="")),$K58="Point",N($L58)&gt;0),SQRT(N($L58)/PI()),"")</f>
        <v/>
      </c>
      <c r="AJ58" s="21">
        <f>IF(AND($A58="",$B58=""),"",IFERROR(VLOOKUP($G58,Lists!$D$4:$E$15,2,FALSE),"Not reported"))</f>
        <v/>
      </c>
      <c r="AK58" s="21">
        <f>IF(AND($A58="",$B58=""),"",IF($X58&lt;&gt;"",$X58,IF($T58&lt;&gt;"Y","Not assessed",IF(AND(ISNUMBER($V58),Setup!$B$6-$V58&gt;Setup!$B$26),"Assessment outdated",IF(NOT(ISNUMBER($W58)),"Assessed – no score",IF($W58&gt;=Setup!$B$24,"High",IF($W58&gt;=Setup!$B$25,"Moderate","Low")))))))</f>
        <v/>
      </c>
      <c r="AL58" s="21">
        <f>IF(AND($A58="",$B58=""),"",IF(Z58=0,"",IF(AND(AE58=1,N($R58)&gt;AD58*1.01+0.001),"Net terrestrial &gt; gross; ","")&amp;IF(AND(AE58=1,N($S58)&gt;AC58*1.01+0.001),"Net marine &gt; gross; ","")&amp;IF(AE58=0,"No net area – gross used, overlaps may be double-counted; ","")&amp;IF(AH58=0,"STATUS_YR missing – imputed in time series; ","")&amp;IF(AND(ISNUMBER($I58),N($I58)&gt;Setup!$B$6),"STATUS_YR after reporting year; ","")&amp;IF(OR($G58="",$G58="Not Reported"),"GOV_TYPE not reported; ","")&amp;IF(AND(N($J58)=1,$K58="Point",N($M58)&lt;=0),"Coastal point without REP_M_AREA – land/sea split unknown; ","")&amp;IF(AND(N($J58)=0,N($S58)&gt;0),"MARINE=0 but net marine &gt;0; ","")&amp;IF(AND(N($J58)=2,N($R58)&gt;0),"MARINE=2 but net terrestrial &gt;0; ","")&amp;IF($K58="Point","Buffered point – coverage approximate; ","")))</f>
        <v/>
      </c>
    </row>
    <row r="59">
      <c r="A59" s="19" t="n">
        <v>902849</v>
      </c>
      <c r="B59" s="19" t="inlineStr">
        <is>
          <t>Salines d'Arzew</t>
        </is>
      </c>
      <c r="C59" s="19" t="inlineStr">
        <is>
          <t>Wetland of International Importance (Ramsar Site)</t>
        </is>
      </c>
      <c r="D59" s="19" t="inlineStr">
        <is>
          <t>International</t>
        </is>
      </c>
      <c r="E59" s="19" t="inlineStr">
        <is>
          <t>PA</t>
        </is>
      </c>
      <c r="F59" s="19" t="inlineStr">
        <is>
          <t>Not Reported</t>
        </is>
      </c>
      <c r="G59" s="19" t="inlineStr">
        <is>
          <t>Federal or national ministry or agency</t>
        </is>
      </c>
      <c r="H59" s="19" t="inlineStr">
        <is>
          <t>Designated</t>
        </is>
      </c>
      <c r="I59" s="19" t="n">
        <v>2004</v>
      </c>
      <c r="J59" s="19" t="n">
        <v>0</v>
      </c>
      <c r="K59" s="19" t="inlineStr">
        <is>
          <t>Polygon</t>
        </is>
      </c>
      <c r="L59" s="20" t="n">
        <v>57.78</v>
      </c>
      <c r="M59" s="20" t="n">
        <v>0</v>
      </c>
      <c r="N59" s="20" t="n">
        <v>58.669</v>
      </c>
      <c r="O59" s="20" t="n">
        <v>0</v>
      </c>
      <c r="P59" s="19" t="inlineStr">
        <is>
          <t>N</t>
        </is>
      </c>
      <c r="Q59" s="19" t="n"/>
      <c r="R59" s="20" t="n">
        <v>58.796</v>
      </c>
      <c r="S59" s="20" t="n">
        <v>0</v>
      </c>
      <c r="T59" s="19" t="inlineStr">
        <is>
          <t>N</t>
        </is>
      </c>
      <c r="U59" s="19" t="n"/>
      <c r="V59" s="19" t="n"/>
      <c r="W59" s="19" t="n"/>
      <c r="X59" s="19" t="n"/>
      <c r="Y59" s="19" t="n"/>
      <c r="Z59" s="21">
        <f>IF(AND($A59="",$B59=""),"",IF(OR($E59="",$H59="",$H59="Proposed",$H59="Not Reported"),0,IF(AND($P59="Y",$Q59&lt;&gt;"Y"),0,IF(AND($K59="Point",N($L59)&lt;=0),0,IF(AND(N($L59)&lt;=0,N($N59)&lt;=0,N($R59)+N($S59)&lt;=0),0,1)))))</f>
        <v/>
      </c>
      <c r="AA59" s="21">
        <f>IF(AND($A59="",$B59=""),"",IF($E59="","Site type missing",IF($H59="","STATUS missing",IF($H59="Proposed","STATUS = Proposed",IF($H59="Not Reported","STATUS = Not Reported",IF(AND($P59="Y",$Q59&lt;&gt;"Y"),"UNESCO-MAB Biosphere Reserve",IF(AND($K59="Point",N($L59)&lt;=0),"Point without REP_AREA",IF(AND(N($L59)&lt;=0,N($N59)&lt;=0,N($R59)+N($S59)&lt;=0),"No area information",""))))))))</f>
        <v/>
      </c>
      <c r="AB59" s="22">
        <f>IF(AND($A59="",$B59=""),"",IF($K59="Point",N($L59),IF(N($N59)&gt;0,N($N59),N($L59))))</f>
        <v/>
      </c>
      <c r="AC59" s="22">
        <f>IF(AND($A59="",$B59=""),"",MIN(AB59,IF(N($J59)=0,0,IF(N($J59)=2,AB59,IF(AND($K59&lt;&gt;"Point",N($O59)&gt;0),N($O59),N($M59))))))</f>
        <v/>
      </c>
      <c r="AD59" s="22">
        <f>IF(AND($A59="",$B59=""),"",MAX(0,AB59-AC59))</f>
        <v/>
      </c>
      <c r="AE59" s="21">
        <f>IF(AND($A59="",$B59=""),"",IF(OR($R59&lt;&gt;"",$S59&lt;&gt;""),1,0))</f>
        <v/>
      </c>
      <c r="AF59" s="22">
        <f>IF(AND($A59="",$B59=""),"",IF(Z59=1,IF(AE59=1,N($R59),AD59),0))</f>
        <v/>
      </c>
      <c r="AG59" s="22">
        <f>IF(AND($A59="",$B59=""),"",IF(Z59=1,IF(AE59=1,N($S59),AC59),0))</f>
        <v/>
      </c>
      <c r="AH59" s="21">
        <f>IF(AND($A59="",$B59=""),"",IF(AND(ISNUMBER($I59),N($I59)&gt;0),$I59,0))</f>
        <v/>
      </c>
      <c r="AI59" s="23">
        <f>IF(AND(NOT(AND($A59="",$B59="")),$K59="Point",N($L59)&gt;0),SQRT(N($L59)/PI()),"")</f>
        <v/>
      </c>
      <c r="AJ59" s="21">
        <f>IF(AND($A59="",$B59=""),"",IFERROR(VLOOKUP($G59,Lists!$D$4:$E$15,2,FALSE),"Not reported"))</f>
        <v/>
      </c>
      <c r="AK59" s="21">
        <f>IF(AND($A59="",$B59=""),"",IF($X59&lt;&gt;"",$X59,IF($T59&lt;&gt;"Y","Not assessed",IF(AND(ISNUMBER($V59),Setup!$B$6-$V59&gt;Setup!$B$26),"Assessment outdated",IF(NOT(ISNUMBER($W59)),"Assessed – no score",IF($W59&gt;=Setup!$B$24,"High",IF($W59&gt;=Setup!$B$25,"Moderate","Low")))))))</f>
        <v/>
      </c>
      <c r="AL59" s="21">
        <f>IF(AND($A59="",$B59=""),"",IF(Z59=0,"",IF(AND(AE59=1,N($R59)&gt;AD59*1.01+0.001),"Net terrestrial &gt; gross; ","")&amp;IF(AND(AE59=1,N($S59)&gt;AC59*1.01+0.001),"Net marine &gt; gross; ","")&amp;IF(AE59=0,"No net area – gross used, overlaps may be double-counted; ","")&amp;IF(AH59=0,"STATUS_YR missing – imputed in time series; ","")&amp;IF(AND(ISNUMBER($I59),N($I59)&gt;Setup!$B$6),"STATUS_YR after reporting year; ","")&amp;IF(OR($G59="",$G59="Not Reported"),"GOV_TYPE not reported; ","")&amp;IF(AND(N($J59)=1,$K59="Point",N($M59)&lt;=0),"Coastal point without REP_M_AREA – land/sea split unknown; ","")&amp;IF(AND(N($J59)=0,N($S59)&gt;0),"MARINE=0 but net marine &gt;0; ","")&amp;IF(AND(N($J59)=2,N($R59)&gt;0),"MARINE=2 but net terrestrial &gt;0; ","")&amp;IF($K59="Point","Buffered point – coverage approximate; ","")))</f>
        <v/>
      </c>
    </row>
    <row r="60">
      <c r="A60" s="19" t="n">
        <v>902850</v>
      </c>
      <c r="B60" s="19" t="inlineStr">
        <is>
          <t>Oglat Ed Daïra</t>
        </is>
      </c>
      <c r="C60" s="19" t="inlineStr">
        <is>
          <t>Wetland of International Importance (Ramsar Site)</t>
        </is>
      </c>
      <c r="D60" s="19" t="inlineStr">
        <is>
          <t>International</t>
        </is>
      </c>
      <c r="E60" s="19" t="inlineStr">
        <is>
          <t>PA</t>
        </is>
      </c>
      <c r="F60" s="19" t="inlineStr">
        <is>
          <t>Not Reported</t>
        </is>
      </c>
      <c r="G60" s="19" t="inlineStr">
        <is>
          <t>Federal or national ministry or agency</t>
        </is>
      </c>
      <c r="H60" s="19" t="inlineStr">
        <is>
          <t>Designated</t>
        </is>
      </c>
      <c r="I60" s="19" t="n">
        <v>2004</v>
      </c>
      <c r="J60" s="19" t="n">
        <v>0</v>
      </c>
      <c r="K60" s="19" t="inlineStr">
        <is>
          <t>Polygon</t>
        </is>
      </c>
      <c r="L60" s="20" t="n">
        <v>234.3</v>
      </c>
      <c r="M60" s="20" t="n">
        <v>0</v>
      </c>
      <c r="N60" s="20" t="n">
        <v>208.644</v>
      </c>
      <c r="O60" s="20" t="n">
        <v>0</v>
      </c>
      <c r="P60" s="19" t="inlineStr">
        <is>
          <t>N</t>
        </is>
      </c>
      <c r="Q60" s="19" t="n"/>
      <c r="R60" s="20" t="n">
        <v>209.203</v>
      </c>
      <c r="S60" s="20" t="n">
        <v>0</v>
      </c>
      <c r="T60" s="19" t="inlineStr">
        <is>
          <t>N</t>
        </is>
      </c>
      <c r="U60" s="19" t="n"/>
      <c r="V60" s="19" t="n"/>
      <c r="W60" s="19" t="n"/>
      <c r="X60" s="19" t="n"/>
      <c r="Y60" s="19" t="n"/>
      <c r="Z60" s="21">
        <f>IF(AND($A60="",$B60=""),"",IF(OR($E60="",$H60="",$H60="Proposed",$H60="Not Reported"),0,IF(AND($P60="Y",$Q60&lt;&gt;"Y"),0,IF(AND($K60="Point",N($L60)&lt;=0),0,IF(AND(N($L60)&lt;=0,N($N60)&lt;=0,N($R60)+N($S60)&lt;=0),0,1)))))</f>
        <v/>
      </c>
      <c r="AA60" s="21">
        <f>IF(AND($A60="",$B60=""),"",IF($E60="","Site type missing",IF($H60="","STATUS missing",IF($H60="Proposed","STATUS = Proposed",IF($H60="Not Reported","STATUS = Not Reported",IF(AND($P60="Y",$Q60&lt;&gt;"Y"),"UNESCO-MAB Biosphere Reserve",IF(AND($K60="Point",N($L60)&lt;=0),"Point without REP_AREA",IF(AND(N($L60)&lt;=0,N($N60)&lt;=0,N($R60)+N($S60)&lt;=0),"No area information",""))))))))</f>
        <v/>
      </c>
      <c r="AB60" s="22">
        <f>IF(AND($A60="",$B60=""),"",IF($K60="Point",N($L60),IF(N($N60)&gt;0,N($N60),N($L60))))</f>
        <v/>
      </c>
      <c r="AC60" s="22">
        <f>IF(AND($A60="",$B60=""),"",MIN(AB60,IF(N($J60)=0,0,IF(N($J60)=2,AB60,IF(AND($K60&lt;&gt;"Point",N($O60)&gt;0),N($O60),N($M60))))))</f>
        <v/>
      </c>
      <c r="AD60" s="22">
        <f>IF(AND($A60="",$B60=""),"",MAX(0,AB60-AC60))</f>
        <v/>
      </c>
      <c r="AE60" s="21">
        <f>IF(AND($A60="",$B60=""),"",IF(OR($R60&lt;&gt;"",$S60&lt;&gt;""),1,0))</f>
        <v/>
      </c>
      <c r="AF60" s="22">
        <f>IF(AND($A60="",$B60=""),"",IF(Z60=1,IF(AE60=1,N($R60),AD60),0))</f>
        <v/>
      </c>
      <c r="AG60" s="22">
        <f>IF(AND($A60="",$B60=""),"",IF(Z60=1,IF(AE60=1,N($S60),AC60),0))</f>
        <v/>
      </c>
      <c r="AH60" s="21">
        <f>IF(AND($A60="",$B60=""),"",IF(AND(ISNUMBER($I60),N($I60)&gt;0),$I60,0))</f>
        <v/>
      </c>
      <c r="AI60" s="23">
        <f>IF(AND(NOT(AND($A60="",$B60="")),$K60="Point",N($L60)&gt;0),SQRT(N($L60)/PI()),"")</f>
        <v/>
      </c>
      <c r="AJ60" s="21">
        <f>IF(AND($A60="",$B60=""),"",IFERROR(VLOOKUP($G60,Lists!$D$4:$E$15,2,FALSE),"Not reported"))</f>
        <v/>
      </c>
      <c r="AK60" s="21">
        <f>IF(AND($A60="",$B60=""),"",IF($X60&lt;&gt;"",$X60,IF($T60&lt;&gt;"Y","Not assessed",IF(AND(ISNUMBER($V60),Setup!$B$6-$V60&gt;Setup!$B$26),"Assessment outdated",IF(NOT(ISNUMBER($W60)),"Assessed – no score",IF($W60&gt;=Setup!$B$24,"High",IF($W60&gt;=Setup!$B$25,"Moderate","Low")))))))</f>
        <v/>
      </c>
      <c r="AL60" s="21">
        <f>IF(AND($A60="",$B60=""),"",IF(Z60=0,"",IF(AND(AE60=1,N($R60)&gt;AD60*1.01+0.001),"Net terrestrial &gt; gross; ","")&amp;IF(AND(AE60=1,N($S60)&gt;AC60*1.01+0.001),"Net marine &gt; gross; ","")&amp;IF(AE60=0,"No net area – gross used, overlaps may be double-counted; ","")&amp;IF(AH60=0,"STATUS_YR missing – imputed in time series; ","")&amp;IF(AND(ISNUMBER($I60),N($I60)&gt;Setup!$B$6),"STATUS_YR after reporting year; ","")&amp;IF(OR($G60="",$G60="Not Reported"),"GOV_TYPE not reported; ","")&amp;IF(AND(N($J60)=1,$K60="Point",N($M60)&lt;=0),"Coastal point without REP_M_AREA – land/sea split unknown; ","")&amp;IF(AND(N($J60)=0,N($S60)&gt;0),"MARINE=0 but net marine &gt;0; ","")&amp;IF(AND(N($J60)=2,N($R60)&gt;0),"MARINE=2 but net terrestrial &gt;0; ","")&amp;IF($K60="Point","Buffered point – coverage approximate; ","")))</f>
        <v/>
      </c>
    </row>
    <row r="61">
      <c r="A61" s="19" t="n">
        <v>902851</v>
      </c>
      <c r="B61" s="19" t="inlineStr">
        <is>
          <t>Réserve Intégrale du Lac Mellah</t>
        </is>
      </c>
      <c r="C61" s="19" t="inlineStr">
        <is>
          <t>Wetland of International Importance (Ramsar Site)</t>
        </is>
      </c>
      <c r="D61" s="19" t="inlineStr">
        <is>
          <t>International</t>
        </is>
      </c>
      <c r="E61" s="19" t="inlineStr">
        <is>
          <t>PA</t>
        </is>
      </c>
      <c r="F61" s="19" t="inlineStr">
        <is>
          <t>Not Reported</t>
        </is>
      </c>
      <c r="G61" s="19" t="inlineStr">
        <is>
          <t>Federal or national ministry or agency</t>
        </is>
      </c>
      <c r="H61" s="19" t="inlineStr">
        <is>
          <t>Designated</t>
        </is>
      </c>
      <c r="I61" s="19" t="n">
        <v>2004</v>
      </c>
      <c r="J61" s="19" t="n">
        <v>1</v>
      </c>
      <c r="K61" s="19" t="inlineStr">
        <is>
          <t>Polygon</t>
        </is>
      </c>
      <c r="L61" s="20" t="n">
        <v>22.57</v>
      </c>
      <c r="M61" s="20" t="n">
        <v>0</v>
      </c>
      <c r="N61" s="20" t="n">
        <v>24.345</v>
      </c>
      <c r="O61" s="20" t="n">
        <v>4.093</v>
      </c>
      <c r="P61" s="19" t="inlineStr">
        <is>
          <t>N</t>
        </is>
      </c>
      <c r="Q61" s="19" t="n"/>
      <c r="R61" s="20" t="n">
        <v>0.266</v>
      </c>
      <c r="S61" s="20" t="n">
        <v>3.905</v>
      </c>
      <c r="T61" s="19" t="inlineStr">
        <is>
          <t>N</t>
        </is>
      </c>
      <c r="U61" s="19" t="n"/>
      <c r="V61" s="19" t="n"/>
      <c r="W61" s="19" t="n"/>
      <c r="X61" s="19" t="n"/>
      <c r="Y61" s="19" t="inlineStr">
        <is>
          <t>Overlap attributed to earlier site</t>
        </is>
      </c>
      <c r="Z61" s="21">
        <f>IF(AND($A61="",$B61=""),"",IF(OR($E61="",$H61="",$H61="Proposed",$H61="Not Reported"),0,IF(AND($P61="Y",$Q61&lt;&gt;"Y"),0,IF(AND($K61="Point",N($L61)&lt;=0),0,IF(AND(N($L61)&lt;=0,N($N61)&lt;=0,N($R61)+N($S61)&lt;=0),0,1)))))</f>
        <v/>
      </c>
      <c r="AA61" s="21">
        <f>IF(AND($A61="",$B61=""),"",IF($E61="","Site type missing",IF($H61="","STATUS missing",IF($H61="Proposed","STATUS = Proposed",IF($H61="Not Reported","STATUS = Not Reported",IF(AND($P61="Y",$Q61&lt;&gt;"Y"),"UNESCO-MAB Biosphere Reserve",IF(AND($K61="Point",N($L61)&lt;=0),"Point without REP_AREA",IF(AND(N($L61)&lt;=0,N($N61)&lt;=0,N($R61)+N($S61)&lt;=0),"No area information",""))))))))</f>
        <v/>
      </c>
      <c r="AB61" s="22">
        <f>IF(AND($A61="",$B61=""),"",IF($K61="Point",N($L61),IF(N($N61)&gt;0,N($N61),N($L61))))</f>
        <v/>
      </c>
      <c r="AC61" s="22">
        <f>IF(AND($A61="",$B61=""),"",MIN(AB61,IF(N($J61)=0,0,IF(N($J61)=2,AB61,IF(AND($K61&lt;&gt;"Point",N($O61)&gt;0),N($O61),N($M61))))))</f>
        <v/>
      </c>
      <c r="AD61" s="22">
        <f>IF(AND($A61="",$B61=""),"",MAX(0,AB61-AC61))</f>
        <v/>
      </c>
      <c r="AE61" s="21">
        <f>IF(AND($A61="",$B61=""),"",IF(OR($R61&lt;&gt;"",$S61&lt;&gt;""),1,0))</f>
        <v/>
      </c>
      <c r="AF61" s="22">
        <f>IF(AND($A61="",$B61=""),"",IF(Z61=1,IF(AE61=1,N($R61),AD61),0))</f>
        <v/>
      </c>
      <c r="AG61" s="22">
        <f>IF(AND($A61="",$B61=""),"",IF(Z61=1,IF(AE61=1,N($S61),AC61),0))</f>
        <v/>
      </c>
      <c r="AH61" s="21">
        <f>IF(AND($A61="",$B61=""),"",IF(AND(ISNUMBER($I61),N($I61)&gt;0),$I61,0))</f>
        <v/>
      </c>
      <c r="AI61" s="23">
        <f>IF(AND(NOT(AND($A61="",$B61="")),$K61="Point",N($L61)&gt;0),SQRT(N($L61)/PI()),"")</f>
        <v/>
      </c>
      <c r="AJ61" s="21">
        <f>IF(AND($A61="",$B61=""),"",IFERROR(VLOOKUP($G61,Lists!$D$4:$E$15,2,FALSE),"Not reported"))</f>
        <v/>
      </c>
      <c r="AK61" s="21">
        <f>IF(AND($A61="",$B61=""),"",IF($X61&lt;&gt;"",$X61,IF($T61&lt;&gt;"Y","Not assessed",IF(AND(ISNUMBER($V61),Setup!$B$6-$V61&gt;Setup!$B$26),"Assessment outdated",IF(NOT(ISNUMBER($W61)),"Assessed – no score",IF($W61&gt;=Setup!$B$24,"High",IF($W61&gt;=Setup!$B$25,"Moderate","Low")))))))</f>
        <v/>
      </c>
      <c r="AL61" s="21">
        <f>IF(AND($A61="",$B61=""),"",IF(Z61=0,"",IF(AND(AE61=1,N($R61)&gt;AD61*1.01+0.001),"Net terrestrial &gt; gross; ","")&amp;IF(AND(AE61=1,N($S61)&gt;AC61*1.01+0.001),"Net marine &gt; gross; ","")&amp;IF(AE61=0,"No net area – gross used, overlaps may be double-counted; ","")&amp;IF(AH61=0,"STATUS_YR missing – imputed in time series; ","")&amp;IF(AND(ISNUMBER($I61),N($I61)&gt;Setup!$B$6),"STATUS_YR after reporting year; ","")&amp;IF(OR($G61="",$G61="Not Reported"),"GOV_TYPE not reported; ","")&amp;IF(AND(N($J61)=1,$K61="Point",N($M61)&lt;=0),"Coastal point without REP_M_AREA – land/sea split unknown; ","")&amp;IF(AND(N($J61)=0,N($S61)&gt;0),"MARINE=0 but net marine &gt;0; ","")&amp;IF(AND(N($J61)=2,N($R61)&gt;0),"MARINE=2 but net terrestrial &gt;0; ","")&amp;IF($K61="Point","Buffered point – coverage approximate; ","")))</f>
        <v/>
      </c>
    </row>
    <row r="62">
      <c r="A62" s="19" t="n">
        <v>902852</v>
      </c>
      <c r="B62" s="19" t="inlineStr">
        <is>
          <t>Sebkha de Bazer</t>
        </is>
      </c>
      <c r="C62" s="19" t="inlineStr">
        <is>
          <t>Wetland of International Importance (Ramsar Site)</t>
        </is>
      </c>
      <c r="D62" s="19" t="inlineStr">
        <is>
          <t>International</t>
        </is>
      </c>
      <c r="E62" s="19" t="inlineStr">
        <is>
          <t>PA</t>
        </is>
      </c>
      <c r="F62" s="19" t="inlineStr">
        <is>
          <t>Not Reported</t>
        </is>
      </c>
      <c r="G62" s="19" t="inlineStr">
        <is>
          <t>Federal or national ministry or agency</t>
        </is>
      </c>
      <c r="H62" s="19" t="inlineStr">
        <is>
          <t>Designated</t>
        </is>
      </c>
      <c r="I62" s="19" t="n">
        <v>2004</v>
      </c>
      <c r="J62" s="19" t="n">
        <v>0</v>
      </c>
      <c r="K62" s="19" t="inlineStr">
        <is>
          <t>Polygon</t>
        </is>
      </c>
      <c r="L62" s="20" t="n">
        <v>43.79</v>
      </c>
      <c r="M62" s="20" t="n">
        <v>0</v>
      </c>
      <c r="N62" s="20" t="n">
        <v>50.735</v>
      </c>
      <c r="O62" s="20" t="n">
        <v>0</v>
      </c>
      <c r="P62" s="19" t="inlineStr">
        <is>
          <t>N</t>
        </is>
      </c>
      <c r="Q62" s="19" t="n"/>
      <c r="R62" s="20" t="n">
        <v>50.84</v>
      </c>
      <c r="S62" s="20" t="n">
        <v>0</v>
      </c>
      <c r="T62" s="19" t="inlineStr">
        <is>
          <t>N</t>
        </is>
      </c>
      <c r="U62" s="19" t="n"/>
      <c r="V62" s="19" t="n"/>
      <c r="W62" s="19" t="n"/>
      <c r="X62" s="19" t="n"/>
      <c r="Y62" s="19" t="n"/>
      <c r="Z62" s="21">
        <f>IF(AND($A62="",$B62=""),"",IF(OR($E62="",$H62="",$H62="Proposed",$H62="Not Reported"),0,IF(AND($P62="Y",$Q62&lt;&gt;"Y"),0,IF(AND($K62="Point",N($L62)&lt;=0),0,IF(AND(N($L62)&lt;=0,N($N62)&lt;=0,N($R62)+N($S62)&lt;=0),0,1)))))</f>
        <v/>
      </c>
      <c r="AA62" s="21">
        <f>IF(AND($A62="",$B62=""),"",IF($E62="","Site type missing",IF($H62="","STATUS missing",IF($H62="Proposed","STATUS = Proposed",IF($H62="Not Reported","STATUS = Not Reported",IF(AND($P62="Y",$Q62&lt;&gt;"Y"),"UNESCO-MAB Biosphere Reserve",IF(AND($K62="Point",N($L62)&lt;=0),"Point without REP_AREA",IF(AND(N($L62)&lt;=0,N($N62)&lt;=0,N($R62)+N($S62)&lt;=0),"No area information",""))))))))</f>
        <v/>
      </c>
      <c r="AB62" s="22">
        <f>IF(AND($A62="",$B62=""),"",IF($K62="Point",N($L62),IF(N($N62)&gt;0,N($N62),N($L62))))</f>
        <v/>
      </c>
      <c r="AC62" s="22">
        <f>IF(AND($A62="",$B62=""),"",MIN(AB62,IF(N($J62)=0,0,IF(N($J62)=2,AB62,IF(AND($K62&lt;&gt;"Point",N($O62)&gt;0),N($O62),N($M62))))))</f>
        <v/>
      </c>
      <c r="AD62" s="22">
        <f>IF(AND($A62="",$B62=""),"",MAX(0,AB62-AC62))</f>
        <v/>
      </c>
      <c r="AE62" s="21">
        <f>IF(AND($A62="",$B62=""),"",IF(OR($R62&lt;&gt;"",$S62&lt;&gt;""),1,0))</f>
        <v/>
      </c>
      <c r="AF62" s="22">
        <f>IF(AND($A62="",$B62=""),"",IF(Z62=1,IF(AE62=1,N($R62),AD62),0))</f>
        <v/>
      </c>
      <c r="AG62" s="22">
        <f>IF(AND($A62="",$B62=""),"",IF(Z62=1,IF(AE62=1,N($S62),AC62),0))</f>
        <v/>
      </c>
      <c r="AH62" s="21">
        <f>IF(AND($A62="",$B62=""),"",IF(AND(ISNUMBER($I62),N($I62)&gt;0),$I62,0))</f>
        <v/>
      </c>
      <c r="AI62" s="23">
        <f>IF(AND(NOT(AND($A62="",$B62="")),$K62="Point",N($L62)&gt;0),SQRT(N($L62)/PI()),"")</f>
        <v/>
      </c>
      <c r="AJ62" s="21">
        <f>IF(AND($A62="",$B62=""),"",IFERROR(VLOOKUP($G62,Lists!$D$4:$E$15,2,FALSE),"Not reported"))</f>
        <v/>
      </c>
      <c r="AK62" s="21">
        <f>IF(AND($A62="",$B62=""),"",IF($X62&lt;&gt;"",$X62,IF($T62&lt;&gt;"Y","Not assessed",IF(AND(ISNUMBER($V62),Setup!$B$6-$V62&gt;Setup!$B$26),"Assessment outdated",IF(NOT(ISNUMBER($W62)),"Assessed – no score",IF($W62&gt;=Setup!$B$24,"High",IF($W62&gt;=Setup!$B$25,"Moderate","Low")))))))</f>
        <v/>
      </c>
      <c r="AL62" s="21">
        <f>IF(AND($A62="",$B62=""),"",IF(Z62=0,"",IF(AND(AE62=1,N($R62)&gt;AD62*1.01+0.001),"Net terrestrial &gt; gross; ","")&amp;IF(AND(AE62=1,N($S62)&gt;AC62*1.01+0.001),"Net marine &gt; gross; ","")&amp;IF(AE62=0,"No net area – gross used, overlaps may be double-counted; ","")&amp;IF(AH62=0,"STATUS_YR missing – imputed in time series; ","")&amp;IF(AND(ISNUMBER($I62),N($I62)&gt;Setup!$B$6),"STATUS_YR after reporting year; ","")&amp;IF(OR($G62="",$G62="Not Reported"),"GOV_TYPE not reported; ","")&amp;IF(AND(N($J62)=1,$K62="Point",N($M62)&lt;=0),"Coastal point without REP_M_AREA – land/sea split unknown; ","")&amp;IF(AND(N($J62)=0,N($S62)&gt;0),"MARINE=0 but net marine &gt;0; ","")&amp;IF(AND(N($J62)=2,N($R62)&gt;0),"MARINE=2 but net terrestrial &gt;0; ","")&amp;IF($K62="Point","Buffered point – coverage approximate; ","")))</f>
        <v/>
      </c>
    </row>
    <row r="63">
      <c r="A63" s="19" t="n">
        <v>902853</v>
      </c>
      <c r="B63" s="19" t="inlineStr">
        <is>
          <t>Sebkhet El Hamiet</t>
        </is>
      </c>
      <c r="C63" s="19" t="inlineStr">
        <is>
          <t>Wetland of International Importance (Ramsar Site)</t>
        </is>
      </c>
      <c r="D63" s="19" t="inlineStr">
        <is>
          <t>International</t>
        </is>
      </c>
      <c r="E63" s="19" t="inlineStr">
        <is>
          <t>PA</t>
        </is>
      </c>
      <c r="F63" s="19" t="inlineStr">
        <is>
          <t>Not Reported</t>
        </is>
      </c>
      <c r="G63" s="19" t="inlineStr">
        <is>
          <t>Federal or national ministry or agency</t>
        </is>
      </c>
      <c r="H63" s="19" t="inlineStr">
        <is>
          <t>Designated</t>
        </is>
      </c>
      <c r="I63" s="19" t="n">
        <v>2004</v>
      </c>
      <c r="J63" s="19" t="n">
        <v>0</v>
      </c>
      <c r="K63" s="19" t="inlineStr">
        <is>
          <t>Polygon</t>
        </is>
      </c>
      <c r="L63" s="20" t="n">
        <v>25.09</v>
      </c>
      <c r="M63" s="20" t="n">
        <v>0</v>
      </c>
      <c r="N63" s="20" t="n">
        <v>21.549</v>
      </c>
      <c r="O63" s="20" t="n">
        <v>0</v>
      </c>
      <c r="P63" s="19" t="inlineStr">
        <is>
          <t>N</t>
        </is>
      </c>
      <c r="Q63" s="19" t="n"/>
      <c r="R63" s="20" t="n">
        <v>21.594</v>
      </c>
      <c r="S63" s="20" t="n">
        <v>0</v>
      </c>
      <c r="T63" s="19" t="inlineStr">
        <is>
          <t>N</t>
        </is>
      </c>
      <c r="U63" s="19" t="n"/>
      <c r="V63" s="19" t="n"/>
      <c r="W63" s="19" t="n"/>
      <c r="X63" s="19" t="n"/>
      <c r="Y63" s="19" t="n"/>
      <c r="Z63" s="21">
        <f>IF(AND($A63="",$B63=""),"",IF(OR($E63="",$H63="",$H63="Proposed",$H63="Not Reported"),0,IF(AND($P63="Y",$Q63&lt;&gt;"Y"),0,IF(AND($K63="Point",N($L63)&lt;=0),0,IF(AND(N($L63)&lt;=0,N($N63)&lt;=0,N($R63)+N($S63)&lt;=0),0,1)))))</f>
        <v/>
      </c>
      <c r="AA63" s="21">
        <f>IF(AND($A63="",$B63=""),"",IF($E63="","Site type missing",IF($H63="","STATUS missing",IF($H63="Proposed","STATUS = Proposed",IF($H63="Not Reported","STATUS = Not Reported",IF(AND($P63="Y",$Q63&lt;&gt;"Y"),"UNESCO-MAB Biosphere Reserve",IF(AND($K63="Point",N($L63)&lt;=0),"Point without REP_AREA",IF(AND(N($L63)&lt;=0,N($N63)&lt;=0,N($R63)+N($S63)&lt;=0),"No area information",""))))))))</f>
        <v/>
      </c>
      <c r="AB63" s="22">
        <f>IF(AND($A63="",$B63=""),"",IF($K63="Point",N($L63),IF(N($N63)&gt;0,N($N63),N($L63))))</f>
        <v/>
      </c>
      <c r="AC63" s="22">
        <f>IF(AND($A63="",$B63=""),"",MIN(AB63,IF(N($J63)=0,0,IF(N($J63)=2,AB63,IF(AND($K63&lt;&gt;"Point",N($O63)&gt;0),N($O63),N($M63))))))</f>
        <v/>
      </c>
      <c r="AD63" s="22">
        <f>IF(AND($A63="",$B63=""),"",MAX(0,AB63-AC63))</f>
        <v/>
      </c>
      <c r="AE63" s="21">
        <f>IF(AND($A63="",$B63=""),"",IF(OR($R63&lt;&gt;"",$S63&lt;&gt;""),1,0))</f>
        <v/>
      </c>
      <c r="AF63" s="22">
        <f>IF(AND($A63="",$B63=""),"",IF(Z63=1,IF(AE63=1,N($R63),AD63),0))</f>
        <v/>
      </c>
      <c r="AG63" s="22">
        <f>IF(AND($A63="",$B63=""),"",IF(Z63=1,IF(AE63=1,N($S63),AC63),0))</f>
        <v/>
      </c>
      <c r="AH63" s="21">
        <f>IF(AND($A63="",$B63=""),"",IF(AND(ISNUMBER($I63),N($I63)&gt;0),$I63,0))</f>
        <v/>
      </c>
      <c r="AI63" s="23">
        <f>IF(AND(NOT(AND($A63="",$B63="")),$K63="Point",N($L63)&gt;0),SQRT(N($L63)/PI()),"")</f>
        <v/>
      </c>
      <c r="AJ63" s="21">
        <f>IF(AND($A63="",$B63=""),"",IFERROR(VLOOKUP($G63,Lists!$D$4:$E$15,2,FALSE),"Not reported"))</f>
        <v/>
      </c>
      <c r="AK63" s="21">
        <f>IF(AND($A63="",$B63=""),"",IF($X63&lt;&gt;"",$X63,IF($T63&lt;&gt;"Y","Not assessed",IF(AND(ISNUMBER($V63),Setup!$B$6-$V63&gt;Setup!$B$26),"Assessment outdated",IF(NOT(ISNUMBER($W63)),"Assessed – no score",IF($W63&gt;=Setup!$B$24,"High",IF($W63&gt;=Setup!$B$25,"Moderate","Low")))))))</f>
        <v/>
      </c>
      <c r="AL63" s="21">
        <f>IF(AND($A63="",$B63=""),"",IF(Z63=0,"",IF(AND(AE63=1,N($R63)&gt;AD63*1.01+0.001),"Net terrestrial &gt; gross; ","")&amp;IF(AND(AE63=1,N($S63)&gt;AC63*1.01+0.001),"Net marine &gt; gross; ","")&amp;IF(AE63=0,"No net area – gross used, overlaps may be double-counted; ","")&amp;IF(AH63=0,"STATUS_YR missing – imputed in time series; ","")&amp;IF(AND(ISNUMBER($I63),N($I63)&gt;Setup!$B$6),"STATUS_YR after reporting year; ","")&amp;IF(OR($G63="",$G63="Not Reported"),"GOV_TYPE not reported; ","")&amp;IF(AND(N($J63)=1,$K63="Point",N($M63)&lt;=0),"Coastal point without REP_M_AREA – land/sea split unknown; ","")&amp;IF(AND(N($J63)=0,N($S63)&gt;0),"MARINE=0 but net marine &gt;0; ","")&amp;IF(AND(N($J63)=2,N($R63)&gt;0),"MARINE=2 but net terrestrial &gt;0; ","")&amp;IF($K63="Point","Buffered point – coverage approximate; ","")))</f>
        <v/>
      </c>
    </row>
    <row r="64">
      <c r="A64" s="19" t="n">
        <v>902854</v>
      </c>
      <c r="B64" s="19" t="inlineStr">
        <is>
          <t>Sebkhet El Melah</t>
        </is>
      </c>
      <c r="C64" s="19" t="inlineStr">
        <is>
          <t>Wetland of International Importance (Ramsar Site)</t>
        </is>
      </c>
      <c r="D64" s="19" t="inlineStr">
        <is>
          <t>International</t>
        </is>
      </c>
      <c r="E64" s="19" t="inlineStr">
        <is>
          <t>PA</t>
        </is>
      </c>
      <c r="F64" s="19" t="inlineStr">
        <is>
          <t>Not Reported</t>
        </is>
      </c>
      <c r="G64" s="19" t="inlineStr">
        <is>
          <t>Federal or national ministry or agency</t>
        </is>
      </c>
      <c r="H64" s="19" t="inlineStr">
        <is>
          <t>Designated</t>
        </is>
      </c>
      <c r="I64" s="19" t="n">
        <v>2004</v>
      </c>
      <c r="J64" s="19" t="n">
        <v>0</v>
      </c>
      <c r="K64" s="19" t="inlineStr">
        <is>
          <t>Polygon</t>
        </is>
      </c>
      <c r="L64" s="20" t="n">
        <v>189.47</v>
      </c>
      <c r="M64" s="20" t="n">
        <v>0</v>
      </c>
      <c r="N64" s="20" t="n">
        <v>192.462</v>
      </c>
      <c r="O64" s="20" t="n">
        <v>0</v>
      </c>
      <c r="P64" s="19" t="inlineStr">
        <is>
          <t>N</t>
        </is>
      </c>
      <c r="Q64" s="19" t="n"/>
      <c r="R64" s="20" t="n">
        <v>193.09</v>
      </c>
      <c r="S64" s="20" t="n">
        <v>0</v>
      </c>
      <c r="T64" s="19" t="inlineStr">
        <is>
          <t>N</t>
        </is>
      </c>
      <c r="U64" s="19" t="n"/>
      <c r="V64" s="19" t="n"/>
      <c r="W64" s="19" t="n"/>
      <c r="X64" s="19" t="n"/>
      <c r="Y64" s="19" t="n"/>
      <c r="Z64" s="21">
        <f>IF(AND($A64="",$B64=""),"",IF(OR($E64="",$H64="",$H64="Proposed",$H64="Not Reported"),0,IF(AND($P64="Y",$Q64&lt;&gt;"Y"),0,IF(AND($K64="Point",N($L64)&lt;=0),0,IF(AND(N($L64)&lt;=0,N($N64)&lt;=0,N($R64)+N($S64)&lt;=0),0,1)))))</f>
        <v/>
      </c>
      <c r="AA64" s="21">
        <f>IF(AND($A64="",$B64=""),"",IF($E64="","Site type missing",IF($H64="","STATUS missing",IF($H64="Proposed","STATUS = Proposed",IF($H64="Not Reported","STATUS = Not Reported",IF(AND($P64="Y",$Q64&lt;&gt;"Y"),"UNESCO-MAB Biosphere Reserve",IF(AND($K64="Point",N($L64)&lt;=0),"Point without REP_AREA",IF(AND(N($L64)&lt;=0,N($N64)&lt;=0,N($R64)+N($S64)&lt;=0),"No area information",""))))))))</f>
        <v/>
      </c>
      <c r="AB64" s="22">
        <f>IF(AND($A64="",$B64=""),"",IF($K64="Point",N($L64),IF(N($N64)&gt;0,N($N64),N($L64))))</f>
        <v/>
      </c>
      <c r="AC64" s="22">
        <f>IF(AND($A64="",$B64=""),"",MIN(AB64,IF(N($J64)=0,0,IF(N($J64)=2,AB64,IF(AND($K64&lt;&gt;"Point",N($O64)&gt;0),N($O64),N($M64))))))</f>
        <v/>
      </c>
      <c r="AD64" s="22">
        <f>IF(AND($A64="",$B64=""),"",MAX(0,AB64-AC64))</f>
        <v/>
      </c>
      <c r="AE64" s="21">
        <f>IF(AND($A64="",$B64=""),"",IF(OR($R64&lt;&gt;"",$S64&lt;&gt;""),1,0))</f>
        <v/>
      </c>
      <c r="AF64" s="22">
        <f>IF(AND($A64="",$B64=""),"",IF(Z64=1,IF(AE64=1,N($R64),AD64),0))</f>
        <v/>
      </c>
      <c r="AG64" s="22">
        <f>IF(AND($A64="",$B64=""),"",IF(Z64=1,IF(AE64=1,N($S64),AC64),0))</f>
        <v/>
      </c>
      <c r="AH64" s="21">
        <f>IF(AND($A64="",$B64=""),"",IF(AND(ISNUMBER($I64),N($I64)&gt;0),$I64,0))</f>
        <v/>
      </c>
      <c r="AI64" s="23">
        <f>IF(AND(NOT(AND($A64="",$B64="")),$K64="Point",N($L64)&gt;0),SQRT(N($L64)/PI()),"")</f>
        <v/>
      </c>
      <c r="AJ64" s="21">
        <f>IF(AND($A64="",$B64=""),"",IFERROR(VLOOKUP($G64,Lists!$D$4:$E$15,2,FALSE),"Not reported"))</f>
        <v/>
      </c>
      <c r="AK64" s="21">
        <f>IF(AND($A64="",$B64=""),"",IF($X64&lt;&gt;"",$X64,IF($T64&lt;&gt;"Y","Not assessed",IF(AND(ISNUMBER($V64),Setup!$B$6-$V64&gt;Setup!$B$26),"Assessment outdated",IF(NOT(ISNUMBER($W64)),"Assessed – no score",IF($W64&gt;=Setup!$B$24,"High",IF($W64&gt;=Setup!$B$25,"Moderate","Low")))))))</f>
        <v/>
      </c>
      <c r="AL64" s="21">
        <f>IF(AND($A64="",$B64=""),"",IF(Z64=0,"",IF(AND(AE64=1,N($R64)&gt;AD64*1.01+0.001),"Net terrestrial &gt; gross; ","")&amp;IF(AND(AE64=1,N($S64)&gt;AC64*1.01+0.001),"Net marine &gt; gross; ","")&amp;IF(AE64=0,"No net area – gross used, overlaps may be double-counted; ","")&amp;IF(AH64=0,"STATUS_YR missing – imputed in time series; ","")&amp;IF(AND(ISNUMBER($I64),N($I64)&gt;Setup!$B$6),"STATUS_YR after reporting year; ","")&amp;IF(OR($G64="",$G64="Not Reported"),"GOV_TYPE not reported; ","")&amp;IF(AND(N($J64)=1,$K64="Point",N($M64)&lt;=0),"Coastal point without REP_M_AREA – land/sea split unknown; ","")&amp;IF(AND(N($J64)=0,N($S64)&gt;0),"MARINE=0 but net marine &gt;0; ","")&amp;IF(AND(N($J64)=2,N($R64)&gt;0),"MARINE=2 but net terrestrial &gt;0; ","")&amp;IF($K64="Point","Buffered point – coverage approximate; ","")))</f>
        <v/>
      </c>
    </row>
    <row r="65">
      <c r="A65" s="19" t="n">
        <v>555599909</v>
      </c>
      <c r="B65" s="19" t="inlineStr">
        <is>
          <t>Les îles Habibas</t>
        </is>
      </c>
      <c r="C65" s="19" t="inlineStr">
        <is>
          <t>Specially Protected Areas of Mediterranean Importance (Barcelona Convention)</t>
        </is>
      </c>
      <c r="D65" s="19" t="inlineStr">
        <is>
          <t>Regional</t>
        </is>
      </c>
      <c r="E65" s="19" t="inlineStr">
        <is>
          <t>PA</t>
        </is>
      </c>
      <c r="F65" s="19" t="inlineStr">
        <is>
          <t>Not Assigned</t>
        </is>
      </c>
      <c r="G65" s="19" t="inlineStr">
        <is>
          <t>Federal or national ministry or agency</t>
        </is>
      </c>
      <c r="H65" s="19" t="inlineStr">
        <is>
          <t>Adopted</t>
        </is>
      </c>
      <c r="I65" s="19" t="n">
        <v>2005</v>
      </c>
      <c r="J65" s="19" t="n">
        <v>2</v>
      </c>
      <c r="K65" s="19" t="inlineStr">
        <is>
          <t>Polygon</t>
        </is>
      </c>
      <c r="L65" s="20" t="n">
        <v>26.8</v>
      </c>
      <c r="M65" s="20" t="n">
        <v>25.97</v>
      </c>
      <c r="N65" s="20" t="n">
        <v>26.357</v>
      </c>
      <c r="O65" s="20" t="n">
        <v>25.884</v>
      </c>
      <c r="P65" s="19" t="inlineStr">
        <is>
          <t>N</t>
        </is>
      </c>
      <c r="Q65" s="19" t="n"/>
      <c r="R65" s="20" t="n">
        <v>0</v>
      </c>
      <c r="S65" s="20" t="n">
        <v>9.212</v>
      </c>
      <c r="T65" s="19" t="inlineStr">
        <is>
          <t>N</t>
        </is>
      </c>
      <c r="U65" s="19" t="n"/>
      <c r="V65" s="19" t="n"/>
      <c r="W65" s="19" t="n"/>
      <c r="X65" s="19" t="n"/>
      <c r="Y65" s="19" t="inlineStr">
        <is>
          <t>Overlap attributed to earlier site</t>
        </is>
      </c>
      <c r="Z65" s="21">
        <f>IF(AND($A65="",$B65=""),"",IF(OR($E65="",$H65="",$H65="Proposed",$H65="Not Reported"),0,IF(AND($P65="Y",$Q65&lt;&gt;"Y"),0,IF(AND($K65="Point",N($L65)&lt;=0),0,IF(AND(N($L65)&lt;=0,N($N65)&lt;=0,N($R65)+N($S65)&lt;=0),0,1)))))</f>
        <v/>
      </c>
      <c r="AA65" s="21">
        <f>IF(AND($A65="",$B65=""),"",IF($E65="","Site type missing",IF($H65="","STATUS missing",IF($H65="Proposed","STATUS = Proposed",IF($H65="Not Reported","STATUS = Not Reported",IF(AND($P65="Y",$Q65&lt;&gt;"Y"),"UNESCO-MAB Biosphere Reserve",IF(AND($K65="Point",N($L65)&lt;=0),"Point without REP_AREA",IF(AND(N($L65)&lt;=0,N($N65)&lt;=0,N($R65)+N($S65)&lt;=0),"No area information",""))))))))</f>
        <v/>
      </c>
      <c r="AB65" s="22">
        <f>IF(AND($A65="",$B65=""),"",IF($K65="Point",N($L65),IF(N($N65)&gt;0,N($N65),N($L65))))</f>
        <v/>
      </c>
      <c r="AC65" s="22">
        <f>IF(AND($A65="",$B65=""),"",MIN(AB65,IF(N($J65)=0,0,IF(N($J65)=2,AB65,IF(AND($K65&lt;&gt;"Point",N($O65)&gt;0),N($O65),N($M65))))))</f>
        <v/>
      </c>
      <c r="AD65" s="22">
        <f>IF(AND($A65="",$B65=""),"",MAX(0,AB65-AC65))</f>
        <v/>
      </c>
      <c r="AE65" s="21">
        <f>IF(AND($A65="",$B65=""),"",IF(OR($R65&lt;&gt;"",$S65&lt;&gt;""),1,0))</f>
        <v/>
      </c>
      <c r="AF65" s="22">
        <f>IF(AND($A65="",$B65=""),"",IF(Z65=1,IF(AE65=1,N($R65),AD65),0))</f>
        <v/>
      </c>
      <c r="AG65" s="22">
        <f>IF(AND($A65="",$B65=""),"",IF(Z65=1,IF(AE65=1,N($S65),AC65),0))</f>
        <v/>
      </c>
      <c r="AH65" s="21">
        <f>IF(AND($A65="",$B65=""),"",IF(AND(ISNUMBER($I65),N($I65)&gt;0),$I65,0))</f>
        <v/>
      </c>
      <c r="AI65" s="23">
        <f>IF(AND(NOT(AND($A65="",$B65="")),$K65="Point",N($L65)&gt;0),SQRT(N($L65)/PI()),"")</f>
        <v/>
      </c>
      <c r="AJ65" s="21">
        <f>IF(AND($A65="",$B65=""),"",IFERROR(VLOOKUP($G65,Lists!$D$4:$E$15,2,FALSE),"Not reported"))</f>
        <v/>
      </c>
      <c r="AK65" s="21">
        <f>IF(AND($A65="",$B65=""),"",IF($X65&lt;&gt;"",$X65,IF($T65&lt;&gt;"Y","Not assessed",IF(AND(ISNUMBER($V65),Setup!$B$6-$V65&gt;Setup!$B$26),"Assessment outdated",IF(NOT(ISNUMBER($W65)),"Assessed – no score",IF($W65&gt;=Setup!$B$24,"High",IF($W65&gt;=Setup!$B$25,"Moderate","Low")))))))</f>
        <v/>
      </c>
      <c r="AL65" s="21">
        <f>IF(AND($A65="",$B65=""),"",IF(Z65=0,"",IF(AND(AE65=1,N($R65)&gt;AD65*1.01+0.001),"Net terrestrial &gt; gross; ","")&amp;IF(AND(AE65=1,N($S65)&gt;AC65*1.01+0.001),"Net marine &gt; gross; ","")&amp;IF(AE65=0,"No net area – gross used, overlaps may be double-counted; ","")&amp;IF(AH65=0,"STATUS_YR missing – imputed in time series; ","")&amp;IF(AND(ISNUMBER($I65),N($I65)&gt;Setup!$B$6),"STATUS_YR after reporting year; ","")&amp;IF(OR($G65="",$G65="Not Reported"),"GOV_TYPE not reported; ","")&amp;IF(AND(N($J65)=1,$K65="Point",N($M65)&lt;=0),"Coastal point without REP_M_AREA – land/sea split unknown; ","")&amp;IF(AND(N($J65)=0,N($S65)&gt;0),"MARINE=0 but net marine &gt;0; ","")&amp;IF(AND(N($J65)=2,N($R65)&gt;0),"MARINE=2 but net terrestrial &gt;0; ","")&amp;IF($K65="Point","Buffered point – coverage approximate; ","")))</f>
        <v/>
      </c>
    </row>
    <row r="66">
      <c r="A66" s="19" t="n">
        <v>555542677</v>
      </c>
      <c r="B66" s="19" t="inlineStr">
        <is>
          <t>Garaet Timerganine</t>
        </is>
      </c>
      <c r="C66" s="19" t="inlineStr">
        <is>
          <t>Wetland of International Importance (Ramsar Site)</t>
        </is>
      </c>
      <c r="D66" s="19" t="inlineStr">
        <is>
          <t>International</t>
        </is>
      </c>
      <c r="E66" s="19" t="inlineStr">
        <is>
          <t>PA</t>
        </is>
      </c>
      <c r="F66" s="19" t="inlineStr">
        <is>
          <t>Not Reported</t>
        </is>
      </c>
      <c r="G66" s="19" t="inlineStr">
        <is>
          <t>Federal or national ministry or agency</t>
        </is>
      </c>
      <c r="H66" s="19" t="inlineStr">
        <is>
          <t>Designated</t>
        </is>
      </c>
      <c r="I66" s="19" t="n">
        <v>2009</v>
      </c>
      <c r="J66" s="19" t="n">
        <v>0</v>
      </c>
      <c r="K66" s="19" t="inlineStr">
        <is>
          <t>Polygon</t>
        </is>
      </c>
      <c r="L66" s="20" t="n">
        <v>14.6</v>
      </c>
      <c r="M66" s="20" t="n">
        <v>0</v>
      </c>
      <c r="N66" s="20" t="n">
        <v>14.074</v>
      </c>
      <c r="O66" s="20" t="n">
        <v>0</v>
      </c>
      <c r="P66" s="19" t="inlineStr">
        <is>
          <t>N</t>
        </is>
      </c>
      <c r="Q66" s="19" t="n"/>
      <c r="R66" s="20" t="n">
        <v>14.064</v>
      </c>
      <c r="S66" s="20" t="n">
        <v>0</v>
      </c>
      <c r="T66" s="19" t="inlineStr">
        <is>
          <t>N</t>
        </is>
      </c>
      <c r="U66" s="19" t="n"/>
      <c r="V66" s="19" t="n"/>
      <c r="W66" s="19" t="n"/>
      <c r="X66" s="19" t="n"/>
      <c r="Y66" s="19" t="n"/>
      <c r="Z66" s="21">
        <f>IF(AND($A66="",$B66=""),"",IF(OR($E66="",$H66="",$H66="Proposed",$H66="Not Reported"),0,IF(AND($P66="Y",$Q66&lt;&gt;"Y"),0,IF(AND($K66="Point",N($L66)&lt;=0),0,IF(AND(N($L66)&lt;=0,N($N66)&lt;=0,N($R66)+N($S66)&lt;=0),0,1)))))</f>
        <v/>
      </c>
      <c r="AA66" s="21">
        <f>IF(AND($A66="",$B66=""),"",IF($E66="","Site type missing",IF($H66="","STATUS missing",IF($H66="Proposed","STATUS = Proposed",IF($H66="Not Reported","STATUS = Not Reported",IF(AND($P66="Y",$Q66&lt;&gt;"Y"),"UNESCO-MAB Biosphere Reserve",IF(AND($K66="Point",N($L66)&lt;=0),"Point without REP_AREA",IF(AND(N($L66)&lt;=0,N($N66)&lt;=0,N($R66)+N($S66)&lt;=0),"No area information",""))))))))</f>
        <v/>
      </c>
      <c r="AB66" s="22">
        <f>IF(AND($A66="",$B66=""),"",IF($K66="Point",N($L66),IF(N($N66)&gt;0,N($N66),N($L66))))</f>
        <v/>
      </c>
      <c r="AC66" s="22">
        <f>IF(AND($A66="",$B66=""),"",MIN(AB66,IF(N($J66)=0,0,IF(N($J66)=2,AB66,IF(AND($K66&lt;&gt;"Point",N($O66)&gt;0),N($O66),N($M66))))))</f>
        <v/>
      </c>
      <c r="AD66" s="22">
        <f>IF(AND($A66="",$B66=""),"",MAX(0,AB66-AC66))</f>
        <v/>
      </c>
      <c r="AE66" s="21">
        <f>IF(AND($A66="",$B66=""),"",IF(OR($R66&lt;&gt;"",$S66&lt;&gt;""),1,0))</f>
        <v/>
      </c>
      <c r="AF66" s="22">
        <f>IF(AND($A66="",$B66=""),"",IF(Z66=1,IF(AE66=1,N($R66),AD66),0))</f>
        <v/>
      </c>
      <c r="AG66" s="22">
        <f>IF(AND($A66="",$B66=""),"",IF(Z66=1,IF(AE66=1,N($S66),AC66),0))</f>
        <v/>
      </c>
      <c r="AH66" s="21">
        <f>IF(AND($A66="",$B66=""),"",IF(AND(ISNUMBER($I66),N($I66)&gt;0),$I66,0))</f>
        <v/>
      </c>
      <c r="AI66" s="23">
        <f>IF(AND(NOT(AND($A66="",$B66="")),$K66="Point",N($L66)&gt;0),SQRT(N($L66)/PI()),"")</f>
        <v/>
      </c>
      <c r="AJ66" s="21">
        <f>IF(AND($A66="",$B66=""),"",IFERROR(VLOOKUP($G66,Lists!$D$4:$E$15,2,FALSE),"Not reported"))</f>
        <v/>
      </c>
      <c r="AK66" s="21">
        <f>IF(AND($A66="",$B66=""),"",IF($X66&lt;&gt;"",$X66,IF($T66&lt;&gt;"Y","Not assessed",IF(AND(ISNUMBER($V66),Setup!$B$6-$V66&gt;Setup!$B$26),"Assessment outdated",IF(NOT(ISNUMBER($W66)),"Assessed – no score",IF($W66&gt;=Setup!$B$24,"High",IF($W66&gt;=Setup!$B$25,"Moderate","Low")))))))</f>
        <v/>
      </c>
      <c r="AL66" s="21">
        <f>IF(AND($A66="",$B66=""),"",IF(Z66=0,"",IF(AND(AE66=1,N($R66)&gt;AD66*1.01+0.001),"Net terrestrial &gt; gross; ","")&amp;IF(AND(AE66=1,N($S66)&gt;AC66*1.01+0.001),"Net marine &gt; gross; ","")&amp;IF(AE66=0,"No net area – gross used, overlaps may be double-counted; ","")&amp;IF(AH66=0,"STATUS_YR missing – imputed in time series; ","")&amp;IF(AND(ISNUMBER($I66),N($I66)&gt;Setup!$B$6),"STATUS_YR after reporting year; ","")&amp;IF(OR($G66="",$G66="Not Reported"),"GOV_TYPE not reported; ","")&amp;IF(AND(N($J66)=1,$K66="Point",N($M66)&lt;=0),"Coastal point without REP_M_AREA – land/sea split unknown; ","")&amp;IF(AND(N($J66)=0,N($S66)&gt;0),"MARINE=0 but net marine &gt;0; ","")&amp;IF(AND(N($J66)=2,N($R66)&gt;0),"MARINE=2 but net terrestrial &gt;0; ","")&amp;IF($K66="Point","Buffered point – coverage approximate; ","")))</f>
        <v/>
      </c>
    </row>
    <row r="67">
      <c r="A67" s="19" t="n">
        <v>555542679</v>
      </c>
      <c r="B67" s="19" t="inlineStr">
        <is>
          <t>Marais de Bourdim</t>
        </is>
      </c>
      <c r="C67" s="19" t="inlineStr">
        <is>
          <t>Wetland of International Importance (Ramsar Site)</t>
        </is>
      </c>
      <c r="D67" s="19" t="inlineStr">
        <is>
          <t>International</t>
        </is>
      </c>
      <c r="E67" s="19" t="inlineStr">
        <is>
          <t>PA</t>
        </is>
      </c>
      <c r="F67" s="19" t="inlineStr">
        <is>
          <t>Not Reported</t>
        </is>
      </c>
      <c r="G67" s="19" t="inlineStr">
        <is>
          <t>Federal or national ministry or agency</t>
        </is>
      </c>
      <c r="H67" s="19" t="inlineStr">
        <is>
          <t>Designated</t>
        </is>
      </c>
      <c r="I67" s="19" t="n">
        <v>2009</v>
      </c>
      <c r="J67" s="19" t="n">
        <v>0</v>
      </c>
      <c r="K67" s="19" t="inlineStr">
        <is>
          <t>Polygon</t>
        </is>
      </c>
      <c r="L67" s="20" t="n">
        <v>0.5900000000000001</v>
      </c>
      <c r="M67" s="20" t="n">
        <v>0</v>
      </c>
      <c r="N67" s="20" t="n">
        <v>4.796</v>
      </c>
      <c r="O67" s="20" t="n">
        <v>0</v>
      </c>
      <c r="P67" s="19" t="inlineStr">
        <is>
          <t>N</t>
        </is>
      </c>
      <c r="Q67" s="19" t="n"/>
      <c r="R67" s="20" t="n">
        <v>0.328</v>
      </c>
      <c r="S67" s="20" t="n">
        <v>0</v>
      </c>
      <c r="T67" s="19" t="inlineStr">
        <is>
          <t>N</t>
        </is>
      </c>
      <c r="U67" s="19" t="n"/>
      <c r="V67" s="19" t="n"/>
      <c r="W67" s="19" t="n"/>
      <c r="X67" s="19" t="n"/>
      <c r="Y67" s="19" t="inlineStr">
        <is>
          <t>Overlap attributed to earlier site</t>
        </is>
      </c>
      <c r="Z67" s="21">
        <f>IF(AND($A67="",$B67=""),"",IF(OR($E67="",$H67="",$H67="Proposed",$H67="Not Reported"),0,IF(AND($P67="Y",$Q67&lt;&gt;"Y"),0,IF(AND($K67="Point",N($L67)&lt;=0),0,IF(AND(N($L67)&lt;=0,N($N67)&lt;=0,N($R67)+N($S67)&lt;=0),0,1)))))</f>
        <v/>
      </c>
      <c r="AA67" s="21">
        <f>IF(AND($A67="",$B67=""),"",IF($E67="","Site type missing",IF($H67="","STATUS missing",IF($H67="Proposed","STATUS = Proposed",IF($H67="Not Reported","STATUS = Not Reported",IF(AND($P67="Y",$Q67&lt;&gt;"Y"),"UNESCO-MAB Biosphere Reserve",IF(AND($K67="Point",N($L67)&lt;=0),"Point without REP_AREA",IF(AND(N($L67)&lt;=0,N($N67)&lt;=0,N($R67)+N($S67)&lt;=0),"No area information",""))))))))</f>
        <v/>
      </c>
      <c r="AB67" s="22">
        <f>IF(AND($A67="",$B67=""),"",IF($K67="Point",N($L67),IF(N($N67)&gt;0,N($N67),N($L67))))</f>
        <v/>
      </c>
      <c r="AC67" s="22">
        <f>IF(AND($A67="",$B67=""),"",MIN(AB67,IF(N($J67)=0,0,IF(N($J67)=2,AB67,IF(AND($K67&lt;&gt;"Point",N($O67)&gt;0),N($O67),N($M67))))))</f>
        <v/>
      </c>
      <c r="AD67" s="22">
        <f>IF(AND($A67="",$B67=""),"",MAX(0,AB67-AC67))</f>
        <v/>
      </c>
      <c r="AE67" s="21">
        <f>IF(AND($A67="",$B67=""),"",IF(OR($R67&lt;&gt;"",$S67&lt;&gt;""),1,0))</f>
        <v/>
      </c>
      <c r="AF67" s="22">
        <f>IF(AND($A67="",$B67=""),"",IF(Z67=1,IF(AE67=1,N($R67),AD67),0))</f>
        <v/>
      </c>
      <c r="AG67" s="22">
        <f>IF(AND($A67="",$B67=""),"",IF(Z67=1,IF(AE67=1,N($S67),AC67),0))</f>
        <v/>
      </c>
      <c r="AH67" s="21">
        <f>IF(AND($A67="",$B67=""),"",IF(AND(ISNUMBER($I67),N($I67)&gt;0),$I67,0))</f>
        <v/>
      </c>
      <c r="AI67" s="23">
        <f>IF(AND(NOT(AND($A67="",$B67="")),$K67="Point",N($L67)&gt;0),SQRT(N($L67)/PI()),"")</f>
        <v/>
      </c>
      <c r="AJ67" s="21">
        <f>IF(AND($A67="",$B67=""),"",IFERROR(VLOOKUP($G67,Lists!$D$4:$E$15,2,FALSE),"Not reported"))</f>
        <v/>
      </c>
      <c r="AK67" s="21">
        <f>IF(AND($A67="",$B67=""),"",IF($X67&lt;&gt;"",$X67,IF($T67&lt;&gt;"Y","Not assessed",IF(AND(ISNUMBER($V67),Setup!$B$6-$V67&gt;Setup!$B$26),"Assessment outdated",IF(NOT(ISNUMBER($W67)),"Assessed – no score",IF($W67&gt;=Setup!$B$24,"High",IF($W67&gt;=Setup!$B$25,"Moderate","Low")))))))</f>
        <v/>
      </c>
      <c r="AL67" s="21">
        <f>IF(AND($A67="",$B67=""),"",IF(Z67=0,"",IF(AND(AE67=1,N($R67)&gt;AD67*1.01+0.001),"Net terrestrial &gt; gross; ","")&amp;IF(AND(AE67=1,N($S67)&gt;AC67*1.01+0.001),"Net marine &gt; gross; ","")&amp;IF(AE67=0,"No net area – gross used, overlaps may be double-counted; ","")&amp;IF(AH67=0,"STATUS_YR missing – imputed in time series; ","")&amp;IF(AND(ISNUMBER($I67),N($I67)&gt;Setup!$B$6),"STATUS_YR after reporting year; ","")&amp;IF(OR($G67="",$G67="Not Reported"),"GOV_TYPE not reported; ","")&amp;IF(AND(N($J67)=1,$K67="Point",N($M67)&lt;=0),"Coastal point without REP_M_AREA – land/sea split unknown; ","")&amp;IF(AND(N($J67)=0,N($S67)&gt;0),"MARINE=0 but net marine &gt;0; ","")&amp;IF(AND(N($J67)=2,N($R67)&gt;0),"MARINE=2 but net terrestrial &gt;0; ","")&amp;IF($K67="Point","Buffered point – coverage approximate; ","")))</f>
        <v/>
      </c>
    </row>
    <row r="68">
      <c r="A68" s="19" t="n">
        <v>555542681</v>
      </c>
      <c r="B68" s="19" t="inlineStr">
        <is>
          <t>Sebkha Ezzemoul</t>
        </is>
      </c>
      <c r="C68" s="19" t="inlineStr">
        <is>
          <t>Wetland of International Importance (Ramsar Site)</t>
        </is>
      </c>
      <c r="D68" s="19" t="inlineStr">
        <is>
          <t>International</t>
        </is>
      </c>
      <c r="E68" s="19" t="inlineStr">
        <is>
          <t>PA</t>
        </is>
      </c>
      <c r="F68" s="19" t="inlineStr">
        <is>
          <t>Not Reported</t>
        </is>
      </c>
      <c r="G68" s="19" t="inlineStr">
        <is>
          <t>Federal or national ministry or agency</t>
        </is>
      </c>
      <c r="H68" s="19" t="inlineStr">
        <is>
          <t>Designated</t>
        </is>
      </c>
      <c r="I68" s="19" t="n">
        <v>2009</v>
      </c>
      <c r="J68" s="19" t="n">
        <v>0</v>
      </c>
      <c r="K68" s="19" t="inlineStr">
        <is>
          <t>Polygon</t>
        </is>
      </c>
      <c r="L68" s="20" t="n">
        <v>67.65000000000001</v>
      </c>
      <c r="M68" s="20" t="n">
        <v>0</v>
      </c>
      <c r="N68" s="20" t="n">
        <v>53.553</v>
      </c>
      <c r="O68" s="20" t="n">
        <v>0</v>
      </c>
      <c r="P68" s="19" t="inlineStr">
        <is>
          <t>N</t>
        </is>
      </c>
      <c r="Q68" s="19" t="n"/>
      <c r="R68" s="20" t="n">
        <v>53.667</v>
      </c>
      <c r="S68" s="20" t="n">
        <v>0</v>
      </c>
      <c r="T68" s="19" t="inlineStr">
        <is>
          <t>N</t>
        </is>
      </c>
      <c r="U68" s="19" t="n"/>
      <c r="V68" s="19" t="n"/>
      <c r="W68" s="19" t="n"/>
      <c r="X68" s="19" t="n"/>
      <c r="Y68" s="19" t="n"/>
      <c r="Z68" s="21">
        <f>IF(AND($A68="",$B68=""),"",IF(OR($E68="",$H68="",$H68="Proposed",$H68="Not Reported"),0,IF(AND($P68="Y",$Q68&lt;&gt;"Y"),0,IF(AND($K68="Point",N($L68)&lt;=0),0,IF(AND(N($L68)&lt;=0,N($N68)&lt;=0,N($R68)+N($S68)&lt;=0),0,1)))))</f>
        <v/>
      </c>
      <c r="AA68" s="21">
        <f>IF(AND($A68="",$B68=""),"",IF($E68="","Site type missing",IF($H68="","STATUS missing",IF($H68="Proposed","STATUS = Proposed",IF($H68="Not Reported","STATUS = Not Reported",IF(AND($P68="Y",$Q68&lt;&gt;"Y"),"UNESCO-MAB Biosphere Reserve",IF(AND($K68="Point",N($L68)&lt;=0),"Point without REP_AREA",IF(AND(N($L68)&lt;=0,N($N68)&lt;=0,N($R68)+N($S68)&lt;=0),"No area information",""))))))))</f>
        <v/>
      </c>
      <c r="AB68" s="22">
        <f>IF(AND($A68="",$B68=""),"",IF($K68="Point",N($L68),IF(N($N68)&gt;0,N($N68),N($L68))))</f>
        <v/>
      </c>
      <c r="AC68" s="22">
        <f>IF(AND($A68="",$B68=""),"",MIN(AB68,IF(N($J68)=0,0,IF(N($J68)=2,AB68,IF(AND($K68&lt;&gt;"Point",N($O68)&gt;0),N($O68),N($M68))))))</f>
        <v/>
      </c>
      <c r="AD68" s="22">
        <f>IF(AND($A68="",$B68=""),"",MAX(0,AB68-AC68))</f>
        <v/>
      </c>
      <c r="AE68" s="21">
        <f>IF(AND($A68="",$B68=""),"",IF(OR($R68&lt;&gt;"",$S68&lt;&gt;""),1,0))</f>
        <v/>
      </c>
      <c r="AF68" s="22">
        <f>IF(AND($A68="",$B68=""),"",IF(Z68=1,IF(AE68=1,N($R68),AD68),0))</f>
        <v/>
      </c>
      <c r="AG68" s="22">
        <f>IF(AND($A68="",$B68=""),"",IF(Z68=1,IF(AE68=1,N($S68),AC68),0))</f>
        <v/>
      </c>
      <c r="AH68" s="21">
        <f>IF(AND($A68="",$B68=""),"",IF(AND(ISNUMBER($I68),N($I68)&gt;0),$I68,0))</f>
        <v/>
      </c>
      <c r="AI68" s="23">
        <f>IF(AND(NOT(AND($A68="",$B68="")),$K68="Point",N($L68)&gt;0),SQRT(N($L68)/PI()),"")</f>
        <v/>
      </c>
      <c r="AJ68" s="21">
        <f>IF(AND($A68="",$B68=""),"",IFERROR(VLOOKUP($G68,Lists!$D$4:$E$15,2,FALSE),"Not reported"))</f>
        <v/>
      </c>
      <c r="AK68" s="21">
        <f>IF(AND($A68="",$B68=""),"",IF($X68&lt;&gt;"",$X68,IF($T68&lt;&gt;"Y","Not assessed",IF(AND(ISNUMBER($V68),Setup!$B$6-$V68&gt;Setup!$B$26),"Assessment outdated",IF(NOT(ISNUMBER($W68)),"Assessed – no score",IF($W68&gt;=Setup!$B$24,"High",IF($W68&gt;=Setup!$B$25,"Moderate","Low")))))))</f>
        <v/>
      </c>
      <c r="AL68" s="21">
        <f>IF(AND($A68="",$B68=""),"",IF(Z68=0,"",IF(AND(AE68=1,N($R68)&gt;AD68*1.01+0.001),"Net terrestrial &gt; gross; ","")&amp;IF(AND(AE68=1,N($S68)&gt;AC68*1.01+0.001),"Net marine &gt; gross; ","")&amp;IF(AE68=0,"No net area – gross used, overlaps may be double-counted; ","")&amp;IF(AH68=0,"STATUS_YR missing – imputed in time series; ","")&amp;IF(AND(ISNUMBER($I68),N($I68)&gt;Setup!$B$6),"STATUS_YR after reporting year; ","")&amp;IF(OR($G68="",$G68="Not Reported"),"GOV_TYPE not reported; ","")&amp;IF(AND(N($J68)=1,$K68="Point",N($M68)&lt;=0),"Coastal point without REP_M_AREA – land/sea split unknown; ","")&amp;IF(AND(N($J68)=0,N($S68)&gt;0),"MARINE=0 but net marine &gt;0; ","")&amp;IF(AND(N($J68)=2,N($R68)&gt;0),"MARINE=2 but net terrestrial &gt;0; ","")&amp;IF($K68="Point","Buffered point – coverage approximate; ","")))</f>
        <v/>
      </c>
    </row>
    <row r="69">
      <c r="A69" s="19" t="n">
        <v>555542682</v>
      </c>
      <c r="B69" s="19" t="inlineStr">
        <is>
          <t>Lac Boulhilet</t>
        </is>
      </c>
      <c r="C69" s="19" t="inlineStr">
        <is>
          <t>Wetland of International Importance (Ramsar Site)</t>
        </is>
      </c>
      <c r="D69" s="19" t="inlineStr">
        <is>
          <t>International</t>
        </is>
      </c>
      <c r="E69" s="19" t="inlineStr">
        <is>
          <t>PA</t>
        </is>
      </c>
      <c r="F69" s="19" t="inlineStr">
        <is>
          <t>Not Reported</t>
        </is>
      </c>
      <c r="G69" s="19" t="inlineStr">
        <is>
          <t>Federal or national ministry or agency</t>
        </is>
      </c>
      <c r="H69" s="19" t="inlineStr">
        <is>
          <t>Designated</t>
        </is>
      </c>
      <c r="I69" s="19" t="n">
        <v>2009</v>
      </c>
      <c r="J69" s="19" t="n">
        <v>0</v>
      </c>
      <c r="K69" s="19" t="inlineStr">
        <is>
          <t>Polygon</t>
        </is>
      </c>
      <c r="L69" s="20" t="n">
        <v>8.56</v>
      </c>
      <c r="M69" s="20" t="n">
        <v>0</v>
      </c>
      <c r="N69" s="20" t="n">
        <v>4.994</v>
      </c>
      <c r="O69" s="20" t="n">
        <v>0</v>
      </c>
      <c r="P69" s="19" t="inlineStr">
        <is>
          <t>N</t>
        </is>
      </c>
      <c r="Q69" s="19" t="n"/>
      <c r="R69" s="20" t="n">
        <v>5.005</v>
      </c>
      <c r="S69" s="20" t="n">
        <v>0</v>
      </c>
      <c r="T69" s="19" t="inlineStr">
        <is>
          <t>N</t>
        </is>
      </c>
      <c r="U69" s="19" t="n"/>
      <c r="V69" s="19" t="n"/>
      <c r="W69" s="19" t="n"/>
      <c r="X69" s="19" t="n"/>
      <c r="Y69" s="19" t="n"/>
      <c r="Z69" s="21">
        <f>IF(AND($A69="",$B69=""),"",IF(OR($E69="",$H69="",$H69="Proposed",$H69="Not Reported"),0,IF(AND($P69="Y",$Q69&lt;&gt;"Y"),0,IF(AND($K69="Point",N($L69)&lt;=0),0,IF(AND(N($L69)&lt;=0,N($N69)&lt;=0,N($R69)+N($S69)&lt;=0),0,1)))))</f>
        <v/>
      </c>
      <c r="AA69" s="21">
        <f>IF(AND($A69="",$B69=""),"",IF($E69="","Site type missing",IF($H69="","STATUS missing",IF($H69="Proposed","STATUS = Proposed",IF($H69="Not Reported","STATUS = Not Reported",IF(AND($P69="Y",$Q69&lt;&gt;"Y"),"UNESCO-MAB Biosphere Reserve",IF(AND($K69="Point",N($L69)&lt;=0),"Point without REP_AREA",IF(AND(N($L69)&lt;=0,N($N69)&lt;=0,N($R69)+N($S69)&lt;=0),"No area information",""))))))))</f>
        <v/>
      </c>
      <c r="AB69" s="22">
        <f>IF(AND($A69="",$B69=""),"",IF($K69="Point",N($L69),IF(N($N69)&gt;0,N($N69),N($L69))))</f>
        <v/>
      </c>
      <c r="AC69" s="22">
        <f>IF(AND($A69="",$B69=""),"",MIN(AB69,IF(N($J69)=0,0,IF(N($J69)=2,AB69,IF(AND($K69&lt;&gt;"Point",N($O69)&gt;0),N($O69),N($M69))))))</f>
        <v/>
      </c>
      <c r="AD69" s="22">
        <f>IF(AND($A69="",$B69=""),"",MAX(0,AB69-AC69))</f>
        <v/>
      </c>
      <c r="AE69" s="21">
        <f>IF(AND($A69="",$B69=""),"",IF(OR($R69&lt;&gt;"",$S69&lt;&gt;""),1,0))</f>
        <v/>
      </c>
      <c r="AF69" s="22">
        <f>IF(AND($A69="",$B69=""),"",IF(Z69=1,IF(AE69=1,N($R69),AD69),0))</f>
        <v/>
      </c>
      <c r="AG69" s="22">
        <f>IF(AND($A69="",$B69=""),"",IF(Z69=1,IF(AE69=1,N($S69),AC69),0))</f>
        <v/>
      </c>
      <c r="AH69" s="21">
        <f>IF(AND($A69="",$B69=""),"",IF(AND(ISNUMBER($I69),N($I69)&gt;0),$I69,0))</f>
        <v/>
      </c>
      <c r="AI69" s="23">
        <f>IF(AND(NOT(AND($A69="",$B69="")),$K69="Point",N($L69)&gt;0),SQRT(N($L69)/PI()),"")</f>
        <v/>
      </c>
      <c r="AJ69" s="21">
        <f>IF(AND($A69="",$B69=""),"",IFERROR(VLOOKUP($G69,Lists!$D$4:$E$15,2,FALSE),"Not reported"))</f>
        <v/>
      </c>
      <c r="AK69" s="21">
        <f>IF(AND($A69="",$B69=""),"",IF($X69&lt;&gt;"",$X69,IF($T69&lt;&gt;"Y","Not assessed",IF(AND(ISNUMBER($V69),Setup!$B$6-$V69&gt;Setup!$B$26),"Assessment outdated",IF(NOT(ISNUMBER($W69)),"Assessed – no score",IF($W69&gt;=Setup!$B$24,"High",IF($W69&gt;=Setup!$B$25,"Moderate","Low")))))))</f>
        <v/>
      </c>
      <c r="AL69" s="21">
        <f>IF(AND($A69="",$B69=""),"",IF(Z69=0,"",IF(AND(AE69=1,N($R69)&gt;AD69*1.01+0.001),"Net terrestrial &gt; gross; ","")&amp;IF(AND(AE69=1,N($S69)&gt;AC69*1.01+0.001),"Net marine &gt; gross; ","")&amp;IF(AE69=0,"No net area – gross used, overlaps may be double-counted; ","")&amp;IF(AH69=0,"STATUS_YR missing – imputed in time series; ","")&amp;IF(AND(ISNUMBER($I69),N($I69)&gt;Setup!$B$6),"STATUS_YR after reporting year; ","")&amp;IF(OR($G69="",$G69="Not Reported"),"GOV_TYPE not reported; ","")&amp;IF(AND(N($J69)=1,$K69="Point",N($M69)&lt;=0),"Coastal point without REP_M_AREA – land/sea split unknown; ","")&amp;IF(AND(N($J69)=0,N($S69)&gt;0),"MARINE=0 but net marine &gt;0; ","")&amp;IF(AND(N($J69)=2,N($R69)&gt;0),"MARINE=2 but net terrestrial &gt;0; ","")&amp;IF($K69="Point","Buffered point – coverage approximate; ","")))</f>
        <v/>
      </c>
    </row>
    <row r="70">
      <c r="A70" s="19" t="n">
        <v>555542683</v>
      </c>
      <c r="B70" s="19" t="inlineStr">
        <is>
          <t>Vallée de l'oued Soummam</t>
        </is>
      </c>
      <c r="C70" s="19" t="inlineStr">
        <is>
          <t>Wetland of International Importance (Ramsar Site)</t>
        </is>
      </c>
      <c r="D70" s="19" t="inlineStr">
        <is>
          <t>International</t>
        </is>
      </c>
      <c r="E70" s="19" t="inlineStr">
        <is>
          <t>PA</t>
        </is>
      </c>
      <c r="F70" s="19" t="inlineStr">
        <is>
          <t>Not Reported</t>
        </is>
      </c>
      <c r="G70" s="19" t="inlineStr">
        <is>
          <t>Federal or national ministry or agency</t>
        </is>
      </c>
      <c r="H70" s="19" t="inlineStr">
        <is>
          <t>Designated</t>
        </is>
      </c>
      <c r="I70" s="19" t="n">
        <v>2009</v>
      </c>
      <c r="J70" s="19" t="n">
        <v>0</v>
      </c>
      <c r="K70" s="19" t="inlineStr">
        <is>
          <t>Polygon</t>
        </is>
      </c>
      <c r="L70" s="20" t="n">
        <v>124.53</v>
      </c>
      <c r="M70" s="20" t="n">
        <v>0</v>
      </c>
      <c r="N70" s="20" t="n">
        <v>121.619</v>
      </c>
      <c r="O70" s="20" t="n">
        <v>1.399</v>
      </c>
      <c r="P70" s="19" t="inlineStr">
        <is>
          <t>N</t>
        </is>
      </c>
      <c r="Q70" s="19" t="n"/>
      <c r="R70" s="20" t="n">
        <v>120.544</v>
      </c>
      <c r="S70" s="20" t="n">
        <v>1.312</v>
      </c>
      <c r="T70" s="19" t="inlineStr">
        <is>
          <t>N</t>
        </is>
      </c>
      <c r="U70" s="19" t="n"/>
      <c r="V70" s="19" t="n"/>
      <c r="W70" s="19" t="n"/>
      <c r="X70" s="19" t="n"/>
      <c r="Y70" s="19" t="n"/>
      <c r="Z70" s="21">
        <f>IF(AND($A70="",$B70=""),"",IF(OR($E70="",$H70="",$H70="Proposed",$H70="Not Reported"),0,IF(AND($P70="Y",$Q70&lt;&gt;"Y"),0,IF(AND($K70="Point",N($L70)&lt;=0),0,IF(AND(N($L70)&lt;=0,N($N70)&lt;=0,N($R70)+N($S70)&lt;=0),0,1)))))</f>
        <v/>
      </c>
      <c r="AA70" s="21">
        <f>IF(AND($A70="",$B70=""),"",IF($E70="","Site type missing",IF($H70="","STATUS missing",IF($H70="Proposed","STATUS = Proposed",IF($H70="Not Reported","STATUS = Not Reported",IF(AND($P70="Y",$Q70&lt;&gt;"Y"),"UNESCO-MAB Biosphere Reserve",IF(AND($K70="Point",N($L70)&lt;=0),"Point without REP_AREA",IF(AND(N($L70)&lt;=0,N($N70)&lt;=0,N($R70)+N($S70)&lt;=0),"No area information",""))))))))</f>
        <v/>
      </c>
      <c r="AB70" s="22">
        <f>IF(AND($A70="",$B70=""),"",IF($K70="Point",N($L70),IF(N($N70)&gt;0,N($N70),N($L70))))</f>
        <v/>
      </c>
      <c r="AC70" s="22">
        <f>IF(AND($A70="",$B70=""),"",MIN(AB70,IF(N($J70)=0,0,IF(N($J70)=2,AB70,IF(AND($K70&lt;&gt;"Point",N($O70)&gt;0),N($O70),N($M70))))))</f>
        <v/>
      </c>
      <c r="AD70" s="22">
        <f>IF(AND($A70="",$B70=""),"",MAX(0,AB70-AC70))</f>
        <v/>
      </c>
      <c r="AE70" s="21">
        <f>IF(AND($A70="",$B70=""),"",IF(OR($R70&lt;&gt;"",$S70&lt;&gt;""),1,0))</f>
        <v/>
      </c>
      <c r="AF70" s="22">
        <f>IF(AND($A70="",$B70=""),"",IF(Z70=1,IF(AE70=1,N($R70),AD70),0))</f>
        <v/>
      </c>
      <c r="AG70" s="22">
        <f>IF(AND($A70="",$B70=""),"",IF(Z70=1,IF(AE70=1,N($S70),AC70),0))</f>
        <v/>
      </c>
      <c r="AH70" s="21">
        <f>IF(AND($A70="",$B70=""),"",IF(AND(ISNUMBER($I70),N($I70)&gt;0),$I70,0))</f>
        <v/>
      </c>
      <c r="AI70" s="23">
        <f>IF(AND(NOT(AND($A70="",$B70="")),$K70="Point",N($L70)&gt;0),SQRT(N($L70)/PI()),"")</f>
        <v/>
      </c>
      <c r="AJ70" s="21">
        <f>IF(AND($A70="",$B70=""),"",IFERROR(VLOOKUP($G70,Lists!$D$4:$E$15,2,FALSE),"Not reported"))</f>
        <v/>
      </c>
      <c r="AK70" s="21">
        <f>IF(AND($A70="",$B70=""),"",IF($X70&lt;&gt;"",$X70,IF($T70&lt;&gt;"Y","Not assessed",IF(AND(ISNUMBER($V70),Setup!$B$6-$V70&gt;Setup!$B$26),"Assessment outdated",IF(NOT(ISNUMBER($W70)),"Assessed – no score",IF($W70&gt;=Setup!$B$24,"High",IF($W70&gt;=Setup!$B$25,"Moderate","Low")))))))</f>
        <v/>
      </c>
      <c r="AL70" s="21">
        <f>IF(AND($A70="",$B70=""),"",IF(Z70=0,"",IF(AND(AE70=1,N($R70)&gt;AD70*1.01+0.001),"Net terrestrial &gt; gross; ","")&amp;IF(AND(AE70=1,N($S70)&gt;AC70*1.01+0.001),"Net marine &gt; gross; ","")&amp;IF(AE70=0,"No net area – gross used, overlaps may be double-counted; ","")&amp;IF(AH70=0,"STATUS_YR missing – imputed in time series; ","")&amp;IF(AND(ISNUMBER($I70),N($I70)&gt;Setup!$B$6),"STATUS_YR after reporting year; ","")&amp;IF(OR($G70="",$G70="Not Reported"),"GOV_TYPE not reported; ","")&amp;IF(AND(N($J70)=1,$K70="Point",N($M70)&lt;=0),"Coastal point without REP_M_AREA – land/sea split unknown; ","")&amp;IF(AND(N($J70)=0,N($S70)&gt;0),"MARINE=0 but net marine &gt;0; ","")&amp;IF(AND(N($J70)=2,N($R70)&gt;0),"MARINE=2 but net terrestrial &gt;0; ","")&amp;IF($K70="Point","Buffered point – coverage approximate; ","")))</f>
        <v/>
      </c>
    </row>
    <row r="71">
      <c r="A71" s="19" t="n">
        <v>555542678</v>
      </c>
      <c r="B71" s="19" t="inlineStr">
        <is>
          <t>Lac du Barrage de Boughezoul</t>
        </is>
      </c>
      <c r="C71" s="19" t="inlineStr">
        <is>
          <t>Wetland of International Importance (Ramsar Site)</t>
        </is>
      </c>
      <c r="D71" s="19" t="inlineStr">
        <is>
          <t>International</t>
        </is>
      </c>
      <c r="E71" s="19" t="inlineStr">
        <is>
          <t>PA</t>
        </is>
      </c>
      <c r="F71" s="19" t="inlineStr">
        <is>
          <t>Not Reported</t>
        </is>
      </c>
      <c r="G71" s="19" t="inlineStr">
        <is>
          <t>Federal or national ministry or agency</t>
        </is>
      </c>
      <c r="H71" s="19" t="inlineStr">
        <is>
          <t>Designated</t>
        </is>
      </c>
      <c r="I71" s="19" t="n">
        <v>2011</v>
      </c>
      <c r="J71" s="19" t="n">
        <v>0</v>
      </c>
      <c r="K71" s="19" t="inlineStr">
        <is>
          <t>Polygon</t>
        </is>
      </c>
      <c r="L71" s="20" t="n">
        <v>90.58</v>
      </c>
      <c r="M71" s="20" t="n">
        <v>0</v>
      </c>
      <c r="N71" s="20" t="n">
        <v>90.869</v>
      </c>
      <c r="O71" s="20" t="n">
        <v>0</v>
      </c>
      <c r="P71" s="19" t="inlineStr">
        <is>
          <t>N</t>
        </is>
      </c>
      <c r="Q71" s="19" t="n"/>
      <c r="R71" s="20" t="n">
        <v>91.065</v>
      </c>
      <c r="S71" s="20" t="n">
        <v>0</v>
      </c>
      <c r="T71" s="19" t="inlineStr">
        <is>
          <t>N</t>
        </is>
      </c>
      <c r="U71" s="19" t="n"/>
      <c r="V71" s="19" t="n"/>
      <c r="W71" s="19" t="n"/>
      <c r="X71" s="19" t="n"/>
      <c r="Y71" s="19" t="n"/>
      <c r="Z71" s="21">
        <f>IF(AND($A71="",$B71=""),"",IF(OR($E71="",$H71="",$H71="Proposed",$H71="Not Reported"),0,IF(AND($P71="Y",$Q71&lt;&gt;"Y"),0,IF(AND($K71="Point",N($L71)&lt;=0),0,IF(AND(N($L71)&lt;=0,N($N71)&lt;=0,N($R71)+N($S71)&lt;=0),0,1)))))</f>
        <v/>
      </c>
      <c r="AA71" s="21">
        <f>IF(AND($A71="",$B71=""),"",IF($E71="","Site type missing",IF($H71="","STATUS missing",IF($H71="Proposed","STATUS = Proposed",IF($H71="Not Reported","STATUS = Not Reported",IF(AND($P71="Y",$Q71&lt;&gt;"Y"),"UNESCO-MAB Biosphere Reserve",IF(AND($K71="Point",N($L71)&lt;=0),"Point without REP_AREA",IF(AND(N($L71)&lt;=0,N($N71)&lt;=0,N($R71)+N($S71)&lt;=0),"No area information",""))))))))</f>
        <v/>
      </c>
      <c r="AB71" s="22">
        <f>IF(AND($A71="",$B71=""),"",IF($K71="Point",N($L71),IF(N($N71)&gt;0,N($N71),N($L71))))</f>
        <v/>
      </c>
      <c r="AC71" s="22">
        <f>IF(AND($A71="",$B71=""),"",MIN(AB71,IF(N($J71)=0,0,IF(N($J71)=2,AB71,IF(AND($K71&lt;&gt;"Point",N($O71)&gt;0),N($O71),N($M71))))))</f>
        <v/>
      </c>
      <c r="AD71" s="22">
        <f>IF(AND($A71="",$B71=""),"",MAX(0,AB71-AC71))</f>
        <v/>
      </c>
      <c r="AE71" s="21">
        <f>IF(AND($A71="",$B71=""),"",IF(OR($R71&lt;&gt;"",$S71&lt;&gt;""),1,0))</f>
        <v/>
      </c>
      <c r="AF71" s="22">
        <f>IF(AND($A71="",$B71=""),"",IF(Z71=1,IF(AE71=1,N($R71),AD71),0))</f>
        <v/>
      </c>
      <c r="AG71" s="22">
        <f>IF(AND($A71="",$B71=""),"",IF(Z71=1,IF(AE71=1,N($S71),AC71),0))</f>
        <v/>
      </c>
      <c r="AH71" s="21">
        <f>IF(AND($A71="",$B71=""),"",IF(AND(ISNUMBER($I71),N($I71)&gt;0),$I71,0))</f>
        <v/>
      </c>
      <c r="AI71" s="23">
        <f>IF(AND(NOT(AND($A71="",$B71="")),$K71="Point",N($L71)&gt;0),SQRT(N($L71)/PI()),"")</f>
        <v/>
      </c>
      <c r="AJ71" s="21">
        <f>IF(AND($A71="",$B71=""),"",IFERROR(VLOOKUP($G71,Lists!$D$4:$E$15,2,FALSE),"Not reported"))</f>
        <v/>
      </c>
      <c r="AK71" s="21">
        <f>IF(AND($A71="",$B71=""),"",IF($X71&lt;&gt;"",$X71,IF($T71&lt;&gt;"Y","Not assessed",IF(AND(ISNUMBER($V71),Setup!$B$6-$V71&gt;Setup!$B$26),"Assessment outdated",IF(NOT(ISNUMBER($W71)),"Assessed – no score",IF($W71&gt;=Setup!$B$24,"High",IF($W71&gt;=Setup!$B$25,"Moderate","Low")))))))</f>
        <v/>
      </c>
      <c r="AL71" s="21">
        <f>IF(AND($A71="",$B71=""),"",IF(Z71=0,"",IF(AND(AE71=1,N($R71)&gt;AD71*1.01+0.001),"Net terrestrial &gt; gross; ","")&amp;IF(AND(AE71=1,N($S71)&gt;AC71*1.01+0.001),"Net marine &gt; gross; ","")&amp;IF(AE71=0,"No net area – gross used, overlaps may be double-counted; ","")&amp;IF(AH71=0,"STATUS_YR missing – imputed in time series; ","")&amp;IF(AND(ISNUMBER($I71),N($I71)&gt;Setup!$B$6),"STATUS_YR after reporting year; ","")&amp;IF(OR($G71="",$G71="Not Reported"),"GOV_TYPE not reported; ","")&amp;IF(AND(N($J71)=1,$K71="Point",N($M71)&lt;=0),"Coastal point without REP_M_AREA – land/sea split unknown; ","")&amp;IF(AND(N($J71)=0,N($S71)&gt;0),"MARINE=0 but net marine &gt;0; ","")&amp;IF(AND(N($J71)=2,N($R71)&gt;0),"MARINE=2 but net terrestrial &gt;0; ","")&amp;IF($K71="Point","Buffered point – coverage approximate; ","")))</f>
        <v/>
      </c>
    </row>
    <row r="72">
      <c r="A72" s="19" t="n">
        <v>555542680</v>
      </c>
      <c r="B72" s="19" t="inlineStr">
        <is>
          <t>Oum Lâagareb</t>
        </is>
      </c>
      <c r="C72" s="19" t="inlineStr">
        <is>
          <t>Wetland of International Importance (Ramsar Site)</t>
        </is>
      </c>
      <c r="D72" s="19" t="inlineStr">
        <is>
          <t>International</t>
        </is>
      </c>
      <c r="E72" s="19" t="inlineStr">
        <is>
          <t>PA</t>
        </is>
      </c>
      <c r="F72" s="19" t="inlineStr">
        <is>
          <t>Not Reported</t>
        </is>
      </c>
      <c r="G72" s="19" t="inlineStr">
        <is>
          <t>Federal or national ministry or agency</t>
        </is>
      </c>
      <c r="H72" s="19" t="inlineStr">
        <is>
          <t>Designated</t>
        </is>
      </c>
      <c r="I72" s="19" t="n">
        <v>2011</v>
      </c>
      <c r="J72" s="19" t="n">
        <v>0</v>
      </c>
      <c r="K72" s="19" t="inlineStr">
        <is>
          <t>Polygon</t>
        </is>
      </c>
      <c r="L72" s="20" t="n">
        <v>7.29</v>
      </c>
      <c r="M72" s="20" t="n">
        <v>0</v>
      </c>
      <c r="N72" s="20" t="n">
        <v>7.11</v>
      </c>
      <c r="O72" s="20" t="n">
        <v>0</v>
      </c>
      <c r="P72" s="19" t="inlineStr">
        <is>
          <t>N</t>
        </is>
      </c>
      <c r="Q72" s="19" t="n"/>
      <c r="R72" s="20" t="n">
        <v>7.124</v>
      </c>
      <c r="S72" s="20" t="n">
        <v>0</v>
      </c>
      <c r="T72" s="19" t="inlineStr">
        <is>
          <t>N</t>
        </is>
      </c>
      <c r="U72" s="19" t="n"/>
      <c r="V72" s="19" t="n"/>
      <c r="W72" s="19" t="n"/>
      <c r="X72" s="19" t="n"/>
      <c r="Y72" s="19" t="n"/>
      <c r="Z72" s="21">
        <f>IF(AND($A72="",$B72=""),"",IF(OR($E72="",$H72="",$H72="Proposed",$H72="Not Reported"),0,IF(AND($P72="Y",$Q72&lt;&gt;"Y"),0,IF(AND($K72="Point",N($L72)&lt;=0),0,IF(AND(N($L72)&lt;=0,N($N72)&lt;=0,N($R72)+N($S72)&lt;=0),0,1)))))</f>
        <v/>
      </c>
      <c r="AA72" s="21">
        <f>IF(AND($A72="",$B72=""),"",IF($E72="","Site type missing",IF($H72="","STATUS missing",IF($H72="Proposed","STATUS = Proposed",IF($H72="Not Reported","STATUS = Not Reported",IF(AND($P72="Y",$Q72&lt;&gt;"Y"),"UNESCO-MAB Biosphere Reserve",IF(AND($K72="Point",N($L72)&lt;=0),"Point without REP_AREA",IF(AND(N($L72)&lt;=0,N($N72)&lt;=0,N($R72)+N($S72)&lt;=0),"No area information",""))))))))</f>
        <v/>
      </c>
      <c r="AB72" s="22">
        <f>IF(AND($A72="",$B72=""),"",IF($K72="Point",N($L72),IF(N($N72)&gt;0,N($N72),N($L72))))</f>
        <v/>
      </c>
      <c r="AC72" s="22">
        <f>IF(AND($A72="",$B72=""),"",MIN(AB72,IF(N($J72)=0,0,IF(N($J72)=2,AB72,IF(AND($K72&lt;&gt;"Point",N($O72)&gt;0),N($O72),N($M72))))))</f>
        <v/>
      </c>
      <c r="AD72" s="22">
        <f>IF(AND($A72="",$B72=""),"",MAX(0,AB72-AC72))</f>
        <v/>
      </c>
      <c r="AE72" s="21">
        <f>IF(AND($A72="",$B72=""),"",IF(OR($R72&lt;&gt;"",$S72&lt;&gt;""),1,0))</f>
        <v/>
      </c>
      <c r="AF72" s="22">
        <f>IF(AND($A72="",$B72=""),"",IF(Z72=1,IF(AE72=1,N($R72),AD72),0))</f>
        <v/>
      </c>
      <c r="AG72" s="22">
        <f>IF(AND($A72="",$B72=""),"",IF(Z72=1,IF(AE72=1,N($S72),AC72),0))</f>
        <v/>
      </c>
      <c r="AH72" s="21">
        <f>IF(AND($A72="",$B72=""),"",IF(AND(ISNUMBER($I72),N($I72)&gt;0),$I72,0))</f>
        <v/>
      </c>
      <c r="AI72" s="23">
        <f>IF(AND(NOT(AND($A72="",$B72="")),$K72="Point",N($L72)&gt;0),SQRT(N($L72)/PI()),"")</f>
        <v/>
      </c>
      <c r="AJ72" s="21">
        <f>IF(AND($A72="",$B72=""),"",IFERROR(VLOOKUP($G72,Lists!$D$4:$E$15,2,FALSE),"Not reported"))</f>
        <v/>
      </c>
      <c r="AK72" s="21">
        <f>IF(AND($A72="",$B72=""),"",IF($X72&lt;&gt;"",$X72,IF($T72&lt;&gt;"Y","Not assessed",IF(AND(ISNUMBER($V72),Setup!$B$6-$V72&gt;Setup!$B$26),"Assessment outdated",IF(NOT(ISNUMBER($W72)),"Assessed – no score",IF($W72&gt;=Setup!$B$24,"High",IF($W72&gt;=Setup!$B$25,"Moderate","Low")))))))</f>
        <v/>
      </c>
      <c r="AL72" s="21">
        <f>IF(AND($A72="",$B72=""),"",IF(Z72=0,"",IF(AND(AE72=1,N($R72)&gt;AD72*1.01+0.001),"Net terrestrial &gt; gross; ","")&amp;IF(AND(AE72=1,N($S72)&gt;AC72*1.01+0.001),"Net marine &gt; gross; ","")&amp;IF(AE72=0,"No net area – gross used, overlaps may be double-counted; ","")&amp;IF(AH72=0,"STATUS_YR missing – imputed in time series; ","")&amp;IF(AND(ISNUMBER($I72),N($I72)&gt;Setup!$B$6),"STATUS_YR after reporting year; ","")&amp;IF(OR($G72="",$G72="Not Reported"),"GOV_TYPE not reported; ","")&amp;IF(AND(N($J72)=1,$K72="Point",N($M72)&lt;=0),"Coastal point without REP_M_AREA – land/sea split unknown; ","")&amp;IF(AND(N($J72)=0,N($S72)&gt;0),"MARINE=0 but net marine &gt;0; ","")&amp;IF(AND(N($J72)=2,N($R72)&gt;0),"MARINE=2 but net terrestrial &gt;0; ","")&amp;IF($K72="Point","Buffered point – coverage approximate; ","")))</f>
        <v/>
      </c>
    </row>
    <row r="73">
      <c r="A73" s="19" t="n">
        <v>555542733</v>
      </c>
      <c r="B73" s="19" t="inlineStr">
        <is>
          <t>Île de Rachgoun</t>
        </is>
      </c>
      <c r="C73" s="19" t="inlineStr">
        <is>
          <t>Wetland of International Importance (Ramsar Site)</t>
        </is>
      </c>
      <c r="D73" s="19" t="inlineStr">
        <is>
          <t>International</t>
        </is>
      </c>
      <c r="E73" s="19" t="inlineStr">
        <is>
          <t>PA</t>
        </is>
      </c>
      <c r="F73" s="19" t="inlineStr">
        <is>
          <t>Not Reported</t>
        </is>
      </c>
      <c r="G73" s="19" t="inlineStr">
        <is>
          <t>Federal or national ministry or agency</t>
        </is>
      </c>
      <c r="H73" s="19" t="inlineStr">
        <is>
          <t>Designated</t>
        </is>
      </c>
      <c r="I73" s="19" t="n">
        <v>2011</v>
      </c>
      <c r="J73" s="19" t="n">
        <v>2</v>
      </c>
      <c r="K73" s="19" t="inlineStr">
        <is>
          <t>Polygon</t>
        </is>
      </c>
      <c r="L73" s="20" t="n">
        <v>0.66</v>
      </c>
      <c r="M73" s="20" t="n">
        <v>0.33</v>
      </c>
      <c r="N73" s="20" t="n">
        <v>0.618</v>
      </c>
      <c r="O73" s="20" t="n">
        <v>0.572</v>
      </c>
      <c r="P73" s="19" t="inlineStr">
        <is>
          <t>N</t>
        </is>
      </c>
      <c r="Q73" s="19" t="n"/>
      <c r="R73" s="20" t="n">
        <v>0</v>
      </c>
      <c r="S73" s="20" t="n">
        <v>0.619</v>
      </c>
      <c r="T73" s="19" t="inlineStr">
        <is>
          <t>N</t>
        </is>
      </c>
      <c r="U73" s="19" t="n"/>
      <c r="V73" s="19" t="n"/>
      <c r="W73" s="19" t="n"/>
      <c r="X73" s="19" t="n"/>
      <c r="Y73" s="19" t="n"/>
      <c r="Z73" s="21">
        <f>IF(AND($A73="",$B73=""),"",IF(OR($E73="",$H73="",$H73="Proposed",$H73="Not Reported"),0,IF(AND($P73="Y",$Q73&lt;&gt;"Y"),0,IF(AND($K73="Point",N($L73)&lt;=0),0,IF(AND(N($L73)&lt;=0,N($N73)&lt;=0,N($R73)+N($S73)&lt;=0),0,1)))))</f>
        <v/>
      </c>
      <c r="AA73" s="21">
        <f>IF(AND($A73="",$B73=""),"",IF($E73="","Site type missing",IF($H73="","STATUS missing",IF($H73="Proposed","STATUS = Proposed",IF($H73="Not Reported","STATUS = Not Reported",IF(AND($P73="Y",$Q73&lt;&gt;"Y"),"UNESCO-MAB Biosphere Reserve",IF(AND($K73="Point",N($L73)&lt;=0),"Point without REP_AREA",IF(AND(N($L73)&lt;=0,N($N73)&lt;=0,N($R73)+N($S73)&lt;=0),"No area information",""))))))))</f>
        <v/>
      </c>
      <c r="AB73" s="22">
        <f>IF(AND($A73="",$B73=""),"",IF($K73="Point",N($L73),IF(N($N73)&gt;0,N($N73),N($L73))))</f>
        <v/>
      </c>
      <c r="AC73" s="22">
        <f>IF(AND($A73="",$B73=""),"",MIN(AB73,IF(N($J73)=0,0,IF(N($J73)=2,AB73,IF(AND($K73&lt;&gt;"Point",N($O73)&gt;0),N($O73),N($M73))))))</f>
        <v/>
      </c>
      <c r="AD73" s="22">
        <f>IF(AND($A73="",$B73=""),"",MAX(0,AB73-AC73))</f>
        <v/>
      </c>
      <c r="AE73" s="21">
        <f>IF(AND($A73="",$B73=""),"",IF(OR($R73&lt;&gt;"",$S73&lt;&gt;""),1,0))</f>
        <v/>
      </c>
      <c r="AF73" s="22">
        <f>IF(AND($A73="",$B73=""),"",IF(Z73=1,IF(AE73=1,N($R73),AD73),0))</f>
        <v/>
      </c>
      <c r="AG73" s="22">
        <f>IF(AND($A73="",$B73=""),"",IF(Z73=1,IF(AE73=1,N($S73),AC73),0))</f>
        <v/>
      </c>
      <c r="AH73" s="21">
        <f>IF(AND($A73="",$B73=""),"",IF(AND(ISNUMBER($I73),N($I73)&gt;0),$I73,0))</f>
        <v/>
      </c>
      <c r="AI73" s="23">
        <f>IF(AND(NOT(AND($A73="",$B73="")),$K73="Point",N($L73)&gt;0),SQRT(N($L73)/PI()),"")</f>
        <v/>
      </c>
      <c r="AJ73" s="21">
        <f>IF(AND($A73="",$B73=""),"",IFERROR(VLOOKUP($G73,Lists!$D$4:$E$15,2,FALSE),"Not reported"))</f>
        <v/>
      </c>
      <c r="AK73" s="21">
        <f>IF(AND($A73="",$B73=""),"",IF($X73&lt;&gt;"",$X73,IF($T73&lt;&gt;"Y","Not assessed",IF(AND(ISNUMBER($V73),Setup!$B$6-$V73&gt;Setup!$B$26),"Assessment outdated",IF(NOT(ISNUMBER($W73)),"Assessed – no score",IF($W73&gt;=Setup!$B$24,"High",IF($W73&gt;=Setup!$B$25,"Moderate","Low")))))))</f>
        <v/>
      </c>
      <c r="AL73" s="21">
        <f>IF(AND($A73="",$B73=""),"",IF(Z73=0,"",IF(AND(AE73=1,N($R73)&gt;AD73*1.01+0.001),"Net terrestrial &gt; gross; ","")&amp;IF(AND(AE73=1,N($S73)&gt;AC73*1.01+0.001),"Net marine &gt; gross; ","")&amp;IF(AE73=0,"No net area – gross used, overlaps may be double-counted; ","")&amp;IF(AH73=0,"STATUS_YR missing – imputed in time series; ","")&amp;IF(AND(ISNUMBER($I73),N($I73)&gt;Setup!$B$6),"STATUS_YR after reporting year; ","")&amp;IF(OR($G73="",$G73="Not Reported"),"GOV_TYPE not reported; ","")&amp;IF(AND(N($J73)=1,$K73="Point",N($M73)&lt;=0),"Coastal point without REP_M_AREA – land/sea split unknown; ","")&amp;IF(AND(N($J73)=0,N($S73)&gt;0),"MARINE=0 but net marine &gt;0; ","")&amp;IF(AND(N($J73)=2,N($R73)&gt;0),"MARINE=2 but net terrestrial &gt;0; ","")&amp;IF($K73="Point","Buffered point – coverage approximate; ","")))</f>
        <v/>
      </c>
    </row>
    <row r="74">
      <c r="A74" s="19" t="n">
        <v>555698158</v>
      </c>
      <c r="B74" s="19" t="inlineStr">
        <is>
          <t>Belezma</t>
        </is>
      </c>
      <c r="C74" s="19" t="inlineStr">
        <is>
          <t>UNESCO-MAB Biosphere Reserve</t>
        </is>
      </c>
      <c r="D74" s="19" t="inlineStr">
        <is>
          <t>International</t>
        </is>
      </c>
      <c r="E74" s="19" t="inlineStr">
        <is>
          <t>PA</t>
        </is>
      </c>
      <c r="F74" s="19" t="inlineStr">
        <is>
          <t>Not Applicable</t>
        </is>
      </c>
      <c r="G74" s="19" t="inlineStr">
        <is>
          <t>Not Reported</t>
        </is>
      </c>
      <c r="H74" s="19" t="inlineStr">
        <is>
          <t>Designated</t>
        </is>
      </c>
      <c r="I74" s="19" t="n">
        <v>2015</v>
      </c>
      <c r="J74" s="19" t="n">
        <v>0</v>
      </c>
      <c r="K74" s="19" t="inlineStr">
        <is>
          <t>Polygon</t>
        </is>
      </c>
      <c r="L74" s="20" t="n">
        <v>656.7</v>
      </c>
      <c r="M74" s="20" t="n">
        <v>0</v>
      </c>
      <c r="N74" s="20" t="n">
        <v>659.8390000000001</v>
      </c>
      <c r="O74" s="20" t="n">
        <v>0</v>
      </c>
      <c r="P74" s="19" t="inlineStr">
        <is>
          <t>Y</t>
        </is>
      </c>
      <c r="Q74" s="19" t="n"/>
      <c r="R74" s="20" t="n"/>
      <c r="S74" s="20" t="n"/>
      <c r="T74" s="19" t="inlineStr">
        <is>
          <t>N</t>
        </is>
      </c>
      <c r="U74" s="19" t="n"/>
      <c r="V74" s="19" t="n"/>
      <c r="W74" s="19" t="n"/>
      <c r="X74" s="19" t="n"/>
      <c r="Y74" s="19" t="inlineStr">
        <is>
          <t>Excluded in GIS: UNESCO-MAB Biosphere Reserve</t>
        </is>
      </c>
      <c r="Z74" s="21">
        <f>IF(AND($A74="",$B74=""),"",IF(OR($E74="",$H74="",$H74="Proposed",$H74="Not Reported"),0,IF(AND($P74="Y",$Q74&lt;&gt;"Y"),0,IF(AND($K74="Point",N($L74)&lt;=0),0,IF(AND(N($L74)&lt;=0,N($N74)&lt;=0,N($R74)+N($S74)&lt;=0),0,1)))))</f>
        <v/>
      </c>
      <c r="AA74" s="21">
        <f>IF(AND($A74="",$B74=""),"",IF($E74="","Site type missing",IF($H74="","STATUS missing",IF($H74="Proposed","STATUS = Proposed",IF($H74="Not Reported","STATUS = Not Reported",IF(AND($P74="Y",$Q74&lt;&gt;"Y"),"UNESCO-MAB Biosphere Reserve",IF(AND($K74="Point",N($L74)&lt;=0),"Point without REP_AREA",IF(AND(N($L74)&lt;=0,N($N74)&lt;=0,N($R74)+N($S74)&lt;=0),"No area information",""))))))))</f>
        <v/>
      </c>
      <c r="AB74" s="22">
        <f>IF(AND($A74="",$B74=""),"",IF($K74="Point",N($L74),IF(N($N74)&gt;0,N($N74),N($L74))))</f>
        <v/>
      </c>
      <c r="AC74" s="22">
        <f>IF(AND($A74="",$B74=""),"",MIN(AB74,IF(N($J74)=0,0,IF(N($J74)=2,AB74,IF(AND($K74&lt;&gt;"Point",N($O74)&gt;0),N($O74),N($M74))))))</f>
        <v/>
      </c>
      <c r="AD74" s="22">
        <f>IF(AND($A74="",$B74=""),"",MAX(0,AB74-AC74))</f>
        <v/>
      </c>
      <c r="AE74" s="21">
        <f>IF(AND($A74="",$B74=""),"",IF(OR($R74&lt;&gt;"",$S74&lt;&gt;""),1,0))</f>
        <v/>
      </c>
      <c r="AF74" s="22">
        <f>IF(AND($A74="",$B74=""),"",IF(Z74=1,IF(AE74=1,N($R74),AD74),0))</f>
        <v/>
      </c>
      <c r="AG74" s="22">
        <f>IF(AND($A74="",$B74=""),"",IF(Z74=1,IF(AE74=1,N($S74),AC74),0))</f>
        <v/>
      </c>
      <c r="AH74" s="21">
        <f>IF(AND($A74="",$B74=""),"",IF(AND(ISNUMBER($I74),N($I74)&gt;0),$I74,0))</f>
        <v/>
      </c>
      <c r="AI74" s="23">
        <f>IF(AND(NOT(AND($A74="",$B74="")),$K74="Point",N($L74)&gt;0),SQRT(N($L74)/PI()),"")</f>
        <v/>
      </c>
      <c r="AJ74" s="21">
        <f>IF(AND($A74="",$B74=""),"",IFERROR(VLOOKUP($G74,Lists!$D$4:$E$15,2,FALSE),"Not reported"))</f>
        <v/>
      </c>
      <c r="AK74" s="21">
        <f>IF(AND($A74="",$B74=""),"",IF($X74&lt;&gt;"",$X74,IF($T74&lt;&gt;"Y","Not assessed",IF(AND(ISNUMBER($V74),Setup!$B$6-$V74&gt;Setup!$B$26),"Assessment outdated",IF(NOT(ISNUMBER($W74)),"Assessed – no score",IF($W74&gt;=Setup!$B$24,"High",IF($W74&gt;=Setup!$B$25,"Moderate","Low")))))))</f>
        <v/>
      </c>
      <c r="AL74" s="21">
        <f>IF(AND($A74="",$B74=""),"",IF(Z74=0,"",IF(AND(AE74=1,N($R74)&gt;AD74*1.01+0.001),"Net terrestrial &gt; gross; ","")&amp;IF(AND(AE74=1,N($S74)&gt;AC74*1.01+0.001),"Net marine &gt; gross; ","")&amp;IF(AE74=0,"No net area – gross used, overlaps may be double-counted; ","")&amp;IF(AH74=0,"STATUS_YR missing – imputed in time series; ","")&amp;IF(AND(ISNUMBER($I74),N($I74)&gt;Setup!$B$6),"STATUS_YR after reporting year; ","")&amp;IF(OR($G74="",$G74="Not Reported"),"GOV_TYPE not reported; ","")&amp;IF(AND(N($J74)=1,$K74="Point",N($M74)&lt;=0),"Coastal point without REP_M_AREA – land/sea split unknown; ","")&amp;IF(AND(N($J74)=0,N($S74)&gt;0),"MARINE=0 but net marine &gt;0; ","")&amp;IF(AND(N($J74)=2,N($R74)&gt;0),"MARINE=2 but net terrestrial &gt;0; ","")&amp;IF($K74="Point","Buffered point – coverage approximate; ","")))</f>
        <v/>
      </c>
    </row>
    <row r="75">
      <c r="A75" s="19" t="n">
        <v>555698156</v>
      </c>
      <c r="B75" s="19" t="inlineStr">
        <is>
          <t>Tlemcen</t>
        </is>
      </c>
      <c r="C75" s="19" t="inlineStr">
        <is>
          <t>UNESCO-MAB Biosphere Reserve</t>
        </is>
      </c>
      <c r="D75" s="19" t="inlineStr">
        <is>
          <t>International</t>
        </is>
      </c>
      <c r="E75" s="19" t="inlineStr">
        <is>
          <t>PA</t>
        </is>
      </c>
      <c r="F75" s="19" t="inlineStr">
        <is>
          <t>Not Applicable</t>
        </is>
      </c>
      <c r="G75" s="19" t="inlineStr">
        <is>
          <t>Not Reported</t>
        </is>
      </c>
      <c r="H75" s="19" t="inlineStr">
        <is>
          <t>Designated</t>
        </is>
      </c>
      <c r="I75" s="19" t="n">
        <v>2016</v>
      </c>
      <c r="J75" s="19" t="n">
        <v>0</v>
      </c>
      <c r="K75" s="19" t="inlineStr">
        <is>
          <t>Polygon</t>
        </is>
      </c>
      <c r="L75" s="20" t="n">
        <v>985.321</v>
      </c>
      <c r="M75" s="20" t="n">
        <v>0</v>
      </c>
      <c r="N75" s="20" t="n">
        <v>1064.376</v>
      </c>
      <c r="O75" s="20" t="n">
        <v>0</v>
      </c>
      <c r="P75" s="19" t="inlineStr">
        <is>
          <t>Y</t>
        </is>
      </c>
      <c r="Q75" s="19" t="n"/>
      <c r="R75" s="20" t="n"/>
      <c r="S75" s="20" t="n"/>
      <c r="T75" s="19" t="inlineStr">
        <is>
          <t>N</t>
        </is>
      </c>
      <c r="U75" s="19" t="n"/>
      <c r="V75" s="19" t="n"/>
      <c r="W75" s="19" t="n"/>
      <c r="X75" s="19" t="n"/>
      <c r="Y75" s="19" t="inlineStr">
        <is>
          <t>Excluded in GIS: UNESCO-MAB Biosphere Reserve</t>
        </is>
      </c>
      <c r="Z75" s="21">
        <f>IF(AND($A75="",$B75=""),"",IF(OR($E75="",$H75="",$H75="Proposed",$H75="Not Reported"),0,IF(AND($P75="Y",$Q75&lt;&gt;"Y"),0,IF(AND($K75="Point",N($L75)&lt;=0),0,IF(AND(N($L75)&lt;=0,N($N75)&lt;=0,N($R75)+N($S75)&lt;=0),0,1)))))</f>
        <v/>
      </c>
      <c r="AA75" s="21">
        <f>IF(AND($A75="",$B75=""),"",IF($E75="","Site type missing",IF($H75="","STATUS missing",IF($H75="Proposed","STATUS = Proposed",IF($H75="Not Reported","STATUS = Not Reported",IF(AND($P75="Y",$Q75&lt;&gt;"Y"),"UNESCO-MAB Biosphere Reserve",IF(AND($K75="Point",N($L75)&lt;=0),"Point without REP_AREA",IF(AND(N($L75)&lt;=0,N($N75)&lt;=0,N($R75)+N($S75)&lt;=0),"No area information",""))))))))</f>
        <v/>
      </c>
      <c r="AB75" s="22">
        <f>IF(AND($A75="",$B75=""),"",IF($K75="Point",N($L75),IF(N($N75)&gt;0,N($N75),N($L75))))</f>
        <v/>
      </c>
      <c r="AC75" s="22">
        <f>IF(AND($A75="",$B75=""),"",MIN(AB75,IF(N($J75)=0,0,IF(N($J75)=2,AB75,IF(AND($K75&lt;&gt;"Point",N($O75)&gt;0),N($O75),N($M75))))))</f>
        <v/>
      </c>
      <c r="AD75" s="22">
        <f>IF(AND($A75="",$B75=""),"",MAX(0,AB75-AC75))</f>
        <v/>
      </c>
      <c r="AE75" s="21">
        <f>IF(AND($A75="",$B75=""),"",IF(OR($R75&lt;&gt;"",$S75&lt;&gt;""),1,0))</f>
        <v/>
      </c>
      <c r="AF75" s="22">
        <f>IF(AND($A75="",$B75=""),"",IF(Z75=1,IF(AE75=1,N($R75),AD75),0))</f>
        <v/>
      </c>
      <c r="AG75" s="22">
        <f>IF(AND($A75="",$B75=""),"",IF(Z75=1,IF(AE75=1,N($S75),AC75),0))</f>
        <v/>
      </c>
      <c r="AH75" s="21">
        <f>IF(AND($A75="",$B75=""),"",IF(AND(ISNUMBER($I75),N($I75)&gt;0),$I75,0))</f>
        <v/>
      </c>
      <c r="AI75" s="23">
        <f>IF(AND(NOT(AND($A75="",$B75="")),$K75="Point",N($L75)&gt;0),SQRT(N($L75)/PI()),"")</f>
        <v/>
      </c>
      <c r="AJ75" s="21">
        <f>IF(AND($A75="",$B75=""),"",IFERROR(VLOOKUP($G75,Lists!$D$4:$E$15,2,FALSE),"Not reported"))</f>
        <v/>
      </c>
      <c r="AK75" s="21">
        <f>IF(AND($A75="",$B75=""),"",IF($X75&lt;&gt;"",$X75,IF($T75&lt;&gt;"Y","Not assessed",IF(AND(ISNUMBER($V75),Setup!$B$6-$V75&gt;Setup!$B$26),"Assessment outdated",IF(NOT(ISNUMBER($W75)),"Assessed – no score",IF($W75&gt;=Setup!$B$24,"High",IF($W75&gt;=Setup!$B$25,"Moderate","Low")))))))</f>
        <v/>
      </c>
      <c r="AL75" s="21">
        <f>IF(AND($A75="",$B75=""),"",IF(Z75=0,"",IF(AND(AE75=1,N($R75)&gt;AD75*1.01+0.001),"Net terrestrial &gt; gross; ","")&amp;IF(AND(AE75=1,N($S75)&gt;AC75*1.01+0.001),"Net marine &gt; gross; ","")&amp;IF(AE75=0,"No net area – gross used, overlaps may be double-counted; ","")&amp;IF(AH75=0,"STATUS_YR missing – imputed in time series; ","")&amp;IF(AND(ISNUMBER($I75),N($I75)&gt;Setup!$B$6),"STATUS_YR after reporting year; ","")&amp;IF(OR($G75="",$G75="Not Reported"),"GOV_TYPE not reported; ","")&amp;IF(AND(N($J75)=1,$K75="Point",N($M75)&lt;=0),"Coastal point without REP_M_AREA – land/sea split unknown; ","")&amp;IF(AND(N($J75)=0,N($S75)&gt;0),"MARINE=0 but net marine &gt;0; ","")&amp;IF(AND(N($J75)=2,N($R75)&gt;0),"MARINE=2 but net terrestrial &gt;0; ","")&amp;IF($K75="Point","Buffered point – coverage approximate; ","")))</f>
        <v/>
      </c>
    </row>
    <row r="76">
      <c r="A76" s="19" t="n">
        <v>555698157</v>
      </c>
      <c r="B76" s="19" t="inlineStr">
        <is>
          <t>Reserve Naturelle de Cap Lindles</t>
        </is>
      </c>
      <c r="C76" s="19" t="inlineStr">
        <is>
          <t>Nature Reserve</t>
        </is>
      </c>
      <c r="D76" s="19" t="inlineStr">
        <is>
          <t>National</t>
        </is>
      </c>
      <c r="E76" s="19" t="inlineStr">
        <is>
          <t>PA</t>
        </is>
      </c>
      <c r="F76" s="19" t="inlineStr">
        <is>
          <t>Ia</t>
        </is>
      </c>
      <c r="G76" s="19" t="inlineStr">
        <is>
          <t>Federal or national ministry or agency</t>
        </is>
      </c>
      <c r="H76" s="19" t="inlineStr">
        <is>
          <t>Designated</t>
        </is>
      </c>
      <c r="I76" s="19" t="n">
        <v>2019</v>
      </c>
      <c r="J76" s="19" t="n">
        <v>1</v>
      </c>
      <c r="K76" s="19" t="inlineStr">
        <is>
          <t>Polygon</t>
        </is>
      </c>
      <c r="L76" s="20" t="n">
        <v>59.15</v>
      </c>
      <c r="M76" s="20" t="n">
        <v>0</v>
      </c>
      <c r="N76" s="20" t="n">
        <v>59.005</v>
      </c>
      <c r="O76" s="20" t="n">
        <v>43.197</v>
      </c>
      <c r="P76" s="19" t="inlineStr">
        <is>
          <t>N</t>
        </is>
      </c>
      <c r="Q76" s="19" t="n"/>
      <c r="R76" s="20" t="n">
        <v>16.287</v>
      </c>
      <c r="S76" s="20" t="n">
        <v>42.846</v>
      </c>
      <c r="T76" s="19" t="inlineStr">
        <is>
          <t>N</t>
        </is>
      </c>
      <c r="U76" s="19" t="n"/>
      <c r="V76" s="19" t="n"/>
      <c r="W76" s="19" t="n"/>
      <c r="X76" s="19" t="n"/>
      <c r="Y76" s="19" t="n"/>
      <c r="Z76" s="21">
        <f>IF(AND($A76="",$B76=""),"",IF(OR($E76="",$H76="",$H76="Proposed",$H76="Not Reported"),0,IF(AND($P76="Y",$Q76&lt;&gt;"Y"),0,IF(AND($K76="Point",N($L76)&lt;=0),0,IF(AND(N($L76)&lt;=0,N($N76)&lt;=0,N($R76)+N($S76)&lt;=0),0,1)))))</f>
        <v/>
      </c>
      <c r="AA76" s="21">
        <f>IF(AND($A76="",$B76=""),"",IF($E76="","Site type missing",IF($H76="","STATUS missing",IF($H76="Proposed","STATUS = Proposed",IF($H76="Not Reported","STATUS = Not Reported",IF(AND($P76="Y",$Q76&lt;&gt;"Y"),"UNESCO-MAB Biosphere Reserve",IF(AND($K76="Point",N($L76)&lt;=0),"Point without REP_AREA",IF(AND(N($L76)&lt;=0,N($N76)&lt;=0,N($R76)+N($S76)&lt;=0),"No area information",""))))))))</f>
        <v/>
      </c>
      <c r="AB76" s="22">
        <f>IF(AND($A76="",$B76=""),"",IF($K76="Point",N($L76),IF(N($N76)&gt;0,N($N76),N($L76))))</f>
        <v/>
      </c>
      <c r="AC76" s="22">
        <f>IF(AND($A76="",$B76=""),"",MIN(AB76,IF(N($J76)=0,0,IF(N($J76)=2,AB76,IF(AND($K76&lt;&gt;"Point",N($O76)&gt;0),N($O76),N($M76))))))</f>
        <v/>
      </c>
      <c r="AD76" s="22">
        <f>IF(AND($A76="",$B76=""),"",MAX(0,AB76-AC76))</f>
        <v/>
      </c>
      <c r="AE76" s="21">
        <f>IF(AND($A76="",$B76=""),"",IF(OR($R76&lt;&gt;"",$S76&lt;&gt;""),1,0))</f>
        <v/>
      </c>
      <c r="AF76" s="22">
        <f>IF(AND($A76="",$B76=""),"",IF(Z76=1,IF(AE76=1,N($R76),AD76),0))</f>
        <v/>
      </c>
      <c r="AG76" s="22">
        <f>IF(AND($A76="",$B76=""),"",IF(Z76=1,IF(AE76=1,N($S76),AC76),0))</f>
        <v/>
      </c>
      <c r="AH76" s="21">
        <f>IF(AND($A76="",$B76=""),"",IF(AND(ISNUMBER($I76),N($I76)&gt;0),$I76,0))</f>
        <v/>
      </c>
      <c r="AI76" s="23">
        <f>IF(AND(NOT(AND($A76="",$B76="")),$K76="Point",N($L76)&gt;0),SQRT(N($L76)/PI()),"")</f>
        <v/>
      </c>
      <c r="AJ76" s="21">
        <f>IF(AND($A76="",$B76=""),"",IFERROR(VLOOKUP($G76,Lists!$D$4:$E$15,2,FALSE),"Not reported"))</f>
        <v/>
      </c>
      <c r="AK76" s="21">
        <f>IF(AND($A76="",$B76=""),"",IF($X76&lt;&gt;"",$X76,IF($T76&lt;&gt;"Y","Not assessed",IF(AND(ISNUMBER($V76),Setup!$B$6-$V76&gt;Setup!$B$26),"Assessment outdated",IF(NOT(ISNUMBER($W76)),"Assessed – no score",IF($W76&gt;=Setup!$B$24,"High",IF($W76&gt;=Setup!$B$25,"Moderate","Low")))))))</f>
        <v/>
      </c>
      <c r="AL76" s="21">
        <f>IF(AND($A76="",$B76=""),"",IF(Z76=0,"",IF(AND(AE76=1,N($R76)&gt;AD76*1.01+0.001),"Net terrestrial &gt; gross; ","")&amp;IF(AND(AE76=1,N($S76)&gt;AC76*1.01+0.001),"Net marine &gt; gross; ","")&amp;IF(AE76=0,"No net area – gross used, overlaps may be double-counted; ","")&amp;IF(AH76=0,"STATUS_YR missing – imputed in time series; ","")&amp;IF(AND(ISNUMBER($I76),N($I76)&gt;Setup!$B$6),"STATUS_YR after reporting year; ","")&amp;IF(OR($G76="",$G76="Not Reported"),"GOV_TYPE not reported; ","")&amp;IF(AND(N($J76)=1,$K76="Point",N($M76)&lt;=0),"Coastal point without REP_M_AREA – land/sea split unknown; ","")&amp;IF(AND(N($J76)=0,N($S76)&gt;0),"MARINE=0 but net marine &gt;0; ","")&amp;IF(AND(N($J76)=2,N($R76)&gt;0),"MARINE=2 but net terrestrial &gt;0; ","")&amp;IF($K76="Point","Buffered point – coverage approximate; ","")))</f>
        <v/>
      </c>
    </row>
    <row r="77">
      <c r="A77" s="19" t="n">
        <v>555698159</v>
      </c>
      <c r="B77" s="19" t="inlineStr">
        <is>
          <t>Babor-Tababort</t>
        </is>
      </c>
      <c r="C77" s="19" t="inlineStr">
        <is>
          <t>National Park</t>
        </is>
      </c>
      <c r="D77" s="19" t="inlineStr">
        <is>
          <t>National</t>
        </is>
      </c>
      <c r="E77" s="19" t="inlineStr">
        <is>
          <t>PA</t>
        </is>
      </c>
      <c r="F77" s="19" t="inlineStr">
        <is>
          <t>II</t>
        </is>
      </c>
      <c r="G77" s="19" t="inlineStr">
        <is>
          <t>Federal or national ministry or agency</t>
        </is>
      </c>
      <c r="H77" s="19" t="inlineStr">
        <is>
          <t>Designated</t>
        </is>
      </c>
      <c r="I77" s="19" t="n">
        <v>2019</v>
      </c>
      <c r="J77" s="19" t="n">
        <v>0</v>
      </c>
      <c r="K77" s="19" t="inlineStr">
        <is>
          <t>Polygon</t>
        </is>
      </c>
      <c r="L77" s="20" t="n">
        <v>236.56</v>
      </c>
      <c r="M77" s="20" t="n">
        <v>0</v>
      </c>
      <c r="N77" s="20" t="n">
        <v>234.718</v>
      </c>
      <c r="O77" s="20" t="n">
        <v>0</v>
      </c>
      <c r="P77" s="19" t="inlineStr">
        <is>
          <t>N</t>
        </is>
      </c>
      <c r="Q77" s="19" t="n"/>
      <c r="R77" s="20" t="n">
        <v>235.18</v>
      </c>
      <c r="S77" s="20" t="n">
        <v>0</v>
      </c>
      <c r="T77" s="19" t="inlineStr">
        <is>
          <t>Y</t>
        </is>
      </c>
      <c r="U77" s="19" t="inlineStr">
        <is>
          <t>METT</t>
        </is>
      </c>
      <c r="V77" s="19" t="n">
        <v>2014</v>
      </c>
      <c r="W77" s="19" t="n"/>
      <c r="X77" s="19" t="n"/>
      <c r="Y77" s="19" t="inlineStr">
        <is>
          <t>GD-PAME: Management Effectiveness Tracking Tool (METT) 2014</t>
        </is>
      </c>
      <c r="Z77" s="21">
        <f>IF(AND($A77="",$B77=""),"",IF(OR($E77="",$H77="",$H77="Proposed",$H77="Not Reported"),0,IF(AND($P77="Y",$Q77&lt;&gt;"Y"),0,IF(AND($K77="Point",N($L77)&lt;=0),0,IF(AND(N($L77)&lt;=0,N($N77)&lt;=0,N($R77)+N($S77)&lt;=0),0,1)))))</f>
        <v/>
      </c>
      <c r="AA77" s="21">
        <f>IF(AND($A77="",$B77=""),"",IF($E77="","Site type missing",IF($H77="","STATUS missing",IF($H77="Proposed","STATUS = Proposed",IF($H77="Not Reported","STATUS = Not Reported",IF(AND($P77="Y",$Q77&lt;&gt;"Y"),"UNESCO-MAB Biosphere Reserve",IF(AND($K77="Point",N($L77)&lt;=0),"Point without REP_AREA",IF(AND(N($L77)&lt;=0,N($N77)&lt;=0,N($R77)+N($S77)&lt;=0),"No area information",""))))))))</f>
        <v/>
      </c>
      <c r="AB77" s="22">
        <f>IF(AND($A77="",$B77=""),"",IF($K77="Point",N($L77),IF(N($N77)&gt;0,N($N77),N($L77))))</f>
        <v/>
      </c>
      <c r="AC77" s="22">
        <f>IF(AND($A77="",$B77=""),"",MIN(AB77,IF(N($J77)=0,0,IF(N($J77)=2,AB77,IF(AND($K77&lt;&gt;"Point",N($O77)&gt;0),N($O77),N($M77))))))</f>
        <v/>
      </c>
      <c r="AD77" s="22">
        <f>IF(AND($A77="",$B77=""),"",MAX(0,AB77-AC77))</f>
        <v/>
      </c>
      <c r="AE77" s="21">
        <f>IF(AND($A77="",$B77=""),"",IF(OR($R77&lt;&gt;"",$S77&lt;&gt;""),1,0))</f>
        <v/>
      </c>
      <c r="AF77" s="22">
        <f>IF(AND($A77="",$B77=""),"",IF(Z77=1,IF(AE77=1,N($R77),AD77),0))</f>
        <v/>
      </c>
      <c r="AG77" s="22">
        <f>IF(AND($A77="",$B77=""),"",IF(Z77=1,IF(AE77=1,N($S77),AC77),0))</f>
        <v/>
      </c>
      <c r="AH77" s="21">
        <f>IF(AND($A77="",$B77=""),"",IF(AND(ISNUMBER($I77),N($I77)&gt;0),$I77,0))</f>
        <v/>
      </c>
      <c r="AI77" s="23">
        <f>IF(AND(NOT(AND($A77="",$B77="")),$K77="Point",N($L77)&gt;0),SQRT(N($L77)/PI()),"")</f>
        <v/>
      </c>
      <c r="AJ77" s="21">
        <f>IF(AND($A77="",$B77=""),"",IFERROR(VLOOKUP($G77,Lists!$D$4:$E$15,2,FALSE),"Not reported"))</f>
        <v/>
      </c>
      <c r="AK77" s="21">
        <f>IF(AND($A77="",$B77=""),"",IF($X77&lt;&gt;"",$X77,IF($T77&lt;&gt;"Y","Not assessed",IF(AND(ISNUMBER($V77),Setup!$B$6-$V77&gt;Setup!$B$26),"Assessment outdated",IF(NOT(ISNUMBER($W77)),"Assessed – no score",IF($W77&gt;=Setup!$B$24,"High",IF($W77&gt;=Setup!$B$25,"Moderate","Low")))))))</f>
        <v/>
      </c>
      <c r="AL77" s="21">
        <f>IF(AND($A77="",$B77=""),"",IF(Z77=0,"",IF(AND(AE77=1,N($R77)&gt;AD77*1.01+0.001),"Net terrestrial &gt; gross; ","")&amp;IF(AND(AE77=1,N($S77)&gt;AC77*1.01+0.001),"Net marine &gt; gross; ","")&amp;IF(AE77=0,"No net area – gross used, overlaps may be double-counted; ","")&amp;IF(AH77=0,"STATUS_YR missing – imputed in time series; ","")&amp;IF(AND(ISNUMBER($I77),N($I77)&gt;Setup!$B$6),"STATUS_YR after reporting year; ","")&amp;IF(OR($G77="",$G77="Not Reported"),"GOV_TYPE not reported; ","")&amp;IF(AND(N($J77)=1,$K77="Point",N($M77)&lt;=0),"Coastal point without REP_M_AREA – land/sea split unknown; ","")&amp;IF(AND(N($J77)=0,N($S77)&gt;0),"MARINE=0 but net marine &gt;0; ","")&amp;IF(AND(N($J77)=2,N($R77)&gt;0),"MARINE=2 but net terrestrial &gt;0; ","")&amp;IF($K77="Point","Buffered point – coverage approximate; ","")))</f>
        <v/>
      </c>
    </row>
    <row r="78">
      <c r="A78" s="19" t="n">
        <v>12352</v>
      </c>
      <c r="B78" s="19" t="inlineStr">
        <is>
          <t>Tassili N'Ajjer</t>
        </is>
      </c>
      <c r="C78" s="19" t="inlineStr">
        <is>
          <t>Cultural Park</t>
        </is>
      </c>
      <c r="D78" s="19" t="inlineStr">
        <is>
          <t>National</t>
        </is>
      </c>
      <c r="E78" s="19" t="inlineStr">
        <is>
          <t>OECM</t>
        </is>
      </c>
      <c r="F78" s="19" t="inlineStr">
        <is>
          <t>Not Applicable</t>
        </is>
      </c>
      <c r="G78" s="19" t="inlineStr">
        <is>
          <t>Federal or national ministry or agency</t>
        </is>
      </c>
      <c r="H78" s="19" t="inlineStr">
        <is>
          <t>Designated</t>
        </is>
      </c>
      <c r="I78" s="19" t="n">
        <v>1972</v>
      </c>
      <c r="J78" s="19" t="n">
        <v>0</v>
      </c>
      <c r="K78" s="19" t="inlineStr">
        <is>
          <t>Polygon</t>
        </is>
      </c>
      <c r="L78" s="20" t="n">
        <v>138000</v>
      </c>
      <c r="M78" s="20" t="n">
        <v>0</v>
      </c>
      <c r="N78" s="20" t="n">
        <v>138159.922</v>
      </c>
      <c r="O78" s="20" t="n">
        <v>0</v>
      </c>
      <c r="P78" s="19" t="inlineStr">
        <is>
          <t>N</t>
        </is>
      </c>
      <c r="Q78" s="19" t="n"/>
      <c r="R78" s="20" t="n">
        <v>63128.096</v>
      </c>
      <c r="S78" s="20" t="n">
        <v>0</v>
      </c>
      <c r="T78" s="19" t="inlineStr">
        <is>
          <t>Y</t>
        </is>
      </c>
      <c r="U78" s="19" t="inlineStr">
        <is>
          <t>Other</t>
        </is>
      </c>
      <c r="V78" s="19" t="n">
        <v>2001</v>
      </c>
      <c r="W78" s="19" t="n"/>
      <c r="X78" s="19" t="n"/>
      <c r="Y78" s="19" t="inlineStr">
        <is>
          <t>GD-PAME: Birdlife Important Bird and Biodiversity Area Monitoring (Birdlife IBA) 2001; PA area erased from OECM</t>
        </is>
      </c>
      <c r="Z78" s="21">
        <f>IF(AND($A78="",$B78=""),"",IF(OR($E78="",$H78="",$H78="Proposed",$H78="Not Reported"),0,IF(AND($P78="Y",$Q78&lt;&gt;"Y"),0,IF(AND($K78="Point",N($L78)&lt;=0),0,IF(AND(N($L78)&lt;=0,N($N78)&lt;=0,N($R78)+N($S78)&lt;=0),0,1)))))</f>
        <v/>
      </c>
      <c r="AA78" s="21">
        <f>IF(AND($A78="",$B78=""),"",IF($E78="","Site type missing",IF($H78="","STATUS missing",IF($H78="Proposed","STATUS = Proposed",IF($H78="Not Reported","STATUS = Not Reported",IF(AND($P78="Y",$Q78&lt;&gt;"Y"),"UNESCO-MAB Biosphere Reserve",IF(AND($K78="Point",N($L78)&lt;=0),"Point without REP_AREA",IF(AND(N($L78)&lt;=0,N($N78)&lt;=0,N($R78)+N($S78)&lt;=0),"No area information",""))))))))</f>
        <v/>
      </c>
      <c r="AB78" s="22">
        <f>IF(AND($A78="",$B78=""),"",IF($K78="Point",N($L78),IF(N($N78)&gt;0,N($N78),N($L78))))</f>
        <v/>
      </c>
      <c r="AC78" s="22">
        <f>IF(AND($A78="",$B78=""),"",MIN(AB78,IF(N($J78)=0,0,IF(N($J78)=2,AB78,IF(AND($K78&lt;&gt;"Point",N($O78)&gt;0),N($O78),N($M78))))))</f>
        <v/>
      </c>
      <c r="AD78" s="22">
        <f>IF(AND($A78="",$B78=""),"",MAX(0,AB78-AC78))</f>
        <v/>
      </c>
      <c r="AE78" s="21">
        <f>IF(AND($A78="",$B78=""),"",IF(OR($R78&lt;&gt;"",$S78&lt;&gt;""),1,0))</f>
        <v/>
      </c>
      <c r="AF78" s="22">
        <f>IF(AND($A78="",$B78=""),"",IF(Z78=1,IF(AE78=1,N($R78),AD78),0))</f>
        <v/>
      </c>
      <c r="AG78" s="22">
        <f>IF(AND($A78="",$B78=""),"",IF(Z78=1,IF(AE78=1,N($S78),AC78),0))</f>
        <v/>
      </c>
      <c r="AH78" s="21">
        <f>IF(AND($A78="",$B78=""),"",IF(AND(ISNUMBER($I78),N($I78)&gt;0),$I78,0))</f>
        <v/>
      </c>
      <c r="AI78" s="23">
        <f>IF(AND(NOT(AND($A78="",$B78="")),$K78="Point",N($L78)&gt;0),SQRT(N($L78)/PI()),"")</f>
        <v/>
      </c>
      <c r="AJ78" s="21">
        <f>IF(AND($A78="",$B78=""),"",IFERROR(VLOOKUP($G78,Lists!$D$4:$E$15,2,FALSE),"Not reported"))</f>
        <v/>
      </c>
      <c r="AK78" s="21">
        <f>IF(AND($A78="",$B78=""),"",IF($X78&lt;&gt;"",$X78,IF($T78&lt;&gt;"Y","Not assessed",IF(AND(ISNUMBER($V78),Setup!$B$6-$V78&gt;Setup!$B$26),"Assessment outdated",IF(NOT(ISNUMBER($W78)),"Assessed – no score",IF($W78&gt;=Setup!$B$24,"High",IF($W78&gt;=Setup!$B$25,"Moderate","Low")))))))</f>
        <v/>
      </c>
      <c r="AL78" s="21">
        <f>IF(AND($A78="",$B78=""),"",IF(Z78=0,"",IF(AND(AE78=1,N($R78)&gt;AD78*1.01+0.001),"Net terrestrial &gt; gross; ","")&amp;IF(AND(AE78=1,N($S78)&gt;AC78*1.01+0.001),"Net marine &gt; gross; ","")&amp;IF(AE78=0,"No net area – gross used, overlaps may be double-counted; ","")&amp;IF(AH78=0,"STATUS_YR missing – imputed in time series; ","")&amp;IF(AND(ISNUMBER($I78),N($I78)&gt;Setup!$B$6),"STATUS_YR after reporting year; ","")&amp;IF(OR($G78="",$G78="Not Reported"),"GOV_TYPE not reported; ","")&amp;IF(AND(N($J78)=1,$K78="Point",N($M78)&lt;=0),"Coastal point without REP_M_AREA – land/sea split unknown; ","")&amp;IF(AND(N($J78)=0,N($S78)&gt;0),"MARINE=0 but net marine &gt;0; ","")&amp;IF(AND(N($J78)=2,N($R78)&gt;0),"MARINE=2 but net terrestrial &gt;0; ","")&amp;IF($K78="Point","Buffered point – coverage approximate; ","")))</f>
        <v/>
      </c>
    </row>
    <row r="79">
      <c r="A79" s="19" t="n">
        <v>23177</v>
      </c>
      <c r="B79" s="19" t="inlineStr">
        <is>
          <t>Ahaggar</t>
        </is>
      </c>
      <c r="C79" s="19" t="inlineStr">
        <is>
          <t>Cultural Park</t>
        </is>
      </c>
      <c r="D79" s="19" t="inlineStr">
        <is>
          <t>National</t>
        </is>
      </c>
      <c r="E79" s="19" t="inlineStr">
        <is>
          <t>OECM</t>
        </is>
      </c>
      <c r="F79" s="19" t="inlineStr">
        <is>
          <t>Not Applicable</t>
        </is>
      </c>
      <c r="G79" s="19" t="inlineStr">
        <is>
          <t>Federal or national ministry or agency</t>
        </is>
      </c>
      <c r="H79" s="19" t="inlineStr">
        <is>
          <t>Designated</t>
        </is>
      </c>
      <c r="I79" s="19" t="n">
        <v>1987</v>
      </c>
      <c r="J79" s="19" t="n">
        <v>0</v>
      </c>
      <c r="K79" s="19" t="inlineStr">
        <is>
          <t>Polygon</t>
        </is>
      </c>
      <c r="L79" s="20" t="n">
        <v>633887</v>
      </c>
      <c r="M79" s="20" t="n">
        <v>0</v>
      </c>
      <c r="N79" s="20" t="n">
        <v>542178.8100000001</v>
      </c>
      <c r="O79" s="20" t="n">
        <v>0</v>
      </c>
      <c r="P79" s="19" t="inlineStr">
        <is>
          <t>N</t>
        </is>
      </c>
      <c r="Q79" s="19" t="n"/>
      <c r="R79" s="20" t="n">
        <v>542775.409</v>
      </c>
      <c r="S79" s="20" t="n">
        <v>0</v>
      </c>
      <c r="T79" s="19" t="inlineStr">
        <is>
          <t>Y</t>
        </is>
      </c>
      <c r="U79" s="19" t="inlineStr">
        <is>
          <t>METT</t>
        </is>
      </c>
      <c r="V79" s="19" t="n">
        <v>2011</v>
      </c>
      <c r="W79" s="19" t="n"/>
      <c r="X79" s="19" t="n"/>
      <c r="Y79" s="19" t="inlineStr">
        <is>
          <t>GD-PAME: Management Effectiveness Tracking Tool (METT) 2011; Birdlife Important Bird and Biodiversity Area Monitoring (Birdlife IBA) 2001</t>
        </is>
      </c>
      <c r="Z79" s="21">
        <f>IF(AND($A79="",$B79=""),"",IF(OR($E79="",$H79="",$H79="Proposed",$H79="Not Reported"),0,IF(AND($P79="Y",$Q79&lt;&gt;"Y"),0,IF(AND($K79="Point",N($L79)&lt;=0),0,IF(AND(N($L79)&lt;=0,N($N79)&lt;=0,N($R79)+N($S79)&lt;=0),0,1)))))</f>
        <v/>
      </c>
      <c r="AA79" s="21">
        <f>IF(AND($A79="",$B79=""),"",IF($E79="","Site type missing",IF($H79="","STATUS missing",IF($H79="Proposed","STATUS = Proposed",IF($H79="Not Reported","STATUS = Not Reported",IF(AND($P79="Y",$Q79&lt;&gt;"Y"),"UNESCO-MAB Biosphere Reserve",IF(AND($K79="Point",N($L79)&lt;=0),"Point without REP_AREA",IF(AND(N($L79)&lt;=0,N($N79)&lt;=0,N($R79)+N($S79)&lt;=0),"No area information",""))))))))</f>
        <v/>
      </c>
      <c r="AB79" s="22">
        <f>IF(AND($A79="",$B79=""),"",IF($K79="Point",N($L79),IF(N($N79)&gt;0,N($N79),N($L79))))</f>
        <v/>
      </c>
      <c r="AC79" s="22">
        <f>IF(AND($A79="",$B79=""),"",MIN(AB79,IF(N($J79)=0,0,IF(N($J79)=2,AB79,IF(AND($K79&lt;&gt;"Point",N($O79)&gt;0),N($O79),N($M79))))))</f>
        <v/>
      </c>
      <c r="AD79" s="22">
        <f>IF(AND($A79="",$B79=""),"",MAX(0,AB79-AC79))</f>
        <v/>
      </c>
      <c r="AE79" s="21">
        <f>IF(AND($A79="",$B79=""),"",IF(OR($R79&lt;&gt;"",$S79&lt;&gt;""),1,0))</f>
        <v/>
      </c>
      <c r="AF79" s="22">
        <f>IF(AND($A79="",$B79=""),"",IF(Z79=1,IF(AE79=1,N($R79),AD79),0))</f>
        <v/>
      </c>
      <c r="AG79" s="22">
        <f>IF(AND($A79="",$B79=""),"",IF(Z79=1,IF(AE79=1,N($S79),AC79),0))</f>
        <v/>
      </c>
      <c r="AH79" s="21">
        <f>IF(AND($A79="",$B79=""),"",IF(AND(ISNUMBER($I79),N($I79)&gt;0),$I79,0))</f>
        <v/>
      </c>
      <c r="AI79" s="23">
        <f>IF(AND(NOT(AND($A79="",$B79="")),$K79="Point",N($L79)&gt;0),SQRT(N($L79)/PI()),"")</f>
        <v/>
      </c>
      <c r="AJ79" s="21">
        <f>IF(AND($A79="",$B79=""),"",IFERROR(VLOOKUP($G79,Lists!$D$4:$E$15,2,FALSE),"Not reported"))</f>
        <v/>
      </c>
      <c r="AK79" s="21">
        <f>IF(AND($A79="",$B79=""),"",IF($X79&lt;&gt;"",$X79,IF($T79&lt;&gt;"Y","Not assessed",IF(AND(ISNUMBER($V79),Setup!$B$6-$V79&gt;Setup!$B$26),"Assessment outdated",IF(NOT(ISNUMBER($W79)),"Assessed – no score",IF($W79&gt;=Setup!$B$24,"High",IF($W79&gt;=Setup!$B$25,"Moderate","Low")))))))</f>
        <v/>
      </c>
      <c r="AL79" s="21">
        <f>IF(AND($A79="",$B79=""),"",IF(Z79=0,"",IF(AND(AE79=1,N($R79)&gt;AD79*1.01+0.001),"Net terrestrial &gt; gross; ","")&amp;IF(AND(AE79=1,N($S79)&gt;AC79*1.01+0.001),"Net marine &gt; gross; ","")&amp;IF(AE79=0,"No net area – gross used, overlaps may be double-counted; ","")&amp;IF(AH79=0,"STATUS_YR missing – imputed in time series; ","")&amp;IF(AND(ISNUMBER($I79),N($I79)&gt;Setup!$B$6),"STATUS_YR after reporting year; ","")&amp;IF(OR($G79="",$G79="Not Reported"),"GOV_TYPE not reported; ","")&amp;IF(AND(N($J79)=1,$K79="Point",N($M79)&lt;=0),"Coastal point without REP_M_AREA – land/sea split unknown; ","")&amp;IF(AND(N($J79)=0,N($S79)&gt;0),"MARINE=0 but net marine &gt;0; ","")&amp;IF(AND(N($J79)=2,N($R79)&gt;0),"MARINE=2 but net terrestrial &gt;0; ","")&amp;IF($K79="Point","Buffered point – coverage approximate; ","")))</f>
        <v/>
      </c>
    </row>
    <row r="80">
      <c r="A80" s="19" t="n">
        <v>555705341</v>
      </c>
      <c r="B80" s="19" t="inlineStr">
        <is>
          <t>Atlas Saharien</t>
        </is>
      </c>
      <c r="C80" s="19" t="inlineStr">
        <is>
          <t>Cultural Park</t>
        </is>
      </c>
      <c r="D80" s="19" t="inlineStr">
        <is>
          <t>National</t>
        </is>
      </c>
      <c r="E80" s="19" t="inlineStr">
        <is>
          <t>OECM</t>
        </is>
      </c>
      <c r="F80" s="19" t="inlineStr">
        <is>
          <t>Not Applicable</t>
        </is>
      </c>
      <c r="G80" s="19" t="inlineStr">
        <is>
          <t>Federal or national ministry or agency</t>
        </is>
      </c>
      <c r="H80" s="19" t="inlineStr">
        <is>
          <t>Designated</t>
        </is>
      </c>
      <c r="I80" s="19" t="n">
        <v>2008</v>
      </c>
      <c r="J80" s="19" t="n">
        <v>0</v>
      </c>
      <c r="K80" s="19" t="inlineStr">
        <is>
          <t>Polygon</t>
        </is>
      </c>
      <c r="L80" s="20" t="n">
        <v>63930</v>
      </c>
      <c r="M80" s="20" t="n">
        <v>0</v>
      </c>
      <c r="N80" s="20" t="n">
        <v>88691.768</v>
      </c>
      <c r="O80" s="20" t="n">
        <v>0</v>
      </c>
      <c r="P80" s="19" t="inlineStr">
        <is>
          <t>N</t>
        </is>
      </c>
      <c r="Q80" s="19" t="n"/>
      <c r="R80" s="20" t="n">
        <v>85322.25599999999</v>
      </c>
      <c r="S80" s="20" t="n">
        <v>0</v>
      </c>
      <c r="T80" s="19" t="inlineStr">
        <is>
          <t>Y</t>
        </is>
      </c>
      <c r="U80" s="19" t="inlineStr">
        <is>
          <t>METT</t>
        </is>
      </c>
      <c r="V80" s="19" t="n">
        <v>2011</v>
      </c>
      <c r="W80" s="19" t="n"/>
      <c r="X80" s="19" t="n"/>
      <c r="Y80" s="19" t="inlineStr">
        <is>
          <t>GD-PAME: Management Effectiveness Tracking Tool (METT) 2011</t>
        </is>
      </c>
      <c r="Z80" s="21">
        <f>IF(AND($A80="",$B80=""),"",IF(OR($E80="",$H80="",$H80="Proposed",$H80="Not Reported"),0,IF(AND($P80="Y",$Q80&lt;&gt;"Y"),0,IF(AND($K80="Point",N($L80)&lt;=0),0,IF(AND(N($L80)&lt;=0,N($N80)&lt;=0,N($R80)+N($S80)&lt;=0),0,1)))))</f>
        <v/>
      </c>
      <c r="AA80" s="21">
        <f>IF(AND($A80="",$B80=""),"",IF($E80="","Site type missing",IF($H80="","STATUS missing",IF($H80="Proposed","STATUS = Proposed",IF($H80="Not Reported","STATUS = Not Reported",IF(AND($P80="Y",$Q80&lt;&gt;"Y"),"UNESCO-MAB Biosphere Reserve",IF(AND($K80="Point",N($L80)&lt;=0),"Point without REP_AREA",IF(AND(N($L80)&lt;=0,N($N80)&lt;=0,N($R80)+N($S80)&lt;=0),"No area information",""))))))))</f>
        <v/>
      </c>
      <c r="AB80" s="22">
        <f>IF(AND($A80="",$B80=""),"",IF($K80="Point",N($L80),IF(N($N80)&gt;0,N($N80),N($L80))))</f>
        <v/>
      </c>
      <c r="AC80" s="22">
        <f>IF(AND($A80="",$B80=""),"",MIN(AB80,IF(N($J80)=0,0,IF(N($J80)=2,AB80,IF(AND($K80&lt;&gt;"Point",N($O80)&gt;0),N($O80),N($M80))))))</f>
        <v/>
      </c>
      <c r="AD80" s="22">
        <f>IF(AND($A80="",$B80=""),"",MAX(0,AB80-AC80))</f>
        <v/>
      </c>
      <c r="AE80" s="21">
        <f>IF(AND($A80="",$B80=""),"",IF(OR($R80&lt;&gt;"",$S80&lt;&gt;""),1,0))</f>
        <v/>
      </c>
      <c r="AF80" s="22">
        <f>IF(AND($A80="",$B80=""),"",IF(Z80=1,IF(AE80=1,N($R80),AD80),0))</f>
        <v/>
      </c>
      <c r="AG80" s="22">
        <f>IF(AND($A80="",$B80=""),"",IF(Z80=1,IF(AE80=1,N($S80),AC80),0))</f>
        <v/>
      </c>
      <c r="AH80" s="21">
        <f>IF(AND($A80="",$B80=""),"",IF(AND(ISNUMBER($I80),N($I80)&gt;0),$I80,0))</f>
        <v/>
      </c>
      <c r="AI80" s="23">
        <f>IF(AND(NOT(AND($A80="",$B80="")),$K80="Point",N($L80)&gt;0),SQRT(N($L80)/PI()),"")</f>
        <v/>
      </c>
      <c r="AJ80" s="21">
        <f>IF(AND($A80="",$B80=""),"",IFERROR(VLOOKUP($G80,Lists!$D$4:$E$15,2,FALSE),"Not reported"))</f>
        <v/>
      </c>
      <c r="AK80" s="21">
        <f>IF(AND($A80="",$B80=""),"",IF($X80&lt;&gt;"",$X80,IF($T80&lt;&gt;"Y","Not assessed",IF(AND(ISNUMBER($V80),Setup!$B$6-$V80&gt;Setup!$B$26),"Assessment outdated",IF(NOT(ISNUMBER($W80)),"Assessed – no score",IF($W80&gt;=Setup!$B$24,"High",IF($W80&gt;=Setup!$B$25,"Moderate","Low")))))))</f>
        <v/>
      </c>
      <c r="AL80" s="21">
        <f>IF(AND($A80="",$B80=""),"",IF(Z80=0,"",IF(AND(AE80=1,N($R80)&gt;AD80*1.01+0.001),"Net terrestrial &gt; gross; ","")&amp;IF(AND(AE80=1,N($S80)&gt;AC80*1.01+0.001),"Net marine &gt; gross; ","")&amp;IF(AE80=0,"No net area – gross used, overlaps may be double-counted; ","")&amp;IF(AH80=0,"STATUS_YR missing – imputed in time series; ","")&amp;IF(AND(ISNUMBER($I80),N($I80)&gt;Setup!$B$6),"STATUS_YR after reporting year; ","")&amp;IF(OR($G80="",$G80="Not Reported"),"GOV_TYPE not reported; ","")&amp;IF(AND(N($J80)=1,$K80="Point",N($M80)&lt;=0),"Coastal point without REP_M_AREA – land/sea split unknown; ","")&amp;IF(AND(N($J80)=0,N($S80)&gt;0),"MARINE=0 but net marine &gt;0; ","")&amp;IF(AND(N($J80)=2,N($R80)&gt;0),"MARINE=2 but net terrestrial &gt;0; ","")&amp;IF($K80="Point","Buffered point – coverage approximate; ","")))</f>
        <v/>
      </c>
    </row>
    <row r="81">
      <c r="A81" s="19" t="n">
        <v>555705342</v>
      </c>
      <c r="B81" s="19" t="inlineStr">
        <is>
          <t>Tindouf</t>
        </is>
      </c>
      <c r="C81" s="19" t="inlineStr">
        <is>
          <t>Cultural Park</t>
        </is>
      </c>
      <c r="D81" s="19" t="inlineStr">
        <is>
          <t>National</t>
        </is>
      </c>
      <c r="E81" s="19" t="inlineStr">
        <is>
          <t>OECM</t>
        </is>
      </c>
      <c r="F81" s="19" t="inlineStr">
        <is>
          <t>Not Applicable</t>
        </is>
      </c>
      <c r="G81" s="19" t="inlineStr">
        <is>
          <t>Federal or national ministry or agency</t>
        </is>
      </c>
      <c r="H81" s="19" t="inlineStr">
        <is>
          <t>Designated</t>
        </is>
      </c>
      <c r="I81" s="19" t="n">
        <v>2008</v>
      </c>
      <c r="J81" s="19" t="n">
        <v>0</v>
      </c>
      <c r="K81" s="19" t="inlineStr">
        <is>
          <t>Polygon</t>
        </is>
      </c>
      <c r="L81" s="20" t="n">
        <v>168000</v>
      </c>
      <c r="M81" s="20" t="n">
        <v>0</v>
      </c>
      <c r="N81" s="20" t="n">
        <v>161398.855</v>
      </c>
      <c r="O81" s="20" t="n">
        <v>0</v>
      </c>
      <c r="P81" s="19" t="inlineStr">
        <is>
          <t>N</t>
        </is>
      </c>
      <c r="Q81" s="19" t="n"/>
      <c r="R81" s="20" t="n">
        <v>161974.476</v>
      </c>
      <c r="S81" s="20" t="n">
        <v>0</v>
      </c>
      <c r="T81" s="19" t="inlineStr">
        <is>
          <t>Y</t>
        </is>
      </c>
      <c r="U81" s="19" t="inlineStr">
        <is>
          <t>METT</t>
        </is>
      </c>
      <c r="V81" s="19" t="n">
        <v>2011</v>
      </c>
      <c r="W81" s="19" t="n"/>
      <c r="X81" s="19" t="n"/>
      <c r="Y81" s="19" t="inlineStr">
        <is>
          <t>GD-PAME: Management Effectiveness Tracking Tool (METT) 2011</t>
        </is>
      </c>
      <c r="Z81" s="21">
        <f>IF(AND($A81="",$B81=""),"",IF(OR($E81="",$H81="",$H81="Proposed",$H81="Not Reported"),0,IF(AND($P81="Y",$Q81&lt;&gt;"Y"),0,IF(AND($K81="Point",N($L81)&lt;=0),0,IF(AND(N($L81)&lt;=0,N($N81)&lt;=0,N($R81)+N($S81)&lt;=0),0,1)))))</f>
        <v/>
      </c>
      <c r="AA81" s="21">
        <f>IF(AND($A81="",$B81=""),"",IF($E81="","Site type missing",IF($H81="","STATUS missing",IF($H81="Proposed","STATUS = Proposed",IF($H81="Not Reported","STATUS = Not Reported",IF(AND($P81="Y",$Q81&lt;&gt;"Y"),"UNESCO-MAB Biosphere Reserve",IF(AND($K81="Point",N($L81)&lt;=0),"Point without REP_AREA",IF(AND(N($L81)&lt;=0,N($N81)&lt;=0,N($R81)+N($S81)&lt;=0),"No area information",""))))))))</f>
        <v/>
      </c>
      <c r="AB81" s="22">
        <f>IF(AND($A81="",$B81=""),"",IF($K81="Point",N($L81),IF(N($N81)&gt;0,N($N81),N($L81))))</f>
        <v/>
      </c>
      <c r="AC81" s="22">
        <f>IF(AND($A81="",$B81=""),"",MIN(AB81,IF(N($J81)=0,0,IF(N($J81)=2,AB81,IF(AND($K81&lt;&gt;"Point",N($O81)&gt;0),N($O81),N($M81))))))</f>
        <v/>
      </c>
      <c r="AD81" s="22">
        <f>IF(AND($A81="",$B81=""),"",MAX(0,AB81-AC81))</f>
        <v/>
      </c>
      <c r="AE81" s="21">
        <f>IF(AND($A81="",$B81=""),"",IF(OR($R81&lt;&gt;"",$S81&lt;&gt;""),1,0))</f>
        <v/>
      </c>
      <c r="AF81" s="22">
        <f>IF(AND($A81="",$B81=""),"",IF(Z81=1,IF(AE81=1,N($R81),AD81),0))</f>
        <v/>
      </c>
      <c r="AG81" s="22">
        <f>IF(AND($A81="",$B81=""),"",IF(Z81=1,IF(AE81=1,N($S81),AC81),0))</f>
        <v/>
      </c>
      <c r="AH81" s="21">
        <f>IF(AND($A81="",$B81=""),"",IF(AND(ISNUMBER($I81),N($I81)&gt;0),$I81,0))</f>
        <v/>
      </c>
      <c r="AI81" s="23">
        <f>IF(AND(NOT(AND($A81="",$B81="")),$K81="Point",N($L81)&gt;0),SQRT(N($L81)/PI()),"")</f>
        <v/>
      </c>
      <c r="AJ81" s="21">
        <f>IF(AND($A81="",$B81=""),"",IFERROR(VLOOKUP($G81,Lists!$D$4:$E$15,2,FALSE),"Not reported"))</f>
        <v/>
      </c>
      <c r="AK81" s="21">
        <f>IF(AND($A81="",$B81=""),"",IF($X81&lt;&gt;"",$X81,IF($T81&lt;&gt;"Y","Not assessed",IF(AND(ISNUMBER($V81),Setup!$B$6-$V81&gt;Setup!$B$26),"Assessment outdated",IF(NOT(ISNUMBER($W81)),"Assessed – no score",IF($W81&gt;=Setup!$B$24,"High",IF($W81&gt;=Setup!$B$25,"Moderate","Low")))))))</f>
        <v/>
      </c>
      <c r="AL81" s="21">
        <f>IF(AND($A81="",$B81=""),"",IF(Z81=0,"",IF(AND(AE81=1,N($R81)&gt;AD81*1.01+0.001),"Net terrestrial &gt; gross; ","")&amp;IF(AND(AE81=1,N($S81)&gt;AC81*1.01+0.001),"Net marine &gt; gross; ","")&amp;IF(AE81=0,"No net area – gross used, overlaps may be double-counted; ","")&amp;IF(AH81=0,"STATUS_YR missing – imputed in time series; ","")&amp;IF(AND(ISNUMBER($I81),N($I81)&gt;Setup!$B$6),"STATUS_YR after reporting year; ","")&amp;IF(OR($G81="",$G81="Not Reported"),"GOV_TYPE not reported; ","")&amp;IF(AND(N($J81)=1,$K81="Point",N($M81)&lt;=0),"Coastal point without REP_M_AREA – land/sea split unknown; ","")&amp;IF(AND(N($J81)=0,N($S81)&gt;0),"MARINE=0 but net marine &gt;0; ","")&amp;IF(AND(N($J81)=2,N($R81)&gt;0),"MARINE=2 but net terrestrial &gt;0; ","")&amp;IF($K81="Point","Buffered point – coverage approximate; ","")))</f>
        <v/>
      </c>
    </row>
    <row r="82">
      <c r="A82" s="19" t="n">
        <v>555705343</v>
      </c>
      <c r="B82" s="19" t="inlineStr">
        <is>
          <t>Touat-Gourara-Tidikelt</t>
        </is>
      </c>
      <c r="C82" s="19" t="inlineStr">
        <is>
          <t>Cultural Park</t>
        </is>
      </c>
      <c r="D82" s="19" t="inlineStr">
        <is>
          <t>National</t>
        </is>
      </c>
      <c r="E82" s="19" t="inlineStr">
        <is>
          <t>OECM</t>
        </is>
      </c>
      <c r="F82" s="19" t="inlineStr">
        <is>
          <t>Not Applicable</t>
        </is>
      </c>
      <c r="G82" s="19" t="inlineStr">
        <is>
          <t>Federal or national ministry or agency</t>
        </is>
      </c>
      <c r="H82" s="19" t="inlineStr">
        <is>
          <t>Designated</t>
        </is>
      </c>
      <c r="I82" s="19" t="n">
        <v>2008</v>
      </c>
      <c r="J82" s="19" t="n">
        <v>0</v>
      </c>
      <c r="K82" s="19" t="inlineStr">
        <is>
          <t>Polygon</t>
        </is>
      </c>
      <c r="L82" s="20" t="n">
        <v>387400</v>
      </c>
      <c r="M82" s="20" t="n">
        <v>0</v>
      </c>
      <c r="N82" s="20" t="n">
        <v>299068.415</v>
      </c>
      <c r="O82" s="20" t="n">
        <v>0</v>
      </c>
      <c r="P82" s="19" t="inlineStr">
        <is>
          <t>N</t>
        </is>
      </c>
      <c r="Q82" s="19" t="n"/>
      <c r="R82" s="20" t="n">
        <v>298496.11</v>
      </c>
      <c r="S82" s="20" t="n">
        <v>0</v>
      </c>
      <c r="T82" s="19" t="inlineStr">
        <is>
          <t>Y</t>
        </is>
      </c>
      <c r="U82" s="19" t="inlineStr">
        <is>
          <t>METT</t>
        </is>
      </c>
      <c r="V82" s="19" t="n">
        <v>2011</v>
      </c>
      <c r="W82" s="19" t="n"/>
      <c r="X82" s="19" t="n"/>
      <c r="Y82" s="19" t="inlineStr">
        <is>
          <t>GD-PAME: Management Effectiveness Tracking Tool (METT) 2011</t>
        </is>
      </c>
      <c r="Z82" s="21">
        <f>IF(AND($A82="",$B82=""),"",IF(OR($E82="",$H82="",$H82="Proposed",$H82="Not Reported"),0,IF(AND($P82="Y",$Q82&lt;&gt;"Y"),0,IF(AND($K82="Point",N($L82)&lt;=0),0,IF(AND(N($L82)&lt;=0,N($N82)&lt;=0,N($R82)+N($S82)&lt;=0),0,1)))))</f>
        <v/>
      </c>
      <c r="AA82" s="21">
        <f>IF(AND($A82="",$B82=""),"",IF($E82="","Site type missing",IF($H82="","STATUS missing",IF($H82="Proposed","STATUS = Proposed",IF($H82="Not Reported","STATUS = Not Reported",IF(AND($P82="Y",$Q82&lt;&gt;"Y"),"UNESCO-MAB Biosphere Reserve",IF(AND($K82="Point",N($L82)&lt;=0),"Point without REP_AREA",IF(AND(N($L82)&lt;=0,N($N82)&lt;=0,N($R82)+N($S82)&lt;=0),"No area information",""))))))))</f>
        <v/>
      </c>
      <c r="AB82" s="22">
        <f>IF(AND($A82="",$B82=""),"",IF($K82="Point",N($L82),IF(N($N82)&gt;0,N($N82),N($L82))))</f>
        <v/>
      </c>
      <c r="AC82" s="22">
        <f>IF(AND($A82="",$B82=""),"",MIN(AB82,IF(N($J82)=0,0,IF(N($J82)=2,AB82,IF(AND($K82&lt;&gt;"Point",N($O82)&gt;0),N($O82),N($M82))))))</f>
        <v/>
      </c>
      <c r="AD82" s="22">
        <f>IF(AND($A82="",$B82=""),"",MAX(0,AB82-AC82))</f>
        <v/>
      </c>
      <c r="AE82" s="21">
        <f>IF(AND($A82="",$B82=""),"",IF(OR($R82&lt;&gt;"",$S82&lt;&gt;""),1,0))</f>
        <v/>
      </c>
      <c r="AF82" s="22">
        <f>IF(AND($A82="",$B82=""),"",IF(Z82=1,IF(AE82=1,N($R82),AD82),0))</f>
        <v/>
      </c>
      <c r="AG82" s="22">
        <f>IF(AND($A82="",$B82=""),"",IF(Z82=1,IF(AE82=1,N($S82),AC82),0))</f>
        <v/>
      </c>
      <c r="AH82" s="21">
        <f>IF(AND($A82="",$B82=""),"",IF(AND(ISNUMBER($I82),N($I82)&gt;0),$I82,0))</f>
        <v/>
      </c>
      <c r="AI82" s="23">
        <f>IF(AND(NOT(AND($A82="",$B82="")),$K82="Point",N($L82)&gt;0),SQRT(N($L82)/PI()),"")</f>
        <v/>
      </c>
      <c r="AJ82" s="21">
        <f>IF(AND($A82="",$B82=""),"",IFERROR(VLOOKUP($G82,Lists!$D$4:$E$15,2,FALSE),"Not reported"))</f>
        <v/>
      </c>
      <c r="AK82" s="21">
        <f>IF(AND($A82="",$B82=""),"",IF($X82&lt;&gt;"",$X82,IF($T82&lt;&gt;"Y","Not assessed",IF(AND(ISNUMBER($V82),Setup!$B$6-$V82&gt;Setup!$B$26),"Assessment outdated",IF(NOT(ISNUMBER($W82)),"Assessed – no score",IF($W82&gt;=Setup!$B$24,"High",IF($W82&gt;=Setup!$B$25,"Moderate","Low")))))))</f>
        <v/>
      </c>
      <c r="AL82" s="21">
        <f>IF(AND($A82="",$B82=""),"",IF(Z82=0,"",IF(AND(AE82=1,N($R82)&gt;AD82*1.01+0.001),"Net terrestrial &gt; gross; ","")&amp;IF(AND(AE82=1,N($S82)&gt;AC82*1.01+0.001),"Net marine &gt; gross; ","")&amp;IF(AE82=0,"No net area – gross used, overlaps may be double-counted; ","")&amp;IF(AH82=0,"STATUS_YR missing – imputed in time series; ","")&amp;IF(AND(ISNUMBER($I82),N($I82)&gt;Setup!$B$6),"STATUS_YR after reporting year; ","")&amp;IF(OR($G82="",$G82="Not Reported"),"GOV_TYPE not reported; ","")&amp;IF(AND(N($J82)=1,$K82="Point",N($M82)&lt;=0),"Coastal point without REP_M_AREA – land/sea split unknown; ","")&amp;IF(AND(N($J82)=0,N($S82)&gt;0),"MARINE=0 but net marine &gt;0; ","")&amp;IF(AND(N($J82)=2,N($R82)&gt;0),"MARINE=2 but net terrestrial &gt;0; ","")&amp;IF($K82="Point","Buffered point – coverage approximate; ","")))</f>
        <v/>
      </c>
    </row>
    <row r="83">
      <c r="A83" s="19" t="n"/>
      <c r="B83" s="19" t="n"/>
      <c r="C83" s="19" t="n"/>
      <c r="D83" s="19" t="n"/>
      <c r="E83" s="19" t="n"/>
      <c r="F83" s="19" t="n"/>
      <c r="G83" s="19" t="n"/>
      <c r="H83" s="19" t="n"/>
      <c r="I83" s="19" t="n"/>
      <c r="J83" s="19" t="n"/>
      <c r="K83" s="19" t="n"/>
      <c r="L83" s="20" t="n"/>
      <c r="M83" s="20" t="n"/>
      <c r="N83" s="20" t="n"/>
      <c r="O83" s="20" t="n"/>
      <c r="P83" s="19" t="n"/>
      <c r="Q83" s="19" t="n"/>
      <c r="R83" s="20" t="n"/>
      <c r="S83" s="20" t="n"/>
      <c r="T83" s="19" t="n"/>
      <c r="U83" s="19" t="n"/>
      <c r="V83" s="19" t="n"/>
      <c r="W83" s="19" t="n"/>
      <c r="X83" s="19" t="n"/>
      <c r="Y83" s="19" t="n"/>
      <c r="Z83" s="21">
        <f>IF(AND($A83="",$B83=""),"",IF(OR($E83="",$H83="",$H83="Proposed",$H83="Not Reported"),0,IF(AND($P83="Y",$Q83&lt;&gt;"Y"),0,IF(AND($K83="Point",N($L83)&lt;=0),0,IF(AND(N($L83)&lt;=0,N($N83)&lt;=0,N($R83)+N($S83)&lt;=0),0,1)))))</f>
        <v/>
      </c>
      <c r="AA83" s="21">
        <f>IF(AND($A83="",$B83=""),"",IF($E83="","Site type missing",IF($H83="","STATUS missing",IF($H83="Proposed","STATUS = Proposed",IF($H83="Not Reported","STATUS = Not Reported",IF(AND($P83="Y",$Q83&lt;&gt;"Y"),"UNESCO-MAB Biosphere Reserve",IF(AND($K83="Point",N($L83)&lt;=0),"Point without REP_AREA",IF(AND(N($L83)&lt;=0,N($N83)&lt;=0,N($R83)+N($S83)&lt;=0),"No area information",""))))))))</f>
        <v/>
      </c>
      <c r="AB83" s="22">
        <f>IF(AND($A83="",$B83=""),"",IF($K83="Point",N($L83),IF(N($N83)&gt;0,N($N83),N($L83))))</f>
        <v/>
      </c>
      <c r="AC83" s="22">
        <f>IF(AND($A83="",$B83=""),"",MIN(AB83,IF(N($J83)=0,0,IF(N($J83)=2,AB83,IF(AND($K83&lt;&gt;"Point",N($O83)&gt;0),N($O83),N($M83))))))</f>
        <v/>
      </c>
      <c r="AD83" s="22">
        <f>IF(AND($A83="",$B83=""),"",MAX(0,AB83-AC83))</f>
        <v/>
      </c>
      <c r="AE83" s="21">
        <f>IF(AND($A83="",$B83=""),"",IF(OR($R83&lt;&gt;"",$S83&lt;&gt;""),1,0))</f>
        <v/>
      </c>
      <c r="AF83" s="22">
        <f>IF(AND($A83="",$B83=""),"",IF(Z83=1,IF(AE83=1,N($R83),AD83),0))</f>
        <v/>
      </c>
      <c r="AG83" s="22">
        <f>IF(AND($A83="",$B83=""),"",IF(Z83=1,IF(AE83=1,N($S83),AC83),0))</f>
        <v/>
      </c>
      <c r="AH83" s="21">
        <f>IF(AND($A83="",$B83=""),"",IF(AND(ISNUMBER($I83),N($I83)&gt;0),$I83,0))</f>
        <v/>
      </c>
      <c r="AI83" s="23">
        <f>IF(AND(NOT(AND($A83="",$B83="")),$K83="Point",N($L83)&gt;0),SQRT(N($L83)/PI()),"")</f>
        <v/>
      </c>
      <c r="AJ83" s="21">
        <f>IF(AND($A83="",$B83=""),"",IFERROR(VLOOKUP($G83,Lists!$D$4:$E$15,2,FALSE),"Not reported"))</f>
        <v/>
      </c>
      <c r="AK83" s="21">
        <f>IF(AND($A83="",$B83=""),"",IF($X83&lt;&gt;"",$X83,IF($T83&lt;&gt;"Y","Not assessed",IF(AND(ISNUMBER($V83),Setup!$B$6-$V83&gt;Setup!$B$26),"Assessment outdated",IF(NOT(ISNUMBER($W83)),"Assessed – no score",IF($W83&gt;=Setup!$B$24,"High",IF($W83&gt;=Setup!$B$25,"Moderate","Low")))))))</f>
        <v/>
      </c>
      <c r="AL83" s="21">
        <f>IF(AND($A83="",$B83=""),"",IF(Z83=0,"",IF(AND(AE83=1,N($R83)&gt;AD83*1.01+0.001),"Net terrestrial &gt; gross; ","")&amp;IF(AND(AE83=1,N($S83)&gt;AC83*1.01+0.001),"Net marine &gt; gross; ","")&amp;IF(AE83=0,"No net area – gross used, overlaps may be double-counted; ","")&amp;IF(AH83=0,"STATUS_YR missing – imputed in time series; ","")&amp;IF(AND(ISNUMBER($I83),N($I83)&gt;Setup!$B$6),"STATUS_YR after reporting year; ","")&amp;IF(OR($G83="",$G83="Not Reported"),"GOV_TYPE not reported; ","")&amp;IF(AND(N($J83)=1,$K83="Point",N($M83)&lt;=0),"Coastal point without REP_M_AREA – land/sea split unknown; ","")&amp;IF(AND(N($J83)=0,N($S83)&gt;0),"MARINE=0 but net marine &gt;0; ","")&amp;IF(AND(N($J83)=2,N($R83)&gt;0),"MARINE=2 but net terrestrial &gt;0; ","")&amp;IF($K83="Point","Buffered point – coverage approximate; ","")))</f>
        <v/>
      </c>
    </row>
    <row r="84">
      <c r="A84" s="19" t="n"/>
      <c r="B84" s="19" t="n"/>
      <c r="C84" s="19" t="n"/>
      <c r="D84" s="19" t="n"/>
      <c r="E84" s="19" t="n"/>
      <c r="F84" s="19" t="n"/>
      <c r="G84" s="19" t="n"/>
      <c r="H84" s="19" t="n"/>
      <c r="I84" s="19" t="n"/>
      <c r="J84" s="19" t="n"/>
      <c r="K84" s="19" t="n"/>
      <c r="L84" s="20" t="n"/>
      <c r="M84" s="20" t="n"/>
      <c r="N84" s="20" t="n"/>
      <c r="O84" s="20" t="n"/>
      <c r="P84" s="19" t="n"/>
      <c r="Q84" s="19" t="n"/>
      <c r="R84" s="20" t="n"/>
      <c r="S84" s="20" t="n"/>
      <c r="T84" s="19" t="n"/>
      <c r="U84" s="19" t="n"/>
      <c r="V84" s="19" t="n"/>
      <c r="W84" s="19" t="n"/>
      <c r="X84" s="19" t="n"/>
      <c r="Y84" s="19" t="n"/>
      <c r="Z84" s="21">
        <f>IF(AND($A84="",$B84=""),"",IF(OR($E84="",$H84="",$H84="Proposed",$H84="Not Reported"),0,IF(AND($P84="Y",$Q84&lt;&gt;"Y"),0,IF(AND($K84="Point",N($L84)&lt;=0),0,IF(AND(N($L84)&lt;=0,N($N84)&lt;=0,N($R84)+N($S84)&lt;=0),0,1)))))</f>
        <v/>
      </c>
      <c r="AA84" s="21">
        <f>IF(AND($A84="",$B84=""),"",IF($E84="","Site type missing",IF($H84="","STATUS missing",IF($H84="Proposed","STATUS = Proposed",IF($H84="Not Reported","STATUS = Not Reported",IF(AND($P84="Y",$Q84&lt;&gt;"Y"),"UNESCO-MAB Biosphere Reserve",IF(AND($K84="Point",N($L84)&lt;=0),"Point without REP_AREA",IF(AND(N($L84)&lt;=0,N($N84)&lt;=0,N($R84)+N($S84)&lt;=0),"No area information",""))))))))</f>
        <v/>
      </c>
      <c r="AB84" s="22">
        <f>IF(AND($A84="",$B84=""),"",IF($K84="Point",N($L84),IF(N($N84)&gt;0,N($N84),N($L84))))</f>
        <v/>
      </c>
      <c r="AC84" s="22">
        <f>IF(AND($A84="",$B84=""),"",MIN(AB84,IF(N($J84)=0,0,IF(N($J84)=2,AB84,IF(AND($K84&lt;&gt;"Point",N($O84)&gt;0),N($O84),N($M84))))))</f>
        <v/>
      </c>
      <c r="AD84" s="22">
        <f>IF(AND($A84="",$B84=""),"",MAX(0,AB84-AC84))</f>
        <v/>
      </c>
      <c r="AE84" s="21">
        <f>IF(AND($A84="",$B84=""),"",IF(OR($R84&lt;&gt;"",$S84&lt;&gt;""),1,0))</f>
        <v/>
      </c>
      <c r="AF84" s="22">
        <f>IF(AND($A84="",$B84=""),"",IF(Z84=1,IF(AE84=1,N($R84),AD84),0))</f>
        <v/>
      </c>
      <c r="AG84" s="22">
        <f>IF(AND($A84="",$B84=""),"",IF(Z84=1,IF(AE84=1,N($S84),AC84),0))</f>
        <v/>
      </c>
      <c r="AH84" s="21">
        <f>IF(AND($A84="",$B84=""),"",IF(AND(ISNUMBER($I84),N($I84)&gt;0),$I84,0))</f>
        <v/>
      </c>
      <c r="AI84" s="23">
        <f>IF(AND(NOT(AND($A84="",$B84="")),$K84="Point",N($L84)&gt;0),SQRT(N($L84)/PI()),"")</f>
        <v/>
      </c>
      <c r="AJ84" s="21">
        <f>IF(AND($A84="",$B84=""),"",IFERROR(VLOOKUP($G84,Lists!$D$4:$E$15,2,FALSE),"Not reported"))</f>
        <v/>
      </c>
      <c r="AK84" s="21">
        <f>IF(AND($A84="",$B84=""),"",IF($X84&lt;&gt;"",$X84,IF($T84&lt;&gt;"Y","Not assessed",IF(AND(ISNUMBER($V84),Setup!$B$6-$V84&gt;Setup!$B$26),"Assessment outdated",IF(NOT(ISNUMBER($W84)),"Assessed – no score",IF($W84&gt;=Setup!$B$24,"High",IF($W84&gt;=Setup!$B$25,"Moderate","Low")))))))</f>
        <v/>
      </c>
      <c r="AL84" s="21">
        <f>IF(AND($A84="",$B84=""),"",IF(Z84=0,"",IF(AND(AE84=1,N($R84)&gt;AD84*1.01+0.001),"Net terrestrial &gt; gross; ","")&amp;IF(AND(AE84=1,N($S84)&gt;AC84*1.01+0.001),"Net marine &gt; gross; ","")&amp;IF(AE84=0,"No net area – gross used, overlaps may be double-counted; ","")&amp;IF(AH84=0,"STATUS_YR missing – imputed in time series; ","")&amp;IF(AND(ISNUMBER($I84),N($I84)&gt;Setup!$B$6),"STATUS_YR after reporting year; ","")&amp;IF(OR($G84="",$G84="Not Reported"),"GOV_TYPE not reported; ","")&amp;IF(AND(N($J84)=1,$K84="Point",N($M84)&lt;=0),"Coastal point without REP_M_AREA – land/sea split unknown; ","")&amp;IF(AND(N($J84)=0,N($S84)&gt;0),"MARINE=0 but net marine &gt;0; ","")&amp;IF(AND(N($J84)=2,N($R84)&gt;0),"MARINE=2 but net terrestrial &gt;0; ","")&amp;IF($K84="Point","Buffered point – coverage approximate; ","")))</f>
        <v/>
      </c>
    </row>
    <row r="85">
      <c r="A85" s="19" t="n"/>
      <c r="B85" s="19" t="n"/>
      <c r="C85" s="19" t="n"/>
      <c r="D85" s="19" t="n"/>
      <c r="E85" s="19" t="n"/>
      <c r="F85" s="19" t="n"/>
      <c r="G85" s="19" t="n"/>
      <c r="H85" s="19" t="n"/>
      <c r="I85" s="19" t="n"/>
      <c r="J85" s="19" t="n"/>
      <c r="K85" s="19" t="n"/>
      <c r="L85" s="20" t="n"/>
      <c r="M85" s="20" t="n"/>
      <c r="N85" s="20" t="n"/>
      <c r="O85" s="20" t="n"/>
      <c r="P85" s="19" t="n"/>
      <c r="Q85" s="19" t="n"/>
      <c r="R85" s="20" t="n"/>
      <c r="S85" s="20" t="n"/>
      <c r="T85" s="19" t="n"/>
      <c r="U85" s="19" t="n"/>
      <c r="V85" s="19" t="n"/>
      <c r="W85" s="19" t="n"/>
      <c r="X85" s="19" t="n"/>
      <c r="Y85" s="19" t="n"/>
      <c r="Z85" s="21">
        <f>IF(AND($A85="",$B85=""),"",IF(OR($E85="",$H85="",$H85="Proposed",$H85="Not Reported"),0,IF(AND($P85="Y",$Q85&lt;&gt;"Y"),0,IF(AND($K85="Point",N($L85)&lt;=0),0,IF(AND(N($L85)&lt;=0,N($N85)&lt;=0,N($R85)+N($S85)&lt;=0),0,1)))))</f>
        <v/>
      </c>
      <c r="AA85" s="21">
        <f>IF(AND($A85="",$B85=""),"",IF($E85="","Site type missing",IF($H85="","STATUS missing",IF($H85="Proposed","STATUS = Proposed",IF($H85="Not Reported","STATUS = Not Reported",IF(AND($P85="Y",$Q85&lt;&gt;"Y"),"UNESCO-MAB Biosphere Reserve",IF(AND($K85="Point",N($L85)&lt;=0),"Point without REP_AREA",IF(AND(N($L85)&lt;=0,N($N85)&lt;=0,N($R85)+N($S85)&lt;=0),"No area information",""))))))))</f>
        <v/>
      </c>
      <c r="AB85" s="22">
        <f>IF(AND($A85="",$B85=""),"",IF($K85="Point",N($L85),IF(N($N85)&gt;0,N($N85),N($L85))))</f>
        <v/>
      </c>
      <c r="AC85" s="22">
        <f>IF(AND($A85="",$B85=""),"",MIN(AB85,IF(N($J85)=0,0,IF(N($J85)=2,AB85,IF(AND($K85&lt;&gt;"Point",N($O85)&gt;0),N($O85),N($M85))))))</f>
        <v/>
      </c>
      <c r="AD85" s="22">
        <f>IF(AND($A85="",$B85=""),"",MAX(0,AB85-AC85))</f>
        <v/>
      </c>
      <c r="AE85" s="21">
        <f>IF(AND($A85="",$B85=""),"",IF(OR($R85&lt;&gt;"",$S85&lt;&gt;""),1,0))</f>
        <v/>
      </c>
      <c r="AF85" s="22">
        <f>IF(AND($A85="",$B85=""),"",IF(Z85=1,IF(AE85=1,N($R85),AD85),0))</f>
        <v/>
      </c>
      <c r="AG85" s="22">
        <f>IF(AND($A85="",$B85=""),"",IF(Z85=1,IF(AE85=1,N($S85),AC85),0))</f>
        <v/>
      </c>
      <c r="AH85" s="21">
        <f>IF(AND($A85="",$B85=""),"",IF(AND(ISNUMBER($I85),N($I85)&gt;0),$I85,0))</f>
        <v/>
      </c>
      <c r="AI85" s="23">
        <f>IF(AND(NOT(AND($A85="",$B85="")),$K85="Point",N($L85)&gt;0),SQRT(N($L85)/PI()),"")</f>
        <v/>
      </c>
      <c r="AJ85" s="21">
        <f>IF(AND($A85="",$B85=""),"",IFERROR(VLOOKUP($G85,Lists!$D$4:$E$15,2,FALSE),"Not reported"))</f>
        <v/>
      </c>
      <c r="AK85" s="21">
        <f>IF(AND($A85="",$B85=""),"",IF($X85&lt;&gt;"",$X85,IF($T85&lt;&gt;"Y","Not assessed",IF(AND(ISNUMBER($V85),Setup!$B$6-$V85&gt;Setup!$B$26),"Assessment outdated",IF(NOT(ISNUMBER($W85)),"Assessed – no score",IF($W85&gt;=Setup!$B$24,"High",IF($W85&gt;=Setup!$B$25,"Moderate","Low")))))))</f>
        <v/>
      </c>
      <c r="AL85" s="21">
        <f>IF(AND($A85="",$B85=""),"",IF(Z85=0,"",IF(AND(AE85=1,N($R85)&gt;AD85*1.01+0.001),"Net terrestrial &gt; gross; ","")&amp;IF(AND(AE85=1,N($S85)&gt;AC85*1.01+0.001),"Net marine &gt; gross; ","")&amp;IF(AE85=0,"No net area – gross used, overlaps may be double-counted; ","")&amp;IF(AH85=0,"STATUS_YR missing – imputed in time series; ","")&amp;IF(AND(ISNUMBER($I85),N($I85)&gt;Setup!$B$6),"STATUS_YR after reporting year; ","")&amp;IF(OR($G85="",$G85="Not Reported"),"GOV_TYPE not reported; ","")&amp;IF(AND(N($J85)=1,$K85="Point",N($M85)&lt;=0),"Coastal point without REP_M_AREA – land/sea split unknown; ","")&amp;IF(AND(N($J85)=0,N($S85)&gt;0),"MARINE=0 but net marine &gt;0; ","")&amp;IF(AND(N($J85)=2,N($R85)&gt;0),"MARINE=2 but net terrestrial &gt;0; ","")&amp;IF($K85="Point","Buffered point – coverage approximate; ","")))</f>
        <v/>
      </c>
    </row>
    <row r="86">
      <c r="A86" s="19" t="n"/>
      <c r="B86" s="19" t="n"/>
      <c r="C86" s="19" t="n"/>
      <c r="D86" s="19" t="n"/>
      <c r="E86" s="19" t="n"/>
      <c r="F86" s="19" t="n"/>
      <c r="G86" s="19" t="n"/>
      <c r="H86" s="19" t="n"/>
      <c r="I86" s="19" t="n"/>
      <c r="J86" s="19" t="n"/>
      <c r="K86" s="19" t="n"/>
      <c r="L86" s="20" t="n"/>
      <c r="M86" s="20" t="n"/>
      <c r="N86" s="20" t="n"/>
      <c r="O86" s="20" t="n"/>
      <c r="P86" s="19" t="n"/>
      <c r="Q86" s="19" t="n"/>
      <c r="R86" s="20" t="n"/>
      <c r="S86" s="20" t="n"/>
      <c r="T86" s="19" t="n"/>
      <c r="U86" s="19" t="n"/>
      <c r="V86" s="19" t="n"/>
      <c r="W86" s="19" t="n"/>
      <c r="X86" s="19" t="n"/>
      <c r="Y86" s="19" t="n"/>
      <c r="Z86" s="21">
        <f>IF(AND($A86="",$B86=""),"",IF(OR($E86="",$H86="",$H86="Proposed",$H86="Not Reported"),0,IF(AND($P86="Y",$Q86&lt;&gt;"Y"),0,IF(AND($K86="Point",N($L86)&lt;=0),0,IF(AND(N($L86)&lt;=0,N($N86)&lt;=0,N($R86)+N($S86)&lt;=0),0,1)))))</f>
        <v/>
      </c>
      <c r="AA86" s="21">
        <f>IF(AND($A86="",$B86=""),"",IF($E86="","Site type missing",IF($H86="","STATUS missing",IF($H86="Proposed","STATUS = Proposed",IF($H86="Not Reported","STATUS = Not Reported",IF(AND($P86="Y",$Q86&lt;&gt;"Y"),"UNESCO-MAB Biosphere Reserve",IF(AND($K86="Point",N($L86)&lt;=0),"Point without REP_AREA",IF(AND(N($L86)&lt;=0,N($N86)&lt;=0,N($R86)+N($S86)&lt;=0),"No area information",""))))))))</f>
        <v/>
      </c>
      <c r="AB86" s="22">
        <f>IF(AND($A86="",$B86=""),"",IF($K86="Point",N($L86),IF(N($N86)&gt;0,N($N86),N($L86))))</f>
        <v/>
      </c>
      <c r="AC86" s="22">
        <f>IF(AND($A86="",$B86=""),"",MIN(AB86,IF(N($J86)=0,0,IF(N($J86)=2,AB86,IF(AND($K86&lt;&gt;"Point",N($O86)&gt;0),N($O86),N($M86))))))</f>
        <v/>
      </c>
      <c r="AD86" s="22">
        <f>IF(AND($A86="",$B86=""),"",MAX(0,AB86-AC86))</f>
        <v/>
      </c>
      <c r="AE86" s="21">
        <f>IF(AND($A86="",$B86=""),"",IF(OR($R86&lt;&gt;"",$S86&lt;&gt;""),1,0))</f>
        <v/>
      </c>
      <c r="AF86" s="22">
        <f>IF(AND($A86="",$B86=""),"",IF(Z86=1,IF(AE86=1,N($R86),AD86),0))</f>
        <v/>
      </c>
      <c r="AG86" s="22">
        <f>IF(AND($A86="",$B86=""),"",IF(Z86=1,IF(AE86=1,N($S86),AC86),0))</f>
        <v/>
      </c>
      <c r="AH86" s="21">
        <f>IF(AND($A86="",$B86=""),"",IF(AND(ISNUMBER($I86),N($I86)&gt;0),$I86,0))</f>
        <v/>
      </c>
      <c r="AI86" s="23">
        <f>IF(AND(NOT(AND($A86="",$B86="")),$K86="Point",N($L86)&gt;0),SQRT(N($L86)/PI()),"")</f>
        <v/>
      </c>
      <c r="AJ86" s="21">
        <f>IF(AND($A86="",$B86=""),"",IFERROR(VLOOKUP($G86,Lists!$D$4:$E$15,2,FALSE),"Not reported"))</f>
        <v/>
      </c>
      <c r="AK86" s="21">
        <f>IF(AND($A86="",$B86=""),"",IF($X86&lt;&gt;"",$X86,IF($T86&lt;&gt;"Y","Not assessed",IF(AND(ISNUMBER($V86),Setup!$B$6-$V86&gt;Setup!$B$26),"Assessment outdated",IF(NOT(ISNUMBER($W86)),"Assessed – no score",IF($W86&gt;=Setup!$B$24,"High",IF($W86&gt;=Setup!$B$25,"Moderate","Low")))))))</f>
        <v/>
      </c>
      <c r="AL86" s="21">
        <f>IF(AND($A86="",$B86=""),"",IF(Z86=0,"",IF(AND(AE86=1,N($R86)&gt;AD86*1.01+0.001),"Net terrestrial &gt; gross; ","")&amp;IF(AND(AE86=1,N($S86)&gt;AC86*1.01+0.001),"Net marine &gt; gross; ","")&amp;IF(AE86=0,"No net area – gross used, overlaps may be double-counted; ","")&amp;IF(AH86=0,"STATUS_YR missing – imputed in time series; ","")&amp;IF(AND(ISNUMBER($I86),N($I86)&gt;Setup!$B$6),"STATUS_YR after reporting year; ","")&amp;IF(OR($G86="",$G86="Not Reported"),"GOV_TYPE not reported; ","")&amp;IF(AND(N($J86)=1,$K86="Point",N($M86)&lt;=0),"Coastal point without REP_M_AREA – land/sea split unknown; ","")&amp;IF(AND(N($J86)=0,N($S86)&gt;0),"MARINE=0 but net marine &gt;0; ","")&amp;IF(AND(N($J86)=2,N($R86)&gt;0),"MARINE=2 but net terrestrial &gt;0; ","")&amp;IF($K86="Point","Buffered point – coverage approximate; ","")))</f>
        <v/>
      </c>
    </row>
    <row r="87">
      <c r="A87" s="19" t="n"/>
      <c r="B87" s="19" t="n"/>
      <c r="C87" s="19" t="n"/>
      <c r="D87" s="19" t="n"/>
      <c r="E87" s="19" t="n"/>
      <c r="F87" s="19" t="n"/>
      <c r="G87" s="19" t="n"/>
      <c r="H87" s="19" t="n"/>
      <c r="I87" s="19" t="n"/>
      <c r="J87" s="19" t="n"/>
      <c r="K87" s="19" t="n"/>
      <c r="L87" s="20" t="n"/>
      <c r="M87" s="20" t="n"/>
      <c r="N87" s="20" t="n"/>
      <c r="O87" s="20" t="n"/>
      <c r="P87" s="19" t="n"/>
      <c r="Q87" s="19" t="n"/>
      <c r="R87" s="20" t="n"/>
      <c r="S87" s="20" t="n"/>
      <c r="T87" s="19" t="n"/>
      <c r="U87" s="19" t="n"/>
      <c r="V87" s="19" t="n"/>
      <c r="W87" s="19" t="n"/>
      <c r="X87" s="19" t="n"/>
      <c r="Y87" s="19" t="n"/>
      <c r="Z87" s="21">
        <f>IF(AND($A87="",$B87=""),"",IF(OR($E87="",$H87="",$H87="Proposed",$H87="Not Reported"),0,IF(AND($P87="Y",$Q87&lt;&gt;"Y"),0,IF(AND($K87="Point",N($L87)&lt;=0),0,IF(AND(N($L87)&lt;=0,N($N87)&lt;=0,N($R87)+N($S87)&lt;=0),0,1)))))</f>
        <v/>
      </c>
      <c r="AA87" s="21">
        <f>IF(AND($A87="",$B87=""),"",IF($E87="","Site type missing",IF($H87="","STATUS missing",IF($H87="Proposed","STATUS = Proposed",IF($H87="Not Reported","STATUS = Not Reported",IF(AND($P87="Y",$Q87&lt;&gt;"Y"),"UNESCO-MAB Biosphere Reserve",IF(AND($K87="Point",N($L87)&lt;=0),"Point without REP_AREA",IF(AND(N($L87)&lt;=0,N($N87)&lt;=0,N($R87)+N($S87)&lt;=0),"No area information",""))))))))</f>
        <v/>
      </c>
      <c r="AB87" s="22">
        <f>IF(AND($A87="",$B87=""),"",IF($K87="Point",N($L87),IF(N($N87)&gt;0,N($N87),N($L87))))</f>
        <v/>
      </c>
      <c r="AC87" s="22">
        <f>IF(AND($A87="",$B87=""),"",MIN(AB87,IF(N($J87)=0,0,IF(N($J87)=2,AB87,IF(AND($K87&lt;&gt;"Point",N($O87)&gt;0),N($O87),N($M87))))))</f>
        <v/>
      </c>
      <c r="AD87" s="22">
        <f>IF(AND($A87="",$B87=""),"",MAX(0,AB87-AC87))</f>
        <v/>
      </c>
      <c r="AE87" s="21">
        <f>IF(AND($A87="",$B87=""),"",IF(OR($R87&lt;&gt;"",$S87&lt;&gt;""),1,0))</f>
        <v/>
      </c>
      <c r="AF87" s="22">
        <f>IF(AND($A87="",$B87=""),"",IF(Z87=1,IF(AE87=1,N($R87),AD87),0))</f>
        <v/>
      </c>
      <c r="AG87" s="22">
        <f>IF(AND($A87="",$B87=""),"",IF(Z87=1,IF(AE87=1,N($S87),AC87),0))</f>
        <v/>
      </c>
      <c r="AH87" s="21">
        <f>IF(AND($A87="",$B87=""),"",IF(AND(ISNUMBER($I87),N($I87)&gt;0),$I87,0))</f>
        <v/>
      </c>
      <c r="AI87" s="23">
        <f>IF(AND(NOT(AND($A87="",$B87="")),$K87="Point",N($L87)&gt;0),SQRT(N($L87)/PI()),"")</f>
        <v/>
      </c>
      <c r="AJ87" s="21">
        <f>IF(AND($A87="",$B87=""),"",IFERROR(VLOOKUP($G87,Lists!$D$4:$E$15,2,FALSE),"Not reported"))</f>
        <v/>
      </c>
      <c r="AK87" s="21">
        <f>IF(AND($A87="",$B87=""),"",IF($X87&lt;&gt;"",$X87,IF($T87&lt;&gt;"Y","Not assessed",IF(AND(ISNUMBER($V87),Setup!$B$6-$V87&gt;Setup!$B$26),"Assessment outdated",IF(NOT(ISNUMBER($W87)),"Assessed – no score",IF($W87&gt;=Setup!$B$24,"High",IF($W87&gt;=Setup!$B$25,"Moderate","Low")))))))</f>
        <v/>
      </c>
      <c r="AL87" s="21">
        <f>IF(AND($A87="",$B87=""),"",IF(Z87=0,"",IF(AND(AE87=1,N($R87)&gt;AD87*1.01+0.001),"Net terrestrial &gt; gross; ","")&amp;IF(AND(AE87=1,N($S87)&gt;AC87*1.01+0.001),"Net marine &gt; gross; ","")&amp;IF(AE87=0,"No net area – gross used, overlaps may be double-counted; ","")&amp;IF(AH87=0,"STATUS_YR missing – imputed in time series; ","")&amp;IF(AND(ISNUMBER($I87),N($I87)&gt;Setup!$B$6),"STATUS_YR after reporting year; ","")&amp;IF(OR($G87="",$G87="Not Reported"),"GOV_TYPE not reported; ","")&amp;IF(AND(N($J87)=1,$K87="Point",N($M87)&lt;=0),"Coastal point without REP_M_AREA – land/sea split unknown; ","")&amp;IF(AND(N($J87)=0,N($S87)&gt;0),"MARINE=0 but net marine &gt;0; ","")&amp;IF(AND(N($J87)=2,N($R87)&gt;0),"MARINE=2 but net terrestrial &gt;0; ","")&amp;IF($K87="Point","Buffered point – coverage approximate; ","")))</f>
        <v/>
      </c>
    </row>
    <row r="88">
      <c r="A88" s="19" t="n"/>
      <c r="B88" s="19" t="n"/>
      <c r="C88" s="19" t="n"/>
      <c r="D88" s="19" t="n"/>
      <c r="E88" s="19" t="n"/>
      <c r="F88" s="19" t="n"/>
      <c r="G88" s="19" t="n"/>
      <c r="H88" s="19" t="n"/>
      <c r="I88" s="19" t="n"/>
      <c r="J88" s="19" t="n"/>
      <c r="K88" s="19" t="n"/>
      <c r="L88" s="20" t="n"/>
      <c r="M88" s="20" t="n"/>
      <c r="N88" s="20" t="n"/>
      <c r="O88" s="20" t="n"/>
      <c r="P88" s="19" t="n"/>
      <c r="Q88" s="19" t="n"/>
      <c r="R88" s="20" t="n"/>
      <c r="S88" s="20" t="n"/>
      <c r="T88" s="19" t="n"/>
      <c r="U88" s="19" t="n"/>
      <c r="V88" s="19" t="n"/>
      <c r="W88" s="19" t="n"/>
      <c r="X88" s="19" t="n"/>
      <c r="Y88" s="19" t="n"/>
      <c r="Z88" s="21">
        <f>IF(AND($A88="",$B88=""),"",IF(OR($E88="",$H88="",$H88="Proposed",$H88="Not Reported"),0,IF(AND($P88="Y",$Q88&lt;&gt;"Y"),0,IF(AND($K88="Point",N($L88)&lt;=0),0,IF(AND(N($L88)&lt;=0,N($N88)&lt;=0,N($R88)+N($S88)&lt;=0),0,1)))))</f>
        <v/>
      </c>
      <c r="AA88" s="21">
        <f>IF(AND($A88="",$B88=""),"",IF($E88="","Site type missing",IF($H88="","STATUS missing",IF($H88="Proposed","STATUS = Proposed",IF($H88="Not Reported","STATUS = Not Reported",IF(AND($P88="Y",$Q88&lt;&gt;"Y"),"UNESCO-MAB Biosphere Reserve",IF(AND($K88="Point",N($L88)&lt;=0),"Point without REP_AREA",IF(AND(N($L88)&lt;=0,N($N88)&lt;=0,N($R88)+N($S88)&lt;=0),"No area information",""))))))))</f>
        <v/>
      </c>
      <c r="AB88" s="22">
        <f>IF(AND($A88="",$B88=""),"",IF($K88="Point",N($L88),IF(N($N88)&gt;0,N($N88),N($L88))))</f>
        <v/>
      </c>
      <c r="AC88" s="22">
        <f>IF(AND($A88="",$B88=""),"",MIN(AB88,IF(N($J88)=0,0,IF(N($J88)=2,AB88,IF(AND($K88&lt;&gt;"Point",N($O88)&gt;0),N($O88),N($M88))))))</f>
        <v/>
      </c>
      <c r="AD88" s="22">
        <f>IF(AND($A88="",$B88=""),"",MAX(0,AB88-AC88))</f>
        <v/>
      </c>
      <c r="AE88" s="21">
        <f>IF(AND($A88="",$B88=""),"",IF(OR($R88&lt;&gt;"",$S88&lt;&gt;""),1,0))</f>
        <v/>
      </c>
      <c r="AF88" s="22">
        <f>IF(AND($A88="",$B88=""),"",IF(Z88=1,IF(AE88=1,N($R88),AD88),0))</f>
        <v/>
      </c>
      <c r="AG88" s="22">
        <f>IF(AND($A88="",$B88=""),"",IF(Z88=1,IF(AE88=1,N($S88),AC88),0))</f>
        <v/>
      </c>
      <c r="AH88" s="21">
        <f>IF(AND($A88="",$B88=""),"",IF(AND(ISNUMBER($I88),N($I88)&gt;0),$I88,0))</f>
        <v/>
      </c>
      <c r="AI88" s="23">
        <f>IF(AND(NOT(AND($A88="",$B88="")),$K88="Point",N($L88)&gt;0),SQRT(N($L88)/PI()),"")</f>
        <v/>
      </c>
      <c r="AJ88" s="21">
        <f>IF(AND($A88="",$B88=""),"",IFERROR(VLOOKUP($G88,Lists!$D$4:$E$15,2,FALSE),"Not reported"))</f>
        <v/>
      </c>
      <c r="AK88" s="21">
        <f>IF(AND($A88="",$B88=""),"",IF($X88&lt;&gt;"",$X88,IF($T88&lt;&gt;"Y","Not assessed",IF(AND(ISNUMBER($V88),Setup!$B$6-$V88&gt;Setup!$B$26),"Assessment outdated",IF(NOT(ISNUMBER($W88)),"Assessed – no score",IF($W88&gt;=Setup!$B$24,"High",IF($W88&gt;=Setup!$B$25,"Moderate","Low")))))))</f>
        <v/>
      </c>
      <c r="AL88" s="21">
        <f>IF(AND($A88="",$B88=""),"",IF(Z88=0,"",IF(AND(AE88=1,N($R88)&gt;AD88*1.01+0.001),"Net terrestrial &gt; gross; ","")&amp;IF(AND(AE88=1,N($S88)&gt;AC88*1.01+0.001),"Net marine &gt; gross; ","")&amp;IF(AE88=0,"No net area – gross used, overlaps may be double-counted; ","")&amp;IF(AH88=0,"STATUS_YR missing – imputed in time series; ","")&amp;IF(AND(ISNUMBER($I88),N($I88)&gt;Setup!$B$6),"STATUS_YR after reporting year; ","")&amp;IF(OR($G88="",$G88="Not Reported"),"GOV_TYPE not reported; ","")&amp;IF(AND(N($J88)=1,$K88="Point",N($M88)&lt;=0),"Coastal point without REP_M_AREA – land/sea split unknown; ","")&amp;IF(AND(N($J88)=0,N($S88)&gt;0),"MARINE=0 but net marine &gt;0; ","")&amp;IF(AND(N($J88)=2,N($R88)&gt;0),"MARINE=2 but net terrestrial &gt;0; ","")&amp;IF($K88="Point","Buffered point – coverage approximate; ","")))</f>
        <v/>
      </c>
    </row>
    <row r="89">
      <c r="A89" s="19" t="n"/>
      <c r="B89" s="19" t="n"/>
      <c r="C89" s="19" t="n"/>
      <c r="D89" s="19" t="n"/>
      <c r="E89" s="19" t="n"/>
      <c r="F89" s="19" t="n"/>
      <c r="G89" s="19" t="n"/>
      <c r="H89" s="19" t="n"/>
      <c r="I89" s="19" t="n"/>
      <c r="J89" s="19" t="n"/>
      <c r="K89" s="19" t="n"/>
      <c r="L89" s="20" t="n"/>
      <c r="M89" s="20" t="n"/>
      <c r="N89" s="20" t="n"/>
      <c r="O89" s="20" t="n"/>
      <c r="P89" s="19" t="n"/>
      <c r="Q89" s="19" t="n"/>
      <c r="R89" s="20" t="n"/>
      <c r="S89" s="20" t="n"/>
      <c r="T89" s="19" t="n"/>
      <c r="U89" s="19" t="n"/>
      <c r="V89" s="19" t="n"/>
      <c r="W89" s="19" t="n"/>
      <c r="X89" s="19" t="n"/>
      <c r="Y89" s="19" t="n"/>
      <c r="Z89" s="21">
        <f>IF(AND($A89="",$B89=""),"",IF(OR($E89="",$H89="",$H89="Proposed",$H89="Not Reported"),0,IF(AND($P89="Y",$Q89&lt;&gt;"Y"),0,IF(AND($K89="Point",N($L89)&lt;=0),0,IF(AND(N($L89)&lt;=0,N($N89)&lt;=0,N($R89)+N($S89)&lt;=0),0,1)))))</f>
        <v/>
      </c>
      <c r="AA89" s="21">
        <f>IF(AND($A89="",$B89=""),"",IF($E89="","Site type missing",IF($H89="","STATUS missing",IF($H89="Proposed","STATUS = Proposed",IF($H89="Not Reported","STATUS = Not Reported",IF(AND($P89="Y",$Q89&lt;&gt;"Y"),"UNESCO-MAB Biosphere Reserve",IF(AND($K89="Point",N($L89)&lt;=0),"Point without REP_AREA",IF(AND(N($L89)&lt;=0,N($N89)&lt;=0,N($R89)+N($S89)&lt;=0),"No area information",""))))))))</f>
        <v/>
      </c>
      <c r="AB89" s="22">
        <f>IF(AND($A89="",$B89=""),"",IF($K89="Point",N($L89),IF(N($N89)&gt;0,N($N89),N($L89))))</f>
        <v/>
      </c>
      <c r="AC89" s="22">
        <f>IF(AND($A89="",$B89=""),"",MIN(AB89,IF(N($J89)=0,0,IF(N($J89)=2,AB89,IF(AND($K89&lt;&gt;"Point",N($O89)&gt;0),N($O89),N($M89))))))</f>
        <v/>
      </c>
      <c r="AD89" s="22">
        <f>IF(AND($A89="",$B89=""),"",MAX(0,AB89-AC89))</f>
        <v/>
      </c>
      <c r="AE89" s="21">
        <f>IF(AND($A89="",$B89=""),"",IF(OR($R89&lt;&gt;"",$S89&lt;&gt;""),1,0))</f>
        <v/>
      </c>
      <c r="AF89" s="22">
        <f>IF(AND($A89="",$B89=""),"",IF(Z89=1,IF(AE89=1,N($R89),AD89),0))</f>
        <v/>
      </c>
      <c r="AG89" s="22">
        <f>IF(AND($A89="",$B89=""),"",IF(Z89=1,IF(AE89=1,N($S89),AC89),0))</f>
        <v/>
      </c>
      <c r="AH89" s="21">
        <f>IF(AND($A89="",$B89=""),"",IF(AND(ISNUMBER($I89),N($I89)&gt;0),$I89,0))</f>
        <v/>
      </c>
      <c r="AI89" s="23">
        <f>IF(AND(NOT(AND($A89="",$B89="")),$K89="Point",N($L89)&gt;0),SQRT(N($L89)/PI()),"")</f>
        <v/>
      </c>
      <c r="AJ89" s="21">
        <f>IF(AND($A89="",$B89=""),"",IFERROR(VLOOKUP($G89,Lists!$D$4:$E$15,2,FALSE),"Not reported"))</f>
        <v/>
      </c>
      <c r="AK89" s="21">
        <f>IF(AND($A89="",$B89=""),"",IF($X89&lt;&gt;"",$X89,IF($T89&lt;&gt;"Y","Not assessed",IF(AND(ISNUMBER($V89),Setup!$B$6-$V89&gt;Setup!$B$26),"Assessment outdated",IF(NOT(ISNUMBER($W89)),"Assessed – no score",IF($W89&gt;=Setup!$B$24,"High",IF($W89&gt;=Setup!$B$25,"Moderate","Low")))))))</f>
        <v/>
      </c>
      <c r="AL89" s="21">
        <f>IF(AND($A89="",$B89=""),"",IF(Z89=0,"",IF(AND(AE89=1,N($R89)&gt;AD89*1.01+0.001),"Net terrestrial &gt; gross; ","")&amp;IF(AND(AE89=1,N($S89)&gt;AC89*1.01+0.001),"Net marine &gt; gross; ","")&amp;IF(AE89=0,"No net area – gross used, overlaps may be double-counted; ","")&amp;IF(AH89=0,"STATUS_YR missing – imputed in time series; ","")&amp;IF(AND(ISNUMBER($I89),N($I89)&gt;Setup!$B$6),"STATUS_YR after reporting year; ","")&amp;IF(OR($G89="",$G89="Not Reported"),"GOV_TYPE not reported; ","")&amp;IF(AND(N($J89)=1,$K89="Point",N($M89)&lt;=0),"Coastal point without REP_M_AREA – land/sea split unknown; ","")&amp;IF(AND(N($J89)=0,N($S89)&gt;0),"MARINE=0 but net marine &gt;0; ","")&amp;IF(AND(N($J89)=2,N($R89)&gt;0),"MARINE=2 but net terrestrial &gt;0; ","")&amp;IF($K89="Point","Buffered point – coverage approximate; ","")))</f>
        <v/>
      </c>
    </row>
    <row r="90">
      <c r="A90" s="19" t="n"/>
      <c r="B90" s="19" t="n"/>
      <c r="C90" s="19" t="n"/>
      <c r="D90" s="19" t="n"/>
      <c r="E90" s="19" t="n"/>
      <c r="F90" s="19" t="n"/>
      <c r="G90" s="19" t="n"/>
      <c r="H90" s="19" t="n"/>
      <c r="I90" s="19" t="n"/>
      <c r="J90" s="19" t="n"/>
      <c r="K90" s="19" t="n"/>
      <c r="L90" s="20" t="n"/>
      <c r="M90" s="20" t="n"/>
      <c r="N90" s="20" t="n"/>
      <c r="O90" s="20" t="n"/>
      <c r="P90" s="19" t="n"/>
      <c r="Q90" s="19" t="n"/>
      <c r="R90" s="20" t="n"/>
      <c r="S90" s="20" t="n"/>
      <c r="T90" s="19" t="n"/>
      <c r="U90" s="19" t="n"/>
      <c r="V90" s="19" t="n"/>
      <c r="W90" s="19" t="n"/>
      <c r="X90" s="19" t="n"/>
      <c r="Y90" s="19" t="n"/>
      <c r="Z90" s="21">
        <f>IF(AND($A90="",$B90=""),"",IF(OR($E90="",$H90="",$H90="Proposed",$H90="Not Reported"),0,IF(AND($P90="Y",$Q90&lt;&gt;"Y"),0,IF(AND($K90="Point",N($L90)&lt;=0),0,IF(AND(N($L90)&lt;=0,N($N90)&lt;=0,N($R90)+N($S90)&lt;=0),0,1)))))</f>
        <v/>
      </c>
      <c r="AA90" s="21">
        <f>IF(AND($A90="",$B90=""),"",IF($E90="","Site type missing",IF($H90="","STATUS missing",IF($H90="Proposed","STATUS = Proposed",IF($H90="Not Reported","STATUS = Not Reported",IF(AND($P90="Y",$Q90&lt;&gt;"Y"),"UNESCO-MAB Biosphere Reserve",IF(AND($K90="Point",N($L90)&lt;=0),"Point without REP_AREA",IF(AND(N($L90)&lt;=0,N($N90)&lt;=0,N($R90)+N($S90)&lt;=0),"No area information",""))))))))</f>
        <v/>
      </c>
      <c r="AB90" s="22">
        <f>IF(AND($A90="",$B90=""),"",IF($K90="Point",N($L90),IF(N($N90)&gt;0,N($N90),N($L90))))</f>
        <v/>
      </c>
      <c r="AC90" s="22">
        <f>IF(AND($A90="",$B90=""),"",MIN(AB90,IF(N($J90)=0,0,IF(N($J90)=2,AB90,IF(AND($K90&lt;&gt;"Point",N($O90)&gt;0),N($O90),N($M90))))))</f>
        <v/>
      </c>
      <c r="AD90" s="22">
        <f>IF(AND($A90="",$B90=""),"",MAX(0,AB90-AC90))</f>
        <v/>
      </c>
      <c r="AE90" s="21">
        <f>IF(AND($A90="",$B90=""),"",IF(OR($R90&lt;&gt;"",$S90&lt;&gt;""),1,0))</f>
        <v/>
      </c>
      <c r="AF90" s="22">
        <f>IF(AND($A90="",$B90=""),"",IF(Z90=1,IF(AE90=1,N($R90),AD90),0))</f>
        <v/>
      </c>
      <c r="AG90" s="22">
        <f>IF(AND($A90="",$B90=""),"",IF(Z90=1,IF(AE90=1,N($S90),AC90),0))</f>
        <v/>
      </c>
      <c r="AH90" s="21">
        <f>IF(AND($A90="",$B90=""),"",IF(AND(ISNUMBER($I90),N($I90)&gt;0),$I90,0))</f>
        <v/>
      </c>
      <c r="AI90" s="23">
        <f>IF(AND(NOT(AND($A90="",$B90="")),$K90="Point",N($L90)&gt;0),SQRT(N($L90)/PI()),"")</f>
        <v/>
      </c>
      <c r="AJ90" s="21">
        <f>IF(AND($A90="",$B90=""),"",IFERROR(VLOOKUP($G90,Lists!$D$4:$E$15,2,FALSE),"Not reported"))</f>
        <v/>
      </c>
      <c r="AK90" s="21">
        <f>IF(AND($A90="",$B90=""),"",IF($X90&lt;&gt;"",$X90,IF($T90&lt;&gt;"Y","Not assessed",IF(AND(ISNUMBER($V90),Setup!$B$6-$V90&gt;Setup!$B$26),"Assessment outdated",IF(NOT(ISNUMBER($W90)),"Assessed – no score",IF($W90&gt;=Setup!$B$24,"High",IF($W90&gt;=Setup!$B$25,"Moderate","Low")))))))</f>
        <v/>
      </c>
      <c r="AL90" s="21">
        <f>IF(AND($A90="",$B90=""),"",IF(Z90=0,"",IF(AND(AE90=1,N($R90)&gt;AD90*1.01+0.001),"Net terrestrial &gt; gross; ","")&amp;IF(AND(AE90=1,N($S90)&gt;AC90*1.01+0.001),"Net marine &gt; gross; ","")&amp;IF(AE90=0,"No net area – gross used, overlaps may be double-counted; ","")&amp;IF(AH90=0,"STATUS_YR missing – imputed in time series; ","")&amp;IF(AND(ISNUMBER($I90),N($I90)&gt;Setup!$B$6),"STATUS_YR after reporting year; ","")&amp;IF(OR($G90="",$G90="Not Reported"),"GOV_TYPE not reported; ","")&amp;IF(AND(N($J90)=1,$K90="Point",N($M90)&lt;=0),"Coastal point without REP_M_AREA – land/sea split unknown; ","")&amp;IF(AND(N($J90)=0,N($S90)&gt;0),"MARINE=0 but net marine &gt;0; ","")&amp;IF(AND(N($J90)=2,N($R90)&gt;0),"MARINE=2 but net terrestrial &gt;0; ","")&amp;IF($K90="Point","Buffered point – coverage approximate; ","")))</f>
        <v/>
      </c>
    </row>
    <row r="91">
      <c r="A91" s="19" t="n"/>
      <c r="B91" s="19" t="n"/>
      <c r="C91" s="19" t="n"/>
      <c r="D91" s="19" t="n"/>
      <c r="E91" s="19" t="n"/>
      <c r="F91" s="19" t="n"/>
      <c r="G91" s="19" t="n"/>
      <c r="H91" s="19" t="n"/>
      <c r="I91" s="19" t="n"/>
      <c r="J91" s="19" t="n"/>
      <c r="K91" s="19" t="n"/>
      <c r="L91" s="20" t="n"/>
      <c r="M91" s="20" t="n"/>
      <c r="N91" s="20" t="n"/>
      <c r="O91" s="20" t="n"/>
      <c r="P91" s="19" t="n"/>
      <c r="Q91" s="19" t="n"/>
      <c r="R91" s="20" t="n"/>
      <c r="S91" s="20" t="n"/>
      <c r="T91" s="19" t="n"/>
      <c r="U91" s="19" t="n"/>
      <c r="V91" s="19" t="n"/>
      <c r="W91" s="19" t="n"/>
      <c r="X91" s="19" t="n"/>
      <c r="Y91" s="19" t="n"/>
      <c r="Z91" s="21">
        <f>IF(AND($A91="",$B91=""),"",IF(OR($E91="",$H91="",$H91="Proposed",$H91="Not Reported"),0,IF(AND($P91="Y",$Q91&lt;&gt;"Y"),0,IF(AND($K91="Point",N($L91)&lt;=0),0,IF(AND(N($L91)&lt;=0,N($N91)&lt;=0,N($R91)+N($S91)&lt;=0),0,1)))))</f>
        <v/>
      </c>
      <c r="AA91" s="21">
        <f>IF(AND($A91="",$B91=""),"",IF($E91="","Site type missing",IF($H91="","STATUS missing",IF($H91="Proposed","STATUS = Proposed",IF($H91="Not Reported","STATUS = Not Reported",IF(AND($P91="Y",$Q91&lt;&gt;"Y"),"UNESCO-MAB Biosphere Reserve",IF(AND($K91="Point",N($L91)&lt;=0),"Point without REP_AREA",IF(AND(N($L91)&lt;=0,N($N91)&lt;=0,N($R91)+N($S91)&lt;=0),"No area information",""))))))))</f>
        <v/>
      </c>
      <c r="AB91" s="22">
        <f>IF(AND($A91="",$B91=""),"",IF($K91="Point",N($L91),IF(N($N91)&gt;0,N($N91),N($L91))))</f>
        <v/>
      </c>
      <c r="AC91" s="22">
        <f>IF(AND($A91="",$B91=""),"",MIN(AB91,IF(N($J91)=0,0,IF(N($J91)=2,AB91,IF(AND($K91&lt;&gt;"Point",N($O91)&gt;0),N($O91),N($M91))))))</f>
        <v/>
      </c>
      <c r="AD91" s="22">
        <f>IF(AND($A91="",$B91=""),"",MAX(0,AB91-AC91))</f>
        <v/>
      </c>
      <c r="AE91" s="21">
        <f>IF(AND($A91="",$B91=""),"",IF(OR($R91&lt;&gt;"",$S91&lt;&gt;""),1,0))</f>
        <v/>
      </c>
      <c r="AF91" s="22">
        <f>IF(AND($A91="",$B91=""),"",IF(Z91=1,IF(AE91=1,N($R91),AD91),0))</f>
        <v/>
      </c>
      <c r="AG91" s="22">
        <f>IF(AND($A91="",$B91=""),"",IF(Z91=1,IF(AE91=1,N($S91),AC91),0))</f>
        <v/>
      </c>
      <c r="AH91" s="21">
        <f>IF(AND($A91="",$B91=""),"",IF(AND(ISNUMBER($I91),N($I91)&gt;0),$I91,0))</f>
        <v/>
      </c>
      <c r="AI91" s="23">
        <f>IF(AND(NOT(AND($A91="",$B91="")),$K91="Point",N($L91)&gt;0),SQRT(N($L91)/PI()),"")</f>
        <v/>
      </c>
      <c r="AJ91" s="21">
        <f>IF(AND($A91="",$B91=""),"",IFERROR(VLOOKUP($G91,Lists!$D$4:$E$15,2,FALSE),"Not reported"))</f>
        <v/>
      </c>
      <c r="AK91" s="21">
        <f>IF(AND($A91="",$B91=""),"",IF($X91&lt;&gt;"",$X91,IF($T91&lt;&gt;"Y","Not assessed",IF(AND(ISNUMBER($V91),Setup!$B$6-$V91&gt;Setup!$B$26),"Assessment outdated",IF(NOT(ISNUMBER($W91)),"Assessed – no score",IF($W91&gt;=Setup!$B$24,"High",IF($W91&gt;=Setup!$B$25,"Moderate","Low")))))))</f>
        <v/>
      </c>
      <c r="AL91" s="21">
        <f>IF(AND($A91="",$B91=""),"",IF(Z91=0,"",IF(AND(AE91=1,N($R91)&gt;AD91*1.01+0.001),"Net terrestrial &gt; gross; ","")&amp;IF(AND(AE91=1,N($S91)&gt;AC91*1.01+0.001),"Net marine &gt; gross; ","")&amp;IF(AE91=0,"No net area – gross used, overlaps may be double-counted; ","")&amp;IF(AH91=0,"STATUS_YR missing – imputed in time series; ","")&amp;IF(AND(ISNUMBER($I91),N($I91)&gt;Setup!$B$6),"STATUS_YR after reporting year; ","")&amp;IF(OR($G91="",$G91="Not Reported"),"GOV_TYPE not reported; ","")&amp;IF(AND(N($J91)=1,$K91="Point",N($M91)&lt;=0),"Coastal point without REP_M_AREA – land/sea split unknown; ","")&amp;IF(AND(N($J91)=0,N($S91)&gt;0),"MARINE=0 but net marine &gt;0; ","")&amp;IF(AND(N($J91)=2,N($R91)&gt;0),"MARINE=2 but net terrestrial &gt;0; ","")&amp;IF($K91="Point","Buffered point – coverage approximate; ","")))</f>
        <v/>
      </c>
    </row>
    <row r="92">
      <c r="A92" s="19" t="n"/>
      <c r="B92" s="19" t="n"/>
      <c r="C92" s="19" t="n"/>
      <c r="D92" s="19" t="n"/>
      <c r="E92" s="19" t="n"/>
      <c r="F92" s="19" t="n"/>
      <c r="G92" s="19" t="n"/>
      <c r="H92" s="19" t="n"/>
      <c r="I92" s="19" t="n"/>
      <c r="J92" s="19" t="n"/>
      <c r="K92" s="19" t="n"/>
      <c r="L92" s="20" t="n"/>
      <c r="M92" s="20" t="n"/>
      <c r="N92" s="20" t="n"/>
      <c r="O92" s="20" t="n"/>
      <c r="P92" s="19" t="n"/>
      <c r="Q92" s="19" t="n"/>
      <c r="R92" s="20" t="n"/>
      <c r="S92" s="20" t="n"/>
      <c r="T92" s="19" t="n"/>
      <c r="U92" s="19" t="n"/>
      <c r="V92" s="19" t="n"/>
      <c r="W92" s="19" t="n"/>
      <c r="X92" s="19" t="n"/>
      <c r="Y92" s="19" t="n"/>
      <c r="Z92" s="21">
        <f>IF(AND($A92="",$B92=""),"",IF(OR($E92="",$H92="",$H92="Proposed",$H92="Not Reported"),0,IF(AND($P92="Y",$Q92&lt;&gt;"Y"),0,IF(AND($K92="Point",N($L92)&lt;=0),0,IF(AND(N($L92)&lt;=0,N($N92)&lt;=0,N($R92)+N($S92)&lt;=0),0,1)))))</f>
        <v/>
      </c>
      <c r="AA92" s="21">
        <f>IF(AND($A92="",$B92=""),"",IF($E92="","Site type missing",IF($H92="","STATUS missing",IF($H92="Proposed","STATUS = Proposed",IF($H92="Not Reported","STATUS = Not Reported",IF(AND($P92="Y",$Q92&lt;&gt;"Y"),"UNESCO-MAB Biosphere Reserve",IF(AND($K92="Point",N($L92)&lt;=0),"Point without REP_AREA",IF(AND(N($L92)&lt;=0,N($N92)&lt;=0,N($R92)+N($S92)&lt;=0),"No area information",""))))))))</f>
        <v/>
      </c>
      <c r="AB92" s="22">
        <f>IF(AND($A92="",$B92=""),"",IF($K92="Point",N($L92),IF(N($N92)&gt;0,N($N92),N($L92))))</f>
        <v/>
      </c>
      <c r="AC92" s="22">
        <f>IF(AND($A92="",$B92=""),"",MIN(AB92,IF(N($J92)=0,0,IF(N($J92)=2,AB92,IF(AND($K92&lt;&gt;"Point",N($O92)&gt;0),N($O92),N($M92))))))</f>
        <v/>
      </c>
      <c r="AD92" s="22">
        <f>IF(AND($A92="",$B92=""),"",MAX(0,AB92-AC92))</f>
        <v/>
      </c>
      <c r="AE92" s="21">
        <f>IF(AND($A92="",$B92=""),"",IF(OR($R92&lt;&gt;"",$S92&lt;&gt;""),1,0))</f>
        <v/>
      </c>
      <c r="AF92" s="22">
        <f>IF(AND($A92="",$B92=""),"",IF(Z92=1,IF(AE92=1,N($R92),AD92),0))</f>
        <v/>
      </c>
      <c r="AG92" s="22">
        <f>IF(AND($A92="",$B92=""),"",IF(Z92=1,IF(AE92=1,N($S92),AC92),0))</f>
        <v/>
      </c>
      <c r="AH92" s="21">
        <f>IF(AND($A92="",$B92=""),"",IF(AND(ISNUMBER($I92),N($I92)&gt;0),$I92,0))</f>
        <v/>
      </c>
      <c r="AI92" s="23">
        <f>IF(AND(NOT(AND($A92="",$B92="")),$K92="Point",N($L92)&gt;0),SQRT(N($L92)/PI()),"")</f>
        <v/>
      </c>
      <c r="AJ92" s="21">
        <f>IF(AND($A92="",$B92=""),"",IFERROR(VLOOKUP($G92,Lists!$D$4:$E$15,2,FALSE),"Not reported"))</f>
        <v/>
      </c>
      <c r="AK92" s="21">
        <f>IF(AND($A92="",$B92=""),"",IF($X92&lt;&gt;"",$X92,IF($T92&lt;&gt;"Y","Not assessed",IF(AND(ISNUMBER($V92),Setup!$B$6-$V92&gt;Setup!$B$26),"Assessment outdated",IF(NOT(ISNUMBER($W92)),"Assessed – no score",IF($W92&gt;=Setup!$B$24,"High",IF($W92&gt;=Setup!$B$25,"Moderate","Low")))))))</f>
        <v/>
      </c>
      <c r="AL92" s="21">
        <f>IF(AND($A92="",$B92=""),"",IF(Z92=0,"",IF(AND(AE92=1,N($R92)&gt;AD92*1.01+0.001),"Net terrestrial &gt; gross; ","")&amp;IF(AND(AE92=1,N($S92)&gt;AC92*1.01+0.001),"Net marine &gt; gross; ","")&amp;IF(AE92=0,"No net area – gross used, overlaps may be double-counted; ","")&amp;IF(AH92=0,"STATUS_YR missing – imputed in time series; ","")&amp;IF(AND(ISNUMBER($I92),N($I92)&gt;Setup!$B$6),"STATUS_YR after reporting year; ","")&amp;IF(OR($G92="",$G92="Not Reported"),"GOV_TYPE not reported; ","")&amp;IF(AND(N($J92)=1,$K92="Point",N($M92)&lt;=0),"Coastal point without REP_M_AREA – land/sea split unknown; ","")&amp;IF(AND(N($J92)=0,N($S92)&gt;0),"MARINE=0 but net marine &gt;0; ","")&amp;IF(AND(N($J92)=2,N($R92)&gt;0),"MARINE=2 but net terrestrial &gt;0; ","")&amp;IF($K92="Point","Buffered point – coverage approximate; ","")))</f>
        <v/>
      </c>
    </row>
    <row r="93">
      <c r="A93" s="19" t="n"/>
      <c r="B93" s="19" t="n"/>
      <c r="C93" s="19" t="n"/>
      <c r="D93" s="19" t="n"/>
      <c r="E93" s="19" t="n"/>
      <c r="F93" s="19" t="n"/>
      <c r="G93" s="19" t="n"/>
      <c r="H93" s="19" t="n"/>
      <c r="I93" s="19" t="n"/>
      <c r="J93" s="19" t="n"/>
      <c r="K93" s="19" t="n"/>
      <c r="L93" s="20" t="n"/>
      <c r="M93" s="20" t="n"/>
      <c r="N93" s="20" t="n"/>
      <c r="O93" s="20" t="n"/>
      <c r="P93" s="19" t="n"/>
      <c r="Q93" s="19" t="n"/>
      <c r="R93" s="20" t="n"/>
      <c r="S93" s="20" t="n"/>
      <c r="T93" s="19" t="n"/>
      <c r="U93" s="19" t="n"/>
      <c r="V93" s="19" t="n"/>
      <c r="W93" s="19" t="n"/>
      <c r="X93" s="19" t="n"/>
      <c r="Y93" s="19" t="n"/>
      <c r="Z93" s="21">
        <f>IF(AND($A93="",$B93=""),"",IF(OR($E93="",$H93="",$H93="Proposed",$H93="Not Reported"),0,IF(AND($P93="Y",$Q93&lt;&gt;"Y"),0,IF(AND($K93="Point",N($L93)&lt;=0),0,IF(AND(N($L93)&lt;=0,N($N93)&lt;=0,N($R93)+N($S93)&lt;=0),0,1)))))</f>
        <v/>
      </c>
      <c r="AA93" s="21">
        <f>IF(AND($A93="",$B93=""),"",IF($E93="","Site type missing",IF($H93="","STATUS missing",IF($H93="Proposed","STATUS = Proposed",IF($H93="Not Reported","STATUS = Not Reported",IF(AND($P93="Y",$Q93&lt;&gt;"Y"),"UNESCO-MAB Biosphere Reserve",IF(AND($K93="Point",N($L93)&lt;=0),"Point without REP_AREA",IF(AND(N($L93)&lt;=0,N($N93)&lt;=0,N($R93)+N($S93)&lt;=0),"No area information",""))))))))</f>
        <v/>
      </c>
      <c r="AB93" s="22">
        <f>IF(AND($A93="",$B93=""),"",IF($K93="Point",N($L93),IF(N($N93)&gt;0,N($N93),N($L93))))</f>
        <v/>
      </c>
      <c r="AC93" s="22">
        <f>IF(AND($A93="",$B93=""),"",MIN(AB93,IF(N($J93)=0,0,IF(N($J93)=2,AB93,IF(AND($K93&lt;&gt;"Point",N($O93)&gt;0),N($O93),N($M93))))))</f>
        <v/>
      </c>
      <c r="AD93" s="22">
        <f>IF(AND($A93="",$B93=""),"",MAX(0,AB93-AC93))</f>
        <v/>
      </c>
      <c r="AE93" s="21">
        <f>IF(AND($A93="",$B93=""),"",IF(OR($R93&lt;&gt;"",$S93&lt;&gt;""),1,0))</f>
        <v/>
      </c>
      <c r="AF93" s="22">
        <f>IF(AND($A93="",$B93=""),"",IF(Z93=1,IF(AE93=1,N($R93),AD93),0))</f>
        <v/>
      </c>
      <c r="AG93" s="22">
        <f>IF(AND($A93="",$B93=""),"",IF(Z93=1,IF(AE93=1,N($S93),AC93),0))</f>
        <v/>
      </c>
      <c r="AH93" s="21">
        <f>IF(AND($A93="",$B93=""),"",IF(AND(ISNUMBER($I93),N($I93)&gt;0),$I93,0))</f>
        <v/>
      </c>
      <c r="AI93" s="23">
        <f>IF(AND(NOT(AND($A93="",$B93="")),$K93="Point",N($L93)&gt;0),SQRT(N($L93)/PI()),"")</f>
        <v/>
      </c>
      <c r="AJ93" s="21">
        <f>IF(AND($A93="",$B93=""),"",IFERROR(VLOOKUP($G93,Lists!$D$4:$E$15,2,FALSE),"Not reported"))</f>
        <v/>
      </c>
      <c r="AK93" s="21">
        <f>IF(AND($A93="",$B93=""),"",IF($X93&lt;&gt;"",$X93,IF($T93&lt;&gt;"Y","Not assessed",IF(AND(ISNUMBER($V93),Setup!$B$6-$V93&gt;Setup!$B$26),"Assessment outdated",IF(NOT(ISNUMBER($W93)),"Assessed – no score",IF($W93&gt;=Setup!$B$24,"High",IF($W93&gt;=Setup!$B$25,"Moderate","Low")))))))</f>
        <v/>
      </c>
      <c r="AL93" s="21">
        <f>IF(AND($A93="",$B93=""),"",IF(Z93=0,"",IF(AND(AE93=1,N($R93)&gt;AD93*1.01+0.001),"Net terrestrial &gt; gross; ","")&amp;IF(AND(AE93=1,N($S93)&gt;AC93*1.01+0.001),"Net marine &gt; gross; ","")&amp;IF(AE93=0,"No net area – gross used, overlaps may be double-counted; ","")&amp;IF(AH93=0,"STATUS_YR missing – imputed in time series; ","")&amp;IF(AND(ISNUMBER($I93),N($I93)&gt;Setup!$B$6),"STATUS_YR after reporting year; ","")&amp;IF(OR($G93="",$G93="Not Reported"),"GOV_TYPE not reported; ","")&amp;IF(AND(N($J93)=1,$K93="Point",N($M93)&lt;=0),"Coastal point without REP_M_AREA – land/sea split unknown; ","")&amp;IF(AND(N($J93)=0,N($S93)&gt;0),"MARINE=0 but net marine &gt;0; ","")&amp;IF(AND(N($J93)=2,N($R93)&gt;0),"MARINE=2 but net terrestrial &gt;0; ","")&amp;IF($K93="Point","Buffered point – coverage approximate; ","")))</f>
        <v/>
      </c>
    </row>
    <row r="94">
      <c r="A94" s="19" t="n"/>
      <c r="B94" s="19" t="n"/>
      <c r="C94" s="19" t="n"/>
      <c r="D94" s="19" t="n"/>
      <c r="E94" s="19" t="n"/>
      <c r="F94" s="19" t="n"/>
      <c r="G94" s="19" t="n"/>
      <c r="H94" s="19" t="n"/>
      <c r="I94" s="19" t="n"/>
      <c r="J94" s="19" t="n"/>
      <c r="K94" s="19" t="n"/>
      <c r="L94" s="20" t="n"/>
      <c r="M94" s="20" t="n"/>
      <c r="N94" s="20" t="n"/>
      <c r="O94" s="20" t="n"/>
      <c r="P94" s="19" t="n"/>
      <c r="Q94" s="19" t="n"/>
      <c r="R94" s="20" t="n"/>
      <c r="S94" s="20" t="n"/>
      <c r="T94" s="19" t="n"/>
      <c r="U94" s="19" t="n"/>
      <c r="V94" s="19" t="n"/>
      <c r="W94" s="19" t="n"/>
      <c r="X94" s="19" t="n"/>
      <c r="Y94" s="19" t="n"/>
      <c r="Z94" s="21">
        <f>IF(AND($A94="",$B94=""),"",IF(OR($E94="",$H94="",$H94="Proposed",$H94="Not Reported"),0,IF(AND($P94="Y",$Q94&lt;&gt;"Y"),0,IF(AND($K94="Point",N($L94)&lt;=0),0,IF(AND(N($L94)&lt;=0,N($N94)&lt;=0,N($R94)+N($S94)&lt;=0),0,1)))))</f>
        <v/>
      </c>
      <c r="AA94" s="21">
        <f>IF(AND($A94="",$B94=""),"",IF($E94="","Site type missing",IF($H94="","STATUS missing",IF($H94="Proposed","STATUS = Proposed",IF($H94="Not Reported","STATUS = Not Reported",IF(AND($P94="Y",$Q94&lt;&gt;"Y"),"UNESCO-MAB Biosphere Reserve",IF(AND($K94="Point",N($L94)&lt;=0),"Point without REP_AREA",IF(AND(N($L94)&lt;=0,N($N94)&lt;=0,N($R94)+N($S94)&lt;=0),"No area information",""))))))))</f>
        <v/>
      </c>
      <c r="AB94" s="22">
        <f>IF(AND($A94="",$B94=""),"",IF($K94="Point",N($L94),IF(N($N94)&gt;0,N($N94),N($L94))))</f>
        <v/>
      </c>
      <c r="AC94" s="22">
        <f>IF(AND($A94="",$B94=""),"",MIN(AB94,IF(N($J94)=0,0,IF(N($J94)=2,AB94,IF(AND($K94&lt;&gt;"Point",N($O94)&gt;0),N($O94),N($M94))))))</f>
        <v/>
      </c>
      <c r="AD94" s="22">
        <f>IF(AND($A94="",$B94=""),"",MAX(0,AB94-AC94))</f>
        <v/>
      </c>
      <c r="AE94" s="21">
        <f>IF(AND($A94="",$B94=""),"",IF(OR($R94&lt;&gt;"",$S94&lt;&gt;""),1,0))</f>
        <v/>
      </c>
      <c r="AF94" s="22">
        <f>IF(AND($A94="",$B94=""),"",IF(Z94=1,IF(AE94=1,N($R94),AD94),0))</f>
        <v/>
      </c>
      <c r="AG94" s="22">
        <f>IF(AND($A94="",$B94=""),"",IF(Z94=1,IF(AE94=1,N($S94),AC94),0))</f>
        <v/>
      </c>
      <c r="AH94" s="21">
        <f>IF(AND($A94="",$B94=""),"",IF(AND(ISNUMBER($I94),N($I94)&gt;0),$I94,0))</f>
        <v/>
      </c>
      <c r="AI94" s="23">
        <f>IF(AND(NOT(AND($A94="",$B94="")),$K94="Point",N($L94)&gt;0),SQRT(N($L94)/PI()),"")</f>
        <v/>
      </c>
      <c r="AJ94" s="21">
        <f>IF(AND($A94="",$B94=""),"",IFERROR(VLOOKUP($G94,Lists!$D$4:$E$15,2,FALSE),"Not reported"))</f>
        <v/>
      </c>
      <c r="AK94" s="21">
        <f>IF(AND($A94="",$B94=""),"",IF($X94&lt;&gt;"",$X94,IF($T94&lt;&gt;"Y","Not assessed",IF(AND(ISNUMBER($V94),Setup!$B$6-$V94&gt;Setup!$B$26),"Assessment outdated",IF(NOT(ISNUMBER($W94)),"Assessed – no score",IF($W94&gt;=Setup!$B$24,"High",IF($W94&gt;=Setup!$B$25,"Moderate","Low")))))))</f>
        <v/>
      </c>
      <c r="AL94" s="21">
        <f>IF(AND($A94="",$B94=""),"",IF(Z94=0,"",IF(AND(AE94=1,N($R94)&gt;AD94*1.01+0.001),"Net terrestrial &gt; gross; ","")&amp;IF(AND(AE94=1,N($S94)&gt;AC94*1.01+0.001),"Net marine &gt; gross; ","")&amp;IF(AE94=0,"No net area – gross used, overlaps may be double-counted; ","")&amp;IF(AH94=0,"STATUS_YR missing – imputed in time series; ","")&amp;IF(AND(ISNUMBER($I94),N($I94)&gt;Setup!$B$6),"STATUS_YR after reporting year; ","")&amp;IF(OR($G94="",$G94="Not Reported"),"GOV_TYPE not reported; ","")&amp;IF(AND(N($J94)=1,$K94="Point",N($M94)&lt;=0),"Coastal point without REP_M_AREA – land/sea split unknown; ","")&amp;IF(AND(N($J94)=0,N($S94)&gt;0),"MARINE=0 but net marine &gt;0; ","")&amp;IF(AND(N($J94)=2,N($R94)&gt;0),"MARINE=2 but net terrestrial &gt;0; ","")&amp;IF($K94="Point","Buffered point – coverage approximate; ","")))</f>
        <v/>
      </c>
    </row>
    <row r="95">
      <c r="A95" s="19" t="n"/>
      <c r="B95" s="19" t="n"/>
      <c r="C95" s="19" t="n"/>
      <c r="D95" s="19" t="n"/>
      <c r="E95" s="19" t="n"/>
      <c r="F95" s="19" t="n"/>
      <c r="G95" s="19" t="n"/>
      <c r="H95" s="19" t="n"/>
      <c r="I95" s="19" t="n"/>
      <c r="J95" s="19" t="n"/>
      <c r="K95" s="19" t="n"/>
      <c r="L95" s="20" t="n"/>
      <c r="M95" s="20" t="n"/>
      <c r="N95" s="20" t="n"/>
      <c r="O95" s="20" t="n"/>
      <c r="P95" s="19" t="n"/>
      <c r="Q95" s="19" t="n"/>
      <c r="R95" s="20" t="n"/>
      <c r="S95" s="20" t="n"/>
      <c r="T95" s="19" t="n"/>
      <c r="U95" s="19" t="n"/>
      <c r="V95" s="19" t="n"/>
      <c r="W95" s="19" t="n"/>
      <c r="X95" s="19" t="n"/>
      <c r="Y95" s="19" t="n"/>
      <c r="Z95" s="21">
        <f>IF(AND($A95="",$B95=""),"",IF(OR($E95="",$H95="",$H95="Proposed",$H95="Not Reported"),0,IF(AND($P95="Y",$Q95&lt;&gt;"Y"),0,IF(AND($K95="Point",N($L95)&lt;=0),0,IF(AND(N($L95)&lt;=0,N($N95)&lt;=0,N($R95)+N($S95)&lt;=0),0,1)))))</f>
        <v/>
      </c>
      <c r="AA95" s="21">
        <f>IF(AND($A95="",$B95=""),"",IF($E95="","Site type missing",IF($H95="","STATUS missing",IF($H95="Proposed","STATUS = Proposed",IF($H95="Not Reported","STATUS = Not Reported",IF(AND($P95="Y",$Q95&lt;&gt;"Y"),"UNESCO-MAB Biosphere Reserve",IF(AND($K95="Point",N($L95)&lt;=0),"Point without REP_AREA",IF(AND(N($L95)&lt;=0,N($N95)&lt;=0,N($R95)+N($S95)&lt;=0),"No area information",""))))))))</f>
        <v/>
      </c>
      <c r="AB95" s="22">
        <f>IF(AND($A95="",$B95=""),"",IF($K95="Point",N($L95),IF(N($N95)&gt;0,N($N95),N($L95))))</f>
        <v/>
      </c>
      <c r="AC95" s="22">
        <f>IF(AND($A95="",$B95=""),"",MIN(AB95,IF(N($J95)=0,0,IF(N($J95)=2,AB95,IF(AND($K95&lt;&gt;"Point",N($O95)&gt;0),N($O95),N($M95))))))</f>
        <v/>
      </c>
      <c r="AD95" s="22">
        <f>IF(AND($A95="",$B95=""),"",MAX(0,AB95-AC95))</f>
        <v/>
      </c>
      <c r="AE95" s="21">
        <f>IF(AND($A95="",$B95=""),"",IF(OR($R95&lt;&gt;"",$S95&lt;&gt;""),1,0))</f>
        <v/>
      </c>
      <c r="AF95" s="22">
        <f>IF(AND($A95="",$B95=""),"",IF(Z95=1,IF(AE95=1,N($R95),AD95),0))</f>
        <v/>
      </c>
      <c r="AG95" s="22">
        <f>IF(AND($A95="",$B95=""),"",IF(Z95=1,IF(AE95=1,N($S95),AC95),0))</f>
        <v/>
      </c>
      <c r="AH95" s="21">
        <f>IF(AND($A95="",$B95=""),"",IF(AND(ISNUMBER($I95),N($I95)&gt;0),$I95,0))</f>
        <v/>
      </c>
      <c r="AI95" s="23">
        <f>IF(AND(NOT(AND($A95="",$B95="")),$K95="Point",N($L95)&gt;0),SQRT(N($L95)/PI()),"")</f>
        <v/>
      </c>
      <c r="AJ95" s="21">
        <f>IF(AND($A95="",$B95=""),"",IFERROR(VLOOKUP($G95,Lists!$D$4:$E$15,2,FALSE),"Not reported"))</f>
        <v/>
      </c>
      <c r="AK95" s="21">
        <f>IF(AND($A95="",$B95=""),"",IF($X95&lt;&gt;"",$X95,IF($T95&lt;&gt;"Y","Not assessed",IF(AND(ISNUMBER($V95),Setup!$B$6-$V95&gt;Setup!$B$26),"Assessment outdated",IF(NOT(ISNUMBER($W95)),"Assessed – no score",IF($W95&gt;=Setup!$B$24,"High",IF($W95&gt;=Setup!$B$25,"Moderate","Low")))))))</f>
        <v/>
      </c>
      <c r="AL95" s="21">
        <f>IF(AND($A95="",$B95=""),"",IF(Z95=0,"",IF(AND(AE95=1,N($R95)&gt;AD95*1.01+0.001),"Net terrestrial &gt; gross; ","")&amp;IF(AND(AE95=1,N($S95)&gt;AC95*1.01+0.001),"Net marine &gt; gross; ","")&amp;IF(AE95=0,"No net area – gross used, overlaps may be double-counted; ","")&amp;IF(AH95=0,"STATUS_YR missing – imputed in time series; ","")&amp;IF(AND(ISNUMBER($I95),N($I95)&gt;Setup!$B$6),"STATUS_YR after reporting year; ","")&amp;IF(OR($G95="",$G95="Not Reported"),"GOV_TYPE not reported; ","")&amp;IF(AND(N($J95)=1,$K95="Point",N($M95)&lt;=0),"Coastal point without REP_M_AREA – land/sea split unknown; ","")&amp;IF(AND(N($J95)=0,N($S95)&gt;0),"MARINE=0 but net marine &gt;0; ","")&amp;IF(AND(N($J95)=2,N($R95)&gt;0),"MARINE=2 but net terrestrial &gt;0; ","")&amp;IF($K95="Point","Buffered point – coverage approximate; ","")))</f>
        <v/>
      </c>
    </row>
    <row r="96">
      <c r="A96" s="19" t="n"/>
      <c r="B96" s="19" t="n"/>
      <c r="C96" s="19" t="n"/>
      <c r="D96" s="19" t="n"/>
      <c r="E96" s="19" t="n"/>
      <c r="F96" s="19" t="n"/>
      <c r="G96" s="19" t="n"/>
      <c r="H96" s="19" t="n"/>
      <c r="I96" s="19" t="n"/>
      <c r="J96" s="19" t="n"/>
      <c r="K96" s="19" t="n"/>
      <c r="L96" s="20" t="n"/>
      <c r="M96" s="20" t="n"/>
      <c r="N96" s="20" t="n"/>
      <c r="O96" s="20" t="n"/>
      <c r="P96" s="19" t="n"/>
      <c r="Q96" s="19" t="n"/>
      <c r="R96" s="20" t="n"/>
      <c r="S96" s="20" t="n"/>
      <c r="T96" s="19" t="n"/>
      <c r="U96" s="19" t="n"/>
      <c r="V96" s="19" t="n"/>
      <c r="W96" s="19" t="n"/>
      <c r="X96" s="19" t="n"/>
      <c r="Y96" s="19" t="n"/>
      <c r="Z96" s="21">
        <f>IF(AND($A96="",$B96=""),"",IF(OR($E96="",$H96="",$H96="Proposed",$H96="Not Reported"),0,IF(AND($P96="Y",$Q96&lt;&gt;"Y"),0,IF(AND($K96="Point",N($L96)&lt;=0),0,IF(AND(N($L96)&lt;=0,N($N96)&lt;=0,N($R96)+N($S96)&lt;=0),0,1)))))</f>
        <v/>
      </c>
      <c r="AA96" s="21">
        <f>IF(AND($A96="",$B96=""),"",IF($E96="","Site type missing",IF($H96="","STATUS missing",IF($H96="Proposed","STATUS = Proposed",IF($H96="Not Reported","STATUS = Not Reported",IF(AND($P96="Y",$Q96&lt;&gt;"Y"),"UNESCO-MAB Biosphere Reserve",IF(AND($K96="Point",N($L96)&lt;=0),"Point without REP_AREA",IF(AND(N($L96)&lt;=0,N($N96)&lt;=0,N($R96)+N($S96)&lt;=0),"No area information",""))))))))</f>
        <v/>
      </c>
      <c r="AB96" s="22">
        <f>IF(AND($A96="",$B96=""),"",IF($K96="Point",N($L96),IF(N($N96)&gt;0,N($N96),N($L96))))</f>
        <v/>
      </c>
      <c r="AC96" s="22">
        <f>IF(AND($A96="",$B96=""),"",MIN(AB96,IF(N($J96)=0,0,IF(N($J96)=2,AB96,IF(AND($K96&lt;&gt;"Point",N($O96)&gt;0),N($O96),N($M96))))))</f>
        <v/>
      </c>
      <c r="AD96" s="22">
        <f>IF(AND($A96="",$B96=""),"",MAX(0,AB96-AC96))</f>
        <v/>
      </c>
      <c r="AE96" s="21">
        <f>IF(AND($A96="",$B96=""),"",IF(OR($R96&lt;&gt;"",$S96&lt;&gt;""),1,0))</f>
        <v/>
      </c>
      <c r="AF96" s="22">
        <f>IF(AND($A96="",$B96=""),"",IF(Z96=1,IF(AE96=1,N($R96),AD96),0))</f>
        <v/>
      </c>
      <c r="AG96" s="22">
        <f>IF(AND($A96="",$B96=""),"",IF(Z96=1,IF(AE96=1,N($S96),AC96),0))</f>
        <v/>
      </c>
      <c r="AH96" s="21">
        <f>IF(AND($A96="",$B96=""),"",IF(AND(ISNUMBER($I96),N($I96)&gt;0),$I96,0))</f>
        <v/>
      </c>
      <c r="AI96" s="23">
        <f>IF(AND(NOT(AND($A96="",$B96="")),$K96="Point",N($L96)&gt;0),SQRT(N($L96)/PI()),"")</f>
        <v/>
      </c>
      <c r="AJ96" s="21">
        <f>IF(AND($A96="",$B96=""),"",IFERROR(VLOOKUP($G96,Lists!$D$4:$E$15,2,FALSE),"Not reported"))</f>
        <v/>
      </c>
      <c r="AK96" s="21">
        <f>IF(AND($A96="",$B96=""),"",IF($X96&lt;&gt;"",$X96,IF($T96&lt;&gt;"Y","Not assessed",IF(AND(ISNUMBER($V96),Setup!$B$6-$V96&gt;Setup!$B$26),"Assessment outdated",IF(NOT(ISNUMBER($W96)),"Assessed – no score",IF($W96&gt;=Setup!$B$24,"High",IF($W96&gt;=Setup!$B$25,"Moderate","Low")))))))</f>
        <v/>
      </c>
      <c r="AL96" s="21">
        <f>IF(AND($A96="",$B96=""),"",IF(Z96=0,"",IF(AND(AE96=1,N($R96)&gt;AD96*1.01+0.001),"Net terrestrial &gt; gross; ","")&amp;IF(AND(AE96=1,N($S96)&gt;AC96*1.01+0.001),"Net marine &gt; gross; ","")&amp;IF(AE96=0,"No net area – gross used, overlaps may be double-counted; ","")&amp;IF(AH96=0,"STATUS_YR missing – imputed in time series; ","")&amp;IF(AND(ISNUMBER($I96),N($I96)&gt;Setup!$B$6),"STATUS_YR after reporting year; ","")&amp;IF(OR($G96="",$G96="Not Reported"),"GOV_TYPE not reported; ","")&amp;IF(AND(N($J96)=1,$K96="Point",N($M96)&lt;=0),"Coastal point without REP_M_AREA – land/sea split unknown; ","")&amp;IF(AND(N($J96)=0,N($S96)&gt;0),"MARINE=0 but net marine &gt;0; ","")&amp;IF(AND(N($J96)=2,N($R96)&gt;0),"MARINE=2 but net terrestrial &gt;0; ","")&amp;IF($K96="Point","Buffered point – coverage approximate; ","")))</f>
        <v/>
      </c>
    </row>
    <row r="97">
      <c r="A97" s="19" t="n"/>
      <c r="B97" s="19" t="n"/>
      <c r="C97" s="19" t="n"/>
      <c r="D97" s="19" t="n"/>
      <c r="E97" s="19" t="n"/>
      <c r="F97" s="19" t="n"/>
      <c r="G97" s="19" t="n"/>
      <c r="H97" s="19" t="n"/>
      <c r="I97" s="19" t="n"/>
      <c r="J97" s="19" t="n"/>
      <c r="K97" s="19" t="n"/>
      <c r="L97" s="20" t="n"/>
      <c r="M97" s="20" t="n"/>
      <c r="N97" s="20" t="n"/>
      <c r="O97" s="20" t="n"/>
      <c r="P97" s="19" t="n"/>
      <c r="Q97" s="19" t="n"/>
      <c r="R97" s="20" t="n"/>
      <c r="S97" s="20" t="n"/>
      <c r="T97" s="19" t="n"/>
      <c r="U97" s="19" t="n"/>
      <c r="V97" s="19" t="n"/>
      <c r="W97" s="19" t="n"/>
      <c r="X97" s="19" t="n"/>
      <c r="Y97" s="19" t="n"/>
      <c r="Z97" s="21">
        <f>IF(AND($A97="",$B97=""),"",IF(OR($E97="",$H97="",$H97="Proposed",$H97="Not Reported"),0,IF(AND($P97="Y",$Q97&lt;&gt;"Y"),0,IF(AND($K97="Point",N($L97)&lt;=0),0,IF(AND(N($L97)&lt;=0,N($N97)&lt;=0,N($R97)+N($S97)&lt;=0),0,1)))))</f>
        <v/>
      </c>
      <c r="AA97" s="21">
        <f>IF(AND($A97="",$B97=""),"",IF($E97="","Site type missing",IF($H97="","STATUS missing",IF($H97="Proposed","STATUS = Proposed",IF($H97="Not Reported","STATUS = Not Reported",IF(AND($P97="Y",$Q97&lt;&gt;"Y"),"UNESCO-MAB Biosphere Reserve",IF(AND($K97="Point",N($L97)&lt;=0),"Point without REP_AREA",IF(AND(N($L97)&lt;=0,N($N97)&lt;=0,N($R97)+N($S97)&lt;=0),"No area information",""))))))))</f>
        <v/>
      </c>
      <c r="AB97" s="22">
        <f>IF(AND($A97="",$B97=""),"",IF($K97="Point",N($L97),IF(N($N97)&gt;0,N($N97),N($L97))))</f>
        <v/>
      </c>
      <c r="AC97" s="22">
        <f>IF(AND($A97="",$B97=""),"",MIN(AB97,IF(N($J97)=0,0,IF(N($J97)=2,AB97,IF(AND($K97&lt;&gt;"Point",N($O97)&gt;0),N($O97),N($M97))))))</f>
        <v/>
      </c>
      <c r="AD97" s="22">
        <f>IF(AND($A97="",$B97=""),"",MAX(0,AB97-AC97))</f>
        <v/>
      </c>
      <c r="AE97" s="21">
        <f>IF(AND($A97="",$B97=""),"",IF(OR($R97&lt;&gt;"",$S97&lt;&gt;""),1,0))</f>
        <v/>
      </c>
      <c r="AF97" s="22">
        <f>IF(AND($A97="",$B97=""),"",IF(Z97=1,IF(AE97=1,N($R97),AD97),0))</f>
        <v/>
      </c>
      <c r="AG97" s="22">
        <f>IF(AND($A97="",$B97=""),"",IF(Z97=1,IF(AE97=1,N($S97),AC97),0))</f>
        <v/>
      </c>
      <c r="AH97" s="21">
        <f>IF(AND($A97="",$B97=""),"",IF(AND(ISNUMBER($I97),N($I97)&gt;0),$I97,0))</f>
        <v/>
      </c>
      <c r="AI97" s="23">
        <f>IF(AND(NOT(AND($A97="",$B97="")),$K97="Point",N($L97)&gt;0),SQRT(N($L97)/PI()),"")</f>
        <v/>
      </c>
      <c r="AJ97" s="21">
        <f>IF(AND($A97="",$B97=""),"",IFERROR(VLOOKUP($G97,Lists!$D$4:$E$15,2,FALSE),"Not reported"))</f>
        <v/>
      </c>
      <c r="AK97" s="21">
        <f>IF(AND($A97="",$B97=""),"",IF($X97&lt;&gt;"",$X97,IF($T97&lt;&gt;"Y","Not assessed",IF(AND(ISNUMBER($V97),Setup!$B$6-$V97&gt;Setup!$B$26),"Assessment outdated",IF(NOT(ISNUMBER($W97)),"Assessed – no score",IF($W97&gt;=Setup!$B$24,"High",IF($W97&gt;=Setup!$B$25,"Moderate","Low")))))))</f>
        <v/>
      </c>
      <c r="AL97" s="21">
        <f>IF(AND($A97="",$B97=""),"",IF(Z97=0,"",IF(AND(AE97=1,N($R97)&gt;AD97*1.01+0.001),"Net terrestrial &gt; gross; ","")&amp;IF(AND(AE97=1,N($S97)&gt;AC97*1.01+0.001),"Net marine &gt; gross; ","")&amp;IF(AE97=0,"No net area – gross used, overlaps may be double-counted; ","")&amp;IF(AH97=0,"STATUS_YR missing – imputed in time series; ","")&amp;IF(AND(ISNUMBER($I97),N($I97)&gt;Setup!$B$6),"STATUS_YR after reporting year; ","")&amp;IF(OR($G97="",$G97="Not Reported"),"GOV_TYPE not reported; ","")&amp;IF(AND(N($J97)=1,$K97="Point",N($M97)&lt;=0),"Coastal point without REP_M_AREA – land/sea split unknown; ","")&amp;IF(AND(N($J97)=0,N($S97)&gt;0),"MARINE=0 but net marine &gt;0; ","")&amp;IF(AND(N($J97)=2,N($R97)&gt;0),"MARINE=2 but net terrestrial &gt;0; ","")&amp;IF($K97="Point","Buffered point – coverage approximate; ","")))</f>
        <v/>
      </c>
    </row>
    <row r="98">
      <c r="A98" s="19" t="n"/>
      <c r="B98" s="19" t="n"/>
      <c r="C98" s="19" t="n"/>
      <c r="D98" s="19" t="n"/>
      <c r="E98" s="19" t="n"/>
      <c r="F98" s="19" t="n"/>
      <c r="G98" s="19" t="n"/>
      <c r="H98" s="19" t="n"/>
      <c r="I98" s="19" t="n"/>
      <c r="J98" s="19" t="n"/>
      <c r="K98" s="19" t="n"/>
      <c r="L98" s="20" t="n"/>
      <c r="M98" s="20" t="n"/>
      <c r="N98" s="20" t="n"/>
      <c r="O98" s="20" t="n"/>
      <c r="P98" s="19" t="n"/>
      <c r="Q98" s="19" t="n"/>
      <c r="R98" s="20" t="n"/>
      <c r="S98" s="20" t="n"/>
      <c r="T98" s="19" t="n"/>
      <c r="U98" s="19" t="n"/>
      <c r="V98" s="19" t="n"/>
      <c r="W98" s="19" t="n"/>
      <c r="X98" s="19" t="n"/>
      <c r="Y98" s="19" t="n"/>
      <c r="Z98" s="21">
        <f>IF(AND($A98="",$B98=""),"",IF(OR($E98="",$H98="",$H98="Proposed",$H98="Not Reported"),0,IF(AND($P98="Y",$Q98&lt;&gt;"Y"),0,IF(AND($K98="Point",N($L98)&lt;=0),0,IF(AND(N($L98)&lt;=0,N($N98)&lt;=0,N($R98)+N($S98)&lt;=0),0,1)))))</f>
        <v/>
      </c>
      <c r="AA98" s="21">
        <f>IF(AND($A98="",$B98=""),"",IF($E98="","Site type missing",IF($H98="","STATUS missing",IF($H98="Proposed","STATUS = Proposed",IF($H98="Not Reported","STATUS = Not Reported",IF(AND($P98="Y",$Q98&lt;&gt;"Y"),"UNESCO-MAB Biosphere Reserve",IF(AND($K98="Point",N($L98)&lt;=0),"Point without REP_AREA",IF(AND(N($L98)&lt;=0,N($N98)&lt;=0,N($R98)+N($S98)&lt;=0),"No area information",""))))))))</f>
        <v/>
      </c>
      <c r="AB98" s="22">
        <f>IF(AND($A98="",$B98=""),"",IF($K98="Point",N($L98),IF(N($N98)&gt;0,N($N98),N($L98))))</f>
        <v/>
      </c>
      <c r="AC98" s="22">
        <f>IF(AND($A98="",$B98=""),"",MIN(AB98,IF(N($J98)=0,0,IF(N($J98)=2,AB98,IF(AND($K98&lt;&gt;"Point",N($O98)&gt;0),N($O98),N($M98))))))</f>
        <v/>
      </c>
      <c r="AD98" s="22">
        <f>IF(AND($A98="",$B98=""),"",MAX(0,AB98-AC98))</f>
        <v/>
      </c>
      <c r="AE98" s="21">
        <f>IF(AND($A98="",$B98=""),"",IF(OR($R98&lt;&gt;"",$S98&lt;&gt;""),1,0))</f>
        <v/>
      </c>
      <c r="AF98" s="22">
        <f>IF(AND($A98="",$B98=""),"",IF(Z98=1,IF(AE98=1,N($R98),AD98),0))</f>
        <v/>
      </c>
      <c r="AG98" s="22">
        <f>IF(AND($A98="",$B98=""),"",IF(Z98=1,IF(AE98=1,N($S98),AC98),0))</f>
        <v/>
      </c>
      <c r="AH98" s="21">
        <f>IF(AND($A98="",$B98=""),"",IF(AND(ISNUMBER($I98),N($I98)&gt;0),$I98,0))</f>
        <v/>
      </c>
      <c r="AI98" s="23">
        <f>IF(AND(NOT(AND($A98="",$B98="")),$K98="Point",N($L98)&gt;0),SQRT(N($L98)/PI()),"")</f>
        <v/>
      </c>
      <c r="AJ98" s="21">
        <f>IF(AND($A98="",$B98=""),"",IFERROR(VLOOKUP($G98,Lists!$D$4:$E$15,2,FALSE),"Not reported"))</f>
        <v/>
      </c>
      <c r="AK98" s="21">
        <f>IF(AND($A98="",$B98=""),"",IF($X98&lt;&gt;"",$X98,IF($T98&lt;&gt;"Y","Not assessed",IF(AND(ISNUMBER($V98),Setup!$B$6-$V98&gt;Setup!$B$26),"Assessment outdated",IF(NOT(ISNUMBER($W98)),"Assessed – no score",IF($W98&gt;=Setup!$B$24,"High",IF($W98&gt;=Setup!$B$25,"Moderate","Low")))))))</f>
        <v/>
      </c>
      <c r="AL98" s="21">
        <f>IF(AND($A98="",$B98=""),"",IF(Z98=0,"",IF(AND(AE98=1,N($R98)&gt;AD98*1.01+0.001),"Net terrestrial &gt; gross; ","")&amp;IF(AND(AE98=1,N($S98)&gt;AC98*1.01+0.001),"Net marine &gt; gross; ","")&amp;IF(AE98=0,"No net area – gross used, overlaps may be double-counted; ","")&amp;IF(AH98=0,"STATUS_YR missing – imputed in time series; ","")&amp;IF(AND(ISNUMBER($I98),N($I98)&gt;Setup!$B$6),"STATUS_YR after reporting year; ","")&amp;IF(OR($G98="",$G98="Not Reported"),"GOV_TYPE not reported; ","")&amp;IF(AND(N($J98)=1,$K98="Point",N($M98)&lt;=0),"Coastal point without REP_M_AREA – land/sea split unknown; ","")&amp;IF(AND(N($J98)=0,N($S98)&gt;0),"MARINE=0 but net marine &gt;0; ","")&amp;IF(AND(N($J98)=2,N($R98)&gt;0),"MARINE=2 but net terrestrial &gt;0; ","")&amp;IF($K98="Point","Buffered point – coverage approximate; ","")))</f>
        <v/>
      </c>
    </row>
    <row r="99">
      <c r="A99" s="19" t="n"/>
      <c r="B99" s="19" t="n"/>
      <c r="C99" s="19" t="n"/>
      <c r="D99" s="19" t="n"/>
      <c r="E99" s="19" t="n"/>
      <c r="F99" s="19" t="n"/>
      <c r="G99" s="19" t="n"/>
      <c r="H99" s="19" t="n"/>
      <c r="I99" s="19" t="n"/>
      <c r="J99" s="19" t="n"/>
      <c r="K99" s="19" t="n"/>
      <c r="L99" s="20" t="n"/>
      <c r="M99" s="20" t="n"/>
      <c r="N99" s="20" t="n"/>
      <c r="O99" s="20" t="n"/>
      <c r="P99" s="19" t="n"/>
      <c r="Q99" s="19" t="n"/>
      <c r="R99" s="20" t="n"/>
      <c r="S99" s="20" t="n"/>
      <c r="T99" s="19" t="n"/>
      <c r="U99" s="19" t="n"/>
      <c r="V99" s="19" t="n"/>
      <c r="W99" s="19" t="n"/>
      <c r="X99" s="19" t="n"/>
      <c r="Y99" s="19" t="n"/>
      <c r="Z99" s="21">
        <f>IF(AND($A99="",$B99=""),"",IF(OR($E99="",$H99="",$H99="Proposed",$H99="Not Reported"),0,IF(AND($P99="Y",$Q99&lt;&gt;"Y"),0,IF(AND($K99="Point",N($L99)&lt;=0),0,IF(AND(N($L99)&lt;=0,N($N99)&lt;=0,N($R99)+N($S99)&lt;=0),0,1)))))</f>
        <v/>
      </c>
      <c r="AA99" s="21">
        <f>IF(AND($A99="",$B99=""),"",IF($E99="","Site type missing",IF($H99="","STATUS missing",IF($H99="Proposed","STATUS = Proposed",IF($H99="Not Reported","STATUS = Not Reported",IF(AND($P99="Y",$Q99&lt;&gt;"Y"),"UNESCO-MAB Biosphere Reserve",IF(AND($K99="Point",N($L99)&lt;=0),"Point without REP_AREA",IF(AND(N($L99)&lt;=0,N($N99)&lt;=0,N($R99)+N($S99)&lt;=0),"No area information",""))))))))</f>
        <v/>
      </c>
      <c r="AB99" s="22">
        <f>IF(AND($A99="",$B99=""),"",IF($K99="Point",N($L99),IF(N($N99)&gt;0,N($N99),N($L99))))</f>
        <v/>
      </c>
      <c r="AC99" s="22">
        <f>IF(AND($A99="",$B99=""),"",MIN(AB99,IF(N($J99)=0,0,IF(N($J99)=2,AB99,IF(AND($K99&lt;&gt;"Point",N($O99)&gt;0),N($O99),N($M99))))))</f>
        <v/>
      </c>
      <c r="AD99" s="22">
        <f>IF(AND($A99="",$B99=""),"",MAX(0,AB99-AC99))</f>
        <v/>
      </c>
      <c r="AE99" s="21">
        <f>IF(AND($A99="",$B99=""),"",IF(OR($R99&lt;&gt;"",$S99&lt;&gt;""),1,0))</f>
        <v/>
      </c>
      <c r="AF99" s="22">
        <f>IF(AND($A99="",$B99=""),"",IF(Z99=1,IF(AE99=1,N($R99),AD99),0))</f>
        <v/>
      </c>
      <c r="AG99" s="22">
        <f>IF(AND($A99="",$B99=""),"",IF(Z99=1,IF(AE99=1,N($S99),AC99),0))</f>
        <v/>
      </c>
      <c r="AH99" s="21">
        <f>IF(AND($A99="",$B99=""),"",IF(AND(ISNUMBER($I99),N($I99)&gt;0),$I99,0))</f>
        <v/>
      </c>
      <c r="AI99" s="23">
        <f>IF(AND(NOT(AND($A99="",$B99="")),$K99="Point",N($L99)&gt;0),SQRT(N($L99)/PI()),"")</f>
        <v/>
      </c>
      <c r="AJ99" s="21">
        <f>IF(AND($A99="",$B99=""),"",IFERROR(VLOOKUP($G99,Lists!$D$4:$E$15,2,FALSE),"Not reported"))</f>
        <v/>
      </c>
      <c r="AK99" s="21">
        <f>IF(AND($A99="",$B99=""),"",IF($X99&lt;&gt;"",$X99,IF($T99&lt;&gt;"Y","Not assessed",IF(AND(ISNUMBER($V99),Setup!$B$6-$V99&gt;Setup!$B$26),"Assessment outdated",IF(NOT(ISNUMBER($W99)),"Assessed – no score",IF($W99&gt;=Setup!$B$24,"High",IF($W99&gt;=Setup!$B$25,"Moderate","Low")))))))</f>
        <v/>
      </c>
      <c r="AL99" s="21">
        <f>IF(AND($A99="",$B99=""),"",IF(Z99=0,"",IF(AND(AE99=1,N($R99)&gt;AD99*1.01+0.001),"Net terrestrial &gt; gross; ","")&amp;IF(AND(AE99=1,N($S99)&gt;AC99*1.01+0.001),"Net marine &gt; gross; ","")&amp;IF(AE99=0,"No net area – gross used, overlaps may be double-counted; ","")&amp;IF(AH99=0,"STATUS_YR missing – imputed in time series; ","")&amp;IF(AND(ISNUMBER($I99),N($I99)&gt;Setup!$B$6),"STATUS_YR after reporting year; ","")&amp;IF(OR($G99="",$G99="Not Reported"),"GOV_TYPE not reported; ","")&amp;IF(AND(N($J99)=1,$K99="Point",N($M99)&lt;=0),"Coastal point without REP_M_AREA – land/sea split unknown; ","")&amp;IF(AND(N($J99)=0,N($S99)&gt;0),"MARINE=0 but net marine &gt;0; ","")&amp;IF(AND(N($J99)=2,N($R99)&gt;0),"MARINE=2 but net terrestrial &gt;0; ","")&amp;IF($K99="Point","Buffered point – coverage approximate; ","")))</f>
        <v/>
      </c>
    </row>
    <row r="100">
      <c r="A100" s="19" t="n"/>
      <c r="B100" s="19" t="n"/>
      <c r="C100" s="19" t="n"/>
      <c r="D100" s="19" t="n"/>
      <c r="E100" s="19" t="n"/>
      <c r="F100" s="19" t="n"/>
      <c r="G100" s="19" t="n"/>
      <c r="H100" s="19" t="n"/>
      <c r="I100" s="19" t="n"/>
      <c r="J100" s="19" t="n"/>
      <c r="K100" s="19" t="n"/>
      <c r="L100" s="20" t="n"/>
      <c r="M100" s="20" t="n"/>
      <c r="N100" s="20" t="n"/>
      <c r="O100" s="20" t="n"/>
      <c r="P100" s="19" t="n"/>
      <c r="Q100" s="19" t="n"/>
      <c r="R100" s="20" t="n"/>
      <c r="S100" s="20" t="n"/>
      <c r="T100" s="19" t="n"/>
      <c r="U100" s="19" t="n"/>
      <c r="V100" s="19" t="n"/>
      <c r="W100" s="19" t="n"/>
      <c r="X100" s="19" t="n"/>
      <c r="Y100" s="19" t="n"/>
      <c r="Z100" s="21">
        <f>IF(AND($A100="",$B100=""),"",IF(OR($E100="",$H100="",$H100="Proposed",$H100="Not Reported"),0,IF(AND($P100="Y",$Q100&lt;&gt;"Y"),0,IF(AND($K100="Point",N($L100)&lt;=0),0,IF(AND(N($L100)&lt;=0,N($N100)&lt;=0,N($R100)+N($S100)&lt;=0),0,1)))))</f>
        <v/>
      </c>
      <c r="AA100" s="21">
        <f>IF(AND($A100="",$B100=""),"",IF($E100="","Site type missing",IF($H100="","STATUS missing",IF($H100="Proposed","STATUS = Proposed",IF($H100="Not Reported","STATUS = Not Reported",IF(AND($P100="Y",$Q100&lt;&gt;"Y"),"UNESCO-MAB Biosphere Reserve",IF(AND($K100="Point",N($L100)&lt;=0),"Point without REP_AREA",IF(AND(N($L100)&lt;=0,N($N100)&lt;=0,N($R100)+N($S100)&lt;=0),"No area information",""))))))))</f>
        <v/>
      </c>
      <c r="AB100" s="22">
        <f>IF(AND($A100="",$B100=""),"",IF($K100="Point",N($L100),IF(N($N100)&gt;0,N($N100),N($L100))))</f>
        <v/>
      </c>
      <c r="AC100" s="22">
        <f>IF(AND($A100="",$B100=""),"",MIN(AB100,IF(N($J100)=0,0,IF(N($J100)=2,AB100,IF(AND($K100&lt;&gt;"Point",N($O100)&gt;0),N($O100),N($M100))))))</f>
        <v/>
      </c>
      <c r="AD100" s="22">
        <f>IF(AND($A100="",$B100=""),"",MAX(0,AB100-AC100))</f>
        <v/>
      </c>
      <c r="AE100" s="21">
        <f>IF(AND($A100="",$B100=""),"",IF(OR($R100&lt;&gt;"",$S100&lt;&gt;""),1,0))</f>
        <v/>
      </c>
      <c r="AF100" s="22">
        <f>IF(AND($A100="",$B100=""),"",IF(Z100=1,IF(AE100=1,N($R100),AD100),0))</f>
        <v/>
      </c>
      <c r="AG100" s="22">
        <f>IF(AND($A100="",$B100=""),"",IF(Z100=1,IF(AE100=1,N($S100),AC100),0))</f>
        <v/>
      </c>
      <c r="AH100" s="21">
        <f>IF(AND($A100="",$B100=""),"",IF(AND(ISNUMBER($I100),N($I100)&gt;0),$I100,0))</f>
        <v/>
      </c>
      <c r="AI100" s="23">
        <f>IF(AND(NOT(AND($A100="",$B100="")),$K100="Point",N($L100)&gt;0),SQRT(N($L100)/PI()),"")</f>
        <v/>
      </c>
      <c r="AJ100" s="21">
        <f>IF(AND($A100="",$B100=""),"",IFERROR(VLOOKUP($G100,Lists!$D$4:$E$15,2,FALSE),"Not reported"))</f>
        <v/>
      </c>
      <c r="AK100" s="21">
        <f>IF(AND($A100="",$B100=""),"",IF($X100&lt;&gt;"",$X100,IF($T100&lt;&gt;"Y","Not assessed",IF(AND(ISNUMBER($V100),Setup!$B$6-$V100&gt;Setup!$B$26),"Assessment outdated",IF(NOT(ISNUMBER($W100)),"Assessed – no score",IF($W100&gt;=Setup!$B$24,"High",IF($W100&gt;=Setup!$B$25,"Moderate","Low")))))))</f>
        <v/>
      </c>
      <c r="AL100" s="21">
        <f>IF(AND($A100="",$B100=""),"",IF(Z100=0,"",IF(AND(AE100=1,N($R100)&gt;AD100*1.01+0.001),"Net terrestrial &gt; gross; ","")&amp;IF(AND(AE100=1,N($S100)&gt;AC100*1.01+0.001),"Net marine &gt; gross; ","")&amp;IF(AE100=0,"No net area – gross used, overlaps may be double-counted; ","")&amp;IF(AH100=0,"STATUS_YR missing – imputed in time series; ","")&amp;IF(AND(ISNUMBER($I100),N($I100)&gt;Setup!$B$6),"STATUS_YR after reporting year; ","")&amp;IF(OR($G100="",$G100="Not Reported"),"GOV_TYPE not reported; ","")&amp;IF(AND(N($J100)=1,$K100="Point",N($M100)&lt;=0),"Coastal point without REP_M_AREA – land/sea split unknown; ","")&amp;IF(AND(N($J100)=0,N($S100)&gt;0),"MARINE=0 but net marine &gt;0; ","")&amp;IF(AND(N($J100)=2,N($R100)&gt;0),"MARINE=2 but net terrestrial &gt;0; ","")&amp;IF($K100="Point","Buffered point – coverage approximate; ","")))</f>
        <v/>
      </c>
    </row>
    <row r="101">
      <c r="A101" s="19" t="n"/>
      <c r="B101" s="19" t="n"/>
      <c r="C101" s="19" t="n"/>
      <c r="D101" s="19" t="n"/>
      <c r="E101" s="19" t="n"/>
      <c r="F101" s="19" t="n"/>
      <c r="G101" s="19" t="n"/>
      <c r="H101" s="19" t="n"/>
      <c r="I101" s="19" t="n"/>
      <c r="J101" s="19" t="n"/>
      <c r="K101" s="19" t="n"/>
      <c r="L101" s="20" t="n"/>
      <c r="M101" s="20" t="n"/>
      <c r="N101" s="20" t="n"/>
      <c r="O101" s="20" t="n"/>
      <c r="P101" s="19" t="n"/>
      <c r="Q101" s="19" t="n"/>
      <c r="R101" s="20" t="n"/>
      <c r="S101" s="20" t="n"/>
      <c r="T101" s="19" t="n"/>
      <c r="U101" s="19" t="n"/>
      <c r="V101" s="19" t="n"/>
      <c r="W101" s="19" t="n"/>
      <c r="X101" s="19" t="n"/>
      <c r="Y101" s="19" t="n"/>
      <c r="Z101" s="21">
        <f>IF(AND($A101="",$B101=""),"",IF(OR($E101="",$H101="",$H101="Proposed",$H101="Not Reported"),0,IF(AND($P101="Y",$Q101&lt;&gt;"Y"),0,IF(AND($K101="Point",N($L101)&lt;=0),0,IF(AND(N($L101)&lt;=0,N($N101)&lt;=0,N($R101)+N($S101)&lt;=0),0,1)))))</f>
        <v/>
      </c>
      <c r="AA101" s="21">
        <f>IF(AND($A101="",$B101=""),"",IF($E101="","Site type missing",IF($H101="","STATUS missing",IF($H101="Proposed","STATUS = Proposed",IF($H101="Not Reported","STATUS = Not Reported",IF(AND($P101="Y",$Q101&lt;&gt;"Y"),"UNESCO-MAB Biosphere Reserve",IF(AND($K101="Point",N($L101)&lt;=0),"Point without REP_AREA",IF(AND(N($L101)&lt;=0,N($N101)&lt;=0,N($R101)+N($S101)&lt;=0),"No area information",""))))))))</f>
        <v/>
      </c>
      <c r="AB101" s="22">
        <f>IF(AND($A101="",$B101=""),"",IF($K101="Point",N($L101),IF(N($N101)&gt;0,N($N101),N($L101))))</f>
        <v/>
      </c>
      <c r="AC101" s="22">
        <f>IF(AND($A101="",$B101=""),"",MIN(AB101,IF(N($J101)=0,0,IF(N($J101)=2,AB101,IF(AND($K101&lt;&gt;"Point",N($O101)&gt;0),N($O101),N($M101))))))</f>
        <v/>
      </c>
      <c r="AD101" s="22">
        <f>IF(AND($A101="",$B101=""),"",MAX(0,AB101-AC101))</f>
        <v/>
      </c>
      <c r="AE101" s="21">
        <f>IF(AND($A101="",$B101=""),"",IF(OR($R101&lt;&gt;"",$S101&lt;&gt;""),1,0))</f>
        <v/>
      </c>
      <c r="AF101" s="22">
        <f>IF(AND($A101="",$B101=""),"",IF(Z101=1,IF(AE101=1,N($R101),AD101),0))</f>
        <v/>
      </c>
      <c r="AG101" s="22">
        <f>IF(AND($A101="",$B101=""),"",IF(Z101=1,IF(AE101=1,N($S101),AC101),0))</f>
        <v/>
      </c>
      <c r="AH101" s="21">
        <f>IF(AND($A101="",$B101=""),"",IF(AND(ISNUMBER($I101),N($I101)&gt;0),$I101,0))</f>
        <v/>
      </c>
      <c r="AI101" s="23">
        <f>IF(AND(NOT(AND($A101="",$B101="")),$K101="Point",N($L101)&gt;0),SQRT(N($L101)/PI()),"")</f>
        <v/>
      </c>
      <c r="AJ101" s="21">
        <f>IF(AND($A101="",$B101=""),"",IFERROR(VLOOKUP($G101,Lists!$D$4:$E$15,2,FALSE),"Not reported"))</f>
        <v/>
      </c>
      <c r="AK101" s="21">
        <f>IF(AND($A101="",$B101=""),"",IF($X101&lt;&gt;"",$X101,IF($T101&lt;&gt;"Y","Not assessed",IF(AND(ISNUMBER($V101),Setup!$B$6-$V101&gt;Setup!$B$26),"Assessment outdated",IF(NOT(ISNUMBER($W101)),"Assessed – no score",IF($W101&gt;=Setup!$B$24,"High",IF($W101&gt;=Setup!$B$25,"Moderate","Low")))))))</f>
        <v/>
      </c>
      <c r="AL101" s="21">
        <f>IF(AND($A101="",$B101=""),"",IF(Z101=0,"",IF(AND(AE101=1,N($R101)&gt;AD101*1.01+0.001),"Net terrestrial &gt; gross; ","")&amp;IF(AND(AE101=1,N($S101)&gt;AC101*1.01+0.001),"Net marine &gt; gross; ","")&amp;IF(AE101=0,"No net area – gross used, overlaps may be double-counted; ","")&amp;IF(AH101=0,"STATUS_YR missing – imputed in time series; ","")&amp;IF(AND(ISNUMBER($I101),N($I101)&gt;Setup!$B$6),"STATUS_YR after reporting year; ","")&amp;IF(OR($G101="",$G101="Not Reported"),"GOV_TYPE not reported; ","")&amp;IF(AND(N($J101)=1,$K101="Point",N($M101)&lt;=0),"Coastal point without REP_M_AREA – land/sea split unknown; ","")&amp;IF(AND(N($J101)=0,N($S101)&gt;0),"MARINE=0 but net marine &gt;0; ","")&amp;IF(AND(N($J101)=2,N($R101)&gt;0),"MARINE=2 but net terrestrial &gt;0; ","")&amp;IF($K101="Point","Buffered point – coverage approximate; ","")))</f>
        <v/>
      </c>
    </row>
    <row r="102">
      <c r="A102" s="19" t="n"/>
      <c r="B102" s="19" t="n"/>
      <c r="C102" s="19" t="n"/>
      <c r="D102" s="19" t="n"/>
      <c r="E102" s="19" t="n"/>
      <c r="F102" s="19" t="n"/>
      <c r="G102" s="19" t="n"/>
      <c r="H102" s="19" t="n"/>
      <c r="I102" s="19" t="n"/>
      <c r="J102" s="19" t="n"/>
      <c r="K102" s="19" t="n"/>
      <c r="L102" s="20" t="n"/>
      <c r="M102" s="20" t="n"/>
      <c r="N102" s="20" t="n"/>
      <c r="O102" s="20" t="n"/>
      <c r="P102" s="19" t="n"/>
      <c r="Q102" s="19" t="n"/>
      <c r="R102" s="20" t="n"/>
      <c r="S102" s="20" t="n"/>
      <c r="T102" s="19" t="n"/>
      <c r="U102" s="19" t="n"/>
      <c r="V102" s="19" t="n"/>
      <c r="W102" s="19" t="n"/>
      <c r="X102" s="19" t="n"/>
      <c r="Y102" s="19" t="n"/>
      <c r="Z102" s="21">
        <f>IF(AND($A102="",$B102=""),"",IF(OR($E102="",$H102="",$H102="Proposed",$H102="Not Reported"),0,IF(AND($P102="Y",$Q102&lt;&gt;"Y"),0,IF(AND($K102="Point",N($L102)&lt;=0),0,IF(AND(N($L102)&lt;=0,N($N102)&lt;=0,N($R102)+N($S102)&lt;=0),0,1)))))</f>
        <v/>
      </c>
      <c r="AA102" s="21">
        <f>IF(AND($A102="",$B102=""),"",IF($E102="","Site type missing",IF($H102="","STATUS missing",IF($H102="Proposed","STATUS = Proposed",IF($H102="Not Reported","STATUS = Not Reported",IF(AND($P102="Y",$Q102&lt;&gt;"Y"),"UNESCO-MAB Biosphere Reserve",IF(AND($K102="Point",N($L102)&lt;=0),"Point without REP_AREA",IF(AND(N($L102)&lt;=0,N($N102)&lt;=0,N($R102)+N($S102)&lt;=0),"No area information",""))))))))</f>
        <v/>
      </c>
      <c r="AB102" s="22">
        <f>IF(AND($A102="",$B102=""),"",IF($K102="Point",N($L102),IF(N($N102)&gt;0,N($N102),N($L102))))</f>
        <v/>
      </c>
      <c r="AC102" s="22">
        <f>IF(AND($A102="",$B102=""),"",MIN(AB102,IF(N($J102)=0,0,IF(N($J102)=2,AB102,IF(AND($K102&lt;&gt;"Point",N($O102)&gt;0),N($O102),N($M102))))))</f>
        <v/>
      </c>
      <c r="AD102" s="22">
        <f>IF(AND($A102="",$B102=""),"",MAX(0,AB102-AC102))</f>
        <v/>
      </c>
      <c r="AE102" s="21">
        <f>IF(AND($A102="",$B102=""),"",IF(OR($R102&lt;&gt;"",$S102&lt;&gt;""),1,0))</f>
        <v/>
      </c>
      <c r="AF102" s="22">
        <f>IF(AND($A102="",$B102=""),"",IF(Z102=1,IF(AE102=1,N($R102),AD102),0))</f>
        <v/>
      </c>
      <c r="AG102" s="22">
        <f>IF(AND($A102="",$B102=""),"",IF(Z102=1,IF(AE102=1,N($S102),AC102),0))</f>
        <v/>
      </c>
      <c r="AH102" s="21">
        <f>IF(AND($A102="",$B102=""),"",IF(AND(ISNUMBER($I102),N($I102)&gt;0),$I102,0))</f>
        <v/>
      </c>
      <c r="AI102" s="23">
        <f>IF(AND(NOT(AND($A102="",$B102="")),$K102="Point",N($L102)&gt;0),SQRT(N($L102)/PI()),"")</f>
        <v/>
      </c>
      <c r="AJ102" s="21">
        <f>IF(AND($A102="",$B102=""),"",IFERROR(VLOOKUP($G102,Lists!$D$4:$E$15,2,FALSE),"Not reported"))</f>
        <v/>
      </c>
      <c r="AK102" s="21">
        <f>IF(AND($A102="",$B102=""),"",IF($X102&lt;&gt;"",$X102,IF($T102&lt;&gt;"Y","Not assessed",IF(AND(ISNUMBER($V102),Setup!$B$6-$V102&gt;Setup!$B$26),"Assessment outdated",IF(NOT(ISNUMBER($W102)),"Assessed – no score",IF($W102&gt;=Setup!$B$24,"High",IF($W102&gt;=Setup!$B$25,"Moderate","Low")))))))</f>
        <v/>
      </c>
      <c r="AL102" s="21">
        <f>IF(AND($A102="",$B102=""),"",IF(Z102=0,"",IF(AND(AE102=1,N($R102)&gt;AD102*1.01+0.001),"Net terrestrial &gt; gross; ","")&amp;IF(AND(AE102=1,N($S102)&gt;AC102*1.01+0.001),"Net marine &gt; gross; ","")&amp;IF(AE102=0,"No net area – gross used, overlaps may be double-counted; ","")&amp;IF(AH102=0,"STATUS_YR missing – imputed in time series; ","")&amp;IF(AND(ISNUMBER($I102),N($I102)&gt;Setup!$B$6),"STATUS_YR after reporting year; ","")&amp;IF(OR($G102="",$G102="Not Reported"),"GOV_TYPE not reported; ","")&amp;IF(AND(N($J102)=1,$K102="Point",N($M102)&lt;=0),"Coastal point without REP_M_AREA – land/sea split unknown; ","")&amp;IF(AND(N($J102)=0,N($S102)&gt;0),"MARINE=0 but net marine &gt;0; ","")&amp;IF(AND(N($J102)=2,N($R102)&gt;0),"MARINE=2 but net terrestrial &gt;0; ","")&amp;IF($K102="Point","Buffered point – coverage approximate; ","")))</f>
        <v/>
      </c>
    </row>
    <row r="103">
      <c r="A103" s="19" t="n"/>
      <c r="B103" s="19" t="n"/>
      <c r="C103" s="19" t="n"/>
      <c r="D103" s="19" t="n"/>
      <c r="E103" s="19" t="n"/>
      <c r="F103" s="19" t="n"/>
      <c r="G103" s="19" t="n"/>
      <c r="H103" s="19" t="n"/>
      <c r="I103" s="19" t="n"/>
      <c r="J103" s="19" t="n"/>
      <c r="K103" s="19" t="n"/>
      <c r="L103" s="20" t="n"/>
      <c r="M103" s="20" t="n"/>
      <c r="N103" s="20" t="n"/>
      <c r="O103" s="20" t="n"/>
      <c r="P103" s="19" t="n"/>
      <c r="Q103" s="19" t="n"/>
      <c r="R103" s="20" t="n"/>
      <c r="S103" s="20" t="n"/>
      <c r="T103" s="19" t="n"/>
      <c r="U103" s="19" t="n"/>
      <c r="V103" s="19" t="n"/>
      <c r="W103" s="19" t="n"/>
      <c r="X103" s="19" t="n"/>
      <c r="Y103" s="19" t="n"/>
      <c r="Z103" s="21">
        <f>IF(AND($A103="",$B103=""),"",IF(OR($E103="",$H103="",$H103="Proposed",$H103="Not Reported"),0,IF(AND($P103="Y",$Q103&lt;&gt;"Y"),0,IF(AND($K103="Point",N($L103)&lt;=0),0,IF(AND(N($L103)&lt;=0,N($N103)&lt;=0,N($R103)+N($S103)&lt;=0),0,1)))))</f>
        <v/>
      </c>
      <c r="AA103" s="21">
        <f>IF(AND($A103="",$B103=""),"",IF($E103="","Site type missing",IF($H103="","STATUS missing",IF($H103="Proposed","STATUS = Proposed",IF($H103="Not Reported","STATUS = Not Reported",IF(AND($P103="Y",$Q103&lt;&gt;"Y"),"UNESCO-MAB Biosphere Reserve",IF(AND($K103="Point",N($L103)&lt;=0),"Point without REP_AREA",IF(AND(N($L103)&lt;=0,N($N103)&lt;=0,N($R103)+N($S103)&lt;=0),"No area information",""))))))))</f>
        <v/>
      </c>
      <c r="AB103" s="22">
        <f>IF(AND($A103="",$B103=""),"",IF($K103="Point",N($L103),IF(N($N103)&gt;0,N($N103),N($L103))))</f>
        <v/>
      </c>
      <c r="AC103" s="22">
        <f>IF(AND($A103="",$B103=""),"",MIN(AB103,IF(N($J103)=0,0,IF(N($J103)=2,AB103,IF(AND($K103&lt;&gt;"Point",N($O103)&gt;0),N($O103),N($M103))))))</f>
        <v/>
      </c>
      <c r="AD103" s="22">
        <f>IF(AND($A103="",$B103=""),"",MAX(0,AB103-AC103))</f>
        <v/>
      </c>
      <c r="AE103" s="21">
        <f>IF(AND($A103="",$B103=""),"",IF(OR($R103&lt;&gt;"",$S103&lt;&gt;""),1,0))</f>
        <v/>
      </c>
      <c r="AF103" s="22">
        <f>IF(AND($A103="",$B103=""),"",IF(Z103=1,IF(AE103=1,N($R103),AD103),0))</f>
        <v/>
      </c>
      <c r="AG103" s="22">
        <f>IF(AND($A103="",$B103=""),"",IF(Z103=1,IF(AE103=1,N($S103),AC103),0))</f>
        <v/>
      </c>
      <c r="AH103" s="21">
        <f>IF(AND($A103="",$B103=""),"",IF(AND(ISNUMBER($I103),N($I103)&gt;0),$I103,0))</f>
        <v/>
      </c>
      <c r="AI103" s="23">
        <f>IF(AND(NOT(AND($A103="",$B103="")),$K103="Point",N($L103)&gt;0),SQRT(N($L103)/PI()),"")</f>
        <v/>
      </c>
      <c r="AJ103" s="21">
        <f>IF(AND($A103="",$B103=""),"",IFERROR(VLOOKUP($G103,Lists!$D$4:$E$15,2,FALSE),"Not reported"))</f>
        <v/>
      </c>
      <c r="AK103" s="21">
        <f>IF(AND($A103="",$B103=""),"",IF($X103&lt;&gt;"",$X103,IF($T103&lt;&gt;"Y","Not assessed",IF(AND(ISNUMBER($V103),Setup!$B$6-$V103&gt;Setup!$B$26),"Assessment outdated",IF(NOT(ISNUMBER($W103)),"Assessed – no score",IF($W103&gt;=Setup!$B$24,"High",IF($W103&gt;=Setup!$B$25,"Moderate","Low")))))))</f>
        <v/>
      </c>
      <c r="AL103" s="21">
        <f>IF(AND($A103="",$B103=""),"",IF(Z103=0,"",IF(AND(AE103=1,N($R103)&gt;AD103*1.01+0.001),"Net terrestrial &gt; gross; ","")&amp;IF(AND(AE103=1,N($S103)&gt;AC103*1.01+0.001),"Net marine &gt; gross; ","")&amp;IF(AE103=0,"No net area – gross used, overlaps may be double-counted; ","")&amp;IF(AH103=0,"STATUS_YR missing – imputed in time series; ","")&amp;IF(AND(ISNUMBER($I103),N($I103)&gt;Setup!$B$6),"STATUS_YR after reporting year; ","")&amp;IF(OR($G103="",$G103="Not Reported"),"GOV_TYPE not reported; ","")&amp;IF(AND(N($J103)=1,$K103="Point",N($M103)&lt;=0),"Coastal point without REP_M_AREA – land/sea split unknown; ","")&amp;IF(AND(N($J103)=0,N($S103)&gt;0),"MARINE=0 but net marine &gt;0; ","")&amp;IF(AND(N($J103)=2,N($R103)&gt;0),"MARINE=2 but net terrestrial &gt;0; ","")&amp;IF($K103="Point","Buffered point – coverage approximate; ","")))</f>
        <v/>
      </c>
    </row>
    <row r="104">
      <c r="A104" s="19" t="n"/>
      <c r="B104" s="19" t="n"/>
      <c r="C104" s="19" t="n"/>
      <c r="D104" s="19" t="n"/>
      <c r="E104" s="19" t="n"/>
      <c r="F104" s="19" t="n"/>
      <c r="G104" s="19" t="n"/>
      <c r="H104" s="19" t="n"/>
      <c r="I104" s="19" t="n"/>
      <c r="J104" s="19" t="n"/>
      <c r="K104" s="19" t="n"/>
      <c r="L104" s="20" t="n"/>
      <c r="M104" s="20" t="n"/>
      <c r="N104" s="20" t="n"/>
      <c r="O104" s="20" t="n"/>
      <c r="P104" s="19" t="n"/>
      <c r="Q104" s="19" t="n"/>
      <c r="R104" s="20" t="n"/>
      <c r="S104" s="20" t="n"/>
      <c r="T104" s="19" t="n"/>
      <c r="U104" s="19" t="n"/>
      <c r="V104" s="19" t="n"/>
      <c r="W104" s="19" t="n"/>
      <c r="X104" s="19" t="n"/>
      <c r="Y104" s="19" t="n"/>
      <c r="Z104" s="21">
        <f>IF(AND($A104="",$B104=""),"",IF(OR($E104="",$H104="",$H104="Proposed",$H104="Not Reported"),0,IF(AND($P104="Y",$Q104&lt;&gt;"Y"),0,IF(AND($K104="Point",N($L104)&lt;=0),0,IF(AND(N($L104)&lt;=0,N($N104)&lt;=0,N($R104)+N($S104)&lt;=0),0,1)))))</f>
        <v/>
      </c>
      <c r="AA104" s="21">
        <f>IF(AND($A104="",$B104=""),"",IF($E104="","Site type missing",IF($H104="","STATUS missing",IF($H104="Proposed","STATUS = Proposed",IF($H104="Not Reported","STATUS = Not Reported",IF(AND($P104="Y",$Q104&lt;&gt;"Y"),"UNESCO-MAB Biosphere Reserve",IF(AND($K104="Point",N($L104)&lt;=0),"Point without REP_AREA",IF(AND(N($L104)&lt;=0,N($N104)&lt;=0,N($R104)+N($S104)&lt;=0),"No area information",""))))))))</f>
        <v/>
      </c>
      <c r="AB104" s="22">
        <f>IF(AND($A104="",$B104=""),"",IF($K104="Point",N($L104),IF(N($N104)&gt;0,N($N104),N($L104))))</f>
        <v/>
      </c>
      <c r="AC104" s="22">
        <f>IF(AND($A104="",$B104=""),"",MIN(AB104,IF(N($J104)=0,0,IF(N($J104)=2,AB104,IF(AND($K104&lt;&gt;"Point",N($O104)&gt;0),N($O104),N($M104))))))</f>
        <v/>
      </c>
      <c r="AD104" s="22">
        <f>IF(AND($A104="",$B104=""),"",MAX(0,AB104-AC104))</f>
        <v/>
      </c>
      <c r="AE104" s="21">
        <f>IF(AND($A104="",$B104=""),"",IF(OR($R104&lt;&gt;"",$S104&lt;&gt;""),1,0))</f>
        <v/>
      </c>
      <c r="AF104" s="22">
        <f>IF(AND($A104="",$B104=""),"",IF(Z104=1,IF(AE104=1,N($R104),AD104),0))</f>
        <v/>
      </c>
      <c r="AG104" s="22">
        <f>IF(AND($A104="",$B104=""),"",IF(Z104=1,IF(AE104=1,N($S104),AC104),0))</f>
        <v/>
      </c>
      <c r="AH104" s="21">
        <f>IF(AND($A104="",$B104=""),"",IF(AND(ISNUMBER($I104),N($I104)&gt;0),$I104,0))</f>
        <v/>
      </c>
      <c r="AI104" s="23">
        <f>IF(AND(NOT(AND($A104="",$B104="")),$K104="Point",N($L104)&gt;0),SQRT(N($L104)/PI()),"")</f>
        <v/>
      </c>
      <c r="AJ104" s="21">
        <f>IF(AND($A104="",$B104=""),"",IFERROR(VLOOKUP($G104,Lists!$D$4:$E$15,2,FALSE),"Not reported"))</f>
        <v/>
      </c>
      <c r="AK104" s="21">
        <f>IF(AND($A104="",$B104=""),"",IF($X104&lt;&gt;"",$X104,IF($T104&lt;&gt;"Y","Not assessed",IF(AND(ISNUMBER($V104),Setup!$B$6-$V104&gt;Setup!$B$26),"Assessment outdated",IF(NOT(ISNUMBER($W104)),"Assessed – no score",IF($W104&gt;=Setup!$B$24,"High",IF($W104&gt;=Setup!$B$25,"Moderate","Low")))))))</f>
        <v/>
      </c>
      <c r="AL104" s="21">
        <f>IF(AND($A104="",$B104=""),"",IF(Z104=0,"",IF(AND(AE104=1,N($R104)&gt;AD104*1.01+0.001),"Net terrestrial &gt; gross; ","")&amp;IF(AND(AE104=1,N($S104)&gt;AC104*1.01+0.001),"Net marine &gt; gross; ","")&amp;IF(AE104=0,"No net area – gross used, overlaps may be double-counted; ","")&amp;IF(AH104=0,"STATUS_YR missing – imputed in time series; ","")&amp;IF(AND(ISNUMBER($I104),N($I104)&gt;Setup!$B$6),"STATUS_YR after reporting year; ","")&amp;IF(OR($G104="",$G104="Not Reported"),"GOV_TYPE not reported; ","")&amp;IF(AND(N($J104)=1,$K104="Point",N($M104)&lt;=0),"Coastal point without REP_M_AREA – land/sea split unknown; ","")&amp;IF(AND(N($J104)=0,N($S104)&gt;0),"MARINE=0 but net marine &gt;0; ","")&amp;IF(AND(N($J104)=2,N($R104)&gt;0),"MARINE=2 but net terrestrial &gt;0; ","")&amp;IF($K104="Point","Buffered point – coverage approximate; ","")))</f>
        <v/>
      </c>
    </row>
    <row r="105">
      <c r="A105" s="19" t="n"/>
      <c r="B105" s="19" t="n"/>
      <c r="C105" s="19" t="n"/>
      <c r="D105" s="19" t="n"/>
      <c r="E105" s="19" t="n"/>
      <c r="F105" s="19" t="n"/>
      <c r="G105" s="19" t="n"/>
      <c r="H105" s="19" t="n"/>
      <c r="I105" s="19" t="n"/>
      <c r="J105" s="19" t="n"/>
      <c r="K105" s="19" t="n"/>
      <c r="L105" s="20" t="n"/>
      <c r="M105" s="20" t="n"/>
      <c r="N105" s="20" t="n"/>
      <c r="O105" s="20" t="n"/>
      <c r="P105" s="19" t="n"/>
      <c r="Q105" s="19" t="n"/>
      <c r="R105" s="20" t="n"/>
      <c r="S105" s="20" t="n"/>
      <c r="T105" s="19" t="n"/>
      <c r="U105" s="19" t="n"/>
      <c r="V105" s="19" t="n"/>
      <c r="W105" s="19" t="n"/>
      <c r="X105" s="19" t="n"/>
      <c r="Y105" s="19" t="n"/>
      <c r="Z105" s="21">
        <f>IF(AND($A105="",$B105=""),"",IF(OR($E105="",$H105="",$H105="Proposed",$H105="Not Reported"),0,IF(AND($P105="Y",$Q105&lt;&gt;"Y"),0,IF(AND($K105="Point",N($L105)&lt;=0),0,IF(AND(N($L105)&lt;=0,N($N105)&lt;=0,N($R105)+N($S105)&lt;=0),0,1)))))</f>
        <v/>
      </c>
      <c r="AA105" s="21">
        <f>IF(AND($A105="",$B105=""),"",IF($E105="","Site type missing",IF($H105="","STATUS missing",IF($H105="Proposed","STATUS = Proposed",IF($H105="Not Reported","STATUS = Not Reported",IF(AND($P105="Y",$Q105&lt;&gt;"Y"),"UNESCO-MAB Biosphere Reserve",IF(AND($K105="Point",N($L105)&lt;=0),"Point without REP_AREA",IF(AND(N($L105)&lt;=0,N($N105)&lt;=0,N($R105)+N($S105)&lt;=0),"No area information",""))))))))</f>
        <v/>
      </c>
      <c r="AB105" s="22">
        <f>IF(AND($A105="",$B105=""),"",IF($K105="Point",N($L105),IF(N($N105)&gt;0,N($N105),N($L105))))</f>
        <v/>
      </c>
      <c r="AC105" s="22">
        <f>IF(AND($A105="",$B105=""),"",MIN(AB105,IF(N($J105)=0,0,IF(N($J105)=2,AB105,IF(AND($K105&lt;&gt;"Point",N($O105)&gt;0),N($O105),N($M105))))))</f>
        <v/>
      </c>
      <c r="AD105" s="22">
        <f>IF(AND($A105="",$B105=""),"",MAX(0,AB105-AC105))</f>
        <v/>
      </c>
      <c r="AE105" s="21">
        <f>IF(AND($A105="",$B105=""),"",IF(OR($R105&lt;&gt;"",$S105&lt;&gt;""),1,0))</f>
        <v/>
      </c>
      <c r="AF105" s="22">
        <f>IF(AND($A105="",$B105=""),"",IF(Z105=1,IF(AE105=1,N($R105),AD105),0))</f>
        <v/>
      </c>
      <c r="AG105" s="22">
        <f>IF(AND($A105="",$B105=""),"",IF(Z105=1,IF(AE105=1,N($S105),AC105),0))</f>
        <v/>
      </c>
      <c r="AH105" s="21">
        <f>IF(AND($A105="",$B105=""),"",IF(AND(ISNUMBER($I105),N($I105)&gt;0),$I105,0))</f>
        <v/>
      </c>
      <c r="AI105" s="23">
        <f>IF(AND(NOT(AND($A105="",$B105="")),$K105="Point",N($L105)&gt;0),SQRT(N($L105)/PI()),"")</f>
        <v/>
      </c>
      <c r="AJ105" s="21">
        <f>IF(AND($A105="",$B105=""),"",IFERROR(VLOOKUP($G105,Lists!$D$4:$E$15,2,FALSE),"Not reported"))</f>
        <v/>
      </c>
      <c r="AK105" s="21">
        <f>IF(AND($A105="",$B105=""),"",IF($X105&lt;&gt;"",$X105,IF($T105&lt;&gt;"Y","Not assessed",IF(AND(ISNUMBER($V105),Setup!$B$6-$V105&gt;Setup!$B$26),"Assessment outdated",IF(NOT(ISNUMBER($W105)),"Assessed – no score",IF($W105&gt;=Setup!$B$24,"High",IF($W105&gt;=Setup!$B$25,"Moderate","Low")))))))</f>
        <v/>
      </c>
      <c r="AL105" s="21">
        <f>IF(AND($A105="",$B105=""),"",IF(Z105=0,"",IF(AND(AE105=1,N($R105)&gt;AD105*1.01+0.001),"Net terrestrial &gt; gross; ","")&amp;IF(AND(AE105=1,N($S105)&gt;AC105*1.01+0.001),"Net marine &gt; gross; ","")&amp;IF(AE105=0,"No net area – gross used, overlaps may be double-counted; ","")&amp;IF(AH105=0,"STATUS_YR missing – imputed in time series; ","")&amp;IF(AND(ISNUMBER($I105),N($I105)&gt;Setup!$B$6),"STATUS_YR after reporting year; ","")&amp;IF(OR($G105="",$G105="Not Reported"),"GOV_TYPE not reported; ","")&amp;IF(AND(N($J105)=1,$K105="Point",N($M105)&lt;=0),"Coastal point without REP_M_AREA – land/sea split unknown; ","")&amp;IF(AND(N($J105)=0,N($S105)&gt;0),"MARINE=0 but net marine &gt;0; ","")&amp;IF(AND(N($J105)=2,N($R105)&gt;0),"MARINE=2 but net terrestrial &gt;0; ","")&amp;IF($K105="Point","Buffered point – coverage approximate; ","")))</f>
        <v/>
      </c>
    </row>
    <row r="106">
      <c r="A106" s="19" t="n"/>
      <c r="B106" s="19" t="n"/>
      <c r="C106" s="19" t="n"/>
      <c r="D106" s="19" t="n"/>
      <c r="E106" s="19" t="n"/>
      <c r="F106" s="19" t="n"/>
      <c r="G106" s="19" t="n"/>
      <c r="H106" s="19" t="n"/>
      <c r="I106" s="19" t="n"/>
      <c r="J106" s="19" t="n"/>
      <c r="K106" s="19" t="n"/>
      <c r="L106" s="20" t="n"/>
      <c r="M106" s="20" t="n"/>
      <c r="N106" s="20" t="n"/>
      <c r="O106" s="20" t="n"/>
      <c r="P106" s="19" t="n"/>
      <c r="Q106" s="19" t="n"/>
      <c r="R106" s="20" t="n"/>
      <c r="S106" s="20" t="n"/>
      <c r="T106" s="19" t="n"/>
      <c r="U106" s="19" t="n"/>
      <c r="V106" s="19" t="n"/>
      <c r="W106" s="19" t="n"/>
      <c r="X106" s="19" t="n"/>
      <c r="Y106" s="19" t="n"/>
      <c r="Z106" s="21">
        <f>IF(AND($A106="",$B106=""),"",IF(OR($E106="",$H106="",$H106="Proposed",$H106="Not Reported"),0,IF(AND($P106="Y",$Q106&lt;&gt;"Y"),0,IF(AND($K106="Point",N($L106)&lt;=0),0,IF(AND(N($L106)&lt;=0,N($N106)&lt;=0,N($R106)+N($S106)&lt;=0),0,1)))))</f>
        <v/>
      </c>
      <c r="AA106" s="21">
        <f>IF(AND($A106="",$B106=""),"",IF($E106="","Site type missing",IF($H106="","STATUS missing",IF($H106="Proposed","STATUS = Proposed",IF($H106="Not Reported","STATUS = Not Reported",IF(AND($P106="Y",$Q106&lt;&gt;"Y"),"UNESCO-MAB Biosphere Reserve",IF(AND($K106="Point",N($L106)&lt;=0),"Point without REP_AREA",IF(AND(N($L106)&lt;=0,N($N106)&lt;=0,N($R106)+N($S106)&lt;=0),"No area information",""))))))))</f>
        <v/>
      </c>
      <c r="AB106" s="22">
        <f>IF(AND($A106="",$B106=""),"",IF($K106="Point",N($L106),IF(N($N106)&gt;0,N($N106),N($L106))))</f>
        <v/>
      </c>
      <c r="AC106" s="22">
        <f>IF(AND($A106="",$B106=""),"",MIN(AB106,IF(N($J106)=0,0,IF(N($J106)=2,AB106,IF(AND($K106&lt;&gt;"Point",N($O106)&gt;0),N($O106),N($M106))))))</f>
        <v/>
      </c>
      <c r="AD106" s="22">
        <f>IF(AND($A106="",$B106=""),"",MAX(0,AB106-AC106))</f>
        <v/>
      </c>
      <c r="AE106" s="21">
        <f>IF(AND($A106="",$B106=""),"",IF(OR($R106&lt;&gt;"",$S106&lt;&gt;""),1,0))</f>
        <v/>
      </c>
      <c r="AF106" s="22">
        <f>IF(AND($A106="",$B106=""),"",IF(Z106=1,IF(AE106=1,N($R106),AD106),0))</f>
        <v/>
      </c>
      <c r="AG106" s="22">
        <f>IF(AND($A106="",$B106=""),"",IF(Z106=1,IF(AE106=1,N($S106),AC106),0))</f>
        <v/>
      </c>
      <c r="AH106" s="21">
        <f>IF(AND($A106="",$B106=""),"",IF(AND(ISNUMBER($I106),N($I106)&gt;0),$I106,0))</f>
        <v/>
      </c>
      <c r="AI106" s="23">
        <f>IF(AND(NOT(AND($A106="",$B106="")),$K106="Point",N($L106)&gt;0),SQRT(N($L106)/PI()),"")</f>
        <v/>
      </c>
      <c r="AJ106" s="21">
        <f>IF(AND($A106="",$B106=""),"",IFERROR(VLOOKUP($G106,Lists!$D$4:$E$15,2,FALSE),"Not reported"))</f>
        <v/>
      </c>
      <c r="AK106" s="21">
        <f>IF(AND($A106="",$B106=""),"",IF($X106&lt;&gt;"",$X106,IF($T106&lt;&gt;"Y","Not assessed",IF(AND(ISNUMBER($V106),Setup!$B$6-$V106&gt;Setup!$B$26),"Assessment outdated",IF(NOT(ISNUMBER($W106)),"Assessed – no score",IF($W106&gt;=Setup!$B$24,"High",IF($W106&gt;=Setup!$B$25,"Moderate","Low")))))))</f>
        <v/>
      </c>
      <c r="AL106" s="21">
        <f>IF(AND($A106="",$B106=""),"",IF(Z106=0,"",IF(AND(AE106=1,N($R106)&gt;AD106*1.01+0.001),"Net terrestrial &gt; gross; ","")&amp;IF(AND(AE106=1,N($S106)&gt;AC106*1.01+0.001),"Net marine &gt; gross; ","")&amp;IF(AE106=0,"No net area – gross used, overlaps may be double-counted; ","")&amp;IF(AH106=0,"STATUS_YR missing – imputed in time series; ","")&amp;IF(AND(ISNUMBER($I106),N($I106)&gt;Setup!$B$6),"STATUS_YR after reporting year; ","")&amp;IF(OR($G106="",$G106="Not Reported"),"GOV_TYPE not reported; ","")&amp;IF(AND(N($J106)=1,$K106="Point",N($M106)&lt;=0),"Coastal point without REP_M_AREA – land/sea split unknown; ","")&amp;IF(AND(N($J106)=0,N($S106)&gt;0),"MARINE=0 but net marine &gt;0; ","")&amp;IF(AND(N($J106)=2,N($R106)&gt;0),"MARINE=2 but net terrestrial &gt;0; ","")&amp;IF($K106="Point","Buffered point – coverage approximate; ","")))</f>
        <v/>
      </c>
    </row>
    <row r="107">
      <c r="A107" s="19" t="n"/>
      <c r="B107" s="19" t="n"/>
      <c r="C107" s="19" t="n"/>
      <c r="D107" s="19" t="n"/>
      <c r="E107" s="19" t="n"/>
      <c r="F107" s="19" t="n"/>
      <c r="G107" s="19" t="n"/>
      <c r="H107" s="19" t="n"/>
      <c r="I107" s="19" t="n"/>
      <c r="J107" s="19" t="n"/>
      <c r="K107" s="19" t="n"/>
      <c r="L107" s="20" t="n"/>
      <c r="M107" s="20" t="n"/>
      <c r="N107" s="20" t="n"/>
      <c r="O107" s="20" t="n"/>
      <c r="P107" s="19" t="n"/>
      <c r="Q107" s="19" t="n"/>
      <c r="R107" s="20" t="n"/>
      <c r="S107" s="20" t="n"/>
      <c r="T107" s="19" t="n"/>
      <c r="U107" s="19" t="n"/>
      <c r="V107" s="19" t="n"/>
      <c r="W107" s="19" t="n"/>
      <c r="X107" s="19" t="n"/>
      <c r="Y107" s="19" t="n"/>
      <c r="Z107" s="21">
        <f>IF(AND($A107="",$B107=""),"",IF(OR($E107="",$H107="",$H107="Proposed",$H107="Not Reported"),0,IF(AND($P107="Y",$Q107&lt;&gt;"Y"),0,IF(AND($K107="Point",N($L107)&lt;=0),0,IF(AND(N($L107)&lt;=0,N($N107)&lt;=0,N($R107)+N($S107)&lt;=0),0,1)))))</f>
        <v/>
      </c>
      <c r="AA107" s="21">
        <f>IF(AND($A107="",$B107=""),"",IF($E107="","Site type missing",IF($H107="","STATUS missing",IF($H107="Proposed","STATUS = Proposed",IF($H107="Not Reported","STATUS = Not Reported",IF(AND($P107="Y",$Q107&lt;&gt;"Y"),"UNESCO-MAB Biosphere Reserve",IF(AND($K107="Point",N($L107)&lt;=0),"Point without REP_AREA",IF(AND(N($L107)&lt;=0,N($N107)&lt;=0,N($R107)+N($S107)&lt;=0),"No area information",""))))))))</f>
        <v/>
      </c>
      <c r="AB107" s="22">
        <f>IF(AND($A107="",$B107=""),"",IF($K107="Point",N($L107),IF(N($N107)&gt;0,N($N107),N($L107))))</f>
        <v/>
      </c>
      <c r="AC107" s="22">
        <f>IF(AND($A107="",$B107=""),"",MIN(AB107,IF(N($J107)=0,0,IF(N($J107)=2,AB107,IF(AND($K107&lt;&gt;"Point",N($O107)&gt;0),N($O107),N($M107))))))</f>
        <v/>
      </c>
      <c r="AD107" s="22">
        <f>IF(AND($A107="",$B107=""),"",MAX(0,AB107-AC107))</f>
        <v/>
      </c>
      <c r="AE107" s="21">
        <f>IF(AND($A107="",$B107=""),"",IF(OR($R107&lt;&gt;"",$S107&lt;&gt;""),1,0))</f>
        <v/>
      </c>
      <c r="AF107" s="22">
        <f>IF(AND($A107="",$B107=""),"",IF(Z107=1,IF(AE107=1,N($R107),AD107),0))</f>
        <v/>
      </c>
      <c r="AG107" s="22">
        <f>IF(AND($A107="",$B107=""),"",IF(Z107=1,IF(AE107=1,N($S107),AC107),0))</f>
        <v/>
      </c>
      <c r="AH107" s="21">
        <f>IF(AND($A107="",$B107=""),"",IF(AND(ISNUMBER($I107),N($I107)&gt;0),$I107,0))</f>
        <v/>
      </c>
      <c r="AI107" s="23">
        <f>IF(AND(NOT(AND($A107="",$B107="")),$K107="Point",N($L107)&gt;0),SQRT(N($L107)/PI()),"")</f>
        <v/>
      </c>
      <c r="AJ107" s="21">
        <f>IF(AND($A107="",$B107=""),"",IFERROR(VLOOKUP($G107,Lists!$D$4:$E$15,2,FALSE),"Not reported"))</f>
        <v/>
      </c>
      <c r="AK107" s="21">
        <f>IF(AND($A107="",$B107=""),"",IF($X107&lt;&gt;"",$X107,IF($T107&lt;&gt;"Y","Not assessed",IF(AND(ISNUMBER($V107),Setup!$B$6-$V107&gt;Setup!$B$26),"Assessment outdated",IF(NOT(ISNUMBER($W107)),"Assessed – no score",IF($W107&gt;=Setup!$B$24,"High",IF($W107&gt;=Setup!$B$25,"Moderate","Low")))))))</f>
        <v/>
      </c>
      <c r="AL107" s="21">
        <f>IF(AND($A107="",$B107=""),"",IF(Z107=0,"",IF(AND(AE107=1,N($R107)&gt;AD107*1.01+0.001),"Net terrestrial &gt; gross; ","")&amp;IF(AND(AE107=1,N($S107)&gt;AC107*1.01+0.001),"Net marine &gt; gross; ","")&amp;IF(AE107=0,"No net area – gross used, overlaps may be double-counted; ","")&amp;IF(AH107=0,"STATUS_YR missing – imputed in time series; ","")&amp;IF(AND(ISNUMBER($I107),N($I107)&gt;Setup!$B$6),"STATUS_YR after reporting year; ","")&amp;IF(OR($G107="",$G107="Not Reported"),"GOV_TYPE not reported; ","")&amp;IF(AND(N($J107)=1,$K107="Point",N($M107)&lt;=0),"Coastal point without REP_M_AREA – land/sea split unknown; ","")&amp;IF(AND(N($J107)=0,N($S107)&gt;0),"MARINE=0 but net marine &gt;0; ","")&amp;IF(AND(N($J107)=2,N($R107)&gt;0),"MARINE=2 but net terrestrial &gt;0; ","")&amp;IF($K107="Point","Buffered point – coverage approximate; ","")))</f>
        <v/>
      </c>
    </row>
    <row r="108">
      <c r="A108" s="19" t="n"/>
      <c r="B108" s="19" t="n"/>
      <c r="C108" s="19" t="n"/>
      <c r="D108" s="19" t="n"/>
      <c r="E108" s="19" t="n"/>
      <c r="F108" s="19" t="n"/>
      <c r="G108" s="19" t="n"/>
      <c r="H108" s="19" t="n"/>
      <c r="I108" s="19" t="n"/>
      <c r="J108" s="19" t="n"/>
      <c r="K108" s="19" t="n"/>
      <c r="L108" s="20" t="n"/>
      <c r="M108" s="20" t="n"/>
      <c r="N108" s="20" t="n"/>
      <c r="O108" s="20" t="n"/>
      <c r="P108" s="19" t="n"/>
      <c r="Q108" s="19" t="n"/>
      <c r="R108" s="20" t="n"/>
      <c r="S108" s="20" t="n"/>
      <c r="T108" s="19" t="n"/>
      <c r="U108" s="19" t="n"/>
      <c r="V108" s="19" t="n"/>
      <c r="W108" s="19" t="n"/>
      <c r="X108" s="19" t="n"/>
      <c r="Y108" s="19" t="n"/>
      <c r="Z108" s="21">
        <f>IF(AND($A108="",$B108=""),"",IF(OR($E108="",$H108="",$H108="Proposed",$H108="Not Reported"),0,IF(AND($P108="Y",$Q108&lt;&gt;"Y"),0,IF(AND($K108="Point",N($L108)&lt;=0),0,IF(AND(N($L108)&lt;=0,N($N108)&lt;=0,N($R108)+N($S108)&lt;=0),0,1)))))</f>
        <v/>
      </c>
      <c r="AA108" s="21">
        <f>IF(AND($A108="",$B108=""),"",IF($E108="","Site type missing",IF($H108="","STATUS missing",IF($H108="Proposed","STATUS = Proposed",IF($H108="Not Reported","STATUS = Not Reported",IF(AND($P108="Y",$Q108&lt;&gt;"Y"),"UNESCO-MAB Biosphere Reserve",IF(AND($K108="Point",N($L108)&lt;=0),"Point without REP_AREA",IF(AND(N($L108)&lt;=0,N($N108)&lt;=0,N($R108)+N($S108)&lt;=0),"No area information",""))))))))</f>
        <v/>
      </c>
      <c r="AB108" s="22">
        <f>IF(AND($A108="",$B108=""),"",IF($K108="Point",N($L108),IF(N($N108)&gt;0,N($N108),N($L108))))</f>
        <v/>
      </c>
      <c r="AC108" s="22">
        <f>IF(AND($A108="",$B108=""),"",MIN(AB108,IF(N($J108)=0,0,IF(N($J108)=2,AB108,IF(AND($K108&lt;&gt;"Point",N($O108)&gt;0),N($O108),N($M108))))))</f>
        <v/>
      </c>
      <c r="AD108" s="22">
        <f>IF(AND($A108="",$B108=""),"",MAX(0,AB108-AC108))</f>
        <v/>
      </c>
      <c r="AE108" s="21">
        <f>IF(AND($A108="",$B108=""),"",IF(OR($R108&lt;&gt;"",$S108&lt;&gt;""),1,0))</f>
        <v/>
      </c>
      <c r="AF108" s="22">
        <f>IF(AND($A108="",$B108=""),"",IF(Z108=1,IF(AE108=1,N($R108),AD108),0))</f>
        <v/>
      </c>
      <c r="AG108" s="22">
        <f>IF(AND($A108="",$B108=""),"",IF(Z108=1,IF(AE108=1,N($S108),AC108),0))</f>
        <v/>
      </c>
      <c r="AH108" s="21">
        <f>IF(AND($A108="",$B108=""),"",IF(AND(ISNUMBER($I108),N($I108)&gt;0),$I108,0))</f>
        <v/>
      </c>
      <c r="AI108" s="23">
        <f>IF(AND(NOT(AND($A108="",$B108="")),$K108="Point",N($L108)&gt;0),SQRT(N($L108)/PI()),"")</f>
        <v/>
      </c>
      <c r="AJ108" s="21">
        <f>IF(AND($A108="",$B108=""),"",IFERROR(VLOOKUP($G108,Lists!$D$4:$E$15,2,FALSE),"Not reported"))</f>
        <v/>
      </c>
      <c r="AK108" s="21">
        <f>IF(AND($A108="",$B108=""),"",IF($X108&lt;&gt;"",$X108,IF($T108&lt;&gt;"Y","Not assessed",IF(AND(ISNUMBER($V108),Setup!$B$6-$V108&gt;Setup!$B$26),"Assessment outdated",IF(NOT(ISNUMBER($W108)),"Assessed – no score",IF($W108&gt;=Setup!$B$24,"High",IF($W108&gt;=Setup!$B$25,"Moderate","Low")))))))</f>
        <v/>
      </c>
      <c r="AL108" s="21">
        <f>IF(AND($A108="",$B108=""),"",IF(Z108=0,"",IF(AND(AE108=1,N($R108)&gt;AD108*1.01+0.001),"Net terrestrial &gt; gross; ","")&amp;IF(AND(AE108=1,N($S108)&gt;AC108*1.01+0.001),"Net marine &gt; gross; ","")&amp;IF(AE108=0,"No net area – gross used, overlaps may be double-counted; ","")&amp;IF(AH108=0,"STATUS_YR missing – imputed in time series; ","")&amp;IF(AND(ISNUMBER($I108),N($I108)&gt;Setup!$B$6),"STATUS_YR after reporting year; ","")&amp;IF(OR($G108="",$G108="Not Reported"),"GOV_TYPE not reported; ","")&amp;IF(AND(N($J108)=1,$K108="Point",N($M108)&lt;=0),"Coastal point without REP_M_AREA – land/sea split unknown; ","")&amp;IF(AND(N($J108)=0,N($S108)&gt;0),"MARINE=0 but net marine &gt;0; ","")&amp;IF(AND(N($J108)=2,N($R108)&gt;0),"MARINE=2 but net terrestrial &gt;0; ","")&amp;IF($K108="Point","Buffered point – coverage approximate; ","")))</f>
        <v/>
      </c>
    </row>
    <row r="109">
      <c r="A109" s="19" t="n"/>
      <c r="B109" s="19" t="n"/>
      <c r="C109" s="19" t="n"/>
      <c r="D109" s="19" t="n"/>
      <c r="E109" s="19" t="n"/>
      <c r="F109" s="19" t="n"/>
      <c r="G109" s="19" t="n"/>
      <c r="H109" s="19" t="n"/>
      <c r="I109" s="19" t="n"/>
      <c r="J109" s="19" t="n"/>
      <c r="K109" s="19" t="n"/>
      <c r="L109" s="20" t="n"/>
      <c r="M109" s="20" t="n"/>
      <c r="N109" s="20" t="n"/>
      <c r="O109" s="20" t="n"/>
      <c r="P109" s="19" t="n"/>
      <c r="Q109" s="19" t="n"/>
      <c r="R109" s="20" t="n"/>
      <c r="S109" s="20" t="n"/>
      <c r="T109" s="19" t="n"/>
      <c r="U109" s="19" t="n"/>
      <c r="V109" s="19" t="n"/>
      <c r="W109" s="19" t="n"/>
      <c r="X109" s="19" t="n"/>
      <c r="Y109" s="19" t="n"/>
      <c r="Z109" s="21">
        <f>IF(AND($A109="",$B109=""),"",IF(OR($E109="",$H109="",$H109="Proposed",$H109="Not Reported"),0,IF(AND($P109="Y",$Q109&lt;&gt;"Y"),0,IF(AND($K109="Point",N($L109)&lt;=0),0,IF(AND(N($L109)&lt;=0,N($N109)&lt;=0,N($R109)+N($S109)&lt;=0),0,1)))))</f>
        <v/>
      </c>
      <c r="AA109" s="21">
        <f>IF(AND($A109="",$B109=""),"",IF($E109="","Site type missing",IF($H109="","STATUS missing",IF($H109="Proposed","STATUS = Proposed",IF($H109="Not Reported","STATUS = Not Reported",IF(AND($P109="Y",$Q109&lt;&gt;"Y"),"UNESCO-MAB Biosphere Reserve",IF(AND($K109="Point",N($L109)&lt;=0),"Point without REP_AREA",IF(AND(N($L109)&lt;=0,N($N109)&lt;=0,N($R109)+N($S109)&lt;=0),"No area information",""))))))))</f>
        <v/>
      </c>
      <c r="AB109" s="22">
        <f>IF(AND($A109="",$B109=""),"",IF($K109="Point",N($L109),IF(N($N109)&gt;0,N($N109),N($L109))))</f>
        <v/>
      </c>
      <c r="AC109" s="22">
        <f>IF(AND($A109="",$B109=""),"",MIN(AB109,IF(N($J109)=0,0,IF(N($J109)=2,AB109,IF(AND($K109&lt;&gt;"Point",N($O109)&gt;0),N($O109),N($M109))))))</f>
        <v/>
      </c>
      <c r="AD109" s="22">
        <f>IF(AND($A109="",$B109=""),"",MAX(0,AB109-AC109))</f>
        <v/>
      </c>
      <c r="AE109" s="21">
        <f>IF(AND($A109="",$B109=""),"",IF(OR($R109&lt;&gt;"",$S109&lt;&gt;""),1,0))</f>
        <v/>
      </c>
      <c r="AF109" s="22">
        <f>IF(AND($A109="",$B109=""),"",IF(Z109=1,IF(AE109=1,N($R109),AD109),0))</f>
        <v/>
      </c>
      <c r="AG109" s="22">
        <f>IF(AND($A109="",$B109=""),"",IF(Z109=1,IF(AE109=1,N($S109),AC109),0))</f>
        <v/>
      </c>
      <c r="AH109" s="21">
        <f>IF(AND($A109="",$B109=""),"",IF(AND(ISNUMBER($I109),N($I109)&gt;0),$I109,0))</f>
        <v/>
      </c>
      <c r="AI109" s="23">
        <f>IF(AND(NOT(AND($A109="",$B109="")),$K109="Point",N($L109)&gt;0),SQRT(N($L109)/PI()),"")</f>
        <v/>
      </c>
      <c r="AJ109" s="21">
        <f>IF(AND($A109="",$B109=""),"",IFERROR(VLOOKUP($G109,Lists!$D$4:$E$15,2,FALSE),"Not reported"))</f>
        <v/>
      </c>
      <c r="AK109" s="21">
        <f>IF(AND($A109="",$B109=""),"",IF($X109&lt;&gt;"",$X109,IF($T109&lt;&gt;"Y","Not assessed",IF(AND(ISNUMBER($V109),Setup!$B$6-$V109&gt;Setup!$B$26),"Assessment outdated",IF(NOT(ISNUMBER($W109)),"Assessed – no score",IF($W109&gt;=Setup!$B$24,"High",IF($W109&gt;=Setup!$B$25,"Moderate","Low")))))))</f>
        <v/>
      </c>
      <c r="AL109" s="21">
        <f>IF(AND($A109="",$B109=""),"",IF(Z109=0,"",IF(AND(AE109=1,N($R109)&gt;AD109*1.01+0.001),"Net terrestrial &gt; gross; ","")&amp;IF(AND(AE109=1,N($S109)&gt;AC109*1.01+0.001),"Net marine &gt; gross; ","")&amp;IF(AE109=0,"No net area – gross used, overlaps may be double-counted; ","")&amp;IF(AH109=0,"STATUS_YR missing – imputed in time series; ","")&amp;IF(AND(ISNUMBER($I109),N($I109)&gt;Setup!$B$6),"STATUS_YR after reporting year; ","")&amp;IF(OR($G109="",$G109="Not Reported"),"GOV_TYPE not reported; ","")&amp;IF(AND(N($J109)=1,$K109="Point",N($M109)&lt;=0),"Coastal point without REP_M_AREA – land/sea split unknown; ","")&amp;IF(AND(N($J109)=0,N($S109)&gt;0),"MARINE=0 but net marine &gt;0; ","")&amp;IF(AND(N($J109)=2,N($R109)&gt;0),"MARINE=2 but net terrestrial &gt;0; ","")&amp;IF($K109="Point","Buffered point – coverage approximate; ","")))</f>
        <v/>
      </c>
    </row>
    <row r="110">
      <c r="A110" s="19" t="n"/>
      <c r="B110" s="19" t="n"/>
      <c r="C110" s="19" t="n"/>
      <c r="D110" s="19" t="n"/>
      <c r="E110" s="19" t="n"/>
      <c r="F110" s="19" t="n"/>
      <c r="G110" s="19" t="n"/>
      <c r="H110" s="19" t="n"/>
      <c r="I110" s="19" t="n"/>
      <c r="J110" s="19" t="n"/>
      <c r="K110" s="19" t="n"/>
      <c r="L110" s="20" t="n"/>
      <c r="M110" s="20" t="n"/>
      <c r="N110" s="20" t="n"/>
      <c r="O110" s="20" t="n"/>
      <c r="P110" s="19" t="n"/>
      <c r="Q110" s="19" t="n"/>
      <c r="R110" s="20" t="n"/>
      <c r="S110" s="20" t="n"/>
      <c r="T110" s="19" t="n"/>
      <c r="U110" s="19" t="n"/>
      <c r="V110" s="19" t="n"/>
      <c r="W110" s="19" t="n"/>
      <c r="X110" s="19" t="n"/>
      <c r="Y110" s="19" t="n"/>
      <c r="Z110" s="21">
        <f>IF(AND($A110="",$B110=""),"",IF(OR($E110="",$H110="",$H110="Proposed",$H110="Not Reported"),0,IF(AND($P110="Y",$Q110&lt;&gt;"Y"),0,IF(AND($K110="Point",N($L110)&lt;=0),0,IF(AND(N($L110)&lt;=0,N($N110)&lt;=0,N($R110)+N($S110)&lt;=0),0,1)))))</f>
        <v/>
      </c>
      <c r="AA110" s="21">
        <f>IF(AND($A110="",$B110=""),"",IF($E110="","Site type missing",IF($H110="","STATUS missing",IF($H110="Proposed","STATUS = Proposed",IF($H110="Not Reported","STATUS = Not Reported",IF(AND($P110="Y",$Q110&lt;&gt;"Y"),"UNESCO-MAB Biosphere Reserve",IF(AND($K110="Point",N($L110)&lt;=0),"Point without REP_AREA",IF(AND(N($L110)&lt;=0,N($N110)&lt;=0,N($R110)+N($S110)&lt;=0),"No area information",""))))))))</f>
        <v/>
      </c>
      <c r="AB110" s="22">
        <f>IF(AND($A110="",$B110=""),"",IF($K110="Point",N($L110),IF(N($N110)&gt;0,N($N110),N($L110))))</f>
        <v/>
      </c>
      <c r="AC110" s="22">
        <f>IF(AND($A110="",$B110=""),"",MIN(AB110,IF(N($J110)=0,0,IF(N($J110)=2,AB110,IF(AND($K110&lt;&gt;"Point",N($O110)&gt;0),N($O110),N($M110))))))</f>
        <v/>
      </c>
      <c r="AD110" s="22">
        <f>IF(AND($A110="",$B110=""),"",MAX(0,AB110-AC110))</f>
        <v/>
      </c>
      <c r="AE110" s="21">
        <f>IF(AND($A110="",$B110=""),"",IF(OR($R110&lt;&gt;"",$S110&lt;&gt;""),1,0))</f>
        <v/>
      </c>
      <c r="AF110" s="22">
        <f>IF(AND($A110="",$B110=""),"",IF(Z110=1,IF(AE110=1,N($R110),AD110),0))</f>
        <v/>
      </c>
      <c r="AG110" s="22">
        <f>IF(AND($A110="",$B110=""),"",IF(Z110=1,IF(AE110=1,N($S110),AC110),0))</f>
        <v/>
      </c>
      <c r="AH110" s="21">
        <f>IF(AND($A110="",$B110=""),"",IF(AND(ISNUMBER($I110),N($I110)&gt;0),$I110,0))</f>
        <v/>
      </c>
      <c r="AI110" s="23">
        <f>IF(AND(NOT(AND($A110="",$B110="")),$K110="Point",N($L110)&gt;0),SQRT(N($L110)/PI()),"")</f>
        <v/>
      </c>
      <c r="AJ110" s="21">
        <f>IF(AND($A110="",$B110=""),"",IFERROR(VLOOKUP($G110,Lists!$D$4:$E$15,2,FALSE),"Not reported"))</f>
        <v/>
      </c>
      <c r="AK110" s="21">
        <f>IF(AND($A110="",$B110=""),"",IF($X110&lt;&gt;"",$X110,IF($T110&lt;&gt;"Y","Not assessed",IF(AND(ISNUMBER($V110),Setup!$B$6-$V110&gt;Setup!$B$26),"Assessment outdated",IF(NOT(ISNUMBER($W110)),"Assessed – no score",IF($W110&gt;=Setup!$B$24,"High",IF($W110&gt;=Setup!$B$25,"Moderate","Low")))))))</f>
        <v/>
      </c>
      <c r="AL110" s="21">
        <f>IF(AND($A110="",$B110=""),"",IF(Z110=0,"",IF(AND(AE110=1,N($R110)&gt;AD110*1.01+0.001),"Net terrestrial &gt; gross; ","")&amp;IF(AND(AE110=1,N($S110)&gt;AC110*1.01+0.001),"Net marine &gt; gross; ","")&amp;IF(AE110=0,"No net area – gross used, overlaps may be double-counted; ","")&amp;IF(AH110=0,"STATUS_YR missing – imputed in time series; ","")&amp;IF(AND(ISNUMBER($I110),N($I110)&gt;Setup!$B$6),"STATUS_YR after reporting year; ","")&amp;IF(OR($G110="",$G110="Not Reported"),"GOV_TYPE not reported; ","")&amp;IF(AND(N($J110)=1,$K110="Point",N($M110)&lt;=0),"Coastal point without REP_M_AREA – land/sea split unknown; ","")&amp;IF(AND(N($J110)=0,N($S110)&gt;0),"MARINE=0 but net marine &gt;0; ","")&amp;IF(AND(N($J110)=2,N($R110)&gt;0),"MARINE=2 but net terrestrial &gt;0; ","")&amp;IF($K110="Point","Buffered point – coverage approximate; ","")))</f>
        <v/>
      </c>
    </row>
    <row r="111">
      <c r="A111" s="19" t="n"/>
      <c r="B111" s="19" t="n"/>
      <c r="C111" s="19" t="n"/>
      <c r="D111" s="19" t="n"/>
      <c r="E111" s="19" t="n"/>
      <c r="F111" s="19" t="n"/>
      <c r="G111" s="19" t="n"/>
      <c r="H111" s="19" t="n"/>
      <c r="I111" s="19" t="n"/>
      <c r="J111" s="19" t="n"/>
      <c r="K111" s="19" t="n"/>
      <c r="L111" s="20" t="n"/>
      <c r="M111" s="20" t="n"/>
      <c r="N111" s="20" t="n"/>
      <c r="O111" s="20" t="n"/>
      <c r="P111" s="19" t="n"/>
      <c r="Q111" s="19" t="n"/>
      <c r="R111" s="20" t="n"/>
      <c r="S111" s="20" t="n"/>
      <c r="T111" s="19" t="n"/>
      <c r="U111" s="19" t="n"/>
      <c r="V111" s="19" t="n"/>
      <c r="W111" s="19" t="n"/>
      <c r="X111" s="19" t="n"/>
      <c r="Y111" s="19" t="n"/>
      <c r="Z111" s="21">
        <f>IF(AND($A111="",$B111=""),"",IF(OR($E111="",$H111="",$H111="Proposed",$H111="Not Reported"),0,IF(AND($P111="Y",$Q111&lt;&gt;"Y"),0,IF(AND($K111="Point",N($L111)&lt;=0),0,IF(AND(N($L111)&lt;=0,N($N111)&lt;=0,N($R111)+N($S111)&lt;=0),0,1)))))</f>
        <v/>
      </c>
      <c r="AA111" s="21">
        <f>IF(AND($A111="",$B111=""),"",IF($E111="","Site type missing",IF($H111="","STATUS missing",IF($H111="Proposed","STATUS = Proposed",IF($H111="Not Reported","STATUS = Not Reported",IF(AND($P111="Y",$Q111&lt;&gt;"Y"),"UNESCO-MAB Biosphere Reserve",IF(AND($K111="Point",N($L111)&lt;=0),"Point without REP_AREA",IF(AND(N($L111)&lt;=0,N($N111)&lt;=0,N($R111)+N($S111)&lt;=0),"No area information",""))))))))</f>
        <v/>
      </c>
      <c r="AB111" s="22">
        <f>IF(AND($A111="",$B111=""),"",IF($K111="Point",N($L111),IF(N($N111)&gt;0,N($N111),N($L111))))</f>
        <v/>
      </c>
      <c r="AC111" s="22">
        <f>IF(AND($A111="",$B111=""),"",MIN(AB111,IF(N($J111)=0,0,IF(N($J111)=2,AB111,IF(AND($K111&lt;&gt;"Point",N($O111)&gt;0),N($O111),N($M111))))))</f>
        <v/>
      </c>
      <c r="AD111" s="22">
        <f>IF(AND($A111="",$B111=""),"",MAX(0,AB111-AC111))</f>
        <v/>
      </c>
      <c r="AE111" s="21">
        <f>IF(AND($A111="",$B111=""),"",IF(OR($R111&lt;&gt;"",$S111&lt;&gt;""),1,0))</f>
        <v/>
      </c>
      <c r="AF111" s="22">
        <f>IF(AND($A111="",$B111=""),"",IF(Z111=1,IF(AE111=1,N($R111),AD111),0))</f>
        <v/>
      </c>
      <c r="AG111" s="22">
        <f>IF(AND($A111="",$B111=""),"",IF(Z111=1,IF(AE111=1,N($S111),AC111),0))</f>
        <v/>
      </c>
      <c r="AH111" s="21">
        <f>IF(AND($A111="",$B111=""),"",IF(AND(ISNUMBER($I111),N($I111)&gt;0),$I111,0))</f>
        <v/>
      </c>
      <c r="AI111" s="23">
        <f>IF(AND(NOT(AND($A111="",$B111="")),$K111="Point",N($L111)&gt;0),SQRT(N($L111)/PI()),"")</f>
        <v/>
      </c>
      <c r="AJ111" s="21">
        <f>IF(AND($A111="",$B111=""),"",IFERROR(VLOOKUP($G111,Lists!$D$4:$E$15,2,FALSE),"Not reported"))</f>
        <v/>
      </c>
      <c r="AK111" s="21">
        <f>IF(AND($A111="",$B111=""),"",IF($X111&lt;&gt;"",$X111,IF($T111&lt;&gt;"Y","Not assessed",IF(AND(ISNUMBER($V111),Setup!$B$6-$V111&gt;Setup!$B$26),"Assessment outdated",IF(NOT(ISNUMBER($W111)),"Assessed – no score",IF($W111&gt;=Setup!$B$24,"High",IF($W111&gt;=Setup!$B$25,"Moderate","Low")))))))</f>
        <v/>
      </c>
      <c r="AL111" s="21">
        <f>IF(AND($A111="",$B111=""),"",IF(Z111=0,"",IF(AND(AE111=1,N($R111)&gt;AD111*1.01+0.001),"Net terrestrial &gt; gross; ","")&amp;IF(AND(AE111=1,N($S111)&gt;AC111*1.01+0.001),"Net marine &gt; gross; ","")&amp;IF(AE111=0,"No net area – gross used, overlaps may be double-counted; ","")&amp;IF(AH111=0,"STATUS_YR missing – imputed in time series; ","")&amp;IF(AND(ISNUMBER($I111),N($I111)&gt;Setup!$B$6),"STATUS_YR after reporting year; ","")&amp;IF(OR($G111="",$G111="Not Reported"),"GOV_TYPE not reported; ","")&amp;IF(AND(N($J111)=1,$K111="Point",N($M111)&lt;=0),"Coastal point without REP_M_AREA – land/sea split unknown; ","")&amp;IF(AND(N($J111)=0,N($S111)&gt;0),"MARINE=0 but net marine &gt;0; ","")&amp;IF(AND(N($J111)=2,N($R111)&gt;0),"MARINE=2 but net terrestrial &gt;0; ","")&amp;IF($K111="Point","Buffered point – coverage approximate; ","")))</f>
        <v/>
      </c>
    </row>
    <row r="112">
      <c r="A112" s="19" t="n"/>
      <c r="B112" s="19" t="n"/>
      <c r="C112" s="19" t="n"/>
      <c r="D112" s="19" t="n"/>
      <c r="E112" s="19" t="n"/>
      <c r="F112" s="19" t="n"/>
      <c r="G112" s="19" t="n"/>
      <c r="H112" s="19" t="n"/>
      <c r="I112" s="19" t="n"/>
      <c r="J112" s="19" t="n"/>
      <c r="K112" s="19" t="n"/>
      <c r="L112" s="20" t="n"/>
      <c r="M112" s="20" t="n"/>
      <c r="N112" s="20" t="n"/>
      <c r="O112" s="20" t="n"/>
      <c r="P112" s="19" t="n"/>
      <c r="Q112" s="19" t="n"/>
      <c r="R112" s="20" t="n"/>
      <c r="S112" s="20" t="n"/>
      <c r="T112" s="19" t="n"/>
      <c r="U112" s="19" t="n"/>
      <c r="V112" s="19" t="n"/>
      <c r="W112" s="19" t="n"/>
      <c r="X112" s="19" t="n"/>
      <c r="Y112" s="19" t="n"/>
      <c r="Z112" s="21">
        <f>IF(AND($A112="",$B112=""),"",IF(OR($E112="",$H112="",$H112="Proposed",$H112="Not Reported"),0,IF(AND($P112="Y",$Q112&lt;&gt;"Y"),0,IF(AND($K112="Point",N($L112)&lt;=0),0,IF(AND(N($L112)&lt;=0,N($N112)&lt;=0,N($R112)+N($S112)&lt;=0),0,1)))))</f>
        <v/>
      </c>
      <c r="AA112" s="21">
        <f>IF(AND($A112="",$B112=""),"",IF($E112="","Site type missing",IF($H112="","STATUS missing",IF($H112="Proposed","STATUS = Proposed",IF($H112="Not Reported","STATUS = Not Reported",IF(AND($P112="Y",$Q112&lt;&gt;"Y"),"UNESCO-MAB Biosphere Reserve",IF(AND($K112="Point",N($L112)&lt;=0),"Point without REP_AREA",IF(AND(N($L112)&lt;=0,N($N112)&lt;=0,N($R112)+N($S112)&lt;=0),"No area information",""))))))))</f>
        <v/>
      </c>
      <c r="AB112" s="22">
        <f>IF(AND($A112="",$B112=""),"",IF($K112="Point",N($L112),IF(N($N112)&gt;0,N($N112),N($L112))))</f>
        <v/>
      </c>
      <c r="AC112" s="22">
        <f>IF(AND($A112="",$B112=""),"",MIN(AB112,IF(N($J112)=0,0,IF(N($J112)=2,AB112,IF(AND($K112&lt;&gt;"Point",N($O112)&gt;0),N($O112),N($M112))))))</f>
        <v/>
      </c>
      <c r="AD112" s="22">
        <f>IF(AND($A112="",$B112=""),"",MAX(0,AB112-AC112))</f>
        <v/>
      </c>
      <c r="AE112" s="21">
        <f>IF(AND($A112="",$B112=""),"",IF(OR($R112&lt;&gt;"",$S112&lt;&gt;""),1,0))</f>
        <v/>
      </c>
      <c r="AF112" s="22">
        <f>IF(AND($A112="",$B112=""),"",IF(Z112=1,IF(AE112=1,N($R112),AD112),0))</f>
        <v/>
      </c>
      <c r="AG112" s="22">
        <f>IF(AND($A112="",$B112=""),"",IF(Z112=1,IF(AE112=1,N($S112),AC112),0))</f>
        <v/>
      </c>
      <c r="AH112" s="21">
        <f>IF(AND($A112="",$B112=""),"",IF(AND(ISNUMBER($I112),N($I112)&gt;0),$I112,0))</f>
        <v/>
      </c>
      <c r="AI112" s="23">
        <f>IF(AND(NOT(AND($A112="",$B112="")),$K112="Point",N($L112)&gt;0),SQRT(N($L112)/PI()),"")</f>
        <v/>
      </c>
      <c r="AJ112" s="21">
        <f>IF(AND($A112="",$B112=""),"",IFERROR(VLOOKUP($G112,Lists!$D$4:$E$15,2,FALSE),"Not reported"))</f>
        <v/>
      </c>
      <c r="AK112" s="21">
        <f>IF(AND($A112="",$B112=""),"",IF($X112&lt;&gt;"",$X112,IF($T112&lt;&gt;"Y","Not assessed",IF(AND(ISNUMBER($V112),Setup!$B$6-$V112&gt;Setup!$B$26),"Assessment outdated",IF(NOT(ISNUMBER($W112)),"Assessed – no score",IF($W112&gt;=Setup!$B$24,"High",IF($W112&gt;=Setup!$B$25,"Moderate","Low")))))))</f>
        <v/>
      </c>
      <c r="AL112" s="21">
        <f>IF(AND($A112="",$B112=""),"",IF(Z112=0,"",IF(AND(AE112=1,N($R112)&gt;AD112*1.01+0.001),"Net terrestrial &gt; gross; ","")&amp;IF(AND(AE112=1,N($S112)&gt;AC112*1.01+0.001),"Net marine &gt; gross; ","")&amp;IF(AE112=0,"No net area – gross used, overlaps may be double-counted; ","")&amp;IF(AH112=0,"STATUS_YR missing – imputed in time series; ","")&amp;IF(AND(ISNUMBER($I112),N($I112)&gt;Setup!$B$6),"STATUS_YR after reporting year; ","")&amp;IF(OR($G112="",$G112="Not Reported"),"GOV_TYPE not reported; ","")&amp;IF(AND(N($J112)=1,$K112="Point",N($M112)&lt;=0),"Coastal point without REP_M_AREA – land/sea split unknown; ","")&amp;IF(AND(N($J112)=0,N($S112)&gt;0),"MARINE=0 but net marine &gt;0; ","")&amp;IF(AND(N($J112)=2,N($R112)&gt;0),"MARINE=2 but net terrestrial &gt;0; ","")&amp;IF($K112="Point","Buffered point – coverage approximate; ","")))</f>
        <v/>
      </c>
    </row>
    <row r="113">
      <c r="A113" s="19" t="n"/>
      <c r="B113" s="19" t="n"/>
      <c r="C113" s="19" t="n"/>
      <c r="D113" s="19" t="n"/>
      <c r="E113" s="19" t="n"/>
      <c r="F113" s="19" t="n"/>
      <c r="G113" s="19" t="n"/>
      <c r="H113" s="19" t="n"/>
      <c r="I113" s="19" t="n"/>
      <c r="J113" s="19" t="n"/>
      <c r="K113" s="19" t="n"/>
      <c r="L113" s="20" t="n"/>
      <c r="M113" s="20" t="n"/>
      <c r="N113" s="20" t="n"/>
      <c r="O113" s="20" t="n"/>
      <c r="P113" s="19" t="n"/>
      <c r="Q113" s="19" t="n"/>
      <c r="R113" s="20" t="n"/>
      <c r="S113" s="20" t="n"/>
      <c r="T113" s="19" t="n"/>
      <c r="U113" s="19" t="n"/>
      <c r="V113" s="19" t="n"/>
      <c r="W113" s="19" t="n"/>
      <c r="X113" s="19" t="n"/>
      <c r="Y113" s="19" t="n"/>
      <c r="Z113" s="21">
        <f>IF(AND($A113="",$B113=""),"",IF(OR($E113="",$H113="",$H113="Proposed",$H113="Not Reported"),0,IF(AND($P113="Y",$Q113&lt;&gt;"Y"),0,IF(AND($K113="Point",N($L113)&lt;=0),0,IF(AND(N($L113)&lt;=0,N($N113)&lt;=0,N($R113)+N($S113)&lt;=0),0,1)))))</f>
        <v/>
      </c>
      <c r="AA113" s="21">
        <f>IF(AND($A113="",$B113=""),"",IF($E113="","Site type missing",IF($H113="","STATUS missing",IF($H113="Proposed","STATUS = Proposed",IF($H113="Not Reported","STATUS = Not Reported",IF(AND($P113="Y",$Q113&lt;&gt;"Y"),"UNESCO-MAB Biosphere Reserve",IF(AND($K113="Point",N($L113)&lt;=0),"Point without REP_AREA",IF(AND(N($L113)&lt;=0,N($N113)&lt;=0,N($R113)+N($S113)&lt;=0),"No area information",""))))))))</f>
        <v/>
      </c>
      <c r="AB113" s="22">
        <f>IF(AND($A113="",$B113=""),"",IF($K113="Point",N($L113),IF(N($N113)&gt;0,N($N113),N($L113))))</f>
        <v/>
      </c>
      <c r="AC113" s="22">
        <f>IF(AND($A113="",$B113=""),"",MIN(AB113,IF(N($J113)=0,0,IF(N($J113)=2,AB113,IF(AND($K113&lt;&gt;"Point",N($O113)&gt;0),N($O113),N($M113))))))</f>
        <v/>
      </c>
      <c r="AD113" s="22">
        <f>IF(AND($A113="",$B113=""),"",MAX(0,AB113-AC113))</f>
        <v/>
      </c>
      <c r="AE113" s="21">
        <f>IF(AND($A113="",$B113=""),"",IF(OR($R113&lt;&gt;"",$S113&lt;&gt;""),1,0))</f>
        <v/>
      </c>
      <c r="AF113" s="22">
        <f>IF(AND($A113="",$B113=""),"",IF(Z113=1,IF(AE113=1,N($R113),AD113),0))</f>
        <v/>
      </c>
      <c r="AG113" s="22">
        <f>IF(AND($A113="",$B113=""),"",IF(Z113=1,IF(AE113=1,N($S113),AC113),0))</f>
        <v/>
      </c>
      <c r="AH113" s="21">
        <f>IF(AND($A113="",$B113=""),"",IF(AND(ISNUMBER($I113),N($I113)&gt;0),$I113,0))</f>
        <v/>
      </c>
      <c r="AI113" s="23">
        <f>IF(AND(NOT(AND($A113="",$B113="")),$K113="Point",N($L113)&gt;0),SQRT(N($L113)/PI()),"")</f>
        <v/>
      </c>
      <c r="AJ113" s="21">
        <f>IF(AND($A113="",$B113=""),"",IFERROR(VLOOKUP($G113,Lists!$D$4:$E$15,2,FALSE),"Not reported"))</f>
        <v/>
      </c>
      <c r="AK113" s="21">
        <f>IF(AND($A113="",$B113=""),"",IF($X113&lt;&gt;"",$X113,IF($T113&lt;&gt;"Y","Not assessed",IF(AND(ISNUMBER($V113),Setup!$B$6-$V113&gt;Setup!$B$26),"Assessment outdated",IF(NOT(ISNUMBER($W113)),"Assessed – no score",IF($W113&gt;=Setup!$B$24,"High",IF($W113&gt;=Setup!$B$25,"Moderate","Low")))))))</f>
        <v/>
      </c>
      <c r="AL113" s="21">
        <f>IF(AND($A113="",$B113=""),"",IF(Z113=0,"",IF(AND(AE113=1,N($R113)&gt;AD113*1.01+0.001),"Net terrestrial &gt; gross; ","")&amp;IF(AND(AE113=1,N($S113)&gt;AC113*1.01+0.001),"Net marine &gt; gross; ","")&amp;IF(AE113=0,"No net area – gross used, overlaps may be double-counted; ","")&amp;IF(AH113=0,"STATUS_YR missing – imputed in time series; ","")&amp;IF(AND(ISNUMBER($I113),N($I113)&gt;Setup!$B$6),"STATUS_YR after reporting year; ","")&amp;IF(OR($G113="",$G113="Not Reported"),"GOV_TYPE not reported; ","")&amp;IF(AND(N($J113)=1,$K113="Point",N($M113)&lt;=0),"Coastal point without REP_M_AREA – land/sea split unknown; ","")&amp;IF(AND(N($J113)=0,N($S113)&gt;0),"MARINE=0 but net marine &gt;0; ","")&amp;IF(AND(N($J113)=2,N($R113)&gt;0),"MARINE=2 but net terrestrial &gt;0; ","")&amp;IF($K113="Point","Buffered point – coverage approximate; ","")))</f>
        <v/>
      </c>
    </row>
    <row r="114">
      <c r="A114" s="19" t="n"/>
      <c r="B114" s="19" t="n"/>
      <c r="C114" s="19" t="n"/>
      <c r="D114" s="19" t="n"/>
      <c r="E114" s="19" t="n"/>
      <c r="F114" s="19" t="n"/>
      <c r="G114" s="19" t="n"/>
      <c r="H114" s="19" t="n"/>
      <c r="I114" s="19" t="n"/>
      <c r="J114" s="19" t="n"/>
      <c r="K114" s="19" t="n"/>
      <c r="L114" s="20" t="n"/>
      <c r="M114" s="20" t="n"/>
      <c r="N114" s="20" t="n"/>
      <c r="O114" s="20" t="n"/>
      <c r="P114" s="19" t="n"/>
      <c r="Q114" s="19" t="n"/>
      <c r="R114" s="20" t="n"/>
      <c r="S114" s="20" t="n"/>
      <c r="T114" s="19" t="n"/>
      <c r="U114" s="19" t="n"/>
      <c r="V114" s="19" t="n"/>
      <c r="W114" s="19" t="n"/>
      <c r="X114" s="19" t="n"/>
      <c r="Y114" s="19" t="n"/>
      <c r="Z114" s="21">
        <f>IF(AND($A114="",$B114=""),"",IF(OR($E114="",$H114="",$H114="Proposed",$H114="Not Reported"),0,IF(AND($P114="Y",$Q114&lt;&gt;"Y"),0,IF(AND($K114="Point",N($L114)&lt;=0),0,IF(AND(N($L114)&lt;=0,N($N114)&lt;=0,N($R114)+N($S114)&lt;=0),0,1)))))</f>
        <v/>
      </c>
      <c r="AA114" s="21">
        <f>IF(AND($A114="",$B114=""),"",IF($E114="","Site type missing",IF($H114="","STATUS missing",IF($H114="Proposed","STATUS = Proposed",IF($H114="Not Reported","STATUS = Not Reported",IF(AND($P114="Y",$Q114&lt;&gt;"Y"),"UNESCO-MAB Biosphere Reserve",IF(AND($K114="Point",N($L114)&lt;=0),"Point without REP_AREA",IF(AND(N($L114)&lt;=0,N($N114)&lt;=0,N($R114)+N($S114)&lt;=0),"No area information",""))))))))</f>
        <v/>
      </c>
      <c r="AB114" s="22">
        <f>IF(AND($A114="",$B114=""),"",IF($K114="Point",N($L114),IF(N($N114)&gt;0,N($N114),N($L114))))</f>
        <v/>
      </c>
      <c r="AC114" s="22">
        <f>IF(AND($A114="",$B114=""),"",MIN(AB114,IF(N($J114)=0,0,IF(N($J114)=2,AB114,IF(AND($K114&lt;&gt;"Point",N($O114)&gt;0),N($O114),N($M114))))))</f>
        <v/>
      </c>
      <c r="AD114" s="22">
        <f>IF(AND($A114="",$B114=""),"",MAX(0,AB114-AC114))</f>
        <v/>
      </c>
      <c r="AE114" s="21">
        <f>IF(AND($A114="",$B114=""),"",IF(OR($R114&lt;&gt;"",$S114&lt;&gt;""),1,0))</f>
        <v/>
      </c>
      <c r="AF114" s="22">
        <f>IF(AND($A114="",$B114=""),"",IF(Z114=1,IF(AE114=1,N($R114),AD114),0))</f>
        <v/>
      </c>
      <c r="AG114" s="22">
        <f>IF(AND($A114="",$B114=""),"",IF(Z114=1,IF(AE114=1,N($S114),AC114),0))</f>
        <v/>
      </c>
      <c r="AH114" s="21">
        <f>IF(AND($A114="",$B114=""),"",IF(AND(ISNUMBER($I114),N($I114)&gt;0),$I114,0))</f>
        <v/>
      </c>
      <c r="AI114" s="23">
        <f>IF(AND(NOT(AND($A114="",$B114="")),$K114="Point",N($L114)&gt;0),SQRT(N($L114)/PI()),"")</f>
        <v/>
      </c>
      <c r="AJ114" s="21">
        <f>IF(AND($A114="",$B114=""),"",IFERROR(VLOOKUP($G114,Lists!$D$4:$E$15,2,FALSE),"Not reported"))</f>
        <v/>
      </c>
      <c r="AK114" s="21">
        <f>IF(AND($A114="",$B114=""),"",IF($X114&lt;&gt;"",$X114,IF($T114&lt;&gt;"Y","Not assessed",IF(AND(ISNUMBER($V114),Setup!$B$6-$V114&gt;Setup!$B$26),"Assessment outdated",IF(NOT(ISNUMBER($W114)),"Assessed – no score",IF($W114&gt;=Setup!$B$24,"High",IF($W114&gt;=Setup!$B$25,"Moderate","Low")))))))</f>
        <v/>
      </c>
      <c r="AL114" s="21">
        <f>IF(AND($A114="",$B114=""),"",IF(Z114=0,"",IF(AND(AE114=1,N($R114)&gt;AD114*1.01+0.001),"Net terrestrial &gt; gross; ","")&amp;IF(AND(AE114=1,N($S114)&gt;AC114*1.01+0.001),"Net marine &gt; gross; ","")&amp;IF(AE114=0,"No net area – gross used, overlaps may be double-counted; ","")&amp;IF(AH114=0,"STATUS_YR missing – imputed in time series; ","")&amp;IF(AND(ISNUMBER($I114),N($I114)&gt;Setup!$B$6),"STATUS_YR after reporting year; ","")&amp;IF(OR($G114="",$G114="Not Reported"),"GOV_TYPE not reported; ","")&amp;IF(AND(N($J114)=1,$K114="Point",N($M114)&lt;=0),"Coastal point without REP_M_AREA – land/sea split unknown; ","")&amp;IF(AND(N($J114)=0,N($S114)&gt;0),"MARINE=0 but net marine &gt;0; ","")&amp;IF(AND(N($J114)=2,N($R114)&gt;0),"MARINE=2 but net terrestrial &gt;0; ","")&amp;IF($K114="Point","Buffered point – coverage approximate; ","")))</f>
        <v/>
      </c>
    </row>
    <row r="115">
      <c r="A115" s="19" t="n"/>
      <c r="B115" s="19" t="n"/>
      <c r="C115" s="19" t="n"/>
      <c r="D115" s="19" t="n"/>
      <c r="E115" s="19" t="n"/>
      <c r="F115" s="19" t="n"/>
      <c r="G115" s="19" t="n"/>
      <c r="H115" s="19" t="n"/>
      <c r="I115" s="19" t="n"/>
      <c r="J115" s="19" t="n"/>
      <c r="K115" s="19" t="n"/>
      <c r="L115" s="20" t="n"/>
      <c r="M115" s="20" t="n"/>
      <c r="N115" s="20" t="n"/>
      <c r="O115" s="20" t="n"/>
      <c r="P115" s="19" t="n"/>
      <c r="Q115" s="19" t="n"/>
      <c r="R115" s="20" t="n"/>
      <c r="S115" s="20" t="n"/>
      <c r="T115" s="19" t="n"/>
      <c r="U115" s="19" t="n"/>
      <c r="V115" s="19" t="n"/>
      <c r="W115" s="19" t="n"/>
      <c r="X115" s="19" t="n"/>
      <c r="Y115" s="19" t="n"/>
      <c r="Z115" s="21">
        <f>IF(AND($A115="",$B115=""),"",IF(OR($E115="",$H115="",$H115="Proposed",$H115="Not Reported"),0,IF(AND($P115="Y",$Q115&lt;&gt;"Y"),0,IF(AND($K115="Point",N($L115)&lt;=0),0,IF(AND(N($L115)&lt;=0,N($N115)&lt;=0,N($R115)+N($S115)&lt;=0),0,1)))))</f>
        <v/>
      </c>
      <c r="AA115" s="21">
        <f>IF(AND($A115="",$B115=""),"",IF($E115="","Site type missing",IF($H115="","STATUS missing",IF($H115="Proposed","STATUS = Proposed",IF($H115="Not Reported","STATUS = Not Reported",IF(AND($P115="Y",$Q115&lt;&gt;"Y"),"UNESCO-MAB Biosphere Reserve",IF(AND($K115="Point",N($L115)&lt;=0),"Point without REP_AREA",IF(AND(N($L115)&lt;=0,N($N115)&lt;=0,N($R115)+N($S115)&lt;=0),"No area information",""))))))))</f>
        <v/>
      </c>
      <c r="AB115" s="22">
        <f>IF(AND($A115="",$B115=""),"",IF($K115="Point",N($L115),IF(N($N115)&gt;0,N($N115),N($L115))))</f>
        <v/>
      </c>
      <c r="AC115" s="22">
        <f>IF(AND($A115="",$B115=""),"",MIN(AB115,IF(N($J115)=0,0,IF(N($J115)=2,AB115,IF(AND($K115&lt;&gt;"Point",N($O115)&gt;0),N($O115),N($M115))))))</f>
        <v/>
      </c>
      <c r="AD115" s="22">
        <f>IF(AND($A115="",$B115=""),"",MAX(0,AB115-AC115))</f>
        <v/>
      </c>
      <c r="AE115" s="21">
        <f>IF(AND($A115="",$B115=""),"",IF(OR($R115&lt;&gt;"",$S115&lt;&gt;""),1,0))</f>
        <v/>
      </c>
      <c r="AF115" s="22">
        <f>IF(AND($A115="",$B115=""),"",IF(Z115=1,IF(AE115=1,N($R115),AD115),0))</f>
        <v/>
      </c>
      <c r="AG115" s="22">
        <f>IF(AND($A115="",$B115=""),"",IF(Z115=1,IF(AE115=1,N($S115),AC115),0))</f>
        <v/>
      </c>
      <c r="AH115" s="21">
        <f>IF(AND($A115="",$B115=""),"",IF(AND(ISNUMBER($I115),N($I115)&gt;0),$I115,0))</f>
        <v/>
      </c>
      <c r="AI115" s="23">
        <f>IF(AND(NOT(AND($A115="",$B115="")),$K115="Point",N($L115)&gt;0),SQRT(N($L115)/PI()),"")</f>
        <v/>
      </c>
      <c r="AJ115" s="21">
        <f>IF(AND($A115="",$B115=""),"",IFERROR(VLOOKUP($G115,Lists!$D$4:$E$15,2,FALSE),"Not reported"))</f>
        <v/>
      </c>
      <c r="AK115" s="21">
        <f>IF(AND($A115="",$B115=""),"",IF($X115&lt;&gt;"",$X115,IF($T115&lt;&gt;"Y","Not assessed",IF(AND(ISNUMBER($V115),Setup!$B$6-$V115&gt;Setup!$B$26),"Assessment outdated",IF(NOT(ISNUMBER($W115)),"Assessed – no score",IF($W115&gt;=Setup!$B$24,"High",IF($W115&gt;=Setup!$B$25,"Moderate","Low")))))))</f>
        <v/>
      </c>
      <c r="AL115" s="21">
        <f>IF(AND($A115="",$B115=""),"",IF(Z115=0,"",IF(AND(AE115=1,N($R115)&gt;AD115*1.01+0.001),"Net terrestrial &gt; gross; ","")&amp;IF(AND(AE115=1,N($S115)&gt;AC115*1.01+0.001),"Net marine &gt; gross; ","")&amp;IF(AE115=0,"No net area – gross used, overlaps may be double-counted; ","")&amp;IF(AH115=0,"STATUS_YR missing – imputed in time series; ","")&amp;IF(AND(ISNUMBER($I115),N($I115)&gt;Setup!$B$6),"STATUS_YR after reporting year; ","")&amp;IF(OR($G115="",$G115="Not Reported"),"GOV_TYPE not reported; ","")&amp;IF(AND(N($J115)=1,$K115="Point",N($M115)&lt;=0),"Coastal point without REP_M_AREA – land/sea split unknown; ","")&amp;IF(AND(N($J115)=0,N($S115)&gt;0),"MARINE=0 but net marine &gt;0; ","")&amp;IF(AND(N($J115)=2,N($R115)&gt;0),"MARINE=2 but net terrestrial &gt;0; ","")&amp;IF($K115="Point","Buffered point – coverage approximate; ","")))</f>
        <v/>
      </c>
    </row>
    <row r="116">
      <c r="A116" s="19" t="n"/>
      <c r="B116" s="19" t="n"/>
      <c r="C116" s="19" t="n"/>
      <c r="D116" s="19" t="n"/>
      <c r="E116" s="19" t="n"/>
      <c r="F116" s="19" t="n"/>
      <c r="G116" s="19" t="n"/>
      <c r="H116" s="19" t="n"/>
      <c r="I116" s="19" t="n"/>
      <c r="J116" s="19" t="n"/>
      <c r="K116" s="19" t="n"/>
      <c r="L116" s="20" t="n"/>
      <c r="M116" s="20" t="n"/>
      <c r="N116" s="20" t="n"/>
      <c r="O116" s="20" t="n"/>
      <c r="P116" s="19" t="n"/>
      <c r="Q116" s="19" t="n"/>
      <c r="R116" s="20" t="n"/>
      <c r="S116" s="20" t="n"/>
      <c r="T116" s="19" t="n"/>
      <c r="U116" s="19" t="n"/>
      <c r="V116" s="19" t="n"/>
      <c r="W116" s="19" t="n"/>
      <c r="X116" s="19" t="n"/>
      <c r="Y116" s="19" t="n"/>
      <c r="Z116" s="21">
        <f>IF(AND($A116="",$B116=""),"",IF(OR($E116="",$H116="",$H116="Proposed",$H116="Not Reported"),0,IF(AND($P116="Y",$Q116&lt;&gt;"Y"),0,IF(AND($K116="Point",N($L116)&lt;=0),0,IF(AND(N($L116)&lt;=0,N($N116)&lt;=0,N($R116)+N($S116)&lt;=0),0,1)))))</f>
        <v/>
      </c>
      <c r="AA116" s="21">
        <f>IF(AND($A116="",$B116=""),"",IF($E116="","Site type missing",IF($H116="","STATUS missing",IF($H116="Proposed","STATUS = Proposed",IF($H116="Not Reported","STATUS = Not Reported",IF(AND($P116="Y",$Q116&lt;&gt;"Y"),"UNESCO-MAB Biosphere Reserve",IF(AND($K116="Point",N($L116)&lt;=0),"Point without REP_AREA",IF(AND(N($L116)&lt;=0,N($N116)&lt;=0,N($R116)+N($S116)&lt;=0),"No area information",""))))))))</f>
        <v/>
      </c>
      <c r="AB116" s="22">
        <f>IF(AND($A116="",$B116=""),"",IF($K116="Point",N($L116),IF(N($N116)&gt;0,N($N116),N($L116))))</f>
        <v/>
      </c>
      <c r="AC116" s="22">
        <f>IF(AND($A116="",$B116=""),"",MIN(AB116,IF(N($J116)=0,0,IF(N($J116)=2,AB116,IF(AND($K116&lt;&gt;"Point",N($O116)&gt;0),N($O116),N($M116))))))</f>
        <v/>
      </c>
      <c r="AD116" s="22">
        <f>IF(AND($A116="",$B116=""),"",MAX(0,AB116-AC116))</f>
        <v/>
      </c>
      <c r="AE116" s="21">
        <f>IF(AND($A116="",$B116=""),"",IF(OR($R116&lt;&gt;"",$S116&lt;&gt;""),1,0))</f>
        <v/>
      </c>
      <c r="AF116" s="22">
        <f>IF(AND($A116="",$B116=""),"",IF(Z116=1,IF(AE116=1,N($R116),AD116),0))</f>
        <v/>
      </c>
      <c r="AG116" s="22">
        <f>IF(AND($A116="",$B116=""),"",IF(Z116=1,IF(AE116=1,N($S116),AC116),0))</f>
        <v/>
      </c>
      <c r="AH116" s="21">
        <f>IF(AND($A116="",$B116=""),"",IF(AND(ISNUMBER($I116),N($I116)&gt;0),$I116,0))</f>
        <v/>
      </c>
      <c r="AI116" s="23">
        <f>IF(AND(NOT(AND($A116="",$B116="")),$K116="Point",N($L116)&gt;0),SQRT(N($L116)/PI()),"")</f>
        <v/>
      </c>
      <c r="AJ116" s="21">
        <f>IF(AND($A116="",$B116=""),"",IFERROR(VLOOKUP($G116,Lists!$D$4:$E$15,2,FALSE),"Not reported"))</f>
        <v/>
      </c>
      <c r="AK116" s="21">
        <f>IF(AND($A116="",$B116=""),"",IF($X116&lt;&gt;"",$X116,IF($T116&lt;&gt;"Y","Not assessed",IF(AND(ISNUMBER($V116),Setup!$B$6-$V116&gt;Setup!$B$26),"Assessment outdated",IF(NOT(ISNUMBER($W116)),"Assessed – no score",IF($W116&gt;=Setup!$B$24,"High",IF($W116&gt;=Setup!$B$25,"Moderate","Low")))))))</f>
        <v/>
      </c>
      <c r="AL116" s="21">
        <f>IF(AND($A116="",$B116=""),"",IF(Z116=0,"",IF(AND(AE116=1,N($R116)&gt;AD116*1.01+0.001),"Net terrestrial &gt; gross; ","")&amp;IF(AND(AE116=1,N($S116)&gt;AC116*1.01+0.001),"Net marine &gt; gross; ","")&amp;IF(AE116=0,"No net area – gross used, overlaps may be double-counted; ","")&amp;IF(AH116=0,"STATUS_YR missing – imputed in time series; ","")&amp;IF(AND(ISNUMBER($I116),N($I116)&gt;Setup!$B$6),"STATUS_YR after reporting year; ","")&amp;IF(OR($G116="",$G116="Not Reported"),"GOV_TYPE not reported; ","")&amp;IF(AND(N($J116)=1,$K116="Point",N($M116)&lt;=0),"Coastal point without REP_M_AREA – land/sea split unknown; ","")&amp;IF(AND(N($J116)=0,N($S116)&gt;0),"MARINE=0 but net marine &gt;0; ","")&amp;IF(AND(N($J116)=2,N($R116)&gt;0),"MARINE=2 but net terrestrial &gt;0; ","")&amp;IF($K116="Point","Buffered point – coverage approximate; ","")))</f>
        <v/>
      </c>
    </row>
    <row r="117">
      <c r="A117" s="19" t="n"/>
      <c r="B117" s="19" t="n"/>
      <c r="C117" s="19" t="n"/>
      <c r="D117" s="19" t="n"/>
      <c r="E117" s="19" t="n"/>
      <c r="F117" s="19" t="n"/>
      <c r="G117" s="19" t="n"/>
      <c r="H117" s="19" t="n"/>
      <c r="I117" s="19" t="n"/>
      <c r="J117" s="19" t="n"/>
      <c r="K117" s="19" t="n"/>
      <c r="L117" s="20" t="n"/>
      <c r="M117" s="20" t="n"/>
      <c r="N117" s="20" t="n"/>
      <c r="O117" s="20" t="n"/>
      <c r="P117" s="19" t="n"/>
      <c r="Q117" s="19" t="n"/>
      <c r="R117" s="20" t="n"/>
      <c r="S117" s="20" t="n"/>
      <c r="T117" s="19" t="n"/>
      <c r="U117" s="19" t="n"/>
      <c r="V117" s="19" t="n"/>
      <c r="W117" s="19" t="n"/>
      <c r="X117" s="19" t="n"/>
      <c r="Y117" s="19" t="n"/>
      <c r="Z117" s="21">
        <f>IF(AND($A117="",$B117=""),"",IF(OR($E117="",$H117="",$H117="Proposed",$H117="Not Reported"),0,IF(AND($P117="Y",$Q117&lt;&gt;"Y"),0,IF(AND($K117="Point",N($L117)&lt;=0),0,IF(AND(N($L117)&lt;=0,N($N117)&lt;=0,N($R117)+N($S117)&lt;=0),0,1)))))</f>
        <v/>
      </c>
      <c r="AA117" s="21">
        <f>IF(AND($A117="",$B117=""),"",IF($E117="","Site type missing",IF($H117="","STATUS missing",IF($H117="Proposed","STATUS = Proposed",IF($H117="Not Reported","STATUS = Not Reported",IF(AND($P117="Y",$Q117&lt;&gt;"Y"),"UNESCO-MAB Biosphere Reserve",IF(AND($K117="Point",N($L117)&lt;=0),"Point without REP_AREA",IF(AND(N($L117)&lt;=0,N($N117)&lt;=0,N($R117)+N($S117)&lt;=0),"No area information",""))))))))</f>
        <v/>
      </c>
      <c r="AB117" s="22">
        <f>IF(AND($A117="",$B117=""),"",IF($K117="Point",N($L117),IF(N($N117)&gt;0,N($N117),N($L117))))</f>
        <v/>
      </c>
      <c r="AC117" s="22">
        <f>IF(AND($A117="",$B117=""),"",MIN(AB117,IF(N($J117)=0,0,IF(N($J117)=2,AB117,IF(AND($K117&lt;&gt;"Point",N($O117)&gt;0),N($O117),N($M117))))))</f>
        <v/>
      </c>
      <c r="AD117" s="22">
        <f>IF(AND($A117="",$B117=""),"",MAX(0,AB117-AC117))</f>
        <v/>
      </c>
      <c r="AE117" s="21">
        <f>IF(AND($A117="",$B117=""),"",IF(OR($R117&lt;&gt;"",$S117&lt;&gt;""),1,0))</f>
        <v/>
      </c>
      <c r="AF117" s="22">
        <f>IF(AND($A117="",$B117=""),"",IF(Z117=1,IF(AE117=1,N($R117),AD117),0))</f>
        <v/>
      </c>
      <c r="AG117" s="22">
        <f>IF(AND($A117="",$B117=""),"",IF(Z117=1,IF(AE117=1,N($S117),AC117),0))</f>
        <v/>
      </c>
      <c r="AH117" s="21">
        <f>IF(AND($A117="",$B117=""),"",IF(AND(ISNUMBER($I117),N($I117)&gt;0),$I117,0))</f>
        <v/>
      </c>
      <c r="AI117" s="23">
        <f>IF(AND(NOT(AND($A117="",$B117="")),$K117="Point",N($L117)&gt;0),SQRT(N($L117)/PI()),"")</f>
        <v/>
      </c>
      <c r="AJ117" s="21">
        <f>IF(AND($A117="",$B117=""),"",IFERROR(VLOOKUP($G117,Lists!$D$4:$E$15,2,FALSE),"Not reported"))</f>
        <v/>
      </c>
      <c r="AK117" s="21">
        <f>IF(AND($A117="",$B117=""),"",IF($X117&lt;&gt;"",$X117,IF($T117&lt;&gt;"Y","Not assessed",IF(AND(ISNUMBER($V117),Setup!$B$6-$V117&gt;Setup!$B$26),"Assessment outdated",IF(NOT(ISNUMBER($W117)),"Assessed – no score",IF($W117&gt;=Setup!$B$24,"High",IF($W117&gt;=Setup!$B$25,"Moderate","Low")))))))</f>
        <v/>
      </c>
      <c r="AL117" s="21">
        <f>IF(AND($A117="",$B117=""),"",IF(Z117=0,"",IF(AND(AE117=1,N($R117)&gt;AD117*1.01+0.001),"Net terrestrial &gt; gross; ","")&amp;IF(AND(AE117=1,N($S117)&gt;AC117*1.01+0.001),"Net marine &gt; gross; ","")&amp;IF(AE117=0,"No net area – gross used, overlaps may be double-counted; ","")&amp;IF(AH117=0,"STATUS_YR missing – imputed in time series; ","")&amp;IF(AND(ISNUMBER($I117),N($I117)&gt;Setup!$B$6),"STATUS_YR after reporting year; ","")&amp;IF(OR($G117="",$G117="Not Reported"),"GOV_TYPE not reported; ","")&amp;IF(AND(N($J117)=1,$K117="Point",N($M117)&lt;=0),"Coastal point without REP_M_AREA – land/sea split unknown; ","")&amp;IF(AND(N($J117)=0,N($S117)&gt;0),"MARINE=0 but net marine &gt;0; ","")&amp;IF(AND(N($J117)=2,N($R117)&gt;0),"MARINE=2 but net terrestrial &gt;0; ","")&amp;IF($K117="Point","Buffered point – coverage approximate; ","")))</f>
        <v/>
      </c>
    </row>
    <row r="118">
      <c r="A118" s="19" t="n"/>
      <c r="B118" s="19" t="n"/>
      <c r="C118" s="19" t="n"/>
      <c r="D118" s="19" t="n"/>
      <c r="E118" s="19" t="n"/>
      <c r="F118" s="19" t="n"/>
      <c r="G118" s="19" t="n"/>
      <c r="H118" s="19" t="n"/>
      <c r="I118" s="19" t="n"/>
      <c r="J118" s="19" t="n"/>
      <c r="K118" s="19" t="n"/>
      <c r="L118" s="20" t="n"/>
      <c r="M118" s="20" t="n"/>
      <c r="N118" s="20" t="n"/>
      <c r="O118" s="20" t="n"/>
      <c r="P118" s="19" t="n"/>
      <c r="Q118" s="19" t="n"/>
      <c r="R118" s="20" t="n"/>
      <c r="S118" s="20" t="n"/>
      <c r="T118" s="19" t="n"/>
      <c r="U118" s="19" t="n"/>
      <c r="V118" s="19" t="n"/>
      <c r="W118" s="19" t="n"/>
      <c r="X118" s="19" t="n"/>
      <c r="Y118" s="19" t="n"/>
      <c r="Z118" s="21">
        <f>IF(AND($A118="",$B118=""),"",IF(OR($E118="",$H118="",$H118="Proposed",$H118="Not Reported"),0,IF(AND($P118="Y",$Q118&lt;&gt;"Y"),0,IF(AND($K118="Point",N($L118)&lt;=0),0,IF(AND(N($L118)&lt;=0,N($N118)&lt;=0,N($R118)+N($S118)&lt;=0),0,1)))))</f>
        <v/>
      </c>
      <c r="AA118" s="21">
        <f>IF(AND($A118="",$B118=""),"",IF($E118="","Site type missing",IF($H118="","STATUS missing",IF($H118="Proposed","STATUS = Proposed",IF($H118="Not Reported","STATUS = Not Reported",IF(AND($P118="Y",$Q118&lt;&gt;"Y"),"UNESCO-MAB Biosphere Reserve",IF(AND($K118="Point",N($L118)&lt;=0),"Point without REP_AREA",IF(AND(N($L118)&lt;=0,N($N118)&lt;=0,N($R118)+N($S118)&lt;=0),"No area information",""))))))))</f>
        <v/>
      </c>
      <c r="AB118" s="22">
        <f>IF(AND($A118="",$B118=""),"",IF($K118="Point",N($L118),IF(N($N118)&gt;0,N($N118),N($L118))))</f>
        <v/>
      </c>
      <c r="AC118" s="22">
        <f>IF(AND($A118="",$B118=""),"",MIN(AB118,IF(N($J118)=0,0,IF(N($J118)=2,AB118,IF(AND($K118&lt;&gt;"Point",N($O118)&gt;0),N($O118),N($M118))))))</f>
        <v/>
      </c>
      <c r="AD118" s="22">
        <f>IF(AND($A118="",$B118=""),"",MAX(0,AB118-AC118))</f>
        <v/>
      </c>
      <c r="AE118" s="21">
        <f>IF(AND($A118="",$B118=""),"",IF(OR($R118&lt;&gt;"",$S118&lt;&gt;""),1,0))</f>
        <v/>
      </c>
      <c r="AF118" s="22">
        <f>IF(AND($A118="",$B118=""),"",IF(Z118=1,IF(AE118=1,N($R118),AD118),0))</f>
        <v/>
      </c>
      <c r="AG118" s="22">
        <f>IF(AND($A118="",$B118=""),"",IF(Z118=1,IF(AE118=1,N($S118),AC118),0))</f>
        <v/>
      </c>
      <c r="AH118" s="21">
        <f>IF(AND($A118="",$B118=""),"",IF(AND(ISNUMBER($I118),N($I118)&gt;0),$I118,0))</f>
        <v/>
      </c>
      <c r="AI118" s="23">
        <f>IF(AND(NOT(AND($A118="",$B118="")),$K118="Point",N($L118)&gt;0),SQRT(N($L118)/PI()),"")</f>
        <v/>
      </c>
      <c r="AJ118" s="21">
        <f>IF(AND($A118="",$B118=""),"",IFERROR(VLOOKUP($G118,Lists!$D$4:$E$15,2,FALSE),"Not reported"))</f>
        <v/>
      </c>
      <c r="AK118" s="21">
        <f>IF(AND($A118="",$B118=""),"",IF($X118&lt;&gt;"",$X118,IF($T118&lt;&gt;"Y","Not assessed",IF(AND(ISNUMBER($V118),Setup!$B$6-$V118&gt;Setup!$B$26),"Assessment outdated",IF(NOT(ISNUMBER($W118)),"Assessed – no score",IF($W118&gt;=Setup!$B$24,"High",IF($W118&gt;=Setup!$B$25,"Moderate","Low")))))))</f>
        <v/>
      </c>
      <c r="AL118" s="21">
        <f>IF(AND($A118="",$B118=""),"",IF(Z118=0,"",IF(AND(AE118=1,N($R118)&gt;AD118*1.01+0.001),"Net terrestrial &gt; gross; ","")&amp;IF(AND(AE118=1,N($S118)&gt;AC118*1.01+0.001),"Net marine &gt; gross; ","")&amp;IF(AE118=0,"No net area – gross used, overlaps may be double-counted; ","")&amp;IF(AH118=0,"STATUS_YR missing – imputed in time series; ","")&amp;IF(AND(ISNUMBER($I118),N($I118)&gt;Setup!$B$6),"STATUS_YR after reporting year; ","")&amp;IF(OR($G118="",$G118="Not Reported"),"GOV_TYPE not reported; ","")&amp;IF(AND(N($J118)=1,$K118="Point",N($M118)&lt;=0),"Coastal point without REP_M_AREA – land/sea split unknown; ","")&amp;IF(AND(N($J118)=0,N($S118)&gt;0),"MARINE=0 but net marine &gt;0; ","")&amp;IF(AND(N($J118)=2,N($R118)&gt;0),"MARINE=2 but net terrestrial &gt;0; ","")&amp;IF($K118="Point","Buffered point – coverage approximate; ","")))</f>
        <v/>
      </c>
    </row>
    <row r="119">
      <c r="A119" s="19" t="n"/>
      <c r="B119" s="19" t="n"/>
      <c r="C119" s="19" t="n"/>
      <c r="D119" s="19" t="n"/>
      <c r="E119" s="19" t="n"/>
      <c r="F119" s="19" t="n"/>
      <c r="G119" s="19" t="n"/>
      <c r="H119" s="19" t="n"/>
      <c r="I119" s="19" t="n"/>
      <c r="J119" s="19" t="n"/>
      <c r="K119" s="19" t="n"/>
      <c r="L119" s="20" t="n"/>
      <c r="M119" s="20" t="n"/>
      <c r="N119" s="20" t="n"/>
      <c r="O119" s="20" t="n"/>
      <c r="P119" s="19" t="n"/>
      <c r="Q119" s="19" t="n"/>
      <c r="R119" s="20" t="n"/>
      <c r="S119" s="20" t="n"/>
      <c r="T119" s="19" t="n"/>
      <c r="U119" s="19" t="n"/>
      <c r="V119" s="19" t="n"/>
      <c r="W119" s="19" t="n"/>
      <c r="X119" s="19" t="n"/>
      <c r="Y119" s="19" t="n"/>
      <c r="Z119" s="21">
        <f>IF(AND($A119="",$B119=""),"",IF(OR($E119="",$H119="",$H119="Proposed",$H119="Not Reported"),0,IF(AND($P119="Y",$Q119&lt;&gt;"Y"),0,IF(AND($K119="Point",N($L119)&lt;=0),0,IF(AND(N($L119)&lt;=0,N($N119)&lt;=0,N($R119)+N($S119)&lt;=0),0,1)))))</f>
        <v/>
      </c>
      <c r="AA119" s="21">
        <f>IF(AND($A119="",$B119=""),"",IF($E119="","Site type missing",IF($H119="","STATUS missing",IF($H119="Proposed","STATUS = Proposed",IF($H119="Not Reported","STATUS = Not Reported",IF(AND($P119="Y",$Q119&lt;&gt;"Y"),"UNESCO-MAB Biosphere Reserve",IF(AND($K119="Point",N($L119)&lt;=0),"Point without REP_AREA",IF(AND(N($L119)&lt;=0,N($N119)&lt;=0,N($R119)+N($S119)&lt;=0),"No area information",""))))))))</f>
        <v/>
      </c>
      <c r="AB119" s="22">
        <f>IF(AND($A119="",$B119=""),"",IF($K119="Point",N($L119),IF(N($N119)&gt;0,N($N119),N($L119))))</f>
        <v/>
      </c>
      <c r="AC119" s="22">
        <f>IF(AND($A119="",$B119=""),"",MIN(AB119,IF(N($J119)=0,0,IF(N($J119)=2,AB119,IF(AND($K119&lt;&gt;"Point",N($O119)&gt;0),N($O119),N($M119))))))</f>
        <v/>
      </c>
      <c r="AD119" s="22">
        <f>IF(AND($A119="",$B119=""),"",MAX(0,AB119-AC119))</f>
        <v/>
      </c>
      <c r="AE119" s="21">
        <f>IF(AND($A119="",$B119=""),"",IF(OR($R119&lt;&gt;"",$S119&lt;&gt;""),1,0))</f>
        <v/>
      </c>
      <c r="AF119" s="22">
        <f>IF(AND($A119="",$B119=""),"",IF(Z119=1,IF(AE119=1,N($R119),AD119),0))</f>
        <v/>
      </c>
      <c r="AG119" s="22">
        <f>IF(AND($A119="",$B119=""),"",IF(Z119=1,IF(AE119=1,N($S119),AC119),0))</f>
        <v/>
      </c>
      <c r="AH119" s="21">
        <f>IF(AND($A119="",$B119=""),"",IF(AND(ISNUMBER($I119),N($I119)&gt;0),$I119,0))</f>
        <v/>
      </c>
      <c r="AI119" s="23">
        <f>IF(AND(NOT(AND($A119="",$B119="")),$K119="Point",N($L119)&gt;0),SQRT(N($L119)/PI()),"")</f>
        <v/>
      </c>
      <c r="AJ119" s="21">
        <f>IF(AND($A119="",$B119=""),"",IFERROR(VLOOKUP($G119,Lists!$D$4:$E$15,2,FALSE),"Not reported"))</f>
        <v/>
      </c>
      <c r="AK119" s="21">
        <f>IF(AND($A119="",$B119=""),"",IF($X119&lt;&gt;"",$X119,IF($T119&lt;&gt;"Y","Not assessed",IF(AND(ISNUMBER($V119),Setup!$B$6-$V119&gt;Setup!$B$26),"Assessment outdated",IF(NOT(ISNUMBER($W119)),"Assessed – no score",IF($W119&gt;=Setup!$B$24,"High",IF($W119&gt;=Setup!$B$25,"Moderate","Low")))))))</f>
        <v/>
      </c>
      <c r="AL119" s="21">
        <f>IF(AND($A119="",$B119=""),"",IF(Z119=0,"",IF(AND(AE119=1,N($R119)&gt;AD119*1.01+0.001),"Net terrestrial &gt; gross; ","")&amp;IF(AND(AE119=1,N($S119)&gt;AC119*1.01+0.001),"Net marine &gt; gross; ","")&amp;IF(AE119=0,"No net area – gross used, overlaps may be double-counted; ","")&amp;IF(AH119=0,"STATUS_YR missing – imputed in time series; ","")&amp;IF(AND(ISNUMBER($I119),N($I119)&gt;Setup!$B$6),"STATUS_YR after reporting year; ","")&amp;IF(OR($G119="",$G119="Not Reported"),"GOV_TYPE not reported; ","")&amp;IF(AND(N($J119)=1,$K119="Point",N($M119)&lt;=0),"Coastal point without REP_M_AREA – land/sea split unknown; ","")&amp;IF(AND(N($J119)=0,N($S119)&gt;0),"MARINE=0 but net marine &gt;0; ","")&amp;IF(AND(N($J119)=2,N($R119)&gt;0),"MARINE=2 but net terrestrial &gt;0; ","")&amp;IF($K119="Point","Buffered point – coverage approximate; ","")))</f>
        <v/>
      </c>
    </row>
    <row r="120">
      <c r="A120" s="19" t="n"/>
      <c r="B120" s="19" t="n"/>
      <c r="C120" s="19" t="n"/>
      <c r="D120" s="19" t="n"/>
      <c r="E120" s="19" t="n"/>
      <c r="F120" s="19" t="n"/>
      <c r="G120" s="19" t="n"/>
      <c r="H120" s="19" t="n"/>
      <c r="I120" s="19" t="n"/>
      <c r="J120" s="19" t="n"/>
      <c r="K120" s="19" t="n"/>
      <c r="L120" s="20" t="n"/>
      <c r="M120" s="20" t="n"/>
      <c r="N120" s="20" t="n"/>
      <c r="O120" s="20" t="n"/>
      <c r="P120" s="19" t="n"/>
      <c r="Q120" s="19" t="n"/>
      <c r="R120" s="20" t="n"/>
      <c r="S120" s="20" t="n"/>
      <c r="T120" s="19" t="n"/>
      <c r="U120" s="19" t="n"/>
      <c r="V120" s="19" t="n"/>
      <c r="W120" s="19" t="n"/>
      <c r="X120" s="19" t="n"/>
      <c r="Y120" s="19" t="n"/>
      <c r="Z120" s="21">
        <f>IF(AND($A120="",$B120=""),"",IF(OR($E120="",$H120="",$H120="Proposed",$H120="Not Reported"),0,IF(AND($P120="Y",$Q120&lt;&gt;"Y"),0,IF(AND($K120="Point",N($L120)&lt;=0),0,IF(AND(N($L120)&lt;=0,N($N120)&lt;=0,N($R120)+N($S120)&lt;=0),0,1)))))</f>
        <v/>
      </c>
      <c r="AA120" s="21">
        <f>IF(AND($A120="",$B120=""),"",IF($E120="","Site type missing",IF($H120="","STATUS missing",IF($H120="Proposed","STATUS = Proposed",IF($H120="Not Reported","STATUS = Not Reported",IF(AND($P120="Y",$Q120&lt;&gt;"Y"),"UNESCO-MAB Biosphere Reserve",IF(AND($K120="Point",N($L120)&lt;=0),"Point without REP_AREA",IF(AND(N($L120)&lt;=0,N($N120)&lt;=0,N($R120)+N($S120)&lt;=0),"No area information",""))))))))</f>
        <v/>
      </c>
      <c r="AB120" s="22">
        <f>IF(AND($A120="",$B120=""),"",IF($K120="Point",N($L120),IF(N($N120)&gt;0,N($N120),N($L120))))</f>
        <v/>
      </c>
      <c r="AC120" s="22">
        <f>IF(AND($A120="",$B120=""),"",MIN(AB120,IF(N($J120)=0,0,IF(N($J120)=2,AB120,IF(AND($K120&lt;&gt;"Point",N($O120)&gt;0),N($O120),N($M120))))))</f>
        <v/>
      </c>
      <c r="AD120" s="22">
        <f>IF(AND($A120="",$B120=""),"",MAX(0,AB120-AC120))</f>
        <v/>
      </c>
      <c r="AE120" s="21">
        <f>IF(AND($A120="",$B120=""),"",IF(OR($R120&lt;&gt;"",$S120&lt;&gt;""),1,0))</f>
        <v/>
      </c>
      <c r="AF120" s="22">
        <f>IF(AND($A120="",$B120=""),"",IF(Z120=1,IF(AE120=1,N($R120),AD120),0))</f>
        <v/>
      </c>
      <c r="AG120" s="22">
        <f>IF(AND($A120="",$B120=""),"",IF(Z120=1,IF(AE120=1,N($S120),AC120),0))</f>
        <v/>
      </c>
      <c r="AH120" s="21">
        <f>IF(AND($A120="",$B120=""),"",IF(AND(ISNUMBER($I120),N($I120)&gt;0),$I120,0))</f>
        <v/>
      </c>
      <c r="AI120" s="23">
        <f>IF(AND(NOT(AND($A120="",$B120="")),$K120="Point",N($L120)&gt;0),SQRT(N($L120)/PI()),"")</f>
        <v/>
      </c>
      <c r="AJ120" s="21">
        <f>IF(AND($A120="",$B120=""),"",IFERROR(VLOOKUP($G120,Lists!$D$4:$E$15,2,FALSE),"Not reported"))</f>
        <v/>
      </c>
      <c r="AK120" s="21">
        <f>IF(AND($A120="",$B120=""),"",IF($X120&lt;&gt;"",$X120,IF($T120&lt;&gt;"Y","Not assessed",IF(AND(ISNUMBER($V120),Setup!$B$6-$V120&gt;Setup!$B$26),"Assessment outdated",IF(NOT(ISNUMBER($W120)),"Assessed – no score",IF($W120&gt;=Setup!$B$24,"High",IF($W120&gt;=Setup!$B$25,"Moderate","Low")))))))</f>
        <v/>
      </c>
      <c r="AL120" s="21">
        <f>IF(AND($A120="",$B120=""),"",IF(Z120=0,"",IF(AND(AE120=1,N($R120)&gt;AD120*1.01+0.001),"Net terrestrial &gt; gross; ","")&amp;IF(AND(AE120=1,N($S120)&gt;AC120*1.01+0.001),"Net marine &gt; gross; ","")&amp;IF(AE120=0,"No net area – gross used, overlaps may be double-counted; ","")&amp;IF(AH120=0,"STATUS_YR missing – imputed in time series; ","")&amp;IF(AND(ISNUMBER($I120),N($I120)&gt;Setup!$B$6),"STATUS_YR after reporting year; ","")&amp;IF(OR($G120="",$G120="Not Reported"),"GOV_TYPE not reported; ","")&amp;IF(AND(N($J120)=1,$K120="Point",N($M120)&lt;=0),"Coastal point without REP_M_AREA – land/sea split unknown; ","")&amp;IF(AND(N($J120)=0,N($S120)&gt;0),"MARINE=0 but net marine &gt;0; ","")&amp;IF(AND(N($J120)=2,N($R120)&gt;0),"MARINE=2 but net terrestrial &gt;0; ","")&amp;IF($K120="Point","Buffered point – coverage approximate; ","")))</f>
        <v/>
      </c>
    </row>
    <row r="121">
      <c r="A121" s="19" t="n"/>
      <c r="B121" s="19" t="n"/>
      <c r="C121" s="19" t="n"/>
      <c r="D121" s="19" t="n"/>
      <c r="E121" s="19" t="n"/>
      <c r="F121" s="19" t="n"/>
      <c r="G121" s="19" t="n"/>
      <c r="H121" s="19" t="n"/>
      <c r="I121" s="19" t="n"/>
      <c r="J121" s="19" t="n"/>
      <c r="K121" s="19" t="n"/>
      <c r="L121" s="20" t="n"/>
      <c r="M121" s="20" t="n"/>
      <c r="N121" s="20" t="n"/>
      <c r="O121" s="20" t="n"/>
      <c r="P121" s="19" t="n"/>
      <c r="Q121" s="19" t="n"/>
      <c r="R121" s="20" t="n"/>
      <c r="S121" s="20" t="n"/>
      <c r="T121" s="19" t="n"/>
      <c r="U121" s="19" t="n"/>
      <c r="V121" s="19" t="n"/>
      <c r="W121" s="19" t="n"/>
      <c r="X121" s="19" t="n"/>
      <c r="Y121" s="19" t="n"/>
      <c r="Z121" s="21">
        <f>IF(AND($A121="",$B121=""),"",IF(OR($E121="",$H121="",$H121="Proposed",$H121="Not Reported"),0,IF(AND($P121="Y",$Q121&lt;&gt;"Y"),0,IF(AND($K121="Point",N($L121)&lt;=0),0,IF(AND(N($L121)&lt;=0,N($N121)&lt;=0,N($R121)+N($S121)&lt;=0),0,1)))))</f>
        <v/>
      </c>
      <c r="AA121" s="21">
        <f>IF(AND($A121="",$B121=""),"",IF($E121="","Site type missing",IF($H121="","STATUS missing",IF($H121="Proposed","STATUS = Proposed",IF($H121="Not Reported","STATUS = Not Reported",IF(AND($P121="Y",$Q121&lt;&gt;"Y"),"UNESCO-MAB Biosphere Reserve",IF(AND($K121="Point",N($L121)&lt;=0),"Point without REP_AREA",IF(AND(N($L121)&lt;=0,N($N121)&lt;=0,N($R121)+N($S121)&lt;=0),"No area information",""))))))))</f>
        <v/>
      </c>
      <c r="AB121" s="22">
        <f>IF(AND($A121="",$B121=""),"",IF($K121="Point",N($L121),IF(N($N121)&gt;0,N($N121),N($L121))))</f>
        <v/>
      </c>
      <c r="AC121" s="22">
        <f>IF(AND($A121="",$B121=""),"",MIN(AB121,IF(N($J121)=0,0,IF(N($J121)=2,AB121,IF(AND($K121&lt;&gt;"Point",N($O121)&gt;0),N($O121),N($M121))))))</f>
        <v/>
      </c>
      <c r="AD121" s="22">
        <f>IF(AND($A121="",$B121=""),"",MAX(0,AB121-AC121))</f>
        <v/>
      </c>
      <c r="AE121" s="21">
        <f>IF(AND($A121="",$B121=""),"",IF(OR($R121&lt;&gt;"",$S121&lt;&gt;""),1,0))</f>
        <v/>
      </c>
      <c r="AF121" s="22">
        <f>IF(AND($A121="",$B121=""),"",IF(Z121=1,IF(AE121=1,N($R121),AD121),0))</f>
        <v/>
      </c>
      <c r="AG121" s="22">
        <f>IF(AND($A121="",$B121=""),"",IF(Z121=1,IF(AE121=1,N($S121),AC121),0))</f>
        <v/>
      </c>
      <c r="AH121" s="21">
        <f>IF(AND($A121="",$B121=""),"",IF(AND(ISNUMBER($I121),N($I121)&gt;0),$I121,0))</f>
        <v/>
      </c>
      <c r="AI121" s="23">
        <f>IF(AND(NOT(AND($A121="",$B121="")),$K121="Point",N($L121)&gt;0),SQRT(N($L121)/PI()),"")</f>
        <v/>
      </c>
      <c r="AJ121" s="21">
        <f>IF(AND($A121="",$B121=""),"",IFERROR(VLOOKUP($G121,Lists!$D$4:$E$15,2,FALSE),"Not reported"))</f>
        <v/>
      </c>
      <c r="AK121" s="21">
        <f>IF(AND($A121="",$B121=""),"",IF($X121&lt;&gt;"",$X121,IF($T121&lt;&gt;"Y","Not assessed",IF(AND(ISNUMBER($V121),Setup!$B$6-$V121&gt;Setup!$B$26),"Assessment outdated",IF(NOT(ISNUMBER($W121)),"Assessed – no score",IF($W121&gt;=Setup!$B$24,"High",IF($W121&gt;=Setup!$B$25,"Moderate","Low")))))))</f>
        <v/>
      </c>
      <c r="AL121" s="21">
        <f>IF(AND($A121="",$B121=""),"",IF(Z121=0,"",IF(AND(AE121=1,N($R121)&gt;AD121*1.01+0.001),"Net terrestrial &gt; gross; ","")&amp;IF(AND(AE121=1,N($S121)&gt;AC121*1.01+0.001),"Net marine &gt; gross; ","")&amp;IF(AE121=0,"No net area – gross used, overlaps may be double-counted; ","")&amp;IF(AH121=0,"STATUS_YR missing – imputed in time series; ","")&amp;IF(AND(ISNUMBER($I121),N($I121)&gt;Setup!$B$6),"STATUS_YR after reporting year; ","")&amp;IF(OR($G121="",$G121="Not Reported"),"GOV_TYPE not reported; ","")&amp;IF(AND(N($J121)=1,$K121="Point",N($M121)&lt;=0),"Coastal point without REP_M_AREA – land/sea split unknown; ","")&amp;IF(AND(N($J121)=0,N($S121)&gt;0),"MARINE=0 but net marine &gt;0; ","")&amp;IF(AND(N($J121)=2,N($R121)&gt;0),"MARINE=2 but net terrestrial &gt;0; ","")&amp;IF($K121="Point","Buffered point – coverage approximate; ","")))</f>
        <v/>
      </c>
    </row>
    <row r="122">
      <c r="A122" s="19" t="n"/>
      <c r="B122" s="19" t="n"/>
      <c r="C122" s="19" t="n"/>
      <c r="D122" s="19" t="n"/>
      <c r="E122" s="19" t="n"/>
      <c r="F122" s="19" t="n"/>
      <c r="G122" s="19" t="n"/>
      <c r="H122" s="19" t="n"/>
      <c r="I122" s="19" t="n"/>
      <c r="J122" s="19" t="n"/>
      <c r="K122" s="19" t="n"/>
      <c r="L122" s="20" t="n"/>
      <c r="M122" s="20" t="n"/>
      <c r="N122" s="20" t="n"/>
      <c r="O122" s="20" t="n"/>
      <c r="P122" s="19" t="n"/>
      <c r="Q122" s="19" t="n"/>
      <c r="R122" s="20" t="n"/>
      <c r="S122" s="20" t="n"/>
      <c r="T122" s="19" t="n"/>
      <c r="U122" s="19" t="n"/>
      <c r="V122" s="19" t="n"/>
      <c r="W122" s="19" t="n"/>
      <c r="X122" s="19" t="n"/>
      <c r="Y122" s="19" t="n"/>
      <c r="Z122" s="21">
        <f>IF(AND($A122="",$B122=""),"",IF(OR($E122="",$H122="",$H122="Proposed",$H122="Not Reported"),0,IF(AND($P122="Y",$Q122&lt;&gt;"Y"),0,IF(AND($K122="Point",N($L122)&lt;=0),0,IF(AND(N($L122)&lt;=0,N($N122)&lt;=0,N($R122)+N($S122)&lt;=0),0,1)))))</f>
        <v/>
      </c>
      <c r="AA122" s="21">
        <f>IF(AND($A122="",$B122=""),"",IF($E122="","Site type missing",IF($H122="","STATUS missing",IF($H122="Proposed","STATUS = Proposed",IF($H122="Not Reported","STATUS = Not Reported",IF(AND($P122="Y",$Q122&lt;&gt;"Y"),"UNESCO-MAB Biosphere Reserve",IF(AND($K122="Point",N($L122)&lt;=0),"Point without REP_AREA",IF(AND(N($L122)&lt;=0,N($N122)&lt;=0,N($R122)+N($S122)&lt;=0),"No area information",""))))))))</f>
        <v/>
      </c>
      <c r="AB122" s="22">
        <f>IF(AND($A122="",$B122=""),"",IF($K122="Point",N($L122),IF(N($N122)&gt;0,N($N122),N($L122))))</f>
        <v/>
      </c>
      <c r="AC122" s="22">
        <f>IF(AND($A122="",$B122=""),"",MIN(AB122,IF(N($J122)=0,0,IF(N($J122)=2,AB122,IF(AND($K122&lt;&gt;"Point",N($O122)&gt;0),N($O122),N($M122))))))</f>
        <v/>
      </c>
      <c r="AD122" s="22">
        <f>IF(AND($A122="",$B122=""),"",MAX(0,AB122-AC122))</f>
        <v/>
      </c>
      <c r="AE122" s="21">
        <f>IF(AND($A122="",$B122=""),"",IF(OR($R122&lt;&gt;"",$S122&lt;&gt;""),1,0))</f>
        <v/>
      </c>
      <c r="AF122" s="22">
        <f>IF(AND($A122="",$B122=""),"",IF(Z122=1,IF(AE122=1,N($R122),AD122),0))</f>
        <v/>
      </c>
      <c r="AG122" s="22">
        <f>IF(AND($A122="",$B122=""),"",IF(Z122=1,IF(AE122=1,N($S122),AC122),0))</f>
        <v/>
      </c>
      <c r="AH122" s="21">
        <f>IF(AND($A122="",$B122=""),"",IF(AND(ISNUMBER($I122),N($I122)&gt;0),$I122,0))</f>
        <v/>
      </c>
      <c r="AI122" s="23">
        <f>IF(AND(NOT(AND($A122="",$B122="")),$K122="Point",N($L122)&gt;0),SQRT(N($L122)/PI()),"")</f>
        <v/>
      </c>
      <c r="AJ122" s="21">
        <f>IF(AND($A122="",$B122=""),"",IFERROR(VLOOKUP($G122,Lists!$D$4:$E$15,2,FALSE),"Not reported"))</f>
        <v/>
      </c>
      <c r="AK122" s="21">
        <f>IF(AND($A122="",$B122=""),"",IF($X122&lt;&gt;"",$X122,IF($T122&lt;&gt;"Y","Not assessed",IF(AND(ISNUMBER($V122),Setup!$B$6-$V122&gt;Setup!$B$26),"Assessment outdated",IF(NOT(ISNUMBER($W122)),"Assessed – no score",IF($W122&gt;=Setup!$B$24,"High",IF($W122&gt;=Setup!$B$25,"Moderate","Low")))))))</f>
        <v/>
      </c>
      <c r="AL122" s="21">
        <f>IF(AND($A122="",$B122=""),"",IF(Z122=0,"",IF(AND(AE122=1,N($R122)&gt;AD122*1.01+0.001),"Net terrestrial &gt; gross; ","")&amp;IF(AND(AE122=1,N($S122)&gt;AC122*1.01+0.001),"Net marine &gt; gross; ","")&amp;IF(AE122=0,"No net area – gross used, overlaps may be double-counted; ","")&amp;IF(AH122=0,"STATUS_YR missing – imputed in time series; ","")&amp;IF(AND(ISNUMBER($I122),N($I122)&gt;Setup!$B$6),"STATUS_YR after reporting year; ","")&amp;IF(OR($G122="",$G122="Not Reported"),"GOV_TYPE not reported; ","")&amp;IF(AND(N($J122)=1,$K122="Point",N($M122)&lt;=0),"Coastal point without REP_M_AREA – land/sea split unknown; ","")&amp;IF(AND(N($J122)=0,N($S122)&gt;0),"MARINE=0 but net marine &gt;0; ","")&amp;IF(AND(N($J122)=2,N($R122)&gt;0),"MARINE=2 but net terrestrial &gt;0; ","")&amp;IF($K122="Point","Buffered point – coverage approximate; ","")))</f>
        <v/>
      </c>
    </row>
    <row r="123">
      <c r="A123" s="19" t="n"/>
      <c r="B123" s="19" t="n"/>
      <c r="C123" s="19" t="n"/>
      <c r="D123" s="19" t="n"/>
      <c r="E123" s="19" t="n"/>
      <c r="F123" s="19" t="n"/>
      <c r="G123" s="19" t="n"/>
      <c r="H123" s="19" t="n"/>
      <c r="I123" s="19" t="n"/>
      <c r="J123" s="19" t="n"/>
      <c r="K123" s="19" t="n"/>
      <c r="L123" s="20" t="n"/>
      <c r="M123" s="20" t="n"/>
      <c r="N123" s="20" t="n"/>
      <c r="O123" s="20" t="n"/>
      <c r="P123" s="19" t="n"/>
      <c r="Q123" s="19" t="n"/>
      <c r="R123" s="20" t="n"/>
      <c r="S123" s="20" t="n"/>
      <c r="T123" s="19" t="n"/>
      <c r="U123" s="19" t="n"/>
      <c r="V123" s="19" t="n"/>
      <c r="W123" s="19" t="n"/>
      <c r="X123" s="19" t="n"/>
      <c r="Y123" s="19" t="n"/>
      <c r="Z123" s="21">
        <f>IF(AND($A123="",$B123=""),"",IF(OR($E123="",$H123="",$H123="Proposed",$H123="Not Reported"),0,IF(AND($P123="Y",$Q123&lt;&gt;"Y"),0,IF(AND($K123="Point",N($L123)&lt;=0),0,IF(AND(N($L123)&lt;=0,N($N123)&lt;=0,N($R123)+N($S123)&lt;=0),0,1)))))</f>
        <v/>
      </c>
      <c r="AA123" s="21">
        <f>IF(AND($A123="",$B123=""),"",IF($E123="","Site type missing",IF($H123="","STATUS missing",IF($H123="Proposed","STATUS = Proposed",IF($H123="Not Reported","STATUS = Not Reported",IF(AND($P123="Y",$Q123&lt;&gt;"Y"),"UNESCO-MAB Biosphere Reserve",IF(AND($K123="Point",N($L123)&lt;=0),"Point without REP_AREA",IF(AND(N($L123)&lt;=0,N($N123)&lt;=0,N($R123)+N($S123)&lt;=0),"No area information",""))))))))</f>
        <v/>
      </c>
      <c r="AB123" s="22">
        <f>IF(AND($A123="",$B123=""),"",IF($K123="Point",N($L123),IF(N($N123)&gt;0,N($N123),N($L123))))</f>
        <v/>
      </c>
      <c r="AC123" s="22">
        <f>IF(AND($A123="",$B123=""),"",MIN(AB123,IF(N($J123)=0,0,IF(N($J123)=2,AB123,IF(AND($K123&lt;&gt;"Point",N($O123)&gt;0),N($O123),N($M123))))))</f>
        <v/>
      </c>
      <c r="AD123" s="22">
        <f>IF(AND($A123="",$B123=""),"",MAX(0,AB123-AC123))</f>
        <v/>
      </c>
      <c r="AE123" s="21">
        <f>IF(AND($A123="",$B123=""),"",IF(OR($R123&lt;&gt;"",$S123&lt;&gt;""),1,0))</f>
        <v/>
      </c>
      <c r="AF123" s="22">
        <f>IF(AND($A123="",$B123=""),"",IF(Z123=1,IF(AE123=1,N($R123),AD123),0))</f>
        <v/>
      </c>
      <c r="AG123" s="22">
        <f>IF(AND($A123="",$B123=""),"",IF(Z123=1,IF(AE123=1,N($S123),AC123),0))</f>
        <v/>
      </c>
      <c r="AH123" s="21">
        <f>IF(AND($A123="",$B123=""),"",IF(AND(ISNUMBER($I123),N($I123)&gt;0),$I123,0))</f>
        <v/>
      </c>
      <c r="AI123" s="23">
        <f>IF(AND(NOT(AND($A123="",$B123="")),$K123="Point",N($L123)&gt;0),SQRT(N($L123)/PI()),"")</f>
        <v/>
      </c>
      <c r="AJ123" s="21">
        <f>IF(AND($A123="",$B123=""),"",IFERROR(VLOOKUP($G123,Lists!$D$4:$E$15,2,FALSE),"Not reported"))</f>
        <v/>
      </c>
      <c r="AK123" s="21">
        <f>IF(AND($A123="",$B123=""),"",IF($X123&lt;&gt;"",$X123,IF($T123&lt;&gt;"Y","Not assessed",IF(AND(ISNUMBER($V123),Setup!$B$6-$V123&gt;Setup!$B$26),"Assessment outdated",IF(NOT(ISNUMBER($W123)),"Assessed – no score",IF($W123&gt;=Setup!$B$24,"High",IF($W123&gt;=Setup!$B$25,"Moderate","Low")))))))</f>
        <v/>
      </c>
      <c r="AL123" s="21">
        <f>IF(AND($A123="",$B123=""),"",IF(Z123=0,"",IF(AND(AE123=1,N($R123)&gt;AD123*1.01+0.001),"Net terrestrial &gt; gross; ","")&amp;IF(AND(AE123=1,N($S123)&gt;AC123*1.01+0.001),"Net marine &gt; gross; ","")&amp;IF(AE123=0,"No net area – gross used, overlaps may be double-counted; ","")&amp;IF(AH123=0,"STATUS_YR missing – imputed in time series; ","")&amp;IF(AND(ISNUMBER($I123),N($I123)&gt;Setup!$B$6),"STATUS_YR after reporting year; ","")&amp;IF(OR($G123="",$G123="Not Reported"),"GOV_TYPE not reported; ","")&amp;IF(AND(N($J123)=1,$K123="Point",N($M123)&lt;=0),"Coastal point without REP_M_AREA – land/sea split unknown; ","")&amp;IF(AND(N($J123)=0,N($S123)&gt;0),"MARINE=0 but net marine &gt;0; ","")&amp;IF(AND(N($J123)=2,N($R123)&gt;0),"MARINE=2 but net terrestrial &gt;0; ","")&amp;IF($K123="Point","Buffered point – coverage approximate; ","")))</f>
        <v/>
      </c>
    </row>
    <row r="124">
      <c r="A124" s="19" t="n"/>
      <c r="B124" s="19" t="n"/>
      <c r="C124" s="19" t="n"/>
      <c r="D124" s="19" t="n"/>
      <c r="E124" s="19" t="n"/>
      <c r="F124" s="19" t="n"/>
      <c r="G124" s="19" t="n"/>
      <c r="H124" s="19" t="n"/>
      <c r="I124" s="19" t="n"/>
      <c r="J124" s="19" t="n"/>
      <c r="K124" s="19" t="n"/>
      <c r="L124" s="20" t="n"/>
      <c r="M124" s="20" t="n"/>
      <c r="N124" s="20" t="n"/>
      <c r="O124" s="20" t="n"/>
      <c r="P124" s="19" t="n"/>
      <c r="Q124" s="19" t="n"/>
      <c r="R124" s="20" t="n"/>
      <c r="S124" s="20" t="n"/>
      <c r="T124" s="19" t="n"/>
      <c r="U124" s="19" t="n"/>
      <c r="V124" s="19" t="n"/>
      <c r="W124" s="19" t="n"/>
      <c r="X124" s="19" t="n"/>
      <c r="Y124" s="19" t="n"/>
      <c r="Z124" s="21">
        <f>IF(AND($A124="",$B124=""),"",IF(OR($E124="",$H124="",$H124="Proposed",$H124="Not Reported"),0,IF(AND($P124="Y",$Q124&lt;&gt;"Y"),0,IF(AND($K124="Point",N($L124)&lt;=0),0,IF(AND(N($L124)&lt;=0,N($N124)&lt;=0,N($R124)+N($S124)&lt;=0),0,1)))))</f>
        <v/>
      </c>
      <c r="AA124" s="21">
        <f>IF(AND($A124="",$B124=""),"",IF($E124="","Site type missing",IF($H124="","STATUS missing",IF($H124="Proposed","STATUS = Proposed",IF($H124="Not Reported","STATUS = Not Reported",IF(AND($P124="Y",$Q124&lt;&gt;"Y"),"UNESCO-MAB Biosphere Reserve",IF(AND($K124="Point",N($L124)&lt;=0),"Point without REP_AREA",IF(AND(N($L124)&lt;=0,N($N124)&lt;=0,N($R124)+N($S124)&lt;=0),"No area information",""))))))))</f>
        <v/>
      </c>
      <c r="AB124" s="22">
        <f>IF(AND($A124="",$B124=""),"",IF($K124="Point",N($L124),IF(N($N124)&gt;0,N($N124),N($L124))))</f>
        <v/>
      </c>
      <c r="AC124" s="22">
        <f>IF(AND($A124="",$B124=""),"",MIN(AB124,IF(N($J124)=0,0,IF(N($J124)=2,AB124,IF(AND($K124&lt;&gt;"Point",N($O124)&gt;0),N($O124),N($M124))))))</f>
        <v/>
      </c>
      <c r="AD124" s="22">
        <f>IF(AND($A124="",$B124=""),"",MAX(0,AB124-AC124))</f>
        <v/>
      </c>
      <c r="AE124" s="21">
        <f>IF(AND($A124="",$B124=""),"",IF(OR($R124&lt;&gt;"",$S124&lt;&gt;""),1,0))</f>
        <v/>
      </c>
      <c r="AF124" s="22">
        <f>IF(AND($A124="",$B124=""),"",IF(Z124=1,IF(AE124=1,N($R124),AD124),0))</f>
        <v/>
      </c>
      <c r="AG124" s="22">
        <f>IF(AND($A124="",$B124=""),"",IF(Z124=1,IF(AE124=1,N($S124),AC124),0))</f>
        <v/>
      </c>
      <c r="AH124" s="21">
        <f>IF(AND($A124="",$B124=""),"",IF(AND(ISNUMBER($I124),N($I124)&gt;0),$I124,0))</f>
        <v/>
      </c>
      <c r="AI124" s="23">
        <f>IF(AND(NOT(AND($A124="",$B124="")),$K124="Point",N($L124)&gt;0),SQRT(N($L124)/PI()),"")</f>
        <v/>
      </c>
      <c r="AJ124" s="21">
        <f>IF(AND($A124="",$B124=""),"",IFERROR(VLOOKUP($G124,Lists!$D$4:$E$15,2,FALSE),"Not reported"))</f>
        <v/>
      </c>
      <c r="AK124" s="21">
        <f>IF(AND($A124="",$B124=""),"",IF($X124&lt;&gt;"",$X124,IF($T124&lt;&gt;"Y","Not assessed",IF(AND(ISNUMBER($V124),Setup!$B$6-$V124&gt;Setup!$B$26),"Assessment outdated",IF(NOT(ISNUMBER($W124)),"Assessed – no score",IF($W124&gt;=Setup!$B$24,"High",IF($W124&gt;=Setup!$B$25,"Moderate","Low")))))))</f>
        <v/>
      </c>
      <c r="AL124" s="21">
        <f>IF(AND($A124="",$B124=""),"",IF(Z124=0,"",IF(AND(AE124=1,N($R124)&gt;AD124*1.01+0.001),"Net terrestrial &gt; gross; ","")&amp;IF(AND(AE124=1,N($S124)&gt;AC124*1.01+0.001),"Net marine &gt; gross; ","")&amp;IF(AE124=0,"No net area – gross used, overlaps may be double-counted; ","")&amp;IF(AH124=0,"STATUS_YR missing – imputed in time series; ","")&amp;IF(AND(ISNUMBER($I124),N($I124)&gt;Setup!$B$6),"STATUS_YR after reporting year; ","")&amp;IF(OR($G124="",$G124="Not Reported"),"GOV_TYPE not reported; ","")&amp;IF(AND(N($J124)=1,$K124="Point",N($M124)&lt;=0),"Coastal point without REP_M_AREA – land/sea split unknown; ","")&amp;IF(AND(N($J124)=0,N($S124)&gt;0),"MARINE=0 but net marine &gt;0; ","")&amp;IF(AND(N($J124)=2,N($R124)&gt;0),"MARINE=2 but net terrestrial &gt;0; ","")&amp;IF($K124="Point","Buffered point – coverage approximate; ","")))</f>
        <v/>
      </c>
    </row>
    <row r="125">
      <c r="A125" s="19" t="n"/>
      <c r="B125" s="19" t="n"/>
      <c r="C125" s="19" t="n"/>
      <c r="D125" s="19" t="n"/>
      <c r="E125" s="19" t="n"/>
      <c r="F125" s="19" t="n"/>
      <c r="G125" s="19" t="n"/>
      <c r="H125" s="19" t="n"/>
      <c r="I125" s="19" t="n"/>
      <c r="J125" s="19" t="n"/>
      <c r="K125" s="19" t="n"/>
      <c r="L125" s="20" t="n"/>
      <c r="M125" s="20" t="n"/>
      <c r="N125" s="20" t="n"/>
      <c r="O125" s="20" t="n"/>
      <c r="P125" s="19" t="n"/>
      <c r="Q125" s="19" t="n"/>
      <c r="R125" s="20" t="n"/>
      <c r="S125" s="20" t="n"/>
      <c r="T125" s="19" t="n"/>
      <c r="U125" s="19" t="n"/>
      <c r="V125" s="19" t="n"/>
      <c r="W125" s="19" t="n"/>
      <c r="X125" s="19" t="n"/>
      <c r="Y125" s="19" t="n"/>
      <c r="Z125" s="21">
        <f>IF(AND($A125="",$B125=""),"",IF(OR($E125="",$H125="",$H125="Proposed",$H125="Not Reported"),0,IF(AND($P125="Y",$Q125&lt;&gt;"Y"),0,IF(AND($K125="Point",N($L125)&lt;=0),0,IF(AND(N($L125)&lt;=0,N($N125)&lt;=0,N($R125)+N($S125)&lt;=0),0,1)))))</f>
        <v/>
      </c>
      <c r="AA125" s="21">
        <f>IF(AND($A125="",$B125=""),"",IF($E125="","Site type missing",IF($H125="","STATUS missing",IF($H125="Proposed","STATUS = Proposed",IF($H125="Not Reported","STATUS = Not Reported",IF(AND($P125="Y",$Q125&lt;&gt;"Y"),"UNESCO-MAB Biosphere Reserve",IF(AND($K125="Point",N($L125)&lt;=0),"Point without REP_AREA",IF(AND(N($L125)&lt;=0,N($N125)&lt;=0,N($R125)+N($S125)&lt;=0),"No area information",""))))))))</f>
        <v/>
      </c>
      <c r="AB125" s="22">
        <f>IF(AND($A125="",$B125=""),"",IF($K125="Point",N($L125),IF(N($N125)&gt;0,N($N125),N($L125))))</f>
        <v/>
      </c>
      <c r="AC125" s="22">
        <f>IF(AND($A125="",$B125=""),"",MIN(AB125,IF(N($J125)=0,0,IF(N($J125)=2,AB125,IF(AND($K125&lt;&gt;"Point",N($O125)&gt;0),N($O125),N($M125))))))</f>
        <v/>
      </c>
      <c r="AD125" s="22">
        <f>IF(AND($A125="",$B125=""),"",MAX(0,AB125-AC125))</f>
        <v/>
      </c>
      <c r="AE125" s="21">
        <f>IF(AND($A125="",$B125=""),"",IF(OR($R125&lt;&gt;"",$S125&lt;&gt;""),1,0))</f>
        <v/>
      </c>
      <c r="AF125" s="22">
        <f>IF(AND($A125="",$B125=""),"",IF(Z125=1,IF(AE125=1,N($R125),AD125),0))</f>
        <v/>
      </c>
      <c r="AG125" s="22">
        <f>IF(AND($A125="",$B125=""),"",IF(Z125=1,IF(AE125=1,N($S125),AC125),0))</f>
        <v/>
      </c>
      <c r="AH125" s="21">
        <f>IF(AND($A125="",$B125=""),"",IF(AND(ISNUMBER($I125),N($I125)&gt;0),$I125,0))</f>
        <v/>
      </c>
      <c r="AI125" s="23">
        <f>IF(AND(NOT(AND($A125="",$B125="")),$K125="Point",N($L125)&gt;0),SQRT(N($L125)/PI()),"")</f>
        <v/>
      </c>
      <c r="AJ125" s="21">
        <f>IF(AND($A125="",$B125=""),"",IFERROR(VLOOKUP($G125,Lists!$D$4:$E$15,2,FALSE),"Not reported"))</f>
        <v/>
      </c>
      <c r="AK125" s="21">
        <f>IF(AND($A125="",$B125=""),"",IF($X125&lt;&gt;"",$X125,IF($T125&lt;&gt;"Y","Not assessed",IF(AND(ISNUMBER($V125),Setup!$B$6-$V125&gt;Setup!$B$26),"Assessment outdated",IF(NOT(ISNUMBER($W125)),"Assessed – no score",IF($W125&gt;=Setup!$B$24,"High",IF($W125&gt;=Setup!$B$25,"Moderate","Low")))))))</f>
        <v/>
      </c>
      <c r="AL125" s="21">
        <f>IF(AND($A125="",$B125=""),"",IF(Z125=0,"",IF(AND(AE125=1,N($R125)&gt;AD125*1.01+0.001),"Net terrestrial &gt; gross; ","")&amp;IF(AND(AE125=1,N($S125)&gt;AC125*1.01+0.001),"Net marine &gt; gross; ","")&amp;IF(AE125=0,"No net area – gross used, overlaps may be double-counted; ","")&amp;IF(AH125=0,"STATUS_YR missing – imputed in time series; ","")&amp;IF(AND(ISNUMBER($I125),N($I125)&gt;Setup!$B$6),"STATUS_YR after reporting year; ","")&amp;IF(OR($G125="",$G125="Not Reported"),"GOV_TYPE not reported; ","")&amp;IF(AND(N($J125)=1,$K125="Point",N($M125)&lt;=0),"Coastal point without REP_M_AREA – land/sea split unknown; ","")&amp;IF(AND(N($J125)=0,N($S125)&gt;0),"MARINE=0 but net marine &gt;0; ","")&amp;IF(AND(N($J125)=2,N($R125)&gt;0),"MARINE=2 but net terrestrial &gt;0; ","")&amp;IF($K125="Point","Buffered point – coverage approximate; ","")))</f>
        <v/>
      </c>
    </row>
    <row r="126">
      <c r="A126" s="19" t="n"/>
      <c r="B126" s="19" t="n"/>
      <c r="C126" s="19" t="n"/>
      <c r="D126" s="19" t="n"/>
      <c r="E126" s="19" t="n"/>
      <c r="F126" s="19" t="n"/>
      <c r="G126" s="19" t="n"/>
      <c r="H126" s="19" t="n"/>
      <c r="I126" s="19" t="n"/>
      <c r="J126" s="19" t="n"/>
      <c r="K126" s="19" t="n"/>
      <c r="L126" s="20" t="n"/>
      <c r="M126" s="20" t="n"/>
      <c r="N126" s="20" t="n"/>
      <c r="O126" s="20" t="n"/>
      <c r="P126" s="19" t="n"/>
      <c r="Q126" s="19" t="n"/>
      <c r="R126" s="20" t="n"/>
      <c r="S126" s="20" t="n"/>
      <c r="T126" s="19" t="n"/>
      <c r="U126" s="19" t="n"/>
      <c r="V126" s="19" t="n"/>
      <c r="W126" s="19" t="n"/>
      <c r="X126" s="19" t="n"/>
      <c r="Y126" s="19" t="n"/>
      <c r="Z126" s="21">
        <f>IF(AND($A126="",$B126=""),"",IF(OR($E126="",$H126="",$H126="Proposed",$H126="Not Reported"),0,IF(AND($P126="Y",$Q126&lt;&gt;"Y"),0,IF(AND($K126="Point",N($L126)&lt;=0),0,IF(AND(N($L126)&lt;=0,N($N126)&lt;=0,N($R126)+N($S126)&lt;=0),0,1)))))</f>
        <v/>
      </c>
      <c r="AA126" s="21">
        <f>IF(AND($A126="",$B126=""),"",IF($E126="","Site type missing",IF($H126="","STATUS missing",IF($H126="Proposed","STATUS = Proposed",IF($H126="Not Reported","STATUS = Not Reported",IF(AND($P126="Y",$Q126&lt;&gt;"Y"),"UNESCO-MAB Biosphere Reserve",IF(AND($K126="Point",N($L126)&lt;=0),"Point without REP_AREA",IF(AND(N($L126)&lt;=0,N($N126)&lt;=0,N($R126)+N($S126)&lt;=0),"No area information",""))))))))</f>
        <v/>
      </c>
      <c r="AB126" s="22">
        <f>IF(AND($A126="",$B126=""),"",IF($K126="Point",N($L126),IF(N($N126)&gt;0,N($N126),N($L126))))</f>
        <v/>
      </c>
      <c r="AC126" s="22">
        <f>IF(AND($A126="",$B126=""),"",MIN(AB126,IF(N($J126)=0,0,IF(N($J126)=2,AB126,IF(AND($K126&lt;&gt;"Point",N($O126)&gt;0),N($O126),N($M126))))))</f>
        <v/>
      </c>
      <c r="AD126" s="22">
        <f>IF(AND($A126="",$B126=""),"",MAX(0,AB126-AC126))</f>
        <v/>
      </c>
      <c r="AE126" s="21">
        <f>IF(AND($A126="",$B126=""),"",IF(OR($R126&lt;&gt;"",$S126&lt;&gt;""),1,0))</f>
        <v/>
      </c>
      <c r="AF126" s="22">
        <f>IF(AND($A126="",$B126=""),"",IF(Z126=1,IF(AE126=1,N($R126),AD126),0))</f>
        <v/>
      </c>
      <c r="AG126" s="22">
        <f>IF(AND($A126="",$B126=""),"",IF(Z126=1,IF(AE126=1,N($S126),AC126),0))</f>
        <v/>
      </c>
      <c r="AH126" s="21">
        <f>IF(AND($A126="",$B126=""),"",IF(AND(ISNUMBER($I126),N($I126)&gt;0),$I126,0))</f>
        <v/>
      </c>
      <c r="AI126" s="23">
        <f>IF(AND(NOT(AND($A126="",$B126="")),$K126="Point",N($L126)&gt;0),SQRT(N($L126)/PI()),"")</f>
        <v/>
      </c>
      <c r="AJ126" s="21">
        <f>IF(AND($A126="",$B126=""),"",IFERROR(VLOOKUP($G126,Lists!$D$4:$E$15,2,FALSE),"Not reported"))</f>
        <v/>
      </c>
      <c r="AK126" s="21">
        <f>IF(AND($A126="",$B126=""),"",IF($X126&lt;&gt;"",$X126,IF($T126&lt;&gt;"Y","Not assessed",IF(AND(ISNUMBER($V126),Setup!$B$6-$V126&gt;Setup!$B$26),"Assessment outdated",IF(NOT(ISNUMBER($W126)),"Assessed – no score",IF($W126&gt;=Setup!$B$24,"High",IF($W126&gt;=Setup!$B$25,"Moderate","Low")))))))</f>
        <v/>
      </c>
      <c r="AL126" s="21">
        <f>IF(AND($A126="",$B126=""),"",IF(Z126=0,"",IF(AND(AE126=1,N($R126)&gt;AD126*1.01+0.001),"Net terrestrial &gt; gross; ","")&amp;IF(AND(AE126=1,N($S126)&gt;AC126*1.01+0.001),"Net marine &gt; gross; ","")&amp;IF(AE126=0,"No net area – gross used, overlaps may be double-counted; ","")&amp;IF(AH126=0,"STATUS_YR missing – imputed in time series; ","")&amp;IF(AND(ISNUMBER($I126),N($I126)&gt;Setup!$B$6),"STATUS_YR after reporting year; ","")&amp;IF(OR($G126="",$G126="Not Reported"),"GOV_TYPE not reported; ","")&amp;IF(AND(N($J126)=1,$K126="Point",N($M126)&lt;=0),"Coastal point without REP_M_AREA – land/sea split unknown; ","")&amp;IF(AND(N($J126)=0,N($S126)&gt;0),"MARINE=0 but net marine &gt;0; ","")&amp;IF(AND(N($J126)=2,N($R126)&gt;0),"MARINE=2 but net terrestrial &gt;0; ","")&amp;IF($K126="Point","Buffered point – coverage approximate; ","")))</f>
        <v/>
      </c>
    </row>
    <row r="127">
      <c r="A127" s="19" t="n"/>
      <c r="B127" s="19" t="n"/>
      <c r="C127" s="19" t="n"/>
      <c r="D127" s="19" t="n"/>
      <c r="E127" s="19" t="n"/>
      <c r="F127" s="19" t="n"/>
      <c r="G127" s="19" t="n"/>
      <c r="H127" s="19" t="n"/>
      <c r="I127" s="19" t="n"/>
      <c r="J127" s="19" t="n"/>
      <c r="K127" s="19" t="n"/>
      <c r="L127" s="20" t="n"/>
      <c r="M127" s="20" t="n"/>
      <c r="N127" s="20" t="n"/>
      <c r="O127" s="20" t="n"/>
      <c r="P127" s="19" t="n"/>
      <c r="Q127" s="19" t="n"/>
      <c r="R127" s="20" t="n"/>
      <c r="S127" s="20" t="n"/>
      <c r="T127" s="19" t="n"/>
      <c r="U127" s="19" t="n"/>
      <c r="V127" s="19" t="n"/>
      <c r="W127" s="19" t="n"/>
      <c r="X127" s="19" t="n"/>
      <c r="Y127" s="19" t="n"/>
      <c r="Z127" s="21">
        <f>IF(AND($A127="",$B127=""),"",IF(OR($E127="",$H127="",$H127="Proposed",$H127="Not Reported"),0,IF(AND($P127="Y",$Q127&lt;&gt;"Y"),0,IF(AND($K127="Point",N($L127)&lt;=0),0,IF(AND(N($L127)&lt;=0,N($N127)&lt;=0,N($R127)+N($S127)&lt;=0),0,1)))))</f>
        <v/>
      </c>
      <c r="AA127" s="21">
        <f>IF(AND($A127="",$B127=""),"",IF($E127="","Site type missing",IF($H127="","STATUS missing",IF($H127="Proposed","STATUS = Proposed",IF($H127="Not Reported","STATUS = Not Reported",IF(AND($P127="Y",$Q127&lt;&gt;"Y"),"UNESCO-MAB Biosphere Reserve",IF(AND($K127="Point",N($L127)&lt;=0),"Point without REP_AREA",IF(AND(N($L127)&lt;=0,N($N127)&lt;=0,N($R127)+N($S127)&lt;=0),"No area information",""))))))))</f>
        <v/>
      </c>
      <c r="AB127" s="22">
        <f>IF(AND($A127="",$B127=""),"",IF($K127="Point",N($L127),IF(N($N127)&gt;0,N($N127),N($L127))))</f>
        <v/>
      </c>
      <c r="AC127" s="22">
        <f>IF(AND($A127="",$B127=""),"",MIN(AB127,IF(N($J127)=0,0,IF(N($J127)=2,AB127,IF(AND($K127&lt;&gt;"Point",N($O127)&gt;0),N($O127),N($M127))))))</f>
        <v/>
      </c>
      <c r="AD127" s="22">
        <f>IF(AND($A127="",$B127=""),"",MAX(0,AB127-AC127))</f>
        <v/>
      </c>
      <c r="AE127" s="21">
        <f>IF(AND($A127="",$B127=""),"",IF(OR($R127&lt;&gt;"",$S127&lt;&gt;""),1,0))</f>
        <v/>
      </c>
      <c r="AF127" s="22">
        <f>IF(AND($A127="",$B127=""),"",IF(Z127=1,IF(AE127=1,N($R127),AD127),0))</f>
        <v/>
      </c>
      <c r="AG127" s="22">
        <f>IF(AND($A127="",$B127=""),"",IF(Z127=1,IF(AE127=1,N($S127),AC127),0))</f>
        <v/>
      </c>
      <c r="AH127" s="21">
        <f>IF(AND($A127="",$B127=""),"",IF(AND(ISNUMBER($I127),N($I127)&gt;0),$I127,0))</f>
        <v/>
      </c>
      <c r="AI127" s="23">
        <f>IF(AND(NOT(AND($A127="",$B127="")),$K127="Point",N($L127)&gt;0),SQRT(N($L127)/PI()),"")</f>
        <v/>
      </c>
      <c r="AJ127" s="21">
        <f>IF(AND($A127="",$B127=""),"",IFERROR(VLOOKUP($G127,Lists!$D$4:$E$15,2,FALSE),"Not reported"))</f>
        <v/>
      </c>
      <c r="AK127" s="21">
        <f>IF(AND($A127="",$B127=""),"",IF($X127&lt;&gt;"",$X127,IF($T127&lt;&gt;"Y","Not assessed",IF(AND(ISNUMBER($V127),Setup!$B$6-$V127&gt;Setup!$B$26),"Assessment outdated",IF(NOT(ISNUMBER($W127)),"Assessed – no score",IF($W127&gt;=Setup!$B$24,"High",IF($W127&gt;=Setup!$B$25,"Moderate","Low")))))))</f>
        <v/>
      </c>
      <c r="AL127" s="21">
        <f>IF(AND($A127="",$B127=""),"",IF(Z127=0,"",IF(AND(AE127=1,N($R127)&gt;AD127*1.01+0.001),"Net terrestrial &gt; gross; ","")&amp;IF(AND(AE127=1,N($S127)&gt;AC127*1.01+0.001),"Net marine &gt; gross; ","")&amp;IF(AE127=0,"No net area – gross used, overlaps may be double-counted; ","")&amp;IF(AH127=0,"STATUS_YR missing – imputed in time series; ","")&amp;IF(AND(ISNUMBER($I127),N($I127)&gt;Setup!$B$6),"STATUS_YR after reporting year; ","")&amp;IF(OR($G127="",$G127="Not Reported"),"GOV_TYPE not reported; ","")&amp;IF(AND(N($J127)=1,$K127="Point",N($M127)&lt;=0),"Coastal point without REP_M_AREA – land/sea split unknown; ","")&amp;IF(AND(N($J127)=0,N($S127)&gt;0),"MARINE=0 but net marine &gt;0; ","")&amp;IF(AND(N($J127)=2,N($R127)&gt;0),"MARINE=2 but net terrestrial &gt;0; ","")&amp;IF($K127="Point","Buffered point – coverage approximate; ","")))</f>
        <v/>
      </c>
    </row>
    <row r="128">
      <c r="A128" s="19" t="n"/>
      <c r="B128" s="19" t="n"/>
      <c r="C128" s="19" t="n"/>
      <c r="D128" s="19" t="n"/>
      <c r="E128" s="19" t="n"/>
      <c r="F128" s="19" t="n"/>
      <c r="G128" s="19" t="n"/>
      <c r="H128" s="19" t="n"/>
      <c r="I128" s="19" t="n"/>
      <c r="J128" s="19" t="n"/>
      <c r="K128" s="19" t="n"/>
      <c r="L128" s="20" t="n"/>
      <c r="M128" s="20" t="n"/>
      <c r="N128" s="20" t="n"/>
      <c r="O128" s="20" t="n"/>
      <c r="P128" s="19" t="n"/>
      <c r="Q128" s="19" t="n"/>
      <c r="R128" s="20" t="n"/>
      <c r="S128" s="20" t="n"/>
      <c r="T128" s="19" t="n"/>
      <c r="U128" s="19" t="n"/>
      <c r="V128" s="19" t="n"/>
      <c r="W128" s="19" t="n"/>
      <c r="X128" s="19" t="n"/>
      <c r="Y128" s="19" t="n"/>
      <c r="Z128" s="21">
        <f>IF(AND($A128="",$B128=""),"",IF(OR($E128="",$H128="",$H128="Proposed",$H128="Not Reported"),0,IF(AND($P128="Y",$Q128&lt;&gt;"Y"),0,IF(AND($K128="Point",N($L128)&lt;=0),0,IF(AND(N($L128)&lt;=0,N($N128)&lt;=0,N($R128)+N($S128)&lt;=0),0,1)))))</f>
        <v/>
      </c>
      <c r="AA128" s="21">
        <f>IF(AND($A128="",$B128=""),"",IF($E128="","Site type missing",IF($H128="","STATUS missing",IF($H128="Proposed","STATUS = Proposed",IF($H128="Not Reported","STATUS = Not Reported",IF(AND($P128="Y",$Q128&lt;&gt;"Y"),"UNESCO-MAB Biosphere Reserve",IF(AND($K128="Point",N($L128)&lt;=0),"Point without REP_AREA",IF(AND(N($L128)&lt;=0,N($N128)&lt;=0,N($R128)+N($S128)&lt;=0),"No area information",""))))))))</f>
        <v/>
      </c>
      <c r="AB128" s="22">
        <f>IF(AND($A128="",$B128=""),"",IF($K128="Point",N($L128),IF(N($N128)&gt;0,N($N128),N($L128))))</f>
        <v/>
      </c>
      <c r="AC128" s="22">
        <f>IF(AND($A128="",$B128=""),"",MIN(AB128,IF(N($J128)=0,0,IF(N($J128)=2,AB128,IF(AND($K128&lt;&gt;"Point",N($O128)&gt;0),N($O128),N($M128))))))</f>
        <v/>
      </c>
      <c r="AD128" s="22">
        <f>IF(AND($A128="",$B128=""),"",MAX(0,AB128-AC128))</f>
        <v/>
      </c>
      <c r="AE128" s="21">
        <f>IF(AND($A128="",$B128=""),"",IF(OR($R128&lt;&gt;"",$S128&lt;&gt;""),1,0))</f>
        <v/>
      </c>
      <c r="AF128" s="22">
        <f>IF(AND($A128="",$B128=""),"",IF(Z128=1,IF(AE128=1,N($R128),AD128),0))</f>
        <v/>
      </c>
      <c r="AG128" s="22">
        <f>IF(AND($A128="",$B128=""),"",IF(Z128=1,IF(AE128=1,N($S128),AC128),0))</f>
        <v/>
      </c>
      <c r="AH128" s="21">
        <f>IF(AND($A128="",$B128=""),"",IF(AND(ISNUMBER($I128),N($I128)&gt;0),$I128,0))</f>
        <v/>
      </c>
      <c r="AI128" s="23">
        <f>IF(AND(NOT(AND($A128="",$B128="")),$K128="Point",N($L128)&gt;0),SQRT(N($L128)/PI()),"")</f>
        <v/>
      </c>
      <c r="AJ128" s="21">
        <f>IF(AND($A128="",$B128=""),"",IFERROR(VLOOKUP($G128,Lists!$D$4:$E$15,2,FALSE),"Not reported"))</f>
        <v/>
      </c>
      <c r="AK128" s="21">
        <f>IF(AND($A128="",$B128=""),"",IF($X128&lt;&gt;"",$X128,IF($T128&lt;&gt;"Y","Not assessed",IF(AND(ISNUMBER($V128),Setup!$B$6-$V128&gt;Setup!$B$26),"Assessment outdated",IF(NOT(ISNUMBER($W128)),"Assessed – no score",IF($W128&gt;=Setup!$B$24,"High",IF($W128&gt;=Setup!$B$25,"Moderate","Low")))))))</f>
        <v/>
      </c>
      <c r="AL128" s="21">
        <f>IF(AND($A128="",$B128=""),"",IF(Z128=0,"",IF(AND(AE128=1,N($R128)&gt;AD128*1.01+0.001),"Net terrestrial &gt; gross; ","")&amp;IF(AND(AE128=1,N($S128)&gt;AC128*1.01+0.001),"Net marine &gt; gross; ","")&amp;IF(AE128=0,"No net area – gross used, overlaps may be double-counted; ","")&amp;IF(AH128=0,"STATUS_YR missing – imputed in time series; ","")&amp;IF(AND(ISNUMBER($I128),N($I128)&gt;Setup!$B$6),"STATUS_YR after reporting year; ","")&amp;IF(OR($G128="",$G128="Not Reported"),"GOV_TYPE not reported; ","")&amp;IF(AND(N($J128)=1,$K128="Point",N($M128)&lt;=0),"Coastal point without REP_M_AREA – land/sea split unknown; ","")&amp;IF(AND(N($J128)=0,N($S128)&gt;0),"MARINE=0 but net marine &gt;0; ","")&amp;IF(AND(N($J128)=2,N($R128)&gt;0),"MARINE=2 but net terrestrial &gt;0; ","")&amp;IF($K128="Point","Buffered point – coverage approximate; ","")))</f>
        <v/>
      </c>
    </row>
    <row r="129">
      <c r="A129" s="19" t="n"/>
      <c r="B129" s="19" t="n"/>
      <c r="C129" s="19" t="n"/>
      <c r="D129" s="19" t="n"/>
      <c r="E129" s="19" t="n"/>
      <c r="F129" s="19" t="n"/>
      <c r="G129" s="19" t="n"/>
      <c r="H129" s="19" t="n"/>
      <c r="I129" s="19" t="n"/>
      <c r="J129" s="19" t="n"/>
      <c r="K129" s="19" t="n"/>
      <c r="L129" s="20" t="n"/>
      <c r="M129" s="20" t="n"/>
      <c r="N129" s="20" t="n"/>
      <c r="O129" s="20" t="n"/>
      <c r="P129" s="19" t="n"/>
      <c r="Q129" s="19" t="n"/>
      <c r="R129" s="20" t="n"/>
      <c r="S129" s="20" t="n"/>
      <c r="T129" s="19" t="n"/>
      <c r="U129" s="19" t="n"/>
      <c r="V129" s="19" t="n"/>
      <c r="W129" s="19" t="n"/>
      <c r="X129" s="19" t="n"/>
      <c r="Y129" s="19" t="n"/>
      <c r="Z129" s="21">
        <f>IF(AND($A129="",$B129=""),"",IF(OR($E129="",$H129="",$H129="Proposed",$H129="Not Reported"),0,IF(AND($P129="Y",$Q129&lt;&gt;"Y"),0,IF(AND($K129="Point",N($L129)&lt;=0),0,IF(AND(N($L129)&lt;=0,N($N129)&lt;=0,N($R129)+N($S129)&lt;=0),0,1)))))</f>
        <v/>
      </c>
      <c r="AA129" s="21">
        <f>IF(AND($A129="",$B129=""),"",IF($E129="","Site type missing",IF($H129="","STATUS missing",IF($H129="Proposed","STATUS = Proposed",IF($H129="Not Reported","STATUS = Not Reported",IF(AND($P129="Y",$Q129&lt;&gt;"Y"),"UNESCO-MAB Biosphere Reserve",IF(AND($K129="Point",N($L129)&lt;=0),"Point without REP_AREA",IF(AND(N($L129)&lt;=0,N($N129)&lt;=0,N($R129)+N($S129)&lt;=0),"No area information",""))))))))</f>
        <v/>
      </c>
      <c r="AB129" s="22">
        <f>IF(AND($A129="",$B129=""),"",IF($K129="Point",N($L129),IF(N($N129)&gt;0,N($N129),N($L129))))</f>
        <v/>
      </c>
      <c r="AC129" s="22">
        <f>IF(AND($A129="",$B129=""),"",MIN(AB129,IF(N($J129)=0,0,IF(N($J129)=2,AB129,IF(AND($K129&lt;&gt;"Point",N($O129)&gt;0),N($O129),N($M129))))))</f>
        <v/>
      </c>
      <c r="AD129" s="22">
        <f>IF(AND($A129="",$B129=""),"",MAX(0,AB129-AC129))</f>
        <v/>
      </c>
      <c r="AE129" s="21">
        <f>IF(AND($A129="",$B129=""),"",IF(OR($R129&lt;&gt;"",$S129&lt;&gt;""),1,0))</f>
        <v/>
      </c>
      <c r="AF129" s="22">
        <f>IF(AND($A129="",$B129=""),"",IF(Z129=1,IF(AE129=1,N($R129),AD129),0))</f>
        <v/>
      </c>
      <c r="AG129" s="22">
        <f>IF(AND($A129="",$B129=""),"",IF(Z129=1,IF(AE129=1,N($S129),AC129),0))</f>
        <v/>
      </c>
      <c r="AH129" s="21">
        <f>IF(AND($A129="",$B129=""),"",IF(AND(ISNUMBER($I129),N($I129)&gt;0),$I129,0))</f>
        <v/>
      </c>
      <c r="AI129" s="23">
        <f>IF(AND(NOT(AND($A129="",$B129="")),$K129="Point",N($L129)&gt;0),SQRT(N($L129)/PI()),"")</f>
        <v/>
      </c>
      <c r="AJ129" s="21">
        <f>IF(AND($A129="",$B129=""),"",IFERROR(VLOOKUP($G129,Lists!$D$4:$E$15,2,FALSE),"Not reported"))</f>
        <v/>
      </c>
      <c r="AK129" s="21">
        <f>IF(AND($A129="",$B129=""),"",IF($X129&lt;&gt;"",$X129,IF($T129&lt;&gt;"Y","Not assessed",IF(AND(ISNUMBER($V129),Setup!$B$6-$V129&gt;Setup!$B$26),"Assessment outdated",IF(NOT(ISNUMBER($W129)),"Assessed – no score",IF($W129&gt;=Setup!$B$24,"High",IF($W129&gt;=Setup!$B$25,"Moderate","Low")))))))</f>
        <v/>
      </c>
      <c r="AL129" s="21">
        <f>IF(AND($A129="",$B129=""),"",IF(Z129=0,"",IF(AND(AE129=1,N($R129)&gt;AD129*1.01+0.001),"Net terrestrial &gt; gross; ","")&amp;IF(AND(AE129=1,N($S129)&gt;AC129*1.01+0.001),"Net marine &gt; gross; ","")&amp;IF(AE129=0,"No net area – gross used, overlaps may be double-counted; ","")&amp;IF(AH129=0,"STATUS_YR missing – imputed in time series; ","")&amp;IF(AND(ISNUMBER($I129),N($I129)&gt;Setup!$B$6),"STATUS_YR after reporting year; ","")&amp;IF(OR($G129="",$G129="Not Reported"),"GOV_TYPE not reported; ","")&amp;IF(AND(N($J129)=1,$K129="Point",N($M129)&lt;=0),"Coastal point without REP_M_AREA – land/sea split unknown; ","")&amp;IF(AND(N($J129)=0,N($S129)&gt;0),"MARINE=0 but net marine &gt;0; ","")&amp;IF(AND(N($J129)=2,N($R129)&gt;0),"MARINE=2 but net terrestrial &gt;0; ","")&amp;IF($K129="Point","Buffered point – coverage approximate; ","")))</f>
        <v/>
      </c>
    </row>
    <row r="130">
      <c r="A130" s="19" t="n"/>
      <c r="B130" s="19" t="n"/>
      <c r="C130" s="19" t="n"/>
      <c r="D130" s="19" t="n"/>
      <c r="E130" s="19" t="n"/>
      <c r="F130" s="19" t="n"/>
      <c r="G130" s="19" t="n"/>
      <c r="H130" s="19" t="n"/>
      <c r="I130" s="19" t="n"/>
      <c r="J130" s="19" t="n"/>
      <c r="K130" s="19" t="n"/>
      <c r="L130" s="20" t="n"/>
      <c r="M130" s="20" t="n"/>
      <c r="N130" s="20" t="n"/>
      <c r="O130" s="20" t="n"/>
      <c r="P130" s="19" t="n"/>
      <c r="Q130" s="19" t="n"/>
      <c r="R130" s="20" t="n"/>
      <c r="S130" s="20" t="n"/>
      <c r="T130" s="19" t="n"/>
      <c r="U130" s="19" t="n"/>
      <c r="V130" s="19" t="n"/>
      <c r="W130" s="19" t="n"/>
      <c r="X130" s="19" t="n"/>
      <c r="Y130" s="19" t="n"/>
      <c r="Z130" s="21">
        <f>IF(AND($A130="",$B130=""),"",IF(OR($E130="",$H130="",$H130="Proposed",$H130="Not Reported"),0,IF(AND($P130="Y",$Q130&lt;&gt;"Y"),0,IF(AND($K130="Point",N($L130)&lt;=0),0,IF(AND(N($L130)&lt;=0,N($N130)&lt;=0,N($R130)+N($S130)&lt;=0),0,1)))))</f>
        <v/>
      </c>
      <c r="AA130" s="21">
        <f>IF(AND($A130="",$B130=""),"",IF($E130="","Site type missing",IF($H130="","STATUS missing",IF($H130="Proposed","STATUS = Proposed",IF($H130="Not Reported","STATUS = Not Reported",IF(AND($P130="Y",$Q130&lt;&gt;"Y"),"UNESCO-MAB Biosphere Reserve",IF(AND($K130="Point",N($L130)&lt;=0),"Point without REP_AREA",IF(AND(N($L130)&lt;=0,N($N130)&lt;=0,N($R130)+N($S130)&lt;=0),"No area information",""))))))))</f>
        <v/>
      </c>
      <c r="AB130" s="22">
        <f>IF(AND($A130="",$B130=""),"",IF($K130="Point",N($L130),IF(N($N130)&gt;0,N($N130),N($L130))))</f>
        <v/>
      </c>
      <c r="AC130" s="22">
        <f>IF(AND($A130="",$B130=""),"",MIN(AB130,IF(N($J130)=0,0,IF(N($J130)=2,AB130,IF(AND($K130&lt;&gt;"Point",N($O130)&gt;0),N($O130),N($M130))))))</f>
        <v/>
      </c>
      <c r="AD130" s="22">
        <f>IF(AND($A130="",$B130=""),"",MAX(0,AB130-AC130))</f>
        <v/>
      </c>
      <c r="AE130" s="21">
        <f>IF(AND($A130="",$B130=""),"",IF(OR($R130&lt;&gt;"",$S130&lt;&gt;""),1,0))</f>
        <v/>
      </c>
      <c r="AF130" s="22">
        <f>IF(AND($A130="",$B130=""),"",IF(Z130=1,IF(AE130=1,N($R130),AD130),0))</f>
        <v/>
      </c>
      <c r="AG130" s="22">
        <f>IF(AND($A130="",$B130=""),"",IF(Z130=1,IF(AE130=1,N($S130),AC130),0))</f>
        <v/>
      </c>
      <c r="AH130" s="21">
        <f>IF(AND($A130="",$B130=""),"",IF(AND(ISNUMBER($I130),N($I130)&gt;0),$I130,0))</f>
        <v/>
      </c>
      <c r="AI130" s="23">
        <f>IF(AND(NOT(AND($A130="",$B130="")),$K130="Point",N($L130)&gt;0),SQRT(N($L130)/PI()),"")</f>
        <v/>
      </c>
      <c r="AJ130" s="21">
        <f>IF(AND($A130="",$B130=""),"",IFERROR(VLOOKUP($G130,Lists!$D$4:$E$15,2,FALSE),"Not reported"))</f>
        <v/>
      </c>
      <c r="AK130" s="21">
        <f>IF(AND($A130="",$B130=""),"",IF($X130&lt;&gt;"",$X130,IF($T130&lt;&gt;"Y","Not assessed",IF(AND(ISNUMBER($V130),Setup!$B$6-$V130&gt;Setup!$B$26),"Assessment outdated",IF(NOT(ISNUMBER($W130)),"Assessed – no score",IF($W130&gt;=Setup!$B$24,"High",IF($W130&gt;=Setup!$B$25,"Moderate","Low")))))))</f>
        <v/>
      </c>
      <c r="AL130" s="21">
        <f>IF(AND($A130="",$B130=""),"",IF(Z130=0,"",IF(AND(AE130=1,N($R130)&gt;AD130*1.01+0.001),"Net terrestrial &gt; gross; ","")&amp;IF(AND(AE130=1,N($S130)&gt;AC130*1.01+0.001),"Net marine &gt; gross; ","")&amp;IF(AE130=0,"No net area – gross used, overlaps may be double-counted; ","")&amp;IF(AH130=0,"STATUS_YR missing – imputed in time series; ","")&amp;IF(AND(ISNUMBER($I130),N($I130)&gt;Setup!$B$6),"STATUS_YR after reporting year; ","")&amp;IF(OR($G130="",$G130="Not Reported"),"GOV_TYPE not reported; ","")&amp;IF(AND(N($J130)=1,$K130="Point",N($M130)&lt;=0),"Coastal point without REP_M_AREA – land/sea split unknown; ","")&amp;IF(AND(N($J130)=0,N($S130)&gt;0),"MARINE=0 but net marine &gt;0; ","")&amp;IF(AND(N($J130)=2,N($R130)&gt;0),"MARINE=2 but net terrestrial &gt;0; ","")&amp;IF($K130="Point","Buffered point – coverage approximate; ","")))</f>
        <v/>
      </c>
    </row>
    <row r="131">
      <c r="A131" s="19" t="n"/>
      <c r="B131" s="19" t="n"/>
      <c r="C131" s="19" t="n"/>
      <c r="D131" s="19" t="n"/>
      <c r="E131" s="19" t="n"/>
      <c r="F131" s="19" t="n"/>
      <c r="G131" s="19" t="n"/>
      <c r="H131" s="19" t="n"/>
      <c r="I131" s="19" t="n"/>
      <c r="J131" s="19" t="n"/>
      <c r="K131" s="19" t="n"/>
      <c r="L131" s="20" t="n"/>
      <c r="M131" s="20" t="n"/>
      <c r="N131" s="20" t="n"/>
      <c r="O131" s="20" t="n"/>
      <c r="P131" s="19" t="n"/>
      <c r="Q131" s="19" t="n"/>
      <c r="R131" s="20" t="n"/>
      <c r="S131" s="20" t="n"/>
      <c r="T131" s="19" t="n"/>
      <c r="U131" s="19" t="n"/>
      <c r="V131" s="19" t="n"/>
      <c r="W131" s="19" t="n"/>
      <c r="X131" s="19" t="n"/>
      <c r="Y131" s="19" t="n"/>
      <c r="Z131" s="21">
        <f>IF(AND($A131="",$B131=""),"",IF(OR($E131="",$H131="",$H131="Proposed",$H131="Not Reported"),0,IF(AND($P131="Y",$Q131&lt;&gt;"Y"),0,IF(AND($K131="Point",N($L131)&lt;=0),0,IF(AND(N($L131)&lt;=0,N($N131)&lt;=0,N($R131)+N($S131)&lt;=0),0,1)))))</f>
        <v/>
      </c>
      <c r="AA131" s="21">
        <f>IF(AND($A131="",$B131=""),"",IF($E131="","Site type missing",IF($H131="","STATUS missing",IF($H131="Proposed","STATUS = Proposed",IF($H131="Not Reported","STATUS = Not Reported",IF(AND($P131="Y",$Q131&lt;&gt;"Y"),"UNESCO-MAB Biosphere Reserve",IF(AND($K131="Point",N($L131)&lt;=0),"Point without REP_AREA",IF(AND(N($L131)&lt;=0,N($N131)&lt;=0,N($R131)+N($S131)&lt;=0),"No area information",""))))))))</f>
        <v/>
      </c>
      <c r="AB131" s="22">
        <f>IF(AND($A131="",$B131=""),"",IF($K131="Point",N($L131),IF(N($N131)&gt;0,N($N131),N($L131))))</f>
        <v/>
      </c>
      <c r="AC131" s="22">
        <f>IF(AND($A131="",$B131=""),"",MIN(AB131,IF(N($J131)=0,0,IF(N($J131)=2,AB131,IF(AND($K131&lt;&gt;"Point",N($O131)&gt;0),N($O131),N($M131))))))</f>
        <v/>
      </c>
      <c r="AD131" s="22">
        <f>IF(AND($A131="",$B131=""),"",MAX(0,AB131-AC131))</f>
        <v/>
      </c>
      <c r="AE131" s="21">
        <f>IF(AND($A131="",$B131=""),"",IF(OR($R131&lt;&gt;"",$S131&lt;&gt;""),1,0))</f>
        <v/>
      </c>
      <c r="AF131" s="22">
        <f>IF(AND($A131="",$B131=""),"",IF(Z131=1,IF(AE131=1,N($R131),AD131),0))</f>
        <v/>
      </c>
      <c r="AG131" s="22">
        <f>IF(AND($A131="",$B131=""),"",IF(Z131=1,IF(AE131=1,N($S131),AC131),0))</f>
        <v/>
      </c>
      <c r="AH131" s="21">
        <f>IF(AND($A131="",$B131=""),"",IF(AND(ISNUMBER($I131),N($I131)&gt;0),$I131,0))</f>
        <v/>
      </c>
      <c r="AI131" s="23">
        <f>IF(AND(NOT(AND($A131="",$B131="")),$K131="Point",N($L131)&gt;0),SQRT(N($L131)/PI()),"")</f>
        <v/>
      </c>
      <c r="AJ131" s="21">
        <f>IF(AND($A131="",$B131=""),"",IFERROR(VLOOKUP($G131,Lists!$D$4:$E$15,2,FALSE),"Not reported"))</f>
        <v/>
      </c>
      <c r="AK131" s="21">
        <f>IF(AND($A131="",$B131=""),"",IF($X131&lt;&gt;"",$X131,IF($T131&lt;&gt;"Y","Not assessed",IF(AND(ISNUMBER($V131),Setup!$B$6-$V131&gt;Setup!$B$26),"Assessment outdated",IF(NOT(ISNUMBER($W131)),"Assessed – no score",IF($W131&gt;=Setup!$B$24,"High",IF($W131&gt;=Setup!$B$25,"Moderate","Low")))))))</f>
        <v/>
      </c>
      <c r="AL131" s="21">
        <f>IF(AND($A131="",$B131=""),"",IF(Z131=0,"",IF(AND(AE131=1,N($R131)&gt;AD131*1.01+0.001),"Net terrestrial &gt; gross; ","")&amp;IF(AND(AE131=1,N($S131)&gt;AC131*1.01+0.001),"Net marine &gt; gross; ","")&amp;IF(AE131=0,"No net area – gross used, overlaps may be double-counted; ","")&amp;IF(AH131=0,"STATUS_YR missing – imputed in time series; ","")&amp;IF(AND(ISNUMBER($I131),N($I131)&gt;Setup!$B$6),"STATUS_YR after reporting year; ","")&amp;IF(OR($G131="",$G131="Not Reported"),"GOV_TYPE not reported; ","")&amp;IF(AND(N($J131)=1,$K131="Point",N($M131)&lt;=0),"Coastal point without REP_M_AREA – land/sea split unknown; ","")&amp;IF(AND(N($J131)=0,N($S131)&gt;0),"MARINE=0 but net marine &gt;0; ","")&amp;IF(AND(N($J131)=2,N($R131)&gt;0),"MARINE=2 but net terrestrial &gt;0; ","")&amp;IF($K131="Point","Buffered point – coverage approximate; ","")))</f>
        <v/>
      </c>
    </row>
    <row r="132">
      <c r="A132" s="19" t="n"/>
      <c r="B132" s="19" t="n"/>
      <c r="C132" s="19" t="n"/>
      <c r="D132" s="19" t="n"/>
      <c r="E132" s="19" t="n"/>
      <c r="F132" s="19" t="n"/>
      <c r="G132" s="19" t="n"/>
      <c r="H132" s="19" t="n"/>
      <c r="I132" s="19" t="n"/>
      <c r="J132" s="19" t="n"/>
      <c r="K132" s="19" t="n"/>
      <c r="L132" s="20" t="n"/>
      <c r="M132" s="20" t="n"/>
      <c r="N132" s="20" t="n"/>
      <c r="O132" s="20" t="n"/>
      <c r="P132" s="19" t="n"/>
      <c r="Q132" s="19" t="n"/>
      <c r="R132" s="20" t="n"/>
      <c r="S132" s="20" t="n"/>
      <c r="T132" s="19" t="n"/>
      <c r="U132" s="19" t="n"/>
      <c r="V132" s="19" t="n"/>
      <c r="W132" s="19" t="n"/>
      <c r="X132" s="19" t="n"/>
      <c r="Y132" s="19" t="n"/>
      <c r="Z132" s="21">
        <f>IF(AND($A132="",$B132=""),"",IF(OR($E132="",$H132="",$H132="Proposed",$H132="Not Reported"),0,IF(AND($P132="Y",$Q132&lt;&gt;"Y"),0,IF(AND($K132="Point",N($L132)&lt;=0),0,IF(AND(N($L132)&lt;=0,N($N132)&lt;=0,N($R132)+N($S132)&lt;=0),0,1)))))</f>
        <v/>
      </c>
      <c r="AA132" s="21">
        <f>IF(AND($A132="",$B132=""),"",IF($E132="","Site type missing",IF($H132="","STATUS missing",IF($H132="Proposed","STATUS = Proposed",IF($H132="Not Reported","STATUS = Not Reported",IF(AND($P132="Y",$Q132&lt;&gt;"Y"),"UNESCO-MAB Biosphere Reserve",IF(AND($K132="Point",N($L132)&lt;=0),"Point without REP_AREA",IF(AND(N($L132)&lt;=0,N($N132)&lt;=0,N($R132)+N($S132)&lt;=0),"No area information",""))))))))</f>
        <v/>
      </c>
      <c r="AB132" s="22">
        <f>IF(AND($A132="",$B132=""),"",IF($K132="Point",N($L132),IF(N($N132)&gt;0,N($N132),N($L132))))</f>
        <v/>
      </c>
      <c r="AC132" s="22">
        <f>IF(AND($A132="",$B132=""),"",MIN(AB132,IF(N($J132)=0,0,IF(N($J132)=2,AB132,IF(AND($K132&lt;&gt;"Point",N($O132)&gt;0),N($O132),N($M132))))))</f>
        <v/>
      </c>
      <c r="AD132" s="22">
        <f>IF(AND($A132="",$B132=""),"",MAX(0,AB132-AC132))</f>
        <v/>
      </c>
      <c r="AE132" s="21">
        <f>IF(AND($A132="",$B132=""),"",IF(OR($R132&lt;&gt;"",$S132&lt;&gt;""),1,0))</f>
        <v/>
      </c>
      <c r="AF132" s="22">
        <f>IF(AND($A132="",$B132=""),"",IF(Z132=1,IF(AE132=1,N($R132),AD132),0))</f>
        <v/>
      </c>
      <c r="AG132" s="22">
        <f>IF(AND($A132="",$B132=""),"",IF(Z132=1,IF(AE132=1,N($S132),AC132),0))</f>
        <v/>
      </c>
      <c r="AH132" s="21">
        <f>IF(AND($A132="",$B132=""),"",IF(AND(ISNUMBER($I132),N($I132)&gt;0),$I132,0))</f>
        <v/>
      </c>
      <c r="AI132" s="23">
        <f>IF(AND(NOT(AND($A132="",$B132="")),$K132="Point",N($L132)&gt;0),SQRT(N($L132)/PI()),"")</f>
        <v/>
      </c>
      <c r="AJ132" s="21">
        <f>IF(AND($A132="",$B132=""),"",IFERROR(VLOOKUP($G132,Lists!$D$4:$E$15,2,FALSE),"Not reported"))</f>
        <v/>
      </c>
      <c r="AK132" s="21">
        <f>IF(AND($A132="",$B132=""),"",IF($X132&lt;&gt;"",$X132,IF($T132&lt;&gt;"Y","Not assessed",IF(AND(ISNUMBER($V132),Setup!$B$6-$V132&gt;Setup!$B$26),"Assessment outdated",IF(NOT(ISNUMBER($W132)),"Assessed – no score",IF($W132&gt;=Setup!$B$24,"High",IF($W132&gt;=Setup!$B$25,"Moderate","Low")))))))</f>
        <v/>
      </c>
      <c r="AL132" s="21">
        <f>IF(AND($A132="",$B132=""),"",IF(Z132=0,"",IF(AND(AE132=1,N($R132)&gt;AD132*1.01+0.001),"Net terrestrial &gt; gross; ","")&amp;IF(AND(AE132=1,N($S132)&gt;AC132*1.01+0.001),"Net marine &gt; gross; ","")&amp;IF(AE132=0,"No net area – gross used, overlaps may be double-counted; ","")&amp;IF(AH132=0,"STATUS_YR missing – imputed in time series; ","")&amp;IF(AND(ISNUMBER($I132),N($I132)&gt;Setup!$B$6),"STATUS_YR after reporting year; ","")&amp;IF(OR($G132="",$G132="Not Reported"),"GOV_TYPE not reported; ","")&amp;IF(AND(N($J132)=1,$K132="Point",N($M132)&lt;=0),"Coastal point without REP_M_AREA – land/sea split unknown; ","")&amp;IF(AND(N($J132)=0,N($S132)&gt;0),"MARINE=0 but net marine &gt;0; ","")&amp;IF(AND(N($J132)=2,N($R132)&gt;0),"MARINE=2 but net terrestrial &gt;0; ","")&amp;IF($K132="Point","Buffered point – coverage approximate; ","")))</f>
        <v/>
      </c>
    </row>
    <row r="133">
      <c r="A133" s="19" t="n"/>
      <c r="B133" s="19" t="n"/>
      <c r="C133" s="19" t="n"/>
      <c r="D133" s="19" t="n"/>
      <c r="E133" s="19" t="n"/>
      <c r="F133" s="19" t="n"/>
      <c r="G133" s="19" t="n"/>
      <c r="H133" s="19" t="n"/>
      <c r="I133" s="19" t="n"/>
      <c r="J133" s="19" t="n"/>
      <c r="K133" s="19" t="n"/>
      <c r="L133" s="20" t="n"/>
      <c r="M133" s="20" t="n"/>
      <c r="N133" s="20" t="n"/>
      <c r="O133" s="20" t="n"/>
      <c r="P133" s="19" t="n"/>
      <c r="Q133" s="19" t="n"/>
      <c r="R133" s="20" t="n"/>
      <c r="S133" s="20" t="n"/>
      <c r="T133" s="19" t="n"/>
      <c r="U133" s="19" t="n"/>
      <c r="V133" s="19" t="n"/>
      <c r="W133" s="19" t="n"/>
      <c r="X133" s="19" t="n"/>
      <c r="Y133" s="19" t="n"/>
      <c r="Z133" s="21">
        <f>IF(AND($A133="",$B133=""),"",IF(OR($E133="",$H133="",$H133="Proposed",$H133="Not Reported"),0,IF(AND($P133="Y",$Q133&lt;&gt;"Y"),0,IF(AND($K133="Point",N($L133)&lt;=0),0,IF(AND(N($L133)&lt;=0,N($N133)&lt;=0,N($R133)+N($S133)&lt;=0),0,1)))))</f>
        <v/>
      </c>
      <c r="AA133" s="21">
        <f>IF(AND($A133="",$B133=""),"",IF($E133="","Site type missing",IF($H133="","STATUS missing",IF($H133="Proposed","STATUS = Proposed",IF($H133="Not Reported","STATUS = Not Reported",IF(AND($P133="Y",$Q133&lt;&gt;"Y"),"UNESCO-MAB Biosphere Reserve",IF(AND($K133="Point",N($L133)&lt;=0),"Point without REP_AREA",IF(AND(N($L133)&lt;=0,N($N133)&lt;=0,N($R133)+N($S133)&lt;=0),"No area information",""))))))))</f>
        <v/>
      </c>
      <c r="AB133" s="22">
        <f>IF(AND($A133="",$B133=""),"",IF($K133="Point",N($L133),IF(N($N133)&gt;0,N($N133),N($L133))))</f>
        <v/>
      </c>
      <c r="AC133" s="22">
        <f>IF(AND($A133="",$B133=""),"",MIN(AB133,IF(N($J133)=0,0,IF(N($J133)=2,AB133,IF(AND($K133&lt;&gt;"Point",N($O133)&gt;0),N($O133),N($M133))))))</f>
        <v/>
      </c>
      <c r="AD133" s="22">
        <f>IF(AND($A133="",$B133=""),"",MAX(0,AB133-AC133))</f>
        <v/>
      </c>
      <c r="AE133" s="21">
        <f>IF(AND($A133="",$B133=""),"",IF(OR($R133&lt;&gt;"",$S133&lt;&gt;""),1,0))</f>
        <v/>
      </c>
      <c r="AF133" s="22">
        <f>IF(AND($A133="",$B133=""),"",IF(Z133=1,IF(AE133=1,N($R133),AD133),0))</f>
        <v/>
      </c>
      <c r="AG133" s="22">
        <f>IF(AND($A133="",$B133=""),"",IF(Z133=1,IF(AE133=1,N($S133),AC133),0))</f>
        <v/>
      </c>
      <c r="AH133" s="21">
        <f>IF(AND($A133="",$B133=""),"",IF(AND(ISNUMBER($I133),N($I133)&gt;0),$I133,0))</f>
        <v/>
      </c>
      <c r="AI133" s="23">
        <f>IF(AND(NOT(AND($A133="",$B133="")),$K133="Point",N($L133)&gt;0),SQRT(N($L133)/PI()),"")</f>
        <v/>
      </c>
      <c r="AJ133" s="21">
        <f>IF(AND($A133="",$B133=""),"",IFERROR(VLOOKUP($G133,Lists!$D$4:$E$15,2,FALSE),"Not reported"))</f>
        <v/>
      </c>
      <c r="AK133" s="21">
        <f>IF(AND($A133="",$B133=""),"",IF($X133&lt;&gt;"",$X133,IF($T133&lt;&gt;"Y","Not assessed",IF(AND(ISNUMBER($V133),Setup!$B$6-$V133&gt;Setup!$B$26),"Assessment outdated",IF(NOT(ISNUMBER($W133)),"Assessed – no score",IF($W133&gt;=Setup!$B$24,"High",IF($W133&gt;=Setup!$B$25,"Moderate","Low")))))))</f>
        <v/>
      </c>
      <c r="AL133" s="21">
        <f>IF(AND($A133="",$B133=""),"",IF(Z133=0,"",IF(AND(AE133=1,N($R133)&gt;AD133*1.01+0.001),"Net terrestrial &gt; gross; ","")&amp;IF(AND(AE133=1,N($S133)&gt;AC133*1.01+0.001),"Net marine &gt; gross; ","")&amp;IF(AE133=0,"No net area – gross used, overlaps may be double-counted; ","")&amp;IF(AH133=0,"STATUS_YR missing – imputed in time series; ","")&amp;IF(AND(ISNUMBER($I133),N($I133)&gt;Setup!$B$6),"STATUS_YR after reporting year; ","")&amp;IF(OR($G133="",$G133="Not Reported"),"GOV_TYPE not reported; ","")&amp;IF(AND(N($J133)=1,$K133="Point",N($M133)&lt;=0),"Coastal point without REP_M_AREA – land/sea split unknown; ","")&amp;IF(AND(N($J133)=0,N($S133)&gt;0),"MARINE=0 but net marine &gt;0; ","")&amp;IF(AND(N($J133)=2,N($R133)&gt;0),"MARINE=2 but net terrestrial &gt;0; ","")&amp;IF($K133="Point","Buffered point – coverage approximate; ","")))</f>
        <v/>
      </c>
    </row>
    <row r="134">
      <c r="A134" s="19" t="n"/>
      <c r="B134" s="19" t="n"/>
      <c r="C134" s="19" t="n"/>
      <c r="D134" s="19" t="n"/>
      <c r="E134" s="19" t="n"/>
      <c r="F134" s="19" t="n"/>
      <c r="G134" s="19" t="n"/>
      <c r="H134" s="19" t="n"/>
      <c r="I134" s="19" t="n"/>
      <c r="J134" s="19" t="n"/>
      <c r="K134" s="19" t="n"/>
      <c r="L134" s="20" t="n"/>
      <c r="M134" s="20" t="n"/>
      <c r="N134" s="20" t="n"/>
      <c r="O134" s="20" t="n"/>
      <c r="P134" s="19" t="n"/>
      <c r="Q134" s="19" t="n"/>
      <c r="R134" s="20" t="n"/>
      <c r="S134" s="20" t="n"/>
      <c r="T134" s="19" t="n"/>
      <c r="U134" s="19" t="n"/>
      <c r="V134" s="19" t="n"/>
      <c r="W134" s="19" t="n"/>
      <c r="X134" s="19" t="n"/>
      <c r="Y134" s="19" t="n"/>
      <c r="Z134" s="21">
        <f>IF(AND($A134="",$B134=""),"",IF(OR($E134="",$H134="",$H134="Proposed",$H134="Not Reported"),0,IF(AND($P134="Y",$Q134&lt;&gt;"Y"),0,IF(AND($K134="Point",N($L134)&lt;=0),0,IF(AND(N($L134)&lt;=0,N($N134)&lt;=0,N($R134)+N($S134)&lt;=0),0,1)))))</f>
        <v/>
      </c>
      <c r="AA134" s="21">
        <f>IF(AND($A134="",$B134=""),"",IF($E134="","Site type missing",IF($H134="","STATUS missing",IF($H134="Proposed","STATUS = Proposed",IF($H134="Not Reported","STATUS = Not Reported",IF(AND($P134="Y",$Q134&lt;&gt;"Y"),"UNESCO-MAB Biosphere Reserve",IF(AND($K134="Point",N($L134)&lt;=0),"Point without REP_AREA",IF(AND(N($L134)&lt;=0,N($N134)&lt;=0,N($R134)+N($S134)&lt;=0),"No area information",""))))))))</f>
        <v/>
      </c>
      <c r="AB134" s="22">
        <f>IF(AND($A134="",$B134=""),"",IF($K134="Point",N($L134),IF(N($N134)&gt;0,N($N134),N($L134))))</f>
        <v/>
      </c>
      <c r="AC134" s="22">
        <f>IF(AND($A134="",$B134=""),"",MIN(AB134,IF(N($J134)=0,0,IF(N($J134)=2,AB134,IF(AND($K134&lt;&gt;"Point",N($O134)&gt;0),N($O134),N($M134))))))</f>
        <v/>
      </c>
      <c r="AD134" s="22">
        <f>IF(AND($A134="",$B134=""),"",MAX(0,AB134-AC134))</f>
        <v/>
      </c>
      <c r="AE134" s="21">
        <f>IF(AND($A134="",$B134=""),"",IF(OR($R134&lt;&gt;"",$S134&lt;&gt;""),1,0))</f>
        <v/>
      </c>
      <c r="AF134" s="22">
        <f>IF(AND($A134="",$B134=""),"",IF(Z134=1,IF(AE134=1,N($R134),AD134),0))</f>
        <v/>
      </c>
      <c r="AG134" s="22">
        <f>IF(AND($A134="",$B134=""),"",IF(Z134=1,IF(AE134=1,N($S134),AC134),0))</f>
        <v/>
      </c>
      <c r="AH134" s="21">
        <f>IF(AND($A134="",$B134=""),"",IF(AND(ISNUMBER($I134),N($I134)&gt;0),$I134,0))</f>
        <v/>
      </c>
      <c r="AI134" s="23">
        <f>IF(AND(NOT(AND($A134="",$B134="")),$K134="Point",N($L134)&gt;0),SQRT(N($L134)/PI()),"")</f>
        <v/>
      </c>
      <c r="AJ134" s="21">
        <f>IF(AND($A134="",$B134=""),"",IFERROR(VLOOKUP($G134,Lists!$D$4:$E$15,2,FALSE),"Not reported"))</f>
        <v/>
      </c>
      <c r="AK134" s="21">
        <f>IF(AND($A134="",$B134=""),"",IF($X134&lt;&gt;"",$X134,IF($T134&lt;&gt;"Y","Not assessed",IF(AND(ISNUMBER($V134),Setup!$B$6-$V134&gt;Setup!$B$26),"Assessment outdated",IF(NOT(ISNUMBER($W134)),"Assessed – no score",IF($W134&gt;=Setup!$B$24,"High",IF($W134&gt;=Setup!$B$25,"Moderate","Low")))))))</f>
        <v/>
      </c>
      <c r="AL134" s="21">
        <f>IF(AND($A134="",$B134=""),"",IF(Z134=0,"",IF(AND(AE134=1,N($R134)&gt;AD134*1.01+0.001),"Net terrestrial &gt; gross; ","")&amp;IF(AND(AE134=1,N($S134)&gt;AC134*1.01+0.001),"Net marine &gt; gross; ","")&amp;IF(AE134=0,"No net area – gross used, overlaps may be double-counted; ","")&amp;IF(AH134=0,"STATUS_YR missing – imputed in time series; ","")&amp;IF(AND(ISNUMBER($I134),N($I134)&gt;Setup!$B$6),"STATUS_YR after reporting year; ","")&amp;IF(OR($G134="",$G134="Not Reported"),"GOV_TYPE not reported; ","")&amp;IF(AND(N($J134)=1,$K134="Point",N($M134)&lt;=0),"Coastal point without REP_M_AREA – land/sea split unknown; ","")&amp;IF(AND(N($J134)=0,N($S134)&gt;0),"MARINE=0 but net marine &gt;0; ","")&amp;IF(AND(N($J134)=2,N($R134)&gt;0),"MARINE=2 but net terrestrial &gt;0; ","")&amp;IF($K134="Point","Buffered point – coverage approximate; ","")))</f>
        <v/>
      </c>
    </row>
    <row r="135">
      <c r="A135" s="19" t="n"/>
      <c r="B135" s="19" t="n"/>
      <c r="C135" s="19" t="n"/>
      <c r="D135" s="19" t="n"/>
      <c r="E135" s="19" t="n"/>
      <c r="F135" s="19" t="n"/>
      <c r="G135" s="19" t="n"/>
      <c r="H135" s="19" t="n"/>
      <c r="I135" s="19" t="n"/>
      <c r="J135" s="19" t="n"/>
      <c r="K135" s="19" t="n"/>
      <c r="L135" s="20" t="n"/>
      <c r="M135" s="20" t="n"/>
      <c r="N135" s="20" t="n"/>
      <c r="O135" s="20" t="n"/>
      <c r="P135" s="19" t="n"/>
      <c r="Q135" s="19" t="n"/>
      <c r="R135" s="20" t="n"/>
      <c r="S135" s="20" t="n"/>
      <c r="T135" s="19" t="n"/>
      <c r="U135" s="19" t="n"/>
      <c r="V135" s="19" t="n"/>
      <c r="W135" s="19" t="n"/>
      <c r="X135" s="19" t="n"/>
      <c r="Y135" s="19" t="n"/>
      <c r="Z135" s="21">
        <f>IF(AND($A135="",$B135=""),"",IF(OR($E135="",$H135="",$H135="Proposed",$H135="Not Reported"),0,IF(AND($P135="Y",$Q135&lt;&gt;"Y"),0,IF(AND($K135="Point",N($L135)&lt;=0),0,IF(AND(N($L135)&lt;=0,N($N135)&lt;=0,N($R135)+N($S135)&lt;=0),0,1)))))</f>
        <v/>
      </c>
      <c r="AA135" s="21">
        <f>IF(AND($A135="",$B135=""),"",IF($E135="","Site type missing",IF($H135="","STATUS missing",IF($H135="Proposed","STATUS = Proposed",IF($H135="Not Reported","STATUS = Not Reported",IF(AND($P135="Y",$Q135&lt;&gt;"Y"),"UNESCO-MAB Biosphere Reserve",IF(AND($K135="Point",N($L135)&lt;=0),"Point without REP_AREA",IF(AND(N($L135)&lt;=0,N($N135)&lt;=0,N($R135)+N($S135)&lt;=0),"No area information",""))))))))</f>
        <v/>
      </c>
      <c r="AB135" s="22">
        <f>IF(AND($A135="",$B135=""),"",IF($K135="Point",N($L135),IF(N($N135)&gt;0,N($N135),N($L135))))</f>
        <v/>
      </c>
      <c r="AC135" s="22">
        <f>IF(AND($A135="",$B135=""),"",MIN(AB135,IF(N($J135)=0,0,IF(N($J135)=2,AB135,IF(AND($K135&lt;&gt;"Point",N($O135)&gt;0),N($O135),N($M135))))))</f>
        <v/>
      </c>
      <c r="AD135" s="22">
        <f>IF(AND($A135="",$B135=""),"",MAX(0,AB135-AC135))</f>
        <v/>
      </c>
      <c r="AE135" s="21">
        <f>IF(AND($A135="",$B135=""),"",IF(OR($R135&lt;&gt;"",$S135&lt;&gt;""),1,0))</f>
        <v/>
      </c>
      <c r="AF135" s="22">
        <f>IF(AND($A135="",$B135=""),"",IF(Z135=1,IF(AE135=1,N($R135),AD135),0))</f>
        <v/>
      </c>
      <c r="AG135" s="22">
        <f>IF(AND($A135="",$B135=""),"",IF(Z135=1,IF(AE135=1,N($S135),AC135),0))</f>
        <v/>
      </c>
      <c r="AH135" s="21">
        <f>IF(AND($A135="",$B135=""),"",IF(AND(ISNUMBER($I135),N($I135)&gt;0),$I135,0))</f>
        <v/>
      </c>
      <c r="AI135" s="23">
        <f>IF(AND(NOT(AND($A135="",$B135="")),$K135="Point",N($L135)&gt;0),SQRT(N($L135)/PI()),"")</f>
        <v/>
      </c>
      <c r="AJ135" s="21">
        <f>IF(AND($A135="",$B135=""),"",IFERROR(VLOOKUP($G135,Lists!$D$4:$E$15,2,FALSE),"Not reported"))</f>
        <v/>
      </c>
      <c r="AK135" s="21">
        <f>IF(AND($A135="",$B135=""),"",IF($X135&lt;&gt;"",$X135,IF($T135&lt;&gt;"Y","Not assessed",IF(AND(ISNUMBER($V135),Setup!$B$6-$V135&gt;Setup!$B$26),"Assessment outdated",IF(NOT(ISNUMBER($W135)),"Assessed – no score",IF($W135&gt;=Setup!$B$24,"High",IF($W135&gt;=Setup!$B$25,"Moderate","Low")))))))</f>
        <v/>
      </c>
      <c r="AL135" s="21">
        <f>IF(AND($A135="",$B135=""),"",IF(Z135=0,"",IF(AND(AE135=1,N($R135)&gt;AD135*1.01+0.001),"Net terrestrial &gt; gross; ","")&amp;IF(AND(AE135=1,N($S135)&gt;AC135*1.01+0.001),"Net marine &gt; gross; ","")&amp;IF(AE135=0,"No net area – gross used, overlaps may be double-counted; ","")&amp;IF(AH135=0,"STATUS_YR missing – imputed in time series; ","")&amp;IF(AND(ISNUMBER($I135),N($I135)&gt;Setup!$B$6),"STATUS_YR after reporting year; ","")&amp;IF(OR($G135="",$G135="Not Reported"),"GOV_TYPE not reported; ","")&amp;IF(AND(N($J135)=1,$K135="Point",N($M135)&lt;=0),"Coastal point without REP_M_AREA – land/sea split unknown; ","")&amp;IF(AND(N($J135)=0,N($S135)&gt;0),"MARINE=0 but net marine &gt;0; ","")&amp;IF(AND(N($J135)=2,N($R135)&gt;0),"MARINE=2 but net terrestrial &gt;0; ","")&amp;IF($K135="Point","Buffered point – coverage approximate; ","")))</f>
        <v/>
      </c>
    </row>
    <row r="136">
      <c r="A136" s="19" t="n"/>
      <c r="B136" s="19" t="n"/>
      <c r="C136" s="19" t="n"/>
      <c r="D136" s="19" t="n"/>
      <c r="E136" s="19" t="n"/>
      <c r="F136" s="19" t="n"/>
      <c r="G136" s="19" t="n"/>
      <c r="H136" s="19" t="n"/>
      <c r="I136" s="19" t="n"/>
      <c r="J136" s="19" t="n"/>
      <c r="K136" s="19" t="n"/>
      <c r="L136" s="20" t="n"/>
      <c r="M136" s="20" t="n"/>
      <c r="N136" s="20" t="n"/>
      <c r="O136" s="20" t="n"/>
      <c r="P136" s="19" t="n"/>
      <c r="Q136" s="19" t="n"/>
      <c r="R136" s="20" t="n"/>
      <c r="S136" s="20" t="n"/>
      <c r="T136" s="19" t="n"/>
      <c r="U136" s="19" t="n"/>
      <c r="V136" s="19" t="n"/>
      <c r="W136" s="19" t="n"/>
      <c r="X136" s="19" t="n"/>
      <c r="Y136" s="19" t="n"/>
      <c r="Z136" s="21">
        <f>IF(AND($A136="",$B136=""),"",IF(OR($E136="",$H136="",$H136="Proposed",$H136="Not Reported"),0,IF(AND($P136="Y",$Q136&lt;&gt;"Y"),0,IF(AND($K136="Point",N($L136)&lt;=0),0,IF(AND(N($L136)&lt;=0,N($N136)&lt;=0,N($R136)+N($S136)&lt;=0),0,1)))))</f>
        <v/>
      </c>
      <c r="AA136" s="21">
        <f>IF(AND($A136="",$B136=""),"",IF($E136="","Site type missing",IF($H136="","STATUS missing",IF($H136="Proposed","STATUS = Proposed",IF($H136="Not Reported","STATUS = Not Reported",IF(AND($P136="Y",$Q136&lt;&gt;"Y"),"UNESCO-MAB Biosphere Reserve",IF(AND($K136="Point",N($L136)&lt;=0),"Point without REP_AREA",IF(AND(N($L136)&lt;=0,N($N136)&lt;=0,N($R136)+N($S136)&lt;=0),"No area information",""))))))))</f>
        <v/>
      </c>
      <c r="AB136" s="22">
        <f>IF(AND($A136="",$B136=""),"",IF($K136="Point",N($L136),IF(N($N136)&gt;0,N($N136),N($L136))))</f>
        <v/>
      </c>
      <c r="AC136" s="22">
        <f>IF(AND($A136="",$B136=""),"",MIN(AB136,IF(N($J136)=0,0,IF(N($J136)=2,AB136,IF(AND($K136&lt;&gt;"Point",N($O136)&gt;0),N($O136),N($M136))))))</f>
        <v/>
      </c>
      <c r="AD136" s="22">
        <f>IF(AND($A136="",$B136=""),"",MAX(0,AB136-AC136))</f>
        <v/>
      </c>
      <c r="AE136" s="21">
        <f>IF(AND($A136="",$B136=""),"",IF(OR($R136&lt;&gt;"",$S136&lt;&gt;""),1,0))</f>
        <v/>
      </c>
      <c r="AF136" s="22">
        <f>IF(AND($A136="",$B136=""),"",IF(Z136=1,IF(AE136=1,N($R136),AD136),0))</f>
        <v/>
      </c>
      <c r="AG136" s="22">
        <f>IF(AND($A136="",$B136=""),"",IF(Z136=1,IF(AE136=1,N($S136),AC136),0))</f>
        <v/>
      </c>
      <c r="AH136" s="21">
        <f>IF(AND($A136="",$B136=""),"",IF(AND(ISNUMBER($I136),N($I136)&gt;0),$I136,0))</f>
        <v/>
      </c>
      <c r="AI136" s="23">
        <f>IF(AND(NOT(AND($A136="",$B136="")),$K136="Point",N($L136)&gt;0),SQRT(N($L136)/PI()),"")</f>
        <v/>
      </c>
      <c r="AJ136" s="21">
        <f>IF(AND($A136="",$B136=""),"",IFERROR(VLOOKUP($G136,Lists!$D$4:$E$15,2,FALSE),"Not reported"))</f>
        <v/>
      </c>
      <c r="AK136" s="21">
        <f>IF(AND($A136="",$B136=""),"",IF($X136&lt;&gt;"",$X136,IF($T136&lt;&gt;"Y","Not assessed",IF(AND(ISNUMBER($V136),Setup!$B$6-$V136&gt;Setup!$B$26),"Assessment outdated",IF(NOT(ISNUMBER($W136)),"Assessed – no score",IF($W136&gt;=Setup!$B$24,"High",IF($W136&gt;=Setup!$B$25,"Moderate","Low")))))))</f>
        <v/>
      </c>
      <c r="AL136" s="21">
        <f>IF(AND($A136="",$B136=""),"",IF(Z136=0,"",IF(AND(AE136=1,N($R136)&gt;AD136*1.01+0.001),"Net terrestrial &gt; gross; ","")&amp;IF(AND(AE136=1,N($S136)&gt;AC136*1.01+0.001),"Net marine &gt; gross; ","")&amp;IF(AE136=0,"No net area – gross used, overlaps may be double-counted; ","")&amp;IF(AH136=0,"STATUS_YR missing – imputed in time series; ","")&amp;IF(AND(ISNUMBER($I136),N($I136)&gt;Setup!$B$6),"STATUS_YR after reporting year; ","")&amp;IF(OR($G136="",$G136="Not Reported"),"GOV_TYPE not reported; ","")&amp;IF(AND(N($J136)=1,$K136="Point",N($M136)&lt;=0),"Coastal point without REP_M_AREA – land/sea split unknown; ","")&amp;IF(AND(N($J136)=0,N($S136)&gt;0),"MARINE=0 but net marine &gt;0; ","")&amp;IF(AND(N($J136)=2,N($R136)&gt;0),"MARINE=2 but net terrestrial &gt;0; ","")&amp;IF($K136="Point","Buffered point – coverage approximate; ","")))</f>
        <v/>
      </c>
    </row>
    <row r="137">
      <c r="A137" s="19" t="n"/>
      <c r="B137" s="19" t="n"/>
      <c r="C137" s="19" t="n"/>
      <c r="D137" s="19" t="n"/>
      <c r="E137" s="19" t="n"/>
      <c r="F137" s="19" t="n"/>
      <c r="G137" s="19" t="n"/>
      <c r="H137" s="19" t="n"/>
      <c r="I137" s="19" t="n"/>
      <c r="J137" s="19" t="n"/>
      <c r="K137" s="19" t="n"/>
      <c r="L137" s="20" t="n"/>
      <c r="M137" s="20" t="n"/>
      <c r="N137" s="20" t="n"/>
      <c r="O137" s="20" t="n"/>
      <c r="P137" s="19" t="n"/>
      <c r="Q137" s="19" t="n"/>
      <c r="R137" s="20" t="n"/>
      <c r="S137" s="20" t="n"/>
      <c r="T137" s="19" t="n"/>
      <c r="U137" s="19" t="n"/>
      <c r="V137" s="19" t="n"/>
      <c r="W137" s="19" t="n"/>
      <c r="X137" s="19" t="n"/>
      <c r="Y137" s="19" t="n"/>
      <c r="Z137" s="21">
        <f>IF(AND($A137="",$B137=""),"",IF(OR($E137="",$H137="",$H137="Proposed",$H137="Not Reported"),0,IF(AND($P137="Y",$Q137&lt;&gt;"Y"),0,IF(AND($K137="Point",N($L137)&lt;=0),0,IF(AND(N($L137)&lt;=0,N($N137)&lt;=0,N($R137)+N($S137)&lt;=0),0,1)))))</f>
        <v/>
      </c>
      <c r="AA137" s="21">
        <f>IF(AND($A137="",$B137=""),"",IF($E137="","Site type missing",IF($H137="","STATUS missing",IF($H137="Proposed","STATUS = Proposed",IF($H137="Not Reported","STATUS = Not Reported",IF(AND($P137="Y",$Q137&lt;&gt;"Y"),"UNESCO-MAB Biosphere Reserve",IF(AND($K137="Point",N($L137)&lt;=0),"Point without REP_AREA",IF(AND(N($L137)&lt;=0,N($N137)&lt;=0,N($R137)+N($S137)&lt;=0),"No area information",""))))))))</f>
        <v/>
      </c>
      <c r="AB137" s="22">
        <f>IF(AND($A137="",$B137=""),"",IF($K137="Point",N($L137),IF(N($N137)&gt;0,N($N137),N($L137))))</f>
        <v/>
      </c>
      <c r="AC137" s="22">
        <f>IF(AND($A137="",$B137=""),"",MIN(AB137,IF(N($J137)=0,0,IF(N($J137)=2,AB137,IF(AND($K137&lt;&gt;"Point",N($O137)&gt;0),N($O137),N($M137))))))</f>
        <v/>
      </c>
      <c r="AD137" s="22">
        <f>IF(AND($A137="",$B137=""),"",MAX(0,AB137-AC137))</f>
        <v/>
      </c>
      <c r="AE137" s="21">
        <f>IF(AND($A137="",$B137=""),"",IF(OR($R137&lt;&gt;"",$S137&lt;&gt;""),1,0))</f>
        <v/>
      </c>
      <c r="AF137" s="22">
        <f>IF(AND($A137="",$B137=""),"",IF(Z137=1,IF(AE137=1,N($R137),AD137),0))</f>
        <v/>
      </c>
      <c r="AG137" s="22">
        <f>IF(AND($A137="",$B137=""),"",IF(Z137=1,IF(AE137=1,N($S137),AC137),0))</f>
        <v/>
      </c>
      <c r="AH137" s="21">
        <f>IF(AND($A137="",$B137=""),"",IF(AND(ISNUMBER($I137),N($I137)&gt;0),$I137,0))</f>
        <v/>
      </c>
      <c r="AI137" s="23">
        <f>IF(AND(NOT(AND($A137="",$B137="")),$K137="Point",N($L137)&gt;0),SQRT(N($L137)/PI()),"")</f>
        <v/>
      </c>
      <c r="AJ137" s="21">
        <f>IF(AND($A137="",$B137=""),"",IFERROR(VLOOKUP($G137,Lists!$D$4:$E$15,2,FALSE),"Not reported"))</f>
        <v/>
      </c>
      <c r="AK137" s="21">
        <f>IF(AND($A137="",$B137=""),"",IF($X137&lt;&gt;"",$X137,IF($T137&lt;&gt;"Y","Not assessed",IF(AND(ISNUMBER($V137),Setup!$B$6-$V137&gt;Setup!$B$26),"Assessment outdated",IF(NOT(ISNUMBER($W137)),"Assessed – no score",IF($W137&gt;=Setup!$B$24,"High",IF($W137&gt;=Setup!$B$25,"Moderate","Low")))))))</f>
        <v/>
      </c>
      <c r="AL137" s="21">
        <f>IF(AND($A137="",$B137=""),"",IF(Z137=0,"",IF(AND(AE137=1,N($R137)&gt;AD137*1.01+0.001),"Net terrestrial &gt; gross; ","")&amp;IF(AND(AE137=1,N($S137)&gt;AC137*1.01+0.001),"Net marine &gt; gross; ","")&amp;IF(AE137=0,"No net area – gross used, overlaps may be double-counted; ","")&amp;IF(AH137=0,"STATUS_YR missing – imputed in time series; ","")&amp;IF(AND(ISNUMBER($I137),N($I137)&gt;Setup!$B$6),"STATUS_YR after reporting year; ","")&amp;IF(OR($G137="",$G137="Not Reported"),"GOV_TYPE not reported; ","")&amp;IF(AND(N($J137)=1,$K137="Point",N($M137)&lt;=0),"Coastal point without REP_M_AREA – land/sea split unknown; ","")&amp;IF(AND(N($J137)=0,N($S137)&gt;0),"MARINE=0 but net marine &gt;0; ","")&amp;IF(AND(N($J137)=2,N($R137)&gt;0),"MARINE=2 but net terrestrial &gt;0; ","")&amp;IF($K137="Point","Buffered point – coverage approximate; ","")))</f>
        <v/>
      </c>
    </row>
    <row r="138">
      <c r="A138" s="19" t="n"/>
      <c r="B138" s="19" t="n"/>
      <c r="C138" s="19" t="n"/>
      <c r="D138" s="19" t="n"/>
      <c r="E138" s="19" t="n"/>
      <c r="F138" s="19" t="n"/>
      <c r="G138" s="19" t="n"/>
      <c r="H138" s="19" t="n"/>
      <c r="I138" s="19" t="n"/>
      <c r="J138" s="19" t="n"/>
      <c r="K138" s="19" t="n"/>
      <c r="L138" s="20" t="n"/>
      <c r="M138" s="20" t="n"/>
      <c r="N138" s="20" t="n"/>
      <c r="O138" s="20" t="n"/>
      <c r="P138" s="19" t="n"/>
      <c r="Q138" s="19" t="n"/>
      <c r="R138" s="20" t="n"/>
      <c r="S138" s="20" t="n"/>
      <c r="T138" s="19" t="n"/>
      <c r="U138" s="19" t="n"/>
      <c r="V138" s="19" t="n"/>
      <c r="W138" s="19" t="n"/>
      <c r="X138" s="19" t="n"/>
      <c r="Y138" s="19" t="n"/>
      <c r="Z138" s="21">
        <f>IF(AND($A138="",$B138=""),"",IF(OR($E138="",$H138="",$H138="Proposed",$H138="Not Reported"),0,IF(AND($P138="Y",$Q138&lt;&gt;"Y"),0,IF(AND($K138="Point",N($L138)&lt;=0),0,IF(AND(N($L138)&lt;=0,N($N138)&lt;=0,N($R138)+N($S138)&lt;=0),0,1)))))</f>
        <v/>
      </c>
      <c r="AA138" s="21">
        <f>IF(AND($A138="",$B138=""),"",IF($E138="","Site type missing",IF($H138="","STATUS missing",IF($H138="Proposed","STATUS = Proposed",IF($H138="Not Reported","STATUS = Not Reported",IF(AND($P138="Y",$Q138&lt;&gt;"Y"),"UNESCO-MAB Biosphere Reserve",IF(AND($K138="Point",N($L138)&lt;=0),"Point without REP_AREA",IF(AND(N($L138)&lt;=0,N($N138)&lt;=0,N($R138)+N($S138)&lt;=0),"No area information",""))))))))</f>
        <v/>
      </c>
      <c r="AB138" s="22">
        <f>IF(AND($A138="",$B138=""),"",IF($K138="Point",N($L138),IF(N($N138)&gt;0,N($N138),N($L138))))</f>
        <v/>
      </c>
      <c r="AC138" s="22">
        <f>IF(AND($A138="",$B138=""),"",MIN(AB138,IF(N($J138)=0,0,IF(N($J138)=2,AB138,IF(AND($K138&lt;&gt;"Point",N($O138)&gt;0),N($O138),N($M138))))))</f>
        <v/>
      </c>
      <c r="AD138" s="22">
        <f>IF(AND($A138="",$B138=""),"",MAX(0,AB138-AC138))</f>
        <v/>
      </c>
      <c r="AE138" s="21">
        <f>IF(AND($A138="",$B138=""),"",IF(OR($R138&lt;&gt;"",$S138&lt;&gt;""),1,0))</f>
        <v/>
      </c>
      <c r="AF138" s="22">
        <f>IF(AND($A138="",$B138=""),"",IF(Z138=1,IF(AE138=1,N($R138),AD138),0))</f>
        <v/>
      </c>
      <c r="AG138" s="22">
        <f>IF(AND($A138="",$B138=""),"",IF(Z138=1,IF(AE138=1,N($S138),AC138),0))</f>
        <v/>
      </c>
      <c r="AH138" s="21">
        <f>IF(AND($A138="",$B138=""),"",IF(AND(ISNUMBER($I138),N($I138)&gt;0),$I138,0))</f>
        <v/>
      </c>
      <c r="AI138" s="23">
        <f>IF(AND(NOT(AND($A138="",$B138="")),$K138="Point",N($L138)&gt;0),SQRT(N($L138)/PI()),"")</f>
        <v/>
      </c>
      <c r="AJ138" s="21">
        <f>IF(AND($A138="",$B138=""),"",IFERROR(VLOOKUP($G138,Lists!$D$4:$E$15,2,FALSE),"Not reported"))</f>
        <v/>
      </c>
      <c r="AK138" s="21">
        <f>IF(AND($A138="",$B138=""),"",IF($X138&lt;&gt;"",$X138,IF($T138&lt;&gt;"Y","Not assessed",IF(AND(ISNUMBER($V138),Setup!$B$6-$V138&gt;Setup!$B$26),"Assessment outdated",IF(NOT(ISNUMBER($W138)),"Assessed – no score",IF($W138&gt;=Setup!$B$24,"High",IF($W138&gt;=Setup!$B$25,"Moderate","Low")))))))</f>
        <v/>
      </c>
      <c r="AL138" s="21">
        <f>IF(AND($A138="",$B138=""),"",IF(Z138=0,"",IF(AND(AE138=1,N($R138)&gt;AD138*1.01+0.001),"Net terrestrial &gt; gross; ","")&amp;IF(AND(AE138=1,N($S138)&gt;AC138*1.01+0.001),"Net marine &gt; gross; ","")&amp;IF(AE138=0,"No net area – gross used, overlaps may be double-counted; ","")&amp;IF(AH138=0,"STATUS_YR missing – imputed in time series; ","")&amp;IF(AND(ISNUMBER($I138),N($I138)&gt;Setup!$B$6),"STATUS_YR after reporting year; ","")&amp;IF(OR($G138="",$G138="Not Reported"),"GOV_TYPE not reported; ","")&amp;IF(AND(N($J138)=1,$K138="Point",N($M138)&lt;=0),"Coastal point without REP_M_AREA – land/sea split unknown; ","")&amp;IF(AND(N($J138)=0,N($S138)&gt;0),"MARINE=0 but net marine &gt;0; ","")&amp;IF(AND(N($J138)=2,N($R138)&gt;0),"MARINE=2 but net terrestrial &gt;0; ","")&amp;IF($K138="Point","Buffered point – coverage approximate; ","")))</f>
        <v/>
      </c>
    </row>
    <row r="139">
      <c r="A139" s="19" t="n"/>
      <c r="B139" s="19" t="n"/>
      <c r="C139" s="19" t="n"/>
      <c r="D139" s="19" t="n"/>
      <c r="E139" s="19" t="n"/>
      <c r="F139" s="19" t="n"/>
      <c r="G139" s="19" t="n"/>
      <c r="H139" s="19" t="n"/>
      <c r="I139" s="19" t="n"/>
      <c r="J139" s="19" t="n"/>
      <c r="K139" s="19" t="n"/>
      <c r="L139" s="20" t="n"/>
      <c r="M139" s="20" t="n"/>
      <c r="N139" s="20" t="n"/>
      <c r="O139" s="20" t="n"/>
      <c r="P139" s="19" t="n"/>
      <c r="Q139" s="19" t="n"/>
      <c r="R139" s="20" t="n"/>
      <c r="S139" s="20" t="n"/>
      <c r="T139" s="19" t="n"/>
      <c r="U139" s="19" t="n"/>
      <c r="V139" s="19" t="n"/>
      <c r="W139" s="19" t="n"/>
      <c r="X139" s="19" t="n"/>
      <c r="Y139" s="19" t="n"/>
      <c r="Z139" s="21">
        <f>IF(AND($A139="",$B139=""),"",IF(OR($E139="",$H139="",$H139="Proposed",$H139="Not Reported"),0,IF(AND($P139="Y",$Q139&lt;&gt;"Y"),0,IF(AND($K139="Point",N($L139)&lt;=0),0,IF(AND(N($L139)&lt;=0,N($N139)&lt;=0,N($R139)+N($S139)&lt;=0),0,1)))))</f>
        <v/>
      </c>
      <c r="AA139" s="21">
        <f>IF(AND($A139="",$B139=""),"",IF($E139="","Site type missing",IF($H139="","STATUS missing",IF($H139="Proposed","STATUS = Proposed",IF($H139="Not Reported","STATUS = Not Reported",IF(AND($P139="Y",$Q139&lt;&gt;"Y"),"UNESCO-MAB Biosphere Reserve",IF(AND($K139="Point",N($L139)&lt;=0),"Point without REP_AREA",IF(AND(N($L139)&lt;=0,N($N139)&lt;=0,N($R139)+N($S139)&lt;=0),"No area information",""))))))))</f>
        <v/>
      </c>
      <c r="AB139" s="22">
        <f>IF(AND($A139="",$B139=""),"",IF($K139="Point",N($L139),IF(N($N139)&gt;0,N($N139),N($L139))))</f>
        <v/>
      </c>
      <c r="AC139" s="22">
        <f>IF(AND($A139="",$B139=""),"",MIN(AB139,IF(N($J139)=0,0,IF(N($J139)=2,AB139,IF(AND($K139&lt;&gt;"Point",N($O139)&gt;0),N($O139),N($M139))))))</f>
        <v/>
      </c>
      <c r="AD139" s="22">
        <f>IF(AND($A139="",$B139=""),"",MAX(0,AB139-AC139))</f>
        <v/>
      </c>
      <c r="AE139" s="21">
        <f>IF(AND($A139="",$B139=""),"",IF(OR($R139&lt;&gt;"",$S139&lt;&gt;""),1,0))</f>
        <v/>
      </c>
      <c r="AF139" s="22">
        <f>IF(AND($A139="",$B139=""),"",IF(Z139=1,IF(AE139=1,N($R139),AD139),0))</f>
        <v/>
      </c>
      <c r="AG139" s="22">
        <f>IF(AND($A139="",$B139=""),"",IF(Z139=1,IF(AE139=1,N($S139),AC139),0))</f>
        <v/>
      </c>
      <c r="AH139" s="21">
        <f>IF(AND($A139="",$B139=""),"",IF(AND(ISNUMBER($I139),N($I139)&gt;0),$I139,0))</f>
        <v/>
      </c>
      <c r="AI139" s="23">
        <f>IF(AND(NOT(AND($A139="",$B139="")),$K139="Point",N($L139)&gt;0),SQRT(N($L139)/PI()),"")</f>
        <v/>
      </c>
      <c r="AJ139" s="21">
        <f>IF(AND($A139="",$B139=""),"",IFERROR(VLOOKUP($G139,Lists!$D$4:$E$15,2,FALSE),"Not reported"))</f>
        <v/>
      </c>
      <c r="AK139" s="21">
        <f>IF(AND($A139="",$B139=""),"",IF($X139&lt;&gt;"",$X139,IF($T139&lt;&gt;"Y","Not assessed",IF(AND(ISNUMBER($V139),Setup!$B$6-$V139&gt;Setup!$B$26),"Assessment outdated",IF(NOT(ISNUMBER($W139)),"Assessed – no score",IF($W139&gt;=Setup!$B$24,"High",IF($W139&gt;=Setup!$B$25,"Moderate","Low")))))))</f>
        <v/>
      </c>
      <c r="AL139" s="21">
        <f>IF(AND($A139="",$B139=""),"",IF(Z139=0,"",IF(AND(AE139=1,N($R139)&gt;AD139*1.01+0.001),"Net terrestrial &gt; gross; ","")&amp;IF(AND(AE139=1,N($S139)&gt;AC139*1.01+0.001),"Net marine &gt; gross; ","")&amp;IF(AE139=0,"No net area – gross used, overlaps may be double-counted; ","")&amp;IF(AH139=0,"STATUS_YR missing – imputed in time series; ","")&amp;IF(AND(ISNUMBER($I139),N($I139)&gt;Setup!$B$6),"STATUS_YR after reporting year; ","")&amp;IF(OR($G139="",$G139="Not Reported"),"GOV_TYPE not reported; ","")&amp;IF(AND(N($J139)=1,$K139="Point",N($M139)&lt;=0),"Coastal point without REP_M_AREA – land/sea split unknown; ","")&amp;IF(AND(N($J139)=0,N($S139)&gt;0),"MARINE=0 but net marine &gt;0; ","")&amp;IF(AND(N($J139)=2,N($R139)&gt;0),"MARINE=2 but net terrestrial &gt;0; ","")&amp;IF($K139="Point","Buffered point – coverage approximate; ","")))</f>
        <v/>
      </c>
    </row>
    <row r="140">
      <c r="A140" s="19" t="n"/>
      <c r="B140" s="19" t="n"/>
      <c r="C140" s="19" t="n"/>
      <c r="D140" s="19" t="n"/>
      <c r="E140" s="19" t="n"/>
      <c r="F140" s="19" t="n"/>
      <c r="G140" s="19" t="n"/>
      <c r="H140" s="19" t="n"/>
      <c r="I140" s="19" t="n"/>
      <c r="J140" s="19" t="n"/>
      <c r="K140" s="19" t="n"/>
      <c r="L140" s="20" t="n"/>
      <c r="M140" s="20" t="n"/>
      <c r="N140" s="20" t="n"/>
      <c r="O140" s="20" t="n"/>
      <c r="P140" s="19" t="n"/>
      <c r="Q140" s="19" t="n"/>
      <c r="R140" s="20" t="n"/>
      <c r="S140" s="20" t="n"/>
      <c r="T140" s="19" t="n"/>
      <c r="U140" s="19" t="n"/>
      <c r="V140" s="19" t="n"/>
      <c r="W140" s="19" t="n"/>
      <c r="X140" s="19" t="n"/>
      <c r="Y140" s="19" t="n"/>
      <c r="Z140" s="21">
        <f>IF(AND($A140="",$B140=""),"",IF(OR($E140="",$H140="",$H140="Proposed",$H140="Not Reported"),0,IF(AND($P140="Y",$Q140&lt;&gt;"Y"),0,IF(AND($K140="Point",N($L140)&lt;=0),0,IF(AND(N($L140)&lt;=0,N($N140)&lt;=0,N($R140)+N($S140)&lt;=0),0,1)))))</f>
        <v/>
      </c>
      <c r="AA140" s="21">
        <f>IF(AND($A140="",$B140=""),"",IF($E140="","Site type missing",IF($H140="","STATUS missing",IF($H140="Proposed","STATUS = Proposed",IF($H140="Not Reported","STATUS = Not Reported",IF(AND($P140="Y",$Q140&lt;&gt;"Y"),"UNESCO-MAB Biosphere Reserve",IF(AND($K140="Point",N($L140)&lt;=0),"Point without REP_AREA",IF(AND(N($L140)&lt;=0,N($N140)&lt;=0,N($R140)+N($S140)&lt;=0),"No area information",""))))))))</f>
        <v/>
      </c>
      <c r="AB140" s="22">
        <f>IF(AND($A140="",$B140=""),"",IF($K140="Point",N($L140),IF(N($N140)&gt;0,N($N140),N($L140))))</f>
        <v/>
      </c>
      <c r="AC140" s="22">
        <f>IF(AND($A140="",$B140=""),"",MIN(AB140,IF(N($J140)=0,0,IF(N($J140)=2,AB140,IF(AND($K140&lt;&gt;"Point",N($O140)&gt;0),N($O140),N($M140))))))</f>
        <v/>
      </c>
      <c r="AD140" s="22">
        <f>IF(AND($A140="",$B140=""),"",MAX(0,AB140-AC140))</f>
        <v/>
      </c>
      <c r="AE140" s="21">
        <f>IF(AND($A140="",$B140=""),"",IF(OR($R140&lt;&gt;"",$S140&lt;&gt;""),1,0))</f>
        <v/>
      </c>
      <c r="AF140" s="22">
        <f>IF(AND($A140="",$B140=""),"",IF(Z140=1,IF(AE140=1,N($R140),AD140),0))</f>
        <v/>
      </c>
      <c r="AG140" s="22">
        <f>IF(AND($A140="",$B140=""),"",IF(Z140=1,IF(AE140=1,N($S140),AC140),0))</f>
        <v/>
      </c>
      <c r="AH140" s="21">
        <f>IF(AND($A140="",$B140=""),"",IF(AND(ISNUMBER($I140),N($I140)&gt;0),$I140,0))</f>
        <v/>
      </c>
      <c r="AI140" s="23">
        <f>IF(AND(NOT(AND($A140="",$B140="")),$K140="Point",N($L140)&gt;0),SQRT(N($L140)/PI()),"")</f>
        <v/>
      </c>
      <c r="AJ140" s="21">
        <f>IF(AND($A140="",$B140=""),"",IFERROR(VLOOKUP($G140,Lists!$D$4:$E$15,2,FALSE),"Not reported"))</f>
        <v/>
      </c>
      <c r="AK140" s="21">
        <f>IF(AND($A140="",$B140=""),"",IF($X140&lt;&gt;"",$X140,IF($T140&lt;&gt;"Y","Not assessed",IF(AND(ISNUMBER($V140),Setup!$B$6-$V140&gt;Setup!$B$26),"Assessment outdated",IF(NOT(ISNUMBER($W140)),"Assessed – no score",IF($W140&gt;=Setup!$B$24,"High",IF($W140&gt;=Setup!$B$25,"Moderate","Low")))))))</f>
        <v/>
      </c>
      <c r="AL140" s="21">
        <f>IF(AND($A140="",$B140=""),"",IF(Z140=0,"",IF(AND(AE140=1,N($R140)&gt;AD140*1.01+0.001),"Net terrestrial &gt; gross; ","")&amp;IF(AND(AE140=1,N($S140)&gt;AC140*1.01+0.001),"Net marine &gt; gross; ","")&amp;IF(AE140=0,"No net area – gross used, overlaps may be double-counted; ","")&amp;IF(AH140=0,"STATUS_YR missing – imputed in time series; ","")&amp;IF(AND(ISNUMBER($I140),N($I140)&gt;Setup!$B$6),"STATUS_YR after reporting year; ","")&amp;IF(OR($G140="",$G140="Not Reported"),"GOV_TYPE not reported; ","")&amp;IF(AND(N($J140)=1,$K140="Point",N($M140)&lt;=0),"Coastal point without REP_M_AREA – land/sea split unknown; ","")&amp;IF(AND(N($J140)=0,N($S140)&gt;0),"MARINE=0 but net marine &gt;0; ","")&amp;IF(AND(N($J140)=2,N($R140)&gt;0),"MARINE=2 but net terrestrial &gt;0; ","")&amp;IF($K140="Point","Buffered point – coverage approximate; ","")))</f>
        <v/>
      </c>
    </row>
    <row r="141">
      <c r="A141" s="19" t="n"/>
      <c r="B141" s="19" t="n"/>
      <c r="C141" s="19" t="n"/>
      <c r="D141" s="19" t="n"/>
      <c r="E141" s="19" t="n"/>
      <c r="F141" s="19" t="n"/>
      <c r="G141" s="19" t="n"/>
      <c r="H141" s="19" t="n"/>
      <c r="I141" s="19" t="n"/>
      <c r="J141" s="19" t="n"/>
      <c r="K141" s="19" t="n"/>
      <c r="L141" s="20" t="n"/>
      <c r="M141" s="20" t="n"/>
      <c r="N141" s="20" t="n"/>
      <c r="O141" s="20" t="n"/>
      <c r="P141" s="19" t="n"/>
      <c r="Q141" s="19" t="n"/>
      <c r="R141" s="20" t="n"/>
      <c r="S141" s="20" t="n"/>
      <c r="T141" s="19" t="n"/>
      <c r="U141" s="19" t="n"/>
      <c r="V141" s="19" t="n"/>
      <c r="W141" s="19" t="n"/>
      <c r="X141" s="19" t="n"/>
      <c r="Y141" s="19" t="n"/>
      <c r="Z141" s="21">
        <f>IF(AND($A141="",$B141=""),"",IF(OR($E141="",$H141="",$H141="Proposed",$H141="Not Reported"),0,IF(AND($P141="Y",$Q141&lt;&gt;"Y"),0,IF(AND($K141="Point",N($L141)&lt;=0),0,IF(AND(N($L141)&lt;=0,N($N141)&lt;=0,N($R141)+N($S141)&lt;=0),0,1)))))</f>
        <v/>
      </c>
      <c r="AA141" s="21">
        <f>IF(AND($A141="",$B141=""),"",IF($E141="","Site type missing",IF($H141="","STATUS missing",IF($H141="Proposed","STATUS = Proposed",IF($H141="Not Reported","STATUS = Not Reported",IF(AND($P141="Y",$Q141&lt;&gt;"Y"),"UNESCO-MAB Biosphere Reserve",IF(AND($K141="Point",N($L141)&lt;=0),"Point without REP_AREA",IF(AND(N($L141)&lt;=0,N($N141)&lt;=0,N($R141)+N($S141)&lt;=0),"No area information",""))))))))</f>
        <v/>
      </c>
      <c r="AB141" s="22">
        <f>IF(AND($A141="",$B141=""),"",IF($K141="Point",N($L141),IF(N($N141)&gt;0,N($N141),N($L141))))</f>
        <v/>
      </c>
      <c r="AC141" s="22">
        <f>IF(AND($A141="",$B141=""),"",MIN(AB141,IF(N($J141)=0,0,IF(N($J141)=2,AB141,IF(AND($K141&lt;&gt;"Point",N($O141)&gt;0),N($O141),N($M141))))))</f>
        <v/>
      </c>
      <c r="AD141" s="22">
        <f>IF(AND($A141="",$B141=""),"",MAX(0,AB141-AC141))</f>
        <v/>
      </c>
      <c r="AE141" s="21">
        <f>IF(AND($A141="",$B141=""),"",IF(OR($R141&lt;&gt;"",$S141&lt;&gt;""),1,0))</f>
        <v/>
      </c>
      <c r="AF141" s="22">
        <f>IF(AND($A141="",$B141=""),"",IF(Z141=1,IF(AE141=1,N($R141),AD141),0))</f>
        <v/>
      </c>
      <c r="AG141" s="22">
        <f>IF(AND($A141="",$B141=""),"",IF(Z141=1,IF(AE141=1,N($S141),AC141),0))</f>
        <v/>
      </c>
      <c r="AH141" s="21">
        <f>IF(AND($A141="",$B141=""),"",IF(AND(ISNUMBER($I141),N($I141)&gt;0),$I141,0))</f>
        <v/>
      </c>
      <c r="AI141" s="23">
        <f>IF(AND(NOT(AND($A141="",$B141="")),$K141="Point",N($L141)&gt;0),SQRT(N($L141)/PI()),"")</f>
        <v/>
      </c>
      <c r="AJ141" s="21">
        <f>IF(AND($A141="",$B141=""),"",IFERROR(VLOOKUP($G141,Lists!$D$4:$E$15,2,FALSE),"Not reported"))</f>
        <v/>
      </c>
      <c r="AK141" s="21">
        <f>IF(AND($A141="",$B141=""),"",IF($X141&lt;&gt;"",$X141,IF($T141&lt;&gt;"Y","Not assessed",IF(AND(ISNUMBER($V141),Setup!$B$6-$V141&gt;Setup!$B$26),"Assessment outdated",IF(NOT(ISNUMBER($W141)),"Assessed – no score",IF($W141&gt;=Setup!$B$24,"High",IF($W141&gt;=Setup!$B$25,"Moderate","Low")))))))</f>
        <v/>
      </c>
      <c r="AL141" s="21">
        <f>IF(AND($A141="",$B141=""),"",IF(Z141=0,"",IF(AND(AE141=1,N($R141)&gt;AD141*1.01+0.001),"Net terrestrial &gt; gross; ","")&amp;IF(AND(AE141=1,N($S141)&gt;AC141*1.01+0.001),"Net marine &gt; gross; ","")&amp;IF(AE141=0,"No net area – gross used, overlaps may be double-counted; ","")&amp;IF(AH141=0,"STATUS_YR missing – imputed in time series; ","")&amp;IF(AND(ISNUMBER($I141),N($I141)&gt;Setup!$B$6),"STATUS_YR after reporting year; ","")&amp;IF(OR($G141="",$G141="Not Reported"),"GOV_TYPE not reported; ","")&amp;IF(AND(N($J141)=1,$K141="Point",N($M141)&lt;=0),"Coastal point without REP_M_AREA – land/sea split unknown; ","")&amp;IF(AND(N($J141)=0,N($S141)&gt;0),"MARINE=0 but net marine &gt;0; ","")&amp;IF(AND(N($J141)=2,N($R141)&gt;0),"MARINE=2 but net terrestrial &gt;0; ","")&amp;IF($K141="Point","Buffered point – coverage approximate; ","")))</f>
        <v/>
      </c>
    </row>
    <row r="142">
      <c r="A142" s="19" t="n"/>
      <c r="B142" s="19" t="n"/>
      <c r="C142" s="19" t="n"/>
      <c r="D142" s="19" t="n"/>
      <c r="E142" s="19" t="n"/>
      <c r="F142" s="19" t="n"/>
      <c r="G142" s="19" t="n"/>
      <c r="H142" s="19" t="n"/>
      <c r="I142" s="19" t="n"/>
      <c r="J142" s="19" t="n"/>
      <c r="K142" s="19" t="n"/>
      <c r="L142" s="20" t="n"/>
      <c r="M142" s="20" t="n"/>
      <c r="N142" s="20" t="n"/>
      <c r="O142" s="20" t="n"/>
      <c r="P142" s="19" t="n"/>
      <c r="Q142" s="19" t="n"/>
      <c r="R142" s="20" t="n"/>
      <c r="S142" s="20" t="n"/>
      <c r="T142" s="19" t="n"/>
      <c r="U142" s="19" t="n"/>
      <c r="V142" s="19" t="n"/>
      <c r="W142" s="19" t="n"/>
      <c r="X142" s="19" t="n"/>
      <c r="Y142" s="19" t="n"/>
      <c r="Z142" s="21">
        <f>IF(AND($A142="",$B142=""),"",IF(OR($E142="",$H142="",$H142="Proposed",$H142="Not Reported"),0,IF(AND($P142="Y",$Q142&lt;&gt;"Y"),0,IF(AND($K142="Point",N($L142)&lt;=0),0,IF(AND(N($L142)&lt;=0,N($N142)&lt;=0,N($R142)+N($S142)&lt;=0),0,1)))))</f>
        <v/>
      </c>
      <c r="AA142" s="21">
        <f>IF(AND($A142="",$B142=""),"",IF($E142="","Site type missing",IF($H142="","STATUS missing",IF($H142="Proposed","STATUS = Proposed",IF($H142="Not Reported","STATUS = Not Reported",IF(AND($P142="Y",$Q142&lt;&gt;"Y"),"UNESCO-MAB Biosphere Reserve",IF(AND($K142="Point",N($L142)&lt;=0),"Point without REP_AREA",IF(AND(N($L142)&lt;=0,N($N142)&lt;=0,N($R142)+N($S142)&lt;=0),"No area information",""))))))))</f>
        <v/>
      </c>
      <c r="AB142" s="22">
        <f>IF(AND($A142="",$B142=""),"",IF($K142="Point",N($L142),IF(N($N142)&gt;0,N($N142),N($L142))))</f>
        <v/>
      </c>
      <c r="AC142" s="22">
        <f>IF(AND($A142="",$B142=""),"",MIN(AB142,IF(N($J142)=0,0,IF(N($J142)=2,AB142,IF(AND($K142&lt;&gt;"Point",N($O142)&gt;0),N($O142),N($M142))))))</f>
        <v/>
      </c>
      <c r="AD142" s="22">
        <f>IF(AND($A142="",$B142=""),"",MAX(0,AB142-AC142))</f>
        <v/>
      </c>
      <c r="AE142" s="21">
        <f>IF(AND($A142="",$B142=""),"",IF(OR($R142&lt;&gt;"",$S142&lt;&gt;""),1,0))</f>
        <v/>
      </c>
      <c r="AF142" s="22">
        <f>IF(AND($A142="",$B142=""),"",IF(Z142=1,IF(AE142=1,N($R142),AD142),0))</f>
        <v/>
      </c>
      <c r="AG142" s="22">
        <f>IF(AND($A142="",$B142=""),"",IF(Z142=1,IF(AE142=1,N($S142),AC142),0))</f>
        <v/>
      </c>
      <c r="AH142" s="21">
        <f>IF(AND($A142="",$B142=""),"",IF(AND(ISNUMBER($I142),N($I142)&gt;0),$I142,0))</f>
        <v/>
      </c>
      <c r="AI142" s="23">
        <f>IF(AND(NOT(AND($A142="",$B142="")),$K142="Point",N($L142)&gt;0),SQRT(N($L142)/PI()),"")</f>
        <v/>
      </c>
      <c r="AJ142" s="21">
        <f>IF(AND($A142="",$B142=""),"",IFERROR(VLOOKUP($G142,Lists!$D$4:$E$15,2,FALSE),"Not reported"))</f>
        <v/>
      </c>
      <c r="AK142" s="21">
        <f>IF(AND($A142="",$B142=""),"",IF($X142&lt;&gt;"",$X142,IF($T142&lt;&gt;"Y","Not assessed",IF(AND(ISNUMBER($V142),Setup!$B$6-$V142&gt;Setup!$B$26),"Assessment outdated",IF(NOT(ISNUMBER($W142)),"Assessed – no score",IF($W142&gt;=Setup!$B$24,"High",IF($W142&gt;=Setup!$B$25,"Moderate","Low")))))))</f>
        <v/>
      </c>
      <c r="AL142" s="21">
        <f>IF(AND($A142="",$B142=""),"",IF(Z142=0,"",IF(AND(AE142=1,N($R142)&gt;AD142*1.01+0.001),"Net terrestrial &gt; gross; ","")&amp;IF(AND(AE142=1,N($S142)&gt;AC142*1.01+0.001),"Net marine &gt; gross; ","")&amp;IF(AE142=0,"No net area – gross used, overlaps may be double-counted; ","")&amp;IF(AH142=0,"STATUS_YR missing – imputed in time series; ","")&amp;IF(AND(ISNUMBER($I142),N($I142)&gt;Setup!$B$6),"STATUS_YR after reporting year; ","")&amp;IF(OR($G142="",$G142="Not Reported"),"GOV_TYPE not reported; ","")&amp;IF(AND(N($J142)=1,$K142="Point",N($M142)&lt;=0),"Coastal point without REP_M_AREA – land/sea split unknown; ","")&amp;IF(AND(N($J142)=0,N($S142)&gt;0),"MARINE=0 but net marine &gt;0; ","")&amp;IF(AND(N($J142)=2,N($R142)&gt;0),"MARINE=2 but net terrestrial &gt;0; ","")&amp;IF($K142="Point","Buffered point – coverage approximate; ","")))</f>
        <v/>
      </c>
    </row>
    <row r="143">
      <c r="A143" s="19" t="n"/>
      <c r="B143" s="19" t="n"/>
      <c r="C143" s="19" t="n"/>
      <c r="D143" s="19" t="n"/>
      <c r="E143" s="19" t="n"/>
      <c r="F143" s="19" t="n"/>
      <c r="G143" s="19" t="n"/>
      <c r="H143" s="19" t="n"/>
      <c r="I143" s="19" t="n"/>
      <c r="J143" s="19" t="n"/>
      <c r="K143" s="19" t="n"/>
      <c r="L143" s="20" t="n"/>
      <c r="M143" s="20" t="n"/>
      <c r="N143" s="20" t="n"/>
      <c r="O143" s="20" t="n"/>
      <c r="P143" s="19" t="n"/>
      <c r="Q143" s="19" t="n"/>
      <c r="R143" s="20" t="n"/>
      <c r="S143" s="20" t="n"/>
      <c r="T143" s="19" t="n"/>
      <c r="U143" s="19" t="n"/>
      <c r="V143" s="19" t="n"/>
      <c r="W143" s="19" t="n"/>
      <c r="X143" s="19" t="n"/>
      <c r="Y143" s="19" t="n"/>
      <c r="Z143" s="21">
        <f>IF(AND($A143="",$B143=""),"",IF(OR($E143="",$H143="",$H143="Proposed",$H143="Not Reported"),0,IF(AND($P143="Y",$Q143&lt;&gt;"Y"),0,IF(AND($K143="Point",N($L143)&lt;=0),0,IF(AND(N($L143)&lt;=0,N($N143)&lt;=0,N($R143)+N($S143)&lt;=0),0,1)))))</f>
        <v/>
      </c>
      <c r="AA143" s="21">
        <f>IF(AND($A143="",$B143=""),"",IF($E143="","Site type missing",IF($H143="","STATUS missing",IF($H143="Proposed","STATUS = Proposed",IF($H143="Not Reported","STATUS = Not Reported",IF(AND($P143="Y",$Q143&lt;&gt;"Y"),"UNESCO-MAB Biosphere Reserve",IF(AND($K143="Point",N($L143)&lt;=0),"Point without REP_AREA",IF(AND(N($L143)&lt;=0,N($N143)&lt;=0,N($R143)+N($S143)&lt;=0),"No area information",""))))))))</f>
        <v/>
      </c>
      <c r="AB143" s="22">
        <f>IF(AND($A143="",$B143=""),"",IF($K143="Point",N($L143),IF(N($N143)&gt;0,N($N143),N($L143))))</f>
        <v/>
      </c>
      <c r="AC143" s="22">
        <f>IF(AND($A143="",$B143=""),"",MIN(AB143,IF(N($J143)=0,0,IF(N($J143)=2,AB143,IF(AND($K143&lt;&gt;"Point",N($O143)&gt;0),N($O143),N($M143))))))</f>
        <v/>
      </c>
      <c r="AD143" s="22">
        <f>IF(AND($A143="",$B143=""),"",MAX(0,AB143-AC143))</f>
        <v/>
      </c>
      <c r="AE143" s="21">
        <f>IF(AND($A143="",$B143=""),"",IF(OR($R143&lt;&gt;"",$S143&lt;&gt;""),1,0))</f>
        <v/>
      </c>
      <c r="AF143" s="22">
        <f>IF(AND($A143="",$B143=""),"",IF(Z143=1,IF(AE143=1,N($R143),AD143),0))</f>
        <v/>
      </c>
      <c r="AG143" s="22">
        <f>IF(AND($A143="",$B143=""),"",IF(Z143=1,IF(AE143=1,N($S143),AC143),0))</f>
        <v/>
      </c>
      <c r="AH143" s="21">
        <f>IF(AND($A143="",$B143=""),"",IF(AND(ISNUMBER($I143),N($I143)&gt;0),$I143,0))</f>
        <v/>
      </c>
      <c r="AI143" s="23">
        <f>IF(AND(NOT(AND($A143="",$B143="")),$K143="Point",N($L143)&gt;0),SQRT(N($L143)/PI()),"")</f>
        <v/>
      </c>
      <c r="AJ143" s="21">
        <f>IF(AND($A143="",$B143=""),"",IFERROR(VLOOKUP($G143,Lists!$D$4:$E$15,2,FALSE),"Not reported"))</f>
        <v/>
      </c>
      <c r="AK143" s="21">
        <f>IF(AND($A143="",$B143=""),"",IF($X143&lt;&gt;"",$X143,IF($T143&lt;&gt;"Y","Not assessed",IF(AND(ISNUMBER($V143),Setup!$B$6-$V143&gt;Setup!$B$26),"Assessment outdated",IF(NOT(ISNUMBER($W143)),"Assessed – no score",IF($W143&gt;=Setup!$B$24,"High",IF($W143&gt;=Setup!$B$25,"Moderate","Low")))))))</f>
        <v/>
      </c>
      <c r="AL143" s="21">
        <f>IF(AND($A143="",$B143=""),"",IF(Z143=0,"",IF(AND(AE143=1,N($R143)&gt;AD143*1.01+0.001),"Net terrestrial &gt; gross; ","")&amp;IF(AND(AE143=1,N($S143)&gt;AC143*1.01+0.001),"Net marine &gt; gross; ","")&amp;IF(AE143=0,"No net area – gross used, overlaps may be double-counted; ","")&amp;IF(AH143=0,"STATUS_YR missing – imputed in time series; ","")&amp;IF(AND(ISNUMBER($I143),N($I143)&gt;Setup!$B$6),"STATUS_YR after reporting year; ","")&amp;IF(OR($G143="",$G143="Not Reported"),"GOV_TYPE not reported; ","")&amp;IF(AND(N($J143)=1,$K143="Point",N($M143)&lt;=0),"Coastal point without REP_M_AREA – land/sea split unknown; ","")&amp;IF(AND(N($J143)=0,N($S143)&gt;0),"MARINE=0 but net marine &gt;0; ","")&amp;IF(AND(N($J143)=2,N($R143)&gt;0),"MARINE=2 but net terrestrial &gt;0; ","")&amp;IF($K143="Point","Buffered point – coverage approximate; ","")))</f>
        <v/>
      </c>
    </row>
    <row r="144">
      <c r="A144" s="19" t="n"/>
      <c r="B144" s="19" t="n"/>
      <c r="C144" s="19" t="n"/>
      <c r="D144" s="19" t="n"/>
      <c r="E144" s="19" t="n"/>
      <c r="F144" s="19" t="n"/>
      <c r="G144" s="19" t="n"/>
      <c r="H144" s="19" t="n"/>
      <c r="I144" s="19" t="n"/>
      <c r="J144" s="19" t="n"/>
      <c r="K144" s="19" t="n"/>
      <c r="L144" s="20" t="n"/>
      <c r="M144" s="20" t="n"/>
      <c r="N144" s="20" t="n"/>
      <c r="O144" s="20" t="n"/>
      <c r="P144" s="19" t="n"/>
      <c r="Q144" s="19" t="n"/>
      <c r="R144" s="20" t="n"/>
      <c r="S144" s="20" t="n"/>
      <c r="T144" s="19" t="n"/>
      <c r="U144" s="19" t="n"/>
      <c r="V144" s="19" t="n"/>
      <c r="W144" s="19" t="n"/>
      <c r="X144" s="19" t="n"/>
      <c r="Y144" s="19" t="n"/>
      <c r="Z144" s="21">
        <f>IF(AND($A144="",$B144=""),"",IF(OR($E144="",$H144="",$H144="Proposed",$H144="Not Reported"),0,IF(AND($P144="Y",$Q144&lt;&gt;"Y"),0,IF(AND($K144="Point",N($L144)&lt;=0),0,IF(AND(N($L144)&lt;=0,N($N144)&lt;=0,N($R144)+N($S144)&lt;=0),0,1)))))</f>
        <v/>
      </c>
      <c r="AA144" s="21">
        <f>IF(AND($A144="",$B144=""),"",IF($E144="","Site type missing",IF($H144="","STATUS missing",IF($H144="Proposed","STATUS = Proposed",IF($H144="Not Reported","STATUS = Not Reported",IF(AND($P144="Y",$Q144&lt;&gt;"Y"),"UNESCO-MAB Biosphere Reserve",IF(AND($K144="Point",N($L144)&lt;=0),"Point without REP_AREA",IF(AND(N($L144)&lt;=0,N($N144)&lt;=0,N($R144)+N($S144)&lt;=0),"No area information",""))))))))</f>
        <v/>
      </c>
      <c r="AB144" s="22">
        <f>IF(AND($A144="",$B144=""),"",IF($K144="Point",N($L144),IF(N($N144)&gt;0,N($N144),N($L144))))</f>
        <v/>
      </c>
      <c r="AC144" s="22">
        <f>IF(AND($A144="",$B144=""),"",MIN(AB144,IF(N($J144)=0,0,IF(N($J144)=2,AB144,IF(AND($K144&lt;&gt;"Point",N($O144)&gt;0),N($O144),N($M144))))))</f>
        <v/>
      </c>
      <c r="AD144" s="22">
        <f>IF(AND($A144="",$B144=""),"",MAX(0,AB144-AC144))</f>
        <v/>
      </c>
      <c r="AE144" s="21">
        <f>IF(AND($A144="",$B144=""),"",IF(OR($R144&lt;&gt;"",$S144&lt;&gt;""),1,0))</f>
        <v/>
      </c>
      <c r="AF144" s="22">
        <f>IF(AND($A144="",$B144=""),"",IF(Z144=1,IF(AE144=1,N($R144),AD144),0))</f>
        <v/>
      </c>
      <c r="AG144" s="22">
        <f>IF(AND($A144="",$B144=""),"",IF(Z144=1,IF(AE144=1,N($S144),AC144),0))</f>
        <v/>
      </c>
      <c r="AH144" s="21">
        <f>IF(AND($A144="",$B144=""),"",IF(AND(ISNUMBER($I144),N($I144)&gt;0),$I144,0))</f>
        <v/>
      </c>
      <c r="AI144" s="23">
        <f>IF(AND(NOT(AND($A144="",$B144="")),$K144="Point",N($L144)&gt;0),SQRT(N($L144)/PI()),"")</f>
        <v/>
      </c>
      <c r="AJ144" s="21">
        <f>IF(AND($A144="",$B144=""),"",IFERROR(VLOOKUP($G144,Lists!$D$4:$E$15,2,FALSE),"Not reported"))</f>
        <v/>
      </c>
      <c r="AK144" s="21">
        <f>IF(AND($A144="",$B144=""),"",IF($X144&lt;&gt;"",$X144,IF($T144&lt;&gt;"Y","Not assessed",IF(AND(ISNUMBER($V144),Setup!$B$6-$V144&gt;Setup!$B$26),"Assessment outdated",IF(NOT(ISNUMBER($W144)),"Assessed – no score",IF($W144&gt;=Setup!$B$24,"High",IF($W144&gt;=Setup!$B$25,"Moderate","Low")))))))</f>
        <v/>
      </c>
      <c r="AL144" s="21">
        <f>IF(AND($A144="",$B144=""),"",IF(Z144=0,"",IF(AND(AE144=1,N($R144)&gt;AD144*1.01+0.001),"Net terrestrial &gt; gross; ","")&amp;IF(AND(AE144=1,N($S144)&gt;AC144*1.01+0.001),"Net marine &gt; gross; ","")&amp;IF(AE144=0,"No net area – gross used, overlaps may be double-counted; ","")&amp;IF(AH144=0,"STATUS_YR missing – imputed in time series; ","")&amp;IF(AND(ISNUMBER($I144),N($I144)&gt;Setup!$B$6),"STATUS_YR after reporting year; ","")&amp;IF(OR($G144="",$G144="Not Reported"),"GOV_TYPE not reported; ","")&amp;IF(AND(N($J144)=1,$K144="Point",N($M144)&lt;=0),"Coastal point without REP_M_AREA – land/sea split unknown; ","")&amp;IF(AND(N($J144)=0,N($S144)&gt;0),"MARINE=0 but net marine &gt;0; ","")&amp;IF(AND(N($J144)=2,N($R144)&gt;0),"MARINE=2 but net terrestrial &gt;0; ","")&amp;IF($K144="Point","Buffered point – coverage approximate; ","")))</f>
        <v/>
      </c>
    </row>
    <row r="145">
      <c r="A145" s="19" t="n"/>
      <c r="B145" s="19" t="n"/>
      <c r="C145" s="19" t="n"/>
      <c r="D145" s="19" t="n"/>
      <c r="E145" s="19" t="n"/>
      <c r="F145" s="19" t="n"/>
      <c r="G145" s="19" t="n"/>
      <c r="H145" s="19" t="n"/>
      <c r="I145" s="19" t="n"/>
      <c r="J145" s="19" t="n"/>
      <c r="K145" s="19" t="n"/>
      <c r="L145" s="20" t="n"/>
      <c r="M145" s="20" t="n"/>
      <c r="N145" s="20" t="n"/>
      <c r="O145" s="20" t="n"/>
      <c r="P145" s="19" t="n"/>
      <c r="Q145" s="19" t="n"/>
      <c r="R145" s="20" t="n"/>
      <c r="S145" s="20" t="n"/>
      <c r="T145" s="19" t="n"/>
      <c r="U145" s="19" t="n"/>
      <c r="V145" s="19" t="n"/>
      <c r="W145" s="19" t="n"/>
      <c r="X145" s="19" t="n"/>
      <c r="Y145" s="19" t="n"/>
      <c r="Z145" s="21">
        <f>IF(AND($A145="",$B145=""),"",IF(OR($E145="",$H145="",$H145="Proposed",$H145="Not Reported"),0,IF(AND($P145="Y",$Q145&lt;&gt;"Y"),0,IF(AND($K145="Point",N($L145)&lt;=0),0,IF(AND(N($L145)&lt;=0,N($N145)&lt;=0,N($R145)+N($S145)&lt;=0),0,1)))))</f>
        <v/>
      </c>
      <c r="AA145" s="21">
        <f>IF(AND($A145="",$B145=""),"",IF($E145="","Site type missing",IF($H145="","STATUS missing",IF($H145="Proposed","STATUS = Proposed",IF($H145="Not Reported","STATUS = Not Reported",IF(AND($P145="Y",$Q145&lt;&gt;"Y"),"UNESCO-MAB Biosphere Reserve",IF(AND($K145="Point",N($L145)&lt;=0),"Point without REP_AREA",IF(AND(N($L145)&lt;=0,N($N145)&lt;=0,N($R145)+N($S145)&lt;=0),"No area information",""))))))))</f>
        <v/>
      </c>
      <c r="AB145" s="22">
        <f>IF(AND($A145="",$B145=""),"",IF($K145="Point",N($L145),IF(N($N145)&gt;0,N($N145),N($L145))))</f>
        <v/>
      </c>
      <c r="AC145" s="22">
        <f>IF(AND($A145="",$B145=""),"",MIN(AB145,IF(N($J145)=0,0,IF(N($J145)=2,AB145,IF(AND($K145&lt;&gt;"Point",N($O145)&gt;0),N($O145),N($M145))))))</f>
        <v/>
      </c>
      <c r="AD145" s="22">
        <f>IF(AND($A145="",$B145=""),"",MAX(0,AB145-AC145))</f>
        <v/>
      </c>
      <c r="AE145" s="21">
        <f>IF(AND($A145="",$B145=""),"",IF(OR($R145&lt;&gt;"",$S145&lt;&gt;""),1,0))</f>
        <v/>
      </c>
      <c r="AF145" s="22">
        <f>IF(AND($A145="",$B145=""),"",IF(Z145=1,IF(AE145=1,N($R145),AD145),0))</f>
        <v/>
      </c>
      <c r="AG145" s="22">
        <f>IF(AND($A145="",$B145=""),"",IF(Z145=1,IF(AE145=1,N($S145),AC145),0))</f>
        <v/>
      </c>
      <c r="AH145" s="21">
        <f>IF(AND($A145="",$B145=""),"",IF(AND(ISNUMBER($I145),N($I145)&gt;0),$I145,0))</f>
        <v/>
      </c>
      <c r="AI145" s="23">
        <f>IF(AND(NOT(AND($A145="",$B145="")),$K145="Point",N($L145)&gt;0),SQRT(N($L145)/PI()),"")</f>
        <v/>
      </c>
      <c r="AJ145" s="21">
        <f>IF(AND($A145="",$B145=""),"",IFERROR(VLOOKUP($G145,Lists!$D$4:$E$15,2,FALSE),"Not reported"))</f>
        <v/>
      </c>
      <c r="AK145" s="21">
        <f>IF(AND($A145="",$B145=""),"",IF($X145&lt;&gt;"",$X145,IF($T145&lt;&gt;"Y","Not assessed",IF(AND(ISNUMBER($V145),Setup!$B$6-$V145&gt;Setup!$B$26),"Assessment outdated",IF(NOT(ISNUMBER($W145)),"Assessed – no score",IF($W145&gt;=Setup!$B$24,"High",IF($W145&gt;=Setup!$B$25,"Moderate","Low")))))))</f>
        <v/>
      </c>
      <c r="AL145" s="21">
        <f>IF(AND($A145="",$B145=""),"",IF(Z145=0,"",IF(AND(AE145=1,N($R145)&gt;AD145*1.01+0.001),"Net terrestrial &gt; gross; ","")&amp;IF(AND(AE145=1,N($S145)&gt;AC145*1.01+0.001),"Net marine &gt; gross; ","")&amp;IF(AE145=0,"No net area – gross used, overlaps may be double-counted; ","")&amp;IF(AH145=0,"STATUS_YR missing – imputed in time series; ","")&amp;IF(AND(ISNUMBER($I145),N($I145)&gt;Setup!$B$6),"STATUS_YR after reporting year; ","")&amp;IF(OR($G145="",$G145="Not Reported"),"GOV_TYPE not reported; ","")&amp;IF(AND(N($J145)=1,$K145="Point",N($M145)&lt;=0),"Coastal point without REP_M_AREA – land/sea split unknown; ","")&amp;IF(AND(N($J145)=0,N($S145)&gt;0),"MARINE=0 but net marine &gt;0; ","")&amp;IF(AND(N($J145)=2,N($R145)&gt;0),"MARINE=2 but net terrestrial &gt;0; ","")&amp;IF($K145="Point","Buffered point – coverage approximate; ","")))</f>
        <v/>
      </c>
    </row>
    <row r="146">
      <c r="A146" s="19" t="n"/>
      <c r="B146" s="19" t="n"/>
      <c r="C146" s="19" t="n"/>
      <c r="D146" s="19" t="n"/>
      <c r="E146" s="19" t="n"/>
      <c r="F146" s="19" t="n"/>
      <c r="G146" s="19" t="n"/>
      <c r="H146" s="19" t="n"/>
      <c r="I146" s="19" t="n"/>
      <c r="J146" s="19" t="n"/>
      <c r="K146" s="19" t="n"/>
      <c r="L146" s="20" t="n"/>
      <c r="M146" s="20" t="n"/>
      <c r="N146" s="20" t="n"/>
      <c r="O146" s="20" t="n"/>
      <c r="P146" s="19" t="n"/>
      <c r="Q146" s="19" t="n"/>
      <c r="R146" s="20" t="n"/>
      <c r="S146" s="20" t="n"/>
      <c r="T146" s="19" t="n"/>
      <c r="U146" s="19" t="n"/>
      <c r="V146" s="19" t="n"/>
      <c r="W146" s="19" t="n"/>
      <c r="X146" s="19" t="n"/>
      <c r="Y146" s="19" t="n"/>
      <c r="Z146" s="21">
        <f>IF(AND($A146="",$B146=""),"",IF(OR($E146="",$H146="",$H146="Proposed",$H146="Not Reported"),0,IF(AND($P146="Y",$Q146&lt;&gt;"Y"),0,IF(AND($K146="Point",N($L146)&lt;=0),0,IF(AND(N($L146)&lt;=0,N($N146)&lt;=0,N($R146)+N($S146)&lt;=0),0,1)))))</f>
        <v/>
      </c>
      <c r="AA146" s="21">
        <f>IF(AND($A146="",$B146=""),"",IF($E146="","Site type missing",IF($H146="","STATUS missing",IF($H146="Proposed","STATUS = Proposed",IF($H146="Not Reported","STATUS = Not Reported",IF(AND($P146="Y",$Q146&lt;&gt;"Y"),"UNESCO-MAB Biosphere Reserve",IF(AND($K146="Point",N($L146)&lt;=0),"Point without REP_AREA",IF(AND(N($L146)&lt;=0,N($N146)&lt;=0,N($R146)+N($S146)&lt;=0),"No area information",""))))))))</f>
        <v/>
      </c>
      <c r="AB146" s="22">
        <f>IF(AND($A146="",$B146=""),"",IF($K146="Point",N($L146),IF(N($N146)&gt;0,N($N146),N($L146))))</f>
        <v/>
      </c>
      <c r="AC146" s="22">
        <f>IF(AND($A146="",$B146=""),"",MIN(AB146,IF(N($J146)=0,0,IF(N($J146)=2,AB146,IF(AND($K146&lt;&gt;"Point",N($O146)&gt;0),N($O146),N($M146))))))</f>
        <v/>
      </c>
      <c r="AD146" s="22">
        <f>IF(AND($A146="",$B146=""),"",MAX(0,AB146-AC146))</f>
        <v/>
      </c>
      <c r="AE146" s="21">
        <f>IF(AND($A146="",$B146=""),"",IF(OR($R146&lt;&gt;"",$S146&lt;&gt;""),1,0))</f>
        <v/>
      </c>
      <c r="AF146" s="22">
        <f>IF(AND($A146="",$B146=""),"",IF(Z146=1,IF(AE146=1,N($R146),AD146),0))</f>
        <v/>
      </c>
      <c r="AG146" s="22">
        <f>IF(AND($A146="",$B146=""),"",IF(Z146=1,IF(AE146=1,N($S146),AC146),0))</f>
        <v/>
      </c>
      <c r="AH146" s="21">
        <f>IF(AND($A146="",$B146=""),"",IF(AND(ISNUMBER($I146),N($I146)&gt;0),$I146,0))</f>
        <v/>
      </c>
      <c r="AI146" s="23">
        <f>IF(AND(NOT(AND($A146="",$B146="")),$K146="Point",N($L146)&gt;0),SQRT(N($L146)/PI()),"")</f>
        <v/>
      </c>
      <c r="AJ146" s="21">
        <f>IF(AND($A146="",$B146=""),"",IFERROR(VLOOKUP($G146,Lists!$D$4:$E$15,2,FALSE),"Not reported"))</f>
        <v/>
      </c>
      <c r="AK146" s="21">
        <f>IF(AND($A146="",$B146=""),"",IF($X146&lt;&gt;"",$X146,IF($T146&lt;&gt;"Y","Not assessed",IF(AND(ISNUMBER($V146),Setup!$B$6-$V146&gt;Setup!$B$26),"Assessment outdated",IF(NOT(ISNUMBER($W146)),"Assessed – no score",IF($W146&gt;=Setup!$B$24,"High",IF($W146&gt;=Setup!$B$25,"Moderate","Low")))))))</f>
        <v/>
      </c>
      <c r="AL146" s="21">
        <f>IF(AND($A146="",$B146=""),"",IF(Z146=0,"",IF(AND(AE146=1,N($R146)&gt;AD146*1.01+0.001),"Net terrestrial &gt; gross; ","")&amp;IF(AND(AE146=1,N($S146)&gt;AC146*1.01+0.001),"Net marine &gt; gross; ","")&amp;IF(AE146=0,"No net area – gross used, overlaps may be double-counted; ","")&amp;IF(AH146=0,"STATUS_YR missing – imputed in time series; ","")&amp;IF(AND(ISNUMBER($I146),N($I146)&gt;Setup!$B$6),"STATUS_YR after reporting year; ","")&amp;IF(OR($G146="",$G146="Not Reported"),"GOV_TYPE not reported; ","")&amp;IF(AND(N($J146)=1,$K146="Point",N($M146)&lt;=0),"Coastal point without REP_M_AREA – land/sea split unknown; ","")&amp;IF(AND(N($J146)=0,N($S146)&gt;0),"MARINE=0 but net marine &gt;0; ","")&amp;IF(AND(N($J146)=2,N($R146)&gt;0),"MARINE=2 but net terrestrial &gt;0; ","")&amp;IF($K146="Point","Buffered point – coverage approximate; ","")))</f>
        <v/>
      </c>
    </row>
    <row r="147">
      <c r="A147" s="19" t="n"/>
      <c r="B147" s="19" t="n"/>
      <c r="C147" s="19" t="n"/>
      <c r="D147" s="19" t="n"/>
      <c r="E147" s="19" t="n"/>
      <c r="F147" s="19" t="n"/>
      <c r="G147" s="19" t="n"/>
      <c r="H147" s="19" t="n"/>
      <c r="I147" s="19" t="n"/>
      <c r="J147" s="19" t="n"/>
      <c r="K147" s="19" t="n"/>
      <c r="L147" s="20" t="n"/>
      <c r="M147" s="20" t="n"/>
      <c r="N147" s="20" t="n"/>
      <c r="O147" s="20" t="n"/>
      <c r="P147" s="19" t="n"/>
      <c r="Q147" s="19" t="n"/>
      <c r="R147" s="20" t="n"/>
      <c r="S147" s="20" t="n"/>
      <c r="T147" s="19" t="n"/>
      <c r="U147" s="19" t="n"/>
      <c r="V147" s="19" t="n"/>
      <c r="W147" s="19" t="n"/>
      <c r="X147" s="19" t="n"/>
      <c r="Y147" s="19" t="n"/>
      <c r="Z147" s="21">
        <f>IF(AND($A147="",$B147=""),"",IF(OR($E147="",$H147="",$H147="Proposed",$H147="Not Reported"),0,IF(AND($P147="Y",$Q147&lt;&gt;"Y"),0,IF(AND($K147="Point",N($L147)&lt;=0),0,IF(AND(N($L147)&lt;=0,N($N147)&lt;=0,N($R147)+N($S147)&lt;=0),0,1)))))</f>
        <v/>
      </c>
      <c r="AA147" s="21">
        <f>IF(AND($A147="",$B147=""),"",IF($E147="","Site type missing",IF($H147="","STATUS missing",IF($H147="Proposed","STATUS = Proposed",IF($H147="Not Reported","STATUS = Not Reported",IF(AND($P147="Y",$Q147&lt;&gt;"Y"),"UNESCO-MAB Biosphere Reserve",IF(AND($K147="Point",N($L147)&lt;=0),"Point without REP_AREA",IF(AND(N($L147)&lt;=0,N($N147)&lt;=0,N($R147)+N($S147)&lt;=0),"No area information",""))))))))</f>
        <v/>
      </c>
      <c r="AB147" s="22">
        <f>IF(AND($A147="",$B147=""),"",IF($K147="Point",N($L147),IF(N($N147)&gt;0,N($N147),N($L147))))</f>
        <v/>
      </c>
      <c r="AC147" s="22">
        <f>IF(AND($A147="",$B147=""),"",MIN(AB147,IF(N($J147)=0,0,IF(N($J147)=2,AB147,IF(AND($K147&lt;&gt;"Point",N($O147)&gt;0),N($O147),N($M147))))))</f>
        <v/>
      </c>
      <c r="AD147" s="22">
        <f>IF(AND($A147="",$B147=""),"",MAX(0,AB147-AC147))</f>
        <v/>
      </c>
      <c r="AE147" s="21">
        <f>IF(AND($A147="",$B147=""),"",IF(OR($R147&lt;&gt;"",$S147&lt;&gt;""),1,0))</f>
        <v/>
      </c>
      <c r="AF147" s="22">
        <f>IF(AND($A147="",$B147=""),"",IF(Z147=1,IF(AE147=1,N($R147),AD147),0))</f>
        <v/>
      </c>
      <c r="AG147" s="22">
        <f>IF(AND($A147="",$B147=""),"",IF(Z147=1,IF(AE147=1,N($S147),AC147),0))</f>
        <v/>
      </c>
      <c r="AH147" s="21">
        <f>IF(AND($A147="",$B147=""),"",IF(AND(ISNUMBER($I147),N($I147)&gt;0),$I147,0))</f>
        <v/>
      </c>
      <c r="AI147" s="23">
        <f>IF(AND(NOT(AND($A147="",$B147="")),$K147="Point",N($L147)&gt;0),SQRT(N($L147)/PI()),"")</f>
        <v/>
      </c>
      <c r="AJ147" s="21">
        <f>IF(AND($A147="",$B147=""),"",IFERROR(VLOOKUP($G147,Lists!$D$4:$E$15,2,FALSE),"Not reported"))</f>
        <v/>
      </c>
      <c r="AK147" s="21">
        <f>IF(AND($A147="",$B147=""),"",IF($X147&lt;&gt;"",$X147,IF($T147&lt;&gt;"Y","Not assessed",IF(AND(ISNUMBER($V147),Setup!$B$6-$V147&gt;Setup!$B$26),"Assessment outdated",IF(NOT(ISNUMBER($W147)),"Assessed – no score",IF($W147&gt;=Setup!$B$24,"High",IF($W147&gt;=Setup!$B$25,"Moderate","Low")))))))</f>
        <v/>
      </c>
      <c r="AL147" s="21">
        <f>IF(AND($A147="",$B147=""),"",IF(Z147=0,"",IF(AND(AE147=1,N($R147)&gt;AD147*1.01+0.001),"Net terrestrial &gt; gross; ","")&amp;IF(AND(AE147=1,N($S147)&gt;AC147*1.01+0.001),"Net marine &gt; gross; ","")&amp;IF(AE147=0,"No net area – gross used, overlaps may be double-counted; ","")&amp;IF(AH147=0,"STATUS_YR missing – imputed in time series; ","")&amp;IF(AND(ISNUMBER($I147),N($I147)&gt;Setup!$B$6),"STATUS_YR after reporting year; ","")&amp;IF(OR($G147="",$G147="Not Reported"),"GOV_TYPE not reported; ","")&amp;IF(AND(N($J147)=1,$K147="Point",N($M147)&lt;=0),"Coastal point without REP_M_AREA – land/sea split unknown; ","")&amp;IF(AND(N($J147)=0,N($S147)&gt;0),"MARINE=0 but net marine &gt;0; ","")&amp;IF(AND(N($J147)=2,N($R147)&gt;0),"MARINE=2 but net terrestrial &gt;0; ","")&amp;IF($K147="Point","Buffered point – coverage approximate; ","")))</f>
        <v/>
      </c>
    </row>
    <row r="148">
      <c r="A148" s="19" t="n"/>
      <c r="B148" s="19" t="n"/>
      <c r="C148" s="19" t="n"/>
      <c r="D148" s="19" t="n"/>
      <c r="E148" s="19" t="n"/>
      <c r="F148" s="19" t="n"/>
      <c r="G148" s="19" t="n"/>
      <c r="H148" s="19" t="n"/>
      <c r="I148" s="19" t="n"/>
      <c r="J148" s="19" t="n"/>
      <c r="K148" s="19" t="n"/>
      <c r="L148" s="20" t="n"/>
      <c r="M148" s="20" t="n"/>
      <c r="N148" s="20" t="n"/>
      <c r="O148" s="20" t="n"/>
      <c r="P148" s="19" t="n"/>
      <c r="Q148" s="19" t="n"/>
      <c r="R148" s="20" t="n"/>
      <c r="S148" s="20" t="n"/>
      <c r="T148" s="19" t="n"/>
      <c r="U148" s="19" t="n"/>
      <c r="V148" s="19" t="n"/>
      <c r="W148" s="19" t="n"/>
      <c r="X148" s="19" t="n"/>
      <c r="Y148" s="19" t="n"/>
      <c r="Z148" s="21">
        <f>IF(AND($A148="",$B148=""),"",IF(OR($E148="",$H148="",$H148="Proposed",$H148="Not Reported"),0,IF(AND($P148="Y",$Q148&lt;&gt;"Y"),0,IF(AND($K148="Point",N($L148)&lt;=0),0,IF(AND(N($L148)&lt;=0,N($N148)&lt;=0,N($R148)+N($S148)&lt;=0),0,1)))))</f>
        <v/>
      </c>
      <c r="AA148" s="21">
        <f>IF(AND($A148="",$B148=""),"",IF($E148="","Site type missing",IF($H148="","STATUS missing",IF($H148="Proposed","STATUS = Proposed",IF($H148="Not Reported","STATUS = Not Reported",IF(AND($P148="Y",$Q148&lt;&gt;"Y"),"UNESCO-MAB Biosphere Reserve",IF(AND($K148="Point",N($L148)&lt;=0),"Point without REP_AREA",IF(AND(N($L148)&lt;=0,N($N148)&lt;=0,N($R148)+N($S148)&lt;=0),"No area information",""))))))))</f>
        <v/>
      </c>
      <c r="AB148" s="22">
        <f>IF(AND($A148="",$B148=""),"",IF($K148="Point",N($L148),IF(N($N148)&gt;0,N($N148),N($L148))))</f>
        <v/>
      </c>
      <c r="AC148" s="22">
        <f>IF(AND($A148="",$B148=""),"",MIN(AB148,IF(N($J148)=0,0,IF(N($J148)=2,AB148,IF(AND($K148&lt;&gt;"Point",N($O148)&gt;0),N($O148),N($M148))))))</f>
        <v/>
      </c>
      <c r="AD148" s="22">
        <f>IF(AND($A148="",$B148=""),"",MAX(0,AB148-AC148))</f>
        <v/>
      </c>
      <c r="AE148" s="21">
        <f>IF(AND($A148="",$B148=""),"",IF(OR($R148&lt;&gt;"",$S148&lt;&gt;""),1,0))</f>
        <v/>
      </c>
      <c r="AF148" s="22">
        <f>IF(AND($A148="",$B148=""),"",IF(Z148=1,IF(AE148=1,N($R148),AD148),0))</f>
        <v/>
      </c>
      <c r="AG148" s="22">
        <f>IF(AND($A148="",$B148=""),"",IF(Z148=1,IF(AE148=1,N($S148),AC148),0))</f>
        <v/>
      </c>
      <c r="AH148" s="21">
        <f>IF(AND($A148="",$B148=""),"",IF(AND(ISNUMBER($I148),N($I148)&gt;0),$I148,0))</f>
        <v/>
      </c>
      <c r="AI148" s="23">
        <f>IF(AND(NOT(AND($A148="",$B148="")),$K148="Point",N($L148)&gt;0),SQRT(N($L148)/PI()),"")</f>
        <v/>
      </c>
      <c r="AJ148" s="21">
        <f>IF(AND($A148="",$B148=""),"",IFERROR(VLOOKUP($G148,Lists!$D$4:$E$15,2,FALSE),"Not reported"))</f>
        <v/>
      </c>
      <c r="AK148" s="21">
        <f>IF(AND($A148="",$B148=""),"",IF($X148&lt;&gt;"",$X148,IF($T148&lt;&gt;"Y","Not assessed",IF(AND(ISNUMBER($V148),Setup!$B$6-$V148&gt;Setup!$B$26),"Assessment outdated",IF(NOT(ISNUMBER($W148)),"Assessed – no score",IF($W148&gt;=Setup!$B$24,"High",IF($W148&gt;=Setup!$B$25,"Moderate","Low")))))))</f>
        <v/>
      </c>
      <c r="AL148" s="21">
        <f>IF(AND($A148="",$B148=""),"",IF(Z148=0,"",IF(AND(AE148=1,N($R148)&gt;AD148*1.01+0.001),"Net terrestrial &gt; gross; ","")&amp;IF(AND(AE148=1,N($S148)&gt;AC148*1.01+0.001),"Net marine &gt; gross; ","")&amp;IF(AE148=0,"No net area – gross used, overlaps may be double-counted; ","")&amp;IF(AH148=0,"STATUS_YR missing – imputed in time series; ","")&amp;IF(AND(ISNUMBER($I148),N($I148)&gt;Setup!$B$6),"STATUS_YR after reporting year; ","")&amp;IF(OR($G148="",$G148="Not Reported"),"GOV_TYPE not reported; ","")&amp;IF(AND(N($J148)=1,$K148="Point",N($M148)&lt;=0),"Coastal point without REP_M_AREA – land/sea split unknown; ","")&amp;IF(AND(N($J148)=0,N($S148)&gt;0),"MARINE=0 but net marine &gt;0; ","")&amp;IF(AND(N($J148)=2,N($R148)&gt;0),"MARINE=2 but net terrestrial &gt;0; ","")&amp;IF($K148="Point","Buffered point – coverage approximate; ","")))</f>
        <v/>
      </c>
    </row>
    <row r="149">
      <c r="A149" s="19" t="n"/>
      <c r="B149" s="19" t="n"/>
      <c r="C149" s="19" t="n"/>
      <c r="D149" s="19" t="n"/>
      <c r="E149" s="19" t="n"/>
      <c r="F149" s="19" t="n"/>
      <c r="G149" s="19" t="n"/>
      <c r="H149" s="19" t="n"/>
      <c r="I149" s="19" t="n"/>
      <c r="J149" s="19" t="n"/>
      <c r="K149" s="19" t="n"/>
      <c r="L149" s="20" t="n"/>
      <c r="M149" s="20" t="n"/>
      <c r="N149" s="20" t="n"/>
      <c r="O149" s="20" t="n"/>
      <c r="P149" s="19" t="n"/>
      <c r="Q149" s="19" t="n"/>
      <c r="R149" s="20" t="n"/>
      <c r="S149" s="20" t="n"/>
      <c r="T149" s="19" t="n"/>
      <c r="U149" s="19" t="n"/>
      <c r="V149" s="19" t="n"/>
      <c r="W149" s="19" t="n"/>
      <c r="X149" s="19" t="n"/>
      <c r="Y149" s="19" t="n"/>
      <c r="Z149" s="21">
        <f>IF(AND($A149="",$B149=""),"",IF(OR($E149="",$H149="",$H149="Proposed",$H149="Not Reported"),0,IF(AND($P149="Y",$Q149&lt;&gt;"Y"),0,IF(AND($K149="Point",N($L149)&lt;=0),0,IF(AND(N($L149)&lt;=0,N($N149)&lt;=0,N($R149)+N($S149)&lt;=0),0,1)))))</f>
        <v/>
      </c>
      <c r="AA149" s="21">
        <f>IF(AND($A149="",$B149=""),"",IF($E149="","Site type missing",IF($H149="","STATUS missing",IF($H149="Proposed","STATUS = Proposed",IF($H149="Not Reported","STATUS = Not Reported",IF(AND($P149="Y",$Q149&lt;&gt;"Y"),"UNESCO-MAB Biosphere Reserve",IF(AND($K149="Point",N($L149)&lt;=0),"Point without REP_AREA",IF(AND(N($L149)&lt;=0,N($N149)&lt;=0,N($R149)+N($S149)&lt;=0),"No area information",""))))))))</f>
        <v/>
      </c>
      <c r="AB149" s="22">
        <f>IF(AND($A149="",$B149=""),"",IF($K149="Point",N($L149),IF(N($N149)&gt;0,N($N149),N($L149))))</f>
        <v/>
      </c>
      <c r="AC149" s="22">
        <f>IF(AND($A149="",$B149=""),"",MIN(AB149,IF(N($J149)=0,0,IF(N($J149)=2,AB149,IF(AND($K149&lt;&gt;"Point",N($O149)&gt;0),N($O149),N($M149))))))</f>
        <v/>
      </c>
      <c r="AD149" s="22">
        <f>IF(AND($A149="",$B149=""),"",MAX(0,AB149-AC149))</f>
        <v/>
      </c>
      <c r="AE149" s="21">
        <f>IF(AND($A149="",$B149=""),"",IF(OR($R149&lt;&gt;"",$S149&lt;&gt;""),1,0))</f>
        <v/>
      </c>
      <c r="AF149" s="22">
        <f>IF(AND($A149="",$B149=""),"",IF(Z149=1,IF(AE149=1,N($R149),AD149),0))</f>
        <v/>
      </c>
      <c r="AG149" s="22">
        <f>IF(AND($A149="",$B149=""),"",IF(Z149=1,IF(AE149=1,N($S149),AC149),0))</f>
        <v/>
      </c>
      <c r="AH149" s="21">
        <f>IF(AND($A149="",$B149=""),"",IF(AND(ISNUMBER($I149),N($I149)&gt;0),$I149,0))</f>
        <v/>
      </c>
      <c r="AI149" s="23">
        <f>IF(AND(NOT(AND($A149="",$B149="")),$K149="Point",N($L149)&gt;0),SQRT(N($L149)/PI()),"")</f>
        <v/>
      </c>
      <c r="AJ149" s="21">
        <f>IF(AND($A149="",$B149=""),"",IFERROR(VLOOKUP($G149,Lists!$D$4:$E$15,2,FALSE),"Not reported"))</f>
        <v/>
      </c>
      <c r="AK149" s="21">
        <f>IF(AND($A149="",$B149=""),"",IF($X149&lt;&gt;"",$X149,IF($T149&lt;&gt;"Y","Not assessed",IF(AND(ISNUMBER($V149),Setup!$B$6-$V149&gt;Setup!$B$26),"Assessment outdated",IF(NOT(ISNUMBER($W149)),"Assessed – no score",IF($W149&gt;=Setup!$B$24,"High",IF($W149&gt;=Setup!$B$25,"Moderate","Low")))))))</f>
        <v/>
      </c>
      <c r="AL149" s="21">
        <f>IF(AND($A149="",$B149=""),"",IF(Z149=0,"",IF(AND(AE149=1,N($R149)&gt;AD149*1.01+0.001),"Net terrestrial &gt; gross; ","")&amp;IF(AND(AE149=1,N($S149)&gt;AC149*1.01+0.001),"Net marine &gt; gross; ","")&amp;IF(AE149=0,"No net area – gross used, overlaps may be double-counted; ","")&amp;IF(AH149=0,"STATUS_YR missing – imputed in time series; ","")&amp;IF(AND(ISNUMBER($I149),N($I149)&gt;Setup!$B$6),"STATUS_YR after reporting year; ","")&amp;IF(OR($G149="",$G149="Not Reported"),"GOV_TYPE not reported; ","")&amp;IF(AND(N($J149)=1,$K149="Point",N($M149)&lt;=0),"Coastal point without REP_M_AREA – land/sea split unknown; ","")&amp;IF(AND(N($J149)=0,N($S149)&gt;0),"MARINE=0 but net marine &gt;0; ","")&amp;IF(AND(N($J149)=2,N($R149)&gt;0),"MARINE=2 but net terrestrial &gt;0; ","")&amp;IF($K149="Point","Buffered point – coverage approximate; ","")))</f>
        <v/>
      </c>
    </row>
    <row r="150">
      <c r="A150" s="19" t="n"/>
      <c r="B150" s="19" t="n"/>
      <c r="C150" s="19" t="n"/>
      <c r="D150" s="19" t="n"/>
      <c r="E150" s="19" t="n"/>
      <c r="F150" s="19" t="n"/>
      <c r="G150" s="19" t="n"/>
      <c r="H150" s="19" t="n"/>
      <c r="I150" s="19" t="n"/>
      <c r="J150" s="19" t="n"/>
      <c r="K150" s="19" t="n"/>
      <c r="L150" s="20" t="n"/>
      <c r="M150" s="20" t="n"/>
      <c r="N150" s="20" t="n"/>
      <c r="O150" s="20" t="n"/>
      <c r="P150" s="19" t="n"/>
      <c r="Q150" s="19" t="n"/>
      <c r="R150" s="20" t="n"/>
      <c r="S150" s="20" t="n"/>
      <c r="T150" s="19" t="n"/>
      <c r="U150" s="19" t="n"/>
      <c r="V150" s="19" t="n"/>
      <c r="W150" s="19" t="n"/>
      <c r="X150" s="19" t="n"/>
      <c r="Y150" s="19" t="n"/>
      <c r="Z150" s="21">
        <f>IF(AND($A150="",$B150=""),"",IF(OR($E150="",$H150="",$H150="Proposed",$H150="Not Reported"),0,IF(AND($P150="Y",$Q150&lt;&gt;"Y"),0,IF(AND($K150="Point",N($L150)&lt;=0),0,IF(AND(N($L150)&lt;=0,N($N150)&lt;=0,N($R150)+N($S150)&lt;=0),0,1)))))</f>
        <v/>
      </c>
      <c r="AA150" s="21">
        <f>IF(AND($A150="",$B150=""),"",IF($E150="","Site type missing",IF($H150="","STATUS missing",IF($H150="Proposed","STATUS = Proposed",IF($H150="Not Reported","STATUS = Not Reported",IF(AND($P150="Y",$Q150&lt;&gt;"Y"),"UNESCO-MAB Biosphere Reserve",IF(AND($K150="Point",N($L150)&lt;=0),"Point without REP_AREA",IF(AND(N($L150)&lt;=0,N($N150)&lt;=0,N($R150)+N($S150)&lt;=0),"No area information",""))))))))</f>
        <v/>
      </c>
      <c r="AB150" s="22">
        <f>IF(AND($A150="",$B150=""),"",IF($K150="Point",N($L150),IF(N($N150)&gt;0,N($N150),N($L150))))</f>
        <v/>
      </c>
      <c r="AC150" s="22">
        <f>IF(AND($A150="",$B150=""),"",MIN(AB150,IF(N($J150)=0,0,IF(N($J150)=2,AB150,IF(AND($K150&lt;&gt;"Point",N($O150)&gt;0),N($O150),N($M150))))))</f>
        <v/>
      </c>
      <c r="AD150" s="22">
        <f>IF(AND($A150="",$B150=""),"",MAX(0,AB150-AC150))</f>
        <v/>
      </c>
      <c r="AE150" s="21">
        <f>IF(AND($A150="",$B150=""),"",IF(OR($R150&lt;&gt;"",$S150&lt;&gt;""),1,0))</f>
        <v/>
      </c>
      <c r="AF150" s="22">
        <f>IF(AND($A150="",$B150=""),"",IF(Z150=1,IF(AE150=1,N($R150),AD150),0))</f>
        <v/>
      </c>
      <c r="AG150" s="22">
        <f>IF(AND($A150="",$B150=""),"",IF(Z150=1,IF(AE150=1,N($S150),AC150),0))</f>
        <v/>
      </c>
      <c r="AH150" s="21">
        <f>IF(AND($A150="",$B150=""),"",IF(AND(ISNUMBER($I150),N($I150)&gt;0),$I150,0))</f>
        <v/>
      </c>
      <c r="AI150" s="23">
        <f>IF(AND(NOT(AND($A150="",$B150="")),$K150="Point",N($L150)&gt;0),SQRT(N($L150)/PI()),"")</f>
        <v/>
      </c>
      <c r="AJ150" s="21">
        <f>IF(AND($A150="",$B150=""),"",IFERROR(VLOOKUP($G150,Lists!$D$4:$E$15,2,FALSE),"Not reported"))</f>
        <v/>
      </c>
      <c r="AK150" s="21">
        <f>IF(AND($A150="",$B150=""),"",IF($X150&lt;&gt;"",$X150,IF($T150&lt;&gt;"Y","Not assessed",IF(AND(ISNUMBER($V150),Setup!$B$6-$V150&gt;Setup!$B$26),"Assessment outdated",IF(NOT(ISNUMBER($W150)),"Assessed – no score",IF($W150&gt;=Setup!$B$24,"High",IF($W150&gt;=Setup!$B$25,"Moderate","Low")))))))</f>
        <v/>
      </c>
      <c r="AL150" s="21">
        <f>IF(AND($A150="",$B150=""),"",IF(Z150=0,"",IF(AND(AE150=1,N($R150)&gt;AD150*1.01+0.001),"Net terrestrial &gt; gross; ","")&amp;IF(AND(AE150=1,N($S150)&gt;AC150*1.01+0.001),"Net marine &gt; gross; ","")&amp;IF(AE150=0,"No net area – gross used, overlaps may be double-counted; ","")&amp;IF(AH150=0,"STATUS_YR missing – imputed in time series; ","")&amp;IF(AND(ISNUMBER($I150),N($I150)&gt;Setup!$B$6),"STATUS_YR after reporting year; ","")&amp;IF(OR($G150="",$G150="Not Reported"),"GOV_TYPE not reported; ","")&amp;IF(AND(N($J150)=1,$K150="Point",N($M150)&lt;=0),"Coastal point without REP_M_AREA – land/sea split unknown; ","")&amp;IF(AND(N($J150)=0,N($S150)&gt;0),"MARINE=0 but net marine &gt;0; ","")&amp;IF(AND(N($J150)=2,N($R150)&gt;0),"MARINE=2 but net terrestrial &gt;0; ","")&amp;IF($K150="Point","Buffered point – coverage approximate; ","")))</f>
        <v/>
      </c>
    </row>
    <row r="151">
      <c r="A151" s="19" t="n"/>
      <c r="B151" s="19" t="n"/>
      <c r="C151" s="19" t="n"/>
      <c r="D151" s="19" t="n"/>
      <c r="E151" s="19" t="n"/>
      <c r="F151" s="19" t="n"/>
      <c r="G151" s="19" t="n"/>
      <c r="H151" s="19" t="n"/>
      <c r="I151" s="19" t="n"/>
      <c r="J151" s="19" t="n"/>
      <c r="K151" s="19" t="n"/>
      <c r="L151" s="20" t="n"/>
      <c r="M151" s="20" t="n"/>
      <c r="N151" s="20" t="n"/>
      <c r="O151" s="20" t="n"/>
      <c r="P151" s="19" t="n"/>
      <c r="Q151" s="19" t="n"/>
      <c r="R151" s="20" t="n"/>
      <c r="S151" s="20" t="n"/>
      <c r="T151" s="19" t="n"/>
      <c r="U151" s="19" t="n"/>
      <c r="V151" s="19" t="n"/>
      <c r="W151" s="19" t="n"/>
      <c r="X151" s="19" t="n"/>
      <c r="Y151" s="19" t="n"/>
      <c r="Z151" s="21">
        <f>IF(AND($A151="",$B151=""),"",IF(OR($E151="",$H151="",$H151="Proposed",$H151="Not Reported"),0,IF(AND($P151="Y",$Q151&lt;&gt;"Y"),0,IF(AND($K151="Point",N($L151)&lt;=0),0,IF(AND(N($L151)&lt;=0,N($N151)&lt;=0,N($R151)+N($S151)&lt;=0),0,1)))))</f>
        <v/>
      </c>
      <c r="AA151" s="21">
        <f>IF(AND($A151="",$B151=""),"",IF($E151="","Site type missing",IF($H151="","STATUS missing",IF($H151="Proposed","STATUS = Proposed",IF($H151="Not Reported","STATUS = Not Reported",IF(AND($P151="Y",$Q151&lt;&gt;"Y"),"UNESCO-MAB Biosphere Reserve",IF(AND($K151="Point",N($L151)&lt;=0),"Point without REP_AREA",IF(AND(N($L151)&lt;=0,N($N151)&lt;=0,N($R151)+N($S151)&lt;=0),"No area information",""))))))))</f>
        <v/>
      </c>
      <c r="AB151" s="22">
        <f>IF(AND($A151="",$B151=""),"",IF($K151="Point",N($L151),IF(N($N151)&gt;0,N($N151),N($L151))))</f>
        <v/>
      </c>
      <c r="AC151" s="22">
        <f>IF(AND($A151="",$B151=""),"",MIN(AB151,IF(N($J151)=0,0,IF(N($J151)=2,AB151,IF(AND($K151&lt;&gt;"Point",N($O151)&gt;0),N($O151),N($M151))))))</f>
        <v/>
      </c>
      <c r="AD151" s="22">
        <f>IF(AND($A151="",$B151=""),"",MAX(0,AB151-AC151))</f>
        <v/>
      </c>
      <c r="AE151" s="21">
        <f>IF(AND($A151="",$B151=""),"",IF(OR($R151&lt;&gt;"",$S151&lt;&gt;""),1,0))</f>
        <v/>
      </c>
      <c r="AF151" s="22">
        <f>IF(AND($A151="",$B151=""),"",IF(Z151=1,IF(AE151=1,N($R151),AD151),0))</f>
        <v/>
      </c>
      <c r="AG151" s="22">
        <f>IF(AND($A151="",$B151=""),"",IF(Z151=1,IF(AE151=1,N($S151),AC151),0))</f>
        <v/>
      </c>
      <c r="AH151" s="21">
        <f>IF(AND($A151="",$B151=""),"",IF(AND(ISNUMBER($I151),N($I151)&gt;0),$I151,0))</f>
        <v/>
      </c>
      <c r="AI151" s="23">
        <f>IF(AND(NOT(AND($A151="",$B151="")),$K151="Point",N($L151)&gt;0),SQRT(N($L151)/PI()),"")</f>
        <v/>
      </c>
      <c r="AJ151" s="21">
        <f>IF(AND($A151="",$B151=""),"",IFERROR(VLOOKUP($G151,Lists!$D$4:$E$15,2,FALSE),"Not reported"))</f>
        <v/>
      </c>
      <c r="AK151" s="21">
        <f>IF(AND($A151="",$B151=""),"",IF($X151&lt;&gt;"",$X151,IF($T151&lt;&gt;"Y","Not assessed",IF(AND(ISNUMBER($V151),Setup!$B$6-$V151&gt;Setup!$B$26),"Assessment outdated",IF(NOT(ISNUMBER($W151)),"Assessed – no score",IF($W151&gt;=Setup!$B$24,"High",IF($W151&gt;=Setup!$B$25,"Moderate","Low")))))))</f>
        <v/>
      </c>
      <c r="AL151" s="21">
        <f>IF(AND($A151="",$B151=""),"",IF(Z151=0,"",IF(AND(AE151=1,N($R151)&gt;AD151*1.01+0.001),"Net terrestrial &gt; gross; ","")&amp;IF(AND(AE151=1,N($S151)&gt;AC151*1.01+0.001),"Net marine &gt; gross; ","")&amp;IF(AE151=0,"No net area – gross used, overlaps may be double-counted; ","")&amp;IF(AH151=0,"STATUS_YR missing – imputed in time series; ","")&amp;IF(AND(ISNUMBER($I151),N($I151)&gt;Setup!$B$6),"STATUS_YR after reporting year; ","")&amp;IF(OR($G151="",$G151="Not Reported"),"GOV_TYPE not reported; ","")&amp;IF(AND(N($J151)=1,$K151="Point",N($M151)&lt;=0),"Coastal point without REP_M_AREA – land/sea split unknown; ","")&amp;IF(AND(N($J151)=0,N($S151)&gt;0),"MARINE=0 but net marine &gt;0; ","")&amp;IF(AND(N($J151)=2,N($R151)&gt;0),"MARINE=2 but net terrestrial &gt;0; ","")&amp;IF($K151="Point","Buffered point – coverage approximate; ","")))</f>
        <v/>
      </c>
    </row>
    <row r="152">
      <c r="A152" s="19" t="n"/>
      <c r="B152" s="19" t="n"/>
      <c r="C152" s="19" t="n"/>
      <c r="D152" s="19" t="n"/>
      <c r="E152" s="19" t="n"/>
      <c r="F152" s="19" t="n"/>
      <c r="G152" s="19" t="n"/>
      <c r="H152" s="19" t="n"/>
      <c r="I152" s="19" t="n"/>
      <c r="J152" s="19" t="n"/>
      <c r="K152" s="19" t="n"/>
      <c r="L152" s="20" t="n"/>
      <c r="M152" s="20" t="n"/>
      <c r="N152" s="20" t="n"/>
      <c r="O152" s="20" t="n"/>
      <c r="P152" s="19" t="n"/>
      <c r="Q152" s="19" t="n"/>
      <c r="R152" s="20" t="n"/>
      <c r="S152" s="20" t="n"/>
      <c r="T152" s="19" t="n"/>
      <c r="U152" s="19" t="n"/>
      <c r="V152" s="19" t="n"/>
      <c r="W152" s="19" t="n"/>
      <c r="X152" s="19" t="n"/>
      <c r="Y152" s="19" t="n"/>
      <c r="Z152" s="21">
        <f>IF(AND($A152="",$B152=""),"",IF(OR($E152="",$H152="",$H152="Proposed",$H152="Not Reported"),0,IF(AND($P152="Y",$Q152&lt;&gt;"Y"),0,IF(AND($K152="Point",N($L152)&lt;=0),0,IF(AND(N($L152)&lt;=0,N($N152)&lt;=0,N($R152)+N($S152)&lt;=0),0,1)))))</f>
        <v/>
      </c>
      <c r="AA152" s="21">
        <f>IF(AND($A152="",$B152=""),"",IF($E152="","Site type missing",IF($H152="","STATUS missing",IF($H152="Proposed","STATUS = Proposed",IF($H152="Not Reported","STATUS = Not Reported",IF(AND($P152="Y",$Q152&lt;&gt;"Y"),"UNESCO-MAB Biosphere Reserve",IF(AND($K152="Point",N($L152)&lt;=0),"Point without REP_AREA",IF(AND(N($L152)&lt;=0,N($N152)&lt;=0,N($R152)+N($S152)&lt;=0),"No area information",""))))))))</f>
        <v/>
      </c>
      <c r="AB152" s="22">
        <f>IF(AND($A152="",$B152=""),"",IF($K152="Point",N($L152),IF(N($N152)&gt;0,N($N152),N($L152))))</f>
        <v/>
      </c>
      <c r="AC152" s="22">
        <f>IF(AND($A152="",$B152=""),"",MIN(AB152,IF(N($J152)=0,0,IF(N($J152)=2,AB152,IF(AND($K152&lt;&gt;"Point",N($O152)&gt;0),N($O152),N($M152))))))</f>
        <v/>
      </c>
      <c r="AD152" s="22">
        <f>IF(AND($A152="",$B152=""),"",MAX(0,AB152-AC152))</f>
        <v/>
      </c>
      <c r="AE152" s="21">
        <f>IF(AND($A152="",$B152=""),"",IF(OR($R152&lt;&gt;"",$S152&lt;&gt;""),1,0))</f>
        <v/>
      </c>
      <c r="AF152" s="22">
        <f>IF(AND($A152="",$B152=""),"",IF(Z152=1,IF(AE152=1,N($R152),AD152),0))</f>
        <v/>
      </c>
      <c r="AG152" s="22">
        <f>IF(AND($A152="",$B152=""),"",IF(Z152=1,IF(AE152=1,N($S152),AC152),0))</f>
        <v/>
      </c>
      <c r="AH152" s="21">
        <f>IF(AND($A152="",$B152=""),"",IF(AND(ISNUMBER($I152),N($I152)&gt;0),$I152,0))</f>
        <v/>
      </c>
      <c r="AI152" s="23">
        <f>IF(AND(NOT(AND($A152="",$B152="")),$K152="Point",N($L152)&gt;0),SQRT(N($L152)/PI()),"")</f>
        <v/>
      </c>
      <c r="AJ152" s="21">
        <f>IF(AND($A152="",$B152=""),"",IFERROR(VLOOKUP($G152,Lists!$D$4:$E$15,2,FALSE),"Not reported"))</f>
        <v/>
      </c>
      <c r="AK152" s="21">
        <f>IF(AND($A152="",$B152=""),"",IF($X152&lt;&gt;"",$X152,IF($T152&lt;&gt;"Y","Not assessed",IF(AND(ISNUMBER($V152),Setup!$B$6-$V152&gt;Setup!$B$26),"Assessment outdated",IF(NOT(ISNUMBER($W152)),"Assessed – no score",IF($W152&gt;=Setup!$B$24,"High",IF($W152&gt;=Setup!$B$25,"Moderate","Low")))))))</f>
        <v/>
      </c>
      <c r="AL152" s="21">
        <f>IF(AND($A152="",$B152=""),"",IF(Z152=0,"",IF(AND(AE152=1,N($R152)&gt;AD152*1.01+0.001),"Net terrestrial &gt; gross; ","")&amp;IF(AND(AE152=1,N($S152)&gt;AC152*1.01+0.001),"Net marine &gt; gross; ","")&amp;IF(AE152=0,"No net area – gross used, overlaps may be double-counted; ","")&amp;IF(AH152=0,"STATUS_YR missing – imputed in time series; ","")&amp;IF(AND(ISNUMBER($I152),N($I152)&gt;Setup!$B$6),"STATUS_YR after reporting year; ","")&amp;IF(OR($G152="",$G152="Not Reported"),"GOV_TYPE not reported; ","")&amp;IF(AND(N($J152)=1,$K152="Point",N($M152)&lt;=0),"Coastal point without REP_M_AREA – land/sea split unknown; ","")&amp;IF(AND(N($J152)=0,N($S152)&gt;0),"MARINE=0 but net marine &gt;0; ","")&amp;IF(AND(N($J152)=2,N($R152)&gt;0),"MARINE=2 but net terrestrial &gt;0; ","")&amp;IF($K152="Point","Buffered point – coverage approximate; ","")))</f>
        <v/>
      </c>
    </row>
    <row r="153">
      <c r="A153" s="19" t="n"/>
      <c r="B153" s="19" t="n"/>
      <c r="C153" s="19" t="n"/>
      <c r="D153" s="19" t="n"/>
      <c r="E153" s="19" t="n"/>
      <c r="F153" s="19" t="n"/>
      <c r="G153" s="19" t="n"/>
      <c r="H153" s="19" t="n"/>
      <c r="I153" s="19" t="n"/>
      <c r="J153" s="19" t="n"/>
      <c r="K153" s="19" t="n"/>
      <c r="L153" s="20" t="n"/>
      <c r="M153" s="20" t="n"/>
      <c r="N153" s="20" t="n"/>
      <c r="O153" s="20" t="n"/>
      <c r="P153" s="19" t="n"/>
      <c r="Q153" s="19" t="n"/>
      <c r="R153" s="20" t="n"/>
      <c r="S153" s="20" t="n"/>
      <c r="T153" s="19" t="n"/>
      <c r="U153" s="19" t="n"/>
      <c r="V153" s="19" t="n"/>
      <c r="W153" s="19" t="n"/>
      <c r="X153" s="19" t="n"/>
      <c r="Y153" s="19" t="n"/>
      <c r="Z153" s="21">
        <f>IF(AND($A153="",$B153=""),"",IF(OR($E153="",$H153="",$H153="Proposed",$H153="Not Reported"),0,IF(AND($P153="Y",$Q153&lt;&gt;"Y"),0,IF(AND($K153="Point",N($L153)&lt;=0),0,IF(AND(N($L153)&lt;=0,N($N153)&lt;=0,N($R153)+N($S153)&lt;=0),0,1)))))</f>
        <v/>
      </c>
      <c r="AA153" s="21">
        <f>IF(AND($A153="",$B153=""),"",IF($E153="","Site type missing",IF($H153="","STATUS missing",IF($H153="Proposed","STATUS = Proposed",IF($H153="Not Reported","STATUS = Not Reported",IF(AND($P153="Y",$Q153&lt;&gt;"Y"),"UNESCO-MAB Biosphere Reserve",IF(AND($K153="Point",N($L153)&lt;=0),"Point without REP_AREA",IF(AND(N($L153)&lt;=0,N($N153)&lt;=0,N($R153)+N($S153)&lt;=0),"No area information",""))))))))</f>
        <v/>
      </c>
      <c r="AB153" s="22">
        <f>IF(AND($A153="",$B153=""),"",IF($K153="Point",N($L153),IF(N($N153)&gt;0,N($N153),N($L153))))</f>
        <v/>
      </c>
      <c r="AC153" s="22">
        <f>IF(AND($A153="",$B153=""),"",MIN(AB153,IF(N($J153)=0,0,IF(N($J153)=2,AB153,IF(AND($K153&lt;&gt;"Point",N($O153)&gt;0),N($O153),N($M153))))))</f>
        <v/>
      </c>
      <c r="AD153" s="22">
        <f>IF(AND($A153="",$B153=""),"",MAX(0,AB153-AC153))</f>
        <v/>
      </c>
      <c r="AE153" s="21">
        <f>IF(AND($A153="",$B153=""),"",IF(OR($R153&lt;&gt;"",$S153&lt;&gt;""),1,0))</f>
        <v/>
      </c>
      <c r="AF153" s="22">
        <f>IF(AND($A153="",$B153=""),"",IF(Z153=1,IF(AE153=1,N($R153),AD153),0))</f>
        <v/>
      </c>
      <c r="AG153" s="22">
        <f>IF(AND($A153="",$B153=""),"",IF(Z153=1,IF(AE153=1,N($S153),AC153),0))</f>
        <v/>
      </c>
      <c r="AH153" s="21">
        <f>IF(AND($A153="",$B153=""),"",IF(AND(ISNUMBER($I153),N($I153)&gt;0),$I153,0))</f>
        <v/>
      </c>
      <c r="AI153" s="23">
        <f>IF(AND(NOT(AND($A153="",$B153="")),$K153="Point",N($L153)&gt;0),SQRT(N($L153)/PI()),"")</f>
        <v/>
      </c>
      <c r="AJ153" s="21">
        <f>IF(AND($A153="",$B153=""),"",IFERROR(VLOOKUP($G153,Lists!$D$4:$E$15,2,FALSE),"Not reported"))</f>
        <v/>
      </c>
      <c r="AK153" s="21">
        <f>IF(AND($A153="",$B153=""),"",IF($X153&lt;&gt;"",$X153,IF($T153&lt;&gt;"Y","Not assessed",IF(AND(ISNUMBER($V153),Setup!$B$6-$V153&gt;Setup!$B$26),"Assessment outdated",IF(NOT(ISNUMBER($W153)),"Assessed – no score",IF($W153&gt;=Setup!$B$24,"High",IF($W153&gt;=Setup!$B$25,"Moderate","Low")))))))</f>
        <v/>
      </c>
      <c r="AL153" s="21">
        <f>IF(AND($A153="",$B153=""),"",IF(Z153=0,"",IF(AND(AE153=1,N($R153)&gt;AD153*1.01+0.001),"Net terrestrial &gt; gross; ","")&amp;IF(AND(AE153=1,N($S153)&gt;AC153*1.01+0.001),"Net marine &gt; gross; ","")&amp;IF(AE153=0,"No net area – gross used, overlaps may be double-counted; ","")&amp;IF(AH153=0,"STATUS_YR missing – imputed in time series; ","")&amp;IF(AND(ISNUMBER($I153),N($I153)&gt;Setup!$B$6),"STATUS_YR after reporting year; ","")&amp;IF(OR($G153="",$G153="Not Reported"),"GOV_TYPE not reported; ","")&amp;IF(AND(N($J153)=1,$K153="Point",N($M153)&lt;=0),"Coastal point without REP_M_AREA – land/sea split unknown; ","")&amp;IF(AND(N($J153)=0,N($S153)&gt;0),"MARINE=0 but net marine &gt;0; ","")&amp;IF(AND(N($J153)=2,N($R153)&gt;0),"MARINE=2 but net terrestrial &gt;0; ","")&amp;IF($K153="Point","Buffered point – coverage approximate; ","")))</f>
        <v/>
      </c>
    </row>
    <row r="154">
      <c r="A154" s="19" t="n"/>
      <c r="B154" s="19" t="n"/>
      <c r="C154" s="19" t="n"/>
      <c r="D154" s="19" t="n"/>
      <c r="E154" s="19" t="n"/>
      <c r="F154" s="19" t="n"/>
      <c r="G154" s="19" t="n"/>
      <c r="H154" s="19" t="n"/>
      <c r="I154" s="19" t="n"/>
      <c r="J154" s="19" t="n"/>
      <c r="K154" s="19" t="n"/>
      <c r="L154" s="20" t="n"/>
      <c r="M154" s="20" t="n"/>
      <c r="N154" s="20" t="n"/>
      <c r="O154" s="20" t="n"/>
      <c r="P154" s="19" t="n"/>
      <c r="Q154" s="19" t="n"/>
      <c r="R154" s="20" t="n"/>
      <c r="S154" s="20" t="n"/>
      <c r="T154" s="19" t="n"/>
      <c r="U154" s="19" t="n"/>
      <c r="V154" s="19" t="n"/>
      <c r="W154" s="19" t="n"/>
      <c r="X154" s="19" t="n"/>
      <c r="Y154" s="19" t="n"/>
      <c r="Z154" s="21">
        <f>IF(AND($A154="",$B154=""),"",IF(OR($E154="",$H154="",$H154="Proposed",$H154="Not Reported"),0,IF(AND($P154="Y",$Q154&lt;&gt;"Y"),0,IF(AND($K154="Point",N($L154)&lt;=0),0,IF(AND(N($L154)&lt;=0,N($N154)&lt;=0,N($R154)+N($S154)&lt;=0),0,1)))))</f>
        <v/>
      </c>
      <c r="AA154" s="21">
        <f>IF(AND($A154="",$B154=""),"",IF($E154="","Site type missing",IF($H154="","STATUS missing",IF($H154="Proposed","STATUS = Proposed",IF($H154="Not Reported","STATUS = Not Reported",IF(AND($P154="Y",$Q154&lt;&gt;"Y"),"UNESCO-MAB Biosphere Reserve",IF(AND($K154="Point",N($L154)&lt;=0),"Point without REP_AREA",IF(AND(N($L154)&lt;=0,N($N154)&lt;=0,N($R154)+N($S154)&lt;=0),"No area information",""))))))))</f>
        <v/>
      </c>
      <c r="AB154" s="22">
        <f>IF(AND($A154="",$B154=""),"",IF($K154="Point",N($L154),IF(N($N154)&gt;0,N($N154),N($L154))))</f>
        <v/>
      </c>
      <c r="AC154" s="22">
        <f>IF(AND($A154="",$B154=""),"",MIN(AB154,IF(N($J154)=0,0,IF(N($J154)=2,AB154,IF(AND($K154&lt;&gt;"Point",N($O154)&gt;0),N($O154),N($M154))))))</f>
        <v/>
      </c>
      <c r="AD154" s="22">
        <f>IF(AND($A154="",$B154=""),"",MAX(0,AB154-AC154))</f>
        <v/>
      </c>
      <c r="AE154" s="21">
        <f>IF(AND($A154="",$B154=""),"",IF(OR($R154&lt;&gt;"",$S154&lt;&gt;""),1,0))</f>
        <v/>
      </c>
      <c r="AF154" s="22">
        <f>IF(AND($A154="",$B154=""),"",IF(Z154=1,IF(AE154=1,N($R154),AD154),0))</f>
        <v/>
      </c>
      <c r="AG154" s="22">
        <f>IF(AND($A154="",$B154=""),"",IF(Z154=1,IF(AE154=1,N($S154),AC154),0))</f>
        <v/>
      </c>
      <c r="AH154" s="21">
        <f>IF(AND($A154="",$B154=""),"",IF(AND(ISNUMBER($I154),N($I154)&gt;0),$I154,0))</f>
        <v/>
      </c>
      <c r="AI154" s="23">
        <f>IF(AND(NOT(AND($A154="",$B154="")),$K154="Point",N($L154)&gt;0),SQRT(N($L154)/PI()),"")</f>
        <v/>
      </c>
      <c r="AJ154" s="21">
        <f>IF(AND($A154="",$B154=""),"",IFERROR(VLOOKUP($G154,Lists!$D$4:$E$15,2,FALSE),"Not reported"))</f>
        <v/>
      </c>
      <c r="AK154" s="21">
        <f>IF(AND($A154="",$B154=""),"",IF($X154&lt;&gt;"",$X154,IF($T154&lt;&gt;"Y","Not assessed",IF(AND(ISNUMBER($V154),Setup!$B$6-$V154&gt;Setup!$B$26),"Assessment outdated",IF(NOT(ISNUMBER($W154)),"Assessed – no score",IF($W154&gt;=Setup!$B$24,"High",IF($W154&gt;=Setup!$B$25,"Moderate","Low")))))))</f>
        <v/>
      </c>
      <c r="AL154" s="21">
        <f>IF(AND($A154="",$B154=""),"",IF(Z154=0,"",IF(AND(AE154=1,N($R154)&gt;AD154*1.01+0.001),"Net terrestrial &gt; gross; ","")&amp;IF(AND(AE154=1,N($S154)&gt;AC154*1.01+0.001),"Net marine &gt; gross; ","")&amp;IF(AE154=0,"No net area – gross used, overlaps may be double-counted; ","")&amp;IF(AH154=0,"STATUS_YR missing – imputed in time series; ","")&amp;IF(AND(ISNUMBER($I154),N($I154)&gt;Setup!$B$6),"STATUS_YR after reporting year; ","")&amp;IF(OR($G154="",$G154="Not Reported"),"GOV_TYPE not reported; ","")&amp;IF(AND(N($J154)=1,$K154="Point",N($M154)&lt;=0),"Coastal point without REP_M_AREA – land/sea split unknown; ","")&amp;IF(AND(N($J154)=0,N($S154)&gt;0),"MARINE=0 but net marine &gt;0; ","")&amp;IF(AND(N($J154)=2,N($R154)&gt;0),"MARINE=2 but net terrestrial &gt;0; ","")&amp;IF($K154="Point","Buffered point – coverage approximate; ","")))</f>
        <v/>
      </c>
    </row>
    <row r="155">
      <c r="A155" s="19" t="n"/>
      <c r="B155" s="19" t="n"/>
      <c r="C155" s="19" t="n"/>
      <c r="D155" s="19" t="n"/>
      <c r="E155" s="19" t="n"/>
      <c r="F155" s="19" t="n"/>
      <c r="G155" s="19" t="n"/>
      <c r="H155" s="19" t="n"/>
      <c r="I155" s="19" t="n"/>
      <c r="J155" s="19" t="n"/>
      <c r="K155" s="19" t="n"/>
      <c r="L155" s="20" t="n"/>
      <c r="M155" s="20" t="n"/>
      <c r="N155" s="20" t="n"/>
      <c r="O155" s="20" t="n"/>
      <c r="P155" s="19" t="n"/>
      <c r="Q155" s="19" t="n"/>
      <c r="R155" s="20" t="n"/>
      <c r="S155" s="20" t="n"/>
      <c r="T155" s="19" t="n"/>
      <c r="U155" s="19" t="n"/>
      <c r="V155" s="19" t="n"/>
      <c r="W155" s="19" t="n"/>
      <c r="X155" s="19" t="n"/>
      <c r="Y155" s="19" t="n"/>
      <c r="Z155" s="21">
        <f>IF(AND($A155="",$B155=""),"",IF(OR($E155="",$H155="",$H155="Proposed",$H155="Not Reported"),0,IF(AND($P155="Y",$Q155&lt;&gt;"Y"),0,IF(AND($K155="Point",N($L155)&lt;=0),0,IF(AND(N($L155)&lt;=0,N($N155)&lt;=0,N($R155)+N($S155)&lt;=0),0,1)))))</f>
        <v/>
      </c>
      <c r="AA155" s="21">
        <f>IF(AND($A155="",$B155=""),"",IF($E155="","Site type missing",IF($H155="","STATUS missing",IF($H155="Proposed","STATUS = Proposed",IF($H155="Not Reported","STATUS = Not Reported",IF(AND($P155="Y",$Q155&lt;&gt;"Y"),"UNESCO-MAB Biosphere Reserve",IF(AND($K155="Point",N($L155)&lt;=0),"Point without REP_AREA",IF(AND(N($L155)&lt;=0,N($N155)&lt;=0,N($R155)+N($S155)&lt;=0),"No area information",""))))))))</f>
        <v/>
      </c>
      <c r="AB155" s="22">
        <f>IF(AND($A155="",$B155=""),"",IF($K155="Point",N($L155),IF(N($N155)&gt;0,N($N155),N($L155))))</f>
        <v/>
      </c>
      <c r="AC155" s="22">
        <f>IF(AND($A155="",$B155=""),"",MIN(AB155,IF(N($J155)=0,0,IF(N($J155)=2,AB155,IF(AND($K155&lt;&gt;"Point",N($O155)&gt;0),N($O155),N($M155))))))</f>
        <v/>
      </c>
      <c r="AD155" s="22">
        <f>IF(AND($A155="",$B155=""),"",MAX(0,AB155-AC155))</f>
        <v/>
      </c>
      <c r="AE155" s="21">
        <f>IF(AND($A155="",$B155=""),"",IF(OR($R155&lt;&gt;"",$S155&lt;&gt;""),1,0))</f>
        <v/>
      </c>
      <c r="AF155" s="22">
        <f>IF(AND($A155="",$B155=""),"",IF(Z155=1,IF(AE155=1,N($R155),AD155),0))</f>
        <v/>
      </c>
      <c r="AG155" s="22">
        <f>IF(AND($A155="",$B155=""),"",IF(Z155=1,IF(AE155=1,N($S155),AC155),0))</f>
        <v/>
      </c>
      <c r="AH155" s="21">
        <f>IF(AND($A155="",$B155=""),"",IF(AND(ISNUMBER($I155),N($I155)&gt;0),$I155,0))</f>
        <v/>
      </c>
      <c r="AI155" s="23">
        <f>IF(AND(NOT(AND($A155="",$B155="")),$K155="Point",N($L155)&gt;0),SQRT(N($L155)/PI()),"")</f>
        <v/>
      </c>
      <c r="AJ155" s="21">
        <f>IF(AND($A155="",$B155=""),"",IFERROR(VLOOKUP($G155,Lists!$D$4:$E$15,2,FALSE),"Not reported"))</f>
        <v/>
      </c>
      <c r="AK155" s="21">
        <f>IF(AND($A155="",$B155=""),"",IF($X155&lt;&gt;"",$X155,IF($T155&lt;&gt;"Y","Not assessed",IF(AND(ISNUMBER($V155),Setup!$B$6-$V155&gt;Setup!$B$26),"Assessment outdated",IF(NOT(ISNUMBER($W155)),"Assessed – no score",IF($W155&gt;=Setup!$B$24,"High",IF($W155&gt;=Setup!$B$25,"Moderate","Low")))))))</f>
        <v/>
      </c>
      <c r="AL155" s="21">
        <f>IF(AND($A155="",$B155=""),"",IF(Z155=0,"",IF(AND(AE155=1,N($R155)&gt;AD155*1.01+0.001),"Net terrestrial &gt; gross; ","")&amp;IF(AND(AE155=1,N($S155)&gt;AC155*1.01+0.001),"Net marine &gt; gross; ","")&amp;IF(AE155=0,"No net area – gross used, overlaps may be double-counted; ","")&amp;IF(AH155=0,"STATUS_YR missing – imputed in time series; ","")&amp;IF(AND(ISNUMBER($I155),N($I155)&gt;Setup!$B$6),"STATUS_YR after reporting year; ","")&amp;IF(OR($G155="",$G155="Not Reported"),"GOV_TYPE not reported; ","")&amp;IF(AND(N($J155)=1,$K155="Point",N($M155)&lt;=0),"Coastal point without REP_M_AREA – land/sea split unknown; ","")&amp;IF(AND(N($J155)=0,N($S155)&gt;0),"MARINE=0 but net marine &gt;0; ","")&amp;IF(AND(N($J155)=2,N($R155)&gt;0),"MARINE=2 but net terrestrial &gt;0; ","")&amp;IF($K155="Point","Buffered point – coverage approximate; ","")))</f>
        <v/>
      </c>
    </row>
    <row r="156">
      <c r="A156" s="19" t="n"/>
      <c r="B156" s="19" t="n"/>
      <c r="C156" s="19" t="n"/>
      <c r="D156" s="19" t="n"/>
      <c r="E156" s="19" t="n"/>
      <c r="F156" s="19" t="n"/>
      <c r="G156" s="19" t="n"/>
      <c r="H156" s="19" t="n"/>
      <c r="I156" s="19" t="n"/>
      <c r="J156" s="19" t="n"/>
      <c r="K156" s="19" t="n"/>
      <c r="L156" s="20" t="n"/>
      <c r="M156" s="20" t="n"/>
      <c r="N156" s="20" t="n"/>
      <c r="O156" s="20" t="n"/>
      <c r="P156" s="19" t="n"/>
      <c r="Q156" s="19" t="n"/>
      <c r="R156" s="20" t="n"/>
      <c r="S156" s="20" t="n"/>
      <c r="T156" s="19" t="n"/>
      <c r="U156" s="19" t="n"/>
      <c r="V156" s="19" t="n"/>
      <c r="W156" s="19" t="n"/>
      <c r="X156" s="19" t="n"/>
      <c r="Y156" s="19" t="n"/>
      <c r="Z156" s="21">
        <f>IF(AND($A156="",$B156=""),"",IF(OR($E156="",$H156="",$H156="Proposed",$H156="Not Reported"),0,IF(AND($P156="Y",$Q156&lt;&gt;"Y"),0,IF(AND($K156="Point",N($L156)&lt;=0),0,IF(AND(N($L156)&lt;=0,N($N156)&lt;=0,N($R156)+N($S156)&lt;=0),0,1)))))</f>
        <v/>
      </c>
      <c r="AA156" s="21">
        <f>IF(AND($A156="",$B156=""),"",IF($E156="","Site type missing",IF($H156="","STATUS missing",IF($H156="Proposed","STATUS = Proposed",IF($H156="Not Reported","STATUS = Not Reported",IF(AND($P156="Y",$Q156&lt;&gt;"Y"),"UNESCO-MAB Biosphere Reserve",IF(AND($K156="Point",N($L156)&lt;=0),"Point without REP_AREA",IF(AND(N($L156)&lt;=0,N($N156)&lt;=0,N($R156)+N($S156)&lt;=0),"No area information",""))))))))</f>
        <v/>
      </c>
      <c r="AB156" s="22">
        <f>IF(AND($A156="",$B156=""),"",IF($K156="Point",N($L156),IF(N($N156)&gt;0,N($N156),N($L156))))</f>
        <v/>
      </c>
      <c r="AC156" s="22">
        <f>IF(AND($A156="",$B156=""),"",MIN(AB156,IF(N($J156)=0,0,IF(N($J156)=2,AB156,IF(AND($K156&lt;&gt;"Point",N($O156)&gt;0),N($O156),N($M156))))))</f>
        <v/>
      </c>
      <c r="AD156" s="22">
        <f>IF(AND($A156="",$B156=""),"",MAX(0,AB156-AC156))</f>
        <v/>
      </c>
      <c r="AE156" s="21">
        <f>IF(AND($A156="",$B156=""),"",IF(OR($R156&lt;&gt;"",$S156&lt;&gt;""),1,0))</f>
        <v/>
      </c>
      <c r="AF156" s="22">
        <f>IF(AND($A156="",$B156=""),"",IF(Z156=1,IF(AE156=1,N($R156),AD156),0))</f>
        <v/>
      </c>
      <c r="AG156" s="22">
        <f>IF(AND($A156="",$B156=""),"",IF(Z156=1,IF(AE156=1,N($S156),AC156),0))</f>
        <v/>
      </c>
      <c r="AH156" s="21">
        <f>IF(AND($A156="",$B156=""),"",IF(AND(ISNUMBER($I156),N($I156)&gt;0),$I156,0))</f>
        <v/>
      </c>
      <c r="AI156" s="23">
        <f>IF(AND(NOT(AND($A156="",$B156="")),$K156="Point",N($L156)&gt;0),SQRT(N($L156)/PI()),"")</f>
        <v/>
      </c>
      <c r="AJ156" s="21">
        <f>IF(AND($A156="",$B156=""),"",IFERROR(VLOOKUP($G156,Lists!$D$4:$E$15,2,FALSE),"Not reported"))</f>
        <v/>
      </c>
      <c r="AK156" s="21">
        <f>IF(AND($A156="",$B156=""),"",IF($X156&lt;&gt;"",$X156,IF($T156&lt;&gt;"Y","Not assessed",IF(AND(ISNUMBER($V156),Setup!$B$6-$V156&gt;Setup!$B$26),"Assessment outdated",IF(NOT(ISNUMBER($W156)),"Assessed – no score",IF($W156&gt;=Setup!$B$24,"High",IF($W156&gt;=Setup!$B$25,"Moderate","Low")))))))</f>
        <v/>
      </c>
      <c r="AL156" s="21">
        <f>IF(AND($A156="",$B156=""),"",IF(Z156=0,"",IF(AND(AE156=1,N($R156)&gt;AD156*1.01+0.001),"Net terrestrial &gt; gross; ","")&amp;IF(AND(AE156=1,N($S156)&gt;AC156*1.01+0.001),"Net marine &gt; gross; ","")&amp;IF(AE156=0,"No net area – gross used, overlaps may be double-counted; ","")&amp;IF(AH156=0,"STATUS_YR missing – imputed in time series; ","")&amp;IF(AND(ISNUMBER($I156),N($I156)&gt;Setup!$B$6),"STATUS_YR after reporting year; ","")&amp;IF(OR($G156="",$G156="Not Reported"),"GOV_TYPE not reported; ","")&amp;IF(AND(N($J156)=1,$K156="Point",N($M156)&lt;=0),"Coastal point without REP_M_AREA – land/sea split unknown; ","")&amp;IF(AND(N($J156)=0,N($S156)&gt;0),"MARINE=0 but net marine &gt;0; ","")&amp;IF(AND(N($J156)=2,N($R156)&gt;0),"MARINE=2 but net terrestrial &gt;0; ","")&amp;IF($K156="Point","Buffered point – coverage approximate; ","")))</f>
        <v/>
      </c>
    </row>
    <row r="157">
      <c r="A157" s="19" t="n"/>
      <c r="B157" s="19" t="n"/>
      <c r="C157" s="19" t="n"/>
      <c r="D157" s="19" t="n"/>
      <c r="E157" s="19" t="n"/>
      <c r="F157" s="19" t="n"/>
      <c r="G157" s="19" t="n"/>
      <c r="H157" s="19" t="n"/>
      <c r="I157" s="19" t="n"/>
      <c r="J157" s="19" t="n"/>
      <c r="K157" s="19" t="n"/>
      <c r="L157" s="20" t="n"/>
      <c r="M157" s="20" t="n"/>
      <c r="N157" s="20" t="n"/>
      <c r="O157" s="20" t="n"/>
      <c r="P157" s="19" t="n"/>
      <c r="Q157" s="19" t="n"/>
      <c r="R157" s="20" t="n"/>
      <c r="S157" s="20" t="n"/>
      <c r="T157" s="19" t="n"/>
      <c r="U157" s="19" t="n"/>
      <c r="V157" s="19" t="n"/>
      <c r="W157" s="19" t="n"/>
      <c r="X157" s="19" t="n"/>
      <c r="Y157" s="19" t="n"/>
      <c r="Z157" s="21">
        <f>IF(AND($A157="",$B157=""),"",IF(OR($E157="",$H157="",$H157="Proposed",$H157="Not Reported"),0,IF(AND($P157="Y",$Q157&lt;&gt;"Y"),0,IF(AND($K157="Point",N($L157)&lt;=0),0,IF(AND(N($L157)&lt;=0,N($N157)&lt;=0,N($R157)+N($S157)&lt;=0),0,1)))))</f>
        <v/>
      </c>
      <c r="AA157" s="21">
        <f>IF(AND($A157="",$B157=""),"",IF($E157="","Site type missing",IF($H157="","STATUS missing",IF($H157="Proposed","STATUS = Proposed",IF($H157="Not Reported","STATUS = Not Reported",IF(AND($P157="Y",$Q157&lt;&gt;"Y"),"UNESCO-MAB Biosphere Reserve",IF(AND($K157="Point",N($L157)&lt;=0),"Point without REP_AREA",IF(AND(N($L157)&lt;=0,N($N157)&lt;=0,N($R157)+N($S157)&lt;=0),"No area information",""))))))))</f>
        <v/>
      </c>
      <c r="AB157" s="22">
        <f>IF(AND($A157="",$B157=""),"",IF($K157="Point",N($L157),IF(N($N157)&gt;0,N($N157),N($L157))))</f>
        <v/>
      </c>
      <c r="AC157" s="22">
        <f>IF(AND($A157="",$B157=""),"",MIN(AB157,IF(N($J157)=0,0,IF(N($J157)=2,AB157,IF(AND($K157&lt;&gt;"Point",N($O157)&gt;0),N($O157),N($M157))))))</f>
        <v/>
      </c>
      <c r="AD157" s="22">
        <f>IF(AND($A157="",$B157=""),"",MAX(0,AB157-AC157))</f>
        <v/>
      </c>
      <c r="AE157" s="21">
        <f>IF(AND($A157="",$B157=""),"",IF(OR($R157&lt;&gt;"",$S157&lt;&gt;""),1,0))</f>
        <v/>
      </c>
      <c r="AF157" s="22">
        <f>IF(AND($A157="",$B157=""),"",IF(Z157=1,IF(AE157=1,N($R157),AD157),0))</f>
        <v/>
      </c>
      <c r="AG157" s="22">
        <f>IF(AND($A157="",$B157=""),"",IF(Z157=1,IF(AE157=1,N($S157),AC157),0))</f>
        <v/>
      </c>
      <c r="AH157" s="21">
        <f>IF(AND($A157="",$B157=""),"",IF(AND(ISNUMBER($I157),N($I157)&gt;0),$I157,0))</f>
        <v/>
      </c>
      <c r="AI157" s="23">
        <f>IF(AND(NOT(AND($A157="",$B157="")),$K157="Point",N($L157)&gt;0),SQRT(N($L157)/PI()),"")</f>
        <v/>
      </c>
      <c r="AJ157" s="21">
        <f>IF(AND($A157="",$B157=""),"",IFERROR(VLOOKUP($G157,Lists!$D$4:$E$15,2,FALSE),"Not reported"))</f>
        <v/>
      </c>
      <c r="AK157" s="21">
        <f>IF(AND($A157="",$B157=""),"",IF($X157&lt;&gt;"",$X157,IF($T157&lt;&gt;"Y","Not assessed",IF(AND(ISNUMBER($V157),Setup!$B$6-$V157&gt;Setup!$B$26),"Assessment outdated",IF(NOT(ISNUMBER($W157)),"Assessed – no score",IF($W157&gt;=Setup!$B$24,"High",IF($W157&gt;=Setup!$B$25,"Moderate","Low")))))))</f>
        <v/>
      </c>
      <c r="AL157" s="21">
        <f>IF(AND($A157="",$B157=""),"",IF(Z157=0,"",IF(AND(AE157=1,N($R157)&gt;AD157*1.01+0.001),"Net terrestrial &gt; gross; ","")&amp;IF(AND(AE157=1,N($S157)&gt;AC157*1.01+0.001),"Net marine &gt; gross; ","")&amp;IF(AE157=0,"No net area – gross used, overlaps may be double-counted; ","")&amp;IF(AH157=0,"STATUS_YR missing – imputed in time series; ","")&amp;IF(AND(ISNUMBER($I157),N($I157)&gt;Setup!$B$6),"STATUS_YR after reporting year; ","")&amp;IF(OR($G157="",$G157="Not Reported"),"GOV_TYPE not reported; ","")&amp;IF(AND(N($J157)=1,$K157="Point",N($M157)&lt;=0),"Coastal point without REP_M_AREA – land/sea split unknown; ","")&amp;IF(AND(N($J157)=0,N($S157)&gt;0),"MARINE=0 but net marine &gt;0; ","")&amp;IF(AND(N($J157)=2,N($R157)&gt;0),"MARINE=2 but net terrestrial &gt;0; ","")&amp;IF($K157="Point","Buffered point – coverage approximate; ","")))</f>
        <v/>
      </c>
    </row>
    <row r="158">
      <c r="A158" s="19" t="n"/>
      <c r="B158" s="19" t="n"/>
      <c r="C158" s="19" t="n"/>
      <c r="D158" s="19" t="n"/>
      <c r="E158" s="19" t="n"/>
      <c r="F158" s="19" t="n"/>
      <c r="G158" s="19" t="n"/>
      <c r="H158" s="19" t="n"/>
      <c r="I158" s="19" t="n"/>
      <c r="J158" s="19" t="n"/>
      <c r="K158" s="19" t="n"/>
      <c r="L158" s="20" t="n"/>
      <c r="M158" s="20" t="n"/>
      <c r="N158" s="20" t="n"/>
      <c r="O158" s="20" t="n"/>
      <c r="P158" s="19" t="n"/>
      <c r="Q158" s="19" t="n"/>
      <c r="R158" s="20" t="n"/>
      <c r="S158" s="20" t="n"/>
      <c r="T158" s="19" t="n"/>
      <c r="U158" s="19" t="n"/>
      <c r="V158" s="19" t="n"/>
      <c r="W158" s="19" t="n"/>
      <c r="X158" s="19" t="n"/>
      <c r="Y158" s="19" t="n"/>
      <c r="Z158" s="21">
        <f>IF(AND($A158="",$B158=""),"",IF(OR($E158="",$H158="",$H158="Proposed",$H158="Not Reported"),0,IF(AND($P158="Y",$Q158&lt;&gt;"Y"),0,IF(AND($K158="Point",N($L158)&lt;=0),0,IF(AND(N($L158)&lt;=0,N($N158)&lt;=0,N($R158)+N($S158)&lt;=0),0,1)))))</f>
        <v/>
      </c>
      <c r="AA158" s="21">
        <f>IF(AND($A158="",$B158=""),"",IF($E158="","Site type missing",IF($H158="","STATUS missing",IF($H158="Proposed","STATUS = Proposed",IF($H158="Not Reported","STATUS = Not Reported",IF(AND($P158="Y",$Q158&lt;&gt;"Y"),"UNESCO-MAB Biosphere Reserve",IF(AND($K158="Point",N($L158)&lt;=0),"Point without REP_AREA",IF(AND(N($L158)&lt;=0,N($N158)&lt;=0,N($R158)+N($S158)&lt;=0),"No area information",""))))))))</f>
        <v/>
      </c>
      <c r="AB158" s="22">
        <f>IF(AND($A158="",$B158=""),"",IF($K158="Point",N($L158),IF(N($N158)&gt;0,N($N158),N($L158))))</f>
        <v/>
      </c>
      <c r="AC158" s="22">
        <f>IF(AND($A158="",$B158=""),"",MIN(AB158,IF(N($J158)=0,0,IF(N($J158)=2,AB158,IF(AND($K158&lt;&gt;"Point",N($O158)&gt;0),N($O158),N($M158))))))</f>
        <v/>
      </c>
      <c r="AD158" s="22">
        <f>IF(AND($A158="",$B158=""),"",MAX(0,AB158-AC158))</f>
        <v/>
      </c>
      <c r="AE158" s="21">
        <f>IF(AND($A158="",$B158=""),"",IF(OR($R158&lt;&gt;"",$S158&lt;&gt;""),1,0))</f>
        <v/>
      </c>
      <c r="AF158" s="22">
        <f>IF(AND($A158="",$B158=""),"",IF(Z158=1,IF(AE158=1,N($R158),AD158),0))</f>
        <v/>
      </c>
      <c r="AG158" s="22">
        <f>IF(AND($A158="",$B158=""),"",IF(Z158=1,IF(AE158=1,N($S158),AC158),0))</f>
        <v/>
      </c>
      <c r="AH158" s="21">
        <f>IF(AND($A158="",$B158=""),"",IF(AND(ISNUMBER($I158),N($I158)&gt;0),$I158,0))</f>
        <v/>
      </c>
      <c r="AI158" s="23">
        <f>IF(AND(NOT(AND($A158="",$B158="")),$K158="Point",N($L158)&gt;0),SQRT(N($L158)/PI()),"")</f>
        <v/>
      </c>
      <c r="AJ158" s="21">
        <f>IF(AND($A158="",$B158=""),"",IFERROR(VLOOKUP($G158,Lists!$D$4:$E$15,2,FALSE),"Not reported"))</f>
        <v/>
      </c>
      <c r="AK158" s="21">
        <f>IF(AND($A158="",$B158=""),"",IF($X158&lt;&gt;"",$X158,IF($T158&lt;&gt;"Y","Not assessed",IF(AND(ISNUMBER($V158),Setup!$B$6-$V158&gt;Setup!$B$26),"Assessment outdated",IF(NOT(ISNUMBER($W158)),"Assessed – no score",IF($W158&gt;=Setup!$B$24,"High",IF($W158&gt;=Setup!$B$25,"Moderate","Low")))))))</f>
        <v/>
      </c>
      <c r="AL158" s="21">
        <f>IF(AND($A158="",$B158=""),"",IF(Z158=0,"",IF(AND(AE158=1,N($R158)&gt;AD158*1.01+0.001),"Net terrestrial &gt; gross; ","")&amp;IF(AND(AE158=1,N($S158)&gt;AC158*1.01+0.001),"Net marine &gt; gross; ","")&amp;IF(AE158=0,"No net area – gross used, overlaps may be double-counted; ","")&amp;IF(AH158=0,"STATUS_YR missing – imputed in time series; ","")&amp;IF(AND(ISNUMBER($I158),N($I158)&gt;Setup!$B$6),"STATUS_YR after reporting year; ","")&amp;IF(OR($G158="",$G158="Not Reported"),"GOV_TYPE not reported; ","")&amp;IF(AND(N($J158)=1,$K158="Point",N($M158)&lt;=0),"Coastal point without REP_M_AREA – land/sea split unknown; ","")&amp;IF(AND(N($J158)=0,N($S158)&gt;0),"MARINE=0 but net marine &gt;0; ","")&amp;IF(AND(N($J158)=2,N($R158)&gt;0),"MARINE=2 but net terrestrial &gt;0; ","")&amp;IF($K158="Point","Buffered point – coverage approximate; ","")))</f>
        <v/>
      </c>
    </row>
    <row r="159">
      <c r="A159" s="19" t="n"/>
      <c r="B159" s="19" t="n"/>
      <c r="C159" s="19" t="n"/>
      <c r="D159" s="19" t="n"/>
      <c r="E159" s="19" t="n"/>
      <c r="F159" s="19" t="n"/>
      <c r="G159" s="19" t="n"/>
      <c r="H159" s="19" t="n"/>
      <c r="I159" s="19" t="n"/>
      <c r="J159" s="19" t="n"/>
      <c r="K159" s="19" t="n"/>
      <c r="L159" s="20" t="n"/>
      <c r="M159" s="20" t="n"/>
      <c r="N159" s="20" t="n"/>
      <c r="O159" s="20" t="n"/>
      <c r="P159" s="19" t="n"/>
      <c r="Q159" s="19" t="n"/>
      <c r="R159" s="20" t="n"/>
      <c r="S159" s="20" t="n"/>
      <c r="T159" s="19" t="n"/>
      <c r="U159" s="19" t="n"/>
      <c r="V159" s="19" t="n"/>
      <c r="W159" s="19" t="n"/>
      <c r="X159" s="19" t="n"/>
      <c r="Y159" s="19" t="n"/>
      <c r="Z159" s="21">
        <f>IF(AND($A159="",$B159=""),"",IF(OR($E159="",$H159="",$H159="Proposed",$H159="Not Reported"),0,IF(AND($P159="Y",$Q159&lt;&gt;"Y"),0,IF(AND($K159="Point",N($L159)&lt;=0),0,IF(AND(N($L159)&lt;=0,N($N159)&lt;=0,N($R159)+N($S159)&lt;=0),0,1)))))</f>
        <v/>
      </c>
      <c r="AA159" s="21">
        <f>IF(AND($A159="",$B159=""),"",IF($E159="","Site type missing",IF($H159="","STATUS missing",IF($H159="Proposed","STATUS = Proposed",IF($H159="Not Reported","STATUS = Not Reported",IF(AND($P159="Y",$Q159&lt;&gt;"Y"),"UNESCO-MAB Biosphere Reserve",IF(AND($K159="Point",N($L159)&lt;=0),"Point without REP_AREA",IF(AND(N($L159)&lt;=0,N($N159)&lt;=0,N($R159)+N($S159)&lt;=0),"No area information",""))))))))</f>
        <v/>
      </c>
      <c r="AB159" s="22">
        <f>IF(AND($A159="",$B159=""),"",IF($K159="Point",N($L159),IF(N($N159)&gt;0,N($N159),N($L159))))</f>
        <v/>
      </c>
      <c r="AC159" s="22">
        <f>IF(AND($A159="",$B159=""),"",MIN(AB159,IF(N($J159)=0,0,IF(N($J159)=2,AB159,IF(AND($K159&lt;&gt;"Point",N($O159)&gt;0),N($O159),N($M159))))))</f>
        <v/>
      </c>
      <c r="AD159" s="22">
        <f>IF(AND($A159="",$B159=""),"",MAX(0,AB159-AC159))</f>
        <v/>
      </c>
      <c r="AE159" s="21">
        <f>IF(AND($A159="",$B159=""),"",IF(OR($R159&lt;&gt;"",$S159&lt;&gt;""),1,0))</f>
        <v/>
      </c>
      <c r="AF159" s="22">
        <f>IF(AND($A159="",$B159=""),"",IF(Z159=1,IF(AE159=1,N($R159),AD159),0))</f>
        <v/>
      </c>
      <c r="AG159" s="22">
        <f>IF(AND($A159="",$B159=""),"",IF(Z159=1,IF(AE159=1,N($S159),AC159),0))</f>
        <v/>
      </c>
      <c r="AH159" s="21">
        <f>IF(AND($A159="",$B159=""),"",IF(AND(ISNUMBER($I159),N($I159)&gt;0),$I159,0))</f>
        <v/>
      </c>
      <c r="AI159" s="23">
        <f>IF(AND(NOT(AND($A159="",$B159="")),$K159="Point",N($L159)&gt;0),SQRT(N($L159)/PI()),"")</f>
        <v/>
      </c>
      <c r="AJ159" s="21">
        <f>IF(AND($A159="",$B159=""),"",IFERROR(VLOOKUP($G159,Lists!$D$4:$E$15,2,FALSE),"Not reported"))</f>
        <v/>
      </c>
      <c r="AK159" s="21">
        <f>IF(AND($A159="",$B159=""),"",IF($X159&lt;&gt;"",$X159,IF($T159&lt;&gt;"Y","Not assessed",IF(AND(ISNUMBER($V159),Setup!$B$6-$V159&gt;Setup!$B$26),"Assessment outdated",IF(NOT(ISNUMBER($W159)),"Assessed – no score",IF($W159&gt;=Setup!$B$24,"High",IF($W159&gt;=Setup!$B$25,"Moderate","Low")))))))</f>
        <v/>
      </c>
      <c r="AL159" s="21">
        <f>IF(AND($A159="",$B159=""),"",IF(Z159=0,"",IF(AND(AE159=1,N($R159)&gt;AD159*1.01+0.001),"Net terrestrial &gt; gross; ","")&amp;IF(AND(AE159=1,N($S159)&gt;AC159*1.01+0.001),"Net marine &gt; gross; ","")&amp;IF(AE159=0,"No net area – gross used, overlaps may be double-counted; ","")&amp;IF(AH159=0,"STATUS_YR missing – imputed in time series; ","")&amp;IF(AND(ISNUMBER($I159),N($I159)&gt;Setup!$B$6),"STATUS_YR after reporting year; ","")&amp;IF(OR($G159="",$G159="Not Reported"),"GOV_TYPE not reported; ","")&amp;IF(AND(N($J159)=1,$K159="Point",N($M159)&lt;=0),"Coastal point without REP_M_AREA – land/sea split unknown; ","")&amp;IF(AND(N($J159)=0,N($S159)&gt;0),"MARINE=0 but net marine &gt;0; ","")&amp;IF(AND(N($J159)=2,N($R159)&gt;0),"MARINE=2 but net terrestrial &gt;0; ","")&amp;IF($K159="Point","Buffered point – coverage approximate; ","")))</f>
        <v/>
      </c>
    </row>
    <row r="160">
      <c r="A160" s="19" t="n"/>
      <c r="B160" s="19" t="n"/>
      <c r="C160" s="19" t="n"/>
      <c r="D160" s="19" t="n"/>
      <c r="E160" s="19" t="n"/>
      <c r="F160" s="19" t="n"/>
      <c r="G160" s="19" t="n"/>
      <c r="H160" s="19" t="n"/>
      <c r="I160" s="19" t="n"/>
      <c r="J160" s="19" t="n"/>
      <c r="K160" s="19" t="n"/>
      <c r="L160" s="20" t="n"/>
      <c r="M160" s="20" t="n"/>
      <c r="N160" s="20" t="n"/>
      <c r="O160" s="20" t="n"/>
      <c r="P160" s="19" t="n"/>
      <c r="Q160" s="19" t="n"/>
      <c r="R160" s="20" t="n"/>
      <c r="S160" s="20" t="n"/>
      <c r="T160" s="19" t="n"/>
      <c r="U160" s="19" t="n"/>
      <c r="V160" s="19" t="n"/>
      <c r="W160" s="19" t="n"/>
      <c r="X160" s="19" t="n"/>
      <c r="Y160" s="19" t="n"/>
      <c r="Z160" s="21">
        <f>IF(AND($A160="",$B160=""),"",IF(OR($E160="",$H160="",$H160="Proposed",$H160="Not Reported"),0,IF(AND($P160="Y",$Q160&lt;&gt;"Y"),0,IF(AND($K160="Point",N($L160)&lt;=0),0,IF(AND(N($L160)&lt;=0,N($N160)&lt;=0,N($R160)+N($S160)&lt;=0),0,1)))))</f>
        <v/>
      </c>
      <c r="AA160" s="21">
        <f>IF(AND($A160="",$B160=""),"",IF($E160="","Site type missing",IF($H160="","STATUS missing",IF($H160="Proposed","STATUS = Proposed",IF($H160="Not Reported","STATUS = Not Reported",IF(AND($P160="Y",$Q160&lt;&gt;"Y"),"UNESCO-MAB Biosphere Reserve",IF(AND($K160="Point",N($L160)&lt;=0),"Point without REP_AREA",IF(AND(N($L160)&lt;=0,N($N160)&lt;=0,N($R160)+N($S160)&lt;=0),"No area information",""))))))))</f>
        <v/>
      </c>
      <c r="AB160" s="22">
        <f>IF(AND($A160="",$B160=""),"",IF($K160="Point",N($L160),IF(N($N160)&gt;0,N($N160),N($L160))))</f>
        <v/>
      </c>
      <c r="AC160" s="22">
        <f>IF(AND($A160="",$B160=""),"",MIN(AB160,IF(N($J160)=0,0,IF(N($J160)=2,AB160,IF(AND($K160&lt;&gt;"Point",N($O160)&gt;0),N($O160),N($M160))))))</f>
        <v/>
      </c>
      <c r="AD160" s="22">
        <f>IF(AND($A160="",$B160=""),"",MAX(0,AB160-AC160))</f>
        <v/>
      </c>
      <c r="AE160" s="21">
        <f>IF(AND($A160="",$B160=""),"",IF(OR($R160&lt;&gt;"",$S160&lt;&gt;""),1,0))</f>
        <v/>
      </c>
      <c r="AF160" s="22">
        <f>IF(AND($A160="",$B160=""),"",IF(Z160=1,IF(AE160=1,N($R160),AD160),0))</f>
        <v/>
      </c>
      <c r="AG160" s="22">
        <f>IF(AND($A160="",$B160=""),"",IF(Z160=1,IF(AE160=1,N($S160),AC160),0))</f>
        <v/>
      </c>
      <c r="AH160" s="21">
        <f>IF(AND($A160="",$B160=""),"",IF(AND(ISNUMBER($I160),N($I160)&gt;0),$I160,0))</f>
        <v/>
      </c>
      <c r="AI160" s="23">
        <f>IF(AND(NOT(AND($A160="",$B160="")),$K160="Point",N($L160)&gt;0),SQRT(N($L160)/PI()),"")</f>
        <v/>
      </c>
      <c r="AJ160" s="21">
        <f>IF(AND($A160="",$B160=""),"",IFERROR(VLOOKUP($G160,Lists!$D$4:$E$15,2,FALSE),"Not reported"))</f>
        <v/>
      </c>
      <c r="AK160" s="21">
        <f>IF(AND($A160="",$B160=""),"",IF($X160&lt;&gt;"",$X160,IF($T160&lt;&gt;"Y","Not assessed",IF(AND(ISNUMBER($V160),Setup!$B$6-$V160&gt;Setup!$B$26),"Assessment outdated",IF(NOT(ISNUMBER($W160)),"Assessed – no score",IF($W160&gt;=Setup!$B$24,"High",IF($W160&gt;=Setup!$B$25,"Moderate","Low")))))))</f>
        <v/>
      </c>
      <c r="AL160" s="21">
        <f>IF(AND($A160="",$B160=""),"",IF(Z160=0,"",IF(AND(AE160=1,N($R160)&gt;AD160*1.01+0.001),"Net terrestrial &gt; gross; ","")&amp;IF(AND(AE160=1,N($S160)&gt;AC160*1.01+0.001),"Net marine &gt; gross; ","")&amp;IF(AE160=0,"No net area – gross used, overlaps may be double-counted; ","")&amp;IF(AH160=0,"STATUS_YR missing – imputed in time series; ","")&amp;IF(AND(ISNUMBER($I160),N($I160)&gt;Setup!$B$6),"STATUS_YR after reporting year; ","")&amp;IF(OR($G160="",$G160="Not Reported"),"GOV_TYPE not reported; ","")&amp;IF(AND(N($J160)=1,$K160="Point",N($M160)&lt;=0),"Coastal point without REP_M_AREA – land/sea split unknown; ","")&amp;IF(AND(N($J160)=0,N($S160)&gt;0),"MARINE=0 but net marine &gt;0; ","")&amp;IF(AND(N($J160)=2,N($R160)&gt;0),"MARINE=2 but net terrestrial &gt;0; ","")&amp;IF($K160="Point","Buffered point – coverage approximate; ","")))</f>
        <v/>
      </c>
    </row>
    <row r="161">
      <c r="A161" s="19" t="n"/>
      <c r="B161" s="19" t="n"/>
      <c r="C161" s="19" t="n"/>
      <c r="D161" s="19" t="n"/>
      <c r="E161" s="19" t="n"/>
      <c r="F161" s="19" t="n"/>
      <c r="G161" s="19" t="n"/>
      <c r="H161" s="19" t="n"/>
      <c r="I161" s="19" t="n"/>
      <c r="J161" s="19" t="n"/>
      <c r="K161" s="19" t="n"/>
      <c r="L161" s="20" t="n"/>
      <c r="M161" s="20" t="n"/>
      <c r="N161" s="20" t="n"/>
      <c r="O161" s="20" t="n"/>
      <c r="P161" s="19" t="n"/>
      <c r="Q161" s="19" t="n"/>
      <c r="R161" s="20" t="n"/>
      <c r="S161" s="20" t="n"/>
      <c r="T161" s="19" t="n"/>
      <c r="U161" s="19" t="n"/>
      <c r="V161" s="19" t="n"/>
      <c r="W161" s="19" t="n"/>
      <c r="X161" s="19" t="n"/>
      <c r="Y161" s="19" t="n"/>
      <c r="Z161" s="21">
        <f>IF(AND($A161="",$B161=""),"",IF(OR($E161="",$H161="",$H161="Proposed",$H161="Not Reported"),0,IF(AND($P161="Y",$Q161&lt;&gt;"Y"),0,IF(AND($K161="Point",N($L161)&lt;=0),0,IF(AND(N($L161)&lt;=0,N($N161)&lt;=0,N($R161)+N($S161)&lt;=0),0,1)))))</f>
        <v/>
      </c>
      <c r="AA161" s="21">
        <f>IF(AND($A161="",$B161=""),"",IF($E161="","Site type missing",IF($H161="","STATUS missing",IF($H161="Proposed","STATUS = Proposed",IF($H161="Not Reported","STATUS = Not Reported",IF(AND($P161="Y",$Q161&lt;&gt;"Y"),"UNESCO-MAB Biosphere Reserve",IF(AND($K161="Point",N($L161)&lt;=0),"Point without REP_AREA",IF(AND(N($L161)&lt;=0,N($N161)&lt;=0,N($R161)+N($S161)&lt;=0),"No area information",""))))))))</f>
        <v/>
      </c>
      <c r="AB161" s="22">
        <f>IF(AND($A161="",$B161=""),"",IF($K161="Point",N($L161),IF(N($N161)&gt;0,N($N161),N($L161))))</f>
        <v/>
      </c>
      <c r="AC161" s="22">
        <f>IF(AND($A161="",$B161=""),"",MIN(AB161,IF(N($J161)=0,0,IF(N($J161)=2,AB161,IF(AND($K161&lt;&gt;"Point",N($O161)&gt;0),N($O161),N($M161))))))</f>
        <v/>
      </c>
      <c r="AD161" s="22">
        <f>IF(AND($A161="",$B161=""),"",MAX(0,AB161-AC161))</f>
        <v/>
      </c>
      <c r="AE161" s="21">
        <f>IF(AND($A161="",$B161=""),"",IF(OR($R161&lt;&gt;"",$S161&lt;&gt;""),1,0))</f>
        <v/>
      </c>
      <c r="AF161" s="22">
        <f>IF(AND($A161="",$B161=""),"",IF(Z161=1,IF(AE161=1,N($R161),AD161),0))</f>
        <v/>
      </c>
      <c r="AG161" s="22">
        <f>IF(AND($A161="",$B161=""),"",IF(Z161=1,IF(AE161=1,N($S161),AC161),0))</f>
        <v/>
      </c>
      <c r="AH161" s="21">
        <f>IF(AND($A161="",$B161=""),"",IF(AND(ISNUMBER($I161),N($I161)&gt;0),$I161,0))</f>
        <v/>
      </c>
      <c r="AI161" s="23">
        <f>IF(AND(NOT(AND($A161="",$B161="")),$K161="Point",N($L161)&gt;0),SQRT(N($L161)/PI()),"")</f>
        <v/>
      </c>
      <c r="AJ161" s="21">
        <f>IF(AND($A161="",$B161=""),"",IFERROR(VLOOKUP($G161,Lists!$D$4:$E$15,2,FALSE),"Not reported"))</f>
        <v/>
      </c>
      <c r="AK161" s="21">
        <f>IF(AND($A161="",$B161=""),"",IF($X161&lt;&gt;"",$X161,IF($T161&lt;&gt;"Y","Not assessed",IF(AND(ISNUMBER($V161),Setup!$B$6-$V161&gt;Setup!$B$26),"Assessment outdated",IF(NOT(ISNUMBER($W161)),"Assessed – no score",IF($W161&gt;=Setup!$B$24,"High",IF($W161&gt;=Setup!$B$25,"Moderate","Low")))))))</f>
        <v/>
      </c>
      <c r="AL161" s="21">
        <f>IF(AND($A161="",$B161=""),"",IF(Z161=0,"",IF(AND(AE161=1,N($R161)&gt;AD161*1.01+0.001),"Net terrestrial &gt; gross; ","")&amp;IF(AND(AE161=1,N($S161)&gt;AC161*1.01+0.001),"Net marine &gt; gross; ","")&amp;IF(AE161=0,"No net area – gross used, overlaps may be double-counted; ","")&amp;IF(AH161=0,"STATUS_YR missing – imputed in time series; ","")&amp;IF(AND(ISNUMBER($I161),N($I161)&gt;Setup!$B$6),"STATUS_YR after reporting year; ","")&amp;IF(OR($G161="",$G161="Not Reported"),"GOV_TYPE not reported; ","")&amp;IF(AND(N($J161)=1,$K161="Point",N($M161)&lt;=0),"Coastal point without REP_M_AREA – land/sea split unknown; ","")&amp;IF(AND(N($J161)=0,N($S161)&gt;0),"MARINE=0 but net marine &gt;0; ","")&amp;IF(AND(N($J161)=2,N($R161)&gt;0),"MARINE=2 but net terrestrial &gt;0; ","")&amp;IF($K161="Point","Buffered point – coverage approximate; ","")))</f>
        <v/>
      </c>
    </row>
    <row r="162">
      <c r="A162" s="19" t="n"/>
      <c r="B162" s="19" t="n"/>
      <c r="C162" s="19" t="n"/>
      <c r="D162" s="19" t="n"/>
      <c r="E162" s="19" t="n"/>
      <c r="F162" s="19" t="n"/>
      <c r="G162" s="19" t="n"/>
      <c r="H162" s="19" t="n"/>
      <c r="I162" s="19" t="n"/>
      <c r="J162" s="19" t="n"/>
      <c r="K162" s="19" t="n"/>
      <c r="L162" s="20" t="n"/>
      <c r="M162" s="20" t="n"/>
      <c r="N162" s="20" t="n"/>
      <c r="O162" s="20" t="n"/>
      <c r="P162" s="19" t="n"/>
      <c r="Q162" s="19" t="n"/>
      <c r="R162" s="20" t="n"/>
      <c r="S162" s="20" t="n"/>
      <c r="T162" s="19" t="n"/>
      <c r="U162" s="19" t="n"/>
      <c r="V162" s="19" t="n"/>
      <c r="W162" s="19" t="n"/>
      <c r="X162" s="19" t="n"/>
      <c r="Y162" s="19" t="n"/>
      <c r="Z162" s="21">
        <f>IF(AND($A162="",$B162=""),"",IF(OR($E162="",$H162="",$H162="Proposed",$H162="Not Reported"),0,IF(AND($P162="Y",$Q162&lt;&gt;"Y"),0,IF(AND($K162="Point",N($L162)&lt;=0),0,IF(AND(N($L162)&lt;=0,N($N162)&lt;=0,N($R162)+N($S162)&lt;=0),0,1)))))</f>
        <v/>
      </c>
      <c r="AA162" s="21">
        <f>IF(AND($A162="",$B162=""),"",IF($E162="","Site type missing",IF($H162="","STATUS missing",IF($H162="Proposed","STATUS = Proposed",IF($H162="Not Reported","STATUS = Not Reported",IF(AND($P162="Y",$Q162&lt;&gt;"Y"),"UNESCO-MAB Biosphere Reserve",IF(AND($K162="Point",N($L162)&lt;=0),"Point without REP_AREA",IF(AND(N($L162)&lt;=0,N($N162)&lt;=0,N($R162)+N($S162)&lt;=0),"No area information",""))))))))</f>
        <v/>
      </c>
      <c r="AB162" s="22">
        <f>IF(AND($A162="",$B162=""),"",IF($K162="Point",N($L162),IF(N($N162)&gt;0,N($N162),N($L162))))</f>
        <v/>
      </c>
      <c r="AC162" s="22">
        <f>IF(AND($A162="",$B162=""),"",MIN(AB162,IF(N($J162)=0,0,IF(N($J162)=2,AB162,IF(AND($K162&lt;&gt;"Point",N($O162)&gt;0),N($O162),N($M162))))))</f>
        <v/>
      </c>
      <c r="AD162" s="22">
        <f>IF(AND($A162="",$B162=""),"",MAX(0,AB162-AC162))</f>
        <v/>
      </c>
      <c r="AE162" s="21">
        <f>IF(AND($A162="",$B162=""),"",IF(OR($R162&lt;&gt;"",$S162&lt;&gt;""),1,0))</f>
        <v/>
      </c>
      <c r="AF162" s="22">
        <f>IF(AND($A162="",$B162=""),"",IF(Z162=1,IF(AE162=1,N($R162),AD162),0))</f>
        <v/>
      </c>
      <c r="AG162" s="22">
        <f>IF(AND($A162="",$B162=""),"",IF(Z162=1,IF(AE162=1,N($S162),AC162),0))</f>
        <v/>
      </c>
      <c r="AH162" s="21">
        <f>IF(AND($A162="",$B162=""),"",IF(AND(ISNUMBER($I162),N($I162)&gt;0),$I162,0))</f>
        <v/>
      </c>
      <c r="AI162" s="23">
        <f>IF(AND(NOT(AND($A162="",$B162="")),$K162="Point",N($L162)&gt;0),SQRT(N($L162)/PI()),"")</f>
        <v/>
      </c>
      <c r="AJ162" s="21">
        <f>IF(AND($A162="",$B162=""),"",IFERROR(VLOOKUP($G162,Lists!$D$4:$E$15,2,FALSE),"Not reported"))</f>
        <v/>
      </c>
      <c r="AK162" s="21">
        <f>IF(AND($A162="",$B162=""),"",IF($X162&lt;&gt;"",$X162,IF($T162&lt;&gt;"Y","Not assessed",IF(AND(ISNUMBER($V162),Setup!$B$6-$V162&gt;Setup!$B$26),"Assessment outdated",IF(NOT(ISNUMBER($W162)),"Assessed – no score",IF($W162&gt;=Setup!$B$24,"High",IF($W162&gt;=Setup!$B$25,"Moderate","Low")))))))</f>
        <v/>
      </c>
      <c r="AL162" s="21">
        <f>IF(AND($A162="",$B162=""),"",IF(Z162=0,"",IF(AND(AE162=1,N($R162)&gt;AD162*1.01+0.001),"Net terrestrial &gt; gross; ","")&amp;IF(AND(AE162=1,N($S162)&gt;AC162*1.01+0.001),"Net marine &gt; gross; ","")&amp;IF(AE162=0,"No net area – gross used, overlaps may be double-counted; ","")&amp;IF(AH162=0,"STATUS_YR missing – imputed in time series; ","")&amp;IF(AND(ISNUMBER($I162),N($I162)&gt;Setup!$B$6),"STATUS_YR after reporting year; ","")&amp;IF(OR($G162="",$G162="Not Reported"),"GOV_TYPE not reported; ","")&amp;IF(AND(N($J162)=1,$K162="Point",N($M162)&lt;=0),"Coastal point without REP_M_AREA – land/sea split unknown; ","")&amp;IF(AND(N($J162)=0,N($S162)&gt;0),"MARINE=0 but net marine &gt;0; ","")&amp;IF(AND(N($J162)=2,N($R162)&gt;0),"MARINE=2 but net terrestrial &gt;0; ","")&amp;IF($K162="Point","Buffered point – coverage approximate; ","")))</f>
        <v/>
      </c>
    </row>
    <row r="163">
      <c r="A163" s="19" t="n"/>
      <c r="B163" s="19" t="n"/>
      <c r="C163" s="19" t="n"/>
      <c r="D163" s="19" t="n"/>
      <c r="E163" s="19" t="n"/>
      <c r="F163" s="19" t="n"/>
      <c r="G163" s="19" t="n"/>
      <c r="H163" s="19" t="n"/>
      <c r="I163" s="19" t="n"/>
      <c r="J163" s="19" t="n"/>
      <c r="K163" s="19" t="n"/>
      <c r="L163" s="20" t="n"/>
      <c r="M163" s="20" t="n"/>
      <c r="N163" s="20" t="n"/>
      <c r="O163" s="20" t="n"/>
      <c r="P163" s="19" t="n"/>
      <c r="Q163" s="19" t="n"/>
      <c r="R163" s="20" t="n"/>
      <c r="S163" s="20" t="n"/>
      <c r="T163" s="19" t="n"/>
      <c r="U163" s="19" t="n"/>
      <c r="V163" s="19" t="n"/>
      <c r="W163" s="19" t="n"/>
      <c r="X163" s="19" t="n"/>
      <c r="Y163" s="19" t="n"/>
      <c r="Z163" s="21">
        <f>IF(AND($A163="",$B163=""),"",IF(OR($E163="",$H163="",$H163="Proposed",$H163="Not Reported"),0,IF(AND($P163="Y",$Q163&lt;&gt;"Y"),0,IF(AND($K163="Point",N($L163)&lt;=0),0,IF(AND(N($L163)&lt;=0,N($N163)&lt;=0,N($R163)+N($S163)&lt;=0),0,1)))))</f>
        <v/>
      </c>
      <c r="AA163" s="21">
        <f>IF(AND($A163="",$B163=""),"",IF($E163="","Site type missing",IF($H163="","STATUS missing",IF($H163="Proposed","STATUS = Proposed",IF($H163="Not Reported","STATUS = Not Reported",IF(AND($P163="Y",$Q163&lt;&gt;"Y"),"UNESCO-MAB Biosphere Reserve",IF(AND($K163="Point",N($L163)&lt;=0),"Point without REP_AREA",IF(AND(N($L163)&lt;=0,N($N163)&lt;=0,N($R163)+N($S163)&lt;=0),"No area information",""))))))))</f>
        <v/>
      </c>
      <c r="AB163" s="22">
        <f>IF(AND($A163="",$B163=""),"",IF($K163="Point",N($L163),IF(N($N163)&gt;0,N($N163),N($L163))))</f>
        <v/>
      </c>
      <c r="AC163" s="22">
        <f>IF(AND($A163="",$B163=""),"",MIN(AB163,IF(N($J163)=0,0,IF(N($J163)=2,AB163,IF(AND($K163&lt;&gt;"Point",N($O163)&gt;0),N($O163),N($M163))))))</f>
        <v/>
      </c>
      <c r="AD163" s="22">
        <f>IF(AND($A163="",$B163=""),"",MAX(0,AB163-AC163))</f>
        <v/>
      </c>
      <c r="AE163" s="21">
        <f>IF(AND($A163="",$B163=""),"",IF(OR($R163&lt;&gt;"",$S163&lt;&gt;""),1,0))</f>
        <v/>
      </c>
      <c r="AF163" s="22">
        <f>IF(AND($A163="",$B163=""),"",IF(Z163=1,IF(AE163=1,N($R163),AD163),0))</f>
        <v/>
      </c>
      <c r="AG163" s="22">
        <f>IF(AND($A163="",$B163=""),"",IF(Z163=1,IF(AE163=1,N($S163),AC163),0))</f>
        <v/>
      </c>
      <c r="AH163" s="21">
        <f>IF(AND($A163="",$B163=""),"",IF(AND(ISNUMBER($I163),N($I163)&gt;0),$I163,0))</f>
        <v/>
      </c>
      <c r="AI163" s="23">
        <f>IF(AND(NOT(AND($A163="",$B163="")),$K163="Point",N($L163)&gt;0),SQRT(N($L163)/PI()),"")</f>
        <v/>
      </c>
      <c r="AJ163" s="21">
        <f>IF(AND($A163="",$B163=""),"",IFERROR(VLOOKUP($G163,Lists!$D$4:$E$15,2,FALSE),"Not reported"))</f>
        <v/>
      </c>
      <c r="AK163" s="21">
        <f>IF(AND($A163="",$B163=""),"",IF($X163&lt;&gt;"",$X163,IF($T163&lt;&gt;"Y","Not assessed",IF(AND(ISNUMBER($V163),Setup!$B$6-$V163&gt;Setup!$B$26),"Assessment outdated",IF(NOT(ISNUMBER($W163)),"Assessed – no score",IF($W163&gt;=Setup!$B$24,"High",IF($W163&gt;=Setup!$B$25,"Moderate","Low")))))))</f>
        <v/>
      </c>
      <c r="AL163" s="21">
        <f>IF(AND($A163="",$B163=""),"",IF(Z163=0,"",IF(AND(AE163=1,N($R163)&gt;AD163*1.01+0.001),"Net terrestrial &gt; gross; ","")&amp;IF(AND(AE163=1,N($S163)&gt;AC163*1.01+0.001),"Net marine &gt; gross; ","")&amp;IF(AE163=0,"No net area – gross used, overlaps may be double-counted; ","")&amp;IF(AH163=0,"STATUS_YR missing – imputed in time series; ","")&amp;IF(AND(ISNUMBER($I163),N($I163)&gt;Setup!$B$6),"STATUS_YR after reporting year; ","")&amp;IF(OR($G163="",$G163="Not Reported"),"GOV_TYPE not reported; ","")&amp;IF(AND(N($J163)=1,$K163="Point",N($M163)&lt;=0),"Coastal point without REP_M_AREA – land/sea split unknown; ","")&amp;IF(AND(N($J163)=0,N($S163)&gt;0),"MARINE=0 but net marine &gt;0; ","")&amp;IF(AND(N($J163)=2,N($R163)&gt;0),"MARINE=2 but net terrestrial &gt;0; ","")&amp;IF($K163="Point","Buffered point – coverage approximate; ","")))</f>
        <v/>
      </c>
    </row>
    <row r="164">
      <c r="A164" s="19" t="n"/>
      <c r="B164" s="19" t="n"/>
      <c r="C164" s="19" t="n"/>
      <c r="D164" s="19" t="n"/>
      <c r="E164" s="19" t="n"/>
      <c r="F164" s="19" t="n"/>
      <c r="G164" s="19" t="n"/>
      <c r="H164" s="19" t="n"/>
      <c r="I164" s="19" t="n"/>
      <c r="J164" s="19" t="n"/>
      <c r="K164" s="19" t="n"/>
      <c r="L164" s="20" t="n"/>
      <c r="M164" s="20" t="n"/>
      <c r="N164" s="20" t="n"/>
      <c r="O164" s="20" t="n"/>
      <c r="P164" s="19" t="n"/>
      <c r="Q164" s="19" t="n"/>
      <c r="R164" s="20" t="n"/>
      <c r="S164" s="20" t="n"/>
      <c r="T164" s="19" t="n"/>
      <c r="U164" s="19" t="n"/>
      <c r="V164" s="19" t="n"/>
      <c r="W164" s="19" t="n"/>
      <c r="X164" s="19" t="n"/>
      <c r="Y164" s="19" t="n"/>
      <c r="Z164" s="21">
        <f>IF(AND($A164="",$B164=""),"",IF(OR($E164="",$H164="",$H164="Proposed",$H164="Not Reported"),0,IF(AND($P164="Y",$Q164&lt;&gt;"Y"),0,IF(AND($K164="Point",N($L164)&lt;=0),0,IF(AND(N($L164)&lt;=0,N($N164)&lt;=0,N($R164)+N($S164)&lt;=0),0,1)))))</f>
        <v/>
      </c>
      <c r="AA164" s="21">
        <f>IF(AND($A164="",$B164=""),"",IF($E164="","Site type missing",IF($H164="","STATUS missing",IF($H164="Proposed","STATUS = Proposed",IF($H164="Not Reported","STATUS = Not Reported",IF(AND($P164="Y",$Q164&lt;&gt;"Y"),"UNESCO-MAB Biosphere Reserve",IF(AND($K164="Point",N($L164)&lt;=0),"Point without REP_AREA",IF(AND(N($L164)&lt;=0,N($N164)&lt;=0,N($R164)+N($S164)&lt;=0),"No area information",""))))))))</f>
        <v/>
      </c>
      <c r="AB164" s="22">
        <f>IF(AND($A164="",$B164=""),"",IF($K164="Point",N($L164),IF(N($N164)&gt;0,N($N164),N($L164))))</f>
        <v/>
      </c>
      <c r="AC164" s="22">
        <f>IF(AND($A164="",$B164=""),"",MIN(AB164,IF(N($J164)=0,0,IF(N($J164)=2,AB164,IF(AND($K164&lt;&gt;"Point",N($O164)&gt;0),N($O164),N($M164))))))</f>
        <v/>
      </c>
      <c r="AD164" s="22">
        <f>IF(AND($A164="",$B164=""),"",MAX(0,AB164-AC164))</f>
        <v/>
      </c>
      <c r="AE164" s="21">
        <f>IF(AND($A164="",$B164=""),"",IF(OR($R164&lt;&gt;"",$S164&lt;&gt;""),1,0))</f>
        <v/>
      </c>
      <c r="AF164" s="22">
        <f>IF(AND($A164="",$B164=""),"",IF(Z164=1,IF(AE164=1,N($R164),AD164),0))</f>
        <v/>
      </c>
      <c r="AG164" s="22">
        <f>IF(AND($A164="",$B164=""),"",IF(Z164=1,IF(AE164=1,N($S164),AC164),0))</f>
        <v/>
      </c>
      <c r="AH164" s="21">
        <f>IF(AND($A164="",$B164=""),"",IF(AND(ISNUMBER($I164),N($I164)&gt;0),$I164,0))</f>
        <v/>
      </c>
      <c r="AI164" s="23">
        <f>IF(AND(NOT(AND($A164="",$B164="")),$K164="Point",N($L164)&gt;0),SQRT(N($L164)/PI()),"")</f>
        <v/>
      </c>
      <c r="AJ164" s="21">
        <f>IF(AND($A164="",$B164=""),"",IFERROR(VLOOKUP($G164,Lists!$D$4:$E$15,2,FALSE),"Not reported"))</f>
        <v/>
      </c>
      <c r="AK164" s="21">
        <f>IF(AND($A164="",$B164=""),"",IF($X164&lt;&gt;"",$X164,IF($T164&lt;&gt;"Y","Not assessed",IF(AND(ISNUMBER($V164),Setup!$B$6-$V164&gt;Setup!$B$26),"Assessment outdated",IF(NOT(ISNUMBER($W164)),"Assessed – no score",IF($W164&gt;=Setup!$B$24,"High",IF($W164&gt;=Setup!$B$25,"Moderate","Low")))))))</f>
        <v/>
      </c>
      <c r="AL164" s="21">
        <f>IF(AND($A164="",$B164=""),"",IF(Z164=0,"",IF(AND(AE164=1,N($R164)&gt;AD164*1.01+0.001),"Net terrestrial &gt; gross; ","")&amp;IF(AND(AE164=1,N($S164)&gt;AC164*1.01+0.001),"Net marine &gt; gross; ","")&amp;IF(AE164=0,"No net area – gross used, overlaps may be double-counted; ","")&amp;IF(AH164=0,"STATUS_YR missing – imputed in time series; ","")&amp;IF(AND(ISNUMBER($I164),N($I164)&gt;Setup!$B$6),"STATUS_YR after reporting year; ","")&amp;IF(OR($G164="",$G164="Not Reported"),"GOV_TYPE not reported; ","")&amp;IF(AND(N($J164)=1,$K164="Point",N($M164)&lt;=0),"Coastal point without REP_M_AREA – land/sea split unknown; ","")&amp;IF(AND(N($J164)=0,N($S164)&gt;0),"MARINE=0 but net marine &gt;0; ","")&amp;IF(AND(N($J164)=2,N($R164)&gt;0),"MARINE=2 but net terrestrial &gt;0; ","")&amp;IF($K164="Point","Buffered point – coverage approximate; ","")))</f>
        <v/>
      </c>
    </row>
    <row r="165">
      <c r="A165" s="19" t="n"/>
      <c r="B165" s="19" t="n"/>
      <c r="C165" s="19" t="n"/>
      <c r="D165" s="19" t="n"/>
      <c r="E165" s="19" t="n"/>
      <c r="F165" s="19" t="n"/>
      <c r="G165" s="19" t="n"/>
      <c r="H165" s="19" t="n"/>
      <c r="I165" s="19" t="n"/>
      <c r="J165" s="19" t="n"/>
      <c r="K165" s="19" t="n"/>
      <c r="L165" s="20" t="n"/>
      <c r="M165" s="20" t="n"/>
      <c r="N165" s="20" t="n"/>
      <c r="O165" s="20" t="n"/>
      <c r="P165" s="19" t="n"/>
      <c r="Q165" s="19" t="n"/>
      <c r="R165" s="20" t="n"/>
      <c r="S165" s="20" t="n"/>
      <c r="T165" s="19" t="n"/>
      <c r="U165" s="19" t="n"/>
      <c r="V165" s="19" t="n"/>
      <c r="W165" s="19" t="n"/>
      <c r="X165" s="19" t="n"/>
      <c r="Y165" s="19" t="n"/>
      <c r="Z165" s="21">
        <f>IF(AND($A165="",$B165=""),"",IF(OR($E165="",$H165="",$H165="Proposed",$H165="Not Reported"),0,IF(AND($P165="Y",$Q165&lt;&gt;"Y"),0,IF(AND($K165="Point",N($L165)&lt;=0),0,IF(AND(N($L165)&lt;=0,N($N165)&lt;=0,N($R165)+N($S165)&lt;=0),0,1)))))</f>
        <v/>
      </c>
      <c r="AA165" s="21">
        <f>IF(AND($A165="",$B165=""),"",IF($E165="","Site type missing",IF($H165="","STATUS missing",IF($H165="Proposed","STATUS = Proposed",IF($H165="Not Reported","STATUS = Not Reported",IF(AND($P165="Y",$Q165&lt;&gt;"Y"),"UNESCO-MAB Biosphere Reserve",IF(AND($K165="Point",N($L165)&lt;=0),"Point without REP_AREA",IF(AND(N($L165)&lt;=0,N($N165)&lt;=0,N($R165)+N($S165)&lt;=0),"No area information",""))))))))</f>
        <v/>
      </c>
      <c r="AB165" s="22">
        <f>IF(AND($A165="",$B165=""),"",IF($K165="Point",N($L165),IF(N($N165)&gt;0,N($N165),N($L165))))</f>
        <v/>
      </c>
      <c r="AC165" s="22">
        <f>IF(AND($A165="",$B165=""),"",MIN(AB165,IF(N($J165)=0,0,IF(N($J165)=2,AB165,IF(AND($K165&lt;&gt;"Point",N($O165)&gt;0),N($O165),N($M165))))))</f>
        <v/>
      </c>
      <c r="AD165" s="22">
        <f>IF(AND($A165="",$B165=""),"",MAX(0,AB165-AC165))</f>
        <v/>
      </c>
      <c r="AE165" s="21">
        <f>IF(AND($A165="",$B165=""),"",IF(OR($R165&lt;&gt;"",$S165&lt;&gt;""),1,0))</f>
        <v/>
      </c>
      <c r="AF165" s="22">
        <f>IF(AND($A165="",$B165=""),"",IF(Z165=1,IF(AE165=1,N($R165),AD165),0))</f>
        <v/>
      </c>
      <c r="AG165" s="22">
        <f>IF(AND($A165="",$B165=""),"",IF(Z165=1,IF(AE165=1,N($S165),AC165),0))</f>
        <v/>
      </c>
      <c r="AH165" s="21">
        <f>IF(AND($A165="",$B165=""),"",IF(AND(ISNUMBER($I165),N($I165)&gt;0),$I165,0))</f>
        <v/>
      </c>
      <c r="AI165" s="23">
        <f>IF(AND(NOT(AND($A165="",$B165="")),$K165="Point",N($L165)&gt;0),SQRT(N($L165)/PI()),"")</f>
        <v/>
      </c>
      <c r="AJ165" s="21">
        <f>IF(AND($A165="",$B165=""),"",IFERROR(VLOOKUP($G165,Lists!$D$4:$E$15,2,FALSE),"Not reported"))</f>
        <v/>
      </c>
      <c r="AK165" s="21">
        <f>IF(AND($A165="",$B165=""),"",IF($X165&lt;&gt;"",$X165,IF($T165&lt;&gt;"Y","Not assessed",IF(AND(ISNUMBER($V165),Setup!$B$6-$V165&gt;Setup!$B$26),"Assessment outdated",IF(NOT(ISNUMBER($W165)),"Assessed – no score",IF($W165&gt;=Setup!$B$24,"High",IF($W165&gt;=Setup!$B$25,"Moderate","Low")))))))</f>
        <v/>
      </c>
      <c r="AL165" s="21">
        <f>IF(AND($A165="",$B165=""),"",IF(Z165=0,"",IF(AND(AE165=1,N($R165)&gt;AD165*1.01+0.001),"Net terrestrial &gt; gross; ","")&amp;IF(AND(AE165=1,N($S165)&gt;AC165*1.01+0.001),"Net marine &gt; gross; ","")&amp;IF(AE165=0,"No net area – gross used, overlaps may be double-counted; ","")&amp;IF(AH165=0,"STATUS_YR missing – imputed in time series; ","")&amp;IF(AND(ISNUMBER($I165),N($I165)&gt;Setup!$B$6),"STATUS_YR after reporting year; ","")&amp;IF(OR($G165="",$G165="Not Reported"),"GOV_TYPE not reported; ","")&amp;IF(AND(N($J165)=1,$K165="Point",N($M165)&lt;=0),"Coastal point without REP_M_AREA – land/sea split unknown; ","")&amp;IF(AND(N($J165)=0,N($S165)&gt;0),"MARINE=0 but net marine &gt;0; ","")&amp;IF(AND(N($J165)=2,N($R165)&gt;0),"MARINE=2 but net terrestrial &gt;0; ","")&amp;IF($K165="Point","Buffered point – coverage approximate; ","")))</f>
        <v/>
      </c>
    </row>
    <row r="166">
      <c r="A166" s="19" t="n"/>
      <c r="B166" s="19" t="n"/>
      <c r="C166" s="19" t="n"/>
      <c r="D166" s="19" t="n"/>
      <c r="E166" s="19" t="n"/>
      <c r="F166" s="19" t="n"/>
      <c r="G166" s="19" t="n"/>
      <c r="H166" s="19" t="n"/>
      <c r="I166" s="19" t="n"/>
      <c r="J166" s="19" t="n"/>
      <c r="K166" s="19" t="n"/>
      <c r="L166" s="20" t="n"/>
      <c r="M166" s="20" t="n"/>
      <c r="N166" s="20" t="n"/>
      <c r="O166" s="20" t="n"/>
      <c r="P166" s="19" t="n"/>
      <c r="Q166" s="19" t="n"/>
      <c r="R166" s="20" t="n"/>
      <c r="S166" s="20" t="n"/>
      <c r="T166" s="19" t="n"/>
      <c r="U166" s="19" t="n"/>
      <c r="V166" s="19" t="n"/>
      <c r="W166" s="19" t="n"/>
      <c r="X166" s="19" t="n"/>
      <c r="Y166" s="19" t="n"/>
      <c r="Z166" s="21">
        <f>IF(AND($A166="",$B166=""),"",IF(OR($E166="",$H166="",$H166="Proposed",$H166="Not Reported"),0,IF(AND($P166="Y",$Q166&lt;&gt;"Y"),0,IF(AND($K166="Point",N($L166)&lt;=0),0,IF(AND(N($L166)&lt;=0,N($N166)&lt;=0,N($R166)+N($S166)&lt;=0),0,1)))))</f>
        <v/>
      </c>
      <c r="AA166" s="21">
        <f>IF(AND($A166="",$B166=""),"",IF($E166="","Site type missing",IF($H166="","STATUS missing",IF($H166="Proposed","STATUS = Proposed",IF($H166="Not Reported","STATUS = Not Reported",IF(AND($P166="Y",$Q166&lt;&gt;"Y"),"UNESCO-MAB Biosphere Reserve",IF(AND($K166="Point",N($L166)&lt;=0),"Point without REP_AREA",IF(AND(N($L166)&lt;=0,N($N166)&lt;=0,N($R166)+N($S166)&lt;=0),"No area information",""))))))))</f>
        <v/>
      </c>
      <c r="AB166" s="22">
        <f>IF(AND($A166="",$B166=""),"",IF($K166="Point",N($L166),IF(N($N166)&gt;0,N($N166),N($L166))))</f>
        <v/>
      </c>
      <c r="AC166" s="22">
        <f>IF(AND($A166="",$B166=""),"",MIN(AB166,IF(N($J166)=0,0,IF(N($J166)=2,AB166,IF(AND($K166&lt;&gt;"Point",N($O166)&gt;0),N($O166),N($M166))))))</f>
        <v/>
      </c>
      <c r="AD166" s="22">
        <f>IF(AND($A166="",$B166=""),"",MAX(0,AB166-AC166))</f>
        <v/>
      </c>
      <c r="AE166" s="21">
        <f>IF(AND($A166="",$B166=""),"",IF(OR($R166&lt;&gt;"",$S166&lt;&gt;""),1,0))</f>
        <v/>
      </c>
      <c r="AF166" s="22">
        <f>IF(AND($A166="",$B166=""),"",IF(Z166=1,IF(AE166=1,N($R166),AD166),0))</f>
        <v/>
      </c>
      <c r="AG166" s="22">
        <f>IF(AND($A166="",$B166=""),"",IF(Z166=1,IF(AE166=1,N($S166),AC166),0))</f>
        <v/>
      </c>
      <c r="AH166" s="21">
        <f>IF(AND($A166="",$B166=""),"",IF(AND(ISNUMBER($I166),N($I166)&gt;0),$I166,0))</f>
        <v/>
      </c>
      <c r="AI166" s="23">
        <f>IF(AND(NOT(AND($A166="",$B166="")),$K166="Point",N($L166)&gt;0),SQRT(N($L166)/PI()),"")</f>
        <v/>
      </c>
      <c r="AJ166" s="21">
        <f>IF(AND($A166="",$B166=""),"",IFERROR(VLOOKUP($G166,Lists!$D$4:$E$15,2,FALSE),"Not reported"))</f>
        <v/>
      </c>
      <c r="AK166" s="21">
        <f>IF(AND($A166="",$B166=""),"",IF($X166&lt;&gt;"",$X166,IF($T166&lt;&gt;"Y","Not assessed",IF(AND(ISNUMBER($V166),Setup!$B$6-$V166&gt;Setup!$B$26),"Assessment outdated",IF(NOT(ISNUMBER($W166)),"Assessed – no score",IF($W166&gt;=Setup!$B$24,"High",IF($W166&gt;=Setup!$B$25,"Moderate","Low")))))))</f>
        <v/>
      </c>
      <c r="AL166" s="21">
        <f>IF(AND($A166="",$B166=""),"",IF(Z166=0,"",IF(AND(AE166=1,N($R166)&gt;AD166*1.01+0.001),"Net terrestrial &gt; gross; ","")&amp;IF(AND(AE166=1,N($S166)&gt;AC166*1.01+0.001),"Net marine &gt; gross; ","")&amp;IF(AE166=0,"No net area – gross used, overlaps may be double-counted; ","")&amp;IF(AH166=0,"STATUS_YR missing – imputed in time series; ","")&amp;IF(AND(ISNUMBER($I166),N($I166)&gt;Setup!$B$6),"STATUS_YR after reporting year; ","")&amp;IF(OR($G166="",$G166="Not Reported"),"GOV_TYPE not reported; ","")&amp;IF(AND(N($J166)=1,$K166="Point",N($M166)&lt;=0),"Coastal point without REP_M_AREA – land/sea split unknown; ","")&amp;IF(AND(N($J166)=0,N($S166)&gt;0),"MARINE=0 but net marine &gt;0; ","")&amp;IF(AND(N($J166)=2,N($R166)&gt;0),"MARINE=2 but net terrestrial &gt;0; ","")&amp;IF($K166="Point","Buffered point – coverage approximate; ","")))</f>
        <v/>
      </c>
    </row>
    <row r="167">
      <c r="A167" s="19" t="n"/>
      <c r="B167" s="19" t="n"/>
      <c r="C167" s="19" t="n"/>
      <c r="D167" s="19" t="n"/>
      <c r="E167" s="19" t="n"/>
      <c r="F167" s="19" t="n"/>
      <c r="G167" s="19" t="n"/>
      <c r="H167" s="19" t="n"/>
      <c r="I167" s="19" t="n"/>
      <c r="J167" s="19" t="n"/>
      <c r="K167" s="19" t="n"/>
      <c r="L167" s="20" t="n"/>
      <c r="M167" s="20" t="n"/>
      <c r="N167" s="20" t="n"/>
      <c r="O167" s="20" t="n"/>
      <c r="P167" s="19" t="n"/>
      <c r="Q167" s="19" t="n"/>
      <c r="R167" s="20" t="n"/>
      <c r="S167" s="20" t="n"/>
      <c r="T167" s="19" t="n"/>
      <c r="U167" s="19" t="n"/>
      <c r="V167" s="19" t="n"/>
      <c r="W167" s="19" t="n"/>
      <c r="X167" s="19" t="n"/>
      <c r="Y167" s="19" t="n"/>
      <c r="Z167" s="21">
        <f>IF(AND($A167="",$B167=""),"",IF(OR($E167="",$H167="",$H167="Proposed",$H167="Not Reported"),0,IF(AND($P167="Y",$Q167&lt;&gt;"Y"),0,IF(AND($K167="Point",N($L167)&lt;=0),0,IF(AND(N($L167)&lt;=0,N($N167)&lt;=0,N($R167)+N($S167)&lt;=0),0,1)))))</f>
        <v/>
      </c>
      <c r="AA167" s="21">
        <f>IF(AND($A167="",$B167=""),"",IF($E167="","Site type missing",IF($H167="","STATUS missing",IF($H167="Proposed","STATUS = Proposed",IF($H167="Not Reported","STATUS = Not Reported",IF(AND($P167="Y",$Q167&lt;&gt;"Y"),"UNESCO-MAB Biosphere Reserve",IF(AND($K167="Point",N($L167)&lt;=0),"Point without REP_AREA",IF(AND(N($L167)&lt;=0,N($N167)&lt;=0,N($R167)+N($S167)&lt;=0),"No area information",""))))))))</f>
        <v/>
      </c>
      <c r="AB167" s="22">
        <f>IF(AND($A167="",$B167=""),"",IF($K167="Point",N($L167),IF(N($N167)&gt;0,N($N167),N($L167))))</f>
        <v/>
      </c>
      <c r="AC167" s="22">
        <f>IF(AND($A167="",$B167=""),"",MIN(AB167,IF(N($J167)=0,0,IF(N($J167)=2,AB167,IF(AND($K167&lt;&gt;"Point",N($O167)&gt;0),N($O167),N($M167))))))</f>
        <v/>
      </c>
      <c r="AD167" s="22">
        <f>IF(AND($A167="",$B167=""),"",MAX(0,AB167-AC167))</f>
        <v/>
      </c>
      <c r="AE167" s="21">
        <f>IF(AND($A167="",$B167=""),"",IF(OR($R167&lt;&gt;"",$S167&lt;&gt;""),1,0))</f>
        <v/>
      </c>
      <c r="AF167" s="22">
        <f>IF(AND($A167="",$B167=""),"",IF(Z167=1,IF(AE167=1,N($R167),AD167),0))</f>
        <v/>
      </c>
      <c r="AG167" s="22">
        <f>IF(AND($A167="",$B167=""),"",IF(Z167=1,IF(AE167=1,N($S167),AC167),0))</f>
        <v/>
      </c>
      <c r="AH167" s="21">
        <f>IF(AND($A167="",$B167=""),"",IF(AND(ISNUMBER($I167),N($I167)&gt;0),$I167,0))</f>
        <v/>
      </c>
      <c r="AI167" s="23">
        <f>IF(AND(NOT(AND($A167="",$B167="")),$K167="Point",N($L167)&gt;0),SQRT(N($L167)/PI()),"")</f>
        <v/>
      </c>
      <c r="AJ167" s="21">
        <f>IF(AND($A167="",$B167=""),"",IFERROR(VLOOKUP($G167,Lists!$D$4:$E$15,2,FALSE),"Not reported"))</f>
        <v/>
      </c>
      <c r="AK167" s="21">
        <f>IF(AND($A167="",$B167=""),"",IF($X167&lt;&gt;"",$X167,IF($T167&lt;&gt;"Y","Not assessed",IF(AND(ISNUMBER($V167),Setup!$B$6-$V167&gt;Setup!$B$26),"Assessment outdated",IF(NOT(ISNUMBER($W167)),"Assessed – no score",IF($W167&gt;=Setup!$B$24,"High",IF($W167&gt;=Setup!$B$25,"Moderate","Low")))))))</f>
        <v/>
      </c>
      <c r="AL167" s="21">
        <f>IF(AND($A167="",$B167=""),"",IF(Z167=0,"",IF(AND(AE167=1,N($R167)&gt;AD167*1.01+0.001),"Net terrestrial &gt; gross; ","")&amp;IF(AND(AE167=1,N($S167)&gt;AC167*1.01+0.001),"Net marine &gt; gross; ","")&amp;IF(AE167=0,"No net area – gross used, overlaps may be double-counted; ","")&amp;IF(AH167=0,"STATUS_YR missing – imputed in time series; ","")&amp;IF(AND(ISNUMBER($I167),N($I167)&gt;Setup!$B$6),"STATUS_YR after reporting year; ","")&amp;IF(OR($G167="",$G167="Not Reported"),"GOV_TYPE not reported; ","")&amp;IF(AND(N($J167)=1,$K167="Point",N($M167)&lt;=0),"Coastal point without REP_M_AREA – land/sea split unknown; ","")&amp;IF(AND(N($J167)=0,N($S167)&gt;0),"MARINE=0 but net marine &gt;0; ","")&amp;IF(AND(N($J167)=2,N($R167)&gt;0),"MARINE=2 but net terrestrial &gt;0; ","")&amp;IF($K167="Point","Buffered point – coverage approximate; ","")))</f>
        <v/>
      </c>
    </row>
    <row r="168">
      <c r="A168" s="19" t="n"/>
      <c r="B168" s="19" t="n"/>
      <c r="C168" s="19" t="n"/>
      <c r="D168" s="19" t="n"/>
      <c r="E168" s="19" t="n"/>
      <c r="F168" s="19" t="n"/>
      <c r="G168" s="19" t="n"/>
      <c r="H168" s="19" t="n"/>
      <c r="I168" s="19" t="n"/>
      <c r="J168" s="19" t="n"/>
      <c r="K168" s="19" t="n"/>
      <c r="L168" s="20" t="n"/>
      <c r="M168" s="20" t="n"/>
      <c r="N168" s="20" t="n"/>
      <c r="O168" s="20" t="n"/>
      <c r="P168" s="19" t="n"/>
      <c r="Q168" s="19" t="n"/>
      <c r="R168" s="20" t="n"/>
      <c r="S168" s="20" t="n"/>
      <c r="T168" s="19" t="n"/>
      <c r="U168" s="19" t="n"/>
      <c r="V168" s="19" t="n"/>
      <c r="W168" s="19" t="n"/>
      <c r="X168" s="19" t="n"/>
      <c r="Y168" s="19" t="n"/>
      <c r="Z168" s="21">
        <f>IF(AND($A168="",$B168=""),"",IF(OR($E168="",$H168="",$H168="Proposed",$H168="Not Reported"),0,IF(AND($P168="Y",$Q168&lt;&gt;"Y"),0,IF(AND($K168="Point",N($L168)&lt;=0),0,IF(AND(N($L168)&lt;=0,N($N168)&lt;=0,N($R168)+N($S168)&lt;=0),0,1)))))</f>
        <v/>
      </c>
      <c r="AA168" s="21">
        <f>IF(AND($A168="",$B168=""),"",IF($E168="","Site type missing",IF($H168="","STATUS missing",IF($H168="Proposed","STATUS = Proposed",IF($H168="Not Reported","STATUS = Not Reported",IF(AND($P168="Y",$Q168&lt;&gt;"Y"),"UNESCO-MAB Biosphere Reserve",IF(AND($K168="Point",N($L168)&lt;=0),"Point without REP_AREA",IF(AND(N($L168)&lt;=0,N($N168)&lt;=0,N($R168)+N($S168)&lt;=0),"No area information",""))))))))</f>
        <v/>
      </c>
      <c r="AB168" s="22">
        <f>IF(AND($A168="",$B168=""),"",IF($K168="Point",N($L168),IF(N($N168)&gt;0,N($N168),N($L168))))</f>
        <v/>
      </c>
      <c r="AC168" s="22">
        <f>IF(AND($A168="",$B168=""),"",MIN(AB168,IF(N($J168)=0,0,IF(N($J168)=2,AB168,IF(AND($K168&lt;&gt;"Point",N($O168)&gt;0),N($O168),N($M168))))))</f>
        <v/>
      </c>
      <c r="AD168" s="22">
        <f>IF(AND($A168="",$B168=""),"",MAX(0,AB168-AC168))</f>
        <v/>
      </c>
      <c r="AE168" s="21">
        <f>IF(AND($A168="",$B168=""),"",IF(OR($R168&lt;&gt;"",$S168&lt;&gt;""),1,0))</f>
        <v/>
      </c>
      <c r="AF168" s="22">
        <f>IF(AND($A168="",$B168=""),"",IF(Z168=1,IF(AE168=1,N($R168),AD168),0))</f>
        <v/>
      </c>
      <c r="AG168" s="22">
        <f>IF(AND($A168="",$B168=""),"",IF(Z168=1,IF(AE168=1,N($S168),AC168),0))</f>
        <v/>
      </c>
      <c r="AH168" s="21">
        <f>IF(AND($A168="",$B168=""),"",IF(AND(ISNUMBER($I168),N($I168)&gt;0),$I168,0))</f>
        <v/>
      </c>
      <c r="AI168" s="23">
        <f>IF(AND(NOT(AND($A168="",$B168="")),$K168="Point",N($L168)&gt;0),SQRT(N($L168)/PI()),"")</f>
        <v/>
      </c>
      <c r="AJ168" s="21">
        <f>IF(AND($A168="",$B168=""),"",IFERROR(VLOOKUP($G168,Lists!$D$4:$E$15,2,FALSE),"Not reported"))</f>
        <v/>
      </c>
      <c r="AK168" s="21">
        <f>IF(AND($A168="",$B168=""),"",IF($X168&lt;&gt;"",$X168,IF($T168&lt;&gt;"Y","Not assessed",IF(AND(ISNUMBER($V168),Setup!$B$6-$V168&gt;Setup!$B$26),"Assessment outdated",IF(NOT(ISNUMBER($W168)),"Assessed – no score",IF($W168&gt;=Setup!$B$24,"High",IF($W168&gt;=Setup!$B$25,"Moderate","Low")))))))</f>
        <v/>
      </c>
      <c r="AL168" s="21">
        <f>IF(AND($A168="",$B168=""),"",IF(Z168=0,"",IF(AND(AE168=1,N($R168)&gt;AD168*1.01+0.001),"Net terrestrial &gt; gross; ","")&amp;IF(AND(AE168=1,N($S168)&gt;AC168*1.01+0.001),"Net marine &gt; gross; ","")&amp;IF(AE168=0,"No net area – gross used, overlaps may be double-counted; ","")&amp;IF(AH168=0,"STATUS_YR missing – imputed in time series; ","")&amp;IF(AND(ISNUMBER($I168),N($I168)&gt;Setup!$B$6),"STATUS_YR after reporting year; ","")&amp;IF(OR($G168="",$G168="Not Reported"),"GOV_TYPE not reported; ","")&amp;IF(AND(N($J168)=1,$K168="Point",N($M168)&lt;=0),"Coastal point without REP_M_AREA – land/sea split unknown; ","")&amp;IF(AND(N($J168)=0,N($S168)&gt;0),"MARINE=0 but net marine &gt;0; ","")&amp;IF(AND(N($J168)=2,N($R168)&gt;0),"MARINE=2 but net terrestrial &gt;0; ","")&amp;IF($K168="Point","Buffered point – coverage approximate; ","")))</f>
        <v/>
      </c>
    </row>
    <row r="169">
      <c r="A169" s="19" t="n"/>
      <c r="B169" s="19" t="n"/>
      <c r="C169" s="19" t="n"/>
      <c r="D169" s="19" t="n"/>
      <c r="E169" s="19" t="n"/>
      <c r="F169" s="19" t="n"/>
      <c r="G169" s="19" t="n"/>
      <c r="H169" s="19" t="n"/>
      <c r="I169" s="19" t="n"/>
      <c r="J169" s="19" t="n"/>
      <c r="K169" s="19" t="n"/>
      <c r="L169" s="20" t="n"/>
      <c r="M169" s="20" t="n"/>
      <c r="N169" s="20" t="n"/>
      <c r="O169" s="20" t="n"/>
      <c r="P169" s="19" t="n"/>
      <c r="Q169" s="19" t="n"/>
      <c r="R169" s="20" t="n"/>
      <c r="S169" s="20" t="n"/>
      <c r="T169" s="19" t="n"/>
      <c r="U169" s="19" t="n"/>
      <c r="V169" s="19" t="n"/>
      <c r="W169" s="19" t="n"/>
      <c r="X169" s="19" t="n"/>
      <c r="Y169" s="19" t="n"/>
      <c r="Z169" s="21">
        <f>IF(AND($A169="",$B169=""),"",IF(OR($E169="",$H169="",$H169="Proposed",$H169="Not Reported"),0,IF(AND($P169="Y",$Q169&lt;&gt;"Y"),0,IF(AND($K169="Point",N($L169)&lt;=0),0,IF(AND(N($L169)&lt;=0,N($N169)&lt;=0,N($R169)+N($S169)&lt;=0),0,1)))))</f>
        <v/>
      </c>
      <c r="AA169" s="21">
        <f>IF(AND($A169="",$B169=""),"",IF($E169="","Site type missing",IF($H169="","STATUS missing",IF($H169="Proposed","STATUS = Proposed",IF($H169="Not Reported","STATUS = Not Reported",IF(AND($P169="Y",$Q169&lt;&gt;"Y"),"UNESCO-MAB Biosphere Reserve",IF(AND($K169="Point",N($L169)&lt;=0),"Point without REP_AREA",IF(AND(N($L169)&lt;=0,N($N169)&lt;=0,N($R169)+N($S169)&lt;=0),"No area information",""))))))))</f>
        <v/>
      </c>
      <c r="AB169" s="22">
        <f>IF(AND($A169="",$B169=""),"",IF($K169="Point",N($L169),IF(N($N169)&gt;0,N($N169),N($L169))))</f>
        <v/>
      </c>
      <c r="AC169" s="22">
        <f>IF(AND($A169="",$B169=""),"",MIN(AB169,IF(N($J169)=0,0,IF(N($J169)=2,AB169,IF(AND($K169&lt;&gt;"Point",N($O169)&gt;0),N($O169),N($M169))))))</f>
        <v/>
      </c>
      <c r="AD169" s="22">
        <f>IF(AND($A169="",$B169=""),"",MAX(0,AB169-AC169))</f>
        <v/>
      </c>
      <c r="AE169" s="21">
        <f>IF(AND($A169="",$B169=""),"",IF(OR($R169&lt;&gt;"",$S169&lt;&gt;""),1,0))</f>
        <v/>
      </c>
      <c r="AF169" s="22">
        <f>IF(AND($A169="",$B169=""),"",IF(Z169=1,IF(AE169=1,N($R169),AD169),0))</f>
        <v/>
      </c>
      <c r="AG169" s="22">
        <f>IF(AND($A169="",$B169=""),"",IF(Z169=1,IF(AE169=1,N($S169),AC169),0))</f>
        <v/>
      </c>
      <c r="AH169" s="21">
        <f>IF(AND($A169="",$B169=""),"",IF(AND(ISNUMBER($I169),N($I169)&gt;0),$I169,0))</f>
        <v/>
      </c>
      <c r="AI169" s="23">
        <f>IF(AND(NOT(AND($A169="",$B169="")),$K169="Point",N($L169)&gt;0),SQRT(N($L169)/PI()),"")</f>
        <v/>
      </c>
      <c r="AJ169" s="21">
        <f>IF(AND($A169="",$B169=""),"",IFERROR(VLOOKUP($G169,Lists!$D$4:$E$15,2,FALSE),"Not reported"))</f>
        <v/>
      </c>
      <c r="AK169" s="21">
        <f>IF(AND($A169="",$B169=""),"",IF($X169&lt;&gt;"",$X169,IF($T169&lt;&gt;"Y","Not assessed",IF(AND(ISNUMBER($V169),Setup!$B$6-$V169&gt;Setup!$B$26),"Assessment outdated",IF(NOT(ISNUMBER($W169)),"Assessed – no score",IF($W169&gt;=Setup!$B$24,"High",IF($W169&gt;=Setup!$B$25,"Moderate","Low")))))))</f>
        <v/>
      </c>
      <c r="AL169" s="21">
        <f>IF(AND($A169="",$B169=""),"",IF(Z169=0,"",IF(AND(AE169=1,N($R169)&gt;AD169*1.01+0.001),"Net terrestrial &gt; gross; ","")&amp;IF(AND(AE169=1,N($S169)&gt;AC169*1.01+0.001),"Net marine &gt; gross; ","")&amp;IF(AE169=0,"No net area – gross used, overlaps may be double-counted; ","")&amp;IF(AH169=0,"STATUS_YR missing – imputed in time series; ","")&amp;IF(AND(ISNUMBER($I169),N($I169)&gt;Setup!$B$6),"STATUS_YR after reporting year; ","")&amp;IF(OR($G169="",$G169="Not Reported"),"GOV_TYPE not reported; ","")&amp;IF(AND(N($J169)=1,$K169="Point",N($M169)&lt;=0),"Coastal point without REP_M_AREA – land/sea split unknown; ","")&amp;IF(AND(N($J169)=0,N($S169)&gt;0),"MARINE=0 but net marine &gt;0; ","")&amp;IF(AND(N($J169)=2,N($R169)&gt;0),"MARINE=2 but net terrestrial &gt;0; ","")&amp;IF($K169="Point","Buffered point – coverage approximate; ","")))</f>
        <v/>
      </c>
    </row>
    <row r="170">
      <c r="A170" s="19" t="n"/>
      <c r="B170" s="19" t="n"/>
      <c r="C170" s="19" t="n"/>
      <c r="D170" s="19" t="n"/>
      <c r="E170" s="19" t="n"/>
      <c r="F170" s="19" t="n"/>
      <c r="G170" s="19" t="n"/>
      <c r="H170" s="19" t="n"/>
      <c r="I170" s="19" t="n"/>
      <c r="J170" s="19" t="n"/>
      <c r="K170" s="19" t="n"/>
      <c r="L170" s="20" t="n"/>
      <c r="M170" s="20" t="n"/>
      <c r="N170" s="20" t="n"/>
      <c r="O170" s="20" t="n"/>
      <c r="P170" s="19" t="n"/>
      <c r="Q170" s="19" t="n"/>
      <c r="R170" s="20" t="n"/>
      <c r="S170" s="20" t="n"/>
      <c r="T170" s="19" t="n"/>
      <c r="U170" s="19" t="n"/>
      <c r="V170" s="19" t="n"/>
      <c r="W170" s="19" t="n"/>
      <c r="X170" s="19" t="n"/>
      <c r="Y170" s="19" t="n"/>
      <c r="Z170" s="21">
        <f>IF(AND($A170="",$B170=""),"",IF(OR($E170="",$H170="",$H170="Proposed",$H170="Not Reported"),0,IF(AND($P170="Y",$Q170&lt;&gt;"Y"),0,IF(AND($K170="Point",N($L170)&lt;=0),0,IF(AND(N($L170)&lt;=0,N($N170)&lt;=0,N($R170)+N($S170)&lt;=0),0,1)))))</f>
        <v/>
      </c>
      <c r="AA170" s="21">
        <f>IF(AND($A170="",$B170=""),"",IF($E170="","Site type missing",IF($H170="","STATUS missing",IF($H170="Proposed","STATUS = Proposed",IF($H170="Not Reported","STATUS = Not Reported",IF(AND($P170="Y",$Q170&lt;&gt;"Y"),"UNESCO-MAB Biosphere Reserve",IF(AND($K170="Point",N($L170)&lt;=0),"Point without REP_AREA",IF(AND(N($L170)&lt;=0,N($N170)&lt;=0,N($R170)+N($S170)&lt;=0),"No area information",""))))))))</f>
        <v/>
      </c>
      <c r="AB170" s="22">
        <f>IF(AND($A170="",$B170=""),"",IF($K170="Point",N($L170),IF(N($N170)&gt;0,N($N170),N($L170))))</f>
        <v/>
      </c>
      <c r="AC170" s="22">
        <f>IF(AND($A170="",$B170=""),"",MIN(AB170,IF(N($J170)=0,0,IF(N($J170)=2,AB170,IF(AND($K170&lt;&gt;"Point",N($O170)&gt;0),N($O170),N($M170))))))</f>
        <v/>
      </c>
      <c r="AD170" s="22">
        <f>IF(AND($A170="",$B170=""),"",MAX(0,AB170-AC170))</f>
        <v/>
      </c>
      <c r="AE170" s="21">
        <f>IF(AND($A170="",$B170=""),"",IF(OR($R170&lt;&gt;"",$S170&lt;&gt;""),1,0))</f>
        <v/>
      </c>
      <c r="AF170" s="22">
        <f>IF(AND($A170="",$B170=""),"",IF(Z170=1,IF(AE170=1,N($R170),AD170),0))</f>
        <v/>
      </c>
      <c r="AG170" s="22">
        <f>IF(AND($A170="",$B170=""),"",IF(Z170=1,IF(AE170=1,N($S170),AC170),0))</f>
        <v/>
      </c>
      <c r="AH170" s="21">
        <f>IF(AND($A170="",$B170=""),"",IF(AND(ISNUMBER($I170),N($I170)&gt;0),$I170,0))</f>
        <v/>
      </c>
      <c r="AI170" s="23">
        <f>IF(AND(NOT(AND($A170="",$B170="")),$K170="Point",N($L170)&gt;0),SQRT(N($L170)/PI()),"")</f>
        <v/>
      </c>
      <c r="AJ170" s="21">
        <f>IF(AND($A170="",$B170=""),"",IFERROR(VLOOKUP($G170,Lists!$D$4:$E$15,2,FALSE),"Not reported"))</f>
        <v/>
      </c>
      <c r="AK170" s="21">
        <f>IF(AND($A170="",$B170=""),"",IF($X170&lt;&gt;"",$X170,IF($T170&lt;&gt;"Y","Not assessed",IF(AND(ISNUMBER($V170),Setup!$B$6-$V170&gt;Setup!$B$26),"Assessment outdated",IF(NOT(ISNUMBER($W170)),"Assessed – no score",IF($W170&gt;=Setup!$B$24,"High",IF($W170&gt;=Setup!$B$25,"Moderate","Low")))))))</f>
        <v/>
      </c>
      <c r="AL170" s="21">
        <f>IF(AND($A170="",$B170=""),"",IF(Z170=0,"",IF(AND(AE170=1,N($R170)&gt;AD170*1.01+0.001),"Net terrestrial &gt; gross; ","")&amp;IF(AND(AE170=1,N($S170)&gt;AC170*1.01+0.001),"Net marine &gt; gross; ","")&amp;IF(AE170=0,"No net area – gross used, overlaps may be double-counted; ","")&amp;IF(AH170=0,"STATUS_YR missing – imputed in time series; ","")&amp;IF(AND(ISNUMBER($I170),N($I170)&gt;Setup!$B$6),"STATUS_YR after reporting year; ","")&amp;IF(OR($G170="",$G170="Not Reported"),"GOV_TYPE not reported; ","")&amp;IF(AND(N($J170)=1,$K170="Point",N($M170)&lt;=0),"Coastal point without REP_M_AREA – land/sea split unknown; ","")&amp;IF(AND(N($J170)=0,N($S170)&gt;0),"MARINE=0 but net marine &gt;0; ","")&amp;IF(AND(N($J170)=2,N($R170)&gt;0),"MARINE=2 but net terrestrial &gt;0; ","")&amp;IF($K170="Point","Buffered point – coverage approximate; ","")))</f>
        <v/>
      </c>
    </row>
    <row r="171">
      <c r="A171" s="19" t="n"/>
      <c r="B171" s="19" t="n"/>
      <c r="C171" s="19" t="n"/>
      <c r="D171" s="19" t="n"/>
      <c r="E171" s="19" t="n"/>
      <c r="F171" s="19" t="n"/>
      <c r="G171" s="19" t="n"/>
      <c r="H171" s="19" t="n"/>
      <c r="I171" s="19" t="n"/>
      <c r="J171" s="19" t="n"/>
      <c r="K171" s="19" t="n"/>
      <c r="L171" s="20" t="n"/>
      <c r="M171" s="20" t="n"/>
      <c r="N171" s="20" t="n"/>
      <c r="O171" s="20" t="n"/>
      <c r="P171" s="19" t="n"/>
      <c r="Q171" s="19" t="n"/>
      <c r="R171" s="20" t="n"/>
      <c r="S171" s="20" t="n"/>
      <c r="T171" s="19" t="n"/>
      <c r="U171" s="19" t="n"/>
      <c r="V171" s="19" t="n"/>
      <c r="W171" s="19" t="n"/>
      <c r="X171" s="19" t="n"/>
      <c r="Y171" s="19" t="n"/>
      <c r="Z171" s="21">
        <f>IF(AND($A171="",$B171=""),"",IF(OR($E171="",$H171="",$H171="Proposed",$H171="Not Reported"),0,IF(AND($P171="Y",$Q171&lt;&gt;"Y"),0,IF(AND($K171="Point",N($L171)&lt;=0),0,IF(AND(N($L171)&lt;=0,N($N171)&lt;=0,N($R171)+N($S171)&lt;=0),0,1)))))</f>
        <v/>
      </c>
      <c r="AA171" s="21">
        <f>IF(AND($A171="",$B171=""),"",IF($E171="","Site type missing",IF($H171="","STATUS missing",IF($H171="Proposed","STATUS = Proposed",IF($H171="Not Reported","STATUS = Not Reported",IF(AND($P171="Y",$Q171&lt;&gt;"Y"),"UNESCO-MAB Biosphere Reserve",IF(AND($K171="Point",N($L171)&lt;=0),"Point without REP_AREA",IF(AND(N($L171)&lt;=0,N($N171)&lt;=0,N($R171)+N($S171)&lt;=0),"No area information",""))))))))</f>
        <v/>
      </c>
      <c r="AB171" s="22">
        <f>IF(AND($A171="",$B171=""),"",IF($K171="Point",N($L171),IF(N($N171)&gt;0,N($N171),N($L171))))</f>
        <v/>
      </c>
      <c r="AC171" s="22">
        <f>IF(AND($A171="",$B171=""),"",MIN(AB171,IF(N($J171)=0,0,IF(N($J171)=2,AB171,IF(AND($K171&lt;&gt;"Point",N($O171)&gt;0),N($O171),N($M171))))))</f>
        <v/>
      </c>
      <c r="AD171" s="22">
        <f>IF(AND($A171="",$B171=""),"",MAX(0,AB171-AC171))</f>
        <v/>
      </c>
      <c r="AE171" s="21">
        <f>IF(AND($A171="",$B171=""),"",IF(OR($R171&lt;&gt;"",$S171&lt;&gt;""),1,0))</f>
        <v/>
      </c>
      <c r="AF171" s="22">
        <f>IF(AND($A171="",$B171=""),"",IF(Z171=1,IF(AE171=1,N($R171),AD171),0))</f>
        <v/>
      </c>
      <c r="AG171" s="22">
        <f>IF(AND($A171="",$B171=""),"",IF(Z171=1,IF(AE171=1,N($S171),AC171),0))</f>
        <v/>
      </c>
      <c r="AH171" s="21">
        <f>IF(AND($A171="",$B171=""),"",IF(AND(ISNUMBER($I171),N($I171)&gt;0),$I171,0))</f>
        <v/>
      </c>
      <c r="AI171" s="23">
        <f>IF(AND(NOT(AND($A171="",$B171="")),$K171="Point",N($L171)&gt;0),SQRT(N($L171)/PI()),"")</f>
        <v/>
      </c>
      <c r="AJ171" s="21">
        <f>IF(AND($A171="",$B171=""),"",IFERROR(VLOOKUP($G171,Lists!$D$4:$E$15,2,FALSE),"Not reported"))</f>
        <v/>
      </c>
      <c r="AK171" s="21">
        <f>IF(AND($A171="",$B171=""),"",IF($X171&lt;&gt;"",$X171,IF($T171&lt;&gt;"Y","Not assessed",IF(AND(ISNUMBER($V171),Setup!$B$6-$V171&gt;Setup!$B$26),"Assessment outdated",IF(NOT(ISNUMBER($W171)),"Assessed – no score",IF($W171&gt;=Setup!$B$24,"High",IF($W171&gt;=Setup!$B$25,"Moderate","Low")))))))</f>
        <v/>
      </c>
      <c r="AL171" s="21">
        <f>IF(AND($A171="",$B171=""),"",IF(Z171=0,"",IF(AND(AE171=1,N($R171)&gt;AD171*1.01+0.001),"Net terrestrial &gt; gross; ","")&amp;IF(AND(AE171=1,N($S171)&gt;AC171*1.01+0.001),"Net marine &gt; gross; ","")&amp;IF(AE171=0,"No net area – gross used, overlaps may be double-counted; ","")&amp;IF(AH171=0,"STATUS_YR missing – imputed in time series; ","")&amp;IF(AND(ISNUMBER($I171),N($I171)&gt;Setup!$B$6),"STATUS_YR after reporting year; ","")&amp;IF(OR($G171="",$G171="Not Reported"),"GOV_TYPE not reported; ","")&amp;IF(AND(N($J171)=1,$K171="Point",N($M171)&lt;=0),"Coastal point without REP_M_AREA – land/sea split unknown; ","")&amp;IF(AND(N($J171)=0,N($S171)&gt;0),"MARINE=0 but net marine &gt;0; ","")&amp;IF(AND(N($J171)=2,N($R171)&gt;0),"MARINE=2 but net terrestrial &gt;0; ","")&amp;IF($K171="Point","Buffered point – coverage approximate; ","")))</f>
        <v/>
      </c>
    </row>
    <row r="172">
      <c r="A172" s="19" t="n"/>
      <c r="B172" s="19" t="n"/>
      <c r="C172" s="19" t="n"/>
      <c r="D172" s="19" t="n"/>
      <c r="E172" s="19" t="n"/>
      <c r="F172" s="19" t="n"/>
      <c r="G172" s="19" t="n"/>
      <c r="H172" s="19" t="n"/>
      <c r="I172" s="19" t="n"/>
      <c r="J172" s="19" t="n"/>
      <c r="K172" s="19" t="n"/>
      <c r="L172" s="20" t="n"/>
      <c r="M172" s="20" t="n"/>
      <c r="N172" s="20" t="n"/>
      <c r="O172" s="20" t="n"/>
      <c r="P172" s="19" t="n"/>
      <c r="Q172" s="19" t="n"/>
      <c r="R172" s="20" t="n"/>
      <c r="S172" s="20" t="n"/>
      <c r="T172" s="19" t="n"/>
      <c r="U172" s="19" t="n"/>
      <c r="V172" s="19" t="n"/>
      <c r="W172" s="19" t="n"/>
      <c r="X172" s="19" t="n"/>
      <c r="Y172" s="19" t="n"/>
      <c r="Z172" s="21">
        <f>IF(AND($A172="",$B172=""),"",IF(OR($E172="",$H172="",$H172="Proposed",$H172="Not Reported"),0,IF(AND($P172="Y",$Q172&lt;&gt;"Y"),0,IF(AND($K172="Point",N($L172)&lt;=0),0,IF(AND(N($L172)&lt;=0,N($N172)&lt;=0,N($R172)+N($S172)&lt;=0),0,1)))))</f>
        <v/>
      </c>
      <c r="AA172" s="21">
        <f>IF(AND($A172="",$B172=""),"",IF($E172="","Site type missing",IF($H172="","STATUS missing",IF($H172="Proposed","STATUS = Proposed",IF($H172="Not Reported","STATUS = Not Reported",IF(AND($P172="Y",$Q172&lt;&gt;"Y"),"UNESCO-MAB Biosphere Reserve",IF(AND($K172="Point",N($L172)&lt;=0),"Point without REP_AREA",IF(AND(N($L172)&lt;=0,N($N172)&lt;=0,N($R172)+N($S172)&lt;=0),"No area information",""))))))))</f>
        <v/>
      </c>
      <c r="AB172" s="22">
        <f>IF(AND($A172="",$B172=""),"",IF($K172="Point",N($L172),IF(N($N172)&gt;0,N($N172),N($L172))))</f>
        <v/>
      </c>
      <c r="AC172" s="22">
        <f>IF(AND($A172="",$B172=""),"",MIN(AB172,IF(N($J172)=0,0,IF(N($J172)=2,AB172,IF(AND($K172&lt;&gt;"Point",N($O172)&gt;0),N($O172),N($M172))))))</f>
        <v/>
      </c>
      <c r="AD172" s="22">
        <f>IF(AND($A172="",$B172=""),"",MAX(0,AB172-AC172))</f>
        <v/>
      </c>
      <c r="AE172" s="21">
        <f>IF(AND($A172="",$B172=""),"",IF(OR($R172&lt;&gt;"",$S172&lt;&gt;""),1,0))</f>
        <v/>
      </c>
      <c r="AF172" s="22">
        <f>IF(AND($A172="",$B172=""),"",IF(Z172=1,IF(AE172=1,N($R172),AD172),0))</f>
        <v/>
      </c>
      <c r="AG172" s="22">
        <f>IF(AND($A172="",$B172=""),"",IF(Z172=1,IF(AE172=1,N($S172),AC172),0))</f>
        <v/>
      </c>
      <c r="AH172" s="21">
        <f>IF(AND($A172="",$B172=""),"",IF(AND(ISNUMBER($I172),N($I172)&gt;0),$I172,0))</f>
        <v/>
      </c>
      <c r="AI172" s="23">
        <f>IF(AND(NOT(AND($A172="",$B172="")),$K172="Point",N($L172)&gt;0),SQRT(N($L172)/PI()),"")</f>
        <v/>
      </c>
      <c r="AJ172" s="21">
        <f>IF(AND($A172="",$B172=""),"",IFERROR(VLOOKUP($G172,Lists!$D$4:$E$15,2,FALSE),"Not reported"))</f>
        <v/>
      </c>
      <c r="AK172" s="21">
        <f>IF(AND($A172="",$B172=""),"",IF($X172&lt;&gt;"",$X172,IF($T172&lt;&gt;"Y","Not assessed",IF(AND(ISNUMBER($V172),Setup!$B$6-$V172&gt;Setup!$B$26),"Assessment outdated",IF(NOT(ISNUMBER($W172)),"Assessed – no score",IF($W172&gt;=Setup!$B$24,"High",IF($W172&gt;=Setup!$B$25,"Moderate","Low")))))))</f>
        <v/>
      </c>
      <c r="AL172" s="21">
        <f>IF(AND($A172="",$B172=""),"",IF(Z172=0,"",IF(AND(AE172=1,N($R172)&gt;AD172*1.01+0.001),"Net terrestrial &gt; gross; ","")&amp;IF(AND(AE172=1,N($S172)&gt;AC172*1.01+0.001),"Net marine &gt; gross; ","")&amp;IF(AE172=0,"No net area – gross used, overlaps may be double-counted; ","")&amp;IF(AH172=0,"STATUS_YR missing – imputed in time series; ","")&amp;IF(AND(ISNUMBER($I172),N($I172)&gt;Setup!$B$6),"STATUS_YR after reporting year; ","")&amp;IF(OR($G172="",$G172="Not Reported"),"GOV_TYPE not reported; ","")&amp;IF(AND(N($J172)=1,$K172="Point",N($M172)&lt;=0),"Coastal point without REP_M_AREA – land/sea split unknown; ","")&amp;IF(AND(N($J172)=0,N($S172)&gt;0),"MARINE=0 but net marine &gt;0; ","")&amp;IF(AND(N($J172)=2,N($R172)&gt;0),"MARINE=2 but net terrestrial &gt;0; ","")&amp;IF($K172="Point","Buffered point – coverage approximate; ","")))</f>
        <v/>
      </c>
    </row>
    <row r="173">
      <c r="A173" s="19" t="n"/>
      <c r="B173" s="19" t="n"/>
      <c r="C173" s="19" t="n"/>
      <c r="D173" s="19" t="n"/>
      <c r="E173" s="19" t="n"/>
      <c r="F173" s="19" t="n"/>
      <c r="G173" s="19" t="n"/>
      <c r="H173" s="19" t="n"/>
      <c r="I173" s="19" t="n"/>
      <c r="J173" s="19" t="n"/>
      <c r="K173" s="19" t="n"/>
      <c r="L173" s="20" t="n"/>
      <c r="M173" s="20" t="n"/>
      <c r="N173" s="20" t="n"/>
      <c r="O173" s="20" t="n"/>
      <c r="P173" s="19" t="n"/>
      <c r="Q173" s="19" t="n"/>
      <c r="R173" s="20" t="n"/>
      <c r="S173" s="20" t="n"/>
      <c r="T173" s="19" t="n"/>
      <c r="U173" s="19" t="n"/>
      <c r="V173" s="19" t="n"/>
      <c r="W173" s="19" t="n"/>
      <c r="X173" s="19" t="n"/>
      <c r="Y173" s="19" t="n"/>
      <c r="Z173" s="21">
        <f>IF(AND($A173="",$B173=""),"",IF(OR($E173="",$H173="",$H173="Proposed",$H173="Not Reported"),0,IF(AND($P173="Y",$Q173&lt;&gt;"Y"),0,IF(AND($K173="Point",N($L173)&lt;=0),0,IF(AND(N($L173)&lt;=0,N($N173)&lt;=0,N($R173)+N($S173)&lt;=0),0,1)))))</f>
        <v/>
      </c>
      <c r="AA173" s="21">
        <f>IF(AND($A173="",$B173=""),"",IF($E173="","Site type missing",IF($H173="","STATUS missing",IF($H173="Proposed","STATUS = Proposed",IF($H173="Not Reported","STATUS = Not Reported",IF(AND($P173="Y",$Q173&lt;&gt;"Y"),"UNESCO-MAB Biosphere Reserve",IF(AND($K173="Point",N($L173)&lt;=0),"Point without REP_AREA",IF(AND(N($L173)&lt;=0,N($N173)&lt;=0,N($R173)+N($S173)&lt;=0),"No area information",""))))))))</f>
        <v/>
      </c>
      <c r="AB173" s="22">
        <f>IF(AND($A173="",$B173=""),"",IF($K173="Point",N($L173),IF(N($N173)&gt;0,N($N173),N($L173))))</f>
        <v/>
      </c>
      <c r="AC173" s="22">
        <f>IF(AND($A173="",$B173=""),"",MIN(AB173,IF(N($J173)=0,0,IF(N($J173)=2,AB173,IF(AND($K173&lt;&gt;"Point",N($O173)&gt;0),N($O173),N($M173))))))</f>
        <v/>
      </c>
      <c r="AD173" s="22">
        <f>IF(AND($A173="",$B173=""),"",MAX(0,AB173-AC173))</f>
        <v/>
      </c>
      <c r="AE173" s="21">
        <f>IF(AND($A173="",$B173=""),"",IF(OR($R173&lt;&gt;"",$S173&lt;&gt;""),1,0))</f>
        <v/>
      </c>
      <c r="AF173" s="22">
        <f>IF(AND($A173="",$B173=""),"",IF(Z173=1,IF(AE173=1,N($R173),AD173),0))</f>
        <v/>
      </c>
      <c r="AG173" s="22">
        <f>IF(AND($A173="",$B173=""),"",IF(Z173=1,IF(AE173=1,N($S173),AC173),0))</f>
        <v/>
      </c>
      <c r="AH173" s="21">
        <f>IF(AND($A173="",$B173=""),"",IF(AND(ISNUMBER($I173),N($I173)&gt;0),$I173,0))</f>
        <v/>
      </c>
      <c r="AI173" s="23">
        <f>IF(AND(NOT(AND($A173="",$B173="")),$K173="Point",N($L173)&gt;0),SQRT(N($L173)/PI()),"")</f>
        <v/>
      </c>
      <c r="AJ173" s="21">
        <f>IF(AND($A173="",$B173=""),"",IFERROR(VLOOKUP($G173,Lists!$D$4:$E$15,2,FALSE),"Not reported"))</f>
        <v/>
      </c>
      <c r="AK173" s="21">
        <f>IF(AND($A173="",$B173=""),"",IF($X173&lt;&gt;"",$X173,IF($T173&lt;&gt;"Y","Not assessed",IF(AND(ISNUMBER($V173),Setup!$B$6-$V173&gt;Setup!$B$26),"Assessment outdated",IF(NOT(ISNUMBER($W173)),"Assessed – no score",IF($W173&gt;=Setup!$B$24,"High",IF($W173&gt;=Setup!$B$25,"Moderate","Low")))))))</f>
        <v/>
      </c>
      <c r="AL173" s="21">
        <f>IF(AND($A173="",$B173=""),"",IF(Z173=0,"",IF(AND(AE173=1,N($R173)&gt;AD173*1.01+0.001),"Net terrestrial &gt; gross; ","")&amp;IF(AND(AE173=1,N($S173)&gt;AC173*1.01+0.001),"Net marine &gt; gross; ","")&amp;IF(AE173=0,"No net area – gross used, overlaps may be double-counted; ","")&amp;IF(AH173=0,"STATUS_YR missing – imputed in time series; ","")&amp;IF(AND(ISNUMBER($I173),N($I173)&gt;Setup!$B$6),"STATUS_YR after reporting year; ","")&amp;IF(OR($G173="",$G173="Not Reported"),"GOV_TYPE not reported; ","")&amp;IF(AND(N($J173)=1,$K173="Point",N($M173)&lt;=0),"Coastal point without REP_M_AREA – land/sea split unknown; ","")&amp;IF(AND(N($J173)=0,N($S173)&gt;0),"MARINE=0 but net marine &gt;0; ","")&amp;IF(AND(N($J173)=2,N($R173)&gt;0),"MARINE=2 but net terrestrial &gt;0; ","")&amp;IF($K173="Point","Buffered point – coverage approximate; ","")))</f>
        <v/>
      </c>
    </row>
    <row r="174">
      <c r="A174" s="19" t="n"/>
      <c r="B174" s="19" t="n"/>
      <c r="C174" s="19" t="n"/>
      <c r="D174" s="19" t="n"/>
      <c r="E174" s="19" t="n"/>
      <c r="F174" s="19" t="n"/>
      <c r="G174" s="19" t="n"/>
      <c r="H174" s="19" t="n"/>
      <c r="I174" s="19" t="n"/>
      <c r="J174" s="19" t="n"/>
      <c r="K174" s="19" t="n"/>
      <c r="L174" s="20" t="n"/>
      <c r="M174" s="20" t="n"/>
      <c r="N174" s="20" t="n"/>
      <c r="O174" s="20" t="n"/>
      <c r="P174" s="19" t="n"/>
      <c r="Q174" s="19" t="n"/>
      <c r="R174" s="20" t="n"/>
      <c r="S174" s="20" t="n"/>
      <c r="T174" s="19" t="n"/>
      <c r="U174" s="19" t="n"/>
      <c r="V174" s="19" t="n"/>
      <c r="W174" s="19" t="n"/>
      <c r="X174" s="19" t="n"/>
      <c r="Y174" s="19" t="n"/>
      <c r="Z174" s="21">
        <f>IF(AND($A174="",$B174=""),"",IF(OR($E174="",$H174="",$H174="Proposed",$H174="Not Reported"),0,IF(AND($P174="Y",$Q174&lt;&gt;"Y"),0,IF(AND($K174="Point",N($L174)&lt;=0),0,IF(AND(N($L174)&lt;=0,N($N174)&lt;=0,N($R174)+N($S174)&lt;=0),0,1)))))</f>
        <v/>
      </c>
      <c r="AA174" s="21">
        <f>IF(AND($A174="",$B174=""),"",IF($E174="","Site type missing",IF($H174="","STATUS missing",IF($H174="Proposed","STATUS = Proposed",IF($H174="Not Reported","STATUS = Not Reported",IF(AND($P174="Y",$Q174&lt;&gt;"Y"),"UNESCO-MAB Biosphere Reserve",IF(AND($K174="Point",N($L174)&lt;=0),"Point without REP_AREA",IF(AND(N($L174)&lt;=0,N($N174)&lt;=0,N($R174)+N($S174)&lt;=0),"No area information",""))))))))</f>
        <v/>
      </c>
      <c r="AB174" s="22">
        <f>IF(AND($A174="",$B174=""),"",IF($K174="Point",N($L174),IF(N($N174)&gt;0,N($N174),N($L174))))</f>
        <v/>
      </c>
      <c r="AC174" s="22">
        <f>IF(AND($A174="",$B174=""),"",MIN(AB174,IF(N($J174)=0,0,IF(N($J174)=2,AB174,IF(AND($K174&lt;&gt;"Point",N($O174)&gt;0),N($O174),N($M174))))))</f>
        <v/>
      </c>
      <c r="AD174" s="22">
        <f>IF(AND($A174="",$B174=""),"",MAX(0,AB174-AC174))</f>
        <v/>
      </c>
      <c r="AE174" s="21">
        <f>IF(AND($A174="",$B174=""),"",IF(OR($R174&lt;&gt;"",$S174&lt;&gt;""),1,0))</f>
        <v/>
      </c>
      <c r="AF174" s="22">
        <f>IF(AND($A174="",$B174=""),"",IF(Z174=1,IF(AE174=1,N($R174),AD174),0))</f>
        <v/>
      </c>
      <c r="AG174" s="22">
        <f>IF(AND($A174="",$B174=""),"",IF(Z174=1,IF(AE174=1,N($S174),AC174),0))</f>
        <v/>
      </c>
      <c r="AH174" s="21">
        <f>IF(AND($A174="",$B174=""),"",IF(AND(ISNUMBER($I174),N($I174)&gt;0),$I174,0))</f>
        <v/>
      </c>
      <c r="AI174" s="23">
        <f>IF(AND(NOT(AND($A174="",$B174="")),$K174="Point",N($L174)&gt;0),SQRT(N($L174)/PI()),"")</f>
        <v/>
      </c>
      <c r="AJ174" s="21">
        <f>IF(AND($A174="",$B174=""),"",IFERROR(VLOOKUP($G174,Lists!$D$4:$E$15,2,FALSE),"Not reported"))</f>
        <v/>
      </c>
      <c r="AK174" s="21">
        <f>IF(AND($A174="",$B174=""),"",IF($X174&lt;&gt;"",$X174,IF($T174&lt;&gt;"Y","Not assessed",IF(AND(ISNUMBER($V174),Setup!$B$6-$V174&gt;Setup!$B$26),"Assessment outdated",IF(NOT(ISNUMBER($W174)),"Assessed – no score",IF($W174&gt;=Setup!$B$24,"High",IF($W174&gt;=Setup!$B$25,"Moderate","Low")))))))</f>
        <v/>
      </c>
      <c r="AL174" s="21">
        <f>IF(AND($A174="",$B174=""),"",IF(Z174=0,"",IF(AND(AE174=1,N($R174)&gt;AD174*1.01+0.001),"Net terrestrial &gt; gross; ","")&amp;IF(AND(AE174=1,N($S174)&gt;AC174*1.01+0.001),"Net marine &gt; gross; ","")&amp;IF(AE174=0,"No net area – gross used, overlaps may be double-counted; ","")&amp;IF(AH174=0,"STATUS_YR missing – imputed in time series; ","")&amp;IF(AND(ISNUMBER($I174),N($I174)&gt;Setup!$B$6),"STATUS_YR after reporting year; ","")&amp;IF(OR($G174="",$G174="Not Reported"),"GOV_TYPE not reported; ","")&amp;IF(AND(N($J174)=1,$K174="Point",N($M174)&lt;=0),"Coastal point without REP_M_AREA – land/sea split unknown; ","")&amp;IF(AND(N($J174)=0,N($S174)&gt;0),"MARINE=0 but net marine &gt;0; ","")&amp;IF(AND(N($J174)=2,N($R174)&gt;0),"MARINE=2 but net terrestrial &gt;0; ","")&amp;IF($K174="Point","Buffered point – coverage approximate; ","")))</f>
        <v/>
      </c>
    </row>
    <row r="175">
      <c r="A175" s="19" t="n"/>
      <c r="B175" s="19" t="n"/>
      <c r="C175" s="19" t="n"/>
      <c r="D175" s="19" t="n"/>
      <c r="E175" s="19" t="n"/>
      <c r="F175" s="19" t="n"/>
      <c r="G175" s="19" t="n"/>
      <c r="H175" s="19" t="n"/>
      <c r="I175" s="19" t="n"/>
      <c r="J175" s="19" t="n"/>
      <c r="K175" s="19" t="n"/>
      <c r="L175" s="20" t="n"/>
      <c r="M175" s="20" t="n"/>
      <c r="N175" s="20" t="n"/>
      <c r="O175" s="20" t="n"/>
      <c r="P175" s="19" t="n"/>
      <c r="Q175" s="19" t="n"/>
      <c r="R175" s="20" t="n"/>
      <c r="S175" s="20" t="n"/>
      <c r="T175" s="19" t="n"/>
      <c r="U175" s="19" t="n"/>
      <c r="V175" s="19" t="n"/>
      <c r="W175" s="19" t="n"/>
      <c r="X175" s="19" t="n"/>
      <c r="Y175" s="19" t="n"/>
      <c r="Z175" s="21">
        <f>IF(AND($A175="",$B175=""),"",IF(OR($E175="",$H175="",$H175="Proposed",$H175="Not Reported"),0,IF(AND($P175="Y",$Q175&lt;&gt;"Y"),0,IF(AND($K175="Point",N($L175)&lt;=0),0,IF(AND(N($L175)&lt;=0,N($N175)&lt;=0,N($R175)+N($S175)&lt;=0),0,1)))))</f>
        <v/>
      </c>
      <c r="AA175" s="21">
        <f>IF(AND($A175="",$B175=""),"",IF($E175="","Site type missing",IF($H175="","STATUS missing",IF($H175="Proposed","STATUS = Proposed",IF($H175="Not Reported","STATUS = Not Reported",IF(AND($P175="Y",$Q175&lt;&gt;"Y"),"UNESCO-MAB Biosphere Reserve",IF(AND($K175="Point",N($L175)&lt;=0),"Point without REP_AREA",IF(AND(N($L175)&lt;=0,N($N175)&lt;=0,N($R175)+N($S175)&lt;=0),"No area information",""))))))))</f>
        <v/>
      </c>
      <c r="AB175" s="22">
        <f>IF(AND($A175="",$B175=""),"",IF($K175="Point",N($L175),IF(N($N175)&gt;0,N($N175),N($L175))))</f>
        <v/>
      </c>
      <c r="AC175" s="22">
        <f>IF(AND($A175="",$B175=""),"",MIN(AB175,IF(N($J175)=0,0,IF(N($J175)=2,AB175,IF(AND($K175&lt;&gt;"Point",N($O175)&gt;0),N($O175),N($M175))))))</f>
        <v/>
      </c>
      <c r="AD175" s="22">
        <f>IF(AND($A175="",$B175=""),"",MAX(0,AB175-AC175))</f>
        <v/>
      </c>
      <c r="AE175" s="21">
        <f>IF(AND($A175="",$B175=""),"",IF(OR($R175&lt;&gt;"",$S175&lt;&gt;""),1,0))</f>
        <v/>
      </c>
      <c r="AF175" s="22">
        <f>IF(AND($A175="",$B175=""),"",IF(Z175=1,IF(AE175=1,N($R175),AD175),0))</f>
        <v/>
      </c>
      <c r="AG175" s="22">
        <f>IF(AND($A175="",$B175=""),"",IF(Z175=1,IF(AE175=1,N($S175),AC175),0))</f>
        <v/>
      </c>
      <c r="AH175" s="21">
        <f>IF(AND($A175="",$B175=""),"",IF(AND(ISNUMBER($I175),N($I175)&gt;0),$I175,0))</f>
        <v/>
      </c>
      <c r="AI175" s="23">
        <f>IF(AND(NOT(AND($A175="",$B175="")),$K175="Point",N($L175)&gt;0),SQRT(N($L175)/PI()),"")</f>
        <v/>
      </c>
      <c r="AJ175" s="21">
        <f>IF(AND($A175="",$B175=""),"",IFERROR(VLOOKUP($G175,Lists!$D$4:$E$15,2,FALSE),"Not reported"))</f>
        <v/>
      </c>
      <c r="AK175" s="21">
        <f>IF(AND($A175="",$B175=""),"",IF($X175&lt;&gt;"",$X175,IF($T175&lt;&gt;"Y","Not assessed",IF(AND(ISNUMBER($V175),Setup!$B$6-$V175&gt;Setup!$B$26),"Assessment outdated",IF(NOT(ISNUMBER($W175)),"Assessed – no score",IF($W175&gt;=Setup!$B$24,"High",IF($W175&gt;=Setup!$B$25,"Moderate","Low")))))))</f>
        <v/>
      </c>
      <c r="AL175" s="21">
        <f>IF(AND($A175="",$B175=""),"",IF(Z175=0,"",IF(AND(AE175=1,N($R175)&gt;AD175*1.01+0.001),"Net terrestrial &gt; gross; ","")&amp;IF(AND(AE175=1,N($S175)&gt;AC175*1.01+0.001),"Net marine &gt; gross; ","")&amp;IF(AE175=0,"No net area – gross used, overlaps may be double-counted; ","")&amp;IF(AH175=0,"STATUS_YR missing – imputed in time series; ","")&amp;IF(AND(ISNUMBER($I175),N($I175)&gt;Setup!$B$6),"STATUS_YR after reporting year; ","")&amp;IF(OR($G175="",$G175="Not Reported"),"GOV_TYPE not reported; ","")&amp;IF(AND(N($J175)=1,$K175="Point",N($M175)&lt;=0),"Coastal point without REP_M_AREA – land/sea split unknown; ","")&amp;IF(AND(N($J175)=0,N($S175)&gt;0),"MARINE=0 but net marine &gt;0; ","")&amp;IF(AND(N($J175)=2,N($R175)&gt;0),"MARINE=2 but net terrestrial &gt;0; ","")&amp;IF($K175="Point","Buffered point – coverage approximate; ","")))</f>
        <v/>
      </c>
    </row>
    <row r="176">
      <c r="A176" s="19" t="n"/>
      <c r="B176" s="19" t="n"/>
      <c r="C176" s="19" t="n"/>
      <c r="D176" s="19" t="n"/>
      <c r="E176" s="19" t="n"/>
      <c r="F176" s="19" t="n"/>
      <c r="G176" s="19" t="n"/>
      <c r="H176" s="19" t="n"/>
      <c r="I176" s="19" t="n"/>
      <c r="J176" s="19" t="n"/>
      <c r="K176" s="19" t="n"/>
      <c r="L176" s="20" t="n"/>
      <c r="M176" s="20" t="n"/>
      <c r="N176" s="20" t="n"/>
      <c r="O176" s="20" t="n"/>
      <c r="P176" s="19" t="n"/>
      <c r="Q176" s="19" t="n"/>
      <c r="R176" s="20" t="n"/>
      <c r="S176" s="20" t="n"/>
      <c r="T176" s="19" t="n"/>
      <c r="U176" s="19" t="n"/>
      <c r="V176" s="19" t="n"/>
      <c r="W176" s="19" t="n"/>
      <c r="X176" s="19" t="n"/>
      <c r="Y176" s="19" t="n"/>
      <c r="Z176" s="21">
        <f>IF(AND($A176="",$B176=""),"",IF(OR($E176="",$H176="",$H176="Proposed",$H176="Not Reported"),0,IF(AND($P176="Y",$Q176&lt;&gt;"Y"),0,IF(AND($K176="Point",N($L176)&lt;=0),0,IF(AND(N($L176)&lt;=0,N($N176)&lt;=0,N($R176)+N($S176)&lt;=0),0,1)))))</f>
        <v/>
      </c>
      <c r="AA176" s="21">
        <f>IF(AND($A176="",$B176=""),"",IF($E176="","Site type missing",IF($H176="","STATUS missing",IF($H176="Proposed","STATUS = Proposed",IF($H176="Not Reported","STATUS = Not Reported",IF(AND($P176="Y",$Q176&lt;&gt;"Y"),"UNESCO-MAB Biosphere Reserve",IF(AND($K176="Point",N($L176)&lt;=0),"Point without REP_AREA",IF(AND(N($L176)&lt;=0,N($N176)&lt;=0,N($R176)+N($S176)&lt;=0),"No area information",""))))))))</f>
        <v/>
      </c>
      <c r="AB176" s="22">
        <f>IF(AND($A176="",$B176=""),"",IF($K176="Point",N($L176),IF(N($N176)&gt;0,N($N176),N($L176))))</f>
        <v/>
      </c>
      <c r="AC176" s="22">
        <f>IF(AND($A176="",$B176=""),"",MIN(AB176,IF(N($J176)=0,0,IF(N($J176)=2,AB176,IF(AND($K176&lt;&gt;"Point",N($O176)&gt;0),N($O176),N($M176))))))</f>
        <v/>
      </c>
      <c r="AD176" s="22">
        <f>IF(AND($A176="",$B176=""),"",MAX(0,AB176-AC176))</f>
        <v/>
      </c>
      <c r="AE176" s="21">
        <f>IF(AND($A176="",$B176=""),"",IF(OR($R176&lt;&gt;"",$S176&lt;&gt;""),1,0))</f>
        <v/>
      </c>
      <c r="AF176" s="22">
        <f>IF(AND($A176="",$B176=""),"",IF(Z176=1,IF(AE176=1,N($R176),AD176),0))</f>
        <v/>
      </c>
      <c r="AG176" s="22">
        <f>IF(AND($A176="",$B176=""),"",IF(Z176=1,IF(AE176=1,N($S176),AC176),0))</f>
        <v/>
      </c>
      <c r="AH176" s="21">
        <f>IF(AND($A176="",$B176=""),"",IF(AND(ISNUMBER($I176),N($I176)&gt;0),$I176,0))</f>
        <v/>
      </c>
      <c r="AI176" s="23">
        <f>IF(AND(NOT(AND($A176="",$B176="")),$K176="Point",N($L176)&gt;0),SQRT(N($L176)/PI()),"")</f>
        <v/>
      </c>
      <c r="AJ176" s="21">
        <f>IF(AND($A176="",$B176=""),"",IFERROR(VLOOKUP($G176,Lists!$D$4:$E$15,2,FALSE),"Not reported"))</f>
        <v/>
      </c>
      <c r="AK176" s="21">
        <f>IF(AND($A176="",$B176=""),"",IF($X176&lt;&gt;"",$X176,IF($T176&lt;&gt;"Y","Not assessed",IF(AND(ISNUMBER($V176),Setup!$B$6-$V176&gt;Setup!$B$26),"Assessment outdated",IF(NOT(ISNUMBER($W176)),"Assessed – no score",IF($W176&gt;=Setup!$B$24,"High",IF($W176&gt;=Setup!$B$25,"Moderate","Low")))))))</f>
        <v/>
      </c>
      <c r="AL176" s="21">
        <f>IF(AND($A176="",$B176=""),"",IF(Z176=0,"",IF(AND(AE176=1,N($R176)&gt;AD176*1.01+0.001),"Net terrestrial &gt; gross; ","")&amp;IF(AND(AE176=1,N($S176)&gt;AC176*1.01+0.001),"Net marine &gt; gross; ","")&amp;IF(AE176=0,"No net area – gross used, overlaps may be double-counted; ","")&amp;IF(AH176=0,"STATUS_YR missing – imputed in time series; ","")&amp;IF(AND(ISNUMBER($I176),N($I176)&gt;Setup!$B$6),"STATUS_YR after reporting year; ","")&amp;IF(OR($G176="",$G176="Not Reported"),"GOV_TYPE not reported; ","")&amp;IF(AND(N($J176)=1,$K176="Point",N($M176)&lt;=0),"Coastal point without REP_M_AREA – land/sea split unknown; ","")&amp;IF(AND(N($J176)=0,N($S176)&gt;0),"MARINE=0 but net marine &gt;0; ","")&amp;IF(AND(N($J176)=2,N($R176)&gt;0),"MARINE=2 but net terrestrial &gt;0; ","")&amp;IF($K176="Point","Buffered point – coverage approximate; ","")))</f>
        <v/>
      </c>
    </row>
    <row r="177">
      <c r="A177" s="19" t="n"/>
      <c r="B177" s="19" t="n"/>
      <c r="C177" s="19" t="n"/>
      <c r="D177" s="19" t="n"/>
      <c r="E177" s="19" t="n"/>
      <c r="F177" s="19" t="n"/>
      <c r="G177" s="19" t="n"/>
      <c r="H177" s="19" t="n"/>
      <c r="I177" s="19" t="n"/>
      <c r="J177" s="19" t="n"/>
      <c r="K177" s="19" t="n"/>
      <c r="L177" s="20" t="n"/>
      <c r="M177" s="20" t="n"/>
      <c r="N177" s="20" t="n"/>
      <c r="O177" s="20" t="n"/>
      <c r="P177" s="19" t="n"/>
      <c r="Q177" s="19" t="n"/>
      <c r="R177" s="20" t="n"/>
      <c r="S177" s="20" t="n"/>
      <c r="T177" s="19" t="n"/>
      <c r="U177" s="19" t="n"/>
      <c r="V177" s="19" t="n"/>
      <c r="W177" s="19" t="n"/>
      <c r="X177" s="19" t="n"/>
      <c r="Y177" s="19" t="n"/>
      <c r="Z177" s="21">
        <f>IF(AND($A177="",$B177=""),"",IF(OR($E177="",$H177="",$H177="Proposed",$H177="Not Reported"),0,IF(AND($P177="Y",$Q177&lt;&gt;"Y"),0,IF(AND($K177="Point",N($L177)&lt;=0),0,IF(AND(N($L177)&lt;=0,N($N177)&lt;=0,N($R177)+N($S177)&lt;=0),0,1)))))</f>
        <v/>
      </c>
      <c r="AA177" s="21">
        <f>IF(AND($A177="",$B177=""),"",IF($E177="","Site type missing",IF($H177="","STATUS missing",IF($H177="Proposed","STATUS = Proposed",IF($H177="Not Reported","STATUS = Not Reported",IF(AND($P177="Y",$Q177&lt;&gt;"Y"),"UNESCO-MAB Biosphere Reserve",IF(AND($K177="Point",N($L177)&lt;=0),"Point without REP_AREA",IF(AND(N($L177)&lt;=0,N($N177)&lt;=0,N($R177)+N($S177)&lt;=0),"No area information",""))))))))</f>
        <v/>
      </c>
      <c r="AB177" s="22">
        <f>IF(AND($A177="",$B177=""),"",IF($K177="Point",N($L177),IF(N($N177)&gt;0,N($N177),N($L177))))</f>
        <v/>
      </c>
      <c r="AC177" s="22">
        <f>IF(AND($A177="",$B177=""),"",MIN(AB177,IF(N($J177)=0,0,IF(N($J177)=2,AB177,IF(AND($K177&lt;&gt;"Point",N($O177)&gt;0),N($O177),N($M177))))))</f>
        <v/>
      </c>
      <c r="AD177" s="22">
        <f>IF(AND($A177="",$B177=""),"",MAX(0,AB177-AC177))</f>
        <v/>
      </c>
      <c r="AE177" s="21">
        <f>IF(AND($A177="",$B177=""),"",IF(OR($R177&lt;&gt;"",$S177&lt;&gt;""),1,0))</f>
        <v/>
      </c>
      <c r="AF177" s="22">
        <f>IF(AND($A177="",$B177=""),"",IF(Z177=1,IF(AE177=1,N($R177),AD177),0))</f>
        <v/>
      </c>
      <c r="AG177" s="22">
        <f>IF(AND($A177="",$B177=""),"",IF(Z177=1,IF(AE177=1,N($S177),AC177),0))</f>
        <v/>
      </c>
      <c r="AH177" s="21">
        <f>IF(AND($A177="",$B177=""),"",IF(AND(ISNUMBER($I177),N($I177)&gt;0),$I177,0))</f>
        <v/>
      </c>
      <c r="AI177" s="23">
        <f>IF(AND(NOT(AND($A177="",$B177="")),$K177="Point",N($L177)&gt;0),SQRT(N($L177)/PI()),"")</f>
        <v/>
      </c>
      <c r="AJ177" s="21">
        <f>IF(AND($A177="",$B177=""),"",IFERROR(VLOOKUP($G177,Lists!$D$4:$E$15,2,FALSE),"Not reported"))</f>
        <v/>
      </c>
      <c r="AK177" s="21">
        <f>IF(AND($A177="",$B177=""),"",IF($X177&lt;&gt;"",$X177,IF($T177&lt;&gt;"Y","Not assessed",IF(AND(ISNUMBER($V177),Setup!$B$6-$V177&gt;Setup!$B$26),"Assessment outdated",IF(NOT(ISNUMBER($W177)),"Assessed – no score",IF($W177&gt;=Setup!$B$24,"High",IF($W177&gt;=Setup!$B$25,"Moderate","Low")))))))</f>
        <v/>
      </c>
      <c r="AL177" s="21">
        <f>IF(AND($A177="",$B177=""),"",IF(Z177=0,"",IF(AND(AE177=1,N($R177)&gt;AD177*1.01+0.001),"Net terrestrial &gt; gross; ","")&amp;IF(AND(AE177=1,N($S177)&gt;AC177*1.01+0.001),"Net marine &gt; gross; ","")&amp;IF(AE177=0,"No net area – gross used, overlaps may be double-counted; ","")&amp;IF(AH177=0,"STATUS_YR missing – imputed in time series; ","")&amp;IF(AND(ISNUMBER($I177),N($I177)&gt;Setup!$B$6),"STATUS_YR after reporting year; ","")&amp;IF(OR($G177="",$G177="Not Reported"),"GOV_TYPE not reported; ","")&amp;IF(AND(N($J177)=1,$K177="Point",N($M177)&lt;=0),"Coastal point without REP_M_AREA – land/sea split unknown; ","")&amp;IF(AND(N($J177)=0,N($S177)&gt;0),"MARINE=0 but net marine &gt;0; ","")&amp;IF(AND(N($J177)=2,N($R177)&gt;0),"MARINE=2 but net terrestrial &gt;0; ","")&amp;IF($K177="Point","Buffered point – coverage approximate; ","")))</f>
        <v/>
      </c>
    </row>
    <row r="178">
      <c r="A178" s="19" t="n"/>
      <c r="B178" s="19" t="n"/>
      <c r="C178" s="19" t="n"/>
      <c r="D178" s="19" t="n"/>
      <c r="E178" s="19" t="n"/>
      <c r="F178" s="19" t="n"/>
      <c r="G178" s="19" t="n"/>
      <c r="H178" s="19" t="n"/>
      <c r="I178" s="19" t="n"/>
      <c r="J178" s="19" t="n"/>
      <c r="K178" s="19" t="n"/>
      <c r="L178" s="20" t="n"/>
      <c r="M178" s="20" t="n"/>
      <c r="N178" s="20" t="n"/>
      <c r="O178" s="20" t="n"/>
      <c r="P178" s="19" t="n"/>
      <c r="Q178" s="19" t="n"/>
      <c r="R178" s="20" t="n"/>
      <c r="S178" s="20" t="n"/>
      <c r="T178" s="19" t="n"/>
      <c r="U178" s="19" t="n"/>
      <c r="V178" s="19" t="n"/>
      <c r="W178" s="19" t="n"/>
      <c r="X178" s="19" t="n"/>
      <c r="Y178" s="19" t="n"/>
      <c r="Z178" s="21">
        <f>IF(AND($A178="",$B178=""),"",IF(OR($E178="",$H178="",$H178="Proposed",$H178="Not Reported"),0,IF(AND($P178="Y",$Q178&lt;&gt;"Y"),0,IF(AND($K178="Point",N($L178)&lt;=0),0,IF(AND(N($L178)&lt;=0,N($N178)&lt;=0,N($R178)+N($S178)&lt;=0),0,1)))))</f>
        <v/>
      </c>
      <c r="AA178" s="21">
        <f>IF(AND($A178="",$B178=""),"",IF($E178="","Site type missing",IF($H178="","STATUS missing",IF($H178="Proposed","STATUS = Proposed",IF($H178="Not Reported","STATUS = Not Reported",IF(AND($P178="Y",$Q178&lt;&gt;"Y"),"UNESCO-MAB Biosphere Reserve",IF(AND($K178="Point",N($L178)&lt;=0),"Point without REP_AREA",IF(AND(N($L178)&lt;=0,N($N178)&lt;=0,N($R178)+N($S178)&lt;=0),"No area information",""))))))))</f>
        <v/>
      </c>
      <c r="AB178" s="22">
        <f>IF(AND($A178="",$B178=""),"",IF($K178="Point",N($L178),IF(N($N178)&gt;0,N($N178),N($L178))))</f>
        <v/>
      </c>
      <c r="AC178" s="22">
        <f>IF(AND($A178="",$B178=""),"",MIN(AB178,IF(N($J178)=0,0,IF(N($J178)=2,AB178,IF(AND($K178&lt;&gt;"Point",N($O178)&gt;0),N($O178),N($M178))))))</f>
        <v/>
      </c>
      <c r="AD178" s="22">
        <f>IF(AND($A178="",$B178=""),"",MAX(0,AB178-AC178))</f>
        <v/>
      </c>
      <c r="AE178" s="21">
        <f>IF(AND($A178="",$B178=""),"",IF(OR($R178&lt;&gt;"",$S178&lt;&gt;""),1,0))</f>
        <v/>
      </c>
      <c r="AF178" s="22">
        <f>IF(AND($A178="",$B178=""),"",IF(Z178=1,IF(AE178=1,N($R178),AD178),0))</f>
        <v/>
      </c>
      <c r="AG178" s="22">
        <f>IF(AND($A178="",$B178=""),"",IF(Z178=1,IF(AE178=1,N($S178),AC178),0))</f>
        <v/>
      </c>
      <c r="AH178" s="21">
        <f>IF(AND($A178="",$B178=""),"",IF(AND(ISNUMBER($I178),N($I178)&gt;0),$I178,0))</f>
        <v/>
      </c>
      <c r="AI178" s="23">
        <f>IF(AND(NOT(AND($A178="",$B178="")),$K178="Point",N($L178)&gt;0),SQRT(N($L178)/PI()),"")</f>
        <v/>
      </c>
      <c r="AJ178" s="21">
        <f>IF(AND($A178="",$B178=""),"",IFERROR(VLOOKUP($G178,Lists!$D$4:$E$15,2,FALSE),"Not reported"))</f>
        <v/>
      </c>
      <c r="AK178" s="21">
        <f>IF(AND($A178="",$B178=""),"",IF($X178&lt;&gt;"",$X178,IF($T178&lt;&gt;"Y","Not assessed",IF(AND(ISNUMBER($V178),Setup!$B$6-$V178&gt;Setup!$B$26),"Assessment outdated",IF(NOT(ISNUMBER($W178)),"Assessed – no score",IF($W178&gt;=Setup!$B$24,"High",IF($W178&gt;=Setup!$B$25,"Moderate","Low")))))))</f>
        <v/>
      </c>
      <c r="AL178" s="21">
        <f>IF(AND($A178="",$B178=""),"",IF(Z178=0,"",IF(AND(AE178=1,N($R178)&gt;AD178*1.01+0.001),"Net terrestrial &gt; gross; ","")&amp;IF(AND(AE178=1,N($S178)&gt;AC178*1.01+0.001),"Net marine &gt; gross; ","")&amp;IF(AE178=0,"No net area – gross used, overlaps may be double-counted; ","")&amp;IF(AH178=0,"STATUS_YR missing – imputed in time series; ","")&amp;IF(AND(ISNUMBER($I178),N($I178)&gt;Setup!$B$6),"STATUS_YR after reporting year; ","")&amp;IF(OR($G178="",$G178="Not Reported"),"GOV_TYPE not reported; ","")&amp;IF(AND(N($J178)=1,$K178="Point",N($M178)&lt;=0),"Coastal point without REP_M_AREA – land/sea split unknown; ","")&amp;IF(AND(N($J178)=0,N($S178)&gt;0),"MARINE=0 but net marine &gt;0; ","")&amp;IF(AND(N($J178)=2,N($R178)&gt;0),"MARINE=2 but net terrestrial &gt;0; ","")&amp;IF($K178="Point","Buffered point – coverage approximate; ","")))</f>
        <v/>
      </c>
    </row>
    <row r="179">
      <c r="A179" s="19" t="n"/>
      <c r="B179" s="19" t="n"/>
      <c r="C179" s="19" t="n"/>
      <c r="D179" s="19" t="n"/>
      <c r="E179" s="19" t="n"/>
      <c r="F179" s="19" t="n"/>
      <c r="G179" s="19" t="n"/>
      <c r="H179" s="19" t="n"/>
      <c r="I179" s="19" t="n"/>
      <c r="J179" s="19" t="n"/>
      <c r="K179" s="19" t="n"/>
      <c r="L179" s="20" t="n"/>
      <c r="M179" s="20" t="n"/>
      <c r="N179" s="20" t="n"/>
      <c r="O179" s="20" t="n"/>
      <c r="P179" s="19" t="n"/>
      <c r="Q179" s="19" t="n"/>
      <c r="R179" s="20" t="n"/>
      <c r="S179" s="20" t="n"/>
      <c r="T179" s="19" t="n"/>
      <c r="U179" s="19" t="n"/>
      <c r="V179" s="19" t="n"/>
      <c r="W179" s="19" t="n"/>
      <c r="X179" s="19" t="n"/>
      <c r="Y179" s="19" t="n"/>
      <c r="Z179" s="21">
        <f>IF(AND($A179="",$B179=""),"",IF(OR($E179="",$H179="",$H179="Proposed",$H179="Not Reported"),0,IF(AND($P179="Y",$Q179&lt;&gt;"Y"),0,IF(AND($K179="Point",N($L179)&lt;=0),0,IF(AND(N($L179)&lt;=0,N($N179)&lt;=0,N($R179)+N($S179)&lt;=0),0,1)))))</f>
        <v/>
      </c>
      <c r="AA179" s="21">
        <f>IF(AND($A179="",$B179=""),"",IF($E179="","Site type missing",IF($H179="","STATUS missing",IF($H179="Proposed","STATUS = Proposed",IF($H179="Not Reported","STATUS = Not Reported",IF(AND($P179="Y",$Q179&lt;&gt;"Y"),"UNESCO-MAB Biosphere Reserve",IF(AND($K179="Point",N($L179)&lt;=0),"Point without REP_AREA",IF(AND(N($L179)&lt;=0,N($N179)&lt;=0,N($R179)+N($S179)&lt;=0),"No area information",""))))))))</f>
        <v/>
      </c>
      <c r="AB179" s="22">
        <f>IF(AND($A179="",$B179=""),"",IF($K179="Point",N($L179),IF(N($N179)&gt;0,N($N179),N($L179))))</f>
        <v/>
      </c>
      <c r="AC179" s="22">
        <f>IF(AND($A179="",$B179=""),"",MIN(AB179,IF(N($J179)=0,0,IF(N($J179)=2,AB179,IF(AND($K179&lt;&gt;"Point",N($O179)&gt;0),N($O179),N($M179))))))</f>
        <v/>
      </c>
      <c r="AD179" s="22">
        <f>IF(AND($A179="",$B179=""),"",MAX(0,AB179-AC179))</f>
        <v/>
      </c>
      <c r="AE179" s="21">
        <f>IF(AND($A179="",$B179=""),"",IF(OR($R179&lt;&gt;"",$S179&lt;&gt;""),1,0))</f>
        <v/>
      </c>
      <c r="AF179" s="22">
        <f>IF(AND($A179="",$B179=""),"",IF(Z179=1,IF(AE179=1,N($R179),AD179),0))</f>
        <v/>
      </c>
      <c r="AG179" s="22">
        <f>IF(AND($A179="",$B179=""),"",IF(Z179=1,IF(AE179=1,N($S179),AC179),0))</f>
        <v/>
      </c>
      <c r="AH179" s="21">
        <f>IF(AND($A179="",$B179=""),"",IF(AND(ISNUMBER($I179),N($I179)&gt;0),$I179,0))</f>
        <v/>
      </c>
      <c r="AI179" s="23">
        <f>IF(AND(NOT(AND($A179="",$B179="")),$K179="Point",N($L179)&gt;0),SQRT(N($L179)/PI()),"")</f>
        <v/>
      </c>
      <c r="AJ179" s="21">
        <f>IF(AND($A179="",$B179=""),"",IFERROR(VLOOKUP($G179,Lists!$D$4:$E$15,2,FALSE),"Not reported"))</f>
        <v/>
      </c>
      <c r="AK179" s="21">
        <f>IF(AND($A179="",$B179=""),"",IF($X179&lt;&gt;"",$X179,IF($T179&lt;&gt;"Y","Not assessed",IF(AND(ISNUMBER($V179),Setup!$B$6-$V179&gt;Setup!$B$26),"Assessment outdated",IF(NOT(ISNUMBER($W179)),"Assessed – no score",IF($W179&gt;=Setup!$B$24,"High",IF($W179&gt;=Setup!$B$25,"Moderate","Low")))))))</f>
        <v/>
      </c>
      <c r="AL179" s="21">
        <f>IF(AND($A179="",$B179=""),"",IF(Z179=0,"",IF(AND(AE179=1,N($R179)&gt;AD179*1.01+0.001),"Net terrestrial &gt; gross; ","")&amp;IF(AND(AE179=1,N($S179)&gt;AC179*1.01+0.001),"Net marine &gt; gross; ","")&amp;IF(AE179=0,"No net area – gross used, overlaps may be double-counted; ","")&amp;IF(AH179=0,"STATUS_YR missing – imputed in time series; ","")&amp;IF(AND(ISNUMBER($I179),N($I179)&gt;Setup!$B$6),"STATUS_YR after reporting year; ","")&amp;IF(OR($G179="",$G179="Not Reported"),"GOV_TYPE not reported; ","")&amp;IF(AND(N($J179)=1,$K179="Point",N($M179)&lt;=0),"Coastal point without REP_M_AREA – land/sea split unknown; ","")&amp;IF(AND(N($J179)=0,N($S179)&gt;0),"MARINE=0 but net marine &gt;0; ","")&amp;IF(AND(N($J179)=2,N($R179)&gt;0),"MARINE=2 but net terrestrial &gt;0; ","")&amp;IF($K179="Point","Buffered point – coverage approximate; ","")))</f>
        <v/>
      </c>
    </row>
    <row r="180">
      <c r="A180" s="19" t="n"/>
      <c r="B180" s="19" t="n"/>
      <c r="C180" s="19" t="n"/>
      <c r="D180" s="19" t="n"/>
      <c r="E180" s="19" t="n"/>
      <c r="F180" s="19" t="n"/>
      <c r="G180" s="19" t="n"/>
      <c r="H180" s="19" t="n"/>
      <c r="I180" s="19" t="n"/>
      <c r="J180" s="19" t="n"/>
      <c r="K180" s="19" t="n"/>
      <c r="L180" s="20" t="n"/>
      <c r="M180" s="20" t="n"/>
      <c r="N180" s="20" t="n"/>
      <c r="O180" s="20" t="n"/>
      <c r="P180" s="19" t="n"/>
      <c r="Q180" s="19" t="n"/>
      <c r="R180" s="20" t="n"/>
      <c r="S180" s="20" t="n"/>
      <c r="T180" s="19" t="n"/>
      <c r="U180" s="19" t="n"/>
      <c r="V180" s="19" t="n"/>
      <c r="W180" s="19" t="n"/>
      <c r="X180" s="19" t="n"/>
      <c r="Y180" s="19" t="n"/>
      <c r="Z180" s="21">
        <f>IF(AND($A180="",$B180=""),"",IF(OR($E180="",$H180="",$H180="Proposed",$H180="Not Reported"),0,IF(AND($P180="Y",$Q180&lt;&gt;"Y"),0,IF(AND($K180="Point",N($L180)&lt;=0),0,IF(AND(N($L180)&lt;=0,N($N180)&lt;=0,N($R180)+N($S180)&lt;=0),0,1)))))</f>
        <v/>
      </c>
      <c r="AA180" s="21">
        <f>IF(AND($A180="",$B180=""),"",IF($E180="","Site type missing",IF($H180="","STATUS missing",IF($H180="Proposed","STATUS = Proposed",IF($H180="Not Reported","STATUS = Not Reported",IF(AND($P180="Y",$Q180&lt;&gt;"Y"),"UNESCO-MAB Biosphere Reserve",IF(AND($K180="Point",N($L180)&lt;=0),"Point without REP_AREA",IF(AND(N($L180)&lt;=0,N($N180)&lt;=0,N($R180)+N($S180)&lt;=0),"No area information",""))))))))</f>
        <v/>
      </c>
      <c r="AB180" s="22">
        <f>IF(AND($A180="",$B180=""),"",IF($K180="Point",N($L180),IF(N($N180)&gt;0,N($N180),N($L180))))</f>
        <v/>
      </c>
      <c r="AC180" s="22">
        <f>IF(AND($A180="",$B180=""),"",MIN(AB180,IF(N($J180)=0,0,IF(N($J180)=2,AB180,IF(AND($K180&lt;&gt;"Point",N($O180)&gt;0),N($O180),N($M180))))))</f>
        <v/>
      </c>
      <c r="AD180" s="22">
        <f>IF(AND($A180="",$B180=""),"",MAX(0,AB180-AC180))</f>
        <v/>
      </c>
      <c r="AE180" s="21">
        <f>IF(AND($A180="",$B180=""),"",IF(OR($R180&lt;&gt;"",$S180&lt;&gt;""),1,0))</f>
        <v/>
      </c>
      <c r="AF180" s="22">
        <f>IF(AND($A180="",$B180=""),"",IF(Z180=1,IF(AE180=1,N($R180),AD180),0))</f>
        <v/>
      </c>
      <c r="AG180" s="22">
        <f>IF(AND($A180="",$B180=""),"",IF(Z180=1,IF(AE180=1,N($S180),AC180),0))</f>
        <v/>
      </c>
      <c r="AH180" s="21">
        <f>IF(AND($A180="",$B180=""),"",IF(AND(ISNUMBER($I180),N($I180)&gt;0),$I180,0))</f>
        <v/>
      </c>
      <c r="AI180" s="23">
        <f>IF(AND(NOT(AND($A180="",$B180="")),$K180="Point",N($L180)&gt;0),SQRT(N($L180)/PI()),"")</f>
        <v/>
      </c>
      <c r="AJ180" s="21">
        <f>IF(AND($A180="",$B180=""),"",IFERROR(VLOOKUP($G180,Lists!$D$4:$E$15,2,FALSE),"Not reported"))</f>
        <v/>
      </c>
      <c r="AK180" s="21">
        <f>IF(AND($A180="",$B180=""),"",IF($X180&lt;&gt;"",$X180,IF($T180&lt;&gt;"Y","Not assessed",IF(AND(ISNUMBER($V180),Setup!$B$6-$V180&gt;Setup!$B$26),"Assessment outdated",IF(NOT(ISNUMBER($W180)),"Assessed – no score",IF($W180&gt;=Setup!$B$24,"High",IF($W180&gt;=Setup!$B$25,"Moderate","Low")))))))</f>
        <v/>
      </c>
      <c r="AL180" s="21">
        <f>IF(AND($A180="",$B180=""),"",IF(Z180=0,"",IF(AND(AE180=1,N($R180)&gt;AD180*1.01+0.001),"Net terrestrial &gt; gross; ","")&amp;IF(AND(AE180=1,N($S180)&gt;AC180*1.01+0.001),"Net marine &gt; gross; ","")&amp;IF(AE180=0,"No net area – gross used, overlaps may be double-counted; ","")&amp;IF(AH180=0,"STATUS_YR missing – imputed in time series; ","")&amp;IF(AND(ISNUMBER($I180),N($I180)&gt;Setup!$B$6),"STATUS_YR after reporting year; ","")&amp;IF(OR($G180="",$G180="Not Reported"),"GOV_TYPE not reported; ","")&amp;IF(AND(N($J180)=1,$K180="Point",N($M180)&lt;=0),"Coastal point without REP_M_AREA – land/sea split unknown; ","")&amp;IF(AND(N($J180)=0,N($S180)&gt;0),"MARINE=0 but net marine &gt;0; ","")&amp;IF(AND(N($J180)=2,N($R180)&gt;0),"MARINE=2 but net terrestrial &gt;0; ","")&amp;IF($K180="Point","Buffered point – coverage approximate; ","")))</f>
        <v/>
      </c>
    </row>
    <row r="181">
      <c r="A181" s="19" t="n"/>
      <c r="B181" s="19" t="n"/>
      <c r="C181" s="19" t="n"/>
      <c r="D181" s="19" t="n"/>
      <c r="E181" s="19" t="n"/>
      <c r="F181" s="19" t="n"/>
      <c r="G181" s="19" t="n"/>
      <c r="H181" s="19" t="n"/>
      <c r="I181" s="19" t="n"/>
      <c r="J181" s="19" t="n"/>
      <c r="K181" s="19" t="n"/>
      <c r="L181" s="20" t="n"/>
      <c r="M181" s="20" t="n"/>
      <c r="N181" s="20" t="n"/>
      <c r="O181" s="20" t="n"/>
      <c r="P181" s="19" t="n"/>
      <c r="Q181" s="19" t="n"/>
      <c r="R181" s="20" t="n"/>
      <c r="S181" s="20" t="n"/>
      <c r="T181" s="19" t="n"/>
      <c r="U181" s="19" t="n"/>
      <c r="V181" s="19" t="n"/>
      <c r="W181" s="19" t="n"/>
      <c r="X181" s="19" t="n"/>
      <c r="Y181" s="19" t="n"/>
      <c r="Z181" s="21">
        <f>IF(AND($A181="",$B181=""),"",IF(OR($E181="",$H181="",$H181="Proposed",$H181="Not Reported"),0,IF(AND($P181="Y",$Q181&lt;&gt;"Y"),0,IF(AND($K181="Point",N($L181)&lt;=0),0,IF(AND(N($L181)&lt;=0,N($N181)&lt;=0,N($R181)+N($S181)&lt;=0),0,1)))))</f>
        <v/>
      </c>
      <c r="AA181" s="21">
        <f>IF(AND($A181="",$B181=""),"",IF($E181="","Site type missing",IF($H181="","STATUS missing",IF($H181="Proposed","STATUS = Proposed",IF($H181="Not Reported","STATUS = Not Reported",IF(AND($P181="Y",$Q181&lt;&gt;"Y"),"UNESCO-MAB Biosphere Reserve",IF(AND($K181="Point",N($L181)&lt;=0),"Point without REP_AREA",IF(AND(N($L181)&lt;=0,N($N181)&lt;=0,N($R181)+N($S181)&lt;=0),"No area information",""))))))))</f>
        <v/>
      </c>
      <c r="AB181" s="22">
        <f>IF(AND($A181="",$B181=""),"",IF($K181="Point",N($L181),IF(N($N181)&gt;0,N($N181),N($L181))))</f>
        <v/>
      </c>
      <c r="AC181" s="22">
        <f>IF(AND($A181="",$B181=""),"",MIN(AB181,IF(N($J181)=0,0,IF(N($J181)=2,AB181,IF(AND($K181&lt;&gt;"Point",N($O181)&gt;0),N($O181),N($M181))))))</f>
        <v/>
      </c>
      <c r="AD181" s="22">
        <f>IF(AND($A181="",$B181=""),"",MAX(0,AB181-AC181))</f>
        <v/>
      </c>
      <c r="AE181" s="21">
        <f>IF(AND($A181="",$B181=""),"",IF(OR($R181&lt;&gt;"",$S181&lt;&gt;""),1,0))</f>
        <v/>
      </c>
      <c r="AF181" s="22">
        <f>IF(AND($A181="",$B181=""),"",IF(Z181=1,IF(AE181=1,N($R181),AD181),0))</f>
        <v/>
      </c>
      <c r="AG181" s="22">
        <f>IF(AND($A181="",$B181=""),"",IF(Z181=1,IF(AE181=1,N($S181),AC181),0))</f>
        <v/>
      </c>
      <c r="AH181" s="21">
        <f>IF(AND($A181="",$B181=""),"",IF(AND(ISNUMBER($I181),N($I181)&gt;0),$I181,0))</f>
        <v/>
      </c>
      <c r="AI181" s="23">
        <f>IF(AND(NOT(AND($A181="",$B181="")),$K181="Point",N($L181)&gt;0),SQRT(N($L181)/PI()),"")</f>
        <v/>
      </c>
      <c r="AJ181" s="21">
        <f>IF(AND($A181="",$B181=""),"",IFERROR(VLOOKUP($G181,Lists!$D$4:$E$15,2,FALSE),"Not reported"))</f>
        <v/>
      </c>
      <c r="AK181" s="21">
        <f>IF(AND($A181="",$B181=""),"",IF($X181&lt;&gt;"",$X181,IF($T181&lt;&gt;"Y","Not assessed",IF(AND(ISNUMBER($V181),Setup!$B$6-$V181&gt;Setup!$B$26),"Assessment outdated",IF(NOT(ISNUMBER($W181)),"Assessed – no score",IF($W181&gt;=Setup!$B$24,"High",IF($W181&gt;=Setup!$B$25,"Moderate","Low")))))))</f>
        <v/>
      </c>
      <c r="AL181" s="21">
        <f>IF(AND($A181="",$B181=""),"",IF(Z181=0,"",IF(AND(AE181=1,N($R181)&gt;AD181*1.01+0.001),"Net terrestrial &gt; gross; ","")&amp;IF(AND(AE181=1,N($S181)&gt;AC181*1.01+0.001),"Net marine &gt; gross; ","")&amp;IF(AE181=0,"No net area – gross used, overlaps may be double-counted; ","")&amp;IF(AH181=0,"STATUS_YR missing – imputed in time series; ","")&amp;IF(AND(ISNUMBER($I181),N($I181)&gt;Setup!$B$6),"STATUS_YR after reporting year; ","")&amp;IF(OR($G181="",$G181="Not Reported"),"GOV_TYPE not reported; ","")&amp;IF(AND(N($J181)=1,$K181="Point",N($M181)&lt;=0),"Coastal point without REP_M_AREA – land/sea split unknown; ","")&amp;IF(AND(N($J181)=0,N($S181)&gt;0),"MARINE=0 but net marine &gt;0; ","")&amp;IF(AND(N($J181)=2,N($R181)&gt;0),"MARINE=2 but net terrestrial &gt;0; ","")&amp;IF($K181="Point","Buffered point – coverage approximate; ","")))</f>
        <v/>
      </c>
    </row>
    <row r="182">
      <c r="A182" s="19" t="n"/>
      <c r="B182" s="19" t="n"/>
      <c r="C182" s="19" t="n"/>
      <c r="D182" s="19" t="n"/>
      <c r="E182" s="19" t="n"/>
      <c r="F182" s="19" t="n"/>
      <c r="G182" s="19" t="n"/>
      <c r="H182" s="19" t="n"/>
      <c r="I182" s="19" t="n"/>
      <c r="J182" s="19" t="n"/>
      <c r="K182" s="19" t="n"/>
      <c r="L182" s="20" t="n"/>
      <c r="M182" s="20" t="n"/>
      <c r="N182" s="20" t="n"/>
      <c r="O182" s="20" t="n"/>
      <c r="P182" s="19" t="n"/>
      <c r="Q182" s="19" t="n"/>
      <c r="R182" s="20" t="n"/>
      <c r="S182" s="20" t="n"/>
      <c r="T182" s="19" t="n"/>
      <c r="U182" s="19" t="n"/>
      <c r="V182" s="19" t="n"/>
      <c r="W182" s="19" t="n"/>
      <c r="X182" s="19" t="n"/>
      <c r="Y182" s="19" t="n"/>
      <c r="Z182" s="21">
        <f>IF(AND($A182="",$B182=""),"",IF(OR($E182="",$H182="",$H182="Proposed",$H182="Not Reported"),0,IF(AND($P182="Y",$Q182&lt;&gt;"Y"),0,IF(AND($K182="Point",N($L182)&lt;=0),0,IF(AND(N($L182)&lt;=0,N($N182)&lt;=0,N($R182)+N($S182)&lt;=0),0,1)))))</f>
        <v/>
      </c>
      <c r="AA182" s="21">
        <f>IF(AND($A182="",$B182=""),"",IF($E182="","Site type missing",IF($H182="","STATUS missing",IF($H182="Proposed","STATUS = Proposed",IF($H182="Not Reported","STATUS = Not Reported",IF(AND($P182="Y",$Q182&lt;&gt;"Y"),"UNESCO-MAB Biosphere Reserve",IF(AND($K182="Point",N($L182)&lt;=0),"Point without REP_AREA",IF(AND(N($L182)&lt;=0,N($N182)&lt;=0,N($R182)+N($S182)&lt;=0),"No area information",""))))))))</f>
        <v/>
      </c>
      <c r="AB182" s="22">
        <f>IF(AND($A182="",$B182=""),"",IF($K182="Point",N($L182),IF(N($N182)&gt;0,N($N182),N($L182))))</f>
        <v/>
      </c>
      <c r="AC182" s="22">
        <f>IF(AND($A182="",$B182=""),"",MIN(AB182,IF(N($J182)=0,0,IF(N($J182)=2,AB182,IF(AND($K182&lt;&gt;"Point",N($O182)&gt;0),N($O182),N($M182))))))</f>
        <v/>
      </c>
      <c r="AD182" s="22">
        <f>IF(AND($A182="",$B182=""),"",MAX(0,AB182-AC182))</f>
        <v/>
      </c>
      <c r="AE182" s="21">
        <f>IF(AND($A182="",$B182=""),"",IF(OR($R182&lt;&gt;"",$S182&lt;&gt;""),1,0))</f>
        <v/>
      </c>
      <c r="AF182" s="22">
        <f>IF(AND($A182="",$B182=""),"",IF(Z182=1,IF(AE182=1,N($R182),AD182),0))</f>
        <v/>
      </c>
      <c r="AG182" s="22">
        <f>IF(AND($A182="",$B182=""),"",IF(Z182=1,IF(AE182=1,N($S182),AC182),0))</f>
        <v/>
      </c>
      <c r="AH182" s="21">
        <f>IF(AND($A182="",$B182=""),"",IF(AND(ISNUMBER($I182),N($I182)&gt;0),$I182,0))</f>
        <v/>
      </c>
      <c r="AI182" s="23">
        <f>IF(AND(NOT(AND($A182="",$B182="")),$K182="Point",N($L182)&gt;0),SQRT(N($L182)/PI()),"")</f>
        <v/>
      </c>
      <c r="AJ182" s="21">
        <f>IF(AND($A182="",$B182=""),"",IFERROR(VLOOKUP($G182,Lists!$D$4:$E$15,2,FALSE),"Not reported"))</f>
        <v/>
      </c>
      <c r="AK182" s="21">
        <f>IF(AND($A182="",$B182=""),"",IF($X182&lt;&gt;"",$X182,IF($T182&lt;&gt;"Y","Not assessed",IF(AND(ISNUMBER($V182),Setup!$B$6-$V182&gt;Setup!$B$26),"Assessment outdated",IF(NOT(ISNUMBER($W182)),"Assessed – no score",IF($W182&gt;=Setup!$B$24,"High",IF($W182&gt;=Setup!$B$25,"Moderate","Low")))))))</f>
        <v/>
      </c>
      <c r="AL182" s="21">
        <f>IF(AND($A182="",$B182=""),"",IF(Z182=0,"",IF(AND(AE182=1,N($R182)&gt;AD182*1.01+0.001),"Net terrestrial &gt; gross; ","")&amp;IF(AND(AE182=1,N($S182)&gt;AC182*1.01+0.001),"Net marine &gt; gross; ","")&amp;IF(AE182=0,"No net area – gross used, overlaps may be double-counted; ","")&amp;IF(AH182=0,"STATUS_YR missing – imputed in time series; ","")&amp;IF(AND(ISNUMBER($I182),N($I182)&gt;Setup!$B$6),"STATUS_YR after reporting year; ","")&amp;IF(OR($G182="",$G182="Not Reported"),"GOV_TYPE not reported; ","")&amp;IF(AND(N($J182)=1,$K182="Point",N($M182)&lt;=0),"Coastal point without REP_M_AREA – land/sea split unknown; ","")&amp;IF(AND(N($J182)=0,N($S182)&gt;0),"MARINE=0 but net marine &gt;0; ","")&amp;IF(AND(N($J182)=2,N($R182)&gt;0),"MARINE=2 but net terrestrial &gt;0; ","")&amp;IF($K182="Point","Buffered point – coverage approximate; ","")))</f>
        <v/>
      </c>
    </row>
    <row r="183">
      <c r="A183" s="19" t="n"/>
      <c r="B183" s="19" t="n"/>
      <c r="C183" s="19" t="n"/>
      <c r="D183" s="19" t="n"/>
      <c r="E183" s="19" t="n"/>
      <c r="F183" s="19" t="n"/>
      <c r="G183" s="19" t="n"/>
      <c r="H183" s="19" t="n"/>
      <c r="I183" s="19" t="n"/>
      <c r="J183" s="19" t="n"/>
      <c r="K183" s="19" t="n"/>
      <c r="L183" s="20" t="n"/>
      <c r="M183" s="20" t="n"/>
      <c r="N183" s="20" t="n"/>
      <c r="O183" s="20" t="n"/>
      <c r="P183" s="19" t="n"/>
      <c r="Q183" s="19" t="n"/>
      <c r="R183" s="20" t="n"/>
      <c r="S183" s="20" t="n"/>
      <c r="T183" s="19" t="n"/>
      <c r="U183" s="19" t="n"/>
      <c r="V183" s="19" t="n"/>
      <c r="W183" s="19" t="n"/>
      <c r="X183" s="19" t="n"/>
      <c r="Y183" s="19" t="n"/>
      <c r="Z183" s="21">
        <f>IF(AND($A183="",$B183=""),"",IF(OR($E183="",$H183="",$H183="Proposed",$H183="Not Reported"),0,IF(AND($P183="Y",$Q183&lt;&gt;"Y"),0,IF(AND($K183="Point",N($L183)&lt;=0),0,IF(AND(N($L183)&lt;=0,N($N183)&lt;=0,N($R183)+N($S183)&lt;=0),0,1)))))</f>
        <v/>
      </c>
      <c r="AA183" s="21">
        <f>IF(AND($A183="",$B183=""),"",IF($E183="","Site type missing",IF($H183="","STATUS missing",IF($H183="Proposed","STATUS = Proposed",IF($H183="Not Reported","STATUS = Not Reported",IF(AND($P183="Y",$Q183&lt;&gt;"Y"),"UNESCO-MAB Biosphere Reserve",IF(AND($K183="Point",N($L183)&lt;=0),"Point without REP_AREA",IF(AND(N($L183)&lt;=0,N($N183)&lt;=0,N($R183)+N($S183)&lt;=0),"No area information",""))))))))</f>
        <v/>
      </c>
      <c r="AB183" s="22">
        <f>IF(AND($A183="",$B183=""),"",IF($K183="Point",N($L183),IF(N($N183)&gt;0,N($N183),N($L183))))</f>
        <v/>
      </c>
      <c r="AC183" s="22">
        <f>IF(AND($A183="",$B183=""),"",MIN(AB183,IF(N($J183)=0,0,IF(N($J183)=2,AB183,IF(AND($K183&lt;&gt;"Point",N($O183)&gt;0),N($O183),N($M183))))))</f>
        <v/>
      </c>
      <c r="AD183" s="22">
        <f>IF(AND($A183="",$B183=""),"",MAX(0,AB183-AC183))</f>
        <v/>
      </c>
      <c r="AE183" s="21">
        <f>IF(AND($A183="",$B183=""),"",IF(OR($R183&lt;&gt;"",$S183&lt;&gt;""),1,0))</f>
        <v/>
      </c>
      <c r="AF183" s="22">
        <f>IF(AND($A183="",$B183=""),"",IF(Z183=1,IF(AE183=1,N($R183),AD183),0))</f>
        <v/>
      </c>
      <c r="AG183" s="22">
        <f>IF(AND($A183="",$B183=""),"",IF(Z183=1,IF(AE183=1,N($S183),AC183),0))</f>
        <v/>
      </c>
      <c r="AH183" s="21">
        <f>IF(AND($A183="",$B183=""),"",IF(AND(ISNUMBER($I183),N($I183)&gt;0),$I183,0))</f>
        <v/>
      </c>
      <c r="AI183" s="23">
        <f>IF(AND(NOT(AND($A183="",$B183="")),$K183="Point",N($L183)&gt;0),SQRT(N($L183)/PI()),"")</f>
        <v/>
      </c>
      <c r="AJ183" s="21">
        <f>IF(AND($A183="",$B183=""),"",IFERROR(VLOOKUP($G183,Lists!$D$4:$E$15,2,FALSE),"Not reported"))</f>
        <v/>
      </c>
      <c r="AK183" s="21">
        <f>IF(AND($A183="",$B183=""),"",IF($X183&lt;&gt;"",$X183,IF($T183&lt;&gt;"Y","Not assessed",IF(AND(ISNUMBER($V183),Setup!$B$6-$V183&gt;Setup!$B$26),"Assessment outdated",IF(NOT(ISNUMBER($W183)),"Assessed – no score",IF($W183&gt;=Setup!$B$24,"High",IF($W183&gt;=Setup!$B$25,"Moderate","Low")))))))</f>
        <v/>
      </c>
      <c r="AL183" s="21">
        <f>IF(AND($A183="",$B183=""),"",IF(Z183=0,"",IF(AND(AE183=1,N($R183)&gt;AD183*1.01+0.001),"Net terrestrial &gt; gross; ","")&amp;IF(AND(AE183=1,N($S183)&gt;AC183*1.01+0.001),"Net marine &gt; gross; ","")&amp;IF(AE183=0,"No net area – gross used, overlaps may be double-counted; ","")&amp;IF(AH183=0,"STATUS_YR missing – imputed in time series; ","")&amp;IF(AND(ISNUMBER($I183),N($I183)&gt;Setup!$B$6),"STATUS_YR after reporting year; ","")&amp;IF(OR($G183="",$G183="Not Reported"),"GOV_TYPE not reported; ","")&amp;IF(AND(N($J183)=1,$K183="Point",N($M183)&lt;=0),"Coastal point without REP_M_AREA – land/sea split unknown; ","")&amp;IF(AND(N($J183)=0,N($S183)&gt;0),"MARINE=0 but net marine &gt;0; ","")&amp;IF(AND(N($J183)=2,N($R183)&gt;0),"MARINE=2 but net terrestrial &gt;0; ","")&amp;IF($K183="Point","Buffered point – coverage approximate; ","")))</f>
        <v/>
      </c>
    </row>
    <row r="184">
      <c r="A184" s="19" t="n"/>
      <c r="B184" s="19" t="n"/>
      <c r="C184" s="19" t="n"/>
      <c r="D184" s="19" t="n"/>
      <c r="E184" s="19" t="n"/>
      <c r="F184" s="19" t="n"/>
      <c r="G184" s="19" t="n"/>
      <c r="H184" s="19" t="n"/>
      <c r="I184" s="19" t="n"/>
      <c r="J184" s="19" t="n"/>
      <c r="K184" s="19" t="n"/>
      <c r="L184" s="20" t="n"/>
      <c r="M184" s="20" t="n"/>
      <c r="N184" s="20" t="n"/>
      <c r="O184" s="20" t="n"/>
      <c r="P184" s="19" t="n"/>
      <c r="Q184" s="19" t="n"/>
      <c r="R184" s="20" t="n"/>
      <c r="S184" s="20" t="n"/>
      <c r="T184" s="19" t="n"/>
      <c r="U184" s="19" t="n"/>
      <c r="V184" s="19" t="n"/>
      <c r="W184" s="19" t="n"/>
      <c r="X184" s="19" t="n"/>
      <c r="Y184" s="19" t="n"/>
      <c r="Z184" s="21">
        <f>IF(AND($A184="",$B184=""),"",IF(OR($E184="",$H184="",$H184="Proposed",$H184="Not Reported"),0,IF(AND($P184="Y",$Q184&lt;&gt;"Y"),0,IF(AND($K184="Point",N($L184)&lt;=0),0,IF(AND(N($L184)&lt;=0,N($N184)&lt;=0,N($R184)+N($S184)&lt;=0),0,1)))))</f>
        <v/>
      </c>
      <c r="AA184" s="21">
        <f>IF(AND($A184="",$B184=""),"",IF($E184="","Site type missing",IF($H184="","STATUS missing",IF($H184="Proposed","STATUS = Proposed",IF($H184="Not Reported","STATUS = Not Reported",IF(AND($P184="Y",$Q184&lt;&gt;"Y"),"UNESCO-MAB Biosphere Reserve",IF(AND($K184="Point",N($L184)&lt;=0),"Point without REP_AREA",IF(AND(N($L184)&lt;=0,N($N184)&lt;=0,N($R184)+N($S184)&lt;=0),"No area information",""))))))))</f>
        <v/>
      </c>
      <c r="AB184" s="22">
        <f>IF(AND($A184="",$B184=""),"",IF($K184="Point",N($L184),IF(N($N184)&gt;0,N($N184),N($L184))))</f>
        <v/>
      </c>
      <c r="AC184" s="22">
        <f>IF(AND($A184="",$B184=""),"",MIN(AB184,IF(N($J184)=0,0,IF(N($J184)=2,AB184,IF(AND($K184&lt;&gt;"Point",N($O184)&gt;0),N($O184),N($M184))))))</f>
        <v/>
      </c>
      <c r="AD184" s="22">
        <f>IF(AND($A184="",$B184=""),"",MAX(0,AB184-AC184))</f>
        <v/>
      </c>
      <c r="AE184" s="21">
        <f>IF(AND($A184="",$B184=""),"",IF(OR($R184&lt;&gt;"",$S184&lt;&gt;""),1,0))</f>
        <v/>
      </c>
      <c r="AF184" s="22">
        <f>IF(AND($A184="",$B184=""),"",IF(Z184=1,IF(AE184=1,N($R184),AD184),0))</f>
        <v/>
      </c>
      <c r="AG184" s="22">
        <f>IF(AND($A184="",$B184=""),"",IF(Z184=1,IF(AE184=1,N($S184),AC184),0))</f>
        <v/>
      </c>
      <c r="AH184" s="21">
        <f>IF(AND($A184="",$B184=""),"",IF(AND(ISNUMBER($I184),N($I184)&gt;0),$I184,0))</f>
        <v/>
      </c>
      <c r="AI184" s="23">
        <f>IF(AND(NOT(AND($A184="",$B184="")),$K184="Point",N($L184)&gt;0),SQRT(N($L184)/PI()),"")</f>
        <v/>
      </c>
      <c r="AJ184" s="21">
        <f>IF(AND($A184="",$B184=""),"",IFERROR(VLOOKUP($G184,Lists!$D$4:$E$15,2,FALSE),"Not reported"))</f>
        <v/>
      </c>
      <c r="AK184" s="21">
        <f>IF(AND($A184="",$B184=""),"",IF($X184&lt;&gt;"",$X184,IF($T184&lt;&gt;"Y","Not assessed",IF(AND(ISNUMBER($V184),Setup!$B$6-$V184&gt;Setup!$B$26),"Assessment outdated",IF(NOT(ISNUMBER($W184)),"Assessed – no score",IF($W184&gt;=Setup!$B$24,"High",IF($W184&gt;=Setup!$B$25,"Moderate","Low")))))))</f>
        <v/>
      </c>
      <c r="AL184" s="21">
        <f>IF(AND($A184="",$B184=""),"",IF(Z184=0,"",IF(AND(AE184=1,N($R184)&gt;AD184*1.01+0.001),"Net terrestrial &gt; gross; ","")&amp;IF(AND(AE184=1,N($S184)&gt;AC184*1.01+0.001),"Net marine &gt; gross; ","")&amp;IF(AE184=0,"No net area – gross used, overlaps may be double-counted; ","")&amp;IF(AH184=0,"STATUS_YR missing – imputed in time series; ","")&amp;IF(AND(ISNUMBER($I184),N($I184)&gt;Setup!$B$6),"STATUS_YR after reporting year; ","")&amp;IF(OR($G184="",$G184="Not Reported"),"GOV_TYPE not reported; ","")&amp;IF(AND(N($J184)=1,$K184="Point",N($M184)&lt;=0),"Coastal point without REP_M_AREA – land/sea split unknown; ","")&amp;IF(AND(N($J184)=0,N($S184)&gt;0),"MARINE=0 but net marine &gt;0; ","")&amp;IF(AND(N($J184)=2,N($R184)&gt;0),"MARINE=2 but net terrestrial &gt;0; ","")&amp;IF($K184="Point","Buffered point – coverage approximate; ","")))</f>
        <v/>
      </c>
    </row>
    <row r="185">
      <c r="A185" s="19" t="n"/>
      <c r="B185" s="19" t="n"/>
      <c r="C185" s="19" t="n"/>
      <c r="D185" s="19" t="n"/>
      <c r="E185" s="19" t="n"/>
      <c r="F185" s="19" t="n"/>
      <c r="G185" s="19" t="n"/>
      <c r="H185" s="19" t="n"/>
      <c r="I185" s="19" t="n"/>
      <c r="J185" s="19" t="n"/>
      <c r="K185" s="19" t="n"/>
      <c r="L185" s="20" t="n"/>
      <c r="M185" s="20" t="n"/>
      <c r="N185" s="20" t="n"/>
      <c r="O185" s="20" t="n"/>
      <c r="P185" s="19" t="n"/>
      <c r="Q185" s="19" t="n"/>
      <c r="R185" s="20" t="n"/>
      <c r="S185" s="20" t="n"/>
      <c r="T185" s="19" t="n"/>
      <c r="U185" s="19" t="n"/>
      <c r="V185" s="19" t="n"/>
      <c r="W185" s="19" t="n"/>
      <c r="X185" s="19" t="n"/>
      <c r="Y185" s="19" t="n"/>
      <c r="Z185" s="21">
        <f>IF(AND($A185="",$B185=""),"",IF(OR($E185="",$H185="",$H185="Proposed",$H185="Not Reported"),0,IF(AND($P185="Y",$Q185&lt;&gt;"Y"),0,IF(AND($K185="Point",N($L185)&lt;=0),0,IF(AND(N($L185)&lt;=0,N($N185)&lt;=0,N($R185)+N($S185)&lt;=0),0,1)))))</f>
        <v/>
      </c>
      <c r="AA185" s="21">
        <f>IF(AND($A185="",$B185=""),"",IF($E185="","Site type missing",IF($H185="","STATUS missing",IF($H185="Proposed","STATUS = Proposed",IF($H185="Not Reported","STATUS = Not Reported",IF(AND($P185="Y",$Q185&lt;&gt;"Y"),"UNESCO-MAB Biosphere Reserve",IF(AND($K185="Point",N($L185)&lt;=0),"Point without REP_AREA",IF(AND(N($L185)&lt;=0,N($N185)&lt;=0,N($R185)+N($S185)&lt;=0),"No area information",""))))))))</f>
        <v/>
      </c>
      <c r="AB185" s="22">
        <f>IF(AND($A185="",$B185=""),"",IF($K185="Point",N($L185),IF(N($N185)&gt;0,N($N185),N($L185))))</f>
        <v/>
      </c>
      <c r="AC185" s="22">
        <f>IF(AND($A185="",$B185=""),"",MIN(AB185,IF(N($J185)=0,0,IF(N($J185)=2,AB185,IF(AND($K185&lt;&gt;"Point",N($O185)&gt;0),N($O185),N($M185))))))</f>
        <v/>
      </c>
      <c r="AD185" s="22">
        <f>IF(AND($A185="",$B185=""),"",MAX(0,AB185-AC185))</f>
        <v/>
      </c>
      <c r="AE185" s="21">
        <f>IF(AND($A185="",$B185=""),"",IF(OR($R185&lt;&gt;"",$S185&lt;&gt;""),1,0))</f>
        <v/>
      </c>
      <c r="AF185" s="22">
        <f>IF(AND($A185="",$B185=""),"",IF(Z185=1,IF(AE185=1,N($R185),AD185),0))</f>
        <v/>
      </c>
      <c r="AG185" s="22">
        <f>IF(AND($A185="",$B185=""),"",IF(Z185=1,IF(AE185=1,N($S185),AC185),0))</f>
        <v/>
      </c>
      <c r="AH185" s="21">
        <f>IF(AND($A185="",$B185=""),"",IF(AND(ISNUMBER($I185),N($I185)&gt;0),$I185,0))</f>
        <v/>
      </c>
      <c r="AI185" s="23">
        <f>IF(AND(NOT(AND($A185="",$B185="")),$K185="Point",N($L185)&gt;0),SQRT(N($L185)/PI()),"")</f>
        <v/>
      </c>
      <c r="AJ185" s="21">
        <f>IF(AND($A185="",$B185=""),"",IFERROR(VLOOKUP($G185,Lists!$D$4:$E$15,2,FALSE),"Not reported"))</f>
        <v/>
      </c>
      <c r="AK185" s="21">
        <f>IF(AND($A185="",$B185=""),"",IF($X185&lt;&gt;"",$X185,IF($T185&lt;&gt;"Y","Not assessed",IF(AND(ISNUMBER($V185),Setup!$B$6-$V185&gt;Setup!$B$26),"Assessment outdated",IF(NOT(ISNUMBER($W185)),"Assessed – no score",IF($W185&gt;=Setup!$B$24,"High",IF($W185&gt;=Setup!$B$25,"Moderate","Low")))))))</f>
        <v/>
      </c>
      <c r="AL185" s="21">
        <f>IF(AND($A185="",$B185=""),"",IF(Z185=0,"",IF(AND(AE185=1,N($R185)&gt;AD185*1.01+0.001),"Net terrestrial &gt; gross; ","")&amp;IF(AND(AE185=1,N($S185)&gt;AC185*1.01+0.001),"Net marine &gt; gross; ","")&amp;IF(AE185=0,"No net area – gross used, overlaps may be double-counted; ","")&amp;IF(AH185=0,"STATUS_YR missing – imputed in time series; ","")&amp;IF(AND(ISNUMBER($I185),N($I185)&gt;Setup!$B$6),"STATUS_YR after reporting year; ","")&amp;IF(OR($G185="",$G185="Not Reported"),"GOV_TYPE not reported; ","")&amp;IF(AND(N($J185)=1,$K185="Point",N($M185)&lt;=0),"Coastal point without REP_M_AREA – land/sea split unknown; ","")&amp;IF(AND(N($J185)=0,N($S185)&gt;0),"MARINE=0 but net marine &gt;0; ","")&amp;IF(AND(N($J185)=2,N($R185)&gt;0),"MARINE=2 but net terrestrial &gt;0; ","")&amp;IF($K185="Point","Buffered point – coverage approximate; ","")))</f>
        <v/>
      </c>
    </row>
    <row r="186">
      <c r="A186" s="19" t="n"/>
      <c r="B186" s="19" t="n"/>
      <c r="C186" s="19" t="n"/>
      <c r="D186" s="19" t="n"/>
      <c r="E186" s="19" t="n"/>
      <c r="F186" s="19" t="n"/>
      <c r="G186" s="19" t="n"/>
      <c r="H186" s="19" t="n"/>
      <c r="I186" s="19" t="n"/>
      <c r="J186" s="19" t="n"/>
      <c r="K186" s="19" t="n"/>
      <c r="L186" s="20" t="n"/>
      <c r="M186" s="20" t="n"/>
      <c r="N186" s="20" t="n"/>
      <c r="O186" s="20" t="n"/>
      <c r="P186" s="19" t="n"/>
      <c r="Q186" s="19" t="n"/>
      <c r="R186" s="20" t="n"/>
      <c r="S186" s="20" t="n"/>
      <c r="T186" s="19" t="n"/>
      <c r="U186" s="19" t="n"/>
      <c r="V186" s="19" t="n"/>
      <c r="W186" s="19" t="n"/>
      <c r="X186" s="19" t="n"/>
      <c r="Y186" s="19" t="n"/>
      <c r="Z186" s="21">
        <f>IF(AND($A186="",$B186=""),"",IF(OR($E186="",$H186="",$H186="Proposed",$H186="Not Reported"),0,IF(AND($P186="Y",$Q186&lt;&gt;"Y"),0,IF(AND($K186="Point",N($L186)&lt;=0),0,IF(AND(N($L186)&lt;=0,N($N186)&lt;=0,N($R186)+N($S186)&lt;=0),0,1)))))</f>
        <v/>
      </c>
      <c r="AA186" s="21">
        <f>IF(AND($A186="",$B186=""),"",IF($E186="","Site type missing",IF($H186="","STATUS missing",IF($H186="Proposed","STATUS = Proposed",IF($H186="Not Reported","STATUS = Not Reported",IF(AND($P186="Y",$Q186&lt;&gt;"Y"),"UNESCO-MAB Biosphere Reserve",IF(AND($K186="Point",N($L186)&lt;=0),"Point without REP_AREA",IF(AND(N($L186)&lt;=0,N($N186)&lt;=0,N($R186)+N($S186)&lt;=0),"No area information",""))))))))</f>
        <v/>
      </c>
      <c r="AB186" s="22">
        <f>IF(AND($A186="",$B186=""),"",IF($K186="Point",N($L186),IF(N($N186)&gt;0,N($N186),N($L186))))</f>
        <v/>
      </c>
      <c r="AC186" s="22">
        <f>IF(AND($A186="",$B186=""),"",MIN(AB186,IF(N($J186)=0,0,IF(N($J186)=2,AB186,IF(AND($K186&lt;&gt;"Point",N($O186)&gt;0),N($O186),N($M186))))))</f>
        <v/>
      </c>
      <c r="AD186" s="22">
        <f>IF(AND($A186="",$B186=""),"",MAX(0,AB186-AC186))</f>
        <v/>
      </c>
      <c r="AE186" s="21">
        <f>IF(AND($A186="",$B186=""),"",IF(OR($R186&lt;&gt;"",$S186&lt;&gt;""),1,0))</f>
        <v/>
      </c>
      <c r="AF186" s="22">
        <f>IF(AND($A186="",$B186=""),"",IF(Z186=1,IF(AE186=1,N($R186),AD186),0))</f>
        <v/>
      </c>
      <c r="AG186" s="22">
        <f>IF(AND($A186="",$B186=""),"",IF(Z186=1,IF(AE186=1,N($S186),AC186),0))</f>
        <v/>
      </c>
      <c r="AH186" s="21">
        <f>IF(AND($A186="",$B186=""),"",IF(AND(ISNUMBER($I186),N($I186)&gt;0),$I186,0))</f>
        <v/>
      </c>
      <c r="AI186" s="23">
        <f>IF(AND(NOT(AND($A186="",$B186="")),$K186="Point",N($L186)&gt;0),SQRT(N($L186)/PI()),"")</f>
        <v/>
      </c>
      <c r="AJ186" s="21">
        <f>IF(AND($A186="",$B186=""),"",IFERROR(VLOOKUP($G186,Lists!$D$4:$E$15,2,FALSE),"Not reported"))</f>
        <v/>
      </c>
      <c r="AK186" s="21">
        <f>IF(AND($A186="",$B186=""),"",IF($X186&lt;&gt;"",$X186,IF($T186&lt;&gt;"Y","Not assessed",IF(AND(ISNUMBER($V186),Setup!$B$6-$V186&gt;Setup!$B$26),"Assessment outdated",IF(NOT(ISNUMBER($W186)),"Assessed – no score",IF($W186&gt;=Setup!$B$24,"High",IF($W186&gt;=Setup!$B$25,"Moderate","Low")))))))</f>
        <v/>
      </c>
      <c r="AL186" s="21">
        <f>IF(AND($A186="",$B186=""),"",IF(Z186=0,"",IF(AND(AE186=1,N($R186)&gt;AD186*1.01+0.001),"Net terrestrial &gt; gross; ","")&amp;IF(AND(AE186=1,N($S186)&gt;AC186*1.01+0.001),"Net marine &gt; gross; ","")&amp;IF(AE186=0,"No net area – gross used, overlaps may be double-counted; ","")&amp;IF(AH186=0,"STATUS_YR missing – imputed in time series; ","")&amp;IF(AND(ISNUMBER($I186),N($I186)&gt;Setup!$B$6),"STATUS_YR after reporting year; ","")&amp;IF(OR($G186="",$G186="Not Reported"),"GOV_TYPE not reported; ","")&amp;IF(AND(N($J186)=1,$K186="Point",N($M186)&lt;=0),"Coastal point without REP_M_AREA – land/sea split unknown; ","")&amp;IF(AND(N($J186)=0,N($S186)&gt;0),"MARINE=0 but net marine &gt;0; ","")&amp;IF(AND(N($J186)=2,N($R186)&gt;0),"MARINE=2 but net terrestrial &gt;0; ","")&amp;IF($K186="Point","Buffered point – coverage approximate; ","")))</f>
        <v/>
      </c>
    </row>
    <row r="187">
      <c r="A187" s="19" t="n"/>
      <c r="B187" s="19" t="n"/>
      <c r="C187" s="19" t="n"/>
      <c r="D187" s="19" t="n"/>
      <c r="E187" s="19" t="n"/>
      <c r="F187" s="19" t="n"/>
      <c r="G187" s="19" t="n"/>
      <c r="H187" s="19" t="n"/>
      <c r="I187" s="19" t="n"/>
      <c r="J187" s="19" t="n"/>
      <c r="K187" s="19" t="n"/>
      <c r="L187" s="20" t="n"/>
      <c r="M187" s="20" t="n"/>
      <c r="N187" s="20" t="n"/>
      <c r="O187" s="20" t="n"/>
      <c r="P187" s="19" t="n"/>
      <c r="Q187" s="19" t="n"/>
      <c r="R187" s="20" t="n"/>
      <c r="S187" s="20" t="n"/>
      <c r="T187" s="19" t="n"/>
      <c r="U187" s="19" t="n"/>
      <c r="V187" s="19" t="n"/>
      <c r="W187" s="19" t="n"/>
      <c r="X187" s="19" t="n"/>
      <c r="Y187" s="19" t="n"/>
      <c r="Z187" s="21">
        <f>IF(AND($A187="",$B187=""),"",IF(OR($E187="",$H187="",$H187="Proposed",$H187="Not Reported"),0,IF(AND($P187="Y",$Q187&lt;&gt;"Y"),0,IF(AND($K187="Point",N($L187)&lt;=0),0,IF(AND(N($L187)&lt;=0,N($N187)&lt;=0,N($R187)+N($S187)&lt;=0),0,1)))))</f>
        <v/>
      </c>
      <c r="AA187" s="21">
        <f>IF(AND($A187="",$B187=""),"",IF($E187="","Site type missing",IF($H187="","STATUS missing",IF($H187="Proposed","STATUS = Proposed",IF($H187="Not Reported","STATUS = Not Reported",IF(AND($P187="Y",$Q187&lt;&gt;"Y"),"UNESCO-MAB Biosphere Reserve",IF(AND($K187="Point",N($L187)&lt;=0),"Point without REP_AREA",IF(AND(N($L187)&lt;=0,N($N187)&lt;=0,N($R187)+N($S187)&lt;=0),"No area information",""))))))))</f>
        <v/>
      </c>
      <c r="AB187" s="22">
        <f>IF(AND($A187="",$B187=""),"",IF($K187="Point",N($L187),IF(N($N187)&gt;0,N($N187),N($L187))))</f>
        <v/>
      </c>
      <c r="AC187" s="22">
        <f>IF(AND($A187="",$B187=""),"",MIN(AB187,IF(N($J187)=0,0,IF(N($J187)=2,AB187,IF(AND($K187&lt;&gt;"Point",N($O187)&gt;0),N($O187),N($M187))))))</f>
        <v/>
      </c>
      <c r="AD187" s="22">
        <f>IF(AND($A187="",$B187=""),"",MAX(0,AB187-AC187))</f>
        <v/>
      </c>
      <c r="AE187" s="21">
        <f>IF(AND($A187="",$B187=""),"",IF(OR($R187&lt;&gt;"",$S187&lt;&gt;""),1,0))</f>
        <v/>
      </c>
      <c r="AF187" s="22">
        <f>IF(AND($A187="",$B187=""),"",IF(Z187=1,IF(AE187=1,N($R187),AD187),0))</f>
        <v/>
      </c>
      <c r="AG187" s="22">
        <f>IF(AND($A187="",$B187=""),"",IF(Z187=1,IF(AE187=1,N($S187),AC187),0))</f>
        <v/>
      </c>
      <c r="AH187" s="21">
        <f>IF(AND($A187="",$B187=""),"",IF(AND(ISNUMBER($I187),N($I187)&gt;0),$I187,0))</f>
        <v/>
      </c>
      <c r="AI187" s="23">
        <f>IF(AND(NOT(AND($A187="",$B187="")),$K187="Point",N($L187)&gt;0),SQRT(N($L187)/PI()),"")</f>
        <v/>
      </c>
      <c r="AJ187" s="21">
        <f>IF(AND($A187="",$B187=""),"",IFERROR(VLOOKUP($G187,Lists!$D$4:$E$15,2,FALSE),"Not reported"))</f>
        <v/>
      </c>
      <c r="AK187" s="21">
        <f>IF(AND($A187="",$B187=""),"",IF($X187&lt;&gt;"",$X187,IF($T187&lt;&gt;"Y","Not assessed",IF(AND(ISNUMBER($V187),Setup!$B$6-$V187&gt;Setup!$B$26),"Assessment outdated",IF(NOT(ISNUMBER($W187)),"Assessed – no score",IF($W187&gt;=Setup!$B$24,"High",IF($W187&gt;=Setup!$B$25,"Moderate","Low")))))))</f>
        <v/>
      </c>
      <c r="AL187" s="21">
        <f>IF(AND($A187="",$B187=""),"",IF(Z187=0,"",IF(AND(AE187=1,N($R187)&gt;AD187*1.01+0.001),"Net terrestrial &gt; gross; ","")&amp;IF(AND(AE187=1,N($S187)&gt;AC187*1.01+0.001),"Net marine &gt; gross; ","")&amp;IF(AE187=0,"No net area – gross used, overlaps may be double-counted; ","")&amp;IF(AH187=0,"STATUS_YR missing – imputed in time series; ","")&amp;IF(AND(ISNUMBER($I187),N($I187)&gt;Setup!$B$6),"STATUS_YR after reporting year; ","")&amp;IF(OR($G187="",$G187="Not Reported"),"GOV_TYPE not reported; ","")&amp;IF(AND(N($J187)=1,$K187="Point",N($M187)&lt;=0),"Coastal point without REP_M_AREA – land/sea split unknown; ","")&amp;IF(AND(N($J187)=0,N($S187)&gt;0),"MARINE=0 but net marine &gt;0; ","")&amp;IF(AND(N($J187)=2,N($R187)&gt;0),"MARINE=2 but net terrestrial &gt;0; ","")&amp;IF($K187="Point","Buffered point – coverage approximate; ","")))</f>
        <v/>
      </c>
    </row>
    <row r="188">
      <c r="A188" s="19" t="n"/>
      <c r="B188" s="19" t="n"/>
      <c r="C188" s="19" t="n"/>
      <c r="D188" s="19" t="n"/>
      <c r="E188" s="19" t="n"/>
      <c r="F188" s="19" t="n"/>
      <c r="G188" s="19" t="n"/>
      <c r="H188" s="19" t="n"/>
      <c r="I188" s="19" t="n"/>
      <c r="J188" s="19" t="n"/>
      <c r="K188" s="19" t="n"/>
      <c r="L188" s="20" t="n"/>
      <c r="M188" s="20" t="n"/>
      <c r="N188" s="20" t="n"/>
      <c r="O188" s="20" t="n"/>
      <c r="P188" s="19" t="n"/>
      <c r="Q188" s="19" t="n"/>
      <c r="R188" s="20" t="n"/>
      <c r="S188" s="20" t="n"/>
      <c r="T188" s="19" t="n"/>
      <c r="U188" s="19" t="n"/>
      <c r="V188" s="19" t="n"/>
      <c r="W188" s="19" t="n"/>
      <c r="X188" s="19" t="n"/>
      <c r="Y188" s="19" t="n"/>
      <c r="Z188" s="21">
        <f>IF(AND($A188="",$B188=""),"",IF(OR($E188="",$H188="",$H188="Proposed",$H188="Not Reported"),0,IF(AND($P188="Y",$Q188&lt;&gt;"Y"),0,IF(AND($K188="Point",N($L188)&lt;=0),0,IF(AND(N($L188)&lt;=0,N($N188)&lt;=0,N($R188)+N($S188)&lt;=0),0,1)))))</f>
        <v/>
      </c>
      <c r="AA188" s="21">
        <f>IF(AND($A188="",$B188=""),"",IF($E188="","Site type missing",IF($H188="","STATUS missing",IF($H188="Proposed","STATUS = Proposed",IF($H188="Not Reported","STATUS = Not Reported",IF(AND($P188="Y",$Q188&lt;&gt;"Y"),"UNESCO-MAB Biosphere Reserve",IF(AND($K188="Point",N($L188)&lt;=0),"Point without REP_AREA",IF(AND(N($L188)&lt;=0,N($N188)&lt;=0,N($R188)+N($S188)&lt;=0),"No area information",""))))))))</f>
        <v/>
      </c>
      <c r="AB188" s="22">
        <f>IF(AND($A188="",$B188=""),"",IF($K188="Point",N($L188),IF(N($N188)&gt;0,N($N188),N($L188))))</f>
        <v/>
      </c>
      <c r="AC188" s="22">
        <f>IF(AND($A188="",$B188=""),"",MIN(AB188,IF(N($J188)=0,0,IF(N($J188)=2,AB188,IF(AND($K188&lt;&gt;"Point",N($O188)&gt;0),N($O188),N($M188))))))</f>
        <v/>
      </c>
      <c r="AD188" s="22">
        <f>IF(AND($A188="",$B188=""),"",MAX(0,AB188-AC188))</f>
        <v/>
      </c>
      <c r="AE188" s="21">
        <f>IF(AND($A188="",$B188=""),"",IF(OR($R188&lt;&gt;"",$S188&lt;&gt;""),1,0))</f>
        <v/>
      </c>
      <c r="AF188" s="22">
        <f>IF(AND($A188="",$B188=""),"",IF(Z188=1,IF(AE188=1,N($R188),AD188),0))</f>
        <v/>
      </c>
      <c r="AG188" s="22">
        <f>IF(AND($A188="",$B188=""),"",IF(Z188=1,IF(AE188=1,N($S188),AC188),0))</f>
        <v/>
      </c>
      <c r="AH188" s="21">
        <f>IF(AND($A188="",$B188=""),"",IF(AND(ISNUMBER($I188),N($I188)&gt;0),$I188,0))</f>
        <v/>
      </c>
      <c r="AI188" s="23">
        <f>IF(AND(NOT(AND($A188="",$B188="")),$K188="Point",N($L188)&gt;0),SQRT(N($L188)/PI()),"")</f>
        <v/>
      </c>
      <c r="AJ188" s="21">
        <f>IF(AND($A188="",$B188=""),"",IFERROR(VLOOKUP($G188,Lists!$D$4:$E$15,2,FALSE),"Not reported"))</f>
        <v/>
      </c>
      <c r="AK188" s="21">
        <f>IF(AND($A188="",$B188=""),"",IF($X188&lt;&gt;"",$X188,IF($T188&lt;&gt;"Y","Not assessed",IF(AND(ISNUMBER($V188),Setup!$B$6-$V188&gt;Setup!$B$26),"Assessment outdated",IF(NOT(ISNUMBER($W188)),"Assessed – no score",IF($W188&gt;=Setup!$B$24,"High",IF($W188&gt;=Setup!$B$25,"Moderate","Low")))))))</f>
        <v/>
      </c>
      <c r="AL188" s="21">
        <f>IF(AND($A188="",$B188=""),"",IF(Z188=0,"",IF(AND(AE188=1,N($R188)&gt;AD188*1.01+0.001),"Net terrestrial &gt; gross; ","")&amp;IF(AND(AE188=1,N($S188)&gt;AC188*1.01+0.001),"Net marine &gt; gross; ","")&amp;IF(AE188=0,"No net area – gross used, overlaps may be double-counted; ","")&amp;IF(AH188=0,"STATUS_YR missing – imputed in time series; ","")&amp;IF(AND(ISNUMBER($I188),N($I188)&gt;Setup!$B$6),"STATUS_YR after reporting year; ","")&amp;IF(OR($G188="",$G188="Not Reported"),"GOV_TYPE not reported; ","")&amp;IF(AND(N($J188)=1,$K188="Point",N($M188)&lt;=0),"Coastal point without REP_M_AREA – land/sea split unknown; ","")&amp;IF(AND(N($J188)=0,N($S188)&gt;0),"MARINE=0 but net marine &gt;0; ","")&amp;IF(AND(N($J188)=2,N($R188)&gt;0),"MARINE=2 but net terrestrial &gt;0; ","")&amp;IF($K188="Point","Buffered point – coverage approximate; ","")))</f>
        <v/>
      </c>
    </row>
    <row r="189">
      <c r="A189" s="19" t="n"/>
      <c r="B189" s="19" t="n"/>
      <c r="C189" s="19" t="n"/>
      <c r="D189" s="19" t="n"/>
      <c r="E189" s="19" t="n"/>
      <c r="F189" s="19" t="n"/>
      <c r="G189" s="19" t="n"/>
      <c r="H189" s="19" t="n"/>
      <c r="I189" s="19" t="n"/>
      <c r="J189" s="19" t="n"/>
      <c r="K189" s="19" t="n"/>
      <c r="L189" s="20" t="n"/>
      <c r="M189" s="20" t="n"/>
      <c r="N189" s="20" t="n"/>
      <c r="O189" s="20" t="n"/>
      <c r="P189" s="19" t="n"/>
      <c r="Q189" s="19" t="n"/>
      <c r="R189" s="20" t="n"/>
      <c r="S189" s="20" t="n"/>
      <c r="T189" s="19" t="n"/>
      <c r="U189" s="19" t="n"/>
      <c r="V189" s="19" t="n"/>
      <c r="W189" s="19" t="n"/>
      <c r="X189" s="19" t="n"/>
      <c r="Y189" s="19" t="n"/>
      <c r="Z189" s="21">
        <f>IF(AND($A189="",$B189=""),"",IF(OR($E189="",$H189="",$H189="Proposed",$H189="Not Reported"),0,IF(AND($P189="Y",$Q189&lt;&gt;"Y"),0,IF(AND($K189="Point",N($L189)&lt;=0),0,IF(AND(N($L189)&lt;=0,N($N189)&lt;=0,N($R189)+N($S189)&lt;=0),0,1)))))</f>
        <v/>
      </c>
      <c r="AA189" s="21">
        <f>IF(AND($A189="",$B189=""),"",IF($E189="","Site type missing",IF($H189="","STATUS missing",IF($H189="Proposed","STATUS = Proposed",IF($H189="Not Reported","STATUS = Not Reported",IF(AND($P189="Y",$Q189&lt;&gt;"Y"),"UNESCO-MAB Biosphere Reserve",IF(AND($K189="Point",N($L189)&lt;=0),"Point without REP_AREA",IF(AND(N($L189)&lt;=0,N($N189)&lt;=0,N($R189)+N($S189)&lt;=0),"No area information",""))))))))</f>
        <v/>
      </c>
      <c r="AB189" s="22">
        <f>IF(AND($A189="",$B189=""),"",IF($K189="Point",N($L189),IF(N($N189)&gt;0,N($N189),N($L189))))</f>
        <v/>
      </c>
      <c r="AC189" s="22">
        <f>IF(AND($A189="",$B189=""),"",MIN(AB189,IF(N($J189)=0,0,IF(N($J189)=2,AB189,IF(AND($K189&lt;&gt;"Point",N($O189)&gt;0),N($O189),N($M189))))))</f>
        <v/>
      </c>
      <c r="AD189" s="22">
        <f>IF(AND($A189="",$B189=""),"",MAX(0,AB189-AC189))</f>
        <v/>
      </c>
      <c r="AE189" s="21">
        <f>IF(AND($A189="",$B189=""),"",IF(OR($R189&lt;&gt;"",$S189&lt;&gt;""),1,0))</f>
        <v/>
      </c>
      <c r="AF189" s="22">
        <f>IF(AND($A189="",$B189=""),"",IF(Z189=1,IF(AE189=1,N($R189),AD189),0))</f>
        <v/>
      </c>
      <c r="AG189" s="22">
        <f>IF(AND($A189="",$B189=""),"",IF(Z189=1,IF(AE189=1,N($S189),AC189),0))</f>
        <v/>
      </c>
      <c r="AH189" s="21">
        <f>IF(AND($A189="",$B189=""),"",IF(AND(ISNUMBER($I189),N($I189)&gt;0),$I189,0))</f>
        <v/>
      </c>
      <c r="AI189" s="23">
        <f>IF(AND(NOT(AND($A189="",$B189="")),$K189="Point",N($L189)&gt;0),SQRT(N($L189)/PI()),"")</f>
        <v/>
      </c>
      <c r="AJ189" s="21">
        <f>IF(AND($A189="",$B189=""),"",IFERROR(VLOOKUP($G189,Lists!$D$4:$E$15,2,FALSE),"Not reported"))</f>
        <v/>
      </c>
      <c r="AK189" s="21">
        <f>IF(AND($A189="",$B189=""),"",IF($X189&lt;&gt;"",$X189,IF($T189&lt;&gt;"Y","Not assessed",IF(AND(ISNUMBER($V189),Setup!$B$6-$V189&gt;Setup!$B$26),"Assessment outdated",IF(NOT(ISNUMBER($W189)),"Assessed – no score",IF($W189&gt;=Setup!$B$24,"High",IF($W189&gt;=Setup!$B$25,"Moderate","Low")))))))</f>
        <v/>
      </c>
      <c r="AL189" s="21">
        <f>IF(AND($A189="",$B189=""),"",IF(Z189=0,"",IF(AND(AE189=1,N($R189)&gt;AD189*1.01+0.001),"Net terrestrial &gt; gross; ","")&amp;IF(AND(AE189=1,N($S189)&gt;AC189*1.01+0.001),"Net marine &gt; gross; ","")&amp;IF(AE189=0,"No net area – gross used, overlaps may be double-counted; ","")&amp;IF(AH189=0,"STATUS_YR missing – imputed in time series; ","")&amp;IF(AND(ISNUMBER($I189),N($I189)&gt;Setup!$B$6),"STATUS_YR after reporting year; ","")&amp;IF(OR($G189="",$G189="Not Reported"),"GOV_TYPE not reported; ","")&amp;IF(AND(N($J189)=1,$K189="Point",N($M189)&lt;=0),"Coastal point without REP_M_AREA – land/sea split unknown; ","")&amp;IF(AND(N($J189)=0,N($S189)&gt;0),"MARINE=0 but net marine &gt;0; ","")&amp;IF(AND(N($J189)=2,N($R189)&gt;0),"MARINE=2 but net terrestrial &gt;0; ","")&amp;IF($K189="Point","Buffered point – coverage approximate; ","")))</f>
        <v/>
      </c>
    </row>
    <row r="190">
      <c r="A190" s="19" t="n"/>
      <c r="B190" s="19" t="n"/>
      <c r="C190" s="19" t="n"/>
      <c r="D190" s="19" t="n"/>
      <c r="E190" s="19" t="n"/>
      <c r="F190" s="19" t="n"/>
      <c r="G190" s="19" t="n"/>
      <c r="H190" s="19" t="n"/>
      <c r="I190" s="19" t="n"/>
      <c r="J190" s="19" t="n"/>
      <c r="K190" s="19" t="n"/>
      <c r="L190" s="20" t="n"/>
      <c r="M190" s="20" t="n"/>
      <c r="N190" s="20" t="n"/>
      <c r="O190" s="20" t="n"/>
      <c r="P190" s="19" t="n"/>
      <c r="Q190" s="19" t="n"/>
      <c r="R190" s="20" t="n"/>
      <c r="S190" s="20" t="n"/>
      <c r="T190" s="19" t="n"/>
      <c r="U190" s="19" t="n"/>
      <c r="V190" s="19" t="n"/>
      <c r="W190" s="19" t="n"/>
      <c r="X190" s="19" t="n"/>
      <c r="Y190" s="19" t="n"/>
      <c r="Z190" s="21">
        <f>IF(AND($A190="",$B190=""),"",IF(OR($E190="",$H190="",$H190="Proposed",$H190="Not Reported"),0,IF(AND($P190="Y",$Q190&lt;&gt;"Y"),0,IF(AND($K190="Point",N($L190)&lt;=0),0,IF(AND(N($L190)&lt;=0,N($N190)&lt;=0,N($R190)+N($S190)&lt;=0),0,1)))))</f>
        <v/>
      </c>
      <c r="AA190" s="21">
        <f>IF(AND($A190="",$B190=""),"",IF($E190="","Site type missing",IF($H190="","STATUS missing",IF($H190="Proposed","STATUS = Proposed",IF($H190="Not Reported","STATUS = Not Reported",IF(AND($P190="Y",$Q190&lt;&gt;"Y"),"UNESCO-MAB Biosphere Reserve",IF(AND($K190="Point",N($L190)&lt;=0),"Point without REP_AREA",IF(AND(N($L190)&lt;=0,N($N190)&lt;=0,N($R190)+N($S190)&lt;=0),"No area information",""))))))))</f>
        <v/>
      </c>
      <c r="AB190" s="22">
        <f>IF(AND($A190="",$B190=""),"",IF($K190="Point",N($L190),IF(N($N190)&gt;0,N($N190),N($L190))))</f>
        <v/>
      </c>
      <c r="AC190" s="22">
        <f>IF(AND($A190="",$B190=""),"",MIN(AB190,IF(N($J190)=0,0,IF(N($J190)=2,AB190,IF(AND($K190&lt;&gt;"Point",N($O190)&gt;0),N($O190),N($M190))))))</f>
        <v/>
      </c>
      <c r="AD190" s="22">
        <f>IF(AND($A190="",$B190=""),"",MAX(0,AB190-AC190))</f>
        <v/>
      </c>
      <c r="AE190" s="21">
        <f>IF(AND($A190="",$B190=""),"",IF(OR($R190&lt;&gt;"",$S190&lt;&gt;""),1,0))</f>
        <v/>
      </c>
      <c r="AF190" s="22">
        <f>IF(AND($A190="",$B190=""),"",IF(Z190=1,IF(AE190=1,N($R190),AD190),0))</f>
        <v/>
      </c>
      <c r="AG190" s="22">
        <f>IF(AND($A190="",$B190=""),"",IF(Z190=1,IF(AE190=1,N($S190),AC190),0))</f>
        <v/>
      </c>
      <c r="AH190" s="21">
        <f>IF(AND($A190="",$B190=""),"",IF(AND(ISNUMBER($I190),N($I190)&gt;0),$I190,0))</f>
        <v/>
      </c>
      <c r="AI190" s="23">
        <f>IF(AND(NOT(AND($A190="",$B190="")),$K190="Point",N($L190)&gt;0),SQRT(N($L190)/PI()),"")</f>
        <v/>
      </c>
      <c r="AJ190" s="21">
        <f>IF(AND($A190="",$B190=""),"",IFERROR(VLOOKUP($G190,Lists!$D$4:$E$15,2,FALSE),"Not reported"))</f>
        <v/>
      </c>
      <c r="AK190" s="21">
        <f>IF(AND($A190="",$B190=""),"",IF($X190&lt;&gt;"",$X190,IF($T190&lt;&gt;"Y","Not assessed",IF(AND(ISNUMBER($V190),Setup!$B$6-$V190&gt;Setup!$B$26),"Assessment outdated",IF(NOT(ISNUMBER($W190)),"Assessed – no score",IF($W190&gt;=Setup!$B$24,"High",IF($W190&gt;=Setup!$B$25,"Moderate","Low")))))))</f>
        <v/>
      </c>
      <c r="AL190" s="21">
        <f>IF(AND($A190="",$B190=""),"",IF(Z190=0,"",IF(AND(AE190=1,N($R190)&gt;AD190*1.01+0.001),"Net terrestrial &gt; gross; ","")&amp;IF(AND(AE190=1,N($S190)&gt;AC190*1.01+0.001),"Net marine &gt; gross; ","")&amp;IF(AE190=0,"No net area – gross used, overlaps may be double-counted; ","")&amp;IF(AH190=0,"STATUS_YR missing – imputed in time series; ","")&amp;IF(AND(ISNUMBER($I190),N($I190)&gt;Setup!$B$6),"STATUS_YR after reporting year; ","")&amp;IF(OR($G190="",$G190="Not Reported"),"GOV_TYPE not reported; ","")&amp;IF(AND(N($J190)=1,$K190="Point",N($M190)&lt;=0),"Coastal point without REP_M_AREA – land/sea split unknown; ","")&amp;IF(AND(N($J190)=0,N($S190)&gt;0),"MARINE=0 but net marine &gt;0; ","")&amp;IF(AND(N($J190)=2,N($R190)&gt;0),"MARINE=2 but net terrestrial &gt;0; ","")&amp;IF($K190="Point","Buffered point – coverage approximate; ","")))</f>
        <v/>
      </c>
    </row>
    <row r="191">
      <c r="A191" s="19" t="n"/>
      <c r="B191" s="19" t="n"/>
      <c r="C191" s="19" t="n"/>
      <c r="D191" s="19" t="n"/>
      <c r="E191" s="19" t="n"/>
      <c r="F191" s="19" t="n"/>
      <c r="G191" s="19" t="n"/>
      <c r="H191" s="19" t="n"/>
      <c r="I191" s="19" t="n"/>
      <c r="J191" s="19" t="n"/>
      <c r="K191" s="19" t="n"/>
      <c r="L191" s="20" t="n"/>
      <c r="M191" s="20" t="n"/>
      <c r="N191" s="20" t="n"/>
      <c r="O191" s="20" t="n"/>
      <c r="P191" s="19" t="n"/>
      <c r="Q191" s="19" t="n"/>
      <c r="R191" s="20" t="n"/>
      <c r="S191" s="20" t="n"/>
      <c r="T191" s="19" t="n"/>
      <c r="U191" s="19" t="n"/>
      <c r="V191" s="19" t="n"/>
      <c r="W191" s="19" t="n"/>
      <c r="X191" s="19" t="n"/>
      <c r="Y191" s="19" t="n"/>
      <c r="Z191" s="21">
        <f>IF(AND($A191="",$B191=""),"",IF(OR($E191="",$H191="",$H191="Proposed",$H191="Not Reported"),0,IF(AND($P191="Y",$Q191&lt;&gt;"Y"),0,IF(AND($K191="Point",N($L191)&lt;=0),0,IF(AND(N($L191)&lt;=0,N($N191)&lt;=0,N($R191)+N($S191)&lt;=0),0,1)))))</f>
        <v/>
      </c>
      <c r="AA191" s="21">
        <f>IF(AND($A191="",$B191=""),"",IF($E191="","Site type missing",IF($H191="","STATUS missing",IF($H191="Proposed","STATUS = Proposed",IF($H191="Not Reported","STATUS = Not Reported",IF(AND($P191="Y",$Q191&lt;&gt;"Y"),"UNESCO-MAB Biosphere Reserve",IF(AND($K191="Point",N($L191)&lt;=0),"Point without REP_AREA",IF(AND(N($L191)&lt;=0,N($N191)&lt;=0,N($R191)+N($S191)&lt;=0),"No area information",""))))))))</f>
        <v/>
      </c>
      <c r="AB191" s="22">
        <f>IF(AND($A191="",$B191=""),"",IF($K191="Point",N($L191),IF(N($N191)&gt;0,N($N191),N($L191))))</f>
        <v/>
      </c>
      <c r="AC191" s="22">
        <f>IF(AND($A191="",$B191=""),"",MIN(AB191,IF(N($J191)=0,0,IF(N($J191)=2,AB191,IF(AND($K191&lt;&gt;"Point",N($O191)&gt;0),N($O191),N($M191))))))</f>
        <v/>
      </c>
      <c r="AD191" s="22">
        <f>IF(AND($A191="",$B191=""),"",MAX(0,AB191-AC191))</f>
        <v/>
      </c>
      <c r="AE191" s="21">
        <f>IF(AND($A191="",$B191=""),"",IF(OR($R191&lt;&gt;"",$S191&lt;&gt;""),1,0))</f>
        <v/>
      </c>
      <c r="AF191" s="22">
        <f>IF(AND($A191="",$B191=""),"",IF(Z191=1,IF(AE191=1,N($R191),AD191),0))</f>
        <v/>
      </c>
      <c r="AG191" s="22">
        <f>IF(AND($A191="",$B191=""),"",IF(Z191=1,IF(AE191=1,N($S191),AC191),0))</f>
        <v/>
      </c>
      <c r="AH191" s="21">
        <f>IF(AND($A191="",$B191=""),"",IF(AND(ISNUMBER($I191),N($I191)&gt;0),$I191,0))</f>
        <v/>
      </c>
      <c r="AI191" s="23">
        <f>IF(AND(NOT(AND($A191="",$B191="")),$K191="Point",N($L191)&gt;0),SQRT(N($L191)/PI()),"")</f>
        <v/>
      </c>
      <c r="AJ191" s="21">
        <f>IF(AND($A191="",$B191=""),"",IFERROR(VLOOKUP($G191,Lists!$D$4:$E$15,2,FALSE),"Not reported"))</f>
        <v/>
      </c>
      <c r="AK191" s="21">
        <f>IF(AND($A191="",$B191=""),"",IF($X191&lt;&gt;"",$X191,IF($T191&lt;&gt;"Y","Not assessed",IF(AND(ISNUMBER($V191),Setup!$B$6-$V191&gt;Setup!$B$26),"Assessment outdated",IF(NOT(ISNUMBER($W191)),"Assessed – no score",IF($W191&gt;=Setup!$B$24,"High",IF($W191&gt;=Setup!$B$25,"Moderate","Low")))))))</f>
        <v/>
      </c>
      <c r="AL191" s="21">
        <f>IF(AND($A191="",$B191=""),"",IF(Z191=0,"",IF(AND(AE191=1,N($R191)&gt;AD191*1.01+0.001),"Net terrestrial &gt; gross; ","")&amp;IF(AND(AE191=1,N($S191)&gt;AC191*1.01+0.001),"Net marine &gt; gross; ","")&amp;IF(AE191=0,"No net area – gross used, overlaps may be double-counted; ","")&amp;IF(AH191=0,"STATUS_YR missing – imputed in time series; ","")&amp;IF(AND(ISNUMBER($I191),N($I191)&gt;Setup!$B$6),"STATUS_YR after reporting year; ","")&amp;IF(OR($G191="",$G191="Not Reported"),"GOV_TYPE not reported; ","")&amp;IF(AND(N($J191)=1,$K191="Point",N($M191)&lt;=0),"Coastal point without REP_M_AREA – land/sea split unknown; ","")&amp;IF(AND(N($J191)=0,N($S191)&gt;0),"MARINE=0 but net marine &gt;0; ","")&amp;IF(AND(N($J191)=2,N($R191)&gt;0),"MARINE=2 but net terrestrial &gt;0; ","")&amp;IF($K191="Point","Buffered point – coverage approximate; ","")))</f>
        <v/>
      </c>
    </row>
    <row r="192">
      <c r="A192" s="19" t="n"/>
      <c r="B192" s="19" t="n"/>
      <c r="C192" s="19" t="n"/>
      <c r="D192" s="19" t="n"/>
      <c r="E192" s="19" t="n"/>
      <c r="F192" s="19" t="n"/>
      <c r="G192" s="19" t="n"/>
      <c r="H192" s="19" t="n"/>
      <c r="I192" s="19" t="n"/>
      <c r="J192" s="19" t="n"/>
      <c r="K192" s="19" t="n"/>
      <c r="L192" s="20" t="n"/>
      <c r="M192" s="20" t="n"/>
      <c r="N192" s="20" t="n"/>
      <c r="O192" s="20" t="n"/>
      <c r="P192" s="19" t="n"/>
      <c r="Q192" s="19" t="n"/>
      <c r="R192" s="20" t="n"/>
      <c r="S192" s="20" t="n"/>
      <c r="T192" s="19" t="n"/>
      <c r="U192" s="19" t="n"/>
      <c r="V192" s="19" t="n"/>
      <c r="W192" s="19" t="n"/>
      <c r="X192" s="19" t="n"/>
      <c r="Y192" s="19" t="n"/>
      <c r="Z192" s="21">
        <f>IF(AND($A192="",$B192=""),"",IF(OR($E192="",$H192="",$H192="Proposed",$H192="Not Reported"),0,IF(AND($P192="Y",$Q192&lt;&gt;"Y"),0,IF(AND($K192="Point",N($L192)&lt;=0),0,IF(AND(N($L192)&lt;=0,N($N192)&lt;=0,N($R192)+N($S192)&lt;=0),0,1)))))</f>
        <v/>
      </c>
      <c r="AA192" s="21">
        <f>IF(AND($A192="",$B192=""),"",IF($E192="","Site type missing",IF($H192="","STATUS missing",IF($H192="Proposed","STATUS = Proposed",IF($H192="Not Reported","STATUS = Not Reported",IF(AND($P192="Y",$Q192&lt;&gt;"Y"),"UNESCO-MAB Biosphere Reserve",IF(AND($K192="Point",N($L192)&lt;=0),"Point without REP_AREA",IF(AND(N($L192)&lt;=0,N($N192)&lt;=0,N($R192)+N($S192)&lt;=0),"No area information",""))))))))</f>
        <v/>
      </c>
      <c r="AB192" s="22">
        <f>IF(AND($A192="",$B192=""),"",IF($K192="Point",N($L192),IF(N($N192)&gt;0,N($N192),N($L192))))</f>
        <v/>
      </c>
      <c r="AC192" s="22">
        <f>IF(AND($A192="",$B192=""),"",MIN(AB192,IF(N($J192)=0,0,IF(N($J192)=2,AB192,IF(AND($K192&lt;&gt;"Point",N($O192)&gt;0),N($O192),N($M192))))))</f>
        <v/>
      </c>
      <c r="AD192" s="22">
        <f>IF(AND($A192="",$B192=""),"",MAX(0,AB192-AC192))</f>
        <v/>
      </c>
      <c r="AE192" s="21">
        <f>IF(AND($A192="",$B192=""),"",IF(OR($R192&lt;&gt;"",$S192&lt;&gt;""),1,0))</f>
        <v/>
      </c>
      <c r="AF192" s="22">
        <f>IF(AND($A192="",$B192=""),"",IF(Z192=1,IF(AE192=1,N($R192),AD192),0))</f>
        <v/>
      </c>
      <c r="AG192" s="22">
        <f>IF(AND($A192="",$B192=""),"",IF(Z192=1,IF(AE192=1,N($S192),AC192),0))</f>
        <v/>
      </c>
      <c r="AH192" s="21">
        <f>IF(AND($A192="",$B192=""),"",IF(AND(ISNUMBER($I192),N($I192)&gt;0),$I192,0))</f>
        <v/>
      </c>
      <c r="AI192" s="23">
        <f>IF(AND(NOT(AND($A192="",$B192="")),$K192="Point",N($L192)&gt;0),SQRT(N($L192)/PI()),"")</f>
        <v/>
      </c>
      <c r="AJ192" s="21">
        <f>IF(AND($A192="",$B192=""),"",IFERROR(VLOOKUP($G192,Lists!$D$4:$E$15,2,FALSE),"Not reported"))</f>
        <v/>
      </c>
      <c r="AK192" s="21">
        <f>IF(AND($A192="",$B192=""),"",IF($X192&lt;&gt;"",$X192,IF($T192&lt;&gt;"Y","Not assessed",IF(AND(ISNUMBER($V192),Setup!$B$6-$V192&gt;Setup!$B$26),"Assessment outdated",IF(NOT(ISNUMBER($W192)),"Assessed – no score",IF($W192&gt;=Setup!$B$24,"High",IF($W192&gt;=Setup!$B$25,"Moderate","Low")))))))</f>
        <v/>
      </c>
      <c r="AL192" s="21">
        <f>IF(AND($A192="",$B192=""),"",IF(Z192=0,"",IF(AND(AE192=1,N($R192)&gt;AD192*1.01+0.001),"Net terrestrial &gt; gross; ","")&amp;IF(AND(AE192=1,N($S192)&gt;AC192*1.01+0.001),"Net marine &gt; gross; ","")&amp;IF(AE192=0,"No net area – gross used, overlaps may be double-counted; ","")&amp;IF(AH192=0,"STATUS_YR missing – imputed in time series; ","")&amp;IF(AND(ISNUMBER($I192),N($I192)&gt;Setup!$B$6),"STATUS_YR after reporting year; ","")&amp;IF(OR($G192="",$G192="Not Reported"),"GOV_TYPE not reported; ","")&amp;IF(AND(N($J192)=1,$K192="Point",N($M192)&lt;=0),"Coastal point without REP_M_AREA – land/sea split unknown; ","")&amp;IF(AND(N($J192)=0,N($S192)&gt;0),"MARINE=0 but net marine &gt;0; ","")&amp;IF(AND(N($J192)=2,N($R192)&gt;0),"MARINE=2 but net terrestrial &gt;0; ","")&amp;IF($K192="Point","Buffered point – coverage approximate; ","")))</f>
        <v/>
      </c>
    </row>
    <row r="193">
      <c r="A193" s="19" t="n"/>
      <c r="B193" s="19" t="n"/>
      <c r="C193" s="19" t="n"/>
      <c r="D193" s="19" t="n"/>
      <c r="E193" s="19" t="n"/>
      <c r="F193" s="19" t="n"/>
      <c r="G193" s="19" t="n"/>
      <c r="H193" s="19" t="n"/>
      <c r="I193" s="19" t="n"/>
      <c r="J193" s="19" t="n"/>
      <c r="K193" s="19" t="n"/>
      <c r="L193" s="20" t="n"/>
      <c r="M193" s="20" t="n"/>
      <c r="N193" s="20" t="n"/>
      <c r="O193" s="20" t="n"/>
      <c r="P193" s="19" t="n"/>
      <c r="Q193" s="19" t="n"/>
      <c r="R193" s="20" t="n"/>
      <c r="S193" s="20" t="n"/>
      <c r="T193" s="19" t="n"/>
      <c r="U193" s="19" t="n"/>
      <c r="V193" s="19" t="n"/>
      <c r="W193" s="19" t="n"/>
      <c r="X193" s="19" t="n"/>
      <c r="Y193" s="19" t="n"/>
      <c r="Z193" s="21">
        <f>IF(AND($A193="",$B193=""),"",IF(OR($E193="",$H193="",$H193="Proposed",$H193="Not Reported"),0,IF(AND($P193="Y",$Q193&lt;&gt;"Y"),0,IF(AND($K193="Point",N($L193)&lt;=0),0,IF(AND(N($L193)&lt;=0,N($N193)&lt;=0,N($R193)+N($S193)&lt;=0),0,1)))))</f>
        <v/>
      </c>
      <c r="AA193" s="21">
        <f>IF(AND($A193="",$B193=""),"",IF($E193="","Site type missing",IF($H193="","STATUS missing",IF($H193="Proposed","STATUS = Proposed",IF($H193="Not Reported","STATUS = Not Reported",IF(AND($P193="Y",$Q193&lt;&gt;"Y"),"UNESCO-MAB Biosphere Reserve",IF(AND($K193="Point",N($L193)&lt;=0),"Point without REP_AREA",IF(AND(N($L193)&lt;=0,N($N193)&lt;=0,N($R193)+N($S193)&lt;=0),"No area information",""))))))))</f>
        <v/>
      </c>
      <c r="AB193" s="22">
        <f>IF(AND($A193="",$B193=""),"",IF($K193="Point",N($L193),IF(N($N193)&gt;0,N($N193),N($L193))))</f>
        <v/>
      </c>
      <c r="AC193" s="22">
        <f>IF(AND($A193="",$B193=""),"",MIN(AB193,IF(N($J193)=0,0,IF(N($J193)=2,AB193,IF(AND($K193&lt;&gt;"Point",N($O193)&gt;0),N($O193),N($M193))))))</f>
        <v/>
      </c>
      <c r="AD193" s="22">
        <f>IF(AND($A193="",$B193=""),"",MAX(0,AB193-AC193))</f>
        <v/>
      </c>
      <c r="AE193" s="21">
        <f>IF(AND($A193="",$B193=""),"",IF(OR($R193&lt;&gt;"",$S193&lt;&gt;""),1,0))</f>
        <v/>
      </c>
      <c r="AF193" s="22">
        <f>IF(AND($A193="",$B193=""),"",IF(Z193=1,IF(AE193=1,N($R193),AD193),0))</f>
        <v/>
      </c>
      <c r="AG193" s="22">
        <f>IF(AND($A193="",$B193=""),"",IF(Z193=1,IF(AE193=1,N($S193),AC193),0))</f>
        <v/>
      </c>
      <c r="AH193" s="21">
        <f>IF(AND($A193="",$B193=""),"",IF(AND(ISNUMBER($I193),N($I193)&gt;0),$I193,0))</f>
        <v/>
      </c>
      <c r="AI193" s="23">
        <f>IF(AND(NOT(AND($A193="",$B193="")),$K193="Point",N($L193)&gt;0),SQRT(N($L193)/PI()),"")</f>
        <v/>
      </c>
      <c r="AJ193" s="21">
        <f>IF(AND($A193="",$B193=""),"",IFERROR(VLOOKUP($G193,Lists!$D$4:$E$15,2,FALSE),"Not reported"))</f>
        <v/>
      </c>
      <c r="AK193" s="21">
        <f>IF(AND($A193="",$B193=""),"",IF($X193&lt;&gt;"",$X193,IF($T193&lt;&gt;"Y","Not assessed",IF(AND(ISNUMBER($V193),Setup!$B$6-$V193&gt;Setup!$B$26),"Assessment outdated",IF(NOT(ISNUMBER($W193)),"Assessed – no score",IF($W193&gt;=Setup!$B$24,"High",IF($W193&gt;=Setup!$B$25,"Moderate","Low")))))))</f>
        <v/>
      </c>
      <c r="AL193" s="21">
        <f>IF(AND($A193="",$B193=""),"",IF(Z193=0,"",IF(AND(AE193=1,N($R193)&gt;AD193*1.01+0.001),"Net terrestrial &gt; gross; ","")&amp;IF(AND(AE193=1,N($S193)&gt;AC193*1.01+0.001),"Net marine &gt; gross; ","")&amp;IF(AE193=0,"No net area – gross used, overlaps may be double-counted; ","")&amp;IF(AH193=0,"STATUS_YR missing – imputed in time series; ","")&amp;IF(AND(ISNUMBER($I193),N($I193)&gt;Setup!$B$6),"STATUS_YR after reporting year; ","")&amp;IF(OR($G193="",$G193="Not Reported"),"GOV_TYPE not reported; ","")&amp;IF(AND(N($J193)=1,$K193="Point",N($M193)&lt;=0),"Coastal point without REP_M_AREA – land/sea split unknown; ","")&amp;IF(AND(N($J193)=0,N($S193)&gt;0),"MARINE=0 but net marine &gt;0; ","")&amp;IF(AND(N($J193)=2,N($R193)&gt;0),"MARINE=2 but net terrestrial &gt;0; ","")&amp;IF($K193="Point","Buffered point – coverage approximate; ","")))</f>
        <v/>
      </c>
    </row>
    <row r="194">
      <c r="A194" s="19" t="n"/>
      <c r="B194" s="19" t="n"/>
      <c r="C194" s="19" t="n"/>
      <c r="D194" s="19" t="n"/>
      <c r="E194" s="19" t="n"/>
      <c r="F194" s="19" t="n"/>
      <c r="G194" s="19" t="n"/>
      <c r="H194" s="19" t="n"/>
      <c r="I194" s="19" t="n"/>
      <c r="J194" s="19" t="n"/>
      <c r="K194" s="19" t="n"/>
      <c r="L194" s="20" t="n"/>
      <c r="M194" s="20" t="n"/>
      <c r="N194" s="20" t="n"/>
      <c r="O194" s="20" t="n"/>
      <c r="P194" s="19" t="n"/>
      <c r="Q194" s="19" t="n"/>
      <c r="R194" s="20" t="n"/>
      <c r="S194" s="20" t="n"/>
      <c r="T194" s="19" t="n"/>
      <c r="U194" s="19" t="n"/>
      <c r="V194" s="19" t="n"/>
      <c r="W194" s="19" t="n"/>
      <c r="X194" s="19" t="n"/>
      <c r="Y194" s="19" t="n"/>
      <c r="Z194" s="21">
        <f>IF(AND($A194="",$B194=""),"",IF(OR($E194="",$H194="",$H194="Proposed",$H194="Not Reported"),0,IF(AND($P194="Y",$Q194&lt;&gt;"Y"),0,IF(AND($K194="Point",N($L194)&lt;=0),0,IF(AND(N($L194)&lt;=0,N($N194)&lt;=0,N($R194)+N($S194)&lt;=0),0,1)))))</f>
        <v/>
      </c>
      <c r="AA194" s="21">
        <f>IF(AND($A194="",$B194=""),"",IF($E194="","Site type missing",IF($H194="","STATUS missing",IF($H194="Proposed","STATUS = Proposed",IF($H194="Not Reported","STATUS = Not Reported",IF(AND($P194="Y",$Q194&lt;&gt;"Y"),"UNESCO-MAB Biosphere Reserve",IF(AND($K194="Point",N($L194)&lt;=0),"Point without REP_AREA",IF(AND(N($L194)&lt;=0,N($N194)&lt;=0,N($R194)+N($S194)&lt;=0),"No area information",""))))))))</f>
        <v/>
      </c>
      <c r="AB194" s="22">
        <f>IF(AND($A194="",$B194=""),"",IF($K194="Point",N($L194),IF(N($N194)&gt;0,N($N194),N($L194))))</f>
        <v/>
      </c>
      <c r="AC194" s="22">
        <f>IF(AND($A194="",$B194=""),"",MIN(AB194,IF(N($J194)=0,0,IF(N($J194)=2,AB194,IF(AND($K194&lt;&gt;"Point",N($O194)&gt;0),N($O194),N($M194))))))</f>
        <v/>
      </c>
      <c r="AD194" s="22">
        <f>IF(AND($A194="",$B194=""),"",MAX(0,AB194-AC194))</f>
        <v/>
      </c>
      <c r="AE194" s="21">
        <f>IF(AND($A194="",$B194=""),"",IF(OR($R194&lt;&gt;"",$S194&lt;&gt;""),1,0))</f>
        <v/>
      </c>
      <c r="AF194" s="22">
        <f>IF(AND($A194="",$B194=""),"",IF(Z194=1,IF(AE194=1,N($R194),AD194),0))</f>
        <v/>
      </c>
      <c r="AG194" s="22">
        <f>IF(AND($A194="",$B194=""),"",IF(Z194=1,IF(AE194=1,N($S194),AC194),0))</f>
        <v/>
      </c>
      <c r="AH194" s="21">
        <f>IF(AND($A194="",$B194=""),"",IF(AND(ISNUMBER($I194),N($I194)&gt;0),$I194,0))</f>
        <v/>
      </c>
      <c r="AI194" s="23">
        <f>IF(AND(NOT(AND($A194="",$B194="")),$K194="Point",N($L194)&gt;0),SQRT(N($L194)/PI()),"")</f>
        <v/>
      </c>
      <c r="AJ194" s="21">
        <f>IF(AND($A194="",$B194=""),"",IFERROR(VLOOKUP($G194,Lists!$D$4:$E$15,2,FALSE),"Not reported"))</f>
        <v/>
      </c>
      <c r="AK194" s="21">
        <f>IF(AND($A194="",$B194=""),"",IF($X194&lt;&gt;"",$X194,IF($T194&lt;&gt;"Y","Not assessed",IF(AND(ISNUMBER($V194),Setup!$B$6-$V194&gt;Setup!$B$26),"Assessment outdated",IF(NOT(ISNUMBER($W194)),"Assessed – no score",IF($W194&gt;=Setup!$B$24,"High",IF($W194&gt;=Setup!$B$25,"Moderate","Low")))))))</f>
        <v/>
      </c>
      <c r="AL194" s="21">
        <f>IF(AND($A194="",$B194=""),"",IF(Z194=0,"",IF(AND(AE194=1,N($R194)&gt;AD194*1.01+0.001),"Net terrestrial &gt; gross; ","")&amp;IF(AND(AE194=1,N($S194)&gt;AC194*1.01+0.001),"Net marine &gt; gross; ","")&amp;IF(AE194=0,"No net area – gross used, overlaps may be double-counted; ","")&amp;IF(AH194=0,"STATUS_YR missing – imputed in time series; ","")&amp;IF(AND(ISNUMBER($I194),N($I194)&gt;Setup!$B$6),"STATUS_YR after reporting year; ","")&amp;IF(OR($G194="",$G194="Not Reported"),"GOV_TYPE not reported; ","")&amp;IF(AND(N($J194)=1,$K194="Point",N($M194)&lt;=0),"Coastal point without REP_M_AREA – land/sea split unknown; ","")&amp;IF(AND(N($J194)=0,N($S194)&gt;0),"MARINE=0 but net marine &gt;0; ","")&amp;IF(AND(N($J194)=2,N($R194)&gt;0),"MARINE=2 but net terrestrial &gt;0; ","")&amp;IF($K194="Point","Buffered point – coverage approximate; ","")))</f>
        <v/>
      </c>
    </row>
    <row r="195">
      <c r="A195" s="19" t="n"/>
      <c r="B195" s="19" t="n"/>
      <c r="C195" s="19" t="n"/>
      <c r="D195" s="19" t="n"/>
      <c r="E195" s="19" t="n"/>
      <c r="F195" s="19" t="n"/>
      <c r="G195" s="19" t="n"/>
      <c r="H195" s="19" t="n"/>
      <c r="I195" s="19" t="n"/>
      <c r="J195" s="19" t="n"/>
      <c r="K195" s="19" t="n"/>
      <c r="L195" s="20" t="n"/>
      <c r="M195" s="20" t="n"/>
      <c r="N195" s="20" t="n"/>
      <c r="O195" s="20" t="n"/>
      <c r="P195" s="19" t="n"/>
      <c r="Q195" s="19" t="n"/>
      <c r="R195" s="20" t="n"/>
      <c r="S195" s="20" t="n"/>
      <c r="T195" s="19" t="n"/>
      <c r="U195" s="19" t="n"/>
      <c r="V195" s="19" t="n"/>
      <c r="W195" s="19" t="n"/>
      <c r="X195" s="19" t="n"/>
      <c r="Y195" s="19" t="n"/>
      <c r="Z195" s="21">
        <f>IF(AND($A195="",$B195=""),"",IF(OR($E195="",$H195="",$H195="Proposed",$H195="Not Reported"),0,IF(AND($P195="Y",$Q195&lt;&gt;"Y"),0,IF(AND($K195="Point",N($L195)&lt;=0),0,IF(AND(N($L195)&lt;=0,N($N195)&lt;=0,N($R195)+N($S195)&lt;=0),0,1)))))</f>
        <v/>
      </c>
      <c r="AA195" s="21">
        <f>IF(AND($A195="",$B195=""),"",IF($E195="","Site type missing",IF($H195="","STATUS missing",IF($H195="Proposed","STATUS = Proposed",IF($H195="Not Reported","STATUS = Not Reported",IF(AND($P195="Y",$Q195&lt;&gt;"Y"),"UNESCO-MAB Biosphere Reserve",IF(AND($K195="Point",N($L195)&lt;=0),"Point without REP_AREA",IF(AND(N($L195)&lt;=0,N($N195)&lt;=0,N($R195)+N($S195)&lt;=0),"No area information",""))))))))</f>
        <v/>
      </c>
      <c r="AB195" s="22">
        <f>IF(AND($A195="",$B195=""),"",IF($K195="Point",N($L195),IF(N($N195)&gt;0,N($N195),N($L195))))</f>
        <v/>
      </c>
      <c r="AC195" s="22">
        <f>IF(AND($A195="",$B195=""),"",MIN(AB195,IF(N($J195)=0,0,IF(N($J195)=2,AB195,IF(AND($K195&lt;&gt;"Point",N($O195)&gt;0),N($O195),N($M195))))))</f>
        <v/>
      </c>
      <c r="AD195" s="22">
        <f>IF(AND($A195="",$B195=""),"",MAX(0,AB195-AC195))</f>
        <v/>
      </c>
      <c r="AE195" s="21">
        <f>IF(AND($A195="",$B195=""),"",IF(OR($R195&lt;&gt;"",$S195&lt;&gt;""),1,0))</f>
        <v/>
      </c>
      <c r="AF195" s="22">
        <f>IF(AND($A195="",$B195=""),"",IF(Z195=1,IF(AE195=1,N($R195),AD195),0))</f>
        <v/>
      </c>
      <c r="AG195" s="22">
        <f>IF(AND($A195="",$B195=""),"",IF(Z195=1,IF(AE195=1,N($S195),AC195),0))</f>
        <v/>
      </c>
      <c r="AH195" s="21">
        <f>IF(AND($A195="",$B195=""),"",IF(AND(ISNUMBER($I195),N($I195)&gt;0),$I195,0))</f>
        <v/>
      </c>
      <c r="AI195" s="23">
        <f>IF(AND(NOT(AND($A195="",$B195="")),$K195="Point",N($L195)&gt;0),SQRT(N($L195)/PI()),"")</f>
        <v/>
      </c>
      <c r="AJ195" s="21">
        <f>IF(AND($A195="",$B195=""),"",IFERROR(VLOOKUP($G195,Lists!$D$4:$E$15,2,FALSE),"Not reported"))</f>
        <v/>
      </c>
      <c r="AK195" s="21">
        <f>IF(AND($A195="",$B195=""),"",IF($X195&lt;&gt;"",$X195,IF($T195&lt;&gt;"Y","Not assessed",IF(AND(ISNUMBER($V195),Setup!$B$6-$V195&gt;Setup!$B$26),"Assessment outdated",IF(NOT(ISNUMBER($W195)),"Assessed – no score",IF($W195&gt;=Setup!$B$24,"High",IF($W195&gt;=Setup!$B$25,"Moderate","Low")))))))</f>
        <v/>
      </c>
      <c r="AL195" s="21">
        <f>IF(AND($A195="",$B195=""),"",IF(Z195=0,"",IF(AND(AE195=1,N($R195)&gt;AD195*1.01+0.001),"Net terrestrial &gt; gross; ","")&amp;IF(AND(AE195=1,N($S195)&gt;AC195*1.01+0.001),"Net marine &gt; gross; ","")&amp;IF(AE195=0,"No net area – gross used, overlaps may be double-counted; ","")&amp;IF(AH195=0,"STATUS_YR missing – imputed in time series; ","")&amp;IF(AND(ISNUMBER($I195),N($I195)&gt;Setup!$B$6),"STATUS_YR after reporting year; ","")&amp;IF(OR($G195="",$G195="Not Reported"),"GOV_TYPE not reported; ","")&amp;IF(AND(N($J195)=1,$K195="Point",N($M195)&lt;=0),"Coastal point without REP_M_AREA – land/sea split unknown; ","")&amp;IF(AND(N($J195)=0,N($S195)&gt;0),"MARINE=0 but net marine &gt;0; ","")&amp;IF(AND(N($J195)=2,N($R195)&gt;0),"MARINE=2 but net terrestrial &gt;0; ","")&amp;IF($K195="Point","Buffered point – coverage approximate; ","")))</f>
        <v/>
      </c>
    </row>
    <row r="196">
      <c r="A196" s="19" t="n"/>
      <c r="B196" s="19" t="n"/>
      <c r="C196" s="19" t="n"/>
      <c r="D196" s="19" t="n"/>
      <c r="E196" s="19" t="n"/>
      <c r="F196" s="19" t="n"/>
      <c r="G196" s="19" t="n"/>
      <c r="H196" s="19" t="n"/>
      <c r="I196" s="19" t="n"/>
      <c r="J196" s="19" t="n"/>
      <c r="K196" s="19" t="n"/>
      <c r="L196" s="20" t="n"/>
      <c r="M196" s="20" t="n"/>
      <c r="N196" s="20" t="n"/>
      <c r="O196" s="20" t="n"/>
      <c r="P196" s="19" t="n"/>
      <c r="Q196" s="19" t="n"/>
      <c r="R196" s="20" t="n"/>
      <c r="S196" s="20" t="n"/>
      <c r="T196" s="19" t="n"/>
      <c r="U196" s="19" t="n"/>
      <c r="V196" s="19" t="n"/>
      <c r="W196" s="19" t="n"/>
      <c r="X196" s="19" t="n"/>
      <c r="Y196" s="19" t="n"/>
      <c r="Z196" s="21">
        <f>IF(AND($A196="",$B196=""),"",IF(OR($E196="",$H196="",$H196="Proposed",$H196="Not Reported"),0,IF(AND($P196="Y",$Q196&lt;&gt;"Y"),0,IF(AND($K196="Point",N($L196)&lt;=0),0,IF(AND(N($L196)&lt;=0,N($N196)&lt;=0,N($R196)+N($S196)&lt;=0),0,1)))))</f>
        <v/>
      </c>
      <c r="AA196" s="21">
        <f>IF(AND($A196="",$B196=""),"",IF($E196="","Site type missing",IF($H196="","STATUS missing",IF($H196="Proposed","STATUS = Proposed",IF($H196="Not Reported","STATUS = Not Reported",IF(AND($P196="Y",$Q196&lt;&gt;"Y"),"UNESCO-MAB Biosphere Reserve",IF(AND($K196="Point",N($L196)&lt;=0),"Point without REP_AREA",IF(AND(N($L196)&lt;=0,N($N196)&lt;=0,N($R196)+N($S196)&lt;=0),"No area information",""))))))))</f>
        <v/>
      </c>
      <c r="AB196" s="22">
        <f>IF(AND($A196="",$B196=""),"",IF($K196="Point",N($L196),IF(N($N196)&gt;0,N($N196),N($L196))))</f>
        <v/>
      </c>
      <c r="AC196" s="22">
        <f>IF(AND($A196="",$B196=""),"",MIN(AB196,IF(N($J196)=0,0,IF(N($J196)=2,AB196,IF(AND($K196&lt;&gt;"Point",N($O196)&gt;0),N($O196),N($M196))))))</f>
        <v/>
      </c>
      <c r="AD196" s="22">
        <f>IF(AND($A196="",$B196=""),"",MAX(0,AB196-AC196))</f>
        <v/>
      </c>
      <c r="AE196" s="21">
        <f>IF(AND($A196="",$B196=""),"",IF(OR($R196&lt;&gt;"",$S196&lt;&gt;""),1,0))</f>
        <v/>
      </c>
      <c r="AF196" s="22">
        <f>IF(AND($A196="",$B196=""),"",IF(Z196=1,IF(AE196=1,N($R196),AD196),0))</f>
        <v/>
      </c>
      <c r="AG196" s="22">
        <f>IF(AND($A196="",$B196=""),"",IF(Z196=1,IF(AE196=1,N($S196),AC196),0))</f>
        <v/>
      </c>
      <c r="AH196" s="21">
        <f>IF(AND($A196="",$B196=""),"",IF(AND(ISNUMBER($I196),N($I196)&gt;0),$I196,0))</f>
        <v/>
      </c>
      <c r="AI196" s="23">
        <f>IF(AND(NOT(AND($A196="",$B196="")),$K196="Point",N($L196)&gt;0),SQRT(N($L196)/PI()),"")</f>
        <v/>
      </c>
      <c r="AJ196" s="21">
        <f>IF(AND($A196="",$B196=""),"",IFERROR(VLOOKUP($G196,Lists!$D$4:$E$15,2,FALSE),"Not reported"))</f>
        <v/>
      </c>
      <c r="AK196" s="21">
        <f>IF(AND($A196="",$B196=""),"",IF($X196&lt;&gt;"",$X196,IF($T196&lt;&gt;"Y","Not assessed",IF(AND(ISNUMBER($V196),Setup!$B$6-$V196&gt;Setup!$B$26),"Assessment outdated",IF(NOT(ISNUMBER($W196)),"Assessed – no score",IF($W196&gt;=Setup!$B$24,"High",IF($W196&gt;=Setup!$B$25,"Moderate","Low")))))))</f>
        <v/>
      </c>
      <c r="AL196" s="21">
        <f>IF(AND($A196="",$B196=""),"",IF(Z196=0,"",IF(AND(AE196=1,N($R196)&gt;AD196*1.01+0.001),"Net terrestrial &gt; gross; ","")&amp;IF(AND(AE196=1,N($S196)&gt;AC196*1.01+0.001),"Net marine &gt; gross; ","")&amp;IF(AE196=0,"No net area – gross used, overlaps may be double-counted; ","")&amp;IF(AH196=0,"STATUS_YR missing – imputed in time series; ","")&amp;IF(AND(ISNUMBER($I196),N($I196)&gt;Setup!$B$6),"STATUS_YR after reporting year; ","")&amp;IF(OR($G196="",$G196="Not Reported"),"GOV_TYPE not reported; ","")&amp;IF(AND(N($J196)=1,$K196="Point",N($M196)&lt;=0),"Coastal point without REP_M_AREA – land/sea split unknown; ","")&amp;IF(AND(N($J196)=0,N($S196)&gt;0),"MARINE=0 but net marine &gt;0; ","")&amp;IF(AND(N($J196)=2,N($R196)&gt;0),"MARINE=2 but net terrestrial &gt;0; ","")&amp;IF($K196="Point","Buffered point – coverage approximate; ","")))</f>
        <v/>
      </c>
    </row>
    <row r="197">
      <c r="A197" s="19" t="n"/>
      <c r="B197" s="19" t="n"/>
      <c r="C197" s="19" t="n"/>
      <c r="D197" s="19" t="n"/>
      <c r="E197" s="19" t="n"/>
      <c r="F197" s="19" t="n"/>
      <c r="G197" s="19" t="n"/>
      <c r="H197" s="19" t="n"/>
      <c r="I197" s="19" t="n"/>
      <c r="J197" s="19" t="n"/>
      <c r="K197" s="19" t="n"/>
      <c r="L197" s="20" t="n"/>
      <c r="M197" s="20" t="n"/>
      <c r="N197" s="20" t="n"/>
      <c r="O197" s="20" t="n"/>
      <c r="P197" s="19" t="n"/>
      <c r="Q197" s="19" t="n"/>
      <c r="R197" s="20" t="n"/>
      <c r="S197" s="20" t="n"/>
      <c r="T197" s="19" t="n"/>
      <c r="U197" s="19" t="n"/>
      <c r="V197" s="19" t="n"/>
      <c r="W197" s="19" t="n"/>
      <c r="X197" s="19" t="n"/>
      <c r="Y197" s="19" t="n"/>
      <c r="Z197" s="21">
        <f>IF(AND($A197="",$B197=""),"",IF(OR($E197="",$H197="",$H197="Proposed",$H197="Not Reported"),0,IF(AND($P197="Y",$Q197&lt;&gt;"Y"),0,IF(AND($K197="Point",N($L197)&lt;=0),0,IF(AND(N($L197)&lt;=0,N($N197)&lt;=0,N($R197)+N($S197)&lt;=0),0,1)))))</f>
        <v/>
      </c>
      <c r="AA197" s="21">
        <f>IF(AND($A197="",$B197=""),"",IF($E197="","Site type missing",IF($H197="","STATUS missing",IF($H197="Proposed","STATUS = Proposed",IF($H197="Not Reported","STATUS = Not Reported",IF(AND($P197="Y",$Q197&lt;&gt;"Y"),"UNESCO-MAB Biosphere Reserve",IF(AND($K197="Point",N($L197)&lt;=0),"Point without REP_AREA",IF(AND(N($L197)&lt;=0,N($N197)&lt;=0,N($R197)+N($S197)&lt;=0),"No area information",""))))))))</f>
        <v/>
      </c>
      <c r="AB197" s="22">
        <f>IF(AND($A197="",$B197=""),"",IF($K197="Point",N($L197),IF(N($N197)&gt;0,N($N197),N($L197))))</f>
        <v/>
      </c>
      <c r="AC197" s="22">
        <f>IF(AND($A197="",$B197=""),"",MIN(AB197,IF(N($J197)=0,0,IF(N($J197)=2,AB197,IF(AND($K197&lt;&gt;"Point",N($O197)&gt;0),N($O197),N($M197))))))</f>
        <v/>
      </c>
      <c r="AD197" s="22">
        <f>IF(AND($A197="",$B197=""),"",MAX(0,AB197-AC197))</f>
        <v/>
      </c>
      <c r="AE197" s="21">
        <f>IF(AND($A197="",$B197=""),"",IF(OR($R197&lt;&gt;"",$S197&lt;&gt;""),1,0))</f>
        <v/>
      </c>
      <c r="AF197" s="22">
        <f>IF(AND($A197="",$B197=""),"",IF(Z197=1,IF(AE197=1,N($R197),AD197),0))</f>
        <v/>
      </c>
      <c r="AG197" s="22">
        <f>IF(AND($A197="",$B197=""),"",IF(Z197=1,IF(AE197=1,N($S197),AC197),0))</f>
        <v/>
      </c>
      <c r="AH197" s="21">
        <f>IF(AND($A197="",$B197=""),"",IF(AND(ISNUMBER($I197),N($I197)&gt;0),$I197,0))</f>
        <v/>
      </c>
      <c r="AI197" s="23">
        <f>IF(AND(NOT(AND($A197="",$B197="")),$K197="Point",N($L197)&gt;0),SQRT(N($L197)/PI()),"")</f>
        <v/>
      </c>
      <c r="AJ197" s="21">
        <f>IF(AND($A197="",$B197=""),"",IFERROR(VLOOKUP($G197,Lists!$D$4:$E$15,2,FALSE),"Not reported"))</f>
        <v/>
      </c>
      <c r="AK197" s="21">
        <f>IF(AND($A197="",$B197=""),"",IF($X197&lt;&gt;"",$X197,IF($T197&lt;&gt;"Y","Not assessed",IF(AND(ISNUMBER($V197),Setup!$B$6-$V197&gt;Setup!$B$26),"Assessment outdated",IF(NOT(ISNUMBER($W197)),"Assessed – no score",IF($W197&gt;=Setup!$B$24,"High",IF($W197&gt;=Setup!$B$25,"Moderate","Low")))))))</f>
        <v/>
      </c>
      <c r="AL197" s="21">
        <f>IF(AND($A197="",$B197=""),"",IF(Z197=0,"",IF(AND(AE197=1,N($R197)&gt;AD197*1.01+0.001),"Net terrestrial &gt; gross; ","")&amp;IF(AND(AE197=1,N($S197)&gt;AC197*1.01+0.001),"Net marine &gt; gross; ","")&amp;IF(AE197=0,"No net area – gross used, overlaps may be double-counted; ","")&amp;IF(AH197=0,"STATUS_YR missing – imputed in time series; ","")&amp;IF(AND(ISNUMBER($I197),N($I197)&gt;Setup!$B$6),"STATUS_YR after reporting year; ","")&amp;IF(OR($G197="",$G197="Not Reported"),"GOV_TYPE not reported; ","")&amp;IF(AND(N($J197)=1,$K197="Point",N($M197)&lt;=0),"Coastal point without REP_M_AREA – land/sea split unknown; ","")&amp;IF(AND(N($J197)=0,N($S197)&gt;0),"MARINE=0 but net marine &gt;0; ","")&amp;IF(AND(N($J197)=2,N($R197)&gt;0),"MARINE=2 but net terrestrial &gt;0; ","")&amp;IF($K197="Point","Buffered point – coverage approximate; ","")))</f>
        <v/>
      </c>
    </row>
    <row r="198">
      <c r="A198" s="19" t="n"/>
      <c r="B198" s="19" t="n"/>
      <c r="C198" s="19" t="n"/>
      <c r="D198" s="19" t="n"/>
      <c r="E198" s="19" t="n"/>
      <c r="F198" s="19" t="n"/>
      <c r="G198" s="19" t="n"/>
      <c r="H198" s="19" t="n"/>
      <c r="I198" s="19" t="n"/>
      <c r="J198" s="19" t="n"/>
      <c r="K198" s="19" t="n"/>
      <c r="L198" s="20" t="n"/>
      <c r="M198" s="20" t="n"/>
      <c r="N198" s="20" t="n"/>
      <c r="O198" s="20" t="n"/>
      <c r="P198" s="19" t="n"/>
      <c r="Q198" s="19" t="n"/>
      <c r="R198" s="20" t="n"/>
      <c r="S198" s="20" t="n"/>
      <c r="T198" s="19" t="n"/>
      <c r="U198" s="19" t="n"/>
      <c r="V198" s="19" t="n"/>
      <c r="W198" s="19" t="n"/>
      <c r="X198" s="19" t="n"/>
      <c r="Y198" s="19" t="n"/>
      <c r="Z198" s="21">
        <f>IF(AND($A198="",$B198=""),"",IF(OR($E198="",$H198="",$H198="Proposed",$H198="Not Reported"),0,IF(AND($P198="Y",$Q198&lt;&gt;"Y"),0,IF(AND($K198="Point",N($L198)&lt;=0),0,IF(AND(N($L198)&lt;=0,N($N198)&lt;=0,N($R198)+N($S198)&lt;=0),0,1)))))</f>
        <v/>
      </c>
      <c r="AA198" s="21">
        <f>IF(AND($A198="",$B198=""),"",IF($E198="","Site type missing",IF($H198="","STATUS missing",IF($H198="Proposed","STATUS = Proposed",IF($H198="Not Reported","STATUS = Not Reported",IF(AND($P198="Y",$Q198&lt;&gt;"Y"),"UNESCO-MAB Biosphere Reserve",IF(AND($K198="Point",N($L198)&lt;=0),"Point without REP_AREA",IF(AND(N($L198)&lt;=0,N($N198)&lt;=0,N($R198)+N($S198)&lt;=0),"No area information",""))))))))</f>
        <v/>
      </c>
      <c r="AB198" s="22">
        <f>IF(AND($A198="",$B198=""),"",IF($K198="Point",N($L198),IF(N($N198)&gt;0,N($N198),N($L198))))</f>
        <v/>
      </c>
      <c r="AC198" s="22">
        <f>IF(AND($A198="",$B198=""),"",MIN(AB198,IF(N($J198)=0,0,IF(N($J198)=2,AB198,IF(AND($K198&lt;&gt;"Point",N($O198)&gt;0),N($O198),N($M198))))))</f>
        <v/>
      </c>
      <c r="AD198" s="22">
        <f>IF(AND($A198="",$B198=""),"",MAX(0,AB198-AC198))</f>
        <v/>
      </c>
      <c r="AE198" s="21">
        <f>IF(AND($A198="",$B198=""),"",IF(OR($R198&lt;&gt;"",$S198&lt;&gt;""),1,0))</f>
        <v/>
      </c>
      <c r="AF198" s="22">
        <f>IF(AND($A198="",$B198=""),"",IF(Z198=1,IF(AE198=1,N($R198),AD198),0))</f>
        <v/>
      </c>
      <c r="AG198" s="22">
        <f>IF(AND($A198="",$B198=""),"",IF(Z198=1,IF(AE198=1,N($S198),AC198),0))</f>
        <v/>
      </c>
      <c r="AH198" s="21">
        <f>IF(AND($A198="",$B198=""),"",IF(AND(ISNUMBER($I198),N($I198)&gt;0),$I198,0))</f>
        <v/>
      </c>
      <c r="AI198" s="23">
        <f>IF(AND(NOT(AND($A198="",$B198="")),$K198="Point",N($L198)&gt;0),SQRT(N($L198)/PI()),"")</f>
        <v/>
      </c>
      <c r="AJ198" s="21">
        <f>IF(AND($A198="",$B198=""),"",IFERROR(VLOOKUP($G198,Lists!$D$4:$E$15,2,FALSE),"Not reported"))</f>
        <v/>
      </c>
      <c r="AK198" s="21">
        <f>IF(AND($A198="",$B198=""),"",IF($X198&lt;&gt;"",$X198,IF($T198&lt;&gt;"Y","Not assessed",IF(AND(ISNUMBER($V198),Setup!$B$6-$V198&gt;Setup!$B$26),"Assessment outdated",IF(NOT(ISNUMBER($W198)),"Assessed – no score",IF($W198&gt;=Setup!$B$24,"High",IF($W198&gt;=Setup!$B$25,"Moderate","Low")))))))</f>
        <v/>
      </c>
      <c r="AL198" s="21">
        <f>IF(AND($A198="",$B198=""),"",IF(Z198=0,"",IF(AND(AE198=1,N($R198)&gt;AD198*1.01+0.001),"Net terrestrial &gt; gross; ","")&amp;IF(AND(AE198=1,N($S198)&gt;AC198*1.01+0.001),"Net marine &gt; gross; ","")&amp;IF(AE198=0,"No net area – gross used, overlaps may be double-counted; ","")&amp;IF(AH198=0,"STATUS_YR missing – imputed in time series; ","")&amp;IF(AND(ISNUMBER($I198),N($I198)&gt;Setup!$B$6),"STATUS_YR after reporting year; ","")&amp;IF(OR($G198="",$G198="Not Reported"),"GOV_TYPE not reported; ","")&amp;IF(AND(N($J198)=1,$K198="Point",N($M198)&lt;=0),"Coastal point without REP_M_AREA – land/sea split unknown; ","")&amp;IF(AND(N($J198)=0,N($S198)&gt;0),"MARINE=0 but net marine &gt;0; ","")&amp;IF(AND(N($J198)=2,N($R198)&gt;0),"MARINE=2 but net terrestrial &gt;0; ","")&amp;IF($K198="Point","Buffered point – coverage approximate; ","")))</f>
        <v/>
      </c>
    </row>
    <row r="199">
      <c r="A199" s="19" t="n"/>
      <c r="B199" s="19" t="n"/>
      <c r="C199" s="19" t="n"/>
      <c r="D199" s="19" t="n"/>
      <c r="E199" s="19" t="n"/>
      <c r="F199" s="19" t="n"/>
      <c r="G199" s="19" t="n"/>
      <c r="H199" s="19" t="n"/>
      <c r="I199" s="19" t="n"/>
      <c r="J199" s="19" t="n"/>
      <c r="K199" s="19" t="n"/>
      <c r="L199" s="20" t="n"/>
      <c r="M199" s="20" t="n"/>
      <c r="N199" s="20" t="n"/>
      <c r="O199" s="20" t="n"/>
      <c r="P199" s="19" t="n"/>
      <c r="Q199" s="19" t="n"/>
      <c r="R199" s="20" t="n"/>
      <c r="S199" s="20" t="n"/>
      <c r="T199" s="19" t="n"/>
      <c r="U199" s="19" t="n"/>
      <c r="V199" s="19" t="n"/>
      <c r="W199" s="19" t="n"/>
      <c r="X199" s="19" t="n"/>
      <c r="Y199" s="19" t="n"/>
      <c r="Z199" s="21">
        <f>IF(AND($A199="",$B199=""),"",IF(OR($E199="",$H199="",$H199="Proposed",$H199="Not Reported"),0,IF(AND($P199="Y",$Q199&lt;&gt;"Y"),0,IF(AND($K199="Point",N($L199)&lt;=0),0,IF(AND(N($L199)&lt;=0,N($N199)&lt;=0,N($R199)+N($S199)&lt;=0),0,1)))))</f>
        <v/>
      </c>
      <c r="AA199" s="21">
        <f>IF(AND($A199="",$B199=""),"",IF($E199="","Site type missing",IF($H199="","STATUS missing",IF($H199="Proposed","STATUS = Proposed",IF($H199="Not Reported","STATUS = Not Reported",IF(AND($P199="Y",$Q199&lt;&gt;"Y"),"UNESCO-MAB Biosphere Reserve",IF(AND($K199="Point",N($L199)&lt;=0),"Point without REP_AREA",IF(AND(N($L199)&lt;=0,N($N199)&lt;=0,N($R199)+N($S199)&lt;=0),"No area information",""))))))))</f>
        <v/>
      </c>
      <c r="AB199" s="22">
        <f>IF(AND($A199="",$B199=""),"",IF($K199="Point",N($L199),IF(N($N199)&gt;0,N($N199),N($L199))))</f>
        <v/>
      </c>
      <c r="AC199" s="22">
        <f>IF(AND($A199="",$B199=""),"",MIN(AB199,IF(N($J199)=0,0,IF(N($J199)=2,AB199,IF(AND($K199&lt;&gt;"Point",N($O199)&gt;0),N($O199),N($M199))))))</f>
        <v/>
      </c>
      <c r="AD199" s="22">
        <f>IF(AND($A199="",$B199=""),"",MAX(0,AB199-AC199))</f>
        <v/>
      </c>
      <c r="AE199" s="21">
        <f>IF(AND($A199="",$B199=""),"",IF(OR($R199&lt;&gt;"",$S199&lt;&gt;""),1,0))</f>
        <v/>
      </c>
      <c r="AF199" s="22">
        <f>IF(AND($A199="",$B199=""),"",IF(Z199=1,IF(AE199=1,N($R199),AD199),0))</f>
        <v/>
      </c>
      <c r="AG199" s="22">
        <f>IF(AND($A199="",$B199=""),"",IF(Z199=1,IF(AE199=1,N($S199),AC199),0))</f>
        <v/>
      </c>
      <c r="AH199" s="21">
        <f>IF(AND($A199="",$B199=""),"",IF(AND(ISNUMBER($I199),N($I199)&gt;0),$I199,0))</f>
        <v/>
      </c>
      <c r="AI199" s="23">
        <f>IF(AND(NOT(AND($A199="",$B199="")),$K199="Point",N($L199)&gt;0),SQRT(N($L199)/PI()),"")</f>
        <v/>
      </c>
      <c r="AJ199" s="21">
        <f>IF(AND($A199="",$B199=""),"",IFERROR(VLOOKUP($G199,Lists!$D$4:$E$15,2,FALSE),"Not reported"))</f>
        <v/>
      </c>
      <c r="AK199" s="21">
        <f>IF(AND($A199="",$B199=""),"",IF($X199&lt;&gt;"",$X199,IF($T199&lt;&gt;"Y","Not assessed",IF(AND(ISNUMBER($V199),Setup!$B$6-$V199&gt;Setup!$B$26),"Assessment outdated",IF(NOT(ISNUMBER($W199)),"Assessed – no score",IF($W199&gt;=Setup!$B$24,"High",IF($W199&gt;=Setup!$B$25,"Moderate","Low")))))))</f>
        <v/>
      </c>
      <c r="AL199" s="21">
        <f>IF(AND($A199="",$B199=""),"",IF(Z199=0,"",IF(AND(AE199=1,N($R199)&gt;AD199*1.01+0.001),"Net terrestrial &gt; gross; ","")&amp;IF(AND(AE199=1,N($S199)&gt;AC199*1.01+0.001),"Net marine &gt; gross; ","")&amp;IF(AE199=0,"No net area – gross used, overlaps may be double-counted; ","")&amp;IF(AH199=0,"STATUS_YR missing – imputed in time series; ","")&amp;IF(AND(ISNUMBER($I199),N($I199)&gt;Setup!$B$6),"STATUS_YR after reporting year; ","")&amp;IF(OR($G199="",$G199="Not Reported"),"GOV_TYPE not reported; ","")&amp;IF(AND(N($J199)=1,$K199="Point",N($M199)&lt;=0),"Coastal point without REP_M_AREA – land/sea split unknown; ","")&amp;IF(AND(N($J199)=0,N($S199)&gt;0),"MARINE=0 but net marine &gt;0; ","")&amp;IF(AND(N($J199)=2,N($R199)&gt;0),"MARINE=2 but net terrestrial &gt;0; ","")&amp;IF($K199="Point","Buffered point – coverage approximate; ","")))</f>
        <v/>
      </c>
    </row>
    <row r="200">
      <c r="A200" s="19" t="n"/>
      <c r="B200" s="19" t="n"/>
      <c r="C200" s="19" t="n"/>
      <c r="D200" s="19" t="n"/>
      <c r="E200" s="19" t="n"/>
      <c r="F200" s="19" t="n"/>
      <c r="G200" s="19" t="n"/>
      <c r="H200" s="19" t="n"/>
      <c r="I200" s="19" t="n"/>
      <c r="J200" s="19" t="n"/>
      <c r="K200" s="19" t="n"/>
      <c r="L200" s="20" t="n"/>
      <c r="M200" s="20" t="n"/>
      <c r="N200" s="20" t="n"/>
      <c r="O200" s="20" t="n"/>
      <c r="P200" s="19" t="n"/>
      <c r="Q200" s="19" t="n"/>
      <c r="R200" s="20" t="n"/>
      <c r="S200" s="20" t="n"/>
      <c r="T200" s="19" t="n"/>
      <c r="U200" s="19" t="n"/>
      <c r="V200" s="19" t="n"/>
      <c r="W200" s="19" t="n"/>
      <c r="X200" s="19" t="n"/>
      <c r="Y200" s="19" t="n"/>
      <c r="Z200" s="21">
        <f>IF(AND($A200="",$B200=""),"",IF(OR($E200="",$H200="",$H200="Proposed",$H200="Not Reported"),0,IF(AND($P200="Y",$Q200&lt;&gt;"Y"),0,IF(AND($K200="Point",N($L200)&lt;=0),0,IF(AND(N($L200)&lt;=0,N($N200)&lt;=0,N($R200)+N($S200)&lt;=0),0,1)))))</f>
        <v/>
      </c>
      <c r="AA200" s="21">
        <f>IF(AND($A200="",$B200=""),"",IF($E200="","Site type missing",IF($H200="","STATUS missing",IF($H200="Proposed","STATUS = Proposed",IF($H200="Not Reported","STATUS = Not Reported",IF(AND($P200="Y",$Q200&lt;&gt;"Y"),"UNESCO-MAB Biosphere Reserve",IF(AND($K200="Point",N($L200)&lt;=0),"Point without REP_AREA",IF(AND(N($L200)&lt;=0,N($N200)&lt;=0,N($R200)+N($S200)&lt;=0),"No area information",""))))))))</f>
        <v/>
      </c>
      <c r="AB200" s="22">
        <f>IF(AND($A200="",$B200=""),"",IF($K200="Point",N($L200),IF(N($N200)&gt;0,N($N200),N($L200))))</f>
        <v/>
      </c>
      <c r="AC200" s="22">
        <f>IF(AND($A200="",$B200=""),"",MIN(AB200,IF(N($J200)=0,0,IF(N($J200)=2,AB200,IF(AND($K200&lt;&gt;"Point",N($O200)&gt;0),N($O200),N($M200))))))</f>
        <v/>
      </c>
      <c r="AD200" s="22">
        <f>IF(AND($A200="",$B200=""),"",MAX(0,AB200-AC200))</f>
        <v/>
      </c>
      <c r="AE200" s="21">
        <f>IF(AND($A200="",$B200=""),"",IF(OR($R200&lt;&gt;"",$S200&lt;&gt;""),1,0))</f>
        <v/>
      </c>
      <c r="AF200" s="22">
        <f>IF(AND($A200="",$B200=""),"",IF(Z200=1,IF(AE200=1,N($R200),AD200),0))</f>
        <v/>
      </c>
      <c r="AG200" s="22">
        <f>IF(AND($A200="",$B200=""),"",IF(Z200=1,IF(AE200=1,N($S200),AC200),0))</f>
        <v/>
      </c>
      <c r="AH200" s="21">
        <f>IF(AND($A200="",$B200=""),"",IF(AND(ISNUMBER($I200),N($I200)&gt;0),$I200,0))</f>
        <v/>
      </c>
      <c r="AI200" s="23">
        <f>IF(AND(NOT(AND($A200="",$B200="")),$K200="Point",N($L200)&gt;0),SQRT(N($L200)/PI()),"")</f>
        <v/>
      </c>
      <c r="AJ200" s="21">
        <f>IF(AND($A200="",$B200=""),"",IFERROR(VLOOKUP($G200,Lists!$D$4:$E$15,2,FALSE),"Not reported"))</f>
        <v/>
      </c>
      <c r="AK200" s="21">
        <f>IF(AND($A200="",$B200=""),"",IF($X200&lt;&gt;"",$X200,IF($T200&lt;&gt;"Y","Not assessed",IF(AND(ISNUMBER($V200),Setup!$B$6-$V200&gt;Setup!$B$26),"Assessment outdated",IF(NOT(ISNUMBER($W200)),"Assessed – no score",IF($W200&gt;=Setup!$B$24,"High",IF($W200&gt;=Setup!$B$25,"Moderate","Low")))))))</f>
        <v/>
      </c>
      <c r="AL200" s="21">
        <f>IF(AND($A200="",$B200=""),"",IF(Z200=0,"",IF(AND(AE200=1,N($R200)&gt;AD200*1.01+0.001),"Net terrestrial &gt; gross; ","")&amp;IF(AND(AE200=1,N($S200)&gt;AC200*1.01+0.001),"Net marine &gt; gross; ","")&amp;IF(AE200=0,"No net area – gross used, overlaps may be double-counted; ","")&amp;IF(AH200=0,"STATUS_YR missing – imputed in time series; ","")&amp;IF(AND(ISNUMBER($I200),N($I200)&gt;Setup!$B$6),"STATUS_YR after reporting year; ","")&amp;IF(OR($G200="",$G200="Not Reported"),"GOV_TYPE not reported; ","")&amp;IF(AND(N($J200)=1,$K200="Point",N($M200)&lt;=0),"Coastal point without REP_M_AREA – land/sea split unknown; ","")&amp;IF(AND(N($J200)=0,N($S200)&gt;0),"MARINE=0 but net marine &gt;0; ","")&amp;IF(AND(N($J200)=2,N($R200)&gt;0),"MARINE=2 but net terrestrial &gt;0; ","")&amp;IF($K200="Point","Buffered point – coverage approximate; ","")))</f>
        <v/>
      </c>
    </row>
    <row r="201">
      <c r="A201" s="19" t="n"/>
      <c r="B201" s="19" t="n"/>
      <c r="C201" s="19" t="n"/>
      <c r="D201" s="19" t="n"/>
      <c r="E201" s="19" t="n"/>
      <c r="F201" s="19" t="n"/>
      <c r="G201" s="19" t="n"/>
      <c r="H201" s="19" t="n"/>
      <c r="I201" s="19" t="n"/>
      <c r="J201" s="19" t="n"/>
      <c r="K201" s="19" t="n"/>
      <c r="L201" s="20" t="n"/>
      <c r="M201" s="20" t="n"/>
      <c r="N201" s="20" t="n"/>
      <c r="O201" s="20" t="n"/>
      <c r="P201" s="19" t="n"/>
      <c r="Q201" s="19" t="n"/>
      <c r="R201" s="20" t="n"/>
      <c r="S201" s="20" t="n"/>
      <c r="T201" s="19" t="n"/>
      <c r="U201" s="19" t="n"/>
      <c r="V201" s="19" t="n"/>
      <c r="W201" s="19" t="n"/>
      <c r="X201" s="19" t="n"/>
      <c r="Y201" s="19" t="n"/>
      <c r="Z201" s="21">
        <f>IF(AND($A201="",$B201=""),"",IF(OR($E201="",$H201="",$H201="Proposed",$H201="Not Reported"),0,IF(AND($P201="Y",$Q201&lt;&gt;"Y"),0,IF(AND($K201="Point",N($L201)&lt;=0),0,IF(AND(N($L201)&lt;=0,N($N201)&lt;=0,N($R201)+N($S201)&lt;=0),0,1)))))</f>
        <v/>
      </c>
      <c r="AA201" s="21">
        <f>IF(AND($A201="",$B201=""),"",IF($E201="","Site type missing",IF($H201="","STATUS missing",IF($H201="Proposed","STATUS = Proposed",IF($H201="Not Reported","STATUS = Not Reported",IF(AND($P201="Y",$Q201&lt;&gt;"Y"),"UNESCO-MAB Biosphere Reserve",IF(AND($K201="Point",N($L201)&lt;=0),"Point without REP_AREA",IF(AND(N($L201)&lt;=0,N($N201)&lt;=0,N($R201)+N($S201)&lt;=0),"No area information",""))))))))</f>
        <v/>
      </c>
      <c r="AB201" s="22">
        <f>IF(AND($A201="",$B201=""),"",IF($K201="Point",N($L201),IF(N($N201)&gt;0,N($N201),N($L201))))</f>
        <v/>
      </c>
      <c r="AC201" s="22">
        <f>IF(AND($A201="",$B201=""),"",MIN(AB201,IF(N($J201)=0,0,IF(N($J201)=2,AB201,IF(AND($K201&lt;&gt;"Point",N($O201)&gt;0),N($O201),N($M201))))))</f>
        <v/>
      </c>
      <c r="AD201" s="22">
        <f>IF(AND($A201="",$B201=""),"",MAX(0,AB201-AC201))</f>
        <v/>
      </c>
      <c r="AE201" s="21">
        <f>IF(AND($A201="",$B201=""),"",IF(OR($R201&lt;&gt;"",$S201&lt;&gt;""),1,0))</f>
        <v/>
      </c>
      <c r="AF201" s="22">
        <f>IF(AND($A201="",$B201=""),"",IF(Z201=1,IF(AE201=1,N($R201),AD201),0))</f>
        <v/>
      </c>
      <c r="AG201" s="22">
        <f>IF(AND($A201="",$B201=""),"",IF(Z201=1,IF(AE201=1,N($S201),AC201),0))</f>
        <v/>
      </c>
      <c r="AH201" s="21">
        <f>IF(AND($A201="",$B201=""),"",IF(AND(ISNUMBER($I201),N($I201)&gt;0),$I201,0))</f>
        <v/>
      </c>
      <c r="AI201" s="23">
        <f>IF(AND(NOT(AND($A201="",$B201="")),$K201="Point",N($L201)&gt;0),SQRT(N($L201)/PI()),"")</f>
        <v/>
      </c>
      <c r="AJ201" s="21">
        <f>IF(AND($A201="",$B201=""),"",IFERROR(VLOOKUP($G201,Lists!$D$4:$E$15,2,FALSE),"Not reported"))</f>
        <v/>
      </c>
      <c r="AK201" s="21">
        <f>IF(AND($A201="",$B201=""),"",IF($X201&lt;&gt;"",$X201,IF($T201&lt;&gt;"Y","Not assessed",IF(AND(ISNUMBER($V201),Setup!$B$6-$V201&gt;Setup!$B$26),"Assessment outdated",IF(NOT(ISNUMBER($W201)),"Assessed – no score",IF($W201&gt;=Setup!$B$24,"High",IF($W201&gt;=Setup!$B$25,"Moderate","Low")))))))</f>
        <v/>
      </c>
      <c r="AL201" s="21">
        <f>IF(AND($A201="",$B201=""),"",IF(Z201=0,"",IF(AND(AE201=1,N($R201)&gt;AD201*1.01+0.001),"Net terrestrial &gt; gross; ","")&amp;IF(AND(AE201=1,N($S201)&gt;AC201*1.01+0.001),"Net marine &gt; gross; ","")&amp;IF(AE201=0,"No net area – gross used, overlaps may be double-counted; ","")&amp;IF(AH201=0,"STATUS_YR missing – imputed in time series; ","")&amp;IF(AND(ISNUMBER($I201),N($I201)&gt;Setup!$B$6),"STATUS_YR after reporting year; ","")&amp;IF(OR($G201="",$G201="Not Reported"),"GOV_TYPE not reported; ","")&amp;IF(AND(N($J201)=1,$K201="Point",N($M201)&lt;=0),"Coastal point without REP_M_AREA – land/sea split unknown; ","")&amp;IF(AND(N($J201)=0,N($S201)&gt;0),"MARINE=0 but net marine &gt;0; ","")&amp;IF(AND(N($J201)=2,N($R201)&gt;0),"MARINE=2 but net terrestrial &gt;0; ","")&amp;IF($K201="Point","Buffered point – coverage approximate; ","")))</f>
        <v/>
      </c>
    </row>
    <row r="202">
      <c r="A202" s="19" t="n"/>
      <c r="B202" s="19" t="n"/>
      <c r="C202" s="19" t="n"/>
      <c r="D202" s="19" t="n"/>
      <c r="E202" s="19" t="n"/>
      <c r="F202" s="19" t="n"/>
      <c r="G202" s="19" t="n"/>
      <c r="H202" s="19" t="n"/>
      <c r="I202" s="19" t="n"/>
      <c r="J202" s="19" t="n"/>
      <c r="K202" s="19" t="n"/>
      <c r="L202" s="20" t="n"/>
      <c r="M202" s="20" t="n"/>
      <c r="N202" s="20" t="n"/>
      <c r="O202" s="20" t="n"/>
      <c r="P202" s="19" t="n"/>
      <c r="Q202" s="19" t="n"/>
      <c r="R202" s="20" t="n"/>
      <c r="S202" s="20" t="n"/>
      <c r="T202" s="19" t="n"/>
      <c r="U202" s="19" t="n"/>
      <c r="V202" s="19" t="n"/>
      <c r="W202" s="19" t="n"/>
      <c r="X202" s="19" t="n"/>
      <c r="Y202" s="19" t="n"/>
      <c r="Z202" s="21">
        <f>IF(AND($A202="",$B202=""),"",IF(OR($E202="",$H202="",$H202="Proposed",$H202="Not Reported"),0,IF(AND($P202="Y",$Q202&lt;&gt;"Y"),0,IF(AND($K202="Point",N($L202)&lt;=0),0,IF(AND(N($L202)&lt;=0,N($N202)&lt;=0,N($R202)+N($S202)&lt;=0),0,1)))))</f>
        <v/>
      </c>
      <c r="AA202" s="21">
        <f>IF(AND($A202="",$B202=""),"",IF($E202="","Site type missing",IF($H202="","STATUS missing",IF($H202="Proposed","STATUS = Proposed",IF($H202="Not Reported","STATUS = Not Reported",IF(AND($P202="Y",$Q202&lt;&gt;"Y"),"UNESCO-MAB Biosphere Reserve",IF(AND($K202="Point",N($L202)&lt;=0),"Point without REP_AREA",IF(AND(N($L202)&lt;=0,N($N202)&lt;=0,N($R202)+N($S202)&lt;=0),"No area information",""))))))))</f>
        <v/>
      </c>
      <c r="AB202" s="22">
        <f>IF(AND($A202="",$B202=""),"",IF($K202="Point",N($L202),IF(N($N202)&gt;0,N($N202),N($L202))))</f>
        <v/>
      </c>
      <c r="AC202" s="22">
        <f>IF(AND($A202="",$B202=""),"",MIN(AB202,IF(N($J202)=0,0,IF(N($J202)=2,AB202,IF(AND($K202&lt;&gt;"Point",N($O202)&gt;0),N($O202),N($M202))))))</f>
        <v/>
      </c>
      <c r="AD202" s="22">
        <f>IF(AND($A202="",$B202=""),"",MAX(0,AB202-AC202))</f>
        <v/>
      </c>
      <c r="AE202" s="21">
        <f>IF(AND($A202="",$B202=""),"",IF(OR($R202&lt;&gt;"",$S202&lt;&gt;""),1,0))</f>
        <v/>
      </c>
      <c r="AF202" s="22">
        <f>IF(AND($A202="",$B202=""),"",IF(Z202=1,IF(AE202=1,N($R202),AD202),0))</f>
        <v/>
      </c>
      <c r="AG202" s="22">
        <f>IF(AND($A202="",$B202=""),"",IF(Z202=1,IF(AE202=1,N($S202),AC202),0))</f>
        <v/>
      </c>
      <c r="AH202" s="21">
        <f>IF(AND($A202="",$B202=""),"",IF(AND(ISNUMBER($I202),N($I202)&gt;0),$I202,0))</f>
        <v/>
      </c>
      <c r="AI202" s="23">
        <f>IF(AND(NOT(AND($A202="",$B202="")),$K202="Point",N($L202)&gt;0),SQRT(N($L202)/PI()),"")</f>
        <v/>
      </c>
      <c r="AJ202" s="21">
        <f>IF(AND($A202="",$B202=""),"",IFERROR(VLOOKUP($G202,Lists!$D$4:$E$15,2,FALSE),"Not reported"))</f>
        <v/>
      </c>
      <c r="AK202" s="21">
        <f>IF(AND($A202="",$B202=""),"",IF($X202&lt;&gt;"",$X202,IF($T202&lt;&gt;"Y","Not assessed",IF(AND(ISNUMBER($V202),Setup!$B$6-$V202&gt;Setup!$B$26),"Assessment outdated",IF(NOT(ISNUMBER($W202)),"Assessed – no score",IF($W202&gt;=Setup!$B$24,"High",IF($W202&gt;=Setup!$B$25,"Moderate","Low")))))))</f>
        <v/>
      </c>
      <c r="AL202" s="21">
        <f>IF(AND($A202="",$B202=""),"",IF(Z202=0,"",IF(AND(AE202=1,N($R202)&gt;AD202*1.01+0.001),"Net terrestrial &gt; gross; ","")&amp;IF(AND(AE202=1,N($S202)&gt;AC202*1.01+0.001),"Net marine &gt; gross; ","")&amp;IF(AE202=0,"No net area – gross used, overlaps may be double-counted; ","")&amp;IF(AH202=0,"STATUS_YR missing – imputed in time series; ","")&amp;IF(AND(ISNUMBER($I202),N($I202)&gt;Setup!$B$6),"STATUS_YR after reporting year; ","")&amp;IF(OR($G202="",$G202="Not Reported"),"GOV_TYPE not reported; ","")&amp;IF(AND(N($J202)=1,$K202="Point",N($M202)&lt;=0),"Coastal point without REP_M_AREA – land/sea split unknown; ","")&amp;IF(AND(N($J202)=0,N($S202)&gt;0),"MARINE=0 but net marine &gt;0; ","")&amp;IF(AND(N($J202)=2,N($R202)&gt;0),"MARINE=2 but net terrestrial &gt;0; ","")&amp;IF($K202="Point","Buffered point – coverage approximate; ","")))</f>
        <v/>
      </c>
    </row>
    <row r="203">
      <c r="A203" s="19" t="n"/>
      <c r="B203" s="19" t="n"/>
      <c r="C203" s="19" t="n"/>
      <c r="D203" s="19" t="n"/>
      <c r="E203" s="19" t="n"/>
      <c r="F203" s="19" t="n"/>
      <c r="G203" s="19" t="n"/>
      <c r="H203" s="19" t="n"/>
      <c r="I203" s="19" t="n"/>
      <c r="J203" s="19" t="n"/>
      <c r="K203" s="19" t="n"/>
      <c r="L203" s="20" t="n"/>
      <c r="M203" s="20" t="n"/>
      <c r="N203" s="20" t="n"/>
      <c r="O203" s="20" t="n"/>
      <c r="P203" s="19" t="n"/>
      <c r="Q203" s="19" t="n"/>
      <c r="R203" s="20" t="n"/>
      <c r="S203" s="20" t="n"/>
      <c r="T203" s="19" t="n"/>
      <c r="U203" s="19" t="n"/>
      <c r="V203" s="19" t="n"/>
      <c r="W203" s="19" t="n"/>
      <c r="X203" s="19" t="n"/>
      <c r="Y203" s="19" t="n"/>
      <c r="Z203" s="21">
        <f>IF(AND($A203="",$B203=""),"",IF(OR($E203="",$H203="",$H203="Proposed",$H203="Not Reported"),0,IF(AND($P203="Y",$Q203&lt;&gt;"Y"),0,IF(AND($K203="Point",N($L203)&lt;=0),0,IF(AND(N($L203)&lt;=0,N($N203)&lt;=0,N($R203)+N($S203)&lt;=0),0,1)))))</f>
        <v/>
      </c>
      <c r="AA203" s="21">
        <f>IF(AND($A203="",$B203=""),"",IF($E203="","Site type missing",IF($H203="","STATUS missing",IF($H203="Proposed","STATUS = Proposed",IF($H203="Not Reported","STATUS = Not Reported",IF(AND($P203="Y",$Q203&lt;&gt;"Y"),"UNESCO-MAB Biosphere Reserve",IF(AND($K203="Point",N($L203)&lt;=0),"Point without REP_AREA",IF(AND(N($L203)&lt;=0,N($N203)&lt;=0,N($R203)+N($S203)&lt;=0),"No area information",""))))))))</f>
        <v/>
      </c>
      <c r="AB203" s="22">
        <f>IF(AND($A203="",$B203=""),"",IF($K203="Point",N($L203),IF(N($N203)&gt;0,N($N203),N($L203))))</f>
        <v/>
      </c>
      <c r="AC203" s="22">
        <f>IF(AND($A203="",$B203=""),"",MIN(AB203,IF(N($J203)=0,0,IF(N($J203)=2,AB203,IF(AND($K203&lt;&gt;"Point",N($O203)&gt;0),N($O203),N($M203))))))</f>
        <v/>
      </c>
      <c r="AD203" s="22">
        <f>IF(AND($A203="",$B203=""),"",MAX(0,AB203-AC203))</f>
        <v/>
      </c>
      <c r="AE203" s="21">
        <f>IF(AND($A203="",$B203=""),"",IF(OR($R203&lt;&gt;"",$S203&lt;&gt;""),1,0))</f>
        <v/>
      </c>
      <c r="AF203" s="22">
        <f>IF(AND($A203="",$B203=""),"",IF(Z203=1,IF(AE203=1,N($R203),AD203),0))</f>
        <v/>
      </c>
      <c r="AG203" s="22">
        <f>IF(AND($A203="",$B203=""),"",IF(Z203=1,IF(AE203=1,N($S203),AC203),0))</f>
        <v/>
      </c>
      <c r="AH203" s="21">
        <f>IF(AND($A203="",$B203=""),"",IF(AND(ISNUMBER($I203),N($I203)&gt;0),$I203,0))</f>
        <v/>
      </c>
      <c r="AI203" s="23">
        <f>IF(AND(NOT(AND($A203="",$B203="")),$K203="Point",N($L203)&gt;0),SQRT(N($L203)/PI()),"")</f>
        <v/>
      </c>
      <c r="AJ203" s="21">
        <f>IF(AND($A203="",$B203=""),"",IFERROR(VLOOKUP($G203,Lists!$D$4:$E$15,2,FALSE),"Not reported"))</f>
        <v/>
      </c>
      <c r="AK203" s="21">
        <f>IF(AND($A203="",$B203=""),"",IF($X203&lt;&gt;"",$X203,IF($T203&lt;&gt;"Y","Not assessed",IF(AND(ISNUMBER($V203),Setup!$B$6-$V203&gt;Setup!$B$26),"Assessment outdated",IF(NOT(ISNUMBER($W203)),"Assessed – no score",IF($W203&gt;=Setup!$B$24,"High",IF($W203&gt;=Setup!$B$25,"Moderate","Low")))))))</f>
        <v/>
      </c>
      <c r="AL203" s="21">
        <f>IF(AND($A203="",$B203=""),"",IF(Z203=0,"",IF(AND(AE203=1,N($R203)&gt;AD203*1.01+0.001),"Net terrestrial &gt; gross; ","")&amp;IF(AND(AE203=1,N($S203)&gt;AC203*1.01+0.001),"Net marine &gt; gross; ","")&amp;IF(AE203=0,"No net area – gross used, overlaps may be double-counted; ","")&amp;IF(AH203=0,"STATUS_YR missing – imputed in time series; ","")&amp;IF(AND(ISNUMBER($I203),N($I203)&gt;Setup!$B$6),"STATUS_YR after reporting year; ","")&amp;IF(OR($G203="",$G203="Not Reported"),"GOV_TYPE not reported; ","")&amp;IF(AND(N($J203)=1,$K203="Point",N($M203)&lt;=0),"Coastal point without REP_M_AREA – land/sea split unknown; ","")&amp;IF(AND(N($J203)=0,N($S203)&gt;0),"MARINE=0 but net marine &gt;0; ","")&amp;IF(AND(N($J203)=2,N($R203)&gt;0),"MARINE=2 but net terrestrial &gt;0; ","")&amp;IF($K203="Point","Buffered point – coverage approximate; ","")))</f>
        <v/>
      </c>
    </row>
    <row r="204">
      <c r="A204" s="19" t="n"/>
      <c r="B204" s="19" t="n"/>
      <c r="C204" s="19" t="n"/>
      <c r="D204" s="19" t="n"/>
      <c r="E204" s="19" t="n"/>
      <c r="F204" s="19" t="n"/>
      <c r="G204" s="19" t="n"/>
      <c r="H204" s="19" t="n"/>
      <c r="I204" s="19" t="n"/>
      <c r="J204" s="19" t="n"/>
      <c r="K204" s="19" t="n"/>
      <c r="L204" s="20" t="n"/>
      <c r="M204" s="20" t="n"/>
      <c r="N204" s="20" t="n"/>
      <c r="O204" s="20" t="n"/>
      <c r="P204" s="19" t="n"/>
      <c r="Q204" s="19" t="n"/>
      <c r="R204" s="20" t="n"/>
      <c r="S204" s="20" t="n"/>
      <c r="T204" s="19" t="n"/>
      <c r="U204" s="19" t="n"/>
      <c r="V204" s="19" t="n"/>
      <c r="W204" s="19" t="n"/>
      <c r="X204" s="19" t="n"/>
      <c r="Y204" s="19" t="n"/>
      <c r="Z204" s="21">
        <f>IF(AND($A204="",$B204=""),"",IF(OR($E204="",$H204="",$H204="Proposed",$H204="Not Reported"),0,IF(AND($P204="Y",$Q204&lt;&gt;"Y"),0,IF(AND($K204="Point",N($L204)&lt;=0),0,IF(AND(N($L204)&lt;=0,N($N204)&lt;=0,N($R204)+N($S204)&lt;=0),0,1)))))</f>
        <v/>
      </c>
      <c r="AA204" s="21">
        <f>IF(AND($A204="",$B204=""),"",IF($E204="","Site type missing",IF($H204="","STATUS missing",IF($H204="Proposed","STATUS = Proposed",IF($H204="Not Reported","STATUS = Not Reported",IF(AND($P204="Y",$Q204&lt;&gt;"Y"),"UNESCO-MAB Biosphere Reserve",IF(AND($K204="Point",N($L204)&lt;=0),"Point without REP_AREA",IF(AND(N($L204)&lt;=0,N($N204)&lt;=0,N($R204)+N($S204)&lt;=0),"No area information",""))))))))</f>
        <v/>
      </c>
      <c r="AB204" s="22">
        <f>IF(AND($A204="",$B204=""),"",IF($K204="Point",N($L204),IF(N($N204)&gt;0,N($N204),N($L204))))</f>
        <v/>
      </c>
      <c r="AC204" s="22">
        <f>IF(AND($A204="",$B204=""),"",MIN(AB204,IF(N($J204)=0,0,IF(N($J204)=2,AB204,IF(AND($K204&lt;&gt;"Point",N($O204)&gt;0),N($O204),N($M204))))))</f>
        <v/>
      </c>
      <c r="AD204" s="22">
        <f>IF(AND($A204="",$B204=""),"",MAX(0,AB204-AC204))</f>
        <v/>
      </c>
      <c r="AE204" s="21">
        <f>IF(AND($A204="",$B204=""),"",IF(OR($R204&lt;&gt;"",$S204&lt;&gt;""),1,0))</f>
        <v/>
      </c>
      <c r="AF204" s="22">
        <f>IF(AND($A204="",$B204=""),"",IF(Z204=1,IF(AE204=1,N($R204),AD204),0))</f>
        <v/>
      </c>
      <c r="AG204" s="22">
        <f>IF(AND($A204="",$B204=""),"",IF(Z204=1,IF(AE204=1,N($S204),AC204),0))</f>
        <v/>
      </c>
      <c r="AH204" s="21">
        <f>IF(AND($A204="",$B204=""),"",IF(AND(ISNUMBER($I204),N($I204)&gt;0),$I204,0))</f>
        <v/>
      </c>
      <c r="AI204" s="23">
        <f>IF(AND(NOT(AND($A204="",$B204="")),$K204="Point",N($L204)&gt;0),SQRT(N($L204)/PI()),"")</f>
        <v/>
      </c>
      <c r="AJ204" s="21">
        <f>IF(AND($A204="",$B204=""),"",IFERROR(VLOOKUP($G204,Lists!$D$4:$E$15,2,FALSE),"Not reported"))</f>
        <v/>
      </c>
      <c r="AK204" s="21">
        <f>IF(AND($A204="",$B204=""),"",IF($X204&lt;&gt;"",$X204,IF($T204&lt;&gt;"Y","Not assessed",IF(AND(ISNUMBER($V204),Setup!$B$6-$V204&gt;Setup!$B$26),"Assessment outdated",IF(NOT(ISNUMBER($W204)),"Assessed – no score",IF($W204&gt;=Setup!$B$24,"High",IF($W204&gt;=Setup!$B$25,"Moderate","Low")))))))</f>
        <v/>
      </c>
      <c r="AL204" s="21">
        <f>IF(AND($A204="",$B204=""),"",IF(Z204=0,"",IF(AND(AE204=1,N($R204)&gt;AD204*1.01+0.001),"Net terrestrial &gt; gross; ","")&amp;IF(AND(AE204=1,N($S204)&gt;AC204*1.01+0.001),"Net marine &gt; gross; ","")&amp;IF(AE204=0,"No net area – gross used, overlaps may be double-counted; ","")&amp;IF(AH204=0,"STATUS_YR missing – imputed in time series; ","")&amp;IF(AND(ISNUMBER($I204),N($I204)&gt;Setup!$B$6),"STATUS_YR after reporting year; ","")&amp;IF(OR($G204="",$G204="Not Reported"),"GOV_TYPE not reported; ","")&amp;IF(AND(N($J204)=1,$K204="Point",N($M204)&lt;=0),"Coastal point without REP_M_AREA – land/sea split unknown; ","")&amp;IF(AND(N($J204)=0,N($S204)&gt;0),"MARINE=0 but net marine &gt;0; ","")&amp;IF(AND(N($J204)=2,N($R204)&gt;0),"MARINE=2 but net terrestrial &gt;0; ","")&amp;IF($K204="Point","Buffered point – coverage approximate; ","")))</f>
        <v/>
      </c>
    </row>
    <row r="205">
      <c r="A205" s="19" t="n"/>
      <c r="B205" s="19" t="n"/>
      <c r="C205" s="19" t="n"/>
      <c r="D205" s="19" t="n"/>
      <c r="E205" s="19" t="n"/>
      <c r="F205" s="19" t="n"/>
      <c r="G205" s="19" t="n"/>
      <c r="H205" s="19" t="n"/>
      <c r="I205" s="19" t="n"/>
      <c r="J205" s="19" t="n"/>
      <c r="K205" s="19" t="n"/>
      <c r="L205" s="20" t="n"/>
      <c r="M205" s="20" t="n"/>
      <c r="N205" s="20" t="n"/>
      <c r="O205" s="20" t="n"/>
      <c r="P205" s="19" t="n"/>
      <c r="Q205" s="19" t="n"/>
      <c r="R205" s="20" t="n"/>
      <c r="S205" s="20" t="n"/>
      <c r="T205" s="19" t="n"/>
      <c r="U205" s="19" t="n"/>
      <c r="V205" s="19" t="n"/>
      <c r="W205" s="19" t="n"/>
      <c r="X205" s="19" t="n"/>
      <c r="Y205" s="19" t="n"/>
      <c r="Z205" s="21">
        <f>IF(AND($A205="",$B205=""),"",IF(OR($E205="",$H205="",$H205="Proposed",$H205="Not Reported"),0,IF(AND($P205="Y",$Q205&lt;&gt;"Y"),0,IF(AND($K205="Point",N($L205)&lt;=0),0,IF(AND(N($L205)&lt;=0,N($N205)&lt;=0,N($R205)+N($S205)&lt;=0),0,1)))))</f>
        <v/>
      </c>
      <c r="AA205" s="21">
        <f>IF(AND($A205="",$B205=""),"",IF($E205="","Site type missing",IF($H205="","STATUS missing",IF($H205="Proposed","STATUS = Proposed",IF($H205="Not Reported","STATUS = Not Reported",IF(AND($P205="Y",$Q205&lt;&gt;"Y"),"UNESCO-MAB Biosphere Reserve",IF(AND($K205="Point",N($L205)&lt;=0),"Point without REP_AREA",IF(AND(N($L205)&lt;=0,N($N205)&lt;=0,N($R205)+N($S205)&lt;=0),"No area information",""))))))))</f>
        <v/>
      </c>
      <c r="AB205" s="22">
        <f>IF(AND($A205="",$B205=""),"",IF($K205="Point",N($L205),IF(N($N205)&gt;0,N($N205),N($L205))))</f>
        <v/>
      </c>
      <c r="AC205" s="22">
        <f>IF(AND($A205="",$B205=""),"",MIN(AB205,IF(N($J205)=0,0,IF(N($J205)=2,AB205,IF(AND($K205&lt;&gt;"Point",N($O205)&gt;0),N($O205),N($M205))))))</f>
        <v/>
      </c>
      <c r="AD205" s="22">
        <f>IF(AND($A205="",$B205=""),"",MAX(0,AB205-AC205))</f>
        <v/>
      </c>
      <c r="AE205" s="21">
        <f>IF(AND($A205="",$B205=""),"",IF(OR($R205&lt;&gt;"",$S205&lt;&gt;""),1,0))</f>
        <v/>
      </c>
      <c r="AF205" s="22">
        <f>IF(AND($A205="",$B205=""),"",IF(Z205=1,IF(AE205=1,N($R205),AD205),0))</f>
        <v/>
      </c>
      <c r="AG205" s="22">
        <f>IF(AND($A205="",$B205=""),"",IF(Z205=1,IF(AE205=1,N($S205),AC205),0))</f>
        <v/>
      </c>
      <c r="AH205" s="21">
        <f>IF(AND($A205="",$B205=""),"",IF(AND(ISNUMBER($I205),N($I205)&gt;0),$I205,0))</f>
        <v/>
      </c>
      <c r="AI205" s="23">
        <f>IF(AND(NOT(AND($A205="",$B205="")),$K205="Point",N($L205)&gt;0),SQRT(N($L205)/PI()),"")</f>
        <v/>
      </c>
      <c r="AJ205" s="21">
        <f>IF(AND($A205="",$B205=""),"",IFERROR(VLOOKUP($G205,Lists!$D$4:$E$15,2,FALSE),"Not reported"))</f>
        <v/>
      </c>
      <c r="AK205" s="21">
        <f>IF(AND($A205="",$B205=""),"",IF($X205&lt;&gt;"",$X205,IF($T205&lt;&gt;"Y","Not assessed",IF(AND(ISNUMBER($V205),Setup!$B$6-$V205&gt;Setup!$B$26),"Assessment outdated",IF(NOT(ISNUMBER($W205)),"Assessed – no score",IF($W205&gt;=Setup!$B$24,"High",IF($W205&gt;=Setup!$B$25,"Moderate","Low")))))))</f>
        <v/>
      </c>
      <c r="AL205" s="21">
        <f>IF(AND($A205="",$B205=""),"",IF(Z205=0,"",IF(AND(AE205=1,N($R205)&gt;AD205*1.01+0.001),"Net terrestrial &gt; gross; ","")&amp;IF(AND(AE205=1,N($S205)&gt;AC205*1.01+0.001),"Net marine &gt; gross; ","")&amp;IF(AE205=0,"No net area – gross used, overlaps may be double-counted; ","")&amp;IF(AH205=0,"STATUS_YR missing – imputed in time series; ","")&amp;IF(AND(ISNUMBER($I205),N($I205)&gt;Setup!$B$6),"STATUS_YR after reporting year; ","")&amp;IF(OR($G205="",$G205="Not Reported"),"GOV_TYPE not reported; ","")&amp;IF(AND(N($J205)=1,$K205="Point",N($M205)&lt;=0),"Coastal point without REP_M_AREA – land/sea split unknown; ","")&amp;IF(AND(N($J205)=0,N($S205)&gt;0),"MARINE=0 but net marine &gt;0; ","")&amp;IF(AND(N($J205)=2,N($R205)&gt;0),"MARINE=2 but net terrestrial &gt;0; ","")&amp;IF($K205="Point","Buffered point – coverage approximate; ","")))</f>
        <v/>
      </c>
    </row>
    <row r="206">
      <c r="A206" s="19" t="n"/>
      <c r="B206" s="19" t="n"/>
      <c r="C206" s="19" t="n"/>
      <c r="D206" s="19" t="n"/>
      <c r="E206" s="19" t="n"/>
      <c r="F206" s="19" t="n"/>
      <c r="G206" s="19" t="n"/>
      <c r="H206" s="19" t="n"/>
      <c r="I206" s="19" t="n"/>
      <c r="J206" s="19" t="n"/>
      <c r="K206" s="19" t="n"/>
      <c r="L206" s="20" t="n"/>
      <c r="M206" s="20" t="n"/>
      <c r="N206" s="20" t="n"/>
      <c r="O206" s="20" t="n"/>
      <c r="P206" s="19" t="n"/>
      <c r="Q206" s="19" t="n"/>
      <c r="R206" s="20" t="n"/>
      <c r="S206" s="20" t="n"/>
      <c r="T206" s="19" t="n"/>
      <c r="U206" s="19" t="n"/>
      <c r="V206" s="19" t="n"/>
      <c r="W206" s="19" t="n"/>
      <c r="X206" s="19" t="n"/>
      <c r="Y206" s="19" t="n"/>
      <c r="Z206" s="21">
        <f>IF(AND($A206="",$B206=""),"",IF(OR($E206="",$H206="",$H206="Proposed",$H206="Not Reported"),0,IF(AND($P206="Y",$Q206&lt;&gt;"Y"),0,IF(AND($K206="Point",N($L206)&lt;=0),0,IF(AND(N($L206)&lt;=0,N($N206)&lt;=0,N($R206)+N($S206)&lt;=0),0,1)))))</f>
        <v/>
      </c>
      <c r="AA206" s="21">
        <f>IF(AND($A206="",$B206=""),"",IF($E206="","Site type missing",IF($H206="","STATUS missing",IF($H206="Proposed","STATUS = Proposed",IF($H206="Not Reported","STATUS = Not Reported",IF(AND($P206="Y",$Q206&lt;&gt;"Y"),"UNESCO-MAB Biosphere Reserve",IF(AND($K206="Point",N($L206)&lt;=0),"Point without REP_AREA",IF(AND(N($L206)&lt;=0,N($N206)&lt;=0,N($R206)+N($S206)&lt;=0),"No area information",""))))))))</f>
        <v/>
      </c>
      <c r="AB206" s="22">
        <f>IF(AND($A206="",$B206=""),"",IF($K206="Point",N($L206),IF(N($N206)&gt;0,N($N206),N($L206))))</f>
        <v/>
      </c>
      <c r="AC206" s="22">
        <f>IF(AND($A206="",$B206=""),"",MIN(AB206,IF(N($J206)=0,0,IF(N($J206)=2,AB206,IF(AND($K206&lt;&gt;"Point",N($O206)&gt;0),N($O206),N($M206))))))</f>
        <v/>
      </c>
      <c r="AD206" s="22">
        <f>IF(AND($A206="",$B206=""),"",MAX(0,AB206-AC206))</f>
        <v/>
      </c>
      <c r="AE206" s="21">
        <f>IF(AND($A206="",$B206=""),"",IF(OR($R206&lt;&gt;"",$S206&lt;&gt;""),1,0))</f>
        <v/>
      </c>
      <c r="AF206" s="22">
        <f>IF(AND($A206="",$B206=""),"",IF(Z206=1,IF(AE206=1,N($R206),AD206),0))</f>
        <v/>
      </c>
      <c r="AG206" s="22">
        <f>IF(AND($A206="",$B206=""),"",IF(Z206=1,IF(AE206=1,N($S206),AC206),0))</f>
        <v/>
      </c>
      <c r="AH206" s="21">
        <f>IF(AND($A206="",$B206=""),"",IF(AND(ISNUMBER($I206),N($I206)&gt;0),$I206,0))</f>
        <v/>
      </c>
      <c r="AI206" s="23">
        <f>IF(AND(NOT(AND($A206="",$B206="")),$K206="Point",N($L206)&gt;0),SQRT(N($L206)/PI()),"")</f>
        <v/>
      </c>
      <c r="AJ206" s="21">
        <f>IF(AND($A206="",$B206=""),"",IFERROR(VLOOKUP($G206,Lists!$D$4:$E$15,2,FALSE),"Not reported"))</f>
        <v/>
      </c>
      <c r="AK206" s="21">
        <f>IF(AND($A206="",$B206=""),"",IF($X206&lt;&gt;"",$X206,IF($T206&lt;&gt;"Y","Not assessed",IF(AND(ISNUMBER($V206),Setup!$B$6-$V206&gt;Setup!$B$26),"Assessment outdated",IF(NOT(ISNUMBER($W206)),"Assessed – no score",IF($W206&gt;=Setup!$B$24,"High",IF($W206&gt;=Setup!$B$25,"Moderate","Low")))))))</f>
        <v/>
      </c>
      <c r="AL206" s="21">
        <f>IF(AND($A206="",$B206=""),"",IF(Z206=0,"",IF(AND(AE206=1,N($R206)&gt;AD206*1.01+0.001),"Net terrestrial &gt; gross; ","")&amp;IF(AND(AE206=1,N($S206)&gt;AC206*1.01+0.001),"Net marine &gt; gross; ","")&amp;IF(AE206=0,"No net area – gross used, overlaps may be double-counted; ","")&amp;IF(AH206=0,"STATUS_YR missing – imputed in time series; ","")&amp;IF(AND(ISNUMBER($I206),N($I206)&gt;Setup!$B$6),"STATUS_YR after reporting year; ","")&amp;IF(OR($G206="",$G206="Not Reported"),"GOV_TYPE not reported; ","")&amp;IF(AND(N($J206)=1,$K206="Point",N($M206)&lt;=0),"Coastal point without REP_M_AREA – land/sea split unknown; ","")&amp;IF(AND(N($J206)=0,N($S206)&gt;0),"MARINE=0 but net marine &gt;0; ","")&amp;IF(AND(N($J206)=2,N($R206)&gt;0),"MARINE=2 but net terrestrial &gt;0; ","")&amp;IF($K206="Point","Buffered point – coverage approximate; ","")))</f>
        <v/>
      </c>
    </row>
    <row r="207">
      <c r="A207" s="19" t="n"/>
      <c r="B207" s="19" t="n"/>
      <c r="C207" s="19" t="n"/>
      <c r="D207" s="19" t="n"/>
      <c r="E207" s="19" t="n"/>
      <c r="F207" s="19" t="n"/>
      <c r="G207" s="19" t="n"/>
      <c r="H207" s="19" t="n"/>
      <c r="I207" s="19" t="n"/>
      <c r="J207" s="19" t="n"/>
      <c r="K207" s="19" t="n"/>
      <c r="L207" s="20" t="n"/>
      <c r="M207" s="20" t="n"/>
      <c r="N207" s="20" t="n"/>
      <c r="O207" s="20" t="n"/>
      <c r="P207" s="19" t="n"/>
      <c r="Q207" s="19" t="n"/>
      <c r="R207" s="20" t="n"/>
      <c r="S207" s="20" t="n"/>
      <c r="T207" s="19" t="n"/>
      <c r="U207" s="19" t="n"/>
      <c r="V207" s="19" t="n"/>
      <c r="W207" s="19" t="n"/>
      <c r="X207" s="19" t="n"/>
      <c r="Y207" s="19" t="n"/>
      <c r="Z207" s="21">
        <f>IF(AND($A207="",$B207=""),"",IF(OR($E207="",$H207="",$H207="Proposed",$H207="Not Reported"),0,IF(AND($P207="Y",$Q207&lt;&gt;"Y"),0,IF(AND($K207="Point",N($L207)&lt;=0),0,IF(AND(N($L207)&lt;=0,N($N207)&lt;=0,N($R207)+N($S207)&lt;=0),0,1)))))</f>
        <v/>
      </c>
      <c r="AA207" s="21">
        <f>IF(AND($A207="",$B207=""),"",IF($E207="","Site type missing",IF($H207="","STATUS missing",IF($H207="Proposed","STATUS = Proposed",IF($H207="Not Reported","STATUS = Not Reported",IF(AND($P207="Y",$Q207&lt;&gt;"Y"),"UNESCO-MAB Biosphere Reserve",IF(AND($K207="Point",N($L207)&lt;=0),"Point without REP_AREA",IF(AND(N($L207)&lt;=0,N($N207)&lt;=0,N($R207)+N($S207)&lt;=0),"No area information",""))))))))</f>
        <v/>
      </c>
      <c r="AB207" s="22">
        <f>IF(AND($A207="",$B207=""),"",IF($K207="Point",N($L207),IF(N($N207)&gt;0,N($N207),N($L207))))</f>
        <v/>
      </c>
      <c r="AC207" s="22">
        <f>IF(AND($A207="",$B207=""),"",MIN(AB207,IF(N($J207)=0,0,IF(N($J207)=2,AB207,IF(AND($K207&lt;&gt;"Point",N($O207)&gt;0),N($O207),N($M207))))))</f>
        <v/>
      </c>
      <c r="AD207" s="22">
        <f>IF(AND($A207="",$B207=""),"",MAX(0,AB207-AC207))</f>
        <v/>
      </c>
      <c r="AE207" s="21">
        <f>IF(AND($A207="",$B207=""),"",IF(OR($R207&lt;&gt;"",$S207&lt;&gt;""),1,0))</f>
        <v/>
      </c>
      <c r="AF207" s="22">
        <f>IF(AND($A207="",$B207=""),"",IF(Z207=1,IF(AE207=1,N($R207),AD207),0))</f>
        <v/>
      </c>
      <c r="AG207" s="22">
        <f>IF(AND($A207="",$B207=""),"",IF(Z207=1,IF(AE207=1,N($S207),AC207),0))</f>
        <v/>
      </c>
      <c r="AH207" s="21">
        <f>IF(AND($A207="",$B207=""),"",IF(AND(ISNUMBER($I207),N($I207)&gt;0),$I207,0))</f>
        <v/>
      </c>
      <c r="AI207" s="23">
        <f>IF(AND(NOT(AND($A207="",$B207="")),$K207="Point",N($L207)&gt;0),SQRT(N($L207)/PI()),"")</f>
        <v/>
      </c>
      <c r="AJ207" s="21">
        <f>IF(AND($A207="",$B207=""),"",IFERROR(VLOOKUP($G207,Lists!$D$4:$E$15,2,FALSE),"Not reported"))</f>
        <v/>
      </c>
      <c r="AK207" s="21">
        <f>IF(AND($A207="",$B207=""),"",IF($X207&lt;&gt;"",$X207,IF($T207&lt;&gt;"Y","Not assessed",IF(AND(ISNUMBER($V207),Setup!$B$6-$V207&gt;Setup!$B$26),"Assessment outdated",IF(NOT(ISNUMBER($W207)),"Assessed – no score",IF($W207&gt;=Setup!$B$24,"High",IF($W207&gt;=Setup!$B$25,"Moderate","Low")))))))</f>
        <v/>
      </c>
      <c r="AL207" s="21">
        <f>IF(AND($A207="",$B207=""),"",IF(Z207=0,"",IF(AND(AE207=1,N($R207)&gt;AD207*1.01+0.001),"Net terrestrial &gt; gross; ","")&amp;IF(AND(AE207=1,N($S207)&gt;AC207*1.01+0.001),"Net marine &gt; gross; ","")&amp;IF(AE207=0,"No net area – gross used, overlaps may be double-counted; ","")&amp;IF(AH207=0,"STATUS_YR missing – imputed in time series; ","")&amp;IF(AND(ISNUMBER($I207),N($I207)&gt;Setup!$B$6),"STATUS_YR after reporting year; ","")&amp;IF(OR($G207="",$G207="Not Reported"),"GOV_TYPE not reported; ","")&amp;IF(AND(N($J207)=1,$K207="Point",N($M207)&lt;=0),"Coastal point without REP_M_AREA – land/sea split unknown; ","")&amp;IF(AND(N($J207)=0,N($S207)&gt;0),"MARINE=0 but net marine &gt;0; ","")&amp;IF(AND(N($J207)=2,N($R207)&gt;0),"MARINE=2 but net terrestrial &gt;0; ","")&amp;IF($K207="Point","Buffered point – coverage approximate; ","")))</f>
        <v/>
      </c>
    </row>
    <row r="208">
      <c r="A208" s="19" t="n"/>
      <c r="B208" s="19" t="n"/>
      <c r="C208" s="19" t="n"/>
      <c r="D208" s="19" t="n"/>
      <c r="E208" s="19" t="n"/>
      <c r="F208" s="19" t="n"/>
      <c r="G208" s="19" t="n"/>
      <c r="H208" s="19" t="n"/>
      <c r="I208" s="19" t="n"/>
      <c r="J208" s="19" t="n"/>
      <c r="K208" s="19" t="n"/>
      <c r="L208" s="20" t="n"/>
      <c r="M208" s="20" t="n"/>
      <c r="N208" s="20" t="n"/>
      <c r="O208" s="20" t="n"/>
      <c r="P208" s="19" t="n"/>
      <c r="Q208" s="19" t="n"/>
      <c r="R208" s="20" t="n"/>
      <c r="S208" s="20" t="n"/>
      <c r="T208" s="19" t="n"/>
      <c r="U208" s="19" t="n"/>
      <c r="V208" s="19" t="n"/>
      <c r="W208" s="19" t="n"/>
      <c r="X208" s="19" t="n"/>
      <c r="Y208" s="19" t="n"/>
      <c r="Z208" s="21">
        <f>IF(AND($A208="",$B208=""),"",IF(OR($E208="",$H208="",$H208="Proposed",$H208="Not Reported"),0,IF(AND($P208="Y",$Q208&lt;&gt;"Y"),0,IF(AND($K208="Point",N($L208)&lt;=0),0,IF(AND(N($L208)&lt;=0,N($N208)&lt;=0,N($R208)+N($S208)&lt;=0),0,1)))))</f>
        <v/>
      </c>
      <c r="AA208" s="21">
        <f>IF(AND($A208="",$B208=""),"",IF($E208="","Site type missing",IF($H208="","STATUS missing",IF($H208="Proposed","STATUS = Proposed",IF($H208="Not Reported","STATUS = Not Reported",IF(AND($P208="Y",$Q208&lt;&gt;"Y"),"UNESCO-MAB Biosphere Reserve",IF(AND($K208="Point",N($L208)&lt;=0),"Point without REP_AREA",IF(AND(N($L208)&lt;=0,N($N208)&lt;=0,N($R208)+N($S208)&lt;=0),"No area information",""))))))))</f>
        <v/>
      </c>
      <c r="AB208" s="22">
        <f>IF(AND($A208="",$B208=""),"",IF($K208="Point",N($L208),IF(N($N208)&gt;0,N($N208),N($L208))))</f>
        <v/>
      </c>
      <c r="AC208" s="22">
        <f>IF(AND($A208="",$B208=""),"",MIN(AB208,IF(N($J208)=0,0,IF(N($J208)=2,AB208,IF(AND($K208&lt;&gt;"Point",N($O208)&gt;0),N($O208),N($M208))))))</f>
        <v/>
      </c>
      <c r="AD208" s="22">
        <f>IF(AND($A208="",$B208=""),"",MAX(0,AB208-AC208))</f>
        <v/>
      </c>
      <c r="AE208" s="21">
        <f>IF(AND($A208="",$B208=""),"",IF(OR($R208&lt;&gt;"",$S208&lt;&gt;""),1,0))</f>
        <v/>
      </c>
      <c r="AF208" s="22">
        <f>IF(AND($A208="",$B208=""),"",IF(Z208=1,IF(AE208=1,N($R208),AD208),0))</f>
        <v/>
      </c>
      <c r="AG208" s="22">
        <f>IF(AND($A208="",$B208=""),"",IF(Z208=1,IF(AE208=1,N($S208),AC208),0))</f>
        <v/>
      </c>
      <c r="AH208" s="21">
        <f>IF(AND($A208="",$B208=""),"",IF(AND(ISNUMBER($I208),N($I208)&gt;0),$I208,0))</f>
        <v/>
      </c>
      <c r="AI208" s="23">
        <f>IF(AND(NOT(AND($A208="",$B208="")),$K208="Point",N($L208)&gt;0),SQRT(N($L208)/PI()),"")</f>
        <v/>
      </c>
      <c r="AJ208" s="21">
        <f>IF(AND($A208="",$B208=""),"",IFERROR(VLOOKUP($G208,Lists!$D$4:$E$15,2,FALSE),"Not reported"))</f>
        <v/>
      </c>
      <c r="AK208" s="21">
        <f>IF(AND($A208="",$B208=""),"",IF($X208&lt;&gt;"",$X208,IF($T208&lt;&gt;"Y","Not assessed",IF(AND(ISNUMBER($V208),Setup!$B$6-$V208&gt;Setup!$B$26),"Assessment outdated",IF(NOT(ISNUMBER($W208)),"Assessed – no score",IF($W208&gt;=Setup!$B$24,"High",IF($W208&gt;=Setup!$B$25,"Moderate","Low")))))))</f>
        <v/>
      </c>
      <c r="AL208" s="21">
        <f>IF(AND($A208="",$B208=""),"",IF(Z208=0,"",IF(AND(AE208=1,N($R208)&gt;AD208*1.01+0.001),"Net terrestrial &gt; gross; ","")&amp;IF(AND(AE208=1,N($S208)&gt;AC208*1.01+0.001),"Net marine &gt; gross; ","")&amp;IF(AE208=0,"No net area – gross used, overlaps may be double-counted; ","")&amp;IF(AH208=0,"STATUS_YR missing – imputed in time series; ","")&amp;IF(AND(ISNUMBER($I208),N($I208)&gt;Setup!$B$6),"STATUS_YR after reporting year; ","")&amp;IF(OR($G208="",$G208="Not Reported"),"GOV_TYPE not reported; ","")&amp;IF(AND(N($J208)=1,$K208="Point",N($M208)&lt;=0),"Coastal point without REP_M_AREA – land/sea split unknown; ","")&amp;IF(AND(N($J208)=0,N($S208)&gt;0),"MARINE=0 but net marine &gt;0; ","")&amp;IF(AND(N($J208)=2,N($R208)&gt;0),"MARINE=2 but net terrestrial &gt;0; ","")&amp;IF($K208="Point","Buffered point – coverage approximate; ","")))</f>
        <v/>
      </c>
    </row>
    <row r="209">
      <c r="A209" s="19" t="n"/>
      <c r="B209" s="19" t="n"/>
      <c r="C209" s="19" t="n"/>
      <c r="D209" s="19" t="n"/>
      <c r="E209" s="19" t="n"/>
      <c r="F209" s="19" t="n"/>
      <c r="G209" s="19" t="n"/>
      <c r="H209" s="19" t="n"/>
      <c r="I209" s="19" t="n"/>
      <c r="J209" s="19" t="n"/>
      <c r="K209" s="19" t="n"/>
      <c r="L209" s="20" t="n"/>
      <c r="M209" s="20" t="n"/>
      <c r="N209" s="20" t="n"/>
      <c r="O209" s="20" t="n"/>
      <c r="P209" s="19" t="n"/>
      <c r="Q209" s="19" t="n"/>
      <c r="R209" s="20" t="n"/>
      <c r="S209" s="20" t="n"/>
      <c r="T209" s="19" t="n"/>
      <c r="U209" s="19" t="n"/>
      <c r="V209" s="19" t="n"/>
      <c r="W209" s="19" t="n"/>
      <c r="X209" s="19" t="n"/>
      <c r="Y209" s="19" t="n"/>
      <c r="Z209" s="21">
        <f>IF(AND($A209="",$B209=""),"",IF(OR($E209="",$H209="",$H209="Proposed",$H209="Not Reported"),0,IF(AND($P209="Y",$Q209&lt;&gt;"Y"),0,IF(AND($K209="Point",N($L209)&lt;=0),0,IF(AND(N($L209)&lt;=0,N($N209)&lt;=0,N($R209)+N($S209)&lt;=0),0,1)))))</f>
        <v/>
      </c>
      <c r="AA209" s="21">
        <f>IF(AND($A209="",$B209=""),"",IF($E209="","Site type missing",IF($H209="","STATUS missing",IF($H209="Proposed","STATUS = Proposed",IF($H209="Not Reported","STATUS = Not Reported",IF(AND($P209="Y",$Q209&lt;&gt;"Y"),"UNESCO-MAB Biosphere Reserve",IF(AND($K209="Point",N($L209)&lt;=0),"Point without REP_AREA",IF(AND(N($L209)&lt;=0,N($N209)&lt;=0,N($R209)+N($S209)&lt;=0),"No area information",""))))))))</f>
        <v/>
      </c>
      <c r="AB209" s="22">
        <f>IF(AND($A209="",$B209=""),"",IF($K209="Point",N($L209),IF(N($N209)&gt;0,N($N209),N($L209))))</f>
        <v/>
      </c>
      <c r="AC209" s="22">
        <f>IF(AND($A209="",$B209=""),"",MIN(AB209,IF(N($J209)=0,0,IF(N($J209)=2,AB209,IF(AND($K209&lt;&gt;"Point",N($O209)&gt;0),N($O209),N($M209))))))</f>
        <v/>
      </c>
      <c r="AD209" s="22">
        <f>IF(AND($A209="",$B209=""),"",MAX(0,AB209-AC209))</f>
        <v/>
      </c>
      <c r="AE209" s="21">
        <f>IF(AND($A209="",$B209=""),"",IF(OR($R209&lt;&gt;"",$S209&lt;&gt;""),1,0))</f>
        <v/>
      </c>
      <c r="AF209" s="22">
        <f>IF(AND($A209="",$B209=""),"",IF(Z209=1,IF(AE209=1,N($R209),AD209),0))</f>
        <v/>
      </c>
      <c r="AG209" s="22">
        <f>IF(AND($A209="",$B209=""),"",IF(Z209=1,IF(AE209=1,N($S209),AC209),0))</f>
        <v/>
      </c>
      <c r="AH209" s="21">
        <f>IF(AND($A209="",$B209=""),"",IF(AND(ISNUMBER($I209),N($I209)&gt;0),$I209,0))</f>
        <v/>
      </c>
      <c r="AI209" s="23">
        <f>IF(AND(NOT(AND($A209="",$B209="")),$K209="Point",N($L209)&gt;0),SQRT(N($L209)/PI()),"")</f>
        <v/>
      </c>
      <c r="AJ209" s="21">
        <f>IF(AND($A209="",$B209=""),"",IFERROR(VLOOKUP($G209,Lists!$D$4:$E$15,2,FALSE),"Not reported"))</f>
        <v/>
      </c>
      <c r="AK209" s="21">
        <f>IF(AND($A209="",$B209=""),"",IF($X209&lt;&gt;"",$X209,IF($T209&lt;&gt;"Y","Not assessed",IF(AND(ISNUMBER($V209),Setup!$B$6-$V209&gt;Setup!$B$26),"Assessment outdated",IF(NOT(ISNUMBER($W209)),"Assessed – no score",IF($W209&gt;=Setup!$B$24,"High",IF($W209&gt;=Setup!$B$25,"Moderate","Low")))))))</f>
        <v/>
      </c>
      <c r="AL209" s="21">
        <f>IF(AND($A209="",$B209=""),"",IF(Z209=0,"",IF(AND(AE209=1,N($R209)&gt;AD209*1.01+0.001),"Net terrestrial &gt; gross; ","")&amp;IF(AND(AE209=1,N($S209)&gt;AC209*1.01+0.001),"Net marine &gt; gross; ","")&amp;IF(AE209=0,"No net area – gross used, overlaps may be double-counted; ","")&amp;IF(AH209=0,"STATUS_YR missing – imputed in time series; ","")&amp;IF(AND(ISNUMBER($I209),N($I209)&gt;Setup!$B$6),"STATUS_YR after reporting year; ","")&amp;IF(OR($G209="",$G209="Not Reported"),"GOV_TYPE not reported; ","")&amp;IF(AND(N($J209)=1,$K209="Point",N($M209)&lt;=0),"Coastal point without REP_M_AREA – land/sea split unknown; ","")&amp;IF(AND(N($J209)=0,N($S209)&gt;0),"MARINE=0 but net marine &gt;0; ","")&amp;IF(AND(N($J209)=2,N($R209)&gt;0),"MARINE=2 but net terrestrial &gt;0; ","")&amp;IF($K209="Point","Buffered point – coverage approximate; ","")))</f>
        <v/>
      </c>
    </row>
    <row r="210">
      <c r="A210" s="19" t="n"/>
      <c r="B210" s="19" t="n"/>
      <c r="C210" s="19" t="n"/>
      <c r="D210" s="19" t="n"/>
      <c r="E210" s="19" t="n"/>
      <c r="F210" s="19" t="n"/>
      <c r="G210" s="19" t="n"/>
      <c r="H210" s="19" t="n"/>
      <c r="I210" s="19" t="n"/>
      <c r="J210" s="19" t="n"/>
      <c r="K210" s="19" t="n"/>
      <c r="L210" s="20" t="n"/>
      <c r="M210" s="20" t="n"/>
      <c r="N210" s="20" t="n"/>
      <c r="O210" s="20" t="n"/>
      <c r="P210" s="19" t="n"/>
      <c r="Q210" s="19" t="n"/>
      <c r="R210" s="20" t="n"/>
      <c r="S210" s="20" t="n"/>
      <c r="T210" s="19" t="n"/>
      <c r="U210" s="19" t="n"/>
      <c r="V210" s="19" t="n"/>
      <c r="W210" s="19" t="n"/>
      <c r="X210" s="19" t="n"/>
      <c r="Y210" s="19" t="n"/>
      <c r="Z210" s="21">
        <f>IF(AND($A210="",$B210=""),"",IF(OR($E210="",$H210="",$H210="Proposed",$H210="Not Reported"),0,IF(AND($P210="Y",$Q210&lt;&gt;"Y"),0,IF(AND($K210="Point",N($L210)&lt;=0),0,IF(AND(N($L210)&lt;=0,N($N210)&lt;=0,N($R210)+N($S210)&lt;=0),0,1)))))</f>
        <v/>
      </c>
      <c r="AA210" s="21">
        <f>IF(AND($A210="",$B210=""),"",IF($E210="","Site type missing",IF($H210="","STATUS missing",IF($H210="Proposed","STATUS = Proposed",IF($H210="Not Reported","STATUS = Not Reported",IF(AND($P210="Y",$Q210&lt;&gt;"Y"),"UNESCO-MAB Biosphere Reserve",IF(AND($K210="Point",N($L210)&lt;=0),"Point without REP_AREA",IF(AND(N($L210)&lt;=0,N($N210)&lt;=0,N($R210)+N($S210)&lt;=0),"No area information",""))))))))</f>
        <v/>
      </c>
      <c r="AB210" s="22">
        <f>IF(AND($A210="",$B210=""),"",IF($K210="Point",N($L210),IF(N($N210)&gt;0,N($N210),N($L210))))</f>
        <v/>
      </c>
      <c r="AC210" s="22">
        <f>IF(AND($A210="",$B210=""),"",MIN(AB210,IF(N($J210)=0,0,IF(N($J210)=2,AB210,IF(AND($K210&lt;&gt;"Point",N($O210)&gt;0),N($O210),N($M210))))))</f>
        <v/>
      </c>
      <c r="AD210" s="22">
        <f>IF(AND($A210="",$B210=""),"",MAX(0,AB210-AC210))</f>
        <v/>
      </c>
      <c r="AE210" s="21">
        <f>IF(AND($A210="",$B210=""),"",IF(OR($R210&lt;&gt;"",$S210&lt;&gt;""),1,0))</f>
        <v/>
      </c>
      <c r="AF210" s="22">
        <f>IF(AND($A210="",$B210=""),"",IF(Z210=1,IF(AE210=1,N($R210),AD210),0))</f>
        <v/>
      </c>
      <c r="AG210" s="22">
        <f>IF(AND($A210="",$B210=""),"",IF(Z210=1,IF(AE210=1,N($S210),AC210),0))</f>
        <v/>
      </c>
      <c r="AH210" s="21">
        <f>IF(AND($A210="",$B210=""),"",IF(AND(ISNUMBER($I210),N($I210)&gt;0),$I210,0))</f>
        <v/>
      </c>
      <c r="AI210" s="23">
        <f>IF(AND(NOT(AND($A210="",$B210="")),$K210="Point",N($L210)&gt;0),SQRT(N($L210)/PI()),"")</f>
        <v/>
      </c>
      <c r="AJ210" s="21">
        <f>IF(AND($A210="",$B210=""),"",IFERROR(VLOOKUP($G210,Lists!$D$4:$E$15,2,FALSE),"Not reported"))</f>
        <v/>
      </c>
      <c r="AK210" s="21">
        <f>IF(AND($A210="",$B210=""),"",IF($X210&lt;&gt;"",$X210,IF($T210&lt;&gt;"Y","Not assessed",IF(AND(ISNUMBER($V210),Setup!$B$6-$V210&gt;Setup!$B$26),"Assessment outdated",IF(NOT(ISNUMBER($W210)),"Assessed – no score",IF($W210&gt;=Setup!$B$24,"High",IF($W210&gt;=Setup!$B$25,"Moderate","Low")))))))</f>
        <v/>
      </c>
      <c r="AL210" s="21">
        <f>IF(AND($A210="",$B210=""),"",IF(Z210=0,"",IF(AND(AE210=1,N($R210)&gt;AD210*1.01+0.001),"Net terrestrial &gt; gross; ","")&amp;IF(AND(AE210=1,N($S210)&gt;AC210*1.01+0.001),"Net marine &gt; gross; ","")&amp;IF(AE210=0,"No net area – gross used, overlaps may be double-counted; ","")&amp;IF(AH210=0,"STATUS_YR missing – imputed in time series; ","")&amp;IF(AND(ISNUMBER($I210),N($I210)&gt;Setup!$B$6),"STATUS_YR after reporting year; ","")&amp;IF(OR($G210="",$G210="Not Reported"),"GOV_TYPE not reported; ","")&amp;IF(AND(N($J210)=1,$K210="Point",N($M210)&lt;=0),"Coastal point without REP_M_AREA – land/sea split unknown; ","")&amp;IF(AND(N($J210)=0,N($S210)&gt;0),"MARINE=0 but net marine &gt;0; ","")&amp;IF(AND(N($J210)=2,N($R210)&gt;0),"MARINE=2 but net terrestrial &gt;0; ","")&amp;IF($K210="Point","Buffered point – coverage approximate; ","")))</f>
        <v/>
      </c>
    </row>
    <row r="211">
      <c r="A211" s="19" t="n"/>
      <c r="B211" s="19" t="n"/>
      <c r="C211" s="19" t="n"/>
      <c r="D211" s="19" t="n"/>
      <c r="E211" s="19" t="n"/>
      <c r="F211" s="19" t="n"/>
      <c r="G211" s="19" t="n"/>
      <c r="H211" s="19" t="n"/>
      <c r="I211" s="19" t="n"/>
      <c r="J211" s="19" t="n"/>
      <c r="K211" s="19" t="n"/>
      <c r="L211" s="20" t="n"/>
      <c r="M211" s="20" t="n"/>
      <c r="N211" s="20" t="n"/>
      <c r="O211" s="20" t="n"/>
      <c r="P211" s="19" t="n"/>
      <c r="Q211" s="19" t="n"/>
      <c r="R211" s="20" t="n"/>
      <c r="S211" s="20" t="n"/>
      <c r="T211" s="19" t="n"/>
      <c r="U211" s="19" t="n"/>
      <c r="V211" s="19" t="n"/>
      <c r="W211" s="19" t="n"/>
      <c r="X211" s="19" t="n"/>
      <c r="Y211" s="19" t="n"/>
      <c r="Z211" s="21">
        <f>IF(AND($A211="",$B211=""),"",IF(OR($E211="",$H211="",$H211="Proposed",$H211="Not Reported"),0,IF(AND($P211="Y",$Q211&lt;&gt;"Y"),0,IF(AND($K211="Point",N($L211)&lt;=0),0,IF(AND(N($L211)&lt;=0,N($N211)&lt;=0,N($R211)+N($S211)&lt;=0),0,1)))))</f>
        <v/>
      </c>
      <c r="AA211" s="21">
        <f>IF(AND($A211="",$B211=""),"",IF($E211="","Site type missing",IF($H211="","STATUS missing",IF($H211="Proposed","STATUS = Proposed",IF($H211="Not Reported","STATUS = Not Reported",IF(AND($P211="Y",$Q211&lt;&gt;"Y"),"UNESCO-MAB Biosphere Reserve",IF(AND($K211="Point",N($L211)&lt;=0),"Point without REP_AREA",IF(AND(N($L211)&lt;=0,N($N211)&lt;=0,N($R211)+N($S211)&lt;=0),"No area information",""))))))))</f>
        <v/>
      </c>
      <c r="AB211" s="22">
        <f>IF(AND($A211="",$B211=""),"",IF($K211="Point",N($L211),IF(N($N211)&gt;0,N($N211),N($L211))))</f>
        <v/>
      </c>
      <c r="AC211" s="22">
        <f>IF(AND($A211="",$B211=""),"",MIN(AB211,IF(N($J211)=0,0,IF(N($J211)=2,AB211,IF(AND($K211&lt;&gt;"Point",N($O211)&gt;0),N($O211),N($M211))))))</f>
        <v/>
      </c>
      <c r="AD211" s="22">
        <f>IF(AND($A211="",$B211=""),"",MAX(0,AB211-AC211))</f>
        <v/>
      </c>
      <c r="AE211" s="21">
        <f>IF(AND($A211="",$B211=""),"",IF(OR($R211&lt;&gt;"",$S211&lt;&gt;""),1,0))</f>
        <v/>
      </c>
      <c r="AF211" s="22">
        <f>IF(AND($A211="",$B211=""),"",IF(Z211=1,IF(AE211=1,N($R211),AD211),0))</f>
        <v/>
      </c>
      <c r="AG211" s="22">
        <f>IF(AND($A211="",$B211=""),"",IF(Z211=1,IF(AE211=1,N($S211),AC211),0))</f>
        <v/>
      </c>
      <c r="AH211" s="21">
        <f>IF(AND($A211="",$B211=""),"",IF(AND(ISNUMBER($I211),N($I211)&gt;0),$I211,0))</f>
        <v/>
      </c>
      <c r="AI211" s="23">
        <f>IF(AND(NOT(AND($A211="",$B211="")),$K211="Point",N($L211)&gt;0),SQRT(N($L211)/PI()),"")</f>
        <v/>
      </c>
      <c r="AJ211" s="21">
        <f>IF(AND($A211="",$B211=""),"",IFERROR(VLOOKUP($G211,Lists!$D$4:$E$15,2,FALSE),"Not reported"))</f>
        <v/>
      </c>
      <c r="AK211" s="21">
        <f>IF(AND($A211="",$B211=""),"",IF($X211&lt;&gt;"",$X211,IF($T211&lt;&gt;"Y","Not assessed",IF(AND(ISNUMBER($V211),Setup!$B$6-$V211&gt;Setup!$B$26),"Assessment outdated",IF(NOT(ISNUMBER($W211)),"Assessed – no score",IF($W211&gt;=Setup!$B$24,"High",IF($W211&gt;=Setup!$B$25,"Moderate","Low")))))))</f>
        <v/>
      </c>
      <c r="AL211" s="21">
        <f>IF(AND($A211="",$B211=""),"",IF(Z211=0,"",IF(AND(AE211=1,N($R211)&gt;AD211*1.01+0.001),"Net terrestrial &gt; gross; ","")&amp;IF(AND(AE211=1,N($S211)&gt;AC211*1.01+0.001),"Net marine &gt; gross; ","")&amp;IF(AE211=0,"No net area – gross used, overlaps may be double-counted; ","")&amp;IF(AH211=0,"STATUS_YR missing – imputed in time series; ","")&amp;IF(AND(ISNUMBER($I211),N($I211)&gt;Setup!$B$6),"STATUS_YR after reporting year; ","")&amp;IF(OR($G211="",$G211="Not Reported"),"GOV_TYPE not reported; ","")&amp;IF(AND(N($J211)=1,$K211="Point",N($M211)&lt;=0),"Coastal point without REP_M_AREA – land/sea split unknown; ","")&amp;IF(AND(N($J211)=0,N($S211)&gt;0),"MARINE=0 but net marine &gt;0; ","")&amp;IF(AND(N($J211)=2,N($R211)&gt;0),"MARINE=2 but net terrestrial &gt;0; ","")&amp;IF($K211="Point","Buffered point – coverage approximate; ","")))</f>
        <v/>
      </c>
    </row>
    <row r="212">
      <c r="A212" s="19" t="n"/>
      <c r="B212" s="19" t="n"/>
      <c r="C212" s="19" t="n"/>
      <c r="D212" s="19" t="n"/>
      <c r="E212" s="19" t="n"/>
      <c r="F212" s="19" t="n"/>
      <c r="G212" s="19" t="n"/>
      <c r="H212" s="19" t="n"/>
      <c r="I212" s="19" t="n"/>
      <c r="J212" s="19" t="n"/>
      <c r="K212" s="19" t="n"/>
      <c r="L212" s="20" t="n"/>
      <c r="M212" s="20" t="n"/>
      <c r="N212" s="20" t="n"/>
      <c r="O212" s="20" t="n"/>
      <c r="P212" s="19" t="n"/>
      <c r="Q212" s="19" t="n"/>
      <c r="R212" s="20" t="n"/>
      <c r="S212" s="20" t="n"/>
      <c r="T212" s="19" t="n"/>
      <c r="U212" s="19" t="n"/>
      <c r="V212" s="19" t="n"/>
      <c r="W212" s="19" t="n"/>
      <c r="X212" s="19" t="n"/>
      <c r="Y212" s="19" t="n"/>
      <c r="Z212" s="21">
        <f>IF(AND($A212="",$B212=""),"",IF(OR($E212="",$H212="",$H212="Proposed",$H212="Not Reported"),0,IF(AND($P212="Y",$Q212&lt;&gt;"Y"),0,IF(AND($K212="Point",N($L212)&lt;=0),0,IF(AND(N($L212)&lt;=0,N($N212)&lt;=0,N($R212)+N($S212)&lt;=0),0,1)))))</f>
        <v/>
      </c>
      <c r="AA212" s="21">
        <f>IF(AND($A212="",$B212=""),"",IF($E212="","Site type missing",IF($H212="","STATUS missing",IF($H212="Proposed","STATUS = Proposed",IF($H212="Not Reported","STATUS = Not Reported",IF(AND($P212="Y",$Q212&lt;&gt;"Y"),"UNESCO-MAB Biosphere Reserve",IF(AND($K212="Point",N($L212)&lt;=0),"Point without REP_AREA",IF(AND(N($L212)&lt;=0,N($N212)&lt;=0,N($R212)+N($S212)&lt;=0),"No area information",""))))))))</f>
        <v/>
      </c>
      <c r="AB212" s="22">
        <f>IF(AND($A212="",$B212=""),"",IF($K212="Point",N($L212),IF(N($N212)&gt;0,N($N212),N($L212))))</f>
        <v/>
      </c>
      <c r="AC212" s="22">
        <f>IF(AND($A212="",$B212=""),"",MIN(AB212,IF(N($J212)=0,0,IF(N($J212)=2,AB212,IF(AND($K212&lt;&gt;"Point",N($O212)&gt;0),N($O212),N($M212))))))</f>
        <v/>
      </c>
      <c r="AD212" s="22">
        <f>IF(AND($A212="",$B212=""),"",MAX(0,AB212-AC212))</f>
        <v/>
      </c>
      <c r="AE212" s="21">
        <f>IF(AND($A212="",$B212=""),"",IF(OR($R212&lt;&gt;"",$S212&lt;&gt;""),1,0))</f>
        <v/>
      </c>
      <c r="AF212" s="22">
        <f>IF(AND($A212="",$B212=""),"",IF(Z212=1,IF(AE212=1,N($R212),AD212),0))</f>
        <v/>
      </c>
      <c r="AG212" s="22">
        <f>IF(AND($A212="",$B212=""),"",IF(Z212=1,IF(AE212=1,N($S212),AC212),0))</f>
        <v/>
      </c>
      <c r="AH212" s="21">
        <f>IF(AND($A212="",$B212=""),"",IF(AND(ISNUMBER($I212),N($I212)&gt;0),$I212,0))</f>
        <v/>
      </c>
      <c r="AI212" s="23">
        <f>IF(AND(NOT(AND($A212="",$B212="")),$K212="Point",N($L212)&gt;0),SQRT(N($L212)/PI()),"")</f>
        <v/>
      </c>
      <c r="AJ212" s="21">
        <f>IF(AND($A212="",$B212=""),"",IFERROR(VLOOKUP($G212,Lists!$D$4:$E$15,2,FALSE),"Not reported"))</f>
        <v/>
      </c>
      <c r="AK212" s="21">
        <f>IF(AND($A212="",$B212=""),"",IF($X212&lt;&gt;"",$X212,IF($T212&lt;&gt;"Y","Not assessed",IF(AND(ISNUMBER($V212),Setup!$B$6-$V212&gt;Setup!$B$26),"Assessment outdated",IF(NOT(ISNUMBER($W212)),"Assessed – no score",IF($W212&gt;=Setup!$B$24,"High",IF($W212&gt;=Setup!$B$25,"Moderate","Low")))))))</f>
        <v/>
      </c>
      <c r="AL212" s="21">
        <f>IF(AND($A212="",$B212=""),"",IF(Z212=0,"",IF(AND(AE212=1,N($R212)&gt;AD212*1.01+0.001),"Net terrestrial &gt; gross; ","")&amp;IF(AND(AE212=1,N($S212)&gt;AC212*1.01+0.001),"Net marine &gt; gross; ","")&amp;IF(AE212=0,"No net area – gross used, overlaps may be double-counted; ","")&amp;IF(AH212=0,"STATUS_YR missing – imputed in time series; ","")&amp;IF(AND(ISNUMBER($I212),N($I212)&gt;Setup!$B$6),"STATUS_YR after reporting year; ","")&amp;IF(OR($G212="",$G212="Not Reported"),"GOV_TYPE not reported; ","")&amp;IF(AND(N($J212)=1,$K212="Point",N($M212)&lt;=0),"Coastal point without REP_M_AREA – land/sea split unknown; ","")&amp;IF(AND(N($J212)=0,N($S212)&gt;0),"MARINE=0 but net marine &gt;0; ","")&amp;IF(AND(N($J212)=2,N($R212)&gt;0),"MARINE=2 but net terrestrial &gt;0; ","")&amp;IF($K212="Point","Buffered point – coverage approximate; ","")))</f>
        <v/>
      </c>
    </row>
    <row r="213">
      <c r="A213" s="19" t="n"/>
      <c r="B213" s="19" t="n"/>
      <c r="C213" s="19" t="n"/>
      <c r="D213" s="19" t="n"/>
      <c r="E213" s="19" t="n"/>
      <c r="F213" s="19" t="n"/>
      <c r="G213" s="19" t="n"/>
      <c r="H213" s="19" t="n"/>
      <c r="I213" s="19" t="n"/>
      <c r="J213" s="19" t="n"/>
      <c r="K213" s="19" t="n"/>
      <c r="L213" s="20" t="n"/>
      <c r="M213" s="20" t="n"/>
      <c r="N213" s="20" t="n"/>
      <c r="O213" s="20" t="n"/>
      <c r="P213" s="19" t="n"/>
      <c r="Q213" s="19" t="n"/>
      <c r="R213" s="20" t="n"/>
      <c r="S213" s="20" t="n"/>
      <c r="T213" s="19" t="n"/>
      <c r="U213" s="19" t="n"/>
      <c r="V213" s="19" t="n"/>
      <c r="W213" s="19" t="n"/>
      <c r="X213" s="19" t="n"/>
      <c r="Y213" s="19" t="n"/>
      <c r="Z213" s="21">
        <f>IF(AND($A213="",$B213=""),"",IF(OR($E213="",$H213="",$H213="Proposed",$H213="Not Reported"),0,IF(AND($P213="Y",$Q213&lt;&gt;"Y"),0,IF(AND($K213="Point",N($L213)&lt;=0),0,IF(AND(N($L213)&lt;=0,N($N213)&lt;=0,N($R213)+N($S213)&lt;=0),0,1)))))</f>
        <v/>
      </c>
      <c r="AA213" s="21">
        <f>IF(AND($A213="",$B213=""),"",IF($E213="","Site type missing",IF($H213="","STATUS missing",IF($H213="Proposed","STATUS = Proposed",IF($H213="Not Reported","STATUS = Not Reported",IF(AND($P213="Y",$Q213&lt;&gt;"Y"),"UNESCO-MAB Biosphere Reserve",IF(AND($K213="Point",N($L213)&lt;=0),"Point without REP_AREA",IF(AND(N($L213)&lt;=0,N($N213)&lt;=0,N($R213)+N($S213)&lt;=0),"No area information",""))))))))</f>
        <v/>
      </c>
      <c r="AB213" s="22">
        <f>IF(AND($A213="",$B213=""),"",IF($K213="Point",N($L213),IF(N($N213)&gt;0,N($N213),N($L213))))</f>
        <v/>
      </c>
      <c r="AC213" s="22">
        <f>IF(AND($A213="",$B213=""),"",MIN(AB213,IF(N($J213)=0,0,IF(N($J213)=2,AB213,IF(AND($K213&lt;&gt;"Point",N($O213)&gt;0),N($O213),N($M213))))))</f>
        <v/>
      </c>
      <c r="AD213" s="22">
        <f>IF(AND($A213="",$B213=""),"",MAX(0,AB213-AC213))</f>
        <v/>
      </c>
      <c r="AE213" s="21">
        <f>IF(AND($A213="",$B213=""),"",IF(OR($R213&lt;&gt;"",$S213&lt;&gt;""),1,0))</f>
        <v/>
      </c>
      <c r="AF213" s="22">
        <f>IF(AND($A213="",$B213=""),"",IF(Z213=1,IF(AE213=1,N($R213),AD213),0))</f>
        <v/>
      </c>
      <c r="AG213" s="22">
        <f>IF(AND($A213="",$B213=""),"",IF(Z213=1,IF(AE213=1,N($S213),AC213),0))</f>
        <v/>
      </c>
      <c r="AH213" s="21">
        <f>IF(AND($A213="",$B213=""),"",IF(AND(ISNUMBER($I213),N($I213)&gt;0),$I213,0))</f>
        <v/>
      </c>
      <c r="AI213" s="23">
        <f>IF(AND(NOT(AND($A213="",$B213="")),$K213="Point",N($L213)&gt;0),SQRT(N($L213)/PI()),"")</f>
        <v/>
      </c>
      <c r="AJ213" s="21">
        <f>IF(AND($A213="",$B213=""),"",IFERROR(VLOOKUP($G213,Lists!$D$4:$E$15,2,FALSE),"Not reported"))</f>
        <v/>
      </c>
      <c r="AK213" s="21">
        <f>IF(AND($A213="",$B213=""),"",IF($X213&lt;&gt;"",$X213,IF($T213&lt;&gt;"Y","Not assessed",IF(AND(ISNUMBER($V213),Setup!$B$6-$V213&gt;Setup!$B$26),"Assessment outdated",IF(NOT(ISNUMBER($W213)),"Assessed – no score",IF($W213&gt;=Setup!$B$24,"High",IF($W213&gt;=Setup!$B$25,"Moderate","Low")))))))</f>
        <v/>
      </c>
      <c r="AL213" s="21">
        <f>IF(AND($A213="",$B213=""),"",IF(Z213=0,"",IF(AND(AE213=1,N($R213)&gt;AD213*1.01+0.001),"Net terrestrial &gt; gross; ","")&amp;IF(AND(AE213=1,N($S213)&gt;AC213*1.01+0.001),"Net marine &gt; gross; ","")&amp;IF(AE213=0,"No net area – gross used, overlaps may be double-counted; ","")&amp;IF(AH213=0,"STATUS_YR missing – imputed in time series; ","")&amp;IF(AND(ISNUMBER($I213),N($I213)&gt;Setup!$B$6),"STATUS_YR after reporting year; ","")&amp;IF(OR($G213="",$G213="Not Reported"),"GOV_TYPE not reported; ","")&amp;IF(AND(N($J213)=1,$K213="Point",N($M213)&lt;=0),"Coastal point without REP_M_AREA – land/sea split unknown; ","")&amp;IF(AND(N($J213)=0,N($S213)&gt;0),"MARINE=0 but net marine &gt;0; ","")&amp;IF(AND(N($J213)=2,N($R213)&gt;0),"MARINE=2 but net terrestrial &gt;0; ","")&amp;IF($K213="Point","Buffered point – coverage approximate; ","")))</f>
        <v/>
      </c>
    </row>
    <row r="214">
      <c r="A214" s="19" t="n"/>
      <c r="B214" s="19" t="n"/>
      <c r="C214" s="19" t="n"/>
      <c r="D214" s="19" t="n"/>
      <c r="E214" s="19" t="n"/>
      <c r="F214" s="19" t="n"/>
      <c r="G214" s="19" t="n"/>
      <c r="H214" s="19" t="n"/>
      <c r="I214" s="19" t="n"/>
      <c r="J214" s="19" t="n"/>
      <c r="K214" s="19" t="n"/>
      <c r="L214" s="20" t="n"/>
      <c r="M214" s="20" t="n"/>
      <c r="N214" s="20" t="n"/>
      <c r="O214" s="20" t="n"/>
      <c r="P214" s="19" t="n"/>
      <c r="Q214" s="19" t="n"/>
      <c r="R214" s="20" t="n"/>
      <c r="S214" s="20" t="n"/>
      <c r="T214" s="19" t="n"/>
      <c r="U214" s="19" t="n"/>
      <c r="V214" s="19" t="n"/>
      <c r="W214" s="19" t="n"/>
      <c r="X214" s="19" t="n"/>
      <c r="Y214" s="19" t="n"/>
      <c r="Z214" s="21">
        <f>IF(AND($A214="",$B214=""),"",IF(OR($E214="",$H214="",$H214="Proposed",$H214="Not Reported"),0,IF(AND($P214="Y",$Q214&lt;&gt;"Y"),0,IF(AND($K214="Point",N($L214)&lt;=0),0,IF(AND(N($L214)&lt;=0,N($N214)&lt;=0,N($R214)+N($S214)&lt;=0),0,1)))))</f>
        <v/>
      </c>
      <c r="AA214" s="21">
        <f>IF(AND($A214="",$B214=""),"",IF($E214="","Site type missing",IF($H214="","STATUS missing",IF($H214="Proposed","STATUS = Proposed",IF($H214="Not Reported","STATUS = Not Reported",IF(AND($P214="Y",$Q214&lt;&gt;"Y"),"UNESCO-MAB Biosphere Reserve",IF(AND($K214="Point",N($L214)&lt;=0),"Point without REP_AREA",IF(AND(N($L214)&lt;=0,N($N214)&lt;=0,N($R214)+N($S214)&lt;=0),"No area information",""))))))))</f>
        <v/>
      </c>
      <c r="AB214" s="22">
        <f>IF(AND($A214="",$B214=""),"",IF($K214="Point",N($L214),IF(N($N214)&gt;0,N($N214),N($L214))))</f>
        <v/>
      </c>
      <c r="AC214" s="22">
        <f>IF(AND($A214="",$B214=""),"",MIN(AB214,IF(N($J214)=0,0,IF(N($J214)=2,AB214,IF(AND($K214&lt;&gt;"Point",N($O214)&gt;0),N($O214),N($M214))))))</f>
        <v/>
      </c>
      <c r="AD214" s="22">
        <f>IF(AND($A214="",$B214=""),"",MAX(0,AB214-AC214))</f>
        <v/>
      </c>
      <c r="AE214" s="21">
        <f>IF(AND($A214="",$B214=""),"",IF(OR($R214&lt;&gt;"",$S214&lt;&gt;""),1,0))</f>
        <v/>
      </c>
      <c r="AF214" s="22">
        <f>IF(AND($A214="",$B214=""),"",IF(Z214=1,IF(AE214=1,N($R214),AD214),0))</f>
        <v/>
      </c>
      <c r="AG214" s="22">
        <f>IF(AND($A214="",$B214=""),"",IF(Z214=1,IF(AE214=1,N($S214),AC214),0))</f>
        <v/>
      </c>
      <c r="AH214" s="21">
        <f>IF(AND($A214="",$B214=""),"",IF(AND(ISNUMBER($I214),N($I214)&gt;0),$I214,0))</f>
        <v/>
      </c>
      <c r="AI214" s="23">
        <f>IF(AND(NOT(AND($A214="",$B214="")),$K214="Point",N($L214)&gt;0),SQRT(N($L214)/PI()),"")</f>
        <v/>
      </c>
      <c r="AJ214" s="21">
        <f>IF(AND($A214="",$B214=""),"",IFERROR(VLOOKUP($G214,Lists!$D$4:$E$15,2,FALSE),"Not reported"))</f>
        <v/>
      </c>
      <c r="AK214" s="21">
        <f>IF(AND($A214="",$B214=""),"",IF($X214&lt;&gt;"",$X214,IF($T214&lt;&gt;"Y","Not assessed",IF(AND(ISNUMBER($V214),Setup!$B$6-$V214&gt;Setup!$B$26),"Assessment outdated",IF(NOT(ISNUMBER($W214)),"Assessed – no score",IF($W214&gt;=Setup!$B$24,"High",IF($W214&gt;=Setup!$B$25,"Moderate","Low")))))))</f>
        <v/>
      </c>
      <c r="AL214" s="21">
        <f>IF(AND($A214="",$B214=""),"",IF(Z214=0,"",IF(AND(AE214=1,N($R214)&gt;AD214*1.01+0.001),"Net terrestrial &gt; gross; ","")&amp;IF(AND(AE214=1,N($S214)&gt;AC214*1.01+0.001),"Net marine &gt; gross; ","")&amp;IF(AE214=0,"No net area – gross used, overlaps may be double-counted; ","")&amp;IF(AH214=0,"STATUS_YR missing – imputed in time series; ","")&amp;IF(AND(ISNUMBER($I214),N($I214)&gt;Setup!$B$6),"STATUS_YR after reporting year; ","")&amp;IF(OR($G214="",$G214="Not Reported"),"GOV_TYPE not reported; ","")&amp;IF(AND(N($J214)=1,$K214="Point",N($M214)&lt;=0),"Coastal point without REP_M_AREA – land/sea split unknown; ","")&amp;IF(AND(N($J214)=0,N($S214)&gt;0),"MARINE=0 but net marine &gt;0; ","")&amp;IF(AND(N($J214)=2,N($R214)&gt;0),"MARINE=2 but net terrestrial &gt;0; ","")&amp;IF($K214="Point","Buffered point – coverage approximate; ","")))</f>
        <v/>
      </c>
    </row>
    <row r="215">
      <c r="A215" s="19" t="n"/>
      <c r="B215" s="19" t="n"/>
      <c r="C215" s="19" t="n"/>
      <c r="D215" s="19" t="n"/>
      <c r="E215" s="19" t="n"/>
      <c r="F215" s="19" t="n"/>
      <c r="G215" s="19" t="n"/>
      <c r="H215" s="19" t="n"/>
      <c r="I215" s="19" t="n"/>
      <c r="J215" s="19" t="n"/>
      <c r="K215" s="19" t="n"/>
      <c r="L215" s="20" t="n"/>
      <c r="M215" s="20" t="n"/>
      <c r="N215" s="20" t="n"/>
      <c r="O215" s="20" t="n"/>
      <c r="P215" s="19" t="n"/>
      <c r="Q215" s="19" t="n"/>
      <c r="R215" s="20" t="n"/>
      <c r="S215" s="20" t="n"/>
      <c r="T215" s="19" t="n"/>
      <c r="U215" s="19" t="n"/>
      <c r="V215" s="19" t="n"/>
      <c r="W215" s="19" t="n"/>
      <c r="X215" s="19" t="n"/>
      <c r="Y215" s="19" t="n"/>
      <c r="Z215" s="21">
        <f>IF(AND($A215="",$B215=""),"",IF(OR($E215="",$H215="",$H215="Proposed",$H215="Not Reported"),0,IF(AND($P215="Y",$Q215&lt;&gt;"Y"),0,IF(AND($K215="Point",N($L215)&lt;=0),0,IF(AND(N($L215)&lt;=0,N($N215)&lt;=0,N($R215)+N($S215)&lt;=0),0,1)))))</f>
        <v/>
      </c>
      <c r="AA215" s="21">
        <f>IF(AND($A215="",$B215=""),"",IF($E215="","Site type missing",IF($H215="","STATUS missing",IF($H215="Proposed","STATUS = Proposed",IF($H215="Not Reported","STATUS = Not Reported",IF(AND($P215="Y",$Q215&lt;&gt;"Y"),"UNESCO-MAB Biosphere Reserve",IF(AND($K215="Point",N($L215)&lt;=0),"Point without REP_AREA",IF(AND(N($L215)&lt;=0,N($N215)&lt;=0,N($R215)+N($S215)&lt;=0),"No area information",""))))))))</f>
        <v/>
      </c>
      <c r="AB215" s="22">
        <f>IF(AND($A215="",$B215=""),"",IF($K215="Point",N($L215),IF(N($N215)&gt;0,N($N215),N($L215))))</f>
        <v/>
      </c>
      <c r="AC215" s="22">
        <f>IF(AND($A215="",$B215=""),"",MIN(AB215,IF(N($J215)=0,0,IF(N($J215)=2,AB215,IF(AND($K215&lt;&gt;"Point",N($O215)&gt;0),N($O215),N($M215))))))</f>
        <v/>
      </c>
      <c r="AD215" s="22">
        <f>IF(AND($A215="",$B215=""),"",MAX(0,AB215-AC215))</f>
        <v/>
      </c>
      <c r="AE215" s="21">
        <f>IF(AND($A215="",$B215=""),"",IF(OR($R215&lt;&gt;"",$S215&lt;&gt;""),1,0))</f>
        <v/>
      </c>
      <c r="AF215" s="22">
        <f>IF(AND($A215="",$B215=""),"",IF(Z215=1,IF(AE215=1,N($R215),AD215),0))</f>
        <v/>
      </c>
      <c r="AG215" s="22">
        <f>IF(AND($A215="",$B215=""),"",IF(Z215=1,IF(AE215=1,N($S215),AC215),0))</f>
        <v/>
      </c>
      <c r="AH215" s="21">
        <f>IF(AND($A215="",$B215=""),"",IF(AND(ISNUMBER($I215),N($I215)&gt;0),$I215,0))</f>
        <v/>
      </c>
      <c r="AI215" s="23">
        <f>IF(AND(NOT(AND($A215="",$B215="")),$K215="Point",N($L215)&gt;0),SQRT(N($L215)/PI()),"")</f>
        <v/>
      </c>
      <c r="AJ215" s="21">
        <f>IF(AND($A215="",$B215=""),"",IFERROR(VLOOKUP($G215,Lists!$D$4:$E$15,2,FALSE),"Not reported"))</f>
        <v/>
      </c>
      <c r="AK215" s="21">
        <f>IF(AND($A215="",$B215=""),"",IF($X215&lt;&gt;"",$X215,IF($T215&lt;&gt;"Y","Not assessed",IF(AND(ISNUMBER($V215),Setup!$B$6-$V215&gt;Setup!$B$26),"Assessment outdated",IF(NOT(ISNUMBER($W215)),"Assessed – no score",IF($W215&gt;=Setup!$B$24,"High",IF($W215&gt;=Setup!$B$25,"Moderate","Low")))))))</f>
        <v/>
      </c>
      <c r="AL215" s="21">
        <f>IF(AND($A215="",$B215=""),"",IF(Z215=0,"",IF(AND(AE215=1,N($R215)&gt;AD215*1.01+0.001),"Net terrestrial &gt; gross; ","")&amp;IF(AND(AE215=1,N($S215)&gt;AC215*1.01+0.001),"Net marine &gt; gross; ","")&amp;IF(AE215=0,"No net area – gross used, overlaps may be double-counted; ","")&amp;IF(AH215=0,"STATUS_YR missing – imputed in time series; ","")&amp;IF(AND(ISNUMBER($I215),N($I215)&gt;Setup!$B$6),"STATUS_YR after reporting year; ","")&amp;IF(OR($G215="",$G215="Not Reported"),"GOV_TYPE not reported; ","")&amp;IF(AND(N($J215)=1,$K215="Point",N($M215)&lt;=0),"Coastal point without REP_M_AREA – land/sea split unknown; ","")&amp;IF(AND(N($J215)=0,N($S215)&gt;0),"MARINE=0 but net marine &gt;0; ","")&amp;IF(AND(N($J215)=2,N($R215)&gt;0),"MARINE=2 but net terrestrial &gt;0; ","")&amp;IF($K215="Point","Buffered point – coverage approximate; ","")))</f>
        <v/>
      </c>
    </row>
    <row r="216">
      <c r="A216" s="19" t="n"/>
      <c r="B216" s="19" t="n"/>
      <c r="C216" s="19" t="n"/>
      <c r="D216" s="19" t="n"/>
      <c r="E216" s="19" t="n"/>
      <c r="F216" s="19" t="n"/>
      <c r="G216" s="19" t="n"/>
      <c r="H216" s="19" t="n"/>
      <c r="I216" s="19" t="n"/>
      <c r="J216" s="19" t="n"/>
      <c r="K216" s="19" t="n"/>
      <c r="L216" s="20" t="n"/>
      <c r="M216" s="20" t="n"/>
      <c r="N216" s="20" t="n"/>
      <c r="O216" s="20" t="n"/>
      <c r="P216" s="19" t="n"/>
      <c r="Q216" s="19" t="n"/>
      <c r="R216" s="20" t="n"/>
      <c r="S216" s="20" t="n"/>
      <c r="T216" s="19" t="n"/>
      <c r="U216" s="19" t="n"/>
      <c r="V216" s="19" t="n"/>
      <c r="W216" s="19" t="n"/>
      <c r="X216" s="19" t="n"/>
      <c r="Y216" s="19" t="n"/>
      <c r="Z216" s="21">
        <f>IF(AND($A216="",$B216=""),"",IF(OR($E216="",$H216="",$H216="Proposed",$H216="Not Reported"),0,IF(AND($P216="Y",$Q216&lt;&gt;"Y"),0,IF(AND($K216="Point",N($L216)&lt;=0),0,IF(AND(N($L216)&lt;=0,N($N216)&lt;=0,N($R216)+N($S216)&lt;=0),0,1)))))</f>
        <v/>
      </c>
      <c r="AA216" s="21">
        <f>IF(AND($A216="",$B216=""),"",IF($E216="","Site type missing",IF($H216="","STATUS missing",IF($H216="Proposed","STATUS = Proposed",IF($H216="Not Reported","STATUS = Not Reported",IF(AND($P216="Y",$Q216&lt;&gt;"Y"),"UNESCO-MAB Biosphere Reserve",IF(AND($K216="Point",N($L216)&lt;=0),"Point without REP_AREA",IF(AND(N($L216)&lt;=0,N($N216)&lt;=0,N($R216)+N($S216)&lt;=0),"No area information",""))))))))</f>
        <v/>
      </c>
      <c r="AB216" s="22">
        <f>IF(AND($A216="",$B216=""),"",IF($K216="Point",N($L216),IF(N($N216)&gt;0,N($N216),N($L216))))</f>
        <v/>
      </c>
      <c r="AC216" s="22">
        <f>IF(AND($A216="",$B216=""),"",MIN(AB216,IF(N($J216)=0,0,IF(N($J216)=2,AB216,IF(AND($K216&lt;&gt;"Point",N($O216)&gt;0),N($O216),N($M216))))))</f>
        <v/>
      </c>
      <c r="AD216" s="22">
        <f>IF(AND($A216="",$B216=""),"",MAX(0,AB216-AC216))</f>
        <v/>
      </c>
      <c r="AE216" s="21">
        <f>IF(AND($A216="",$B216=""),"",IF(OR($R216&lt;&gt;"",$S216&lt;&gt;""),1,0))</f>
        <v/>
      </c>
      <c r="AF216" s="22">
        <f>IF(AND($A216="",$B216=""),"",IF(Z216=1,IF(AE216=1,N($R216),AD216),0))</f>
        <v/>
      </c>
      <c r="AG216" s="22">
        <f>IF(AND($A216="",$B216=""),"",IF(Z216=1,IF(AE216=1,N($S216),AC216),0))</f>
        <v/>
      </c>
      <c r="AH216" s="21">
        <f>IF(AND($A216="",$B216=""),"",IF(AND(ISNUMBER($I216),N($I216)&gt;0),$I216,0))</f>
        <v/>
      </c>
      <c r="AI216" s="23">
        <f>IF(AND(NOT(AND($A216="",$B216="")),$K216="Point",N($L216)&gt;0),SQRT(N($L216)/PI()),"")</f>
        <v/>
      </c>
      <c r="AJ216" s="21">
        <f>IF(AND($A216="",$B216=""),"",IFERROR(VLOOKUP($G216,Lists!$D$4:$E$15,2,FALSE),"Not reported"))</f>
        <v/>
      </c>
      <c r="AK216" s="21">
        <f>IF(AND($A216="",$B216=""),"",IF($X216&lt;&gt;"",$X216,IF($T216&lt;&gt;"Y","Not assessed",IF(AND(ISNUMBER($V216),Setup!$B$6-$V216&gt;Setup!$B$26),"Assessment outdated",IF(NOT(ISNUMBER($W216)),"Assessed – no score",IF($W216&gt;=Setup!$B$24,"High",IF($W216&gt;=Setup!$B$25,"Moderate","Low")))))))</f>
        <v/>
      </c>
      <c r="AL216" s="21">
        <f>IF(AND($A216="",$B216=""),"",IF(Z216=0,"",IF(AND(AE216=1,N($R216)&gt;AD216*1.01+0.001),"Net terrestrial &gt; gross; ","")&amp;IF(AND(AE216=1,N($S216)&gt;AC216*1.01+0.001),"Net marine &gt; gross; ","")&amp;IF(AE216=0,"No net area – gross used, overlaps may be double-counted; ","")&amp;IF(AH216=0,"STATUS_YR missing – imputed in time series; ","")&amp;IF(AND(ISNUMBER($I216),N($I216)&gt;Setup!$B$6),"STATUS_YR after reporting year; ","")&amp;IF(OR($G216="",$G216="Not Reported"),"GOV_TYPE not reported; ","")&amp;IF(AND(N($J216)=1,$K216="Point",N($M216)&lt;=0),"Coastal point without REP_M_AREA – land/sea split unknown; ","")&amp;IF(AND(N($J216)=0,N($S216)&gt;0),"MARINE=0 but net marine &gt;0; ","")&amp;IF(AND(N($J216)=2,N($R216)&gt;0),"MARINE=2 but net terrestrial &gt;0; ","")&amp;IF($K216="Point","Buffered point – coverage approximate; ","")))</f>
        <v/>
      </c>
    </row>
    <row r="217">
      <c r="A217" s="19" t="n"/>
      <c r="B217" s="19" t="n"/>
      <c r="C217" s="19" t="n"/>
      <c r="D217" s="19" t="n"/>
      <c r="E217" s="19" t="n"/>
      <c r="F217" s="19" t="n"/>
      <c r="G217" s="19" t="n"/>
      <c r="H217" s="19" t="n"/>
      <c r="I217" s="19" t="n"/>
      <c r="J217" s="19" t="n"/>
      <c r="K217" s="19" t="n"/>
      <c r="L217" s="20" t="n"/>
      <c r="M217" s="20" t="n"/>
      <c r="N217" s="20" t="n"/>
      <c r="O217" s="20" t="n"/>
      <c r="P217" s="19" t="n"/>
      <c r="Q217" s="19" t="n"/>
      <c r="R217" s="20" t="n"/>
      <c r="S217" s="20" t="n"/>
      <c r="T217" s="19" t="n"/>
      <c r="U217" s="19" t="n"/>
      <c r="V217" s="19" t="n"/>
      <c r="W217" s="19" t="n"/>
      <c r="X217" s="19" t="n"/>
      <c r="Y217" s="19" t="n"/>
      <c r="Z217" s="21">
        <f>IF(AND($A217="",$B217=""),"",IF(OR($E217="",$H217="",$H217="Proposed",$H217="Not Reported"),0,IF(AND($P217="Y",$Q217&lt;&gt;"Y"),0,IF(AND($K217="Point",N($L217)&lt;=0),0,IF(AND(N($L217)&lt;=0,N($N217)&lt;=0,N($R217)+N($S217)&lt;=0),0,1)))))</f>
        <v/>
      </c>
      <c r="AA217" s="21">
        <f>IF(AND($A217="",$B217=""),"",IF($E217="","Site type missing",IF($H217="","STATUS missing",IF($H217="Proposed","STATUS = Proposed",IF($H217="Not Reported","STATUS = Not Reported",IF(AND($P217="Y",$Q217&lt;&gt;"Y"),"UNESCO-MAB Biosphere Reserve",IF(AND($K217="Point",N($L217)&lt;=0),"Point without REP_AREA",IF(AND(N($L217)&lt;=0,N($N217)&lt;=0,N($R217)+N($S217)&lt;=0),"No area information",""))))))))</f>
        <v/>
      </c>
      <c r="AB217" s="22">
        <f>IF(AND($A217="",$B217=""),"",IF($K217="Point",N($L217),IF(N($N217)&gt;0,N($N217),N($L217))))</f>
        <v/>
      </c>
      <c r="AC217" s="22">
        <f>IF(AND($A217="",$B217=""),"",MIN(AB217,IF(N($J217)=0,0,IF(N($J217)=2,AB217,IF(AND($K217&lt;&gt;"Point",N($O217)&gt;0),N($O217),N($M217))))))</f>
        <v/>
      </c>
      <c r="AD217" s="22">
        <f>IF(AND($A217="",$B217=""),"",MAX(0,AB217-AC217))</f>
        <v/>
      </c>
      <c r="AE217" s="21">
        <f>IF(AND($A217="",$B217=""),"",IF(OR($R217&lt;&gt;"",$S217&lt;&gt;""),1,0))</f>
        <v/>
      </c>
      <c r="AF217" s="22">
        <f>IF(AND($A217="",$B217=""),"",IF(Z217=1,IF(AE217=1,N($R217),AD217),0))</f>
        <v/>
      </c>
      <c r="AG217" s="22">
        <f>IF(AND($A217="",$B217=""),"",IF(Z217=1,IF(AE217=1,N($S217),AC217),0))</f>
        <v/>
      </c>
      <c r="AH217" s="21">
        <f>IF(AND($A217="",$B217=""),"",IF(AND(ISNUMBER($I217),N($I217)&gt;0),$I217,0))</f>
        <v/>
      </c>
      <c r="AI217" s="23">
        <f>IF(AND(NOT(AND($A217="",$B217="")),$K217="Point",N($L217)&gt;0),SQRT(N($L217)/PI()),"")</f>
        <v/>
      </c>
      <c r="AJ217" s="21">
        <f>IF(AND($A217="",$B217=""),"",IFERROR(VLOOKUP($G217,Lists!$D$4:$E$15,2,FALSE),"Not reported"))</f>
        <v/>
      </c>
      <c r="AK217" s="21">
        <f>IF(AND($A217="",$B217=""),"",IF($X217&lt;&gt;"",$X217,IF($T217&lt;&gt;"Y","Not assessed",IF(AND(ISNUMBER($V217),Setup!$B$6-$V217&gt;Setup!$B$26),"Assessment outdated",IF(NOT(ISNUMBER($W217)),"Assessed – no score",IF($W217&gt;=Setup!$B$24,"High",IF($W217&gt;=Setup!$B$25,"Moderate","Low")))))))</f>
        <v/>
      </c>
      <c r="AL217" s="21">
        <f>IF(AND($A217="",$B217=""),"",IF(Z217=0,"",IF(AND(AE217=1,N($R217)&gt;AD217*1.01+0.001),"Net terrestrial &gt; gross; ","")&amp;IF(AND(AE217=1,N($S217)&gt;AC217*1.01+0.001),"Net marine &gt; gross; ","")&amp;IF(AE217=0,"No net area – gross used, overlaps may be double-counted; ","")&amp;IF(AH217=0,"STATUS_YR missing – imputed in time series; ","")&amp;IF(AND(ISNUMBER($I217),N($I217)&gt;Setup!$B$6),"STATUS_YR after reporting year; ","")&amp;IF(OR($G217="",$G217="Not Reported"),"GOV_TYPE not reported; ","")&amp;IF(AND(N($J217)=1,$K217="Point",N($M217)&lt;=0),"Coastal point without REP_M_AREA – land/sea split unknown; ","")&amp;IF(AND(N($J217)=0,N($S217)&gt;0),"MARINE=0 but net marine &gt;0; ","")&amp;IF(AND(N($J217)=2,N($R217)&gt;0),"MARINE=2 but net terrestrial &gt;0; ","")&amp;IF($K217="Point","Buffered point – coverage approximate; ","")))</f>
        <v/>
      </c>
    </row>
    <row r="218">
      <c r="A218" s="19" t="n"/>
      <c r="B218" s="19" t="n"/>
      <c r="C218" s="19" t="n"/>
      <c r="D218" s="19" t="n"/>
      <c r="E218" s="19" t="n"/>
      <c r="F218" s="19" t="n"/>
      <c r="G218" s="19" t="n"/>
      <c r="H218" s="19" t="n"/>
      <c r="I218" s="19" t="n"/>
      <c r="J218" s="19" t="n"/>
      <c r="K218" s="19" t="n"/>
      <c r="L218" s="20" t="n"/>
      <c r="M218" s="20" t="n"/>
      <c r="N218" s="20" t="n"/>
      <c r="O218" s="20" t="n"/>
      <c r="P218" s="19" t="n"/>
      <c r="Q218" s="19" t="n"/>
      <c r="R218" s="20" t="n"/>
      <c r="S218" s="20" t="n"/>
      <c r="T218" s="19" t="n"/>
      <c r="U218" s="19" t="n"/>
      <c r="V218" s="19" t="n"/>
      <c r="W218" s="19" t="n"/>
      <c r="X218" s="19" t="n"/>
      <c r="Y218" s="19" t="n"/>
      <c r="Z218" s="21">
        <f>IF(AND($A218="",$B218=""),"",IF(OR($E218="",$H218="",$H218="Proposed",$H218="Not Reported"),0,IF(AND($P218="Y",$Q218&lt;&gt;"Y"),0,IF(AND($K218="Point",N($L218)&lt;=0),0,IF(AND(N($L218)&lt;=0,N($N218)&lt;=0,N($R218)+N($S218)&lt;=0),0,1)))))</f>
        <v/>
      </c>
      <c r="AA218" s="21">
        <f>IF(AND($A218="",$B218=""),"",IF($E218="","Site type missing",IF($H218="","STATUS missing",IF($H218="Proposed","STATUS = Proposed",IF($H218="Not Reported","STATUS = Not Reported",IF(AND($P218="Y",$Q218&lt;&gt;"Y"),"UNESCO-MAB Biosphere Reserve",IF(AND($K218="Point",N($L218)&lt;=0),"Point without REP_AREA",IF(AND(N($L218)&lt;=0,N($N218)&lt;=0,N($R218)+N($S218)&lt;=0),"No area information",""))))))))</f>
        <v/>
      </c>
      <c r="AB218" s="22">
        <f>IF(AND($A218="",$B218=""),"",IF($K218="Point",N($L218),IF(N($N218)&gt;0,N($N218),N($L218))))</f>
        <v/>
      </c>
      <c r="AC218" s="22">
        <f>IF(AND($A218="",$B218=""),"",MIN(AB218,IF(N($J218)=0,0,IF(N($J218)=2,AB218,IF(AND($K218&lt;&gt;"Point",N($O218)&gt;0),N($O218),N($M218))))))</f>
        <v/>
      </c>
      <c r="AD218" s="22">
        <f>IF(AND($A218="",$B218=""),"",MAX(0,AB218-AC218))</f>
        <v/>
      </c>
      <c r="AE218" s="21">
        <f>IF(AND($A218="",$B218=""),"",IF(OR($R218&lt;&gt;"",$S218&lt;&gt;""),1,0))</f>
        <v/>
      </c>
      <c r="AF218" s="22">
        <f>IF(AND($A218="",$B218=""),"",IF(Z218=1,IF(AE218=1,N($R218),AD218),0))</f>
        <v/>
      </c>
      <c r="AG218" s="22">
        <f>IF(AND($A218="",$B218=""),"",IF(Z218=1,IF(AE218=1,N($S218),AC218),0))</f>
        <v/>
      </c>
      <c r="AH218" s="21">
        <f>IF(AND($A218="",$B218=""),"",IF(AND(ISNUMBER($I218),N($I218)&gt;0),$I218,0))</f>
        <v/>
      </c>
      <c r="AI218" s="23">
        <f>IF(AND(NOT(AND($A218="",$B218="")),$K218="Point",N($L218)&gt;0),SQRT(N($L218)/PI()),"")</f>
        <v/>
      </c>
      <c r="AJ218" s="21">
        <f>IF(AND($A218="",$B218=""),"",IFERROR(VLOOKUP($G218,Lists!$D$4:$E$15,2,FALSE),"Not reported"))</f>
        <v/>
      </c>
      <c r="AK218" s="21">
        <f>IF(AND($A218="",$B218=""),"",IF($X218&lt;&gt;"",$X218,IF($T218&lt;&gt;"Y","Not assessed",IF(AND(ISNUMBER($V218),Setup!$B$6-$V218&gt;Setup!$B$26),"Assessment outdated",IF(NOT(ISNUMBER($W218)),"Assessed – no score",IF($W218&gt;=Setup!$B$24,"High",IF($W218&gt;=Setup!$B$25,"Moderate","Low")))))))</f>
        <v/>
      </c>
      <c r="AL218" s="21">
        <f>IF(AND($A218="",$B218=""),"",IF(Z218=0,"",IF(AND(AE218=1,N($R218)&gt;AD218*1.01+0.001),"Net terrestrial &gt; gross; ","")&amp;IF(AND(AE218=1,N($S218)&gt;AC218*1.01+0.001),"Net marine &gt; gross; ","")&amp;IF(AE218=0,"No net area – gross used, overlaps may be double-counted; ","")&amp;IF(AH218=0,"STATUS_YR missing – imputed in time series; ","")&amp;IF(AND(ISNUMBER($I218),N($I218)&gt;Setup!$B$6),"STATUS_YR after reporting year; ","")&amp;IF(OR($G218="",$G218="Not Reported"),"GOV_TYPE not reported; ","")&amp;IF(AND(N($J218)=1,$K218="Point",N($M218)&lt;=0),"Coastal point without REP_M_AREA – land/sea split unknown; ","")&amp;IF(AND(N($J218)=0,N($S218)&gt;0),"MARINE=0 but net marine &gt;0; ","")&amp;IF(AND(N($J218)=2,N($R218)&gt;0),"MARINE=2 but net terrestrial &gt;0; ","")&amp;IF($K218="Point","Buffered point – coverage approximate; ","")))</f>
        <v/>
      </c>
    </row>
    <row r="219">
      <c r="A219" s="19" t="n"/>
      <c r="B219" s="19" t="n"/>
      <c r="C219" s="19" t="n"/>
      <c r="D219" s="19" t="n"/>
      <c r="E219" s="19" t="n"/>
      <c r="F219" s="19" t="n"/>
      <c r="G219" s="19" t="n"/>
      <c r="H219" s="19" t="n"/>
      <c r="I219" s="19" t="n"/>
      <c r="J219" s="19" t="n"/>
      <c r="K219" s="19" t="n"/>
      <c r="L219" s="20" t="n"/>
      <c r="M219" s="20" t="n"/>
      <c r="N219" s="20" t="n"/>
      <c r="O219" s="20" t="n"/>
      <c r="P219" s="19" t="n"/>
      <c r="Q219" s="19" t="n"/>
      <c r="R219" s="20" t="n"/>
      <c r="S219" s="20" t="n"/>
      <c r="T219" s="19" t="n"/>
      <c r="U219" s="19" t="n"/>
      <c r="V219" s="19" t="n"/>
      <c r="W219" s="19" t="n"/>
      <c r="X219" s="19" t="n"/>
      <c r="Y219" s="19" t="n"/>
      <c r="Z219" s="21">
        <f>IF(AND($A219="",$B219=""),"",IF(OR($E219="",$H219="",$H219="Proposed",$H219="Not Reported"),0,IF(AND($P219="Y",$Q219&lt;&gt;"Y"),0,IF(AND($K219="Point",N($L219)&lt;=0),0,IF(AND(N($L219)&lt;=0,N($N219)&lt;=0,N($R219)+N($S219)&lt;=0),0,1)))))</f>
        <v/>
      </c>
      <c r="AA219" s="21">
        <f>IF(AND($A219="",$B219=""),"",IF($E219="","Site type missing",IF($H219="","STATUS missing",IF($H219="Proposed","STATUS = Proposed",IF($H219="Not Reported","STATUS = Not Reported",IF(AND($P219="Y",$Q219&lt;&gt;"Y"),"UNESCO-MAB Biosphere Reserve",IF(AND($K219="Point",N($L219)&lt;=0),"Point without REP_AREA",IF(AND(N($L219)&lt;=0,N($N219)&lt;=0,N($R219)+N($S219)&lt;=0),"No area information",""))))))))</f>
        <v/>
      </c>
      <c r="AB219" s="22">
        <f>IF(AND($A219="",$B219=""),"",IF($K219="Point",N($L219),IF(N($N219)&gt;0,N($N219),N($L219))))</f>
        <v/>
      </c>
      <c r="AC219" s="22">
        <f>IF(AND($A219="",$B219=""),"",MIN(AB219,IF(N($J219)=0,0,IF(N($J219)=2,AB219,IF(AND($K219&lt;&gt;"Point",N($O219)&gt;0),N($O219),N($M219))))))</f>
        <v/>
      </c>
      <c r="AD219" s="22">
        <f>IF(AND($A219="",$B219=""),"",MAX(0,AB219-AC219))</f>
        <v/>
      </c>
      <c r="AE219" s="21">
        <f>IF(AND($A219="",$B219=""),"",IF(OR($R219&lt;&gt;"",$S219&lt;&gt;""),1,0))</f>
        <v/>
      </c>
      <c r="AF219" s="22">
        <f>IF(AND($A219="",$B219=""),"",IF(Z219=1,IF(AE219=1,N($R219),AD219),0))</f>
        <v/>
      </c>
      <c r="AG219" s="22">
        <f>IF(AND($A219="",$B219=""),"",IF(Z219=1,IF(AE219=1,N($S219),AC219),0))</f>
        <v/>
      </c>
      <c r="AH219" s="21">
        <f>IF(AND($A219="",$B219=""),"",IF(AND(ISNUMBER($I219),N($I219)&gt;0),$I219,0))</f>
        <v/>
      </c>
      <c r="AI219" s="23">
        <f>IF(AND(NOT(AND($A219="",$B219="")),$K219="Point",N($L219)&gt;0),SQRT(N($L219)/PI()),"")</f>
        <v/>
      </c>
      <c r="AJ219" s="21">
        <f>IF(AND($A219="",$B219=""),"",IFERROR(VLOOKUP($G219,Lists!$D$4:$E$15,2,FALSE),"Not reported"))</f>
        <v/>
      </c>
      <c r="AK219" s="21">
        <f>IF(AND($A219="",$B219=""),"",IF($X219&lt;&gt;"",$X219,IF($T219&lt;&gt;"Y","Not assessed",IF(AND(ISNUMBER($V219),Setup!$B$6-$V219&gt;Setup!$B$26),"Assessment outdated",IF(NOT(ISNUMBER($W219)),"Assessed – no score",IF($W219&gt;=Setup!$B$24,"High",IF($W219&gt;=Setup!$B$25,"Moderate","Low")))))))</f>
        <v/>
      </c>
      <c r="AL219" s="21">
        <f>IF(AND($A219="",$B219=""),"",IF(Z219=0,"",IF(AND(AE219=1,N($R219)&gt;AD219*1.01+0.001),"Net terrestrial &gt; gross; ","")&amp;IF(AND(AE219=1,N($S219)&gt;AC219*1.01+0.001),"Net marine &gt; gross; ","")&amp;IF(AE219=0,"No net area – gross used, overlaps may be double-counted; ","")&amp;IF(AH219=0,"STATUS_YR missing – imputed in time series; ","")&amp;IF(AND(ISNUMBER($I219),N($I219)&gt;Setup!$B$6),"STATUS_YR after reporting year; ","")&amp;IF(OR($G219="",$G219="Not Reported"),"GOV_TYPE not reported; ","")&amp;IF(AND(N($J219)=1,$K219="Point",N($M219)&lt;=0),"Coastal point without REP_M_AREA – land/sea split unknown; ","")&amp;IF(AND(N($J219)=0,N($S219)&gt;0),"MARINE=0 but net marine &gt;0; ","")&amp;IF(AND(N($J219)=2,N($R219)&gt;0),"MARINE=2 but net terrestrial &gt;0; ","")&amp;IF($K219="Point","Buffered point – coverage approximate; ","")))</f>
        <v/>
      </c>
    </row>
    <row r="220">
      <c r="A220" s="19" t="n"/>
      <c r="B220" s="19" t="n"/>
      <c r="C220" s="19" t="n"/>
      <c r="D220" s="19" t="n"/>
      <c r="E220" s="19" t="n"/>
      <c r="F220" s="19" t="n"/>
      <c r="G220" s="19" t="n"/>
      <c r="H220" s="19" t="n"/>
      <c r="I220" s="19" t="n"/>
      <c r="J220" s="19" t="n"/>
      <c r="K220" s="19" t="n"/>
      <c r="L220" s="20" t="n"/>
      <c r="M220" s="20" t="n"/>
      <c r="N220" s="20" t="n"/>
      <c r="O220" s="20" t="n"/>
      <c r="P220" s="19" t="n"/>
      <c r="Q220" s="19" t="n"/>
      <c r="R220" s="20" t="n"/>
      <c r="S220" s="20" t="n"/>
      <c r="T220" s="19" t="n"/>
      <c r="U220" s="19" t="n"/>
      <c r="V220" s="19" t="n"/>
      <c r="W220" s="19" t="n"/>
      <c r="X220" s="19" t="n"/>
      <c r="Y220" s="19" t="n"/>
      <c r="Z220" s="21">
        <f>IF(AND($A220="",$B220=""),"",IF(OR($E220="",$H220="",$H220="Proposed",$H220="Not Reported"),0,IF(AND($P220="Y",$Q220&lt;&gt;"Y"),0,IF(AND($K220="Point",N($L220)&lt;=0),0,IF(AND(N($L220)&lt;=0,N($N220)&lt;=0,N($R220)+N($S220)&lt;=0),0,1)))))</f>
        <v/>
      </c>
      <c r="AA220" s="21">
        <f>IF(AND($A220="",$B220=""),"",IF($E220="","Site type missing",IF($H220="","STATUS missing",IF($H220="Proposed","STATUS = Proposed",IF($H220="Not Reported","STATUS = Not Reported",IF(AND($P220="Y",$Q220&lt;&gt;"Y"),"UNESCO-MAB Biosphere Reserve",IF(AND($K220="Point",N($L220)&lt;=0),"Point without REP_AREA",IF(AND(N($L220)&lt;=0,N($N220)&lt;=0,N($R220)+N($S220)&lt;=0),"No area information",""))))))))</f>
        <v/>
      </c>
      <c r="AB220" s="22">
        <f>IF(AND($A220="",$B220=""),"",IF($K220="Point",N($L220),IF(N($N220)&gt;0,N($N220),N($L220))))</f>
        <v/>
      </c>
      <c r="AC220" s="22">
        <f>IF(AND($A220="",$B220=""),"",MIN(AB220,IF(N($J220)=0,0,IF(N($J220)=2,AB220,IF(AND($K220&lt;&gt;"Point",N($O220)&gt;0),N($O220),N($M220))))))</f>
        <v/>
      </c>
      <c r="AD220" s="22">
        <f>IF(AND($A220="",$B220=""),"",MAX(0,AB220-AC220))</f>
        <v/>
      </c>
      <c r="AE220" s="21">
        <f>IF(AND($A220="",$B220=""),"",IF(OR($R220&lt;&gt;"",$S220&lt;&gt;""),1,0))</f>
        <v/>
      </c>
      <c r="AF220" s="22">
        <f>IF(AND($A220="",$B220=""),"",IF(Z220=1,IF(AE220=1,N($R220),AD220),0))</f>
        <v/>
      </c>
      <c r="AG220" s="22">
        <f>IF(AND($A220="",$B220=""),"",IF(Z220=1,IF(AE220=1,N($S220),AC220),0))</f>
        <v/>
      </c>
      <c r="AH220" s="21">
        <f>IF(AND($A220="",$B220=""),"",IF(AND(ISNUMBER($I220),N($I220)&gt;0),$I220,0))</f>
        <v/>
      </c>
      <c r="AI220" s="23">
        <f>IF(AND(NOT(AND($A220="",$B220="")),$K220="Point",N($L220)&gt;0),SQRT(N($L220)/PI()),"")</f>
        <v/>
      </c>
      <c r="AJ220" s="21">
        <f>IF(AND($A220="",$B220=""),"",IFERROR(VLOOKUP($G220,Lists!$D$4:$E$15,2,FALSE),"Not reported"))</f>
        <v/>
      </c>
      <c r="AK220" s="21">
        <f>IF(AND($A220="",$B220=""),"",IF($X220&lt;&gt;"",$X220,IF($T220&lt;&gt;"Y","Not assessed",IF(AND(ISNUMBER($V220),Setup!$B$6-$V220&gt;Setup!$B$26),"Assessment outdated",IF(NOT(ISNUMBER($W220)),"Assessed – no score",IF($W220&gt;=Setup!$B$24,"High",IF($W220&gt;=Setup!$B$25,"Moderate","Low")))))))</f>
        <v/>
      </c>
      <c r="AL220" s="21">
        <f>IF(AND($A220="",$B220=""),"",IF(Z220=0,"",IF(AND(AE220=1,N($R220)&gt;AD220*1.01+0.001),"Net terrestrial &gt; gross; ","")&amp;IF(AND(AE220=1,N($S220)&gt;AC220*1.01+0.001),"Net marine &gt; gross; ","")&amp;IF(AE220=0,"No net area – gross used, overlaps may be double-counted; ","")&amp;IF(AH220=0,"STATUS_YR missing – imputed in time series; ","")&amp;IF(AND(ISNUMBER($I220),N($I220)&gt;Setup!$B$6),"STATUS_YR after reporting year; ","")&amp;IF(OR($G220="",$G220="Not Reported"),"GOV_TYPE not reported; ","")&amp;IF(AND(N($J220)=1,$K220="Point",N($M220)&lt;=0),"Coastal point without REP_M_AREA – land/sea split unknown; ","")&amp;IF(AND(N($J220)=0,N($S220)&gt;0),"MARINE=0 but net marine &gt;0; ","")&amp;IF(AND(N($J220)=2,N($R220)&gt;0),"MARINE=2 but net terrestrial &gt;0; ","")&amp;IF($K220="Point","Buffered point – coverage approximate; ","")))</f>
        <v/>
      </c>
    </row>
    <row r="221">
      <c r="A221" s="19" t="n"/>
      <c r="B221" s="19" t="n"/>
      <c r="C221" s="19" t="n"/>
      <c r="D221" s="19" t="n"/>
      <c r="E221" s="19" t="n"/>
      <c r="F221" s="19" t="n"/>
      <c r="G221" s="19" t="n"/>
      <c r="H221" s="19" t="n"/>
      <c r="I221" s="19" t="n"/>
      <c r="J221" s="19" t="n"/>
      <c r="K221" s="19" t="n"/>
      <c r="L221" s="20" t="n"/>
      <c r="M221" s="20" t="n"/>
      <c r="N221" s="20" t="n"/>
      <c r="O221" s="20" t="n"/>
      <c r="P221" s="19" t="n"/>
      <c r="Q221" s="19" t="n"/>
      <c r="R221" s="20" t="n"/>
      <c r="S221" s="20" t="n"/>
      <c r="T221" s="19" t="n"/>
      <c r="U221" s="19" t="n"/>
      <c r="V221" s="19" t="n"/>
      <c r="W221" s="19" t="n"/>
      <c r="X221" s="19" t="n"/>
      <c r="Y221" s="19" t="n"/>
      <c r="Z221" s="21">
        <f>IF(AND($A221="",$B221=""),"",IF(OR($E221="",$H221="",$H221="Proposed",$H221="Not Reported"),0,IF(AND($P221="Y",$Q221&lt;&gt;"Y"),0,IF(AND($K221="Point",N($L221)&lt;=0),0,IF(AND(N($L221)&lt;=0,N($N221)&lt;=0,N($R221)+N($S221)&lt;=0),0,1)))))</f>
        <v/>
      </c>
      <c r="AA221" s="21">
        <f>IF(AND($A221="",$B221=""),"",IF($E221="","Site type missing",IF($H221="","STATUS missing",IF($H221="Proposed","STATUS = Proposed",IF($H221="Not Reported","STATUS = Not Reported",IF(AND($P221="Y",$Q221&lt;&gt;"Y"),"UNESCO-MAB Biosphere Reserve",IF(AND($K221="Point",N($L221)&lt;=0),"Point without REP_AREA",IF(AND(N($L221)&lt;=0,N($N221)&lt;=0,N($R221)+N($S221)&lt;=0),"No area information",""))))))))</f>
        <v/>
      </c>
      <c r="AB221" s="22">
        <f>IF(AND($A221="",$B221=""),"",IF($K221="Point",N($L221),IF(N($N221)&gt;0,N($N221),N($L221))))</f>
        <v/>
      </c>
      <c r="AC221" s="22">
        <f>IF(AND($A221="",$B221=""),"",MIN(AB221,IF(N($J221)=0,0,IF(N($J221)=2,AB221,IF(AND($K221&lt;&gt;"Point",N($O221)&gt;0),N($O221),N($M221))))))</f>
        <v/>
      </c>
      <c r="AD221" s="22">
        <f>IF(AND($A221="",$B221=""),"",MAX(0,AB221-AC221))</f>
        <v/>
      </c>
      <c r="AE221" s="21">
        <f>IF(AND($A221="",$B221=""),"",IF(OR($R221&lt;&gt;"",$S221&lt;&gt;""),1,0))</f>
        <v/>
      </c>
      <c r="AF221" s="22">
        <f>IF(AND($A221="",$B221=""),"",IF(Z221=1,IF(AE221=1,N($R221),AD221),0))</f>
        <v/>
      </c>
      <c r="AG221" s="22">
        <f>IF(AND($A221="",$B221=""),"",IF(Z221=1,IF(AE221=1,N($S221),AC221),0))</f>
        <v/>
      </c>
      <c r="AH221" s="21">
        <f>IF(AND($A221="",$B221=""),"",IF(AND(ISNUMBER($I221),N($I221)&gt;0),$I221,0))</f>
        <v/>
      </c>
      <c r="AI221" s="23">
        <f>IF(AND(NOT(AND($A221="",$B221="")),$K221="Point",N($L221)&gt;0),SQRT(N($L221)/PI()),"")</f>
        <v/>
      </c>
      <c r="AJ221" s="21">
        <f>IF(AND($A221="",$B221=""),"",IFERROR(VLOOKUP($G221,Lists!$D$4:$E$15,2,FALSE),"Not reported"))</f>
        <v/>
      </c>
      <c r="AK221" s="21">
        <f>IF(AND($A221="",$B221=""),"",IF($X221&lt;&gt;"",$X221,IF($T221&lt;&gt;"Y","Not assessed",IF(AND(ISNUMBER($V221),Setup!$B$6-$V221&gt;Setup!$B$26),"Assessment outdated",IF(NOT(ISNUMBER($W221)),"Assessed – no score",IF($W221&gt;=Setup!$B$24,"High",IF($W221&gt;=Setup!$B$25,"Moderate","Low")))))))</f>
        <v/>
      </c>
      <c r="AL221" s="21">
        <f>IF(AND($A221="",$B221=""),"",IF(Z221=0,"",IF(AND(AE221=1,N($R221)&gt;AD221*1.01+0.001),"Net terrestrial &gt; gross; ","")&amp;IF(AND(AE221=1,N($S221)&gt;AC221*1.01+0.001),"Net marine &gt; gross; ","")&amp;IF(AE221=0,"No net area – gross used, overlaps may be double-counted; ","")&amp;IF(AH221=0,"STATUS_YR missing – imputed in time series; ","")&amp;IF(AND(ISNUMBER($I221),N($I221)&gt;Setup!$B$6),"STATUS_YR after reporting year; ","")&amp;IF(OR($G221="",$G221="Not Reported"),"GOV_TYPE not reported; ","")&amp;IF(AND(N($J221)=1,$K221="Point",N($M221)&lt;=0),"Coastal point without REP_M_AREA – land/sea split unknown; ","")&amp;IF(AND(N($J221)=0,N($S221)&gt;0),"MARINE=0 but net marine &gt;0; ","")&amp;IF(AND(N($J221)=2,N($R221)&gt;0),"MARINE=2 but net terrestrial &gt;0; ","")&amp;IF($K221="Point","Buffered point – coverage approximate; ","")))</f>
        <v/>
      </c>
    </row>
    <row r="222">
      <c r="A222" s="19" t="n"/>
      <c r="B222" s="19" t="n"/>
      <c r="C222" s="19" t="n"/>
      <c r="D222" s="19" t="n"/>
      <c r="E222" s="19" t="n"/>
      <c r="F222" s="19" t="n"/>
      <c r="G222" s="19" t="n"/>
      <c r="H222" s="19" t="n"/>
      <c r="I222" s="19" t="n"/>
      <c r="J222" s="19" t="n"/>
      <c r="K222" s="19" t="n"/>
      <c r="L222" s="20" t="n"/>
      <c r="M222" s="20" t="n"/>
      <c r="N222" s="20" t="n"/>
      <c r="O222" s="20" t="n"/>
      <c r="P222" s="19" t="n"/>
      <c r="Q222" s="19" t="n"/>
      <c r="R222" s="20" t="n"/>
      <c r="S222" s="20" t="n"/>
      <c r="T222" s="19" t="n"/>
      <c r="U222" s="19" t="n"/>
      <c r="V222" s="19" t="n"/>
      <c r="W222" s="19" t="n"/>
      <c r="X222" s="19" t="n"/>
      <c r="Y222" s="19" t="n"/>
      <c r="Z222" s="21">
        <f>IF(AND($A222="",$B222=""),"",IF(OR($E222="",$H222="",$H222="Proposed",$H222="Not Reported"),0,IF(AND($P222="Y",$Q222&lt;&gt;"Y"),0,IF(AND($K222="Point",N($L222)&lt;=0),0,IF(AND(N($L222)&lt;=0,N($N222)&lt;=0,N($R222)+N($S222)&lt;=0),0,1)))))</f>
        <v/>
      </c>
      <c r="AA222" s="21">
        <f>IF(AND($A222="",$B222=""),"",IF($E222="","Site type missing",IF($H222="","STATUS missing",IF($H222="Proposed","STATUS = Proposed",IF($H222="Not Reported","STATUS = Not Reported",IF(AND($P222="Y",$Q222&lt;&gt;"Y"),"UNESCO-MAB Biosphere Reserve",IF(AND($K222="Point",N($L222)&lt;=0),"Point without REP_AREA",IF(AND(N($L222)&lt;=0,N($N222)&lt;=0,N($R222)+N($S222)&lt;=0),"No area information",""))))))))</f>
        <v/>
      </c>
      <c r="AB222" s="22">
        <f>IF(AND($A222="",$B222=""),"",IF($K222="Point",N($L222),IF(N($N222)&gt;0,N($N222),N($L222))))</f>
        <v/>
      </c>
      <c r="AC222" s="22">
        <f>IF(AND($A222="",$B222=""),"",MIN(AB222,IF(N($J222)=0,0,IF(N($J222)=2,AB222,IF(AND($K222&lt;&gt;"Point",N($O222)&gt;0),N($O222),N($M222))))))</f>
        <v/>
      </c>
      <c r="AD222" s="22">
        <f>IF(AND($A222="",$B222=""),"",MAX(0,AB222-AC222))</f>
        <v/>
      </c>
      <c r="AE222" s="21">
        <f>IF(AND($A222="",$B222=""),"",IF(OR($R222&lt;&gt;"",$S222&lt;&gt;""),1,0))</f>
        <v/>
      </c>
      <c r="AF222" s="22">
        <f>IF(AND($A222="",$B222=""),"",IF(Z222=1,IF(AE222=1,N($R222),AD222),0))</f>
        <v/>
      </c>
      <c r="AG222" s="22">
        <f>IF(AND($A222="",$B222=""),"",IF(Z222=1,IF(AE222=1,N($S222),AC222),0))</f>
        <v/>
      </c>
      <c r="AH222" s="21">
        <f>IF(AND($A222="",$B222=""),"",IF(AND(ISNUMBER($I222),N($I222)&gt;0),$I222,0))</f>
        <v/>
      </c>
      <c r="AI222" s="23">
        <f>IF(AND(NOT(AND($A222="",$B222="")),$K222="Point",N($L222)&gt;0),SQRT(N($L222)/PI()),"")</f>
        <v/>
      </c>
      <c r="AJ222" s="21">
        <f>IF(AND($A222="",$B222=""),"",IFERROR(VLOOKUP($G222,Lists!$D$4:$E$15,2,FALSE),"Not reported"))</f>
        <v/>
      </c>
      <c r="AK222" s="21">
        <f>IF(AND($A222="",$B222=""),"",IF($X222&lt;&gt;"",$X222,IF($T222&lt;&gt;"Y","Not assessed",IF(AND(ISNUMBER($V222),Setup!$B$6-$V222&gt;Setup!$B$26),"Assessment outdated",IF(NOT(ISNUMBER($W222)),"Assessed – no score",IF($W222&gt;=Setup!$B$24,"High",IF($W222&gt;=Setup!$B$25,"Moderate","Low")))))))</f>
        <v/>
      </c>
      <c r="AL222" s="21">
        <f>IF(AND($A222="",$B222=""),"",IF(Z222=0,"",IF(AND(AE222=1,N($R222)&gt;AD222*1.01+0.001),"Net terrestrial &gt; gross; ","")&amp;IF(AND(AE222=1,N($S222)&gt;AC222*1.01+0.001),"Net marine &gt; gross; ","")&amp;IF(AE222=0,"No net area – gross used, overlaps may be double-counted; ","")&amp;IF(AH222=0,"STATUS_YR missing – imputed in time series; ","")&amp;IF(AND(ISNUMBER($I222),N($I222)&gt;Setup!$B$6),"STATUS_YR after reporting year; ","")&amp;IF(OR($G222="",$G222="Not Reported"),"GOV_TYPE not reported; ","")&amp;IF(AND(N($J222)=1,$K222="Point",N($M222)&lt;=0),"Coastal point without REP_M_AREA – land/sea split unknown; ","")&amp;IF(AND(N($J222)=0,N($S222)&gt;0),"MARINE=0 but net marine &gt;0; ","")&amp;IF(AND(N($J222)=2,N($R222)&gt;0),"MARINE=2 but net terrestrial &gt;0; ","")&amp;IF($K222="Point","Buffered point – coverage approximate; ","")))</f>
        <v/>
      </c>
    </row>
    <row r="223">
      <c r="A223" s="19" t="n"/>
      <c r="B223" s="19" t="n"/>
      <c r="C223" s="19" t="n"/>
      <c r="D223" s="19" t="n"/>
      <c r="E223" s="19" t="n"/>
      <c r="F223" s="19" t="n"/>
      <c r="G223" s="19" t="n"/>
      <c r="H223" s="19" t="n"/>
      <c r="I223" s="19" t="n"/>
      <c r="J223" s="19" t="n"/>
      <c r="K223" s="19" t="n"/>
      <c r="L223" s="20" t="n"/>
      <c r="M223" s="20" t="n"/>
      <c r="N223" s="20" t="n"/>
      <c r="O223" s="20" t="n"/>
      <c r="P223" s="19" t="n"/>
      <c r="Q223" s="19" t="n"/>
      <c r="R223" s="20" t="n"/>
      <c r="S223" s="20" t="n"/>
      <c r="T223" s="19" t="n"/>
      <c r="U223" s="19" t="n"/>
      <c r="V223" s="19" t="n"/>
      <c r="W223" s="19" t="n"/>
      <c r="X223" s="19" t="n"/>
      <c r="Y223" s="19" t="n"/>
      <c r="Z223" s="21">
        <f>IF(AND($A223="",$B223=""),"",IF(OR($E223="",$H223="",$H223="Proposed",$H223="Not Reported"),0,IF(AND($P223="Y",$Q223&lt;&gt;"Y"),0,IF(AND($K223="Point",N($L223)&lt;=0),0,IF(AND(N($L223)&lt;=0,N($N223)&lt;=0,N($R223)+N($S223)&lt;=0),0,1)))))</f>
        <v/>
      </c>
      <c r="AA223" s="21">
        <f>IF(AND($A223="",$B223=""),"",IF($E223="","Site type missing",IF($H223="","STATUS missing",IF($H223="Proposed","STATUS = Proposed",IF($H223="Not Reported","STATUS = Not Reported",IF(AND($P223="Y",$Q223&lt;&gt;"Y"),"UNESCO-MAB Biosphere Reserve",IF(AND($K223="Point",N($L223)&lt;=0),"Point without REP_AREA",IF(AND(N($L223)&lt;=0,N($N223)&lt;=0,N($R223)+N($S223)&lt;=0),"No area information",""))))))))</f>
        <v/>
      </c>
      <c r="AB223" s="22">
        <f>IF(AND($A223="",$B223=""),"",IF($K223="Point",N($L223),IF(N($N223)&gt;0,N($N223),N($L223))))</f>
        <v/>
      </c>
      <c r="AC223" s="22">
        <f>IF(AND($A223="",$B223=""),"",MIN(AB223,IF(N($J223)=0,0,IF(N($J223)=2,AB223,IF(AND($K223&lt;&gt;"Point",N($O223)&gt;0),N($O223),N($M223))))))</f>
        <v/>
      </c>
      <c r="AD223" s="22">
        <f>IF(AND($A223="",$B223=""),"",MAX(0,AB223-AC223))</f>
        <v/>
      </c>
      <c r="AE223" s="21">
        <f>IF(AND($A223="",$B223=""),"",IF(OR($R223&lt;&gt;"",$S223&lt;&gt;""),1,0))</f>
        <v/>
      </c>
      <c r="AF223" s="22">
        <f>IF(AND($A223="",$B223=""),"",IF(Z223=1,IF(AE223=1,N($R223),AD223),0))</f>
        <v/>
      </c>
      <c r="AG223" s="22">
        <f>IF(AND($A223="",$B223=""),"",IF(Z223=1,IF(AE223=1,N($S223),AC223),0))</f>
        <v/>
      </c>
      <c r="AH223" s="21">
        <f>IF(AND($A223="",$B223=""),"",IF(AND(ISNUMBER($I223),N($I223)&gt;0),$I223,0))</f>
        <v/>
      </c>
      <c r="AI223" s="23">
        <f>IF(AND(NOT(AND($A223="",$B223="")),$K223="Point",N($L223)&gt;0),SQRT(N($L223)/PI()),"")</f>
        <v/>
      </c>
      <c r="AJ223" s="21">
        <f>IF(AND($A223="",$B223=""),"",IFERROR(VLOOKUP($G223,Lists!$D$4:$E$15,2,FALSE),"Not reported"))</f>
        <v/>
      </c>
      <c r="AK223" s="21">
        <f>IF(AND($A223="",$B223=""),"",IF($X223&lt;&gt;"",$X223,IF($T223&lt;&gt;"Y","Not assessed",IF(AND(ISNUMBER($V223),Setup!$B$6-$V223&gt;Setup!$B$26),"Assessment outdated",IF(NOT(ISNUMBER($W223)),"Assessed – no score",IF($W223&gt;=Setup!$B$24,"High",IF($W223&gt;=Setup!$B$25,"Moderate","Low")))))))</f>
        <v/>
      </c>
      <c r="AL223" s="21">
        <f>IF(AND($A223="",$B223=""),"",IF(Z223=0,"",IF(AND(AE223=1,N($R223)&gt;AD223*1.01+0.001),"Net terrestrial &gt; gross; ","")&amp;IF(AND(AE223=1,N($S223)&gt;AC223*1.01+0.001),"Net marine &gt; gross; ","")&amp;IF(AE223=0,"No net area – gross used, overlaps may be double-counted; ","")&amp;IF(AH223=0,"STATUS_YR missing – imputed in time series; ","")&amp;IF(AND(ISNUMBER($I223),N($I223)&gt;Setup!$B$6),"STATUS_YR after reporting year; ","")&amp;IF(OR($G223="",$G223="Not Reported"),"GOV_TYPE not reported; ","")&amp;IF(AND(N($J223)=1,$K223="Point",N($M223)&lt;=0),"Coastal point without REP_M_AREA – land/sea split unknown; ","")&amp;IF(AND(N($J223)=0,N($S223)&gt;0),"MARINE=0 but net marine &gt;0; ","")&amp;IF(AND(N($J223)=2,N($R223)&gt;0),"MARINE=2 but net terrestrial &gt;0; ","")&amp;IF($K223="Point","Buffered point – coverage approximate; ","")))</f>
        <v/>
      </c>
    </row>
    <row r="224">
      <c r="A224" s="19" t="n"/>
      <c r="B224" s="19" t="n"/>
      <c r="C224" s="19" t="n"/>
      <c r="D224" s="19" t="n"/>
      <c r="E224" s="19" t="n"/>
      <c r="F224" s="19" t="n"/>
      <c r="G224" s="19" t="n"/>
      <c r="H224" s="19" t="n"/>
      <c r="I224" s="19" t="n"/>
      <c r="J224" s="19" t="n"/>
      <c r="K224" s="19" t="n"/>
      <c r="L224" s="20" t="n"/>
      <c r="M224" s="20" t="n"/>
      <c r="N224" s="20" t="n"/>
      <c r="O224" s="20" t="n"/>
      <c r="P224" s="19" t="n"/>
      <c r="Q224" s="19" t="n"/>
      <c r="R224" s="20" t="n"/>
      <c r="S224" s="20" t="n"/>
      <c r="T224" s="19" t="n"/>
      <c r="U224" s="19" t="n"/>
      <c r="V224" s="19" t="n"/>
      <c r="W224" s="19" t="n"/>
      <c r="X224" s="19" t="n"/>
      <c r="Y224" s="19" t="n"/>
      <c r="Z224" s="21">
        <f>IF(AND($A224="",$B224=""),"",IF(OR($E224="",$H224="",$H224="Proposed",$H224="Not Reported"),0,IF(AND($P224="Y",$Q224&lt;&gt;"Y"),0,IF(AND($K224="Point",N($L224)&lt;=0),0,IF(AND(N($L224)&lt;=0,N($N224)&lt;=0,N($R224)+N($S224)&lt;=0),0,1)))))</f>
        <v/>
      </c>
      <c r="AA224" s="21">
        <f>IF(AND($A224="",$B224=""),"",IF($E224="","Site type missing",IF($H224="","STATUS missing",IF($H224="Proposed","STATUS = Proposed",IF($H224="Not Reported","STATUS = Not Reported",IF(AND($P224="Y",$Q224&lt;&gt;"Y"),"UNESCO-MAB Biosphere Reserve",IF(AND($K224="Point",N($L224)&lt;=0),"Point without REP_AREA",IF(AND(N($L224)&lt;=0,N($N224)&lt;=0,N($R224)+N($S224)&lt;=0),"No area information",""))))))))</f>
        <v/>
      </c>
      <c r="AB224" s="22">
        <f>IF(AND($A224="",$B224=""),"",IF($K224="Point",N($L224),IF(N($N224)&gt;0,N($N224),N($L224))))</f>
        <v/>
      </c>
      <c r="AC224" s="22">
        <f>IF(AND($A224="",$B224=""),"",MIN(AB224,IF(N($J224)=0,0,IF(N($J224)=2,AB224,IF(AND($K224&lt;&gt;"Point",N($O224)&gt;0),N($O224),N($M224))))))</f>
        <v/>
      </c>
      <c r="AD224" s="22">
        <f>IF(AND($A224="",$B224=""),"",MAX(0,AB224-AC224))</f>
        <v/>
      </c>
      <c r="AE224" s="21">
        <f>IF(AND($A224="",$B224=""),"",IF(OR($R224&lt;&gt;"",$S224&lt;&gt;""),1,0))</f>
        <v/>
      </c>
      <c r="AF224" s="22">
        <f>IF(AND($A224="",$B224=""),"",IF(Z224=1,IF(AE224=1,N($R224),AD224),0))</f>
        <v/>
      </c>
      <c r="AG224" s="22">
        <f>IF(AND($A224="",$B224=""),"",IF(Z224=1,IF(AE224=1,N($S224),AC224),0))</f>
        <v/>
      </c>
      <c r="AH224" s="21">
        <f>IF(AND($A224="",$B224=""),"",IF(AND(ISNUMBER($I224),N($I224)&gt;0),$I224,0))</f>
        <v/>
      </c>
      <c r="AI224" s="23">
        <f>IF(AND(NOT(AND($A224="",$B224="")),$K224="Point",N($L224)&gt;0),SQRT(N($L224)/PI()),"")</f>
        <v/>
      </c>
      <c r="AJ224" s="21">
        <f>IF(AND($A224="",$B224=""),"",IFERROR(VLOOKUP($G224,Lists!$D$4:$E$15,2,FALSE),"Not reported"))</f>
        <v/>
      </c>
      <c r="AK224" s="21">
        <f>IF(AND($A224="",$B224=""),"",IF($X224&lt;&gt;"",$X224,IF($T224&lt;&gt;"Y","Not assessed",IF(AND(ISNUMBER($V224),Setup!$B$6-$V224&gt;Setup!$B$26),"Assessment outdated",IF(NOT(ISNUMBER($W224)),"Assessed – no score",IF($W224&gt;=Setup!$B$24,"High",IF($W224&gt;=Setup!$B$25,"Moderate","Low")))))))</f>
        <v/>
      </c>
      <c r="AL224" s="21">
        <f>IF(AND($A224="",$B224=""),"",IF(Z224=0,"",IF(AND(AE224=1,N($R224)&gt;AD224*1.01+0.001),"Net terrestrial &gt; gross; ","")&amp;IF(AND(AE224=1,N($S224)&gt;AC224*1.01+0.001),"Net marine &gt; gross; ","")&amp;IF(AE224=0,"No net area – gross used, overlaps may be double-counted; ","")&amp;IF(AH224=0,"STATUS_YR missing – imputed in time series; ","")&amp;IF(AND(ISNUMBER($I224),N($I224)&gt;Setup!$B$6),"STATUS_YR after reporting year; ","")&amp;IF(OR($G224="",$G224="Not Reported"),"GOV_TYPE not reported; ","")&amp;IF(AND(N($J224)=1,$K224="Point",N($M224)&lt;=0),"Coastal point without REP_M_AREA – land/sea split unknown; ","")&amp;IF(AND(N($J224)=0,N($S224)&gt;0),"MARINE=0 but net marine &gt;0; ","")&amp;IF(AND(N($J224)=2,N($R224)&gt;0),"MARINE=2 but net terrestrial &gt;0; ","")&amp;IF($K224="Point","Buffered point – coverage approximate; ","")))</f>
        <v/>
      </c>
    </row>
    <row r="225">
      <c r="A225" s="19" t="n"/>
      <c r="B225" s="19" t="n"/>
      <c r="C225" s="19" t="n"/>
      <c r="D225" s="19" t="n"/>
      <c r="E225" s="19" t="n"/>
      <c r="F225" s="19" t="n"/>
      <c r="G225" s="19" t="n"/>
      <c r="H225" s="19" t="n"/>
      <c r="I225" s="19" t="n"/>
      <c r="J225" s="19" t="n"/>
      <c r="K225" s="19" t="n"/>
      <c r="L225" s="20" t="n"/>
      <c r="M225" s="20" t="n"/>
      <c r="N225" s="20" t="n"/>
      <c r="O225" s="20" t="n"/>
      <c r="P225" s="19" t="n"/>
      <c r="Q225" s="19" t="n"/>
      <c r="R225" s="20" t="n"/>
      <c r="S225" s="20" t="n"/>
      <c r="T225" s="19" t="n"/>
      <c r="U225" s="19" t="n"/>
      <c r="V225" s="19" t="n"/>
      <c r="W225" s="19" t="n"/>
      <c r="X225" s="19" t="n"/>
      <c r="Y225" s="19" t="n"/>
      <c r="Z225" s="21">
        <f>IF(AND($A225="",$B225=""),"",IF(OR($E225="",$H225="",$H225="Proposed",$H225="Not Reported"),0,IF(AND($P225="Y",$Q225&lt;&gt;"Y"),0,IF(AND($K225="Point",N($L225)&lt;=0),0,IF(AND(N($L225)&lt;=0,N($N225)&lt;=0,N($R225)+N($S225)&lt;=0),0,1)))))</f>
        <v/>
      </c>
      <c r="AA225" s="21">
        <f>IF(AND($A225="",$B225=""),"",IF($E225="","Site type missing",IF($H225="","STATUS missing",IF($H225="Proposed","STATUS = Proposed",IF($H225="Not Reported","STATUS = Not Reported",IF(AND($P225="Y",$Q225&lt;&gt;"Y"),"UNESCO-MAB Biosphere Reserve",IF(AND($K225="Point",N($L225)&lt;=0),"Point without REP_AREA",IF(AND(N($L225)&lt;=0,N($N225)&lt;=0,N($R225)+N($S225)&lt;=0),"No area information",""))))))))</f>
        <v/>
      </c>
      <c r="AB225" s="22">
        <f>IF(AND($A225="",$B225=""),"",IF($K225="Point",N($L225),IF(N($N225)&gt;0,N($N225),N($L225))))</f>
        <v/>
      </c>
      <c r="AC225" s="22">
        <f>IF(AND($A225="",$B225=""),"",MIN(AB225,IF(N($J225)=0,0,IF(N($J225)=2,AB225,IF(AND($K225&lt;&gt;"Point",N($O225)&gt;0),N($O225),N($M225))))))</f>
        <v/>
      </c>
      <c r="AD225" s="22">
        <f>IF(AND($A225="",$B225=""),"",MAX(0,AB225-AC225))</f>
        <v/>
      </c>
      <c r="AE225" s="21">
        <f>IF(AND($A225="",$B225=""),"",IF(OR($R225&lt;&gt;"",$S225&lt;&gt;""),1,0))</f>
        <v/>
      </c>
      <c r="AF225" s="22">
        <f>IF(AND($A225="",$B225=""),"",IF(Z225=1,IF(AE225=1,N($R225),AD225),0))</f>
        <v/>
      </c>
      <c r="AG225" s="22">
        <f>IF(AND($A225="",$B225=""),"",IF(Z225=1,IF(AE225=1,N($S225),AC225),0))</f>
        <v/>
      </c>
      <c r="AH225" s="21">
        <f>IF(AND($A225="",$B225=""),"",IF(AND(ISNUMBER($I225),N($I225)&gt;0),$I225,0))</f>
        <v/>
      </c>
      <c r="AI225" s="23">
        <f>IF(AND(NOT(AND($A225="",$B225="")),$K225="Point",N($L225)&gt;0),SQRT(N($L225)/PI()),"")</f>
        <v/>
      </c>
      <c r="AJ225" s="21">
        <f>IF(AND($A225="",$B225=""),"",IFERROR(VLOOKUP($G225,Lists!$D$4:$E$15,2,FALSE),"Not reported"))</f>
        <v/>
      </c>
      <c r="AK225" s="21">
        <f>IF(AND($A225="",$B225=""),"",IF($X225&lt;&gt;"",$X225,IF($T225&lt;&gt;"Y","Not assessed",IF(AND(ISNUMBER($V225),Setup!$B$6-$V225&gt;Setup!$B$26),"Assessment outdated",IF(NOT(ISNUMBER($W225)),"Assessed – no score",IF($W225&gt;=Setup!$B$24,"High",IF($W225&gt;=Setup!$B$25,"Moderate","Low")))))))</f>
        <v/>
      </c>
      <c r="AL225" s="21">
        <f>IF(AND($A225="",$B225=""),"",IF(Z225=0,"",IF(AND(AE225=1,N($R225)&gt;AD225*1.01+0.001),"Net terrestrial &gt; gross; ","")&amp;IF(AND(AE225=1,N($S225)&gt;AC225*1.01+0.001),"Net marine &gt; gross; ","")&amp;IF(AE225=0,"No net area – gross used, overlaps may be double-counted; ","")&amp;IF(AH225=0,"STATUS_YR missing – imputed in time series; ","")&amp;IF(AND(ISNUMBER($I225),N($I225)&gt;Setup!$B$6),"STATUS_YR after reporting year; ","")&amp;IF(OR($G225="",$G225="Not Reported"),"GOV_TYPE not reported; ","")&amp;IF(AND(N($J225)=1,$K225="Point",N($M225)&lt;=0),"Coastal point without REP_M_AREA – land/sea split unknown; ","")&amp;IF(AND(N($J225)=0,N($S225)&gt;0),"MARINE=0 but net marine &gt;0; ","")&amp;IF(AND(N($J225)=2,N($R225)&gt;0),"MARINE=2 but net terrestrial &gt;0; ","")&amp;IF($K225="Point","Buffered point – coverage approximate; ","")))</f>
        <v/>
      </c>
    </row>
    <row r="226">
      <c r="A226" s="19" t="n"/>
      <c r="B226" s="19" t="n"/>
      <c r="C226" s="19" t="n"/>
      <c r="D226" s="19" t="n"/>
      <c r="E226" s="19" t="n"/>
      <c r="F226" s="19" t="n"/>
      <c r="G226" s="19" t="n"/>
      <c r="H226" s="19" t="n"/>
      <c r="I226" s="19" t="n"/>
      <c r="J226" s="19" t="n"/>
      <c r="K226" s="19" t="n"/>
      <c r="L226" s="20" t="n"/>
      <c r="M226" s="20" t="n"/>
      <c r="N226" s="20" t="n"/>
      <c r="O226" s="20" t="n"/>
      <c r="P226" s="19" t="n"/>
      <c r="Q226" s="19" t="n"/>
      <c r="R226" s="20" t="n"/>
      <c r="S226" s="20" t="n"/>
      <c r="T226" s="19" t="n"/>
      <c r="U226" s="19" t="n"/>
      <c r="V226" s="19" t="n"/>
      <c r="W226" s="19" t="n"/>
      <c r="X226" s="19" t="n"/>
      <c r="Y226" s="19" t="n"/>
      <c r="Z226" s="21">
        <f>IF(AND($A226="",$B226=""),"",IF(OR($E226="",$H226="",$H226="Proposed",$H226="Not Reported"),0,IF(AND($P226="Y",$Q226&lt;&gt;"Y"),0,IF(AND($K226="Point",N($L226)&lt;=0),0,IF(AND(N($L226)&lt;=0,N($N226)&lt;=0,N($R226)+N($S226)&lt;=0),0,1)))))</f>
        <v/>
      </c>
      <c r="AA226" s="21">
        <f>IF(AND($A226="",$B226=""),"",IF($E226="","Site type missing",IF($H226="","STATUS missing",IF($H226="Proposed","STATUS = Proposed",IF($H226="Not Reported","STATUS = Not Reported",IF(AND($P226="Y",$Q226&lt;&gt;"Y"),"UNESCO-MAB Biosphere Reserve",IF(AND($K226="Point",N($L226)&lt;=0),"Point without REP_AREA",IF(AND(N($L226)&lt;=0,N($N226)&lt;=0,N($R226)+N($S226)&lt;=0),"No area information",""))))))))</f>
        <v/>
      </c>
      <c r="AB226" s="22">
        <f>IF(AND($A226="",$B226=""),"",IF($K226="Point",N($L226),IF(N($N226)&gt;0,N($N226),N($L226))))</f>
        <v/>
      </c>
      <c r="AC226" s="22">
        <f>IF(AND($A226="",$B226=""),"",MIN(AB226,IF(N($J226)=0,0,IF(N($J226)=2,AB226,IF(AND($K226&lt;&gt;"Point",N($O226)&gt;0),N($O226),N($M226))))))</f>
        <v/>
      </c>
      <c r="AD226" s="22">
        <f>IF(AND($A226="",$B226=""),"",MAX(0,AB226-AC226))</f>
        <v/>
      </c>
      <c r="AE226" s="21">
        <f>IF(AND($A226="",$B226=""),"",IF(OR($R226&lt;&gt;"",$S226&lt;&gt;""),1,0))</f>
        <v/>
      </c>
      <c r="AF226" s="22">
        <f>IF(AND($A226="",$B226=""),"",IF(Z226=1,IF(AE226=1,N($R226),AD226),0))</f>
        <v/>
      </c>
      <c r="AG226" s="22">
        <f>IF(AND($A226="",$B226=""),"",IF(Z226=1,IF(AE226=1,N($S226),AC226),0))</f>
        <v/>
      </c>
      <c r="AH226" s="21">
        <f>IF(AND($A226="",$B226=""),"",IF(AND(ISNUMBER($I226),N($I226)&gt;0),$I226,0))</f>
        <v/>
      </c>
      <c r="AI226" s="23">
        <f>IF(AND(NOT(AND($A226="",$B226="")),$K226="Point",N($L226)&gt;0),SQRT(N($L226)/PI()),"")</f>
        <v/>
      </c>
      <c r="AJ226" s="21">
        <f>IF(AND($A226="",$B226=""),"",IFERROR(VLOOKUP($G226,Lists!$D$4:$E$15,2,FALSE),"Not reported"))</f>
        <v/>
      </c>
      <c r="AK226" s="21">
        <f>IF(AND($A226="",$B226=""),"",IF($X226&lt;&gt;"",$X226,IF($T226&lt;&gt;"Y","Not assessed",IF(AND(ISNUMBER($V226),Setup!$B$6-$V226&gt;Setup!$B$26),"Assessment outdated",IF(NOT(ISNUMBER($W226)),"Assessed – no score",IF($W226&gt;=Setup!$B$24,"High",IF($W226&gt;=Setup!$B$25,"Moderate","Low")))))))</f>
        <v/>
      </c>
      <c r="AL226" s="21">
        <f>IF(AND($A226="",$B226=""),"",IF(Z226=0,"",IF(AND(AE226=1,N($R226)&gt;AD226*1.01+0.001),"Net terrestrial &gt; gross; ","")&amp;IF(AND(AE226=1,N($S226)&gt;AC226*1.01+0.001),"Net marine &gt; gross; ","")&amp;IF(AE226=0,"No net area – gross used, overlaps may be double-counted; ","")&amp;IF(AH226=0,"STATUS_YR missing – imputed in time series; ","")&amp;IF(AND(ISNUMBER($I226),N($I226)&gt;Setup!$B$6),"STATUS_YR after reporting year; ","")&amp;IF(OR($G226="",$G226="Not Reported"),"GOV_TYPE not reported; ","")&amp;IF(AND(N($J226)=1,$K226="Point",N($M226)&lt;=0),"Coastal point without REP_M_AREA – land/sea split unknown; ","")&amp;IF(AND(N($J226)=0,N($S226)&gt;0),"MARINE=0 but net marine &gt;0; ","")&amp;IF(AND(N($J226)=2,N($R226)&gt;0),"MARINE=2 but net terrestrial &gt;0; ","")&amp;IF($K226="Point","Buffered point – coverage approximate; ","")))</f>
        <v/>
      </c>
    </row>
    <row r="227">
      <c r="A227" s="19" t="n"/>
      <c r="B227" s="19" t="n"/>
      <c r="C227" s="19" t="n"/>
      <c r="D227" s="19" t="n"/>
      <c r="E227" s="19" t="n"/>
      <c r="F227" s="19" t="n"/>
      <c r="G227" s="19" t="n"/>
      <c r="H227" s="19" t="n"/>
      <c r="I227" s="19" t="n"/>
      <c r="J227" s="19" t="n"/>
      <c r="K227" s="19" t="n"/>
      <c r="L227" s="20" t="n"/>
      <c r="M227" s="20" t="n"/>
      <c r="N227" s="20" t="n"/>
      <c r="O227" s="20" t="n"/>
      <c r="P227" s="19" t="n"/>
      <c r="Q227" s="19" t="n"/>
      <c r="R227" s="20" t="n"/>
      <c r="S227" s="20" t="n"/>
      <c r="T227" s="19" t="n"/>
      <c r="U227" s="19" t="n"/>
      <c r="V227" s="19" t="n"/>
      <c r="W227" s="19" t="n"/>
      <c r="X227" s="19" t="n"/>
      <c r="Y227" s="19" t="n"/>
      <c r="Z227" s="21">
        <f>IF(AND($A227="",$B227=""),"",IF(OR($E227="",$H227="",$H227="Proposed",$H227="Not Reported"),0,IF(AND($P227="Y",$Q227&lt;&gt;"Y"),0,IF(AND($K227="Point",N($L227)&lt;=0),0,IF(AND(N($L227)&lt;=0,N($N227)&lt;=0,N($R227)+N($S227)&lt;=0),0,1)))))</f>
        <v/>
      </c>
      <c r="AA227" s="21">
        <f>IF(AND($A227="",$B227=""),"",IF($E227="","Site type missing",IF($H227="","STATUS missing",IF($H227="Proposed","STATUS = Proposed",IF($H227="Not Reported","STATUS = Not Reported",IF(AND($P227="Y",$Q227&lt;&gt;"Y"),"UNESCO-MAB Biosphere Reserve",IF(AND($K227="Point",N($L227)&lt;=0),"Point without REP_AREA",IF(AND(N($L227)&lt;=0,N($N227)&lt;=0,N($R227)+N($S227)&lt;=0),"No area information",""))))))))</f>
        <v/>
      </c>
      <c r="AB227" s="22">
        <f>IF(AND($A227="",$B227=""),"",IF($K227="Point",N($L227),IF(N($N227)&gt;0,N($N227),N($L227))))</f>
        <v/>
      </c>
      <c r="AC227" s="22">
        <f>IF(AND($A227="",$B227=""),"",MIN(AB227,IF(N($J227)=0,0,IF(N($J227)=2,AB227,IF(AND($K227&lt;&gt;"Point",N($O227)&gt;0),N($O227),N($M227))))))</f>
        <v/>
      </c>
      <c r="AD227" s="22">
        <f>IF(AND($A227="",$B227=""),"",MAX(0,AB227-AC227))</f>
        <v/>
      </c>
      <c r="AE227" s="21">
        <f>IF(AND($A227="",$B227=""),"",IF(OR($R227&lt;&gt;"",$S227&lt;&gt;""),1,0))</f>
        <v/>
      </c>
      <c r="AF227" s="22">
        <f>IF(AND($A227="",$B227=""),"",IF(Z227=1,IF(AE227=1,N($R227),AD227),0))</f>
        <v/>
      </c>
      <c r="AG227" s="22">
        <f>IF(AND($A227="",$B227=""),"",IF(Z227=1,IF(AE227=1,N($S227),AC227),0))</f>
        <v/>
      </c>
      <c r="AH227" s="21">
        <f>IF(AND($A227="",$B227=""),"",IF(AND(ISNUMBER($I227),N($I227)&gt;0),$I227,0))</f>
        <v/>
      </c>
      <c r="AI227" s="23">
        <f>IF(AND(NOT(AND($A227="",$B227="")),$K227="Point",N($L227)&gt;0),SQRT(N($L227)/PI()),"")</f>
        <v/>
      </c>
      <c r="AJ227" s="21">
        <f>IF(AND($A227="",$B227=""),"",IFERROR(VLOOKUP($G227,Lists!$D$4:$E$15,2,FALSE),"Not reported"))</f>
        <v/>
      </c>
      <c r="AK227" s="21">
        <f>IF(AND($A227="",$B227=""),"",IF($X227&lt;&gt;"",$X227,IF($T227&lt;&gt;"Y","Not assessed",IF(AND(ISNUMBER($V227),Setup!$B$6-$V227&gt;Setup!$B$26),"Assessment outdated",IF(NOT(ISNUMBER($W227)),"Assessed – no score",IF($W227&gt;=Setup!$B$24,"High",IF($W227&gt;=Setup!$B$25,"Moderate","Low")))))))</f>
        <v/>
      </c>
      <c r="AL227" s="21">
        <f>IF(AND($A227="",$B227=""),"",IF(Z227=0,"",IF(AND(AE227=1,N($R227)&gt;AD227*1.01+0.001),"Net terrestrial &gt; gross; ","")&amp;IF(AND(AE227=1,N($S227)&gt;AC227*1.01+0.001),"Net marine &gt; gross; ","")&amp;IF(AE227=0,"No net area – gross used, overlaps may be double-counted; ","")&amp;IF(AH227=0,"STATUS_YR missing – imputed in time series; ","")&amp;IF(AND(ISNUMBER($I227),N($I227)&gt;Setup!$B$6),"STATUS_YR after reporting year; ","")&amp;IF(OR($G227="",$G227="Not Reported"),"GOV_TYPE not reported; ","")&amp;IF(AND(N($J227)=1,$K227="Point",N($M227)&lt;=0),"Coastal point without REP_M_AREA – land/sea split unknown; ","")&amp;IF(AND(N($J227)=0,N($S227)&gt;0),"MARINE=0 but net marine &gt;0; ","")&amp;IF(AND(N($J227)=2,N($R227)&gt;0),"MARINE=2 but net terrestrial &gt;0; ","")&amp;IF($K227="Point","Buffered point – coverage approximate; ","")))</f>
        <v/>
      </c>
    </row>
    <row r="228">
      <c r="A228" s="19" t="n"/>
      <c r="B228" s="19" t="n"/>
      <c r="C228" s="19" t="n"/>
      <c r="D228" s="19" t="n"/>
      <c r="E228" s="19" t="n"/>
      <c r="F228" s="19" t="n"/>
      <c r="G228" s="19" t="n"/>
      <c r="H228" s="19" t="n"/>
      <c r="I228" s="19" t="n"/>
      <c r="J228" s="19" t="n"/>
      <c r="K228" s="19" t="n"/>
      <c r="L228" s="20" t="n"/>
      <c r="M228" s="20" t="n"/>
      <c r="N228" s="20" t="n"/>
      <c r="O228" s="20" t="n"/>
      <c r="P228" s="19" t="n"/>
      <c r="Q228" s="19" t="n"/>
      <c r="R228" s="20" t="n"/>
      <c r="S228" s="20" t="n"/>
      <c r="T228" s="19" t="n"/>
      <c r="U228" s="19" t="n"/>
      <c r="V228" s="19" t="n"/>
      <c r="W228" s="19" t="n"/>
      <c r="X228" s="19" t="n"/>
      <c r="Y228" s="19" t="n"/>
      <c r="Z228" s="21">
        <f>IF(AND($A228="",$B228=""),"",IF(OR($E228="",$H228="",$H228="Proposed",$H228="Not Reported"),0,IF(AND($P228="Y",$Q228&lt;&gt;"Y"),0,IF(AND($K228="Point",N($L228)&lt;=0),0,IF(AND(N($L228)&lt;=0,N($N228)&lt;=0,N($R228)+N($S228)&lt;=0),0,1)))))</f>
        <v/>
      </c>
      <c r="AA228" s="21">
        <f>IF(AND($A228="",$B228=""),"",IF($E228="","Site type missing",IF($H228="","STATUS missing",IF($H228="Proposed","STATUS = Proposed",IF($H228="Not Reported","STATUS = Not Reported",IF(AND($P228="Y",$Q228&lt;&gt;"Y"),"UNESCO-MAB Biosphere Reserve",IF(AND($K228="Point",N($L228)&lt;=0),"Point without REP_AREA",IF(AND(N($L228)&lt;=0,N($N228)&lt;=0,N($R228)+N($S228)&lt;=0),"No area information",""))))))))</f>
        <v/>
      </c>
      <c r="AB228" s="22">
        <f>IF(AND($A228="",$B228=""),"",IF($K228="Point",N($L228),IF(N($N228)&gt;0,N($N228),N($L228))))</f>
        <v/>
      </c>
      <c r="AC228" s="22">
        <f>IF(AND($A228="",$B228=""),"",MIN(AB228,IF(N($J228)=0,0,IF(N($J228)=2,AB228,IF(AND($K228&lt;&gt;"Point",N($O228)&gt;0),N($O228),N($M228))))))</f>
        <v/>
      </c>
      <c r="AD228" s="22">
        <f>IF(AND($A228="",$B228=""),"",MAX(0,AB228-AC228))</f>
        <v/>
      </c>
      <c r="AE228" s="21">
        <f>IF(AND($A228="",$B228=""),"",IF(OR($R228&lt;&gt;"",$S228&lt;&gt;""),1,0))</f>
        <v/>
      </c>
      <c r="AF228" s="22">
        <f>IF(AND($A228="",$B228=""),"",IF(Z228=1,IF(AE228=1,N($R228),AD228),0))</f>
        <v/>
      </c>
      <c r="AG228" s="22">
        <f>IF(AND($A228="",$B228=""),"",IF(Z228=1,IF(AE228=1,N($S228),AC228),0))</f>
        <v/>
      </c>
      <c r="AH228" s="21">
        <f>IF(AND($A228="",$B228=""),"",IF(AND(ISNUMBER($I228),N($I228)&gt;0),$I228,0))</f>
        <v/>
      </c>
      <c r="AI228" s="23">
        <f>IF(AND(NOT(AND($A228="",$B228="")),$K228="Point",N($L228)&gt;0),SQRT(N($L228)/PI()),"")</f>
        <v/>
      </c>
      <c r="AJ228" s="21">
        <f>IF(AND($A228="",$B228=""),"",IFERROR(VLOOKUP($G228,Lists!$D$4:$E$15,2,FALSE),"Not reported"))</f>
        <v/>
      </c>
      <c r="AK228" s="21">
        <f>IF(AND($A228="",$B228=""),"",IF($X228&lt;&gt;"",$X228,IF($T228&lt;&gt;"Y","Not assessed",IF(AND(ISNUMBER($V228),Setup!$B$6-$V228&gt;Setup!$B$26),"Assessment outdated",IF(NOT(ISNUMBER($W228)),"Assessed – no score",IF($W228&gt;=Setup!$B$24,"High",IF($W228&gt;=Setup!$B$25,"Moderate","Low")))))))</f>
        <v/>
      </c>
      <c r="AL228" s="21">
        <f>IF(AND($A228="",$B228=""),"",IF(Z228=0,"",IF(AND(AE228=1,N($R228)&gt;AD228*1.01+0.001),"Net terrestrial &gt; gross; ","")&amp;IF(AND(AE228=1,N($S228)&gt;AC228*1.01+0.001),"Net marine &gt; gross; ","")&amp;IF(AE228=0,"No net area – gross used, overlaps may be double-counted; ","")&amp;IF(AH228=0,"STATUS_YR missing – imputed in time series; ","")&amp;IF(AND(ISNUMBER($I228),N($I228)&gt;Setup!$B$6),"STATUS_YR after reporting year; ","")&amp;IF(OR($G228="",$G228="Not Reported"),"GOV_TYPE not reported; ","")&amp;IF(AND(N($J228)=1,$K228="Point",N($M228)&lt;=0),"Coastal point without REP_M_AREA – land/sea split unknown; ","")&amp;IF(AND(N($J228)=0,N($S228)&gt;0),"MARINE=0 but net marine &gt;0; ","")&amp;IF(AND(N($J228)=2,N($R228)&gt;0),"MARINE=2 but net terrestrial &gt;0; ","")&amp;IF($K228="Point","Buffered point – coverage approximate; ","")))</f>
        <v/>
      </c>
    </row>
    <row r="229">
      <c r="A229" s="19" t="n"/>
      <c r="B229" s="19" t="n"/>
      <c r="C229" s="19" t="n"/>
      <c r="D229" s="19" t="n"/>
      <c r="E229" s="19" t="n"/>
      <c r="F229" s="19" t="n"/>
      <c r="G229" s="19" t="n"/>
      <c r="H229" s="19" t="n"/>
      <c r="I229" s="19" t="n"/>
      <c r="J229" s="19" t="n"/>
      <c r="K229" s="19" t="n"/>
      <c r="L229" s="20" t="n"/>
      <c r="M229" s="20" t="n"/>
      <c r="N229" s="20" t="n"/>
      <c r="O229" s="20" t="n"/>
      <c r="P229" s="19" t="n"/>
      <c r="Q229" s="19" t="n"/>
      <c r="R229" s="20" t="n"/>
      <c r="S229" s="20" t="n"/>
      <c r="T229" s="19" t="n"/>
      <c r="U229" s="19" t="n"/>
      <c r="V229" s="19" t="n"/>
      <c r="W229" s="19" t="n"/>
      <c r="X229" s="19" t="n"/>
      <c r="Y229" s="19" t="n"/>
      <c r="Z229" s="21">
        <f>IF(AND($A229="",$B229=""),"",IF(OR($E229="",$H229="",$H229="Proposed",$H229="Not Reported"),0,IF(AND($P229="Y",$Q229&lt;&gt;"Y"),0,IF(AND($K229="Point",N($L229)&lt;=0),0,IF(AND(N($L229)&lt;=0,N($N229)&lt;=0,N($R229)+N($S229)&lt;=0),0,1)))))</f>
        <v/>
      </c>
      <c r="AA229" s="21">
        <f>IF(AND($A229="",$B229=""),"",IF($E229="","Site type missing",IF($H229="","STATUS missing",IF($H229="Proposed","STATUS = Proposed",IF($H229="Not Reported","STATUS = Not Reported",IF(AND($P229="Y",$Q229&lt;&gt;"Y"),"UNESCO-MAB Biosphere Reserve",IF(AND($K229="Point",N($L229)&lt;=0),"Point without REP_AREA",IF(AND(N($L229)&lt;=0,N($N229)&lt;=0,N($R229)+N($S229)&lt;=0),"No area information",""))))))))</f>
        <v/>
      </c>
      <c r="AB229" s="22">
        <f>IF(AND($A229="",$B229=""),"",IF($K229="Point",N($L229),IF(N($N229)&gt;0,N($N229),N($L229))))</f>
        <v/>
      </c>
      <c r="AC229" s="22">
        <f>IF(AND($A229="",$B229=""),"",MIN(AB229,IF(N($J229)=0,0,IF(N($J229)=2,AB229,IF(AND($K229&lt;&gt;"Point",N($O229)&gt;0),N($O229),N($M229))))))</f>
        <v/>
      </c>
      <c r="AD229" s="22">
        <f>IF(AND($A229="",$B229=""),"",MAX(0,AB229-AC229))</f>
        <v/>
      </c>
      <c r="AE229" s="21">
        <f>IF(AND($A229="",$B229=""),"",IF(OR($R229&lt;&gt;"",$S229&lt;&gt;""),1,0))</f>
        <v/>
      </c>
      <c r="AF229" s="22">
        <f>IF(AND($A229="",$B229=""),"",IF(Z229=1,IF(AE229=1,N($R229),AD229),0))</f>
        <v/>
      </c>
      <c r="AG229" s="22">
        <f>IF(AND($A229="",$B229=""),"",IF(Z229=1,IF(AE229=1,N($S229),AC229),0))</f>
        <v/>
      </c>
      <c r="AH229" s="21">
        <f>IF(AND($A229="",$B229=""),"",IF(AND(ISNUMBER($I229),N($I229)&gt;0),$I229,0))</f>
        <v/>
      </c>
      <c r="AI229" s="23">
        <f>IF(AND(NOT(AND($A229="",$B229="")),$K229="Point",N($L229)&gt;0),SQRT(N($L229)/PI()),"")</f>
        <v/>
      </c>
      <c r="AJ229" s="21">
        <f>IF(AND($A229="",$B229=""),"",IFERROR(VLOOKUP($G229,Lists!$D$4:$E$15,2,FALSE),"Not reported"))</f>
        <v/>
      </c>
      <c r="AK229" s="21">
        <f>IF(AND($A229="",$B229=""),"",IF($X229&lt;&gt;"",$X229,IF($T229&lt;&gt;"Y","Not assessed",IF(AND(ISNUMBER($V229),Setup!$B$6-$V229&gt;Setup!$B$26),"Assessment outdated",IF(NOT(ISNUMBER($W229)),"Assessed – no score",IF($W229&gt;=Setup!$B$24,"High",IF($W229&gt;=Setup!$B$25,"Moderate","Low")))))))</f>
        <v/>
      </c>
      <c r="AL229" s="21">
        <f>IF(AND($A229="",$B229=""),"",IF(Z229=0,"",IF(AND(AE229=1,N($R229)&gt;AD229*1.01+0.001),"Net terrestrial &gt; gross; ","")&amp;IF(AND(AE229=1,N($S229)&gt;AC229*1.01+0.001),"Net marine &gt; gross; ","")&amp;IF(AE229=0,"No net area – gross used, overlaps may be double-counted; ","")&amp;IF(AH229=0,"STATUS_YR missing – imputed in time series; ","")&amp;IF(AND(ISNUMBER($I229),N($I229)&gt;Setup!$B$6),"STATUS_YR after reporting year; ","")&amp;IF(OR($G229="",$G229="Not Reported"),"GOV_TYPE not reported; ","")&amp;IF(AND(N($J229)=1,$K229="Point",N($M229)&lt;=0),"Coastal point without REP_M_AREA – land/sea split unknown; ","")&amp;IF(AND(N($J229)=0,N($S229)&gt;0),"MARINE=0 but net marine &gt;0; ","")&amp;IF(AND(N($J229)=2,N($R229)&gt;0),"MARINE=2 but net terrestrial &gt;0; ","")&amp;IF($K229="Point","Buffered point – coverage approximate; ","")))</f>
        <v/>
      </c>
    </row>
    <row r="230">
      <c r="A230" s="19" t="n"/>
      <c r="B230" s="19" t="n"/>
      <c r="C230" s="19" t="n"/>
      <c r="D230" s="19" t="n"/>
      <c r="E230" s="19" t="n"/>
      <c r="F230" s="19" t="n"/>
      <c r="G230" s="19" t="n"/>
      <c r="H230" s="19" t="n"/>
      <c r="I230" s="19" t="n"/>
      <c r="J230" s="19" t="n"/>
      <c r="K230" s="19" t="n"/>
      <c r="L230" s="20" t="n"/>
      <c r="M230" s="20" t="n"/>
      <c r="N230" s="20" t="n"/>
      <c r="O230" s="20" t="n"/>
      <c r="P230" s="19" t="n"/>
      <c r="Q230" s="19" t="n"/>
      <c r="R230" s="20" t="n"/>
      <c r="S230" s="20" t="n"/>
      <c r="T230" s="19" t="n"/>
      <c r="U230" s="19" t="n"/>
      <c r="V230" s="19" t="n"/>
      <c r="W230" s="19" t="n"/>
      <c r="X230" s="19" t="n"/>
      <c r="Y230" s="19" t="n"/>
      <c r="Z230" s="21">
        <f>IF(AND($A230="",$B230=""),"",IF(OR($E230="",$H230="",$H230="Proposed",$H230="Not Reported"),0,IF(AND($P230="Y",$Q230&lt;&gt;"Y"),0,IF(AND($K230="Point",N($L230)&lt;=0),0,IF(AND(N($L230)&lt;=0,N($N230)&lt;=0,N($R230)+N($S230)&lt;=0),0,1)))))</f>
        <v/>
      </c>
      <c r="AA230" s="21">
        <f>IF(AND($A230="",$B230=""),"",IF($E230="","Site type missing",IF($H230="","STATUS missing",IF($H230="Proposed","STATUS = Proposed",IF($H230="Not Reported","STATUS = Not Reported",IF(AND($P230="Y",$Q230&lt;&gt;"Y"),"UNESCO-MAB Biosphere Reserve",IF(AND($K230="Point",N($L230)&lt;=0),"Point without REP_AREA",IF(AND(N($L230)&lt;=0,N($N230)&lt;=0,N($R230)+N($S230)&lt;=0),"No area information",""))))))))</f>
        <v/>
      </c>
      <c r="AB230" s="22">
        <f>IF(AND($A230="",$B230=""),"",IF($K230="Point",N($L230),IF(N($N230)&gt;0,N($N230),N($L230))))</f>
        <v/>
      </c>
      <c r="AC230" s="22">
        <f>IF(AND($A230="",$B230=""),"",MIN(AB230,IF(N($J230)=0,0,IF(N($J230)=2,AB230,IF(AND($K230&lt;&gt;"Point",N($O230)&gt;0),N($O230),N($M230))))))</f>
        <v/>
      </c>
      <c r="AD230" s="22">
        <f>IF(AND($A230="",$B230=""),"",MAX(0,AB230-AC230))</f>
        <v/>
      </c>
      <c r="AE230" s="21">
        <f>IF(AND($A230="",$B230=""),"",IF(OR($R230&lt;&gt;"",$S230&lt;&gt;""),1,0))</f>
        <v/>
      </c>
      <c r="AF230" s="22">
        <f>IF(AND($A230="",$B230=""),"",IF(Z230=1,IF(AE230=1,N($R230),AD230),0))</f>
        <v/>
      </c>
      <c r="AG230" s="22">
        <f>IF(AND($A230="",$B230=""),"",IF(Z230=1,IF(AE230=1,N($S230),AC230),0))</f>
        <v/>
      </c>
      <c r="AH230" s="21">
        <f>IF(AND($A230="",$B230=""),"",IF(AND(ISNUMBER($I230),N($I230)&gt;0),$I230,0))</f>
        <v/>
      </c>
      <c r="AI230" s="23">
        <f>IF(AND(NOT(AND($A230="",$B230="")),$K230="Point",N($L230)&gt;0),SQRT(N($L230)/PI()),"")</f>
        <v/>
      </c>
      <c r="AJ230" s="21">
        <f>IF(AND($A230="",$B230=""),"",IFERROR(VLOOKUP($G230,Lists!$D$4:$E$15,2,FALSE),"Not reported"))</f>
        <v/>
      </c>
      <c r="AK230" s="21">
        <f>IF(AND($A230="",$B230=""),"",IF($X230&lt;&gt;"",$X230,IF($T230&lt;&gt;"Y","Not assessed",IF(AND(ISNUMBER($V230),Setup!$B$6-$V230&gt;Setup!$B$26),"Assessment outdated",IF(NOT(ISNUMBER($W230)),"Assessed – no score",IF($W230&gt;=Setup!$B$24,"High",IF($W230&gt;=Setup!$B$25,"Moderate","Low")))))))</f>
        <v/>
      </c>
      <c r="AL230" s="21">
        <f>IF(AND($A230="",$B230=""),"",IF(Z230=0,"",IF(AND(AE230=1,N($R230)&gt;AD230*1.01+0.001),"Net terrestrial &gt; gross; ","")&amp;IF(AND(AE230=1,N($S230)&gt;AC230*1.01+0.001),"Net marine &gt; gross; ","")&amp;IF(AE230=0,"No net area – gross used, overlaps may be double-counted; ","")&amp;IF(AH230=0,"STATUS_YR missing – imputed in time series; ","")&amp;IF(AND(ISNUMBER($I230),N($I230)&gt;Setup!$B$6),"STATUS_YR after reporting year; ","")&amp;IF(OR($G230="",$G230="Not Reported"),"GOV_TYPE not reported; ","")&amp;IF(AND(N($J230)=1,$K230="Point",N($M230)&lt;=0),"Coastal point without REP_M_AREA – land/sea split unknown; ","")&amp;IF(AND(N($J230)=0,N($S230)&gt;0),"MARINE=0 but net marine &gt;0; ","")&amp;IF(AND(N($J230)=2,N($R230)&gt;0),"MARINE=2 but net terrestrial &gt;0; ","")&amp;IF($K230="Point","Buffered point – coverage approximate; ","")))</f>
        <v/>
      </c>
    </row>
    <row r="231">
      <c r="A231" s="19" t="n"/>
      <c r="B231" s="19" t="n"/>
      <c r="C231" s="19" t="n"/>
      <c r="D231" s="19" t="n"/>
      <c r="E231" s="19" t="n"/>
      <c r="F231" s="19" t="n"/>
      <c r="G231" s="19" t="n"/>
      <c r="H231" s="19" t="n"/>
      <c r="I231" s="19" t="n"/>
      <c r="J231" s="19" t="n"/>
      <c r="K231" s="19" t="n"/>
      <c r="L231" s="20" t="n"/>
      <c r="M231" s="20" t="n"/>
      <c r="N231" s="20" t="n"/>
      <c r="O231" s="20" t="n"/>
      <c r="P231" s="19" t="n"/>
      <c r="Q231" s="19" t="n"/>
      <c r="R231" s="20" t="n"/>
      <c r="S231" s="20" t="n"/>
      <c r="T231" s="19" t="n"/>
      <c r="U231" s="19" t="n"/>
      <c r="V231" s="19" t="n"/>
      <c r="W231" s="19" t="n"/>
      <c r="X231" s="19" t="n"/>
      <c r="Y231" s="19" t="n"/>
      <c r="Z231" s="21">
        <f>IF(AND($A231="",$B231=""),"",IF(OR($E231="",$H231="",$H231="Proposed",$H231="Not Reported"),0,IF(AND($P231="Y",$Q231&lt;&gt;"Y"),0,IF(AND($K231="Point",N($L231)&lt;=0),0,IF(AND(N($L231)&lt;=0,N($N231)&lt;=0,N($R231)+N($S231)&lt;=0),0,1)))))</f>
        <v/>
      </c>
      <c r="AA231" s="21">
        <f>IF(AND($A231="",$B231=""),"",IF($E231="","Site type missing",IF($H231="","STATUS missing",IF($H231="Proposed","STATUS = Proposed",IF($H231="Not Reported","STATUS = Not Reported",IF(AND($P231="Y",$Q231&lt;&gt;"Y"),"UNESCO-MAB Biosphere Reserve",IF(AND($K231="Point",N($L231)&lt;=0),"Point without REP_AREA",IF(AND(N($L231)&lt;=0,N($N231)&lt;=0,N($R231)+N($S231)&lt;=0),"No area information",""))))))))</f>
        <v/>
      </c>
      <c r="AB231" s="22">
        <f>IF(AND($A231="",$B231=""),"",IF($K231="Point",N($L231),IF(N($N231)&gt;0,N($N231),N($L231))))</f>
        <v/>
      </c>
      <c r="AC231" s="22">
        <f>IF(AND($A231="",$B231=""),"",MIN(AB231,IF(N($J231)=0,0,IF(N($J231)=2,AB231,IF(AND($K231&lt;&gt;"Point",N($O231)&gt;0),N($O231),N($M231))))))</f>
        <v/>
      </c>
      <c r="AD231" s="22">
        <f>IF(AND($A231="",$B231=""),"",MAX(0,AB231-AC231))</f>
        <v/>
      </c>
      <c r="AE231" s="21">
        <f>IF(AND($A231="",$B231=""),"",IF(OR($R231&lt;&gt;"",$S231&lt;&gt;""),1,0))</f>
        <v/>
      </c>
      <c r="AF231" s="22">
        <f>IF(AND($A231="",$B231=""),"",IF(Z231=1,IF(AE231=1,N($R231),AD231),0))</f>
        <v/>
      </c>
      <c r="AG231" s="22">
        <f>IF(AND($A231="",$B231=""),"",IF(Z231=1,IF(AE231=1,N($S231),AC231),0))</f>
        <v/>
      </c>
      <c r="AH231" s="21">
        <f>IF(AND($A231="",$B231=""),"",IF(AND(ISNUMBER($I231),N($I231)&gt;0),$I231,0))</f>
        <v/>
      </c>
      <c r="AI231" s="23">
        <f>IF(AND(NOT(AND($A231="",$B231="")),$K231="Point",N($L231)&gt;0),SQRT(N($L231)/PI()),"")</f>
        <v/>
      </c>
      <c r="AJ231" s="21">
        <f>IF(AND($A231="",$B231=""),"",IFERROR(VLOOKUP($G231,Lists!$D$4:$E$15,2,FALSE),"Not reported"))</f>
        <v/>
      </c>
      <c r="AK231" s="21">
        <f>IF(AND($A231="",$B231=""),"",IF($X231&lt;&gt;"",$X231,IF($T231&lt;&gt;"Y","Not assessed",IF(AND(ISNUMBER($V231),Setup!$B$6-$V231&gt;Setup!$B$26),"Assessment outdated",IF(NOT(ISNUMBER($W231)),"Assessed – no score",IF($W231&gt;=Setup!$B$24,"High",IF($W231&gt;=Setup!$B$25,"Moderate","Low")))))))</f>
        <v/>
      </c>
      <c r="AL231" s="21">
        <f>IF(AND($A231="",$B231=""),"",IF(Z231=0,"",IF(AND(AE231=1,N($R231)&gt;AD231*1.01+0.001),"Net terrestrial &gt; gross; ","")&amp;IF(AND(AE231=1,N($S231)&gt;AC231*1.01+0.001),"Net marine &gt; gross; ","")&amp;IF(AE231=0,"No net area – gross used, overlaps may be double-counted; ","")&amp;IF(AH231=0,"STATUS_YR missing – imputed in time series; ","")&amp;IF(AND(ISNUMBER($I231),N($I231)&gt;Setup!$B$6),"STATUS_YR after reporting year; ","")&amp;IF(OR($G231="",$G231="Not Reported"),"GOV_TYPE not reported; ","")&amp;IF(AND(N($J231)=1,$K231="Point",N($M231)&lt;=0),"Coastal point without REP_M_AREA – land/sea split unknown; ","")&amp;IF(AND(N($J231)=0,N($S231)&gt;0),"MARINE=0 but net marine &gt;0; ","")&amp;IF(AND(N($J231)=2,N($R231)&gt;0),"MARINE=2 but net terrestrial &gt;0; ","")&amp;IF($K231="Point","Buffered point – coverage approximate; ","")))</f>
        <v/>
      </c>
    </row>
    <row r="232">
      <c r="A232" s="19" t="n"/>
      <c r="B232" s="19" t="n"/>
      <c r="C232" s="19" t="n"/>
      <c r="D232" s="19" t="n"/>
      <c r="E232" s="19" t="n"/>
      <c r="F232" s="19" t="n"/>
      <c r="G232" s="19" t="n"/>
      <c r="H232" s="19" t="n"/>
      <c r="I232" s="19" t="n"/>
      <c r="J232" s="19" t="n"/>
      <c r="K232" s="19" t="n"/>
      <c r="L232" s="20" t="n"/>
      <c r="M232" s="20" t="n"/>
      <c r="N232" s="20" t="n"/>
      <c r="O232" s="20" t="n"/>
      <c r="P232" s="19" t="n"/>
      <c r="Q232" s="19" t="n"/>
      <c r="R232" s="20" t="n"/>
      <c r="S232" s="20" t="n"/>
      <c r="T232" s="19" t="n"/>
      <c r="U232" s="19" t="n"/>
      <c r="V232" s="19" t="n"/>
      <c r="W232" s="19" t="n"/>
      <c r="X232" s="19" t="n"/>
      <c r="Y232" s="19" t="n"/>
      <c r="Z232" s="21">
        <f>IF(AND($A232="",$B232=""),"",IF(OR($E232="",$H232="",$H232="Proposed",$H232="Not Reported"),0,IF(AND($P232="Y",$Q232&lt;&gt;"Y"),0,IF(AND($K232="Point",N($L232)&lt;=0),0,IF(AND(N($L232)&lt;=0,N($N232)&lt;=0,N($R232)+N($S232)&lt;=0),0,1)))))</f>
        <v/>
      </c>
      <c r="AA232" s="21">
        <f>IF(AND($A232="",$B232=""),"",IF($E232="","Site type missing",IF($H232="","STATUS missing",IF($H232="Proposed","STATUS = Proposed",IF($H232="Not Reported","STATUS = Not Reported",IF(AND($P232="Y",$Q232&lt;&gt;"Y"),"UNESCO-MAB Biosphere Reserve",IF(AND($K232="Point",N($L232)&lt;=0),"Point without REP_AREA",IF(AND(N($L232)&lt;=0,N($N232)&lt;=0,N($R232)+N($S232)&lt;=0),"No area information",""))))))))</f>
        <v/>
      </c>
      <c r="AB232" s="22">
        <f>IF(AND($A232="",$B232=""),"",IF($K232="Point",N($L232),IF(N($N232)&gt;0,N($N232),N($L232))))</f>
        <v/>
      </c>
      <c r="AC232" s="22">
        <f>IF(AND($A232="",$B232=""),"",MIN(AB232,IF(N($J232)=0,0,IF(N($J232)=2,AB232,IF(AND($K232&lt;&gt;"Point",N($O232)&gt;0),N($O232),N($M232))))))</f>
        <v/>
      </c>
      <c r="AD232" s="22">
        <f>IF(AND($A232="",$B232=""),"",MAX(0,AB232-AC232))</f>
        <v/>
      </c>
      <c r="AE232" s="21">
        <f>IF(AND($A232="",$B232=""),"",IF(OR($R232&lt;&gt;"",$S232&lt;&gt;""),1,0))</f>
        <v/>
      </c>
      <c r="AF232" s="22">
        <f>IF(AND($A232="",$B232=""),"",IF(Z232=1,IF(AE232=1,N($R232),AD232),0))</f>
        <v/>
      </c>
      <c r="AG232" s="22">
        <f>IF(AND($A232="",$B232=""),"",IF(Z232=1,IF(AE232=1,N($S232),AC232),0))</f>
        <v/>
      </c>
      <c r="AH232" s="21">
        <f>IF(AND($A232="",$B232=""),"",IF(AND(ISNUMBER($I232),N($I232)&gt;0),$I232,0))</f>
        <v/>
      </c>
      <c r="AI232" s="23">
        <f>IF(AND(NOT(AND($A232="",$B232="")),$K232="Point",N($L232)&gt;0),SQRT(N($L232)/PI()),"")</f>
        <v/>
      </c>
      <c r="AJ232" s="21">
        <f>IF(AND($A232="",$B232=""),"",IFERROR(VLOOKUP($G232,Lists!$D$4:$E$15,2,FALSE),"Not reported"))</f>
        <v/>
      </c>
      <c r="AK232" s="21">
        <f>IF(AND($A232="",$B232=""),"",IF($X232&lt;&gt;"",$X232,IF($T232&lt;&gt;"Y","Not assessed",IF(AND(ISNUMBER($V232),Setup!$B$6-$V232&gt;Setup!$B$26),"Assessment outdated",IF(NOT(ISNUMBER($W232)),"Assessed – no score",IF($W232&gt;=Setup!$B$24,"High",IF($W232&gt;=Setup!$B$25,"Moderate","Low")))))))</f>
        <v/>
      </c>
      <c r="AL232" s="21">
        <f>IF(AND($A232="",$B232=""),"",IF(Z232=0,"",IF(AND(AE232=1,N($R232)&gt;AD232*1.01+0.001),"Net terrestrial &gt; gross; ","")&amp;IF(AND(AE232=1,N($S232)&gt;AC232*1.01+0.001),"Net marine &gt; gross; ","")&amp;IF(AE232=0,"No net area – gross used, overlaps may be double-counted; ","")&amp;IF(AH232=0,"STATUS_YR missing – imputed in time series; ","")&amp;IF(AND(ISNUMBER($I232),N($I232)&gt;Setup!$B$6),"STATUS_YR after reporting year; ","")&amp;IF(OR($G232="",$G232="Not Reported"),"GOV_TYPE not reported; ","")&amp;IF(AND(N($J232)=1,$K232="Point",N($M232)&lt;=0),"Coastal point without REP_M_AREA – land/sea split unknown; ","")&amp;IF(AND(N($J232)=0,N($S232)&gt;0),"MARINE=0 but net marine &gt;0; ","")&amp;IF(AND(N($J232)=2,N($R232)&gt;0),"MARINE=2 but net terrestrial &gt;0; ","")&amp;IF($K232="Point","Buffered point – coverage approximate; ","")))</f>
        <v/>
      </c>
    </row>
    <row r="233">
      <c r="A233" s="19" t="n"/>
      <c r="B233" s="19" t="n"/>
      <c r="C233" s="19" t="n"/>
      <c r="D233" s="19" t="n"/>
      <c r="E233" s="19" t="n"/>
      <c r="F233" s="19" t="n"/>
      <c r="G233" s="19" t="n"/>
      <c r="H233" s="19" t="n"/>
      <c r="I233" s="19" t="n"/>
      <c r="J233" s="19" t="n"/>
      <c r="K233" s="19" t="n"/>
      <c r="L233" s="20" t="n"/>
      <c r="M233" s="20" t="n"/>
      <c r="N233" s="20" t="n"/>
      <c r="O233" s="20" t="n"/>
      <c r="P233" s="19" t="n"/>
      <c r="Q233" s="19" t="n"/>
      <c r="R233" s="20" t="n"/>
      <c r="S233" s="20" t="n"/>
      <c r="T233" s="19" t="n"/>
      <c r="U233" s="19" t="n"/>
      <c r="V233" s="19" t="n"/>
      <c r="W233" s="19" t="n"/>
      <c r="X233" s="19" t="n"/>
      <c r="Y233" s="19" t="n"/>
      <c r="Z233" s="21">
        <f>IF(AND($A233="",$B233=""),"",IF(OR($E233="",$H233="",$H233="Proposed",$H233="Not Reported"),0,IF(AND($P233="Y",$Q233&lt;&gt;"Y"),0,IF(AND($K233="Point",N($L233)&lt;=0),0,IF(AND(N($L233)&lt;=0,N($N233)&lt;=0,N($R233)+N($S233)&lt;=0),0,1)))))</f>
        <v/>
      </c>
      <c r="AA233" s="21">
        <f>IF(AND($A233="",$B233=""),"",IF($E233="","Site type missing",IF($H233="","STATUS missing",IF($H233="Proposed","STATUS = Proposed",IF($H233="Not Reported","STATUS = Not Reported",IF(AND($P233="Y",$Q233&lt;&gt;"Y"),"UNESCO-MAB Biosphere Reserve",IF(AND($K233="Point",N($L233)&lt;=0),"Point without REP_AREA",IF(AND(N($L233)&lt;=0,N($N233)&lt;=0,N($R233)+N($S233)&lt;=0),"No area information",""))))))))</f>
        <v/>
      </c>
      <c r="AB233" s="22">
        <f>IF(AND($A233="",$B233=""),"",IF($K233="Point",N($L233),IF(N($N233)&gt;0,N($N233),N($L233))))</f>
        <v/>
      </c>
      <c r="AC233" s="22">
        <f>IF(AND($A233="",$B233=""),"",MIN(AB233,IF(N($J233)=0,0,IF(N($J233)=2,AB233,IF(AND($K233&lt;&gt;"Point",N($O233)&gt;0),N($O233),N($M233))))))</f>
        <v/>
      </c>
      <c r="AD233" s="22">
        <f>IF(AND($A233="",$B233=""),"",MAX(0,AB233-AC233))</f>
        <v/>
      </c>
      <c r="AE233" s="21">
        <f>IF(AND($A233="",$B233=""),"",IF(OR($R233&lt;&gt;"",$S233&lt;&gt;""),1,0))</f>
        <v/>
      </c>
      <c r="AF233" s="22">
        <f>IF(AND($A233="",$B233=""),"",IF(Z233=1,IF(AE233=1,N($R233),AD233),0))</f>
        <v/>
      </c>
      <c r="AG233" s="22">
        <f>IF(AND($A233="",$B233=""),"",IF(Z233=1,IF(AE233=1,N($S233),AC233),0))</f>
        <v/>
      </c>
      <c r="AH233" s="21">
        <f>IF(AND($A233="",$B233=""),"",IF(AND(ISNUMBER($I233),N($I233)&gt;0),$I233,0))</f>
        <v/>
      </c>
      <c r="AI233" s="23">
        <f>IF(AND(NOT(AND($A233="",$B233="")),$K233="Point",N($L233)&gt;0),SQRT(N($L233)/PI()),"")</f>
        <v/>
      </c>
      <c r="AJ233" s="21">
        <f>IF(AND($A233="",$B233=""),"",IFERROR(VLOOKUP($G233,Lists!$D$4:$E$15,2,FALSE),"Not reported"))</f>
        <v/>
      </c>
      <c r="AK233" s="21">
        <f>IF(AND($A233="",$B233=""),"",IF($X233&lt;&gt;"",$X233,IF($T233&lt;&gt;"Y","Not assessed",IF(AND(ISNUMBER($V233),Setup!$B$6-$V233&gt;Setup!$B$26),"Assessment outdated",IF(NOT(ISNUMBER($W233)),"Assessed – no score",IF($W233&gt;=Setup!$B$24,"High",IF($W233&gt;=Setup!$B$25,"Moderate","Low")))))))</f>
        <v/>
      </c>
      <c r="AL233" s="21">
        <f>IF(AND($A233="",$B233=""),"",IF(Z233=0,"",IF(AND(AE233=1,N($R233)&gt;AD233*1.01+0.001),"Net terrestrial &gt; gross; ","")&amp;IF(AND(AE233=1,N($S233)&gt;AC233*1.01+0.001),"Net marine &gt; gross; ","")&amp;IF(AE233=0,"No net area – gross used, overlaps may be double-counted; ","")&amp;IF(AH233=0,"STATUS_YR missing – imputed in time series; ","")&amp;IF(AND(ISNUMBER($I233),N($I233)&gt;Setup!$B$6),"STATUS_YR after reporting year; ","")&amp;IF(OR($G233="",$G233="Not Reported"),"GOV_TYPE not reported; ","")&amp;IF(AND(N($J233)=1,$K233="Point",N($M233)&lt;=0),"Coastal point without REP_M_AREA – land/sea split unknown; ","")&amp;IF(AND(N($J233)=0,N($S233)&gt;0),"MARINE=0 but net marine &gt;0; ","")&amp;IF(AND(N($J233)=2,N($R233)&gt;0),"MARINE=2 but net terrestrial &gt;0; ","")&amp;IF($K233="Point","Buffered point – coverage approximate; ","")))</f>
        <v/>
      </c>
    </row>
    <row r="234">
      <c r="A234" s="19" t="n"/>
      <c r="B234" s="19" t="n"/>
      <c r="C234" s="19" t="n"/>
      <c r="D234" s="19" t="n"/>
      <c r="E234" s="19" t="n"/>
      <c r="F234" s="19" t="n"/>
      <c r="G234" s="19" t="n"/>
      <c r="H234" s="19" t="n"/>
      <c r="I234" s="19" t="n"/>
      <c r="J234" s="19" t="n"/>
      <c r="K234" s="19" t="n"/>
      <c r="L234" s="20" t="n"/>
      <c r="M234" s="20" t="n"/>
      <c r="N234" s="20" t="n"/>
      <c r="O234" s="20" t="n"/>
      <c r="P234" s="19" t="n"/>
      <c r="Q234" s="19" t="n"/>
      <c r="R234" s="20" t="n"/>
      <c r="S234" s="20" t="n"/>
      <c r="T234" s="19" t="n"/>
      <c r="U234" s="19" t="n"/>
      <c r="V234" s="19" t="n"/>
      <c r="W234" s="19" t="n"/>
      <c r="X234" s="19" t="n"/>
      <c r="Y234" s="19" t="n"/>
      <c r="Z234" s="21">
        <f>IF(AND($A234="",$B234=""),"",IF(OR($E234="",$H234="",$H234="Proposed",$H234="Not Reported"),0,IF(AND($P234="Y",$Q234&lt;&gt;"Y"),0,IF(AND($K234="Point",N($L234)&lt;=0),0,IF(AND(N($L234)&lt;=0,N($N234)&lt;=0,N($R234)+N($S234)&lt;=0),0,1)))))</f>
        <v/>
      </c>
      <c r="AA234" s="21">
        <f>IF(AND($A234="",$B234=""),"",IF($E234="","Site type missing",IF($H234="","STATUS missing",IF($H234="Proposed","STATUS = Proposed",IF($H234="Not Reported","STATUS = Not Reported",IF(AND($P234="Y",$Q234&lt;&gt;"Y"),"UNESCO-MAB Biosphere Reserve",IF(AND($K234="Point",N($L234)&lt;=0),"Point without REP_AREA",IF(AND(N($L234)&lt;=0,N($N234)&lt;=0,N($R234)+N($S234)&lt;=0),"No area information",""))))))))</f>
        <v/>
      </c>
      <c r="AB234" s="22">
        <f>IF(AND($A234="",$B234=""),"",IF($K234="Point",N($L234),IF(N($N234)&gt;0,N($N234),N($L234))))</f>
        <v/>
      </c>
      <c r="AC234" s="22">
        <f>IF(AND($A234="",$B234=""),"",MIN(AB234,IF(N($J234)=0,0,IF(N($J234)=2,AB234,IF(AND($K234&lt;&gt;"Point",N($O234)&gt;0),N($O234),N($M234))))))</f>
        <v/>
      </c>
      <c r="AD234" s="22">
        <f>IF(AND($A234="",$B234=""),"",MAX(0,AB234-AC234))</f>
        <v/>
      </c>
      <c r="AE234" s="21">
        <f>IF(AND($A234="",$B234=""),"",IF(OR($R234&lt;&gt;"",$S234&lt;&gt;""),1,0))</f>
        <v/>
      </c>
      <c r="AF234" s="22">
        <f>IF(AND($A234="",$B234=""),"",IF(Z234=1,IF(AE234=1,N($R234),AD234),0))</f>
        <v/>
      </c>
      <c r="AG234" s="22">
        <f>IF(AND($A234="",$B234=""),"",IF(Z234=1,IF(AE234=1,N($S234),AC234),0))</f>
        <v/>
      </c>
      <c r="AH234" s="21">
        <f>IF(AND($A234="",$B234=""),"",IF(AND(ISNUMBER($I234),N($I234)&gt;0),$I234,0))</f>
        <v/>
      </c>
      <c r="AI234" s="23">
        <f>IF(AND(NOT(AND($A234="",$B234="")),$K234="Point",N($L234)&gt;0),SQRT(N($L234)/PI()),"")</f>
        <v/>
      </c>
      <c r="AJ234" s="21">
        <f>IF(AND($A234="",$B234=""),"",IFERROR(VLOOKUP($G234,Lists!$D$4:$E$15,2,FALSE),"Not reported"))</f>
        <v/>
      </c>
      <c r="AK234" s="21">
        <f>IF(AND($A234="",$B234=""),"",IF($X234&lt;&gt;"",$X234,IF($T234&lt;&gt;"Y","Not assessed",IF(AND(ISNUMBER($V234),Setup!$B$6-$V234&gt;Setup!$B$26),"Assessment outdated",IF(NOT(ISNUMBER($W234)),"Assessed – no score",IF($W234&gt;=Setup!$B$24,"High",IF($W234&gt;=Setup!$B$25,"Moderate","Low")))))))</f>
        <v/>
      </c>
      <c r="AL234" s="21">
        <f>IF(AND($A234="",$B234=""),"",IF(Z234=0,"",IF(AND(AE234=1,N($R234)&gt;AD234*1.01+0.001),"Net terrestrial &gt; gross; ","")&amp;IF(AND(AE234=1,N($S234)&gt;AC234*1.01+0.001),"Net marine &gt; gross; ","")&amp;IF(AE234=0,"No net area – gross used, overlaps may be double-counted; ","")&amp;IF(AH234=0,"STATUS_YR missing – imputed in time series; ","")&amp;IF(AND(ISNUMBER($I234),N($I234)&gt;Setup!$B$6),"STATUS_YR after reporting year; ","")&amp;IF(OR($G234="",$G234="Not Reported"),"GOV_TYPE not reported; ","")&amp;IF(AND(N($J234)=1,$K234="Point",N($M234)&lt;=0),"Coastal point without REP_M_AREA – land/sea split unknown; ","")&amp;IF(AND(N($J234)=0,N($S234)&gt;0),"MARINE=0 but net marine &gt;0; ","")&amp;IF(AND(N($J234)=2,N($R234)&gt;0),"MARINE=2 but net terrestrial &gt;0; ","")&amp;IF($K234="Point","Buffered point – coverage approximate; ","")))</f>
        <v/>
      </c>
    </row>
    <row r="235">
      <c r="A235" s="19" t="n"/>
      <c r="B235" s="19" t="n"/>
      <c r="C235" s="19" t="n"/>
      <c r="D235" s="19" t="n"/>
      <c r="E235" s="19" t="n"/>
      <c r="F235" s="19" t="n"/>
      <c r="G235" s="19" t="n"/>
      <c r="H235" s="19" t="n"/>
      <c r="I235" s="19" t="n"/>
      <c r="J235" s="19" t="n"/>
      <c r="K235" s="19" t="n"/>
      <c r="L235" s="20" t="n"/>
      <c r="M235" s="20" t="n"/>
      <c r="N235" s="20" t="n"/>
      <c r="O235" s="20" t="n"/>
      <c r="P235" s="19" t="n"/>
      <c r="Q235" s="19" t="n"/>
      <c r="R235" s="20" t="n"/>
      <c r="S235" s="20" t="n"/>
      <c r="T235" s="19" t="n"/>
      <c r="U235" s="19" t="n"/>
      <c r="V235" s="19" t="n"/>
      <c r="W235" s="19" t="n"/>
      <c r="X235" s="19" t="n"/>
      <c r="Y235" s="19" t="n"/>
      <c r="Z235" s="21">
        <f>IF(AND($A235="",$B235=""),"",IF(OR($E235="",$H235="",$H235="Proposed",$H235="Not Reported"),0,IF(AND($P235="Y",$Q235&lt;&gt;"Y"),0,IF(AND($K235="Point",N($L235)&lt;=0),0,IF(AND(N($L235)&lt;=0,N($N235)&lt;=0,N($R235)+N($S235)&lt;=0),0,1)))))</f>
        <v/>
      </c>
      <c r="AA235" s="21">
        <f>IF(AND($A235="",$B235=""),"",IF($E235="","Site type missing",IF($H235="","STATUS missing",IF($H235="Proposed","STATUS = Proposed",IF($H235="Not Reported","STATUS = Not Reported",IF(AND($P235="Y",$Q235&lt;&gt;"Y"),"UNESCO-MAB Biosphere Reserve",IF(AND($K235="Point",N($L235)&lt;=0),"Point without REP_AREA",IF(AND(N($L235)&lt;=0,N($N235)&lt;=0,N($R235)+N($S235)&lt;=0),"No area information",""))))))))</f>
        <v/>
      </c>
      <c r="AB235" s="22">
        <f>IF(AND($A235="",$B235=""),"",IF($K235="Point",N($L235),IF(N($N235)&gt;0,N($N235),N($L235))))</f>
        <v/>
      </c>
      <c r="AC235" s="22">
        <f>IF(AND($A235="",$B235=""),"",MIN(AB235,IF(N($J235)=0,0,IF(N($J235)=2,AB235,IF(AND($K235&lt;&gt;"Point",N($O235)&gt;0),N($O235),N($M235))))))</f>
        <v/>
      </c>
      <c r="AD235" s="22">
        <f>IF(AND($A235="",$B235=""),"",MAX(0,AB235-AC235))</f>
        <v/>
      </c>
      <c r="AE235" s="21">
        <f>IF(AND($A235="",$B235=""),"",IF(OR($R235&lt;&gt;"",$S235&lt;&gt;""),1,0))</f>
        <v/>
      </c>
      <c r="AF235" s="22">
        <f>IF(AND($A235="",$B235=""),"",IF(Z235=1,IF(AE235=1,N($R235),AD235),0))</f>
        <v/>
      </c>
      <c r="AG235" s="22">
        <f>IF(AND($A235="",$B235=""),"",IF(Z235=1,IF(AE235=1,N($S235),AC235),0))</f>
        <v/>
      </c>
      <c r="AH235" s="21">
        <f>IF(AND($A235="",$B235=""),"",IF(AND(ISNUMBER($I235),N($I235)&gt;0),$I235,0))</f>
        <v/>
      </c>
      <c r="AI235" s="23">
        <f>IF(AND(NOT(AND($A235="",$B235="")),$K235="Point",N($L235)&gt;0),SQRT(N($L235)/PI()),"")</f>
        <v/>
      </c>
      <c r="AJ235" s="21">
        <f>IF(AND($A235="",$B235=""),"",IFERROR(VLOOKUP($G235,Lists!$D$4:$E$15,2,FALSE),"Not reported"))</f>
        <v/>
      </c>
      <c r="AK235" s="21">
        <f>IF(AND($A235="",$B235=""),"",IF($X235&lt;&gt;"",$X235,IF($T235&lt;&gt;"Y","Not assessed",IF(AND(ISNUMBER($V235),Setup!$B$6-$V235&gt;Setup!$B$26),"Assessment outdated",IF(NOT(ISNUMBER($W235)),"Assessed – no score",IF($W235&gt;=Setup!$B$24,"High",IF($W235&gt;=Setup!$B$25,"Moderate","Low")))))))</f>
        <v/>
      </c>
      <c r="AL235" s="21">
        <f>IF(AND($A235="",$B235=""),"",IF(Z235=0,"",IF(AND(AE235=1,N($R235)&gt;AD235*1.01+0.001),"Net terrestrial &gt; gross; ","")&amp;IF(AND(AE235=1,N($S235)&gt;AC235*1.01+0.001),"Net marine &gt; gross; ","")&amp;IF(AE235=0,"No net area – gross used, overlaps may be double-counted; ","")&amp;IF(AH235=0,"STATUS_YR missing – imputed in time series; ","")&amp;IF(AND(ISNUMBER($I235),N($I235)&gt;Setup!$B$6),"STATUS_YR after reporting year; ","")&amp;IF(OR($G235="",$G235="Not Reported"),"GOV_TYPE not reported; ","")&amp;IF(AND(N($J235)=1,$K235="Point",N($M235)&lt;=0),"Coastal point without REP_M_AREA – land/sea split unknown; ","")&amp;IF(AND(N($J235)=0,N($S235)&gt;0),"MARINE=0 but net marine &gt;0; ","")&amp;IF(AND(N($J235)=2,N($R235)&gt;0),"MARINE=2 but net terrestrial &gt;0; ","")&amp;IF($K235="Point","Buffered point – coverage approximate; ","")))</f>
        <v/>
      </c>
    </row>
    <row r="236">
      <c r="A236" s="19" t="n"/>
      <c r="B236" s="19" t="n"/>
      <c r="C236" s="19" t="n"/>
      <c r="D236" s="19" t="n"/>
      <c r="E236" s="19" t="n"/>
      <c r="F236" s="19" t="n"/>
      <c r="G236" s="19" t="n"/>
      <c r="H236" s="19" t="n"/>
      <c r="I236" s="19" t="n"/>
      <c r="J236" s="19" t="n"/>
      <c r="K236" s="19" t="n"/>
      <c r="L236" s="20" t="n"/>
      <c r="M236" s="20" t="n"/>
      <c r="N236" s="20" t="n"/>
      <c r="O236" s="20" t="n"/>
      <c r="P236" s="19" t="n"/>
      <c r="Q236" s="19" t="n"/>
      <c r="R236" s="20" t="n"/>
      <c r="S236" s="20" t="n"/>
      <c r="T236" s="19" t="n"/>
      <c r="U236" s="19" t="n"/>
      <c r="V236" s="19" t="n"/>
      <c r="W236" s="19" t="n"/>
      <c r="X236" s="19" t="n"/>
      <c r="Y236" s="19" t="n"/>
      <c r="Z236" s="21">
        <f>IF(AND($A236="",$B236=""),"",IF(OR($E236="",$H236="",$H236="Proposed",$H236="Not Reported"),0,IF(AND($P236="Y",$Q236&lt;&gt;"Y"),0,IF(AND($K236="Point",N($L236)&lt;=0),0,IF(AND(N($L236)&lt;=0,N($N236)&lt;=0,N($R236)+N($S236)&lt;=0),0,1)))))</f>
        <v/>
      </c>
      <c r="AA236" s="21">
        <f>IF(AND($A236="",$B236=""),"",IF($E236="","Site type missing",IF($H236="","STATUS missing",IF($H236="Proposed","STATUS = Proposed",IF($H236="Not Reported","STATUS = Not Reported",IF(AND($P236="Y",$Q236&lt;&gt;"Y"),"UNESCO-MAB Biosphere Reserve",IF(AND($K236="Point",N($L236)&lt;=0),"Point without REP_AREA",IF(AND(N($L236)&lt;=0,N($N236)&lt;=0,N($R236)+N($S236)&lt;=0),"No area information",""))))))))</f>
        <v/>
      </c>
      <c r="AB236" s="22">
        <f>IF(AND($A236="",$B236=""),"",IF($K236="Point",N($L236),IF(N($N236)&gt;0,N($N236),N($L236))))</f>
        <v/>
      </c>
      <c r="AC236" s="22">
        <f>IF(AND($A236="",$B236=""),"",MIN(AB236,IF(N($J236)=0,0,IF(N($J236)=2,AB236,IF(AND($K236&lt;&gt;"Point",N($O236)&gt;0),N($O236),N($M236))))))</f>
        <v/>
      </c>
      <c r="AD236" s="22">
        <f>IF(AND($A236="",$B236=""),"",MAX(0,AB236-AC236))</f>
        <v/>
      </c>
      <c r="AE236" s="21">
        <f>IF(AND($A236="",$B236=""),"",IF(OR($R236&lt;&gt;"",$S236&lt;&gt;""),1,0))</f>
        <v/>
      </c>
      <c r="AF236" s="22">
        <f>IF(AND($A236="",$B236=""),"",IF(Z236=1,IF(AE236=1,N($R236),AD236),0))</f>
        <v/>
      </c>
      <c r="AG236" s="22">
        <f>IF(AND($A236="",$B236=""),"",IF(Z236=1,IF(AE236=1,N($S236),AC236),0))</f>
        <v/>
      </c>
      <c r="AH236" s="21">
        <f>IF(AND($A236="",$B236=""),"",IF(AND(ISNUMBER($I236),N($I236)&gt;0),$I236,0))</f>
        <v/>
      </c>
      <c r="AI236" s="23">
        <f>IF(AND(NOT(AND($A236="",$B236="")),$K236="Point",N($L236)&gt;0),SQRT(N($L236)/PI()),"")</f>
        <v/>
      </c>
      <c r="AJ236" s="21">
        <f>IF(AND($A236="",$B236=""),"",IFERROR(VLOOKUP($G236,Lists!$D$4:$E$15,2,FALSE),"Not reported"))</f>
        <v/>
      </c>
      <c r="AK236" s="21">
        <f>IF(AND($A236="",$B236=""),"",IF($X236&lt;&gt;"",$X236,IF($T236&lt;&gt;"Y","Not assessed",IF(AND(ISNUMBER($V236),Setup!$B$6-$V236&gt;Setup!$B$26),"Assessment outdated",IF(NOT(ISNUMBER($W236)),"Assessed – no score",IF($W236&gt;=Setup!$B$24,"High",IF($W236&gt;=Setup!$B$25,"Moderate","Low")))))))</f>
        <v/>
      </c>
      <c r="AL236" s="21">
        <f>IF(AND($A236="",$B236=""),"",IF(Z236=0,"",IF(AND(AE236=1,N($R236)&gt;AD236*1.01+0.001),"Net terrestrial &gt; gross; ","")&amp;IF(AND(AE236=1,N($S236)&gt;AC236*1.01+0.001),"Net marine &gt; gross; ","")&amp;IF(AE236=0,"No net area – gross used, overlaps may be double-counted; ","")&amp;IF(AH236=0,"STATUS_YR missing – imputed in time series; ","")&amp;IF(AND(ISNUMBER($I236),N($I236)&gt;Setup!$B$6),"STATUS_YR after reporting year; ","")&amp;IF(OR($G236="",$G236="Not Reported"),"GOV_TYPE not reported; ","")&amp;IF(AND(N($J236)=1,$K236="Point",N($M236)&lt;=0),"Coastal point without REP_M_AREA – land/sea split unknown; ","")&amp;IF(AND(N($J236)=0,N($S236)&gt;0),"MARINE=0 but net marine &gt;0; ","")&amp;IF(AND(N($J236)=2,N($R236)&gt;0),"MARINE=2 but net terrestrial &gt;0; ","")&amp;IF($K236="Point","Buffered point – coverage approximate; ","")))</f>
        <v/>
      </c>
    </row>
    <row r="237">
      <c r="A237" s="19" t="n"/>
      <c r="B237" s="19" t="n"/>
      <c r="C237" s="19" t="n"/>
      <c r="D237" s="19" t="n"/>
      <c r="E237" s="19" t="n"/>
      <c r="F237" s="19" t="n"/>
      <c r="G237" s="19" t="n"/>
      <c r="H237" s="19" t="n"/>
      <c r="I237" s="19" t="n"/>
      <c r="J237" s="19" t="n"/>
      <c r="K237" s="19" t="n"/>
      <c r="L237" s="20" t="n"/>
      <c r="M237" s="20" t="n"/>
      <c r="N237" s="20" t="n"/>
      <c r="O237" s="20" t="n"/>
      <c r="P237" s="19" t="n"/>
      <c r="Q237" s="19" t="n"/>
      <c r="R237" s="20" t="n"/>
      <c r="S237" s="20" t="n"/>
      <c r="T237" s="19" t="n"/>
      <c r="U237" s="19" t="n"/>
      <c r="V237" s="19" t="n"/>
      <c r="W237" s="19" t="n"/>
      <c r="X237" s="19" t="n"/>
      <c r="Y237" s="19" t="n"/>
      <c r="Z237" s="21">
        <f>IF(AND($A237="",$B237=""),"",IF(OR($E237="",$H237="",$H237="Proposed",$H237="Not Reported"),0,IF(AND($P237="Y",$Q237&lt;&gt;"Y"),0,IF(AND($K237="Point",N($L237)&lt;=0),0,IF(AND(N($L237)&lt;=0,N($N237)&lt;=0,N($R237)+N($S237)&lt;=0),0,1)))))</f>
        <v/>
      </c>
      <c r="AA237" s="21">
        <f>IF(AND($A237="",$B237=""),"",IF($E237="","Site type missing",IF($H237="","STATUS missing",IF($H237="Proposed","STATUS = Proposed",IF($H237="Not Reported","STATUS = Not Reported",IF(AND($P237="Y",$Q237&lt;&gt;"Y"),"UNESCO-MAB Biosphere Reserve",IF(AND($K237="Point",N($L237)&lt;=0),"Point without REP_AREA",IF(AND(N($L237)&lt;=0,N($N237)&lt;=0,N($R237)+N($S237)&lt;=0),"No area information",""))))))))</f>
        <v/>
      </c>
      <c r="AB237" s="22">
        <f>IF(AND($A237="",$B237=""),"",IF($K237="Point",N($L237),IF(N($N237)&gt;0,N($N237),N($L237))))</f>
        <v/>
      </c>
      <c r="AC237" s="22">
        <f>IF(AND($A237="",$B237=""),"",MIN(AB237,IF(N($J237)=0,0,IF(N($J237)=2,AB237,IF(AND($K237&lt;&gt;"Point",N($O237)&gt;0),N($O237),N($M237))))))</f>
        <v/>
      </c>
      <c r="AD237" s="22">
        <f>IF(AND($A237="",$B237=""),"",MAX(0,AB237-AC237))</f>
        <v/>
      </c>
      <c r="AE237" s="21">
        <f>IF(AND($A237="",$B237=""),"",IF(OR($R237&lt;&gt;"",$S237&lt;&gt;""),1,0))</f>
        <v/>
      </c>
      <c r="AF237" s="22">
        <f>IF(AND($A237="",$B237=""),"",IF(Z237=1,IF(AE237=1,N($R237),AD237),0))</f>
        <v/>
      </c>
      <c r="AG237" s="22">
        <f>IF(AND($A237="",$B237=""),"",IF(Z237=1,IF(AE237=1,N($S237),AC237),0))</f>
        <v/>
      </c>
      <c r="AH237" s="21">
        <f>IF(AND($A237="",$B237=""),"",IF(AND(ISNUMBER($I237),N($I237)&gt;0),$I237,0))</f>
        <v/>
      </c>
      <c r="AI237" s="23">
        <f>IF(AND(NOT(AND($A237="",$B237="")),$K237="Point",N($L237)&gt;0),SQRT(N($L237)/PI()),"")</f>
        <v/>
      </c>
      <c r="AJ237" s="21">
        <f>IF(AND($A237="",$B237=""),"",IFERROR(VLOOKUP($G237,Lists!$D$4:$E$15,2,FALSE),"Not reported"))</f>
        <v/>
      </c>
      <c r="AK237" s="21">
        <f>IF(AND($A237="",$B237=""),"",IF($X237&lt;&gt;"",$X237,IF($T237&lt;&gt;"Y","Not assessed",IF(AND(ISNUMBER($V237),Setup!$B$6-$V237&gt;Setup!$B$26),"Assessment outdated",IF(NOT(ISNUMBER($W237)),"Assessed – no score",IF($W237&gt;=Setup!$B$24,"High",IF($W237&gt;=Setup!$B$25,"Moderate","Low")))))))</f>
        <v/>
      </c>
      <c r="AL237" s="21">
        <f>IF(AND($A237="",$B237=""),"",IF(Z237=0,"",IF(AND(AE237=1,N($R237)&gt;AD237*1.01+0.001),"Net terrestrial &gt; gross; ","")&amp;IF(AND(AE237=1,N($S237)&gt;AC237*1.01+0.001),"Net marine &gt; gross; ","")&amp;IF(AE237=0,"No net area – gross used, overlaps may be double-counted; ","")&amp;IF(AH237=0,"STATUS_YR missing – imputed in time series; ","")&amp;IF(AND(ISNUMBER($I237),N($I237)&gt;Setup!$B$6),"STATUS_YR after reporting year; ","")&amp;IF(OR($G237="",$G237="Not Reported"),"GOV_TYPE not reported; ","")&amp;IF(AND(N($J237)=1,$K237="Point",N($M237)&lt;=0),"Coastal point without REP_M_AREA – land/sea split unknown; ","")&amp;IF(AND(N($J237)=0,N($S237)&gt;0),"MARINE=0 but net marine &gt;0; ","")&amp;IF(AND(N($J237)=2,N($R237)&gt;0),"MARINE=2 but net terrestrial &gt;0; ","")&amp;IF($K237="Point","Buffered point – coverage approximate; ","")))</f>
        <v/>
      </c>
    </row>
    <row r="238">
      <c r="A238" s="19" t="n"/>
      <c r="B238" s="19" t="n"/>
      <c r="C238" s="19" t="n"/>
      <c r="D238" s="19" t="n"/>
      <c r="E238" s="19" t="n"/>
      <c r="F238" s="19" t="n"/>
      <c r="G238" s="19" t="n"/>
      <c r="H238" s="19" t="n"/>
      <c r="I238" s="19" t="n"/>
      <c r="J238" s="19" t="n"/>
      <c r="K238" s="19" t="n"/>
      <c r="L238" s="20" t="n"/>
      <c r="M238" s="20" t="n"/>
      <c r="N238" s="20" t="n"/>
      <c r="O238" s="20" t="n"/>
      <c r="P238" s="19" t="n"/>
      <c r="Q238" s="19" t="n"/>
      <c r="R238" s="20" t="n"/>
      <c r="S238" s="20" t="n"/>
      <c r="T238" s="19" t="n"/>
      <c r="U238" s="19" t="n"/>
      <c r="V238" s="19" t="n"/>
      <c r="W238" s="19" t="n"/>
      <c r="X238" s="19" t="n"/>
      <c r="Y238" s="19" t="n"/>
      <c r="Z238" s="21">
        <f>IF(AND($A238="",$B238=""),"",IF(OR($E238="",$H238="",$H238="Proposed",$H238="Not Reported"),0,IF(AND($P238="Y",$Q238&lt;&gt;"Y"),0,IF(AND($K238="Point",N($L238)&lt;=0),0,IF(AND(N($L238)&lt;=0,N($N238)&lt;=0,N($R238)+N($S238)&lt;=0),0,1)))))</f>
        <v/>
      </c>
      <c r="AA238" s="21">
        <f>IF(AND($A238="",$B238=""),"",IF($E238="","Site type missing",IF($H238="","STATUS missing",IF($H238="Proposed","STATUS = Proposed",IF($H238="Not Reported","STATUS = Not Reported",IF(AND($P238="Y",$Q238&lt;&gt;"Y"),"UNESCO-MAB Biosphere Reserve",IF(AND($K238="Point",N($L238)&lt;=0),"Point without REP_AREA",IF(AND(N($L238)&lt;=0,N($N238)&lt;=0,N($R238)+N($S238)&lt;=0),"No area information",""))))))))</f>
        <v/>
      </c>
      <c r="AB238" s="22">
        <f>IF(AND($A238="",$B238=""),"",IF($K238="Point",N($L238),IF(N($N238)&gt;0,N($N238),N($L238))))</f>
        <v/>
      </c>
      <c r="AC238" s="22">
        <f>IF(AND($A238="",$B238=""),"",MIN(AB238,IF(N($J238)=0,0,IF(N($J238)=2,AB238,IF(AND($K238&lt;&gt;"Point",N($O238)&gt;0),N($O238),N($M238))))))</f>
        <v/>
      </c>
      <c r="AD238" s="22">
        <f>IF(AND($A238="",$B238=""),"",MAX(0,AB238-AC238))</f>
        <v/>
      </c>
      <c r="AE238" s="21">
        <f>IF(AND($A238="",$B238=""),"",IF(OR($R238&lt;&gt;"",$S238&lt;&gt;""),1,0))</f>
        <v/>
      </c>
      <c r="AF238" s="22">
        <f>IF(AND($A238="",$B238=""),"",IF(Z238=1,IF(AE238=1,N($R238),AD238),0))</f>
        <v/>
      </c>
      <c r="AG238" s="22">
        <f>IF(AND($A238="",$B238=""),"",IF(Z238=1,IF(AE238=1,N($S238),AC238),0))</f>
        <v/>
      </c>
      <c r="AH238" s="21">
        <f>IF(AND($A238="",$B238=""),"",IF(AND(ISNUMBER($I238),N($I238)&gt;0),$I238,0))</f>
        <v/>
      </c>
      <c r="AI238" s="23">
        <f>IF(AND(NOT(AND($A238="",$B238="")),$K238="Point",N($L238)&gt;0),SQRT(N($L238)/PI()),"")</f>
        <v/>
      </c>
      <c r="AJ238" s="21">
        <f>IF(AND($A238="",$B238=""),"",IFERROR(VLOOKUP($G238,Lists!$D$4:$E$15,2,FALSE),"Not reported"))</f>
        <v/>
      </c>
      <c r="AK238" s="21">
        <f>IF(AND($A238="",$B238=""),"",IF($X238&lt;&gt;"",$X238,IF($T238&lt;&gt;"Y","Not assessed",IF(AND(ISNUMBER($V238),Setup!$B$6-$V238&gt;Setup!$B$26),"Assessment outdated",IF(NOT(ISNUMBER($W238)),"Assessed – no score",IF($W238&gt;=Setup!$B$24,"High",IF($W238&gt;=Setup!$B$25,"Moderate","Low")))))))</f>
        <v/>
      </c>
      <c r="AL238" s="21">
        <f>IF(AND($A238="",$B238=""),"",IF(Z238=0,"",IF(AND(AE238=1,N($R238)&gt;AD238*1.01+0.001),"Net terrestrial &gt; gross; ","")&amp;IF(AND(AE238=1,N($S238)&gt;AC238*1.01+0.001),"Net marine &gt; gross; ","")&amp;IF(AE238=0,"No net area – gross used, overlaps may be double-counted; ","")&amp;IF(AH238=0,"STATUS_YR missing – imputed in time series; ","")&amp;IF(AND(ISNUMBER($I238),N($I238)&gt;Setup!$B$6),"STATUS_YR after reporting year; ","")&amp;IF(OR($G238="",$G238="Not Reported"),"GOV_TYPE not reported; ","")&amp;IF(AND(N($J238)=1,$K238="Point",N($M238)&lt;=0),"Coastal point without REP_M_AREA – land/sea split unknown; ","")&amp;IF(AND(N($J238)=0,N($S238)&gt;0),"MARINE=0 but net marine &gt;0; ","")&amp;IF(AND(N($J238)=2,N($R238)&gt;0),"MARINE=2 but net terrestrial &gt;0; ","")&amp;IF($K238="Point","Buffered point – coverage approximate; ","")))</f>
        <v/>
      </c>
    </row>
    <row r="239">
      <c r="A239" s="19" t="n"/>
      <c r="B239" s="19" t="n"/>
      <c r="C239" s="19" t="n"/>
      <c r="D239" s="19" t="n"/>
      <c r="E239" s="19" t="n"/>
      <c r="F239" s="19" t="n"/>
      <c r="G239" s="19" t="n"/>
      <c r="H239" s="19" t="n"/>
      <c r="I239" s="19" t="n"/>
      <c r="J239" s="19" t="n"/>
      <c r="K239" s="19" t="n"/>
      <c r="L239" s="20" t="n"/>
      <c r="M239" s="20" t="n"/>
      <c r="N239" s="20" t="n"/>
      <c r="O239" s="20" t="n"/>
      <c r="P239" s="19" t="n"/>
      <c r="Q239" s="19" t="n"/>
      <c r="R239" s="20" t="n"/>
      <c r="S239" s="20" t="n"/>
      <c r="T239" s="19" t="n"/>
      <c r="U239" s="19" t="n"/>
      <c r="V239" s="19" t="n"/>
      <c r="W239" s="19" t="n"/>
      <c r="X239" s="19" t="n"/>
      <c r="Y239" s="19" t="n"/>
      <c r="Z239" s="21">
        <f>IF(AND($A239="",$B239=""),"",IF(OR($E239="",$H239="",$H239="Proposed",$H239="Not Reported"),0,IF(AND($P239="Y",$Q239&lt;&gt;"Y"),0,IF(AND($K239="Point",N($L239)&lt;=0),0,IF(AND(N($L239)&lt;=0,N($N239)&lt;=0,N($R239)+N($S239)&lt;=0),0,1)))))</f>
        <v/>
      </c>
      <c r="AA239" s="21">
        <f>IF(AND($A239="",$B239=""),"",IF($E239="","Site type missing",IF($H239="","STATUS missing",IF($H239="Proposed","STATUS = Proposed",IF($H239="Not Reported","STATUS = Not Reported",IF(AND($P239="Y",$Q239&lt;&gt;"Y"),"UNESCO-MAB Biosphere Reserve",IF(AND($K239="Point",N($L239)&lt;=0),"Point without REP_AREA",IF(AND(N($L239)&lt;=0,N($N239)&lt;=0,N($R239)+N($S239)&lt;=0),"No area information",""))))))))</f>
        <v/>
      </c>
      <c r="AB239" s="22">
        <f>IF(AND($A239="",$B239=""),"",IF($K239="Point",N($L239),IF(N($N239)&gt;0,N($N239),N($L239))))</f>
        <v/>
      </c>
      <c r="AC239" s="22">
        <f>IF(AND($A239="",$B239=""),"",MIN(AB239,IF(N($J239)=0,0,IF(N($J239)=2,AB239,IF(AND($K239&lt;&gt;"Point",N($O239)&gt;0),N($O239),N($M239))))))</f>
        <v/>
      </c>
      <c r="AD239" s="22">
        <f>IF(AND($A239="",$B239=""),"",MAX(0,AB239-AC239))</f>
        <v/>
      </c>
      <c r="AE239" s="21">
        <f>IF(AND($A239="",$B239=""),"",IF(OR($R239&lt;&gt;"",$S239&lt;&gt;""),1,0))</f>
        <v/>
      </c>
      <c r="AF239" s="22">
        <f>IF(AND($A239="",$B239=""),"",IF(Z239=1,IF(AE239=1,N($R239),AD239),0))</f>
        <v/>
      </c>
      <c r="AG239" s="22">
        <f>IF(AND($A239="",$B239=""),"",IF(Z239=1,IF(AE239=1,N($S239),AC239),0))</f>
        <v/>
      </c>
      <c r="AH239" s="21">
        <f>IF(AND($A239="",$B239=""),"",IF(AND(ISNUMBER($I239),N($I239)&gt;0),$I239,0))</f>
        <v/>
      </c>
      <c r="AI239" s="23">
        <f>IF(AND(NOT(AND($A239="",$B239="")),$K239="Point",N($L239)&gt;0),SQRT(N($L239)/PI()),"")</f>
        <v/>
      </c>
      <c r="AJ239" s="21">
        <f>IF(AND($A239="",$B239=""),"",IFERROR(VLOOKUP($G239,Lists!$D$4:$E$15,2,FALSE),"Not reported"))</f>
        <v/>
      </c>
      <c r="AK239" s="21">
        <f>IF(AND($A239="",$B239=""),"",IF($X239&lt;&gt;"",$X239,IF($T239&lt;&gt;"Y","Not assessed",IF(AND(ISNUMBER($V239),Setup!$B$6-$V239&gt;Setup!$B$26),"Assessment outdated",IF(NOT(ISNUMBER($W239)),"Assessed – no score",IF($W239&gt;=Setup!$B$24,"High",IF($W239&gt;=Setup!$B$25,"Moderate","Low")))))))</f>
        <v/>
      </c>
      <c r="AL239" s="21">
        <f>IF(AND($A239="",$B239=""),"",IF(Z239=0,"",IF(AND(AE239=1,N($R239)&gt;AD239*1.01+0.001),"Net terrestrial &gt; gross; ","")&amp;IF(AND(AE239=1,N($S239)&gt;AC239*1.01+0.001),"Net marine &gt; gross; ","")&amp;IF(AE239=0,"No net area – gross used, overlaps may be double-counted; ","")&amp;IF(AH239=0,"STATUS_YR missing – imputed in time series; ","")&amp;IF(AND(ISNUMBER($I239),N($I239)&gt;Setup!$B$6),"STATUS_YR after reporting year; ","")&amp;IF(OR($G239="",$G239="Not Reported"),"GOV_TYPE not reported; ","")&amp;IF(AND(N($J239)=1,$K239="Point",N($M239)&lt;=0),"Coastal point without REP_M_AREA – land/sea split unknown; ","")&amp;IF(AND(N($J239)=0,N($S239)&gt;0),"MARINE=0 but net marine &gt;0; ","")&amp;IF(AND(N($J239)=2,N($R239)&gt;0),"MARINE=2 but net terrestrial &gt;0; ","")&amp;IF($K239="Point","Buffered point – coverage approximate; ","")))</f>
        <v/>
      </c>
    </row>
    <row r="240">
      <c r="A240" s="19" t="n"/>
      <c r="B240" s="19" t="n"/>
      <c r="C240" s="19" t="n"/>
      <c r="D240" s="19" t="n"/>
      <c r="E240" s="19" t="n"/>
      <c r="F240" s="19" t="n"/>
      <c r="G240" s="19" t="n"/>
      <c r="H240" s="19" t="n"/>
      <c r="I240" s="19" t="n"/>
      <c r="J240" s="19" t="n"/>
      <c r="K240" s="19" t="n"/>
      <c r="L240" s="20" t="n"/>
      <c r="M240" s="20" t="n"/>
      <c r="N240" s="20" t="n"/>
      <c r="O240" s="20" t="n"/>
      <c r="P240" s="19" t="n"/>
      <c r="Q240" s="19" t="n"/>
      <c r="R240" s="20" t="n"/>
      <c r="S240" s="20" t="n"/>
      <c r="T240" s="19" t="n"/>
      <c r="U240" s="19" t="n"/>
      <c r="V240" s="19" t="n"/>
      <c r="W240" s="19" t="n"/>
      <c r="X240" s="19" t="n"/>
      <c r="Y240" s="19" t="n"/>
      <c r="Z240" s="21">
        <f>IF(AND($A240="",$B240=""),"",IF(OR($E240="",$H240="",$H240="Proposed",$H240="Not Reported"),0,IF(AND($P240="Y",$Q240&lt;&gt;"Y"),0,IF(AND($K240="Point",N($L240)&lt;=0),0,IF(AND(N($L240)&lt;=0,N($N240)&lt;=0,N($R240)+N($S240)&lt;=0),0,1)))))</f>
        <v/>
      </c>
      <c r="AA240" s="21">
        <f>IF(AND($A240="",$B240=""),"",IF($E240="","Site type missing",IF($H240="","STATUS missing",IF($H240="Proposed","STATUS = Proposed",IF($H240="Not Reported","STATUS = Not Reported",IF(AND($P240="Y",$Q240&lt;&gt;"Y"),"UNESCO-MAB Biosphere Reserve",IF(AND($K240="Point",N($L240)&lt;=0),"Point without REP_AREA",IF(AND(N($L240)&lt;=0,N($N240)&lt;=0,N($R240)+N($S240)&lt;=0),"No area information",""))))))))</f>
        <v/>
      </c>
      <c r="AB240" s="22">
        <f>IF(AND($A240="",$B240=""),"",IF($K240="Point",N($L240),IF(N($N240)&gt;0,N($N240),N($L240))))</f>
        <v/>
      </c>
      <c r="AC240" s="22">
        <f>IF(AND($A240="",$B240=""),"",MIN(AB240,IF(N($J240)=0,0,IF(N($J240)=2,AB240,IF(AND($K240&lt;&gt;"Point",N($O240)&gt;0),N($O240),N($M240))))))</f>
        <v/>
      </c>
      <c r="AD240" s="22">
        <f>IF(AND($A240="",$B240=""),"",MAX(0,AB240-AC240))</f>
        <v/>
      </c>
      <c r="AE240" s="21">
        <f>IF(AND($A240="",$B240=""),"",IF(OR($R240&lt;&gt;"",$S240&lt;&gt;""),1,0))</f>
        <v/>
      </c>
      <c r="AF240" s="22">
        <f>IF(AND($A240="",$B240=""),"",IF(Z240=1,IF(AE240=1,N($R240),AD240),0))</f>
        <v/>
      </c>
      <c r="AG240" s="22">
        <f>IF(AND($A240="",$B240=""),"",IF(Z240=1,IF(AE240=1,N($S240),AC240),0))</f>
        <v/>
      </c>
      <c r="AH240" s="21">
        <f>IF(AND($A240="",$B240=""),"",IF(AND(ISNUMBER($I240),N($I240)&gt;0),$I240,0))</f>
        <v/>
      </c>
      <c r="AI240" s="23">
        <f>IF(AND(NOT(AND($A240="",$B240="")),$K240="Point",N($L240)&gt;0),SQRT(N($L240)/PI()),"")</f>
        <v/>
      </c>
      <c r="AJ240" s="21">
        <f>IF(AND($A240="",$B240=""),"",IFERROR(VLOOKUP($G240,Lists!$D$4:$E$15,2,FALSE),"Not reported"))</f>
        <v/>
      </c>
      <c r="AK240" s="21">
        <f>IF(AND($A240="",$B240=""),"",IF($X240&lt;&gt;"",$X240,IF($T240&lt;&gt;"Y","Not assessed",IF(AND(ISNUMBER($V240),Setup!$B$6-$V240&gt;Setup!$B$26),"Assessment outdated",IF(NOT(ISNUMBER($W240)),"Assessed – no score",IF($W240&gt;=Setup!$B$24,"High",IF($W240&gt;=Setup!$B$25,"Moderate","Low")))))))</f>
        <v/>
      </c>
      <c r="AL240" s="21">
        <f>IF(AND($A240="",$B240=""),"",IF(Z240=0,"",IF(AND(AE240=1,N($R240)&gt;AD240*1.01+0.001),"Net terrestrial &gt; gross; ","")&amp;IF(AND(AE240=1,N($S240)&gt;AC240*1.01+0.001),"Net marine &gt; gross; ","")&amp;IF(AE240=0,"No net area – gross used, overlaps may be double-counted; ","")&amp;IF(AH240=0,"STATUS_YR missing – imputed in time series; ","")&amp;IF(AND(ISNUMBER($I240),N($I240)&gt;Setup!$B$6),"STATUS_YR after reporting year; ","")&amp;IF(OR($G240="",$G240="Not Reported"),"GOV_TYPE not reported; ","")&amp;IF(AND(N($J240)=1,$K240="Point",N($M240)&lt;=0),"Coastal point without REP_M_AREA – land/sea split unknown; ","")&amp;IF(AND(N($J240)=0,N($S240)&gt;0),"MARINE=0 but net marine &gt;0; ","")&amp;IF(AND(N($J240)=2,N($R240)&gt;0),"MARINE=2 but net terrestrial &gt;0; ","")&amp;IF($K240="Point","Buffered point – coverage approximate; ","")))</f>
        <v/>
      </c>
    </row>
    <row r="241">
      <c r="A241" s="19" t="n"/>
      <c r="B241" s="19" t="n"/>
      <c r="C241" s="19" t="n"/>
      <c r="D241" s="19" t="n"/>
      <c r="E241" s="19" t="n"/>
      <c r="F241" s="19" t="n"/>
      <c r="G241" s="19" t="n"/>
      <c r="H241" s="19" t="n"/>
      <c r="I241" s="19" t="n"/>
      <c r="J241" s="19" t="n"/>
      <c r="K241" s="19" t="n"/>
      <c r="L241" s="20" t="n"/>
      <c r="M241" s="20" t="n"/>
      <c r="N241" s="20" t="n"/>
      <c r="O241" s="20" t="n"/>
      <c r="P241" s="19" t="n"/>
      <c r="Q241" s="19" t="n"/>
      <c r="R241" s="20" t="n"/>
      <c r="S241" s="20" t="n"/>
      <c r="T241" s="19" t="n"/>
      <c r="U241" s="19" t="n"/>
      <c r="V241" s="19" t="n"/>
      <c r="W241" s="19" t="n"/>
      <c r="X241" s="19" t="n"/>
      <c r="Y241" s="19" t="n"/>
      <c r="Z241" s="21">
        <f>IF(AND($A241="",$B241=""),"",IF(OR($E241="",$H241="",$H241="Proposed",$H241="Not Reported"),0,IF(AND($P241="Y",$Q241&lt;&gt;"Y"),0,IF(AND($K241="Point",N($L241)&lt;=0),0,IF(AND(N($L241)&lt;=0,N($N241)&lt;=0,N($R241)+N($S241)&lt;=0),0,1)))))</f>
        <v/>
      </c>
      <c r="AA241" s="21">
        <f>IF(AND($A241="",$B241=""),"",IF($E241="","Site type missing",IF($H241="","STATUS missing",IF($H241="Proposed","STATUS = Proposed",IF($H241="Not Reported","STATUS = Not Reported",IF(AND($P241="Y",$Q241&lt;&gt;"Y"),"UNESCO-MAB Biosphere Reserve",IF(AND($K241="Point",N($L241)&lt;=0),"Point without REP_AREA",IF(AND(N($L241)&lt;=0,N($N241)&lt;=0,N($R241)+N($S241)&lt;=0),"No area information",""))))))))</f>
        <v/>
      </c>
      <c r="AB241" s="22">
        <f>IF(AND($A241="",$B241=""),"",IF($K241="Point",N($L241),IF(N($N241)&gt;0,N($N241),N($L241))))</f>
        <v/>
      </c>
      <c r="AC241" s="22">
        <f>IF(AND($A241="",$B241=""),"",MIN(AB241,IF(N($J241)=0,0,IF(N($J241)=2,AB241,IF(AND($K241&lt;&gt;"Point",N($O241)&gt;0),N($O241),N($M241))))))</f>
        <v/>
      </c>
      <c r="AD241" s="22">
        <f>IF(AND($A241="",$B241=""),"",MAX(0,AB241-AC241))</f>
        <v/>
      </c>
      <c r="AE241" s="21">
        <f>IF(AND($A241="",$B241=""),"",IF(OR($R241&lt;&gt;"",$S241&lt;&gt;""),1,0))</f>
        <v/>
      </c>
      <c r="AF241" s="22">
        <f>IF(AND($A241="",$B241=""),"",IF(Z241=1,IF(AE241=1,N($R241),AD241),0))</f>
        <v/>
      </c>
      <c r="AG241" s="22">
        <f>IF(AND($A241="",$B241=""),"",IF(Z241=1,IF(AE241=1,N($S241),AC241),0))</f>
        <v/>
      </c>
      <c r="AH241" s="21">
        <f>IF(AND($A241="",$B241=""),"",IF(AND(ISNUMBER($I241),N($I241)&gt;0),$I241,0))</f>
        <v/>
      </c>
      <c r="AI241" s="23">
        <f>IF(AND(NOT(AND($A241="",$B241="")),$K241="Point",N($L241)&gt;0),SQRT(N($L241)/PI()),"")</f>
        <v/>
      </c>
      <c r="AJ241" s="21">
        <f>IF(AND($A241="",$B241=""),"",IFERROR(VLOOKUP($G241,Lists!$D$4:$E$15,2,FALSE),"Not reported"))</f>
        <v/>
      </c>
      <c r="AK241" s="21">
        <f>IF(AND($A241="",$B241=""),"",IF($X241&lt;&gt;"",$X241,IF($T241&lt;&gt;"Y","Not assessed",IF(AND(ISNUMBER($V241),Setup!$B$6-$V241&gt;Setup!$B$26),"Assessment outdated",IF(NOT(ISNUMBER($W241)),"Assessed – no score",IF($W241&gt;=Setup!$B$24,"High",IF($W241&gt;=Setup!$B$25,"Moderate","Low")))))))</f>
        <v/>
      </c>
      <c r="AL241" s="21">
        <f>IF(AND($A241="",$B241=""),"",IF(Z241=0,"",IF(AND(AE241=1,N($R241)&gt;AD241*1.01+0.001),"Net terrestrial &gt; gross; ","")&amp;IF(AND(AE241=1,N($S241)&gt;AC241*1.01+0.001),"Net marine &gt; gross; ","")&amp;IF(AE241=0,"No net area – gross used, overlaps may be double-counted; ","")&amp;IF(AH241=0,"STATUS_YR missing – imputed in time series; ","")&amp;IF(AND(ISNUMBER($I241),N($I241)&gt;Setup!$B$6),"STATUS_YR after reporting year; ","")&amp;IF(OR($G241="",$G241="Not Reported"),"GOV_TYPE not reported; ","")&amp;IF(AND(N($J241)=1,$K241="Point",N($M241)&lt;=0),"Coastal point without REP_M_AREA – land/sea split unknown; ","")&amp;IF(AND(N($J241)=0,N($S241)&gt;0),"MARINE=0 but net marine &gt;0; ","")&amp;IF(AND(N($J241)=2,N($R241)&gt;0),"MARINE=2 but net terrestrial &gt;0; ","")&amp;IF($K241="Point","Buffered point – coverage approximate; ","")))</f>
        <v/>
      </c>
    </row>
    <row r="242">
      <c r="A242" s="19" t="n"/>
      <c r="B242" s="19" t="n"/>
      <c r="C242" s="19" t="n"/>
      <c r="D242" s="19" t="n"/>
      <c r="E242" s="19" t="n"/>
      <c r="F242" s="19" t="n"/>
      <c r="G242" s="19" t="n"/>
      <c r="H242" s="19" t="n"/>
      <c r="I242" s="19" t="n"/>
      <c r="J242" s="19" t="n"/>
      <c r="K242" s="19" t="n"/>
      <c r="L242" s="20" t="n"/>
      <c r="M242" s="20" t="n"/>
      <c r="N242" s="20" t="n"/>
      <c r="O242" s="20" t="n"/>
      <c r="P242" s="19" t="n"/>
      <c r="Q242" s="19" t="n"/>
      <c r="R242" s="20" t="n"/>
      <c r="S242" s="20" t="n"/>
      <c r="T242" s="19" t="n"/>
      <c r="U242" s="19" t="n"/>
      <c r="V242" s="19" t="n"/>
      <c r="W242" s="19" t="n"/>
      <c r="X242" s="19" t="n"/>
      <c r="Y242" s="19" t="n"/>
      <c r="Z242" s="21">
        <f>IF(AND($A242="",$B242=""),"",IF(OR($E242="",$H242="",$H242="Proposed",$H242="Not Reported"),0,IF(AND($P242="Y",$Q242&lt;&gt;"Y"),0,IF(AND($K242="Point",N($L242)&lt;=0),0,IF(AND(N($L242)&lt;=0,N($N242)&lt;=0,N($R242)+N($S242)&lt;=0),0,1)))))</f>
        <v/>
      </c>
      <c r="AA242" s="21">
        <f>IF(AND($A242="",$B242=""),"",IF($E242="","Site type missing",IF($H242="","STATUS missing",IF($H242="Proposed","STATUS = Proposed",IF($H242="Not Reported","STATUS = Not Reported",IF(AND($P242="Y",$Q242&lt;&gt;"Y"),"UNESCO-MAB Biosphere Reserve",IF(AND($K242="Point",N($L242)&lt;=0),"Point without REP_AREA",IF(AND(N($L242)&lt;=0,N($N242)&lt;=0,N($R242)+N($S242)&lt;=0),"No area information",""))))))))</f>
        <v/>
      </c>
      <c r="AB242" s="22">
        <f>IF(AND($A242="",$B242=""),"",IF($K242="Point",N($L242),IF(N($N242)&gt;0,N($N242),N($L242))))</f>
        <v/>
      </c>
      <c r="AC242" s="22">
        <f>IF(AND($A242="",$B242=""),"",MIN(AB242,IF(N($J242)=0,0,IF(N($J242)=2,AB242,IF(AND($K242&lt;&gt;"Point",N($O242)&gt;0),N($O242),N($M242))))))</f>
        <v/>
      </c>
      <c r="AD242" s="22">
        <f>IF(AND($A242="",$B242=""),"",MAX(0,AB242-AC242))</f>
        <v/>
      </c>
      <c r="AE242" s="21">
        <f>IF(AND($A242="",$B242=""),"",IF(OR($R242&lt;&gt;"",$S242&lt;&gt;""),1,0))</f>
        <v/>
      </c>
      <c r="AF242" s="22">
        <f>IF(AND($A242="",$B242=""),"",IF(Z242=1,IF(AE242=1,N($R242),AD242),0))</f>
        <v/>
      </c>
      <c r="AG242" s="22">
        <f>IF(AND($A242="",$B242=""),"",IF(Z242=1,IF(AE242=1,N($S242),AC242),0))</f>
        <v/>
      </c>
      <c r="AH242" s="21">
        <f>IF(AND($A242="",$B242=""),"",IF(AND(ISNUMBER($I242),N($I242)&gt;0),$I242,0))</f>
        <v/>
      </c>
      <c r="AI242" s="23">
        <f>IF(AND(NOT(AND($A242="",$B242="")),$K242="Point",N($L242)&gt;0),SQRT(N($L242)/PI()),"")</f>
        <v/>
      </c>
      <c r="AJ242" s="21">
        <f>IF(AND($A242="",$B242=""),"",IFERROR(VLOOKUP($G242,Lists!$D$4:$E$15,2,FALSE),"Not reported"))</f>
        <v/>
      </c>
      <c r="AK242" s="21">
        <f>IF(AND($A242="",$B242=""),"",IF($X242&lt;&gt;"",$X242,IF($T242&lt;&gt;"Y","Not assessed",IF(AND(ISNUMBER($V242),Setup!$B$6-$V242&gt;Setup!$B$26),"Assessment outdated",IF(NOT(ISNUMBER($W242)),"Assessed – no score",IF($W242&gt;=Setup!$B$24,"High",IF($W242&gt;=Setup!$B$25,"Moderate","Low")))))))</f>
        <v/>
      </c>
      <c r="AL242" s="21">
        <f>IF(AND($A242="",$B242=""),"",IF(Z242=0,"",IF(AND(AE242=1,N($R242)&gt;AD242*1.01+0.001),"Net terrestrial &gt; gross; ","")&amp;IF(AND(AE242=1,N($S242)&gt;AC242*1.01+0.001),"Net marine &gt; gross; ","")&amp;IF(AE242=0,"No net area – gross used, overlaps may be double-counted; ","")&amp;IF(AH242=0,"STATUS_YR missing – imputed in time series; ","")&amp;IF(AND(ISNUMBER($I242),N($I242)&gt;Setup!$B$6),"STATUS_YR after reporting year; ","")&amp;IF(OR($G242="",$G242="Not Reported"),"GOV_TYPE not reported; ","")&amp;IF(AND(N($J242)=1,$K242="Point",N($M242)&lt;=0),"Coastal point without REP_M_AREA – land/sea split unknown; ","")&amp;IF(AND(N($J242)=0,N($S242)&gt;0),"MARINE=0 but net marine &gt;0; ","")&amp;IF(AND(N($J242)=2,N($R242)&gt;0),"MARINE=2 but net terrestrial &gt;0; ","")&amp;IF($K242="Point","Buffered point – coverage approximate; ","")))</f>
        <v/>
      </c>
    </row>
    <row r="243">
      <c r="A243" s="19" t="n"/>
      <c r="B243" s="19" t="n"/>
      <c r="C243" s="19" t="n"/>
      <c r="D243" s="19" t="n"/>
      <c r="E243" s="19" t="n"/>
      <c r="F243" s="19" t="n"/>
      <c r="G243" s="19" t="n"/>
      <c r="H243" s="19" t="n"/>
      <c r="I243" s="19" t="n"/>
      <c r="J243" s="19" t="n"/>
      <c r="K243" s="19" t="n"/>
      <c r="L243" s="20" t="n"/>
      <c r="M243" s="20" t="n"/>
      <c r="N243" s="20" t="n"/>
      <c r="O243" s="20" t="n"/>
      <c r="P243" s="19" t="n"/>
      <c r="Q243" s="19" t="n"/>
      <c r="R243" s="20" t="n"/>
      <c r="S243" s="20" t="n"/>
      <c r="T243" s="19" t="n"/>
      <c r="U243" s="19" t="n"/>
      <c r="V243" s="19" t="n"/>
      <c r="W243" s="19" t="n"/>
      <c r="X243" s="19" t="n"/>
      <c r="Y243" s="19" t="n"/>
      <c r="Z243" s="21">
        <f>IF(AND($A243="",$B243=""),"",IF(OR($E243="",$H243="",$H243="Proposed",$H243="Not Reported"),0,IF(AND($P243="Y",$Q243&lt;&gt;"Y"),0,IF(AND($K243="Point",N($L243)&lt;=0),0,IF(AND(N($L243)&lt;=0,N($N243)&lt;=0,N($R243)+N($S243)&lt;=0),0,1)))))</f>
        <v/>
      </c>
      <c r="AA243" s="21">
        <f>IF(AND($A243="",$B243=""),"",IF($E243="","Site type missing",IF($H243="","STATUS missing",IF($H243="Proposed","STATUS = Proposed",IF($H243="Not Reported","STATUS = Not Reported",IF(AND($P243="Y",$Q243&lt;&gt;"Y"),"UNESCO-MAB Biosphere Reserve",IF(AND($K243="Point",N($L243)&lt;=0),"Point without REP_AREA",IF(AND(N($L243)&lt;=0,N($N243)&lt;=0,N($R243)+N($S243)&lt;=0),"No area information",""))))))))</f>
        <v/>
      </c>
      <c r="AB243" s="22">
        <f>IF(AND($A243="",$B243=""),"",IF($K243="Point",N($L243),IF(N($N243)&gt;0,N($N243),N($L243))))</f>
        <v/>
      </c>
      <c r="AC243" s="22">
        <f>IF(AND($A243="",$B243=""),"",MIN(AB243,IF(N($J243)=0,0,IF(N($J243)=2,AB243,IF(AND($K243&lt;&gt;"Point",N($O243)&gt;0),N($O243),N($M243))))))</f>
        <v/>
      </c>
      <c r="AD243" s="22">
        <f>IF(AND($A243="",$B243=""),"",MAX(0,AB243-AC243))</f>
        <v/>
      </c>
      <c r="AE243" s="21">
        <f>IF(AND($A243="",$B243=""),"",IF(OR($R243&lt;&gt;"",$S243&lt;&gt;""),1,0))</f>
        <v/>
      </c>
      <c r="AF243" s="22">
        <f>IF(AND($A243="",$B243=""),"",IF(Z243=1,IF(AE243=1,N($R243),AD243),0))</f>
        <v/>
      </c>
      <c r="AG243" s="22">
        <f>IF(AND($A243="",$B243=""),"",IF(Z243=1,IF(AE243=1,N($S243),AC243),0))</f>
        <v/>
      </c>
      <c r="AH243" s="21">
        <f>IF(AND($A243="",$B243=""),"",IF(AND(ISNUMBER($I243),N($I243)&gt;0),$I243,0))</f>
        <v/>
      </c>
      <c r="AI243" s="23">
        <f>IF(AND(NOT(AND($A243="",$B243="")),$K243="Point",N($L243)&gt;0),SQRT(N($L243)/PI()),"")</f>
        <v/>
      </c>
      <c r="AJ243" s="21">
        <f>IF(AND($A243="",$B243=""),"",IFERROR(VLOOKUP($G243,Lists!$D$4:$E$15,2,FALSE),"Not reported"))</f>
        <v/>
      </c>
      <c r="AK243" s="21">
        <f>IF(AND($A243="",$B243=""),"",IF($X243&lt;&gt;"",$X243,IF($T243&lt;&gt;"Y","Not assessed",IF(AND(ISNUMBER($V243),Setup!$B$6-$V243&gt;Setup!$B$26),"Assessment outdated",IF(NOT(ISNUMBER($W243)),"Assessed – no score",IF($W243&gt;=Setup!$B$24,"High",IF($W243&gt;=Setup!$B$25,"Moderate","Low")))))))</f>
        <v/>
      </c>
      <c r="AL243" s="21">
        <f>IF(AND($A243="",$B243=""),"",IF(Z243=0,"",IF(AND(AE243=1,N($R243)&gt;AD243*1.01+0.001),"Net terrestrial &gt; gross; ","")&amp;IF(AND(AE243=1,N($S243)&gt;AC243*1.01+0.001),"Net marine &gt; gross; ","")&amp;IF(AE243=0,"No net area – gross used, overlaps may be double-counted; ","")&amp;IF(AH243=0,"STATUS_YR missing – imputed in time series; ","")&amp;IF(AND(ISNUMBER($I243),N($I243)&gt;Setup!$B$6),"STATUS_YR after reporting year; ","")&amp;IF(OR($G243="",$G243="Not Reported"),"GOV_TYPE not reported; ","")&amp;IF(AND(N($J243)=1,$K243="Point",N($M243)&lt;=0),"Coastal point without REP_M_AREA – land/sea split unknown; ","")&amp;IF(AND(N($J243)=0,N($S243)&gt;0),"MARINE=0 but net marine &gt;0; ","")&amp;IF(AND(N($J243)=2,N($R243)&gt;0),"MARINE=2 but net terrestrial &gt;0; ","")&amp;IF($K243="Point","Buffered point – coverage approximate; ","")))</f>
        <v/>
      </c>
    </row>
    <row r="244">
      <c r="A244" s="19" t="n"/>
      <c r="B244" s="19" t="n"/>
      <c r="C244" s="19" t="n"/>
      <c r="D244" s="19" t="n"/>
      <c r="E244" s="19" t="n"/>
      <c r="F244" s="19" t="n"/>
      <c r="G244" s="19" t="n"/>
      <c r="H244" s="19" t="n"/>
      <c r="I244" s="19" t="n"/>
      <c r="J244" s="19" t="n"/>
      <c r="K244" s="19" t="n"/>
      <c r="L244" s="20" t="n"/>
      <c r="M244" s="20" t="n"/>
      <c r="N244" s="20" t="n"/>
      <c r="O244" s="20" t="n"/>
      <c r="P244" s="19" t="n"/>
      <c r="Q244" s="19" t="n"/>
      <c r="R244" s="20" t="n"/>
      <c r="S244" s="20" t="n"/>
      <c r="T244" s="19" t="n"/>
      <c r="U244" s="19" t="n"/>
      <c r="V244" s="19" t="n"/>
      <c r="W244" s="19" t="n"/>
      <c r="X244" s="19" t="n"/>
      <c r="Y244" s="19" t="n"/>
      <c r="Z244" s="21">
        <f>IF(AND($A244="",$B244=""),"",IF(OR($E244="",$H244="",$H244="Proposed",$H244="Not Reported"),0,IF(AND($P244="Y",$Q244&lt;&gt;"Y"),0,IF(AND($K244="Point",N($L244)&lt;=0),0,IF(AND(N($L244)&lt;=0,N($N244)&lt;=0,N($R244)+N($S244)&lt;=0),0,1)))))</f>
        <v/>
      </c>
      <c r="AA244" s="21">
        <f>IF(AND($A244="",$B244=""),"",IF($E244="","Site type missing",IF($H244="","STATUS missing",IF($H244="Proposed","STATUS = Proposed",IF($H244="Not Reported","STATUS = Not Reported",IF(AND($P244="Y",$Q244&lt;&gt;"Y"),"UNESCO-MAB Biosphere Reserve",IF(AND($K244="Point",N($L244)&lt;=0),"Point without REP_AREA",IF(AND(N($L244)&lt;=0,N($N244)&lt;=0,N($R244)+N($S244)&lt;=0),"No area information",""))))))))</f>
        <v/>
      </c>
      <c r="AB244" s="22">
        <f>IF(AND($A244="",$B244=""),"",IF($K244="Point",N($L244),IF(N($N244)&gt;0,N($N244),N($L244))))</f>
        <v/>
      </c>
      <c r="AC244" s="22">
        <f>IF(AND($A244="",$B244=""),"",MIN(AB244,IF(N($J244)=0,0,IF(N($J244)=2,AB244,IF(AND($K244&lt;&gt;"Point",N($O244)&gt;0),N($O244),N($M244))))))</f>
        <v/>
      </c>
      <c r="AD244" s="22">
        <f>IF(AND($A244="",$B244=""),"",MAX(0,AB244-AC244))</f>
        <v/>
      </c>
      <c r="AE244" s="21">
        <f>IF(AND($A244="",$B244=""),"",IF(OR($R244&lt;&gt;"",$S244&lt;&gt;""),1,0))</f>
        <v/>
      </c>
      <c r="AF244" s="22">
        <f>IF(AND($A244="",$B244=""),"",IF(Z244=1,IF(AE244=1,N($R244),AD244),0))</f>
        <v/>
      </c>
      <c r="AG244" s="22">
        <f>IF(AND($A244="",$B244=""),"",IF(Z244=1,IF(AE244=1,N($S244),AC244),0))</f>
        <v/>
      </c>
      <c r="AH244" s="21">
        <f>IF(AND($A244="",$B244=""),"",IF(AND(ISNUMBER($I244),N($I244)&gt;0),$I244,0))</f>
        <v/>
      </c>
      <c r="AI244" s="23">
        <f>IF(AND(NOT(AND($A244="",$B244="")),$K244="Point",N($L244)&gt;0),SQRT(N($L244)/PI()),"")</f>
        <v/>
      </c>
      <c r="AJ244" s="21">
        <f>IF(AND($A244="",$B244=""),"",IFERROR(VLOOKUP($G244,Lists!$D$4:$E$15,2,FALSE),"Not reported"))</f>
        <v/>
      </c>
      <c r="AK244" s="21">
        <f>IF(AND($A244="",$B244=""),"",IF($X244&lt;&gt;"",$X244,IF($T244&lt;&gt;"Y","Not assessed",IF(AND(ISNUMBER($V244),Setup!$B$6-$V244&gt;Setup!$B$26),"Assessment outdated",IF(NOT(ISNUMBER($W244)),"Assessed – no score",IF($W244&gt;=Setup!$B$24,"High",IF($W244&gt;=Setup!$B$25,"Moderate","Low")))))))</f>
        <v/>
      </c>
      <c r="AL244" s="21">
        <f>IF(AND($A244="",$B244=""),"",IF(Z244=0,"",IF(AND(AE244=1,N($R244)&gt;AD244*1.01+0.001),"Net terrestrial &gt; gross; ","")&amp;IF(AND(AE244=1,N($S244)&gt;AC244*1.01+0.001),"Net marine &gt; gross; ","")&amp;IF(AE244=0,"No net area – gross used, overlaps may be double-counted; ","")&amp;IF(AH244=0,"STATUS_YR missing – imputed in time series; ","")&amp;IF(AND(ISNUMBER($I244),N($I244)&gt;Setup!$B$6),"STATUS_YR after reporting year; ","")&amp;IF(OR($G244="",$G244="Not Reported"),"GOV_TYPE not reported; ","")&amp;IF(AND(N($J244)=1,$K244="Point",N($M244)&lt;=0),"Coastal point without REP_M_AREA – land/sea split unknown; ","")&amp;IF(AND(N($J244)=0,N($S244)&gt;0),"MARINE=0 but net marine &gt;0; ","")&amp;IF(AND(N($J244)=2,N($R244)&gt;0),"MARINE=2 but net terrestrial &gt;0; ","")&amp;IF($K244="Point","Buffered point – coverage approximate; ","")))</f>
        <v/>
      </c>
    </row>
    <row r="245">
      <c r="A245" s="19" t="n"/>
      <c r="B245" s="19" t="n"/>
      <c r="C245" s="19" t="n"/>
      <c r="D245" s="19" t="n"/>
      <c r="E245" s="19" t="n"/>
      <c r="F245" s="19" t="n"/>
      <c r="G245" s="19" t="n"/>
      <c r="H245" s="19" t="n"/>
      <c r="I245" s="19" t="n"/>
      <c r="J245" s="19" t="n"/>
      <c r="K245" s="19" t="n"/>
      <c r="L245" s="20" t="n"/>
      <c r="M245" s="20" t="n"/>
      <c r="N245" s="20" t="n"/>
      <c r="O245" s="20" t="n"/>
      <c r="P245" s="19" t="n"/>
      <c r="Q245" s="19" t="n"/>
      <c r="R245" s="20" t="n"/>
      <c r="S245" s="20" t="n"/>
      <c r="T245" s="19" t="n"/>
      <c r="U245" s="19" t="n"/>
      <c r="V245" s="19" t="n"/>
      <c r="W245" s="19" t="n"/>
      <c r="X245" s="19" t="n"/>
      <c r="Y245" s="19" t="n"/>
      <c r="Z245" s="21">
        <f>IF(AND($A245="",$B245=""),"",IF(OR($E245="",$H245="",$H245="Proposed",$H245="Not Reported"),0,IF(AND($P245="Y",$Q245&lt;&gt;"Y"),0,IF(AND($K245="Point",N($L245)&lt;=0),0,IF(AND(N($L245)&lt;=0,N($N245)&lt;=0,N($R245)+N($S245)&lt;=0),0,1)))))</f>
        <v/>
      </c>
      <c r="AA245" s="21">
        <f>IF(AND($A245="",$B245=""),"",IF($E245="","Site type missing",IF($H245="","STATUS missing",IF($H245="Proposed","STATUS = Proposed",IF($H245="Not Reported","STATUS = Not Reported",IF(AND($P245="Y",$Q245&lt;&gt;"Y"),"UNESCO-MAB Biosphere Reserve",IF(AND($K245="Point",N($L245)&lt;=0),"Point without REP_AREA",IF(AND(N($L245)&lt;=0,N($N245)&lt;=0,N($R245)+N($S245)&lt;=0),"No area information",""))))))))</f>
        <v/>
      </c>
      <c r="AB245" s="22">
        <f>IF(AND($A245="",$B245=""),"",IF($K245="Point",N($L245),IF(N($N245)&gt;0,N($N245),N($L245))))</f>
        <v/>
      </c>
      <c r="AC245" s="22">
        <f>IF(AND($A245="",$B245=""),"",MIN(AB245,IF(N($J245)=0,0,IF(N($J245)=2,AB245,IF(AND($K245&lt;&gt;"Point",N($O245)&gt;0),N($O245),N($M245))))))</f>
        <v/>
      </c>
      <c r="AD245" s="22">
        <f>IF(AND($A245="",$B245=""),"",MAX(0,AB245-AC245))</f>
        <v/>
      </c>
      <c r="AE245" s="21">
        <f>IF(AND($A245="",$B245=""),"",IF(OR($R245&lt;&gt;"",$S245&lt;&gt;""),1,0))</f>
        <v/>
      </c>
      <c r="AF245" s="22">
        <f>IF(AND($A245="",$B245=""),"",IF(Z245=1,IF(AE245=1,N($R245),AD245),0))</f>
        <v/>
      </c>
      <c r="AG245" s="22">
        <f>IF(AND($A245="",$B245=""),"",IF(Z245=1,IF(AE245=1,N($S245),AC245),0))</f>
        <v/>
      </c>
      <c r="AH245" s="21">
        <f>IF(AND($A245="",$B245=""),"",IF(AND(ISNUMBER($I245),N($I245)&gt;0),$I245,0))</f>
        <v/>
      </c>
      <c r="AI245" s="23">
        <f>IF(AND(NOT(AND($A245="",$B245="")),$K245="Point",N($L245)&gt;0),SQRT(N($L245)/PI()),"")</f>
        <v/>
      </c>
      <c r="AJ245" s="21">
        <f>IF(AND($A245="",$B245=""),"",IFERROR(VLOOKUP($G245,Lists!$D$4:$E$15,2,FALSE),"Not reported"))</f>
        <v/>
      </c>
      <c r="AK245" s="21">
        <f>IF(AND($A245="",$B245=""),"",IF($X245&lt;&gt;"",$X245,IF($T245&lt;&gt;"Y","Not assessed",IF(AND(ISNUMBER($V245),Setup!$B$6-$V245&gt;Setup!$B$26),"Assessment outdated",IF(NOT(ISNUMBER($W245)),"Assessed – no score",IF($W245&gt;=Setup!$B$24,"High",IF($W245&gt;=Setup!$B$25,"Moderate","Low")))))))</f>
        <v/>
      </c>
      <c r="AL245" s="21">
        <f>IF(AND($A245="",$B245=""),"",IF(Z245=0,"",IF(AND(AE245=1,N($R245)&gt;AD245*1.01+0.001),"Net terrestrial &gt; gross; ","")&amp;IF(AND(AE245=1,N($S245)&gt;AC245*1.01+0.001),"Net marine &gt; gross; ","")&amp;IF(AE245=0,"No net area – gross used, overlaps may be double-counted; ","")&amp;IF(AH245=0,"STATUS_YR missing – imputed in time series; ","")&amp;IF(AND(ISNUMBER($I245),N($I245)&gt;Setup!$B$6),"STATUS_YR after reporting year; ","")&amp;IF(OR($G245="",$G245="Not Reported"),"GOV_TYPE not reported; ","")&amp;IF(AND(N($J245)=1,$K245="Point",N($M245)&lt;=0),"Coastal point without REP_M_AREA – land/sea split unknown; ","")&amp;IF(AND(N($J245)=0,N($S245)&gt;0),"MARINE=0 but net marine &gt;0; ","")&amp;IF(AND(N($J245)=2,N($R245)&gt;0),"MARINE=2 but net terrestrial &gt;0; ","")&amp;IF($K245="Point","Buffered point – coverage approximate; ","")))</f>
        <v/>
      </c>
    </row>
    <row r="246">
      <c r="A246" s="19" t="n"/>
      <c r="B246" s="19" t="n"/>
      <c r="C246" s="19" t="n"/>
      <c r="D246" s="19" t="n"/>
      <c r="E246" s="19" t="n"/>
      <c r="F246" s="19" t="n"/>
      <c r="G246" s="19" t="n"/>
      <c r="H246" s="19" t="n"/>
      <c r="I246" s="19" t="n"/>
      <c r="J246" s="19" t="n"/>
      <c r="K246" s="19" t="n"/>
      <c r="L246" s="20" t="n"/>
      <c r="M246" s="20" t="n"/>
      <c r="N246" s="20" t="n"/>
      <c r="O246" s="20" t="n"/>
      <c r="P246" s="19" t="n"/>
      <c r="Q246" s="19" t="n"/>
      <c r="R246" s="20" t="n"/>
      <c r="S246" s="20" t="n"/>
      <c r="T246" s="19" t="n"/>
      <c r="U246" s="19" t="n"/>
      <c r="V246" s="19" t="n"/>
      <c r="W246" s="19" t="n"/>
      <c r="X246" s="19" t="n"/>
      <c r="Y246" s="19" t="n"/>
      <c r="Z246" s="21">
        <f>IF(AND($A246="",$B246=""),"",IF(OR($E246="",$H246="",$H246="Proposed",$H246="Not Reported"),0,IF(AND($P246="Y",$Q246&lt;&gt;"Y"),0,IF(AND($K246="Point",N($L246)&lt;=0),0,IF(AND(N($L246)&lt;=0,N($N246)&lt;=0,N($R246)+N($S246)&lt;=0),0,1)))))</f>
        <v/>
      </c>
      <c r="AA246" s="21">
        <f>IF(AND($A246="",$B246=""),"",IF($E246="","Site type missing",IF($H246="","STATUS missing",IF($H246="Proposed","STATUS = Proposed",IF($H246="Not Reported","STATUS = Not Reported",IF(AND($P246="Y",$Q246&lt;&gt;"Y"),"UNESCO-MAB Biosphere Reserve",IF(AND($K246="Point",N($L246)&lt;=0),"Point without REP_AREA",IF(AND(N($L246)&lt;=0,N($N246)&lt;=0,N($R246)+N($S246)&lt;=0),"No area information",""))))))))</f>
        <v/>
      </c>
      <c r="AB246" s="22">
        <f>IF(AND($A246="",$B246=""),"",IF($K246="Point",N($L246),IF(N($N246)&gt;0,N($N246),N($L246))))</f>
        <v/>
      </c>
      <c r="AC246" s="22">
        <f>IF(AND($A246="",$B246=""),"",MIN(AB246,IF(N($J246)=0,0,IF(N($J246)=2,AB246,IF(AND($K246&lt;&gt;"Point",N($O246)&gt;0),N($O246),N($M246))))))</f>
        <v/>
      </c>
      <c r="AD246" s="22">
        <f>IF(AND($A246="",$B246=""),"",MAX(0,AB246-AC246))</f>
        <v/>
      </c>
      <c r="AE246" s="21">
        <f>IF(AND($A246="",$B246=""),"",IF(OR($R246&lt;&gt;"",$S246&lt;&gt;""),1,0))</f>
        <v/>
      </c>
      <c r="AF246" s="22">
        <f>IF(AND($A246="",$B246=""),"",IF(Z246=1,IF(AE246=1,N($R246),AD246),0))</f>
        <v/>
      </c>
      <c r="AG246" s="22">
        <f>IF(AND($A246="",$B246=""),"",IF(Z246=1,IF(AE246=1,N($S246),AC246),0))</f>
        <v/>
      </c>
      <c r="AH246" s="21">
        <f>IF(AND($A246="",$B246=""),"",IF(AND(ISNUMBER($I246),N($I246)&gt;0),$I246,0))</f>
        <v/>
      </c>
      <c r="AI246" s="23">
        <f>IF(AND(NOT(AND($A246="",$B246="")),$K246="Point",N($L246)&gt;0),SQRT(N($L246)/PI()),"")</f>
        <v/>
      </c>
      <c r="AJ246" s="21">
        <f>IF(AND($A246="",$B246=""),"",IFERROR(VLOOKUP($G246,Lists!$D$4:$E$15,2,FALSE),"Not reported"))</f>
        <v/>
      </c>
      <c r="AK246" s="21">
        <f>IF(AND($A246="",$B246=""),"",IF($X246&lt;&gt;"",$X246,IF($T246&lt;&gt;"Y","Not assessed",IF(AND(ISNUMBER($V246),Setup!$B$6-$V246&gt;Setup!$B$26),"Assessment outdated",IF(NOT(ISNUMBER($W246)),"Assessed – no score",IF($W246&gt;=Setup!$B$24,"High",IF($W246&gt;=Setup!$B$25,"Moderate","Low")))))))</f>
        <v/>
      </c>
      <c r="AL246" s="21">
        <f>IF(AND($A246="",$B246=""),"",IF(Z246=0,"",IF(AND(AE246=1,N($R246)&gt;AD246*1.01+0.001),"Net terrestrial &gt; gross; ","")&amp;IF(AND(AE246=1,N($S246)&gt;AC246*1.01+0.001),"Net marine &gt; gross; ","")&amp;IF(AE246=0,"No net area – gross used, overlaps may be double-counted; ","")&amp;IF(AH246=0,"STATUS_YR missing – imputed in time series; ","")&amp;IF(AND(ISNUMBER($I246),N($I246)&gt;Setup!$B$6),"STATUS_YR after reporting year; ","")&amp;IF(OR($G246="",$G246="Not Reported"),"GOV_TYPE not reported; ","")&amp;IF(AND(N($J246)=1,$K246="Point",N($M246)&lt;=0),"Coastal point without REP_M_AREA – land/sea split unknown; ","")&amp;IF(AND(N($J246)=0,N($S246)&gt;0),"MARINE=0 but net marine &gt;0; ","")&amp;IF(AND(N($J246)=2,N($R246)&gt;0),"MARINE=2 but net terrestrial &gt;0; ","")&amp;IF($K246="Point","Buffered point – coverage approximate; ","")))</f>
        <v/>
      </c>
    </row>
    <row r="247">
      <c r="A247" s="19" t="n"/>
      <c r="B247" s="19" t="n"/>
      <c r="C247" s="19" t="n"/>
      <c r="D247" s="19" t="n"/>
      <c r="E247" s="19" t="n"/>
      <c r="F247" s="19" t="n"/>
      <c r="G247" s="19" t="n"/>
      <c r="H247" s="19" t="n"/>
      <c r="I247" s="19" t="n"/>
      <c r="J247" s="19" t="n"/>
      <c r="K247" s="19" t="n"/>
      <c r="L247" s="20" t="n"/>
      <c r="M247" s="20" t="n"/>
      <c r="N247" s="20" t="n"/>
      <c r="O247" s="20" t="n"/>
      <c r="P247" s="19" t="n"/>
      <c r="Q247" s="19" t="n"/>
      <c r="R247" s="20" t="n"/>
      <c r="S247" s="20" t="n"/>
      <c r="T247" s="19" t="n"/>
      <c r="U247" s="19" t="n"/>
      <c r="V247" s="19" t="n"/>
      <c r="W247" s="19" t="n"/>
      <c r="X247" s="19" t="n"/>
      <c r="Y247" s="19" t="n"/>
      <c r="Z247" s="21">
        <f>IF(AND($A247="",$B247=""),"",IF(OR($E247="",$H247="",$H247="Proposed",$H247="Not Reported"),0,IF(AND($P247="Y",$Q247&lt;&gt;"Y"),0,IF(AND($K247="Point",N($L247)&lt;=0),0,IF(AND(N($L247)&lt;=0,N($N247)&lt;=0,N($R247)+N($S247)&lt;=0),0,1)))))</f>
        <v/>
      </c>
      <c r="AA247" s="21">
        <f>IF(AND($A247="",$B247=""),"",IF($E247="","Site type missing",IF($H247="","STATUS missing",IF($H247="Proposed","STATUS = Proposed",IF($H247="Not Reported","STATUS = Not Reported",IF(AND($P247="Y",$Q247&lt;&gt;"Y"),"UNESCO-MAB Biosphere Reserve",IF(AND($K247="Point",N($L247)&lt;=0),"Point without REP_AREA",IF(AND(N($L247)&lt;=0,N($N247)&lt;=0,N($R247)+N($S247)&lt;=0),"No area information",""))))))))</f>
        <v/>
      </c>
      <c r="AB247" s="22">
        <f>IF(AND($A247="",$B247=""),"",IF($K247="Point",N($L247),IF(N($N247)&gt;0,N($N247),N($L247))))</f>
        <v/>
      </c>
      <c r="AC247" s="22">
        <f>IF(AND($A247="",$B247=""),"",MIN(AB247,IF(N($J247)=0,0,IF(N($J247)=2,AB247,IF(AND($K247&lt;&gt;"Point",N($O247)&gt;0),N($O247),N($M247))))))</f>
        <v/>
      </c>
      <c r="AD247" s="22">
        <f>IF(AND($A247="",$B247=""),"",MAX(0,AB247-AC247))</f>
        <v/>
      </c>
      <c r="AE247" s="21">
        <f>IF(AND($A247="",$B247=""),"",IF(OR($R247&lt;&gt;"",$S247&lt;&gt;""),1,0))</f>
        <v/>
      </c>
      <c r="AF247" s="22">
        <f>IF(AND($A247="",$B247=""),"",IF(Z247=1,IF(AE247=1,N($R247),AD247),0))</f>
        <v/>
      </c>
      <c r="AG247" s="22">
        <f>IF(AND($A247="",$B247=""),"",IF(Z247=1,IF(AE247=1,N($S247),AC247),0))</f>
        <v/>
      </c>
      <c r="AH247" s="21">
        <f>IF(AND($A247="",$B247=""),"",IF(AND(ISNUMBER($I247),N($I247)&gt;0),$I247,0))</f>
        <v/>
      </c>
      <c r="AI247" s="23">
        <f>IF(AND(NOT(AND($A247="",$B247="")),$K247="Point",N($L247)&gt;0),SQRT(N($L247)/PI()),"")</f>
        <v/>
      </c>
      <c r="AJ247" s="21">
        <f>IF(AND($A247="",$B247=""),"",IFERROR(VLOOKUP($G247,Lists!$D$4:$E$15,2,FALSE),"Not reported"))</f>
        <v/>
      </c>
      <c r="AK247" s="21">
        <f>IF(AND($A247="",$B247=""),"",IF($X247&lt;&gt;"",$X247,IF($T247&lt;&gt;"Y","Not assessed",IF(AND(ISNUMBER($V247),Setup!$B$6-$V247&gt;Setup!$B$26),"Assessment outdated",IF(NOT(ISNUMBER($W247)),"Assessed – no score",IF($W247&gt;=Setup!$B$24,"High",IF($W247&gt;=Setup!$B$25,"Moderate","Low")))))))</f>
        <v/>
      </c>
      <c r="AL247" s="21">
        <f>IF(AND($A247="",$B247=""),"",IF(Z247=0,"",IF(AND(AE247=1,N($R247)&gt;AD247*1.01+0.001),"Net terrestrial &gt; gross; ","")&amp;IF(AND(AE247=1,N($S247)&gt;AC247*1.01+0.001),"Net marine &gt; gross; ","")&amp;IF(AE247=0,"No net area – gross used, overlaps may be double-counted; ","")&amp;IF(AH247=0,"STATUS_YR missing – imputed in time series; ","")&amp;IF(AND(ISNUMBER($I247),N($I247)&gt;Setup!$B$6),"STATUS_YR after reporting year; ","")&amp;IF(OR($G247="",$G247="Not Reported"),"GOV_TYPE not reported; ","")&amp;IF(AND(N($J247)=1,$K247="Point",N($M247)&lt;=0),"Coastal point without REP_M_AREA – land/sea split unknown; ","")&amp;IF(AND(N($J247)=0,N($S247)&gt;0),"MARINE=0 but net marine &gt;0; ","")&amp;IF(AND(N($J247)=2,N($R247)&gt;0),"MARINE=2 but net terrestrial &gt;0; ","")&amp;IF($K247="Point","Buffered point – coverage approximate; ","")))</f>
        <v/>
      </c>
    </row>
    <row r="248">
      <c r="A248" s="19" t="n"/>
      <c r="B248" s="19" t="n"/>
      <c r="C248" s="19" t="n"/>
      <c r="D248" s="19" t="n"/>
      <c r="E248" s="19" t="n"/>
      <c r="F248" s="19" t="n"/>
      <c r="G248" s="19" t="n"/>
      <c r="H248" s="19" t="n"/>
      <c r="I248" s="19" t="n"/>
      <c r="J248" s="19" t="n"/>
      <c r="K248" s="19" t="n"/>
      <c r="L248" s="20" t="n"/>
      <c r="M248" s="20" t="n"/>
      <c r="N248" s="20" t="n"/>
      <c r="O248" s="20" t="n"/>
      <c r="P248" s="19" t="n"/>
      <c r="Q248" s="19" t="n"/>
      <c r="R248" s="20" t="n"/>
      <c r="S248" s="20" t="n"/>
      <c r="T248" s="19" t="n"/>
      <c r="U248" s="19" t="n"/>
      <c r="V248" s="19" t="n"/>
      <c r="W248" s="19" t="n"/>
      <c r="X248" s="19" t="n"/>
      <c r="Y248" s="19" t="n"/>
      <c r="Z248" s="21">
        <f>IF(AND($A248="",$B248=""),"",IF(OR($E248="",$H248="",$H248="Proposed",$H248="Not Reported"),0,IF(AND($P248="Y",$Q248&lt;&gt;"Y"),0,IF(AND($K248="Point",N($L248)&lt;=0),0,IF(AND(N($L248)&lt;=0,N($N248)&lt;=0,N($R248)+N($S248)&lt;=0),0,1)))))</f>
        <v/>
      </c>
      <c r="AA248" s="21">
        <f>IF(AND($A248="",$B248=""),"",IF($E248="","Site type missing",IF($H248="","STATUS missing",IF($H248="Proposed","STATUS = Proposed",IF($H248="Not Reported","STATUS = Not Reported",IF(AND($P248="Y",$Q248&lt;&gt;"Y"),"UNESCO-MAB Biosphere Reserve",IF(AND($K248="Point",N($L248)&lt;=0),"Point without REP_AREA",IF(AND(N($L248)&lt;=0,N($N248)&lt;=0,N($R248)+N($S248)&lt;=0),"No area information",""))))))))</f>
        <v/>
      </c>
      <c r="AB248" s="22">
        <f>IF(AND($A248="",$B248=""),"",IF($K248="Point",N($L248),IF(N($N248)&gt;0,N($N248),N($L248))))</f>
        <v/>
      </c>
      <c r="AC248" s="22">
        <f>IF(AND($A248="",$B248=""),"",MIN(AB248,IF(N($J248)=0,0,IF(N($J248)=2,AB248,IF(AND($K248&lt;&gt;"Point",N($O248)&gt;0),N($O248),N($M248))))))</f>
        <v/>
      </c>
      <c r="AD248" s="22">
        <f>IF(AND($A248="",$B248=""),"",MAX(0,AB248-AC248))</f>
        <v/>
      </c>
      <c r="AE248" s="21">
        <f>IF(AND($A248="",$B248=""),"",IF(OR($R248&lt;&gt;"",$S248&lt;&gt;""),1,0))</f>
        <v/>
      </c>
      <c r="AF248" s="22">
        <f>IF(AND($A248="",$B248=""),"",IF(Z248=1,IF(AE248=1,N($R248),AD248),0))</f>
        <v/>
      </c>
      <c r="AG248" s="22">
        <f>IF(AND($A248="",$B248=""),"",IF(Z248=1,IF(AE248=1,N($S248),AC248),0))</f>
        <v/>
      </c>
      <c r="AH248" s="21">
        <f>IF(AND($A248="",$B248=""),"",IF(AND(ISNUMBER($I248),N($I248)&gt;0),$I248,0))</f>
        <v/>
      </c>
      <c r="AI248" s="23">
        <f>IF(AND(NOT(AND($A248="",$B248="")),$K248="Point",N($L248)&gt;0),SQRT(N($L248)/PI()),"")</f>
        <v/>
      </c>
      <c r="AJ248" s="21">
        <f>IF(AND($A248="",$B248=""),"",IFERROR(VLOOKUP($G248,Lists!$D$4:$E$15,2,FALSE),"Not reported"))</f>
        <v/>
      </c>
      <c r="AK248" s="21">
        <f>IF(AND($A248="",$B248=""),"",IF($X248&lt;&gt;"",$X248,IF($T248&lt;&gt;"Y","Not assessed",IF(AND(ISNUMBER($V248),Setup!$B$6-$V248&gt;Setup!$B$26),"Assessment outdated",IF(NOT(ISNUMBER($W248)),"Assessed – no score",IF($W248&gt;=Setup!$B$24,"High",IF($W248&gt;=Setup!$B$25,"Moderate","Low")))))))</f>
        <v/>
      </c>
      <c r="AL248" s="21">
        <f>IF(AND($A248="",$B248=""),"",IF(Z248=0,"",IF(AND(AE248=1,N($R248)&gt;AD248*1.01+0.001),"Net terrestrial &gt; gross; ","")&amp;IF(AND(AE248=1,N($S248)&gt;AC248*1.01+0.001),"Net marine &gt; gross; ","")&amp;IF(AE248=0,"No net area – gross used, overlaps may be double-counted; ","")&amp;IF(AH248=0,"STATUS_YR missing – imputed in time series; ","")&amp;IF(AND(ISNUMBER($I248),N($I248)&gt;Setup!$B$6),"STATUS_YR after reporting year; ","")&amp;IF(OR($G248="",$G248="Not Reported"),"GOV_TYPE not reported; ","")&amp;IF(AND(N($J248)=1,$K248="Point",N($M248)&lt;=0),"Coastal point without REP_M_AREA – land/sea split unknown; ","")&amp;IF(AND(N($J248)=0,N($S248)&gt;0),"MARINE=0 but net marine &gt;0; ","")&amp;IF(AND(N($J248)=2,N($R248)&gt;0),"MARINE=2 but net terrestrial &gt;0; ","")&amp;IF($K248="Point","Buffered point – coverage approximate; ","")))</f>
        <v/>
      </c>
    </row>
    <row r="249">
      <c r="A249" s="19" t="n"/>
      <c r="B249" s="19" t="n"/>
      <c r="C249" s="19" t="n"/>
      <c r="D249" s="19" t="n"/>
      <c r="E249" s="19" t="n"/>
      <c r="F249" s="19" t="n"/>
      <c r="G249" s="19" t="n"/>
      <c r="H249" s="19" t="n"/>
      <c r="I249" s="19" t="n"/>
      <c r="J249" s="19" t="n"/>
      <c r="K249" s="19" t="n"/>
      <c r="L249" s="20" t="n"/>
      <c r="M249" s="20" t="n"/>
      <c r="N249" s="20" t="n"/>
      <c r="O249" s="20" t="n"/>
      <c r="P249" s="19" t="n"/>
      <c r="Q249" s="19" t="n"/>
      <c r="R249" s="20" t="n"/>
      <c r="S249" s="20" t="n"/>
      <c r="T249" s="19" t="n"/>
      <c r="U249" s="19" t="n"/>
      <c r="V249" s="19" t="n"/>
      <c r="W249" s="19" t="n"/>
      <c r="X249" s="19" t="n"/>
      <c r="Y249" s="19" t="n"/>
      <c r="Z249" s="21">
        <f>IF(AND($A249="",$B249=""),"",IF(OR($E249="",$H249="",$H249="Proposed",$H249="Not Reported"),0,IF(AND($P249="Y",$Q249&lt;&gt;"Y"),0,IF(AND($K249="Point",N($L249)&lt;=0),0,IF(AND(N($L249)&lt;=0,N($N249)&lt;=0,N($R249)+N($S249)&lt;=0),0,1)))))</f>
        <v/>
      </c>
      <c r="AA249" s="21">
        <f>IF(AND($A249="",$B249=""),"",IF($E249="","Site type missing",IF($H249="","STATUS missing",IF($H249="Proposed","STATUS = Proposed",IF($H249="Not Reported","STATUS = Not Reported",IF(AND($P249="Y",$Q249&lt;&gt;"Y"),"UNESCO-MAB Biosphere Reserve",IF(AND($K249="Point",N($L249)&lt;=0),"Point without REP_AREA",IF(AND(N($L249)&lt;=0,N($N249)&lt;=0,N($R249)+N($S249)&lt;=0),"No area information",""))))))))</f>
        <v/>
      </c>
      <c r="AB249" s="22">
        <f>IF(AND($A249="",$B249=""),"",IF($K249="Point",N($L249),IF(N($N249)&gt;0,N($N249),N($L249))))</f>
        <v/>
      </c>
      <c r="AC249" s="22">
        <f>IF(AND($A249="",$B249=""),"",MIN(AB249,IF(N($J249)=0,0,IF(N($J249)=2,AB249,IF(AND($K249&lt;&gt;"Point",N($O249)&gt;0),N($O249),N($M249))))))</f>
        <v/>
      </c>
      <c r="AD249" s="22">
        <f>IF(AND($A249="",$B249=""),"",MAX(0,AB249-AC249))</f>
        <v/>
      </c>
      <c r="AE249" s="21">
        <f>IF(AND($A249="",$B249=""),"",IF(OR($R249&lt;&gt;"",$S249&lt;&gt;""),1,0))</f>
        <v/>
      </c>
      <c r="AF249" s="22">
        <f>IF(AND($A249="",$B249=""),"",IF(Z249=1,IF(AE249=1,N($R249),AD249),0))</f>
        <v/>
      </c>
      <c r="AG249" s="22">
        <f>IF(AND($A249="",$B249=""),"",IF(Z249=1,IF(AE249=1,N($S249),AC249),0))</f>
        <v/>
      </c>
      <c r="AH249" s="21">
        <f>IF(AND($A249="",$B249=""),"",IF(AND(ISNUMBER($I249),N($I249)&gt;0),$I249,0))</f>
        <v/>
      </c>
      <c r="AI249" s="23">
        <f>IF(AND(NOT(AND($A249="",$B249="")),$K249="Point",N($L249)&gt;0),SQRT(N($L249)/PI()),"")</f>
        <v/>
      </c>
      <c r="AJ249" s="21">
        <f>IF(AND($A249="",$B249=""),"",IFERROR(VLOOKUP($G249,Lists!$D$4:$E$15,2,FALSE),"Not reported"))</f>
        <v/>
      </c>
      <c r="AK249" s="21">
        <f>IF(AND($A249="",$B249=""),"",IF($X249&lt;&gt;"",$X249,IF($T249&lt;&gt;"Y","Not assessed",IF(AND(ISNUMBER($V249),Setup!$B$6-$V249&gt;Setup!$B$26),"Assessment outdated",IF(NOT(ISNUMBER($W249)),"Assessed – no score",IF($W249&gt;=Setup!$B$24,"High",IF($W249&gt;=Setup!$B$25,"Moderate","Low")))))))</f>
        <v/>
      </c>
      <c r="AL249" s="21">
        <f>IF(AND($A249="",$B249=""),"",IF(Z249=0,"",IF(AND(AE249=1,N($R249)&gt;AD249*1.01+0.001),"Net terrestrial &gt; gross; ","")&amp;IF(AND(AE249=1,N($S249)&gt;AC249*1.01+0.001),"Net marine &gt; gross; ","")&amp;IF(AE249=0,"No net area – gross used, overlaps may be double-counted; ","")&amp;IF(AH249=0,"STATUS_YR missing – imputed in time series; ","")&amp;IF(AND(ISNUMBER($I249),N($I249)&gt;Setup!$B$6),"STATUS_YR after reporting year; ","")&amp;IF(OR($G249="",$G249="Not Reported"),"GOV_TYPE not reported; ","")&amp;IF(AND(N($J249)=1,$K249="Point",N($M249)&lt;=0),"Coastal point without REP_M_AREA – land/sea split unknown; ","")&amp;IF(AND(N($J249)=0,N($S249)&gt;0),"MARINE=0 but net marine &gt;0; ","")&amp;IF(AND(N($J249)=2,N($R249)&gt;0),"MARINE=2 but net terrestrial &gt;0; ","")&amp;IF($K249="Point","Buffered point – coverage approximate; ","")))</f>
        <v/>
      </c>
    </row>
    <row r="250">
      <c r="A250" s="19" t="n"/>
      <c r="B250" s="19" t="n"/>
      <c r="C250" s="19" t="n"/>
      <c r="D250" s="19" t="n"/>
      <c r="E250" s="19" t="n"/>
      <c r="F250" s="19" t="n"/>
      <c r="G250" s="19" t="n"/>
      <c r="H250" s="19" t="n"/>
      <c r="I250" s="19" t="n"/>
      <c r="J250" s="19" t="n"/>
      <c r="K250" s="19" t="n"/>
      <c r="L250" s="20" t="n"/>
      <c r="M250" s="20" t="n"/>
      <c r="N250" s="20" t="n"/>
      <c r="O250" s="20" t="n"/>
      <c r="P250" s="19" t="n"/>
      <c r="Q250" s="19" t="n"/>
      <c r="R250" s="20" t="n"/>
      <c r="S250" s="20" t="n"/>
      <c r="T250" s="19" t="n"/>
      <c r="U250" s="19" t="n"/>
      <c r="V250" s="19" t="n"/>
      <c r="W250" s="19" t="n"/>
      <c r="X250" s="19" t="n"/>
      <c r="Y250" s="19" t="n"/>
      <c r="Z250" s="21">
        <f>IF(AND($A250="",$B250=""),"",IF(OR($E250="",$H250="",$H250="Proposed",$H250="Not Reported"),0,IF(AND($P250="Y",$Q250&lt;&gt;"Y"),0,IF(AND($K250="Point",N($L250)&lt;=0),0,IF(AND(N($L250)&lt;=0,N($N250)&lt;=0,N($R250)+N($S250)&lt;=0),0,1)))))</f>
        <v/>
      </c>
      <c r="AA250" s="21">
        <f>IF(AND($A250="",$B250=""),"",IF($E250="","Site type missing",IF($H250="","STATUS missing",IF($H250="Proposed","STATUS = Proposed",IF($H250="Not Reported","STATUS = Not Reported",IF(AND($P250="Y",$Q250&lt;&gt;"Y"),"UNESCO-MAB Biosphere Reserve",IF(AND($K250="Point",N($L250)&lt;=0),"Point without REP_AREA",IF(AND(N($L250)&lt;=0,N($N250)&lt;=0,N($R250)+N($S250)&lt;=0),"No area information",""))))))))</f>
        <v/>
      </c>
      <c r="AB250" s="22">
        <f>IF(AND($A250="",$B250=""),"",IF($K250="Point",N($L250),IF(N($N250)&gt;0,N($N250),N($L250))))</f>
        <v/>
      </c>
      <c r="AC250" s="22">
        <f>IF(AND($A250="",$B250=""),"",MIN(AB250,IF(N($J250)=0,0,IF(N($J250)=2,AB250,IF(AND($K250&lt;&gt;"Point",N($O250)&gt;0),N($O250),N($M250))))))</f>
        <v/>
      </c>
      <c r="AD250" s="22">
        <f>IF(AND($A250="",$B250=""),"",MAX(0,AB250-AC250))</f>
        <v/>
      </c>
      <c r="AE250" s="21">
        <f>IF(AND($A250="",$B250=""),"",IF(OR($R250&lt;&gt;"",$S250&lt;&gt;""),1,0))</f>
        <v/>
      </c>
      <c r="AF250" s="22">
        <f>IF(AND($A250="",$B250=""),"",IF(Z250=1,IF(AE250=1,N($R250),AD250),0))</f>
        <v/>
      </c>
      <c r="AG250" s="22">
        <f>IF(AND($A250="",$B250=""),"",IF(Z250=1,IF(AE250=1,N($S250),AC250),0))</f>
        <v/>
      </c>
      <c r="AH250" s="21">
        <f>IF(AND($A250="",$B250=""),"",IF(AND(ISNUMBER($I250),N($I250)&gt;0),$I250,0))</f>
        <v/>
      </c>
      <c r="AI250" s="23">
        <f>IF(AND(NOT(AND($A250="",$B250="")),$K250="Point",N($L250)&gt;0),SQRT(N($L250)/PI()),"")</f>
        <v/>
      </c>
      <c r="AJ250" s="21">
        <f>IF(AND($A250="",$B250=""),"",IFERROR(VLOOKUP($G250,Lists!$D$4:$E$15,2,FALSE),"Not reported"))</f>
        <v/>
      </c>
      <c r="AK250" s="21">
        <f>IF(AND($A250="",$B250=""),"",IF($X250&lt;&gt;"",$X250,IF($T250&lt;&gt;"Y","Not assessed",IF(AND(ISNUMBER($V250),Setup!$B$6-$V250&gt;Setup!$B$26),"Assessment outdated",IF(NOT(ISNUMBER($W250)),"Assessed – no score",IF($W250&gt;=Setup!$B$24,"High",IF($W250&gt;=Setup!$B$25,"Moderate","Low")))))))</f>
        <v/>
      </c>
      <c r="AL250" s="21">
        <f>IF(AND($A250="",$B250=""),"",IF(Z250=0,"",IF(AND(AE250=1,N($R250)&gt;AD250*1.01+0.001),"Net terrestrial &gt; gross; ","")&amp;IF(AND(AE250=1,N($S250)&gt;AC250*1.01+0.001),"Net marine &gt; gross; ","")&amp;IF(AE250=0,"No net area – gross used, overlaps may be double-counted; ","")&amp;IF(AH250=0,"STATUS_YR missing – imputed in time series; ","")&amp;IF(AND(ISNUMBER($I250),N($I250)&gt;Setup!$B$6),"STATUS_YR after reporting year; ","")&amp;IF(OR($G250="",$G250="Not Reported"),"GOV_TYPE not reported; ","")&amp;IF(AND(N($J250)=1,$K250="Point",N($M250)&lt;=0),"Coastal point without REP_M_AREA – land/sea split unknown; ","")&amp;IF(AND(N($J250)=0,N($S250)&gt;0),"MARINE=0 but net marine &gt;0; ","")&amp;IF(AND(N($J250)=2,N($R250)&gt;0),"MARINE=2 but net terrestrial &gt;0; ","")&amp;IF($K250="Point","Buffered point – coverage approximate; ","")))</f>
        <v/>
      </c>
    </row>
    <row r="251">
      <c r="A251" s="19" t="n"/>
      <c r="B251" s="19" t="n"/>
      <c r="C251" s="19" t="n"/>
      <c r="D251" s="19" t="n"/>
      <c r="E251" s="19" t="n"/>
      <c r="F251" s="19" t="n"/>
      <c r="G251" s="19" t="n"/>
      <c r="H251" s="19" t="n"/>
      <c r="I251" s="19" t="n"/>
      <c r="J251" s="19" t="n"/>
      <c r="K251" s="19" t="n"/>
      <c r="L251" s="20" t="n"/>
      <c r="M251" s="20" t="n"/>
      <c r="N251" s="20" t="n"/>
      <c r="O251" s="20" t="n"/>
      <c r="P251" s="19" t="n"/>
      <c r="Q251" s="19" t="n"/>
      <c r="R251" s="20" t="n"/>
      <c r="S251" s="20" t="n"/>
      <c r="T251" s="19" t="n"/>
      <c r="U251" s="19" t="n"/>
      <c r="V251" s="19" t="n"/>
      <c r="W251" s="19" t="n"/>
      <c r="X251" s="19" t="n"/>
      <c r="Y251" s="19" t="n"/>
      <c r="Z251" s="21">
        <f>IF(AND($A251="",$B251=""),"",IF(OR($E251="",$H251="",$H251="Proposed",$H251="Not Reported"),0,IF(AND($P251="Y",$Q251&lt;&gt;"Y"),0,IF(AND($K251="Point",N($L251)&lt;=0),0,IF(AND(N($L251)&lt;=0,N($N251)&lt;=0,N($R251)+N($S251)&lt;=0),0,1)))))</f>
        <v/>
      </c>
      <c r="AA251" s="21">
        <f>IF(AND($A251="",$B251=""),"",IF($E251="","Site type missing",IF($H251="","STATUS missing",IF($H251="Proposed","STATUS = Proposed",IF($H251="Not Reported","STATUS = Not Reported",IF(AND($P251="Y",$Q251&lt;&gt;"Y"),"UNESCO-MAB Biosphere Reserve",IF(AND($K251="Point",N($L251)&lt;=0),"Point without REP_AREA",IF(AND(N($L251)&lt;=0,N($N251)&lt;=0,N($R251)+N($S251)&lt;=0),"No area information",""))))))))</f>
        <v/>
      </c>
      <c r="AB251" s="22">
        <f>IF(AND($A251="",$B251=""),"",IF($K251="Point",N($L251),IF(N($N251)&gt;0,N($N251),N($L251))))</f>
        <v/>
      </c>
      <c r="AC251" s="22">
        <f>IF(AND($A251="",$B251=""),"",MIN(AB251,IF(N($J251)=0,0,IF(N($J251)=2,AB251,IF(AND($K251&lt;&gt;"Point",N($O251)&gt;0),N($O251),N($M251))))))</f>
        <v/>
      </c>
      <c r="AD251" s="22">
        <f>IF(AND($A251="",$B251=""),"",MAX(0,AB251-AC251))</f>
        <v/>
      </c>
      <c r="AE251" s="21">
        <f>IF(AND($A251="",$B251=""),"",IF(OR($R251&lt;&gt;"",$S251&lt;&gt;""),1,0))</f>
        <v/>
      </c>
      <c r="AF251" s="22">
        <f>IF(AND($A251="",$B251=""),"",IF(Z251=1,IF(AE251=1,N($R251),AD251),0))</f>
        <v/>
      </c>
      <c r="AG251" s="22">
        <f>IF(AND($A251="",$B251=""),"",IF(Z251=1,IF(AE251=1,N($S251),AC251),0))</f>
        <v/>
      </c>
      <c r="AH251" s="21">
        <f>IF(AND($A251="",$B251=""),"",IF(AND(ISNUMBER($I251),N($I251)&gt;0),$I251,0))</f>
        <v/>
      </c>
      <c r="AI251" s="23">
        <f>IF(AND(NOT(AND($A251="",$B251="")),$K251="Point",N($L251)&gt;0),SQRT(N($L251)/PI()),"")</f>
        <v/>
      </c>
      <c r="AJ251" s="21">
        <f>IF(AND($A251="",$B251=""),"",IFERROR(VLOOKUP($G251,Lists!$D$4:$E$15,2,FALSE),"Not reported"))</f>
        <v/>
      </c>
      <c r="AK251" s="21">
        <f>IF(AND($A251="",$B251=""),"",IF($X251&lt;&gt;"",$X251,IF($T251&lt;&gt;"Y","Not assessed",IF(AND(ISNUMBER($V251),Setup!$B$6-$V251&gt;Setup!$B$26),"Assessment outdated",IF(NOT(ISNUMBER($W251)),"Assessed – no score",IF($W251&gt;=Setup!$B$24,"High",IF($W251&gt;=Setup!$B$25,"Moderate","Low")))))))</f>
        <v/>
      </c>
      <c r="AL251" s="21">
        <f>IF(AND($A251="",$B251=""),"",IF(Z251=0,"",IF(AND(AE251=1,N($R251)&gt;AD251*1.01+0.001),"Net terrestrial &gt; gross; ","")&amp;IF(AND(AE251=1,N($S251)&gt;AC251*1.01+0.001),"Net marine &gt; gross; ","")&amp;IF(AE251=0,"No net area – gross used, overlaps may be double-counted; ","")&amp;IF(AH251=0,"STATUS_YR missing – imputed in time series; ","")&amp;IF(AND(ISNUMBER($I251),N($I251)&gt;Setup!$B$6),"STATUS_YR after reporting year; ","")&amp;IF(OR($G251="",$G251="Not Reported"),"GOV_TYPE not reported; ","")&amp;IF(AND(N($J251)=1,$K251="Point",N($M251)&lt;=0),"Coastal point without REP_M_AREA – land/sea split unknown; ","")&amp;IF(AND(N($J251)=0,N($S251)&gt;0),"MARINE=0 but net marine &gt;0; ","")&amp;IF(AND(N($J251)=2,N($R251)&gt;0),"MARINE=2 but net terrestrial &gt;0; ","")&amp;IF($K251="Point","Buffered point – coverage approximate; ","")))</f>
        <v/>
      </c>
    </row>
    <row r="252">
      <c r="A252" s="19" t="n"/>
      <c r="B252" s="19" t="n"/>
      <c r="C252" s="19" t="n"/>
      <c r="D252" s="19" t="n"/>
      <c r="E252" s="19" t="n"/>
      <c r="F252" s="19" t="n"/>
      <c r="G252" s="19" t="n"/>
      <c r="H252" s="19" t="n"/>
      <c r="I252" s="19" t="n"/>
      <c r="J252" s="19" t="n"/>
      <c r="K252" s="19" t="n"/>
      <c r="L252" s="20" t="n"/>
      <c r="M252" s="20" t="n"/>
      <c r="N252" s="20" t="n"/>
      <c r="O252" s="20" t="n"/>
      <c r="P252" s="19" t="n"/>
      <c r="Q252" s="19" t="n"/>
      <c r="R252" s="20" t="n"/>
      <c r="S252" s="20" t="n"/>
      <c r="T252" s="19" t="n"/>
      <c r="U252" s="19" t="n"/>
      <c r="V252" s="19" t="n"/>
      <c r="W252" s="19" t="n"/>
      <c r="X252" s="19" t="n"/>
      <c r="Y252" s="19" t="n"/>
      <c r="Z252" s="21">
        <f>IF(AND($A252="",$B252=""),"",IF(OR($E252="",$H252="",$H252="Proposed",$H252="Not Reported"),0,IF(AND($P252="Y",$Q252&lt;&gt;"Y"),0,IF(AND($K252="Point",N($L252)&lt;=0),0,IF(AND(N($L252)&lt;=0,N($N252)&lt;=0,N($R252)+N($S252)&lt;=0),0,1)))))</f>
        <v/>
      </c>
      <c r="AA252" s="21">
        <f>IF(AND($A252="",$B252=""),"",IF($E252="","Site type missing",IF($H252="","STATUS missing",IF($H252="Proposed","STATUS = Proposed",IF($H252="Not Reported","STATUS = Not Reported",IF(AND($P252="Y",$Q252&lt;&gt;"Y"),"UNESCO-MAB Biosphere Reserve",IF(AND($K252="Point",N($L252)&lt;=0),"Point without REP_AREA",IF(AND(N($L252)&lt;=0,N($N252)&lt;=0,N($R252)+N($S252)&lt;=0),"No area information",""))))))))</f>
        <v/>
      </c>
      <c r="AB252" s="22">
        <f>IF(AND($A252="",$B252=""),"",IF($K252="Point",N($L252),IF(N($N252)&gt;0,N($N252),N($L252))))</f>
        <v/>
      </c>
      <c r="AC252" s="22">
        <f>IF(AND($A252="",$B252=""),"",MIN(AB252,IF(N($J252)=0,0,IF(N($J252)=2,AB252,IF(AND($K252&lt;&gt;"Point",N($O252)&gt;0),N($O252),N($M252))))))</f>
        <v/>
      </c>
      <c r="AD252" s="22">
        <f>IF(AND($A252="",$B252=""),"",MAX(0,AB252-AC252))</f>
        <v/>
      </c>
      <c r="AE252" s="21">
        <f>IF(AND($A252="",$B252=""),"",IF(OR($R252&lt;&gt;"",$S252&lt;&gt;""),1,0))</f>
        <v/>
      </c>
      <c r="AF252" s="22">
        <f>IF(AND($A252="",$B252=""),"",IF(Z252=1,IF(AE252=1,N($R252),AD252),0))</f>
        <v/>
      </c>
      <c r="AG252" s="22">
        <f>IF(AND($A252="",$B252=""),"",IF(Z252=1,IF(AE252=1,N($S252),AC252),0))</f>
        <v/>
      </c>
      <c r="AH252" s="21">
        <f>IF(AND($A252="",$B252=""),"",IF(AND(ISNUMBER($I252),N($I252)&gt;0),$I252,0))</f>
        <v/>
      </c>
      <c r="AI252" s="23">
        <f>IF(AND(NOT(AND($A252="",$B252="")),$K252="Point",N($L252)&gt;0),SQRT(N($L252)/PI()),"")</f>
        <v/>
      </c>
      <c r="AJ252" s="21">
        <f>IF(AND($A252="",$B252=""),"",IFERROR(VLOOKUP($G252,Lists!$D$4:$E$15,2,FALSE),"Not reported"))</f>
        <v/>
      </c>
      <c r="AK252" s="21">
        <f>IF(AND($A252="",$B252=""),"",IF($X252&lt;&gt;"",$X252,IF($T252&lt;&gt;"Y","Not assessed",IF(AND(ISNUMBER($V252),Setup!$B$6-$V252&gt;Setup!$B$26),"Assessment outdated",IF(NOT(ISNUMBER($W252)),"Assessed – no score",IF($W252&gt;=Setup!$B$24,"High",IF($W252&gt;=Setup!$B$25,"Moderate","Low")))))))</f>
        <v/>
      </c>
      <c r="AL252" s="21">
        <f>IF(AND($A252="",$B252=""),"",IF(Z252=0,"",IF(AND(AE252=1,N($R252)&gt;AD252*1.01+0.001),"Net terrestrial &gt; gross; ","")&amp;IF(AND(AE252=1,N($S252)&gt;AC252*1.01+0.001),"Net marine &gt; gross; ","")&amp;IF(AE252=0,"No net area – gross used, overlaps may be double-counted; ","")&amp;IF(AH252=0,"STATUS_YR missing – imputed in time series; ","")&amp;IF(AND(ISNUMBER($I252),N($I252)&gt;Setup!$B$6),"STATUS_YR after reporting year; ","")&amp;IF(OR($G252="",$G252="Not Reported"),"GOV_TYPE not reported; ","")&amp;IF(AND(N($J252)=1,$K252="Point",N($M252)&lt;=0),"Coastal point without REP_M_AREA – land/sea split unknown; ","")&amp;IF(AND(N($J252)=0,N($S252)&gt;0),"MARINE=0 but net marine &gt;0; ","")&amp;IF(AND(N($J252)=2,N($R252)&gt;0),"MARINE=2 but net terrestrial &gt;0; ","")&amp;IF($K252="Point","Buffered point – coverage approximate; ","")))</f>
        <v/>
      </c>
    </row>
    <row r="253">
      <c r="A253" s="19" t="n"/>
      <c r="B253" s="19" t="n"/>
      <c r="C253" s="19" t="n"/>
      <c r="D253" s="19" t="n"/>
      <c r="E253" s="19" t="n"/>
      <c r="F253" s="19" t="n"/>
      <c r="G253" s="19" t="n"/>
      <c r="H253" s="19" t="n"/>
      <c r="I253" s="19" t="n"/>
      <c r="J253" s="19" t="n"/>
      <c r="K253" s="19" t="n"/>
      <c r="L253" s="20" t="n"/>
      <c r="M253" s="20" t="n"/>
      <c r="N253" s="20" t="n"/>
      <c r="O253" s="20" t="n"/>
      <c r="P253" s="19" t="n"/>
      <c r="Q253" s="19" t="n"/>
      <c r="R253" s="20" t="n"/>
      <c r="S253" s="20" t="n"/>
      <c r="T253" s="19" t="n"/>
      <c r="U253" s="19" t="n"/>
      <c r="V253" s="19" t="n"/>
      <c r="W253" s="19" t="n"/>
      <c r="X253" s="19" t="n"/>
      <c r="Y253" s="19" t="n"/>
      <c r="Z253" s="21">
        <f>IF(AND($A253="",$B253=""),"",IF(OR($E253="",$H253="",$H253="Proposed",$H253="Not Reported"),0,IF(AND($P253="Y",$Q253&lt;&gt;"Y"),0,IF(AND($K253="Point",N($L253)&lt;=0),0,IF(AND(N($L253)&lt;=0,N($N253)&lt;=0,N($R253)+N($S253)&lt;=0),0,1)))))</f>
        <v/>
      </c>
      <c r="AA253" s="21">
        <f>IF(AND($A253="",$B253=""),"",IF($E253="","Site type missing",IF($H253="","STATUS missing",IF($H253="Proposed","STATUS = Proposed",IF($H253="Not Reported","STATUS = Not Reported",IF(AND($P253="Y",$Q253&lt;&gt;"Y"),"UNESCO-MAB Biosphere Reserve",IF(AND($K253="Point",N($L253)&lt;=0),"Point without REP_AREA",IF(AND(N($L253)&lt;=0,N($N253)&lt;=0,N($R253)+N($S253)&lt;=0),"No area information",""))))))))</f>
        <v/>
      </c>
      <c r="AB253" s="22">
        <f>IF(AND($A253="",$B253=""),"",IF($K253="Point",N($L253),IF(N($N253)&gt;0,N($N253),N($L253))))</f>
        <v/>
      </c>
      <c r="AC253" s="22">
        <f>IF(AND($A253="",$B253=""),"",MIN(AB253,IF(N($J253)=0,0,IF(N($J253)=2,AB253,IF(AND($K253&lt;&gt;"Point",N($O253)&gt;0),N($O253),N($M253))))))</f>
        <v/>
      </c>
      <c r="AD253" s="22">
        <f>IF(AND($A253="",$B253=""),"",MAX(0,AB253-AC253))</f>
        <v/>
      </c>
      <c r="AE253" s="21">
        <f>IF(AND($A253="",$B253=""),"",IF(OR($R253&lt;&gt;"",$S253&lt;&gt;""),1,0))</f>
        <v/>
      </c>
      <c r="AF253" s="22">
        <f>IF(AND($A253="",$B253=""),"",IF(Z253=1,IF(AE253=1,N($R253),AD253),0))</f>
        <v/>
      </c>
      <c r="AG253" s="22">
        <f>IF(AND($A253="",$B253=""),"",IF(Z253=1,IF(AE253=1,N($S253),AC253),0))</f>
        <v/>
      </c>
      <c r="AH253" s="21">
        <f>IF(AND($A253="",$B253=""),"",IF(AND(ISNUMBER($I253),N($I253)&gt;0),$I253,0))</f>
        <v/>
      </c>
      <c r="AI253" s="23">
        <f>IF(AND(NOT(AND($A253="",$B253="")),$K253="Point",N($L253)&gt;0),SQRT(N($L253)/PI()),"")</f>
        <v/>
      </c>
      <c r="AJ253" s="21">
        <f>IF(AND($A253="",$B253=""),"",IFERROR(VLOOKUP($G253,Lists!$D$4:$E$15,2,FALSE),"Not reported"))</f>
        <v/>
      </c>
      <c r="AK253" s="21">
        <f>IF(AND($A253="",$B253=""),"",IF($X253&lt;&gt;"",$X253,IF($T253&lt;&gt;"Y","Not assessed",IF(AND(ISNUMBER($V253),Setup!$B$6-$V253&gt;Setup!$B$26),"Assessment outdated",IF(NOT(ISNUMBER($W253)),"Assessed – no score",IF($W253&gt;=Setup!$B$24,"High",IF($W253&gt;=Setup!$B$25,"Moderate","Low")))))))</f>
        <v/>
      </c>
      <c r="AL253" s="21">
        <f>IF(AND($A253="",$B253=""),"",IF(Z253=0,"",IF(AND(AE253=1,N($R253)&gt;AD253*1.01+0.001),"Net terrestrial &gt; gross; ","")&amp;IF(AND(AE253=1,N($S253)&gt;AC253*1.01+0.001),"Net marine &gt; gross; ","")&amp;IF(AE253=0,"No net area – gross used, overlaps may be double-counted; ","")&amp;IF(AH253=0,"STATUS_YR missing – imputed in time series; ","")&amp;IF(AND(ISNUMBER($I253),N($I253)&gt;Setup!$B$6),"STATUS_YR after reporting year; ","")&amp;IF(OR($G253="",$G253="Not Reported"),"GOV_TYPE not reported; ","")&amp;IF(AND(N($J253)=1,$K253="Point",N($M253)&lt;=0),"Coastal point without REP_M_AREA – land/sea split unknown; ","")&amp;IF(AND(N($J253)=0,N($S253)&gt;0),"MARINE=0 but net marine &gt;0; ","")&amp;IF(AND(N($J253)=2,N($R253)&gt;0),"MARINE=2 but net terrestrial &gt;0; ","")&amp;IF($K253="Point","Buffered point – coverage approximate; ","")))</f>
        <v/>
      </c>
    </row>
    <row r="254">
      <c r="A254" s="19" t="n"/>
      <c r="B254" s="19" t="n"/>
      <c r="C254" s="19" t="n"/>
      <c r="D254" s="19" t="n"/>
      <c r="E254" s="19" t="n"/>
      <c r="F254" s="19" t="n"/>
      <c r="G254" s="19" t="n"/>
      <c r="H254" s="19" t="n"/>
      <c r="I254" s="19" t="n"/>
      <c r="J254" s="19" t="n"/>
      <c r="K254" s="19" t="n"/>
      <c r="L254" s="20" t="n"/>
      <c r="M254" s="20" t="n"/>
      <c r="N254" s="20" t="n"/>
      <c r="O254" s="20" t="n"/>
      <c r="P254" s="19" t="n"/>
      <c r="Q254" s="19" t="n"/>
      <c r="R254" s="20" t="n"/>
      <c r="S254" s="20" t="n"/>
      <c r="T254" s="19" t="n"/>
      <c r="U254" s="19" t="n"/>
      <c r="V254" s="19" t="n"/>
      <c r="W254" s="19" t="n"/>
      <c r="X254" s="19" t="n"/>
      <c r="Y254" s="19" t="n"/>
      <c r="Z254" s="21">
        <f>IF(AND($A254="",$B254=""),"",IF(OR($E254="",$H254="",$H254="Proposed",$H254="Not Reported"),0,IF(AND($P254="Y",$Q254&lt;&gt;"Y"),0,IF(AND($K254="Point",N($L254)&lt;=0),0,IF(AND(N($L254)&lt;=0,N($N254)&lt;=0,N($R254)+N($S254)&lt;=0),0,1)))))</f>
        <v/>
      </c>
      <c r="AA254" s="21">
        <f>IF(AND($A254="",$B254=""),"",IF($E254="","Site type missing",IF($H254="","STATUS missing",IF($H254="Proposed","STATUS = Proposed",IF($H254="Not Reported","STATUS = Not Reported",IF(AND($P254="Y",$Q254&lt;&gt;"Y"),"UNESCO-MAB Biosphere Reserve",IF(AND($K254="Point",N($L254)&lt;=0),"Point without REP_AREA",IF(AND(N($L254)&lt;=0,N($N254)&lt;=0,N($R254)+N($S254)&lt;=0),"No area information",""))))))))</f>
        <v/>
      </c>
      <c r="AB254" s="22">
        <f>IF(AND($A254="",$B254=""),"",IF($K254="Point",N($L254),IF(N($N254)&gt;0,N($N254),N($L254))))</f>
        <v/>
      </c>
      <c r="AC254" s="22">
        <f>IF(AND($A254="",$B254=""),"",MIN(AB254,IF(N($J254)=0,0,IF(N($J254)=2,AB254,IF(AND($K254&lt;&gt;"Point",N($O254)&gt;0),N($O254),N($M254))))))</f>
        <v/>
      </c>
      <c r="AD254" s="22">
        <f>IF(AND($A254="",$B254=""),"",MAX(0,AB254-AC254))</f>
        <v/>
      </c>
      <c r="AE254" s="21">
        <f>IF(AND($A254="",$B254=""),"",IF(OR($R254&lt;&gt;"",$S254&lt;&gt;""),1,0))</f>
        <v/>
      </c>
      <c r="AF254" s="22">
        <f>IF(AND($A254="",$B254=""),"",IF(Z254=1,IF(AE254=1,N($R254),AD254),0))</f>
        <v/>
      </c>
      <c r="AG254" s="22">
        <f>IF(AND($A254="",$B254=""),"",IF(Z254=1,IF(AE254=1,N($S254),AC254),0))</f>
        <v/>
      </c>
      <c r="AH254" s="21">
        <f>IF(AND($A254="",$B254=""),"",IF(AND(ISNUMBER($I254),N($I254)&gt;0),$I254,0))</f>
        <v/>
      </c>
      <c r="AI254" s="23">
        <f>IF(AND(NOT(AND($A254="",$B254="")),$K254="Point",N($L254)&gt;0),SQRT(N($L254)/PI()),"")</f>
        <v/>
      </c>
      <c r="AJ254" s="21">
        <f>IF(AND($A254="",$B254=""),"",IFERROR(VLOOKUP($G254,Lists!$D$4:$E$15,2,FALSE),"Not reported"))</f>
        <v/>
      </c>
      <c r="AK254" s="21">
        <f>IF(AND($A254="",$B254=""),"",IF($X254&lt;&gt;"",$X254,IF($T254&lt;&gt;"Y","Not assessed",IF(AND(ISNUMBER($V254),Setup!$B$6-$V254&gt;Setup!$B$26),"Assessment outdated",IF(NOT(ISNUMBER($W254)),"Assessed – no score",IF($W254&gt;=Setup!$B$24,"High",IF($W254&gt;=Setup!$B$25,"Moderate","Low")))))))</f>
        <v/>
      </c>
      <c r="AL254" s="21">
        <f>IF(AND($A254="",$B254=""),"",IF(Z254=0,"",IF(AND(AE254=1,N($R254)&gt;AD254*1.01+0.001),"Net terrestrial &gt; gross; ","")&amp;IF(AND(AE254=1,N($S254)&gt;AC254*1.01+0.001),"Net marine &gt; gross; ","")&amp;IF(AE254=0,"No net area – gross used, overlaps may be double-counted; ","")&amp;IF(AH254=0,"STATUS_YR missing – imputed in time series; ","")&amp;IF(AND(ISNUMBER($I254),N($I254)&gt;Setup!$B$6),"STATUS_YR after reporting year; ","")&amp;IF(OR($G254="",$G254="Not Reported"),"GOV_TYPE not reported; ","")&amp;IF(AND(N($J254)=1,$K254="Point",N($M254)&lt;=0),"Coastal point without REP_M_AREA – land/sea split unknown; ","")&amp;IF(AND(N($J254)=0,N($S254)&gt;0),"MARINE=0 but net marine &gt;0; ","")&amp;IF(AND(N($J254)=2,N($R254)&gt;0),"MARINE=2 but net terrestrial &gt;0; ","")&amp;IF($K254="Point","Buffered point – coverage approximate; ","")))</f>
        <v/>
      </c>
    </row>
    <row r="255">
      <c r="A255" s="19" t="n"/>
      <c r="B255" s="19" t="n"/>
      <c r="C255" s="19" t="n"/>
      <c r="D255" s="19" t="n"/>
      <c r="E255" s="19" t="n"/>
      <c r="F255" s="19" t="n"/>
      <c r="G255" s="19" t="n"/>
      <c r="H255" s="19" t="n"/>
      <c r="I255" s="19" t="n"/>
      <c r="J255" s="19" t="n"/>
      <c r="K255" s="19" t="n"/>
      <c r="L255" s="20" t="n"/>
      <c r="M255" s="20" t="n"/>
      <c r="N255" s="20" t="n"/>
      <c r="O255" s="20" t="n"/>
      <c r="P255" s="19" t="n"/>
      <c r="Q255" s="19" t="n"/>
      <c r="R255" s="20" t="n"/>
      <c r="S255" s="20" t="n"/>
      <c r="T255" s="19" t="n"/>
      <c r="U255" s="19" t="n"/>
      <c r="V255" s="19" t="n"/>
      <c r="W255" s="19" t="n"/>
      <c r="X255" s="19" t="n"/>
      <c r="Y255" s="19" t="n"/>
      <c r="Z255" s="21">
        <f>IF(AND($A255="",$B255=""),"",IF(OR($E255="",$H255="",$H255="Proposed",$H255="Not Reported"),0,IF(AND($P255="Y",$Q255&lt;&gt;"Y"),0,IF(AND($K255="Point",N($L255)&lt;=0),0,IF(AND(N($L255)&lt;=0,N($N255)&lt;=0,N($R255)+N($S255)&lt;=0),0,1)))))</f>
        <v/>
      </c>
      <c r="AA255" s="21">
        <f>IF(AND($A255="",$B255=""),"",IF($E255="","Site type missing",IF($H255="","STATUS missing",IF($H255="Proposed","STATUS = Proposed",IF($H255="Not Reported","STATUS = Not Reported",IF(AND($P255="Y",$Q255&lt;&gt;"Y"),"UNESCO-MAB Biosphere Reserve",IF(AND($K255="Point",N($L255)&lt;=0),"Point without REP_AREA",IF(AND(N($L255)&lt;=0,N($N255)&lt;=0,N($R255)+N($S255)&lt;=0),"No area information",""))))))))</f>
        <v/>
      </c>
      <c r="AB255" s="22">
        <f>IF(AND($A255="",$B255=""),"",IF($K255="Point",N($L255),IF(N($N255)&gt;0,N($N255),N($L255))))</f>
        <v/>
      </c>
      <c r="AC255" s="22">
        <f>IF(AND($A255="",$B255=""),"",MIN(AB255,IF(N($J255)=0,0,IF(N($J255)=2,AB255,IF(AND($K255&lt;&gt;"Point",N($O255)&gt;0),N($O255),N($M255))))))</f>
        <v/>
      </c>
      <c r="AD255" s="22">
        <f>IF(AND($A255="",$B255=""),"",MAX(0,AB255-AC255))</f>
        <v/>
      </c>
      <c r="AE255" s="21">
        <f>IF(AND($A255="",$B255=""),"",IF(OR($R255&lt;&gt;"",$S255&lt;&gt;""),1,0))</f>
        <v/>
      </c>
      <c r="AF255" s="22">
        <f>IF(AND($A255="",$B255=""),"",IF(Z255=1,IF(AE255=1,N($R255),AD255),0))</f>
        <v/>
      </c>
      <c r="AG255" s="22">
        <f>IF(AND($A255="",$B255=""),"",IF(Z255=1,IF(AE255=1,N($S255),AC255),0))</f>
        <v/>
      </c>
      <c r="AH255" s="21">
        <f>IF(AND($A255="",$B255=""),"",IF(AND(ISNUMBER($I255),N($I255)&gt;0),$I255,0))</f>
        <v/>
      </c>
      <c r="AI255" s="23">
        <f>IF(AND(NOT(AND($A255="",$B255="")),$K255="Point",N($L255)&gt;0),SQRT(N($L255)/PI()),"")</f>
        <v/>
      </c>
      <c r="AJ255" s="21">
        <f>IF(AND($A255="",$B255=""),"",IFERROR(VLOOKUP($G255,Lists!$D$4:$E$15,2,FALSE),"Not reported"))</f>
        <v/>
      </c>
      <c r="AK255" s="21">
        <f>IF(AND($A255="",$B255=""),"",IF($X255&lt;&gt;"",$X255,IF($T255&lt;&gt;"Y","Not assessed",IF(AND(ISNUMBER($V255),Setup!$B$6-$V255&gt;Setup!$B$26),"Assessment outdated",IF(NOT(ISNUMBER($W255)),"Assessed – no score",IF($W255&gt;=Setup!$B$24,"High",IF($W255&gt;=Setup!$B$25,"Moderate","Low")))))))</f>
        <v/>
      </c>
      <c r="AL255" s="21">
        <f>IF(AND($A255="",$B255=""),"",IF(Z255=0,"",IF(AND(AE255=1,N($R255)&gt;AD255*1.01+0.001),"Net terrestrial &gt; gross; ","")&amp;IF(AND(AE255=1,N($S255)&gt;AC255*1.01+0.001),"Net marine &gt; gross; ","")&amp;IF(AE255=0,"No net area – gross used, overlaps may be double-counted; ","")&amp;IF(AH255=0,"STATUS_YR missing – imputed in time series; ","")&amp;IF(AND(ISNUMBER($I255),N($I255)&gt;Setup!$B$6),"STATUS_YR after reporting year; ","")&amp;IF(OR($G255="",$G255="Not Reported"),"GOV_TYPE not reported; ","")&amp;IF(AND(N($J255)=1,$K255="Point",N($M255)&lt;=0),"Coastal point without REP_M_AREA – land/sea split unknown; ","")&amp;IF(AND(N($J255)=0,N($S255)&gt;0),"MARINE=0 but net marine &gt;0; ","")&amp;IF(AND(N($J255)=2,N($R255)&gt;0),"MARINE=2 but net terrestrial &gt;0; ","")&amp;IF($K255="Point","Buffered point – coverage approximate; ","")))</f>
        <v/>
      </c>
    </row>
    <row r="256">
      <c r="A256" s="19" t="n"/>
      <c r="B256" s="19" t="n"/>
      <c r="C256" s="19" t="n"/>
      <c r="D256" s="19" t="n"/>
      <c r="E256" s="19" t="n"/>
      <c r="F256" s="19" t="n"/>
      <c r="G256" s="19" t="n"/>
      <c r="H256" s="19" t="n"/>
      <c r="I256" s="19" t="n"/>
      <c r="J256" s="19" t="n"/>
      <c r="K256" s="19" t="n"/>
      <c r="L256" s="20" t="n"/>
      <c r="M256" s="20" t="n"/>
      <c r="N256" s="20" t="n"/>
      <c r="O256" s="20" t="n"/>
      <c r="P256" s="19" t="n"/>
      <c r="Q256" s="19" t="n"/>
      <c r="R256" s="20" t="n"/>
      <c r="S256" s="20" t="n"/>
      <c r="T256" s="19" t="n"/>
      <c r="U256" s="19" t="n"/>
      <c r="V256" s="19" t="n"/>
      <c r="W256" s="19" t="n"/>
      <c r="X256" s="19" t="n"/>
      <c r="Y256" s="19" t="n"/>
      <c r="Z256" s="21">
        <f>IF(AND($A256="",$B256=""),"",IF(OR($E256="",$H256="",$H256="Proposed",$H256="Not Reported"),0,IF(AND($P256="Y",$Q256&lt;&gt;"Y"),0,IF(AND($K256="Point",N($L256)&lt;=0),0,IF(AND(N($L256)&lt;=0,N($N256)&lt;=0,N($R256)+N($S256)&lt;=0),0,1)))))</f>
        <v/>
      </c>
      <c r="AA256" s="21">
        <f>IF(AND($A256="",$B256=""),"",IF($E256="","Site type missing",IF($H256="","STATUS missing",IF($H256="Proposed","STATUS = Proposed",IF($H256="Not Reported","STATUS = Not Reported",IF(AND($P256="Y",$Q256&lt;&gt;"Y"),"UNESCO-MAB Biosphere Reserve",IF(AND($K256="Point",N($L256)&lt;=0),"Point without REP_AREA",IF(AND(N($L256)&lt;=0,N($N256)&lt;=0,N($R256)+N($S256)&lt;=0),"No area information",""))))))))</f>
        <v/>
      </c>
      <c r="AB256" s="22">
        <f>IF(AND($A256="",$B256=""),"",IF($K256="Point",N($L256),IF(N($N256)&gt;0,N($N256),N($L256))))</f>
        <v/>
      </c>
      <c r="AC256" s="22">
        <f>IF(AND($A256="",$B256=""),"",MIN(AB256,IF(N($J256)=0,0,IF(N($J256)=2,AB256,IF(AND($K256&lt;&gt;"Point",N($O256)&gt;0),N($O256),N($M256))))))</f>
        <v/>
      </c>
      <c r="AD256" s="22">
        <f>IF(AND($A256="",$B256=""),"",MAX(0,AB256-AC256))</f>
        <v/>
      </c>
      <c r="AE256" s="21">
        <f>IF(AND($A256="",$B256=""),"",IF(OR($R256&lt;&gt;"",$S256&lt;&gt;""),1,0))</f>
        <v/>
      </c>
      <c r="AF256" s="22">
        <f>IF(AND($A256="",$B256=""),"",IF(Z256=1,IF(AE256=1,N($R256),AD256),0))</f>
        <v/>
      </c>
      <c r="AG256" s="22">
        <f>IF(AND($A256="",$B256=""),"",IF(Z256=1,IF(AE256=1,N($S256),AC256),0))</f>
        <v/>
      </c>
      <c r="AH256" s="21">
        <f>IF(AND($A256="",$B256=""),"",IF(AND(ISNUMBER($I256),N($I256)&gt;0),$I256,0))</f>
        <v/>
      </c>
      <c r="AI256" s="23">
        <f>IF(AND(NOT(AND($A256="",$B256="")),$K256="Point",N($L256)&gt;0),SQRT(N($L256)/PI()),"")</f>
        <v/>
      </c>
      <c r="AJ256" s="21">
        <f>IF(AND($A256="",$B256=""),"",IFERROR(VLOOKUP($G256,Lists!$D$4:$E$15,2,FALSE),"Not reported"))</f>
        <v/>
      </c>
      <c r="AK256" s="21">
        <f>IF(AND($A256="",$B256=""),"",IF($X256&lt;&gt;"",$X256,IF($T256&lt;&gt;"Y","Not assessed",IF(AND(ISNUMBER($V256),Setup!$B$6-$V256&gt;Setup!$B$26),"Assessment outdated",IF(NOT(ISNUMBER($W256)),"Assessed – no score",IF($W256&gt;=Setup!$B$24,"High",IF($W256&gt;=Setup!$B$25,"Moderate","Low")))))))</f>
        <v/>
      </c>
      <c r="AL256" s="21">
        <f>IF(AND($A256="",$B256=""),"",IF(Z256=0,"",IF(AND(AE256=1,N($R256)&gt;AD256*1.01+0.001),"Net terrestrial &gt; gross; ","")&amp;IF(AND(AE256=1,N($S256)&gt;AC256*1.01+0.001),"Net marine &gt; gross; ","")&amp;IF(AE256=0,"No net area – gross used, overlaps may be double-counted; ","")&amp;IF(AH256=0,"STATUS_YR missing – imputed in time series; ","")&amp;IF(AND(ISNUMBER($I256),N($I256)&gt;Setup!$B$6),"STATUS_YR after reporting year; ","")&amp;IF(OR($G256="",$G256="Not Reported"),"GOV_TYPE not reported; ","")&amp;IF(AND(N($J256)=1,$K256="Point",N($M256)&lt;=0),"Coastal point without REP_M_AREA – land/sea split unknown; ","")&amp;IF(AND(N($J256)=0,N($S256)&gt;0),"MARINE=0 but net marine &gt;0; ","")&amp;IF(AND(N($J256)=2,N($R256)&gt;0),"MARINE=2 but net terrestrial &gt;0; ","")&amp;IF($K256="Point","Buffered point – coverage approximate; ","")))</f>
        <v/>
      </c>
    </row>
    <row r="257">
      <c r="A257" s="19" t="n"/>
      <c r="B257" s="19" t="n"/>
      <c r="C257" s="19" t="n"/>
      <c r="D257" s="19" t="n"/>
      <c r="E257" s="19" t="n"/>
      <c r="F257" s="19" t="n"/>
      <c r="G257" s="19" t="n"/>
      <c r="H257" s="19" t="n"/>
      <c r="I257" s="19" t="n"/>
      <c r="J257" s="19" t="n"/>
      <c r="K257" s="19" t="n"/>
      <c r="L257" s="20" t="n"/>
      <c r="M257" s="20" t="n"/>
      <c r="N257" s="20" t="n"/>
      <c r="O257" s="20" t="n"/>
      <c r="P257" s="19" t="n"/>
      <c r="Q257" s="19" t="n"/>
      <c r="R257" s="20" t="n"/>
      <c r="S257" s="20" t="n"/>
      <c r="T257" s="19" t="n"/>
      <c r="U257" s="19" t="n"/>
      <c r="V257" s="19" t="n"/>
      <c r="W257" s="19" t="n"/>
      <c r="X257" s="19" t="n"/>
      <c r="Y257" s="19" t="n"/>
      <c r="Z257" s="21">
        <f>IF(AND($A257="",$B257=""),"",IF(OR($E257="",$H257="",$H257="Proposed",$H257="Not Reported"),0,IF(AND($P257="Y",$Q257&lt;&gt;"Y"),0,IF(AND($K257="Point",N($L257)&lt;=0),0,IF(AND(N($L257)&lt;=0,N($N257)&lt;=0,N($R257)+N($S257)&lt;=0),0,1)))))</f>
        <v/>
      </c>
      <c r="AA257" s="21">
        <f>IF(AND($A257="",$B257=""),"",IF($E257="","Site type missing",IF($H257="","STATUS missing",IF($H257="Proposed","STATUS = Proposed",IF($H257="Not Reported","STATUS = Not Reported",IF(AND($P257="Y",$Q257&lt;&gt;"Y"),"UNESCO-MAB Biosphere Reserve",IF(AND($K257="Point",N($L257)&lt;=0),"Point without REP_AREA",IF(AND(N($L257)&lt;=0,N($N257)&lt;=0,N($R257)+N($S257)&lt;=0),"No area information",""))))))))</f>
        <v/>
      </c>
      <c r="AB257" s="22">
        <f>IF(AND($A257="",$B257=""),"",IF($K257="Point",N($L257),IF(N($N257)&gt;0,N($N257),N($L257))))</f>
        <v/>
      </c>
      <c r="AC257" s="22">
        <f>IF(AND($A257="",$B257=""),"",MIN(AB257,IF(N($J257)=0,0,IF(N($J257)=2,AB257,IF(AND($K257&lt;&gt;"Point",N($O257)&gt;0),N($O257),N($M257))))))</f>
        <v/>
      </c>
      <c r="AD257" s="22">
        <f>IF(AND($A257="",$B257=""),"",MAX(0,AB257-AC257))</f>
        <v/>
      </c>
      <c r="AE257" s="21">
        <f>IF(AND($A257="",$B257=""),"",IF(OR($R257&lt;&gt;"",$S257&lt;&gt;""),1,0))</f>
        <v/>
      </c>
      <c r="AF257" s="22">
        <f>IF(AND($A257="",$B257=""),"",IF(Z257=1,IF(AE257=1,N($R257),AD257),0))</f>
        <v/>
      </c>
      <c r="AG257" s="22">
        <f>IF(AND($A257="",$B257=""),"",IF(Z257=1,IF(AE257=1,N($S257),AC257),0))</f>
        <v/>
      </c>
      <c r="AH257" s="21">
        <f>IF(AND($A257="",$B257=""),"",IF(AND(ISNUMBER($I257),N($I257)&gt;0),$I257,0))</f>
        <v/>
      </c>
      <c r="AI257" s="23">
        <f>IF(AND(NOT(AND($A257="",$B257="")),$K257="Point",N($L257)&gt;0),SQRT(N($L257)/PI()),"")</f>
        <v/>
      </c>
      <c r="AJ257" s="21">
        <f>IF(AND($A257="",$B257=""),"",IFERROR(VLOOKUP($G257,Lists!$D$4:$E$15,2,FALSE),"Not reported"))</f>
        <v/>
      </c>
      <c r="AK257" s="21">
        <f>IF(AND($A257="",$B257=""),"",IF($X257&lt;&gt;"",$X257,IF($T257&lt;&gt;"Y","Not assessed",IF(AND(ISNUMBER($V257),Setup!$B$6-$V257&gt;Setup!$B$26),"Assessment outdated",IF(NOT(ISNUMBER($W257)),"Assessed – no score",IF($W257&gt;=Setup!$B$24,"High",IF($W257&gt;=Setup!$B$25,"Moderate","Low")))))))</f>
        <v/>
      </c>
      <c r="AL257" s="21">
        <f>IF(AND($A257="",$B257=""),"",IF(Z257=0,"",IF(AND(AE257=1,N($R257)&gt;AD257*1.01+0.001),"Net terrestrial &gt; gross; ","")&amp;IF(AND(AE257=1,N($S257)&gt;AC257*1.01+0.001),"Net marine &gt; gross; ","")&amp;IF(AE257=0,"No net area – gross used, overlaps may be double-counted; ","")&amp;IF(AH257=0,"STATUS_YR missing – imputed in time series; ","")&amp;IF(AND(ISNUMBER($I257),N($I257)&gt;Setup!$B$6),"STATUS_YR after reporting year; ","")&amp;IF(OR($G257="",$G257="Not Reported"),"GOV_TYPE not reported; ","")&amp;IF(AND(N($J257)=1,$K257="Point",N($M257)&lt;=0),"Coastal point without REP_M_AREA – land/sea split unknown; ","")&amp;IF(AND(N($J257)=0,N($S257)&gt;0),"MARINE=0 but net marine &gt;0; ","")&amp;IF(AND(N($J257)=2,N($R257)&gt;0),"MARINE=2 but net terrestrial &gt;0; ","")&amp;IF($K257="Point","Buffered point – coverage approximate; ","")))</f>
        <v/>
      </c>
    </row>
    <row r="258">
      <c r="A258" s="19" t="n"/>
      <c r="B258" s="19" t="n"/>
      <c r="C258" s="19" t="n"/>
      <c r="D258" s="19" t="n"/>
      <c r="E258" s="19" t="n"/>
      <c r="F258" s="19" t="n"/>
      <c r="G258" s="19" t="n"/>
      <c r="H258" s="19" t="n"/>
      <c r="I258" s="19" t="n"/>
      <c r="J258" s="19" t="n"/>
      <c r="K258" s="19" t="n"/>
      <c r="L258" s="20" t="n"/>
      <c r="M258" s="20" t="n"/>
      <c r="N258" s="20" t="n"/>
      <c r="O258" s="20" t="n"/>
      <c r="P258" s="19" t="n"/>
      <c r="Q258" s="19" t="n"/>
      <c r="R258" s="20" t="n"/>
      <c r="S258" s="20" t="n"/>
      <c r="T258" s="19" t="n"/>
      <c r="U258" s="19" t="n"/>
      <c r="V258" s="19" t="n"/>
      <c r="W258" s="19" t="n"/>
      <c r="X258" s="19" t="n"/>
      <c r="Y258" s="19" t="n"/>
      <c r="Z258" s="21">
        <f>IF(AND($A258="",$B258=""),"",IF(OR($E258="",$H258="",$H258="Proposed",$H258="Not Reported"),0,IF(AND($P258="Y",$Q258&lt;&gt;"Y"),0,IF(AND($K258="Point",N($L258)&lt;=0),0,IF(AND(N($L258)&lt;=0,N($N258)&lt;=0,N($R258)+N($S258)&lt;=0),0,1)))))</f>
        <v/>
      </c>
      <c r="AA258" s="21">
        <f>IF(AND($A258="",$B258=""),"",IF($E258="","Site type missing",IF($H258="","STATUS missing",IF($H258="Proposed","STATUS = Proposed",IF($H258="Not Reported","STATUS = Not Reported",IF(AND($P258="Y",$Q258&lt;&gt;"Y"),"UNESCO-MAB Biosphere Reserve",IF(AND($K258="Point",N($L258)&lt;=0),"Point without REP_AREA",IF(AND(N($L258)&lt;=0,N($N258)&lt;=0,N($R258)+N($S258)&lt;=0),"No area information",""))))))))</f>
        <v/>
      </c>
      <c r="AB258" s="22">
        <f>IF(AND($A258="",$B258=""),"",IF($K258="Point",N($L258),IF(N($N258)&gt;0,N($N258),N($L258))))</f>
        <v/>
      </c>
      <c r="AC258" s="22">
        <f>IF(AND($A258="",$B258=""),"",MIN(AB258,IF(N($J258)=0,0,IF(N($J258)=2,AB258,IF(AND($K258&lt;&gt;"Point",N($O258)&gt;0),N($O258),N($M258))))))</f>
        <v/>
      </c>
      <c r="AD258" s="22">
        <f>IF(AND($A258="",$B258=""),"",MAX(0,AB258-AC258))</f>
        <v/>
      </c>
      <c r="AE258" s="21">
        <f>IF(AND($A258="",$B258=""),"",IF(OR($R258&lt;&gt;"",$S258&lt;&gt;""),1,0))</f>
        <v/>
      </c>
      <c r="AF258" s="22">
        <f>IF(AND($A258="",$B258=""),"",IF(Z258=1,IF(AE258=1,N($R258),AD258),0))</f>
        <v/>
      </c>
      <c r="AG258" s="22">
        <f>IF(AND($A258="",$B258=""),"",IF(Z258=1,IF(AE258=1,N($S258),AC258),0))</f>
        <v/>
      </c>
      <c r="AH258" s="21">
        <f>IF(AND($A258="",$B258=""),"",IF(AND(ISNUMBER($I258),N($I258)&gt;0),$I258,0))</f>
        <v/>
      </c>
      <c r="AI258" s="23">
        <f>IF(AND(NOT(AND($A258="",$B258="")),$K258="Point",N($L258)&gt;0),SQRT(N($L258)/PI()),"")</f>
        <v/>
      </c>
      <c r="AJ258" s="21">
        <f>IF(AND($A258="",$B258=""),"",IFERROR(VLOOKUP($G258,Lists!$D$4:$E$15,2,FALSE),"Not reported"))</f>
        <v/>
      </c>
      <c r="AK258" s="21">
        <f>IF(AND($A258="",$B258=""),"",IF($X258&lt;&gt;"",$X258,IF($T258&lt;&gt;"Y","Not assessed",IF(AND(ISNUMBER($V258),Setup!$B$6-$V258&gt;Setup!$B$26),"Assessment outdated",IF(NOT(ISNUMBER($W258)),"Assessed – no score",IF($W258&gt;=Setup!$B$24,"High",IF($W258&gt;=Setup!$B$25,"Moderate","Low")))))))</f>
        <v/>
      </c>
      <c r="AL258" s="21">
        <f>IF(AND($A258="",$B258=""),"",IF(Z258=0,"",IF(AND(AE258=1,N($R258)&gt;AD258*1.01+0.001),"Net terrestrial &gt; gross; ","")&amp;IF(AND(AE258=1,N($S258)&gt;AC258*1.01+0.001),"Net marine &gt; gross; ","")&amp;IF(AE258=0,"No net area – gross used, overlaps may be double-counted; ","")&amp;IF(AH258=0,"STATUS_YR missing – imputed in time series; ","")&amp;IF(AND(ISNUMBER($I258),N($I258)&gt;Setup!$B$6),"STATUS_YR after reporting year; ","")&amp;IF(OR($G258="",$G258="Not Reported"),"GOV_TYPE not reported; ","")&amp;IF(AND(N($J258)=1,$K258="Point",N($M258)&lt;=0),"Coastal point without REP_M_AREA – land/sea split unknown; ","")&amp;IF(AND(N($J258)=0,N($S258)&gt;0),"MARINE=0 but net marine &gt;0; ","")&amp;IF(AND(N($J258)=2,N($R258)&gt;0),"MARINE=2 but net terrestrial &gt;0; ","")&amp;IF($K258="Point","Buffered point – coverage approximate; ","")))</f>
        <v/>
      </c>
    </row>
    <row r="259">
      <c r="A259" s="19" t="n"/>
      <c r="B259" s="19" t="n"/>
      <c r="C259" s="19" t="n"/>
      <c r="D259" s="19" t="n"/>
      <c r="E259" s="19" t="n"/>
      <c r="F259" s="19" t="n"/>
      <c r="G259" s="19" t="n"/>
      <c r="H259" s="19" t="n"/>
      <c r="I259" s="19" t="n"/>
      <c r="J259" s="19" t="n"/>
      <c r="K259" s="19" t="n"/>
      <c r="L259" s="20" t="n"/>
      <c r="M259" s="20" t="n"/>
      <c r="N259" s="20" t="n"/>
      <c r="O259" s="20" t="n"/>
      <c r="P259" s="19" t="n"/>
      <c r="Q259" s="19" t="n"/>
      <c r="R259" s="20" t="n"/>
      <c r="S259" s="20" t="n"/>
      <c r="T259" s="19" t="n"/>
      <c r="U259" s="19" t="n"/>
      <c r="V259" s="19" t="n"/>
      <c r="W259" s="19" t="n"/>
      <c r="X259" s="19" t="n"/>
      <c r="Y259" s="19" t="n"/>
      <c r="Z259" s="21">
        <f>IF(AND($A259="",$B259=""),"",IF(OR($E259="",$H259="",$H259="Proposed",$H259="Not Reported"),0,IF(AND($P259="Y",$Q259&lt;&gt;"Y"),0,IF(AND($K259="Point",N($L259)&lt;=0),0,IF(AND(N($L259)&lt;=0,N($N259)&lt;=0,N($R259)+N($S259)&lt;=0),0,1)))))</f>
        <v/>
      </c>
      <c r="AA259" s="21">
        <f>IF(AND($A259="",$B259=""),"",IF($E259="","Site type missing",IF($H259="","STATUS missing",IF($H259="Proposed","STATUS = Proposed",IF($H259="Not Reported","STATUS = Not Reported",IF(AND($P259="Y",$Q259&lt;&gt;"Y"),"UNESCO-MAB Biosphere Reserve",IF(AND($K259="Point",N($L259)&lt;=0),"Point without REP_AREA",IF(AND(N($L259)&lt;=0,N($N259)&lt;=0,N($R259)+N($S259)&lt;=0),"No area information",""))))))))</f>
        <v/>
      </c>
      <c r="AB259" s="22">
        <f>IF(AND($A259="",$B259=""),"",IF($K259="Point",N($L259),IF(N($N259)&gt;0,N($N259),N($L259))))</f>
        <v/>
      </c>
      <c r="AC259" s="22">
        <f>IF(AND($A259="",$B259=""),"",MIN(AB259,IF(N($J259)=0,0,IF(N($J259)=2,AB259,IF(AND($K259&lt;&gt;"Point",N($O259)&gt;0),N($O259),N($M259))))))</f>
        <v/>
      </c>
      <c r="AD259" s="22">
        <f>IF(AND($A259="",$B259=""),"",MAX(0,AB259-AC259))</f>
        <v/>
      </c>
      <c r="AE259" s="21">
        <f>IF(AND($A259="",$B259=""),"",IF(OR($R259&lt;&gt;"",$S259&lt;&gt;""),1,0))</f>
        <v/>
      </c>
      <c r="AF259" s="22">
        <f>IF(AND($A259="",$B259=""),"",IF(Z259=1,IF(AE259=1,N($R259),AD259),0))</f>
        <v/>
      </c>
      <c r="AG259" s="22">
        <f>IF(AND($A259="",$B259=""),"",IF(Z259=1,IF(AE259=1,N($S259),AC259),0))</f>
        <v/>
      </c>
      <c r="AH259" s="21">
        <f>IF(AND($A259="",$B259=""),"",IF(AND(ISNUMBER($I259),N($I259)&gt;0),$I259,0))</f>
        <v/>
      </c>
      <c r="AI259" s="23">
        <f>IF(AND(NOT(AND($A259="",$B259="")),$K259="Point",N($L259)&gt;0),SQRT(N($L259)/PI()),"")</f>
        <v/>
      </c>
      <c r="AJ259" s="21">
        <f>IF(AND($A259="",$B259=""),"",IFERROR(VLOOKUP($G259,Lists!$D$4:$E$15,2,FALSE),"Not reported"))</f>
        <v/>
      </c>
      <c r="AK259" s="21">
        <f>IF(AND($A259="",$B259=""),"",IF($X259&lt;&gt;"",$X259,IF($T259&lt;&gt;"Y","Not assessed",IF(AND(ISNUMBER($V259),Setup!$B$6-$V259&gt;Setup!$B$26),"Assessment outdated",IF(NOT(ISNUMBER($W259)),"Assessed – no score",IF($W259&gt;=Setup!$B$24,"High",IF($W259&gt;=Setup!$B$25,"Moderate","Low")))))))</f>
        <v/>
      </c>
      <c r="AL259" s="21">
        <f>IF(AND($A259="",$B259=""),"",IF(Z259=0,"",IF(AND(AE259=1,N($R259)&gt;AD259*1.01+0.001),"Net terrestrial &gt; gross; ","")&amp;IF(AND(AE259=1,N($S259)&gt;AC259*1.01+0.001),"Net marine &gt; gross; ","")&amp;IF(AE259=0,"No net area – gross used, overlaps may be double-counted; ","")&amp;IF(AH259=0,"STATUS_YR missing – imputed in time series; ","")&amp;IF(AND(ISNUMBER($I259),N($I259)&gt;Setup!$B$6),"STATUS_YR after reporting year; ","")&amp;IF(OR($G259="",$G259="Not Reported"),"GOV_TYPE not reported; ","")&amp;IF(AND(N($J259)=1,$K259="Point",N($M259)&lt;=0),"Coastal point without REP_M_AREA – land/sea split unknown; ","")&amp;IF(AND(N($J259)=0,N($S259)&gt;0),"MARINE=0 but net marine &gt;0; ","")&amp;IF(AND(N($J259)=2,N($R259)&gt;0),"MARINE=2 but net terrestrial &gt;0; ","")&amp;IF($K259="Point","Buffered point – coverage approximate; ","")))</f>
        <v/>
      </c>
    </row>
    <row r="260">
      <c r="A260" s="19" t="n"/>
      <c r="B260" s="19" t="n"/>
      <c r="C260" s="19" t="n"/>
      <c r="D260" s="19" t="n"/>
      <c r="E260" s="19" t="n"/>
      <c r="F260" s="19" t="n"/>
      <c r="G260" s="19" t="n"/>
      <c r="H260" s="19" t="n"/>
      <c r="I260" s="19" t="n"/>
      <c r="J260" s="19" t="n"/>
      <c r="K260" s="19" t="n"/>
      <c r="L260" s="20" t="n"/>
      <c r="M260" s="20" t="n"/>
      <c r="N260" s="20" t="n"/>
      <c r="O260" s="20" t="n"/>
      <c r="P260" s="19" t="n"/>
      <c r="Q260" s="19" t="n"/>
      <c r="R260" s="20" t="n"/>
      <c r="S260" s="20" t="n"/>
      <c r="T260" s="19" t="n"/>
      <c r="U260" s="19" t="n"/>
      <c r="V260" s="19" t="n"/>
      <c r="W260" s="19" t="n"/>
      <c r="X260" s="19" t="n"/>
      <c r="Y260" s="19" t="n"/>
      <c r="Z260" s="21">
        <f>IF(AND($A260="",$B260=""),"",IF(OR($E260="",$H260="",$H260="Proposed",$H260="Not Reported"),0,IF(AND($P260="Y",$Q260&lt;&gt;"Y"),0,IF(AND($K260="Point",N($L260)&lt;=0),0,IF(AND(N($L260)&lt;=0,N($N260)&lt;=0,N($R260)+N($S260)&lt;=0),0,1)))))</f>
        <v/>
      </c>
      <c r="AA260" s="21">
        <f>IF(AND($A260="",$B260=""),"",IF($E260="","Site type missing",IF($H260="","STATUS missing",IF($H260="Proposed","STATUS = Proposed",IF($H260="Not Reported","STATUS = Not Reported",IF(AND($P260="Y",$Q260&lt;&gt;"Y"),"UNESCO-MAB Biosphere Reserve",IF(AND($K260="Point",N($L260)&lt;=0),"Point without REP_AREA",IF(AND(N($L260)&lt;=0,N($N260)&lt;=0,N($R260)+N($S260)&lt;=0),"No area information",""))))))))</f>
        <v/>
      </c>
      <c r="AB260" s="22">
        <f>IF(AND($A260="",$B260=""),"",IF($K260="Point",N($L260),IF(N($N260)&gt;0,N($N260),N($L260))))</f>
        <v/>
      </c>
      <c r="AC260" s="22">
        <f>IF(AND($A260="",$B260=""),"",MIN(AB260,IF(N($J260)=0,0,IF(N($J260)=2,AB260,IF(AND($K260&lt;&gt;"Point",N($O260)&gt;0),N($O260),N($M260))))))</f>
        <v/>
      </c>
      <c r="AD260" s="22">
        <f>IF(AND($A260="",$B260=""),"",MAX(0,AB260-AC260))</f>
        <v/>
      </c>
      <c r="AE260" s="21">
        <f>IF(AND($A260="",$B260=""),"",IF(OR($R260&lt;&gt;"",$S260&lt;&gt;""),1,0))</f>
        <v/>
      </c>
      <c r="AF260" s="22">
        <f>IF(AND($A260="",$B260=""),"",IF(Z260=1,IF(AE260=1,N($R260),AD260),0))</f>
        <v/>
      </c>
      <c r="AG260" s="22">
        <f>IF(AND($A260="",$B260=""),"",IF(Z260=1,IF(AE260=1,N($S260),AC260),0))</f>
        <v/>
      </c>
      <c r="AH260" s="21">
        <f>IF(AND($A260="",$B260=""),"",IF(AND(ISNUMBER($I260),N($I260)&gt;0),$I260,0))</f>
        <v/>
      </c>
      <c r="AI260" s="23">
        <f>IF(AND(NOT(AND($A260="",$B260="")),$K260="Point",N($L260)&gt;0),SQRT(N($L260)/PI()),"")</f>
        <v/>
      </c>
      <c r="AJ260" s="21">
        <f>IF(AND($A260="",$B260=""),"",IFERROR(VLOOKUP($G260,Lists!$D$4:$E$15,2,FALSE),"Not reported"))</f>
        <v/>
      </c>
      <c r="AK260" s="21">
        <f>IF(AND($A260="",$B260=""),"",IF($X260&lt;&gt;"",$X260,IF($T260&lt;&gt;"Y","Not assessed",IF(AND(ISNUMBER($V260),Setup!$B$6-$V260&gt;Setup!$B$26),"Assessment outdated",IF(NOT(ISNUMBER($W260)),"Assessed – no score",IF($W260&gt;=Setup!$B$24,"High",IF($W260&gt;=Setup!$B$25,"Moderate","Low")))))))</f>
        <v/>
      </c>
      <c r="AL260" s="21">
        <f>IF(AND($A260="",$B260=""),"",IF(Z260=0,"",IF(AND(AE260=1,N($R260)&gt;AD260*1.01+0.001),"Net terrestrial &gt; gross; ","")&amp;IF(AND(AE260=1,N($S260)&gt;AC260*1.01+0.001),"Net marine &gt; gross; ","")&amp;IF(AE260=0,"No net area – gross used, overlaps may be double-counted; ","")&amp;IF(AH260=0,"STATUS_YR missing – imputed in time series; ","")&amp;IF(AND(ISNUMBER($I260),N($I260)&gt;Setup!$B$6),"STATUS_YR after reporting year; ","")&amp;IF(OR($G260="",$G260="Not Reported"),"GOV_TYPE not reported; ","")&amp;IF(AND(N($J260)=1,$K260="Point",N($M260)&lt;=0),"Coastal point without REP_M_AREA – land/sea split unknown; ","")&amp;IF(AND(N($J260)=0,N($S260)&gt;0),"MARINE=0 but net marine &gt;0; ","")&amp;IF(AND(N($J260)=2,N($R260)&gt;0),"MARINE=2 but net terrestrial &gt;0; ","")&amp;IF($K260="Point","Buffered point – coverage approximate; ","")))</f>
        <v/>
      </c>
    </row>
    <row r="261">
      <c r="A261" s="19" t="n"/>
      <c r="B261" s="19" t="n"/>
      <c r="C261" s="19" t="n"/>
      <c r="D261" s="19" t="n"/>
      <c r="E261" s="19" t="n"/>
      <c r="F261" s="19" t="n"/>
      <c r="G261" s="19" t="n"/>
      <c r="H261" s="19" t="n"/>
      <c r="I261" s="19" t="n"/>
      <c r="J261" s="19" t="n"/>
      <c r="K261" s="19" t="n"/>
      <c r="L261" s="20" t="n"/>
      <c r="M261" s="20" t="n"/>
      <c r="N261" s="20" t="n"/>
      <c r="O261" s="20" t="n"/>
      <c r="P261" s="19" t="n"/>
      <c r="Q261" s="19" t="n"/>
      <c r="R261" s="20" t="n"/>
      <c r="S261" s="20" t="n"/>
      <c r="T261" s="19" t="n"/>
      <c r="U261" s="19" t="n"/>
      <c r="V261" s="19" t="n"/>
      <c r="W261" s="19" t="n"/>
      <c r="X261" s="19" t="n"/>
      <c r="Y261" s="19" t="n"/>
      <c r="Z261" s="21">
        <f>IF(AND($A261="",$B261=""),"",IF(OR($E261="",$H261="",$H261="Proposed",$H261="Not Reported"),0,IF(AND($P261="Y",$Q261&lt;&gt;"Y"),0,IF(AND($K261="Point",N($L261)&lt;=0),0,IF(AND(N($L261)&lt;=0,N($N261)&lt;=0,N($R261)+N($S261)&lt;=0),0,1)))))</f>
        <v/>
      </c>
      <c r="AA261" s="21">
        <f>IF(AND($A261="",$B261=""),"",IF($E261="","Site type missing",IF($H261="","STATUS missing",IF($H261="Proposed","STATUS = Proposed",IF($H261="Not Reported","STATUS = Not Reported",IF(AND($P261="Y",$Q261&lt;&gt;"Y"),"UNESCO-MAB Biosphere Reserve",IF(AND($K261="Point",N($L261)&lt;=0),"Point without REP_AREA",IF(AND(N($L261)&lt;=0,N($N261)&lt;=0,N($R261)+N($S261)&lt;=0),"No area information",""))))))))</f>
        <v/>
      </c>
      <c r="AB261" s="22">
        <f>IF(AND($A261="",$B261=""),"",IF($K261="Point",N($L261),IF(N($N261)&gt;0,N($N261),N($L261))))</f>
        <v/>
      </c>
      <c r="AC261" s="22">
        <f>IF(AND($A261="",$B261=""),"",MIN(AB261,IF(N($J261)=0,0,IF(N($J261)=2,AB261,IF(AND($K261&lt;&gt;"Point",N($O261)&gt;0),N($O261),N($M261))))))</f>
        <v/>
      </c>
      <c r="AD261" s="22">
        <f>IF(AND($A261="",$B261=""),"",MAX(0,AB261-AC261))</f>
        <v/>
      </c>
      <c r="AE261" s="21">
        <f>IF(AND($A261="",$B261=""),"",IF(OR($R261&lt;&gt;"",$S261&lt;&gt;""),1,0))</f>
        <v/>
      </c>
      <c r="AF261" s="22">
        <f>IF(AND($A261="",$B261=""),"",IF(Z261=1,IF(AE261=1,N($R261),AD261),0))</f>
        <v/>
      </c>
      <c r="AG261" s="22">
        <f>IF(AND($A261="",$B261=""),"",IF(Z261=1,IF(AE261=1,N($S261),AC261),0))</f>
        <v/>
      </c>
      <c r="AH261" s="21">
        <f>IF(AND($A261="",$B261=""),"",IF(AND(ISNUMBER($I261),N($I261)&gt;0),$I261,0))</f>
        <v/>
      </c>
      <c r="AI261" s="23">
        <f>IF(AND(NOT(AND($A261="",$B261="")),$K261="Point",N($L261)&gt;0),SQRT(N($L261)/PI()),"")</f>
        <v/>
      </c>
      <c r="AJ261" s="21">
        <f>IF(AND($A261="",$B261=""),"",IFERROR(VLOOKUP($G261,Lists!$D$4:$E$15,2,FALSE),"Not reported"))</f>
        <v/>
      </c>
      <c r="AK261" s="21">
        <f>IF(AND($A261="",$B261=""),"",IF($X261&lt;&gt;"",$X261,IF($T261&lt;&gt;"Y","Not assessed",IF(AND(ISNUMBER($V261),Setup!$B$6-$V261&gt;Setup!$B$26),"Assessment outdated",IF(NOT(ISNUMBER($W261)),"Assessed – no score",IF($W261&gt;=Setup!$B$24,"High",IF($W261&gt;=Setup!$B$25,"Moderate","Low")))))))</f>
        <v/>
      </c>
      <c r="AL261" s="21">
        <f>IF(AND($A261="",$B261=""),"",IF(Z261=0,"",IF(AND(AE261=1,N($R261)&gt;AD261*1.01+0.001),"Net terrestrial &gt; gross; ","")&amp;IF(AND(AE261=1,N($S261)&gt;AC261*1.01+0.001),"Net marine &gt; gross; ","")&amp;IF(AE261=0,"No net area – gross used, overlaps may be double-counted; ","")&amp;IF(AH261=0,"STATUS_YR missing – imputed in time series; ","")&amp;IF(AND(ISNUMBER($I261),N($I261)&gt;Setup!$B$6),"STATUS_YR after reporting year; ","")&amp;IF(OR($G261="",$G261="Not Reported"),"GOV_TYPE not reported; ","")&amp;IF(AND(N($J261)=1,$K261="Point",N($M261)&lt;=0),"Coastal point without REP_M_AREA – land/sea split unknown; ","")&amp;IF(AND(N($J261)=0,N($S261)&gt;0),"MARINE=0 but net marine &gt;0; ","")&amp;IF(AND(N($J261)=2,N($R261)&gt;0),"MARINE=2 but net terrestrial &gt;0; ","")&amp;IF($K261="Point","Buffered point – coverage approximate; ","")))</f>
        <v/>
      </c>
    </row>
    <row r="262">
      <c r="A262" s="19" t="n"/>
      <c r="B262" s="19" t="n"/>
      <c r="C262" s="19" t="n"/>
      <c r="D262" s="19" t="n"/>
      <c r="E262" s="19" t="n"/>
      <c r="F262" s="19" t="n"/>
      <c r="G262" s="19" t="n"/>
      <c r="H262" s="19" t="n"/>
      <c r="I262" s="19" t="n"/>
      <c r="J262" s="19" t="n"/>
      <c r="K262" s="19" t="n"/>
      <c r="L262" s="20" t="n"/>
      <c r="M262" s="20" t="n"/>
      <c r="N262" s="20" t="n"/>
      <c r="O262" s="20" t="n"/>
      <c r="P262" s="19" t="n"/>
      <c r="Q262" s="19" t="n"/>
      <c r="R262" s="20" t="n"/>
      <c r="S262" s="20" t="n"/>
      <c r="T262" s="19" t="n"/>
      <c r="U262" s="19" t="n"/>
      <c r="V262" s="19" t="n"/>
      <c r="W262" s="19" t="n"/>
      <c r="X262" s="19" t="n"/>
      <c r="Y262" s="19" t="n"/>
      <c r="Z262" s="21">
        <f>IF(AND($A262="",$B262=""),"",IF(OR($E262="",$H262="",$H262="Proposed",$H262="Not Reported"),0,IF(AND($P262="Y",$Q262&lt;&gt;"Y"),0,IF(AND($K262="Point",N($L262)&lt;=0),0,IF(AND(N($L262)&lt;=0,N($N262)&lt;=0,N($R262)+N($S262)&lt;=0),0,1)))))</f>
        <v/>
      </c>
      <c r="AA262" s="21">
        <f>IF(AND($A262="",$B262=""),"",IF($E262="","Site type missing",IF($H262="","STATUS missing",IF($H262="Proposed","STATUS = Proposed",IF($H262="Not Reported","STATUS = Not Reported",IF(AND($P262="Y",$Q262&lt;&gt;"Y"),"UNESCO-MAB Biosphere Reserve",IF(AND($K262="Point",N($L262)&lt;=0),"Point without REP_AREA",IF(AND(N($L262)&lt;=0,N($N262)&lt;=0,N($R262)+N($S262)&lt;=0),"No area information",""))))))))</f>
        <v/>
      </c>
      <c r="AB262" s="22">
        <f>IF(AND($A262="",$B262=""),"",IF($K262="Point",N($L262),IF(N($N262)&gt;0,N($N262),N($L262))))</f>
        <v/>
      </c>
      <c r="AC262" s="22">
        <f>IF(AND($A262="",$B262=""),"",MIN(AB262,IF(N($J262)=0,0,IF(N($J262)=2,AB262,IF(AND($K262&lt;&gt;"Point",N($O262)&gt;0),N($O262),N($M262))))))</f>
        <v/>
      </c>
      <c r="AD262" s="22">
        <f>IF(AND($A262="",$B262=""),"",MAX(0,AB262-AC262))</f>
        <v/>
      </c>
      <c r="AE262" s="21">
        <f>IF(AND($A262="",$B262=""),"",IF(OR($R262&lt;&gt;"",$S262&lt;&gt;""),1,0))</f>
        <v/>
      </c>
      <c r="AF262" s="22">
        <f>IF(AND($A262="",$B262=""),"",IF(Z262=1,IF(AE262=1,N($R262),AD262),0))</f>
        <v/>
      </c>
      <c r="AG262" s="22">
        <f>IF(AND($A262="",$B262=""),"",IF(Z262=1,IF(AE262=1,N($S262),AC262),0))</f>
        <v/>
      </c>
      <c r="AH262" s="21">
        <f>IF(AND($A262="",$B262=""),"",IF(AND(ISNUMBER($I262),N($I262)&gt;0),$I262,0))</f>
        <v/>
      </c>
      <c r="AI262" s="23">
        <f>IF(AND(NOT(AND($A262="",$B262="")),$K262="Point",N($L262)&gt;0),SQRT(N($L262)/PI()),"")</f>
        <v/>
      </c>
      <c r="AJ262" s="21">
        <f>IF(AND($A262="",$B262=""),"",IFERROR(VLOOKUP($G262,Lists!$D$4:$E$15,2,FALSE),"Not reported"))</f>
        <v/>
      </c>
      <c r="AK262" s="21">
        <f>IF(AND($A262="",$B262=""),"",IF($X262&lt;&gt;"",$X262,IF($T262&lt;&gt;"Y","Not assessed",IF(AND(ISNUMBER($V262),Setup!$B$6-$V262&gt;Setup!$B$26),"Assessment outdated",IF(NOT(ISNUMBER($W262)),"Assessed – no score",IF($W262&gt;=Setup!$B$24,"High",IF($W262&gt;=Setup!$B$25,"Moderate","Low")))))))</f>
        <v/>
      </c>
      <c r="AL262" s="21">
        <f>IF(AND($A262="",$B262=""),"",IF(Z262=0,"",IF(AND(AE262=1,N($R262)&gt;AD262*1.01+0.001),"Net terrestrial &gt; gross; ","")&amp;IF(AND(AE262=1,N($S262)&gt;AC262*1.01+0.001),"Net marine &gt; gross; ","")&amp;IF(AE262=0,"No net area – gross used, overlaps may be double-counted; ","")&amp;IF(AH262=0,"STATUS_YR missing – imputed in time series; ","")&amp;IF(AND(ISNUMBER($I262),N($I262)&gt;Setup!$B$6),"STATUS_YR after reporting year; ","")&amp;IF(OR($G262="",$G262="Not Reported"),"GOV_TYPE not reported; ","")&amp;IF(AND(N($J262)=1,$K262="Point",N($M262)&lt;=0),"Coastal point without REP_M_AREA – land/sea split unknown; ","")&amp;IF(AND(N($J262)=0,N($S262)&gt;0),"MARINE=0 but net marine &gt;0; ","")&amp;IF(AND(N($J262)=2,N($R262)&gt;0),"MARINE=2 but net terrestrial &gt;0; ","")&amp;IF($K262="Point","Buffered point – coverage approximate; ","")))</f>
        <v/>
      </c>
    </row>
    <row r="263">
      <c r="A263" s="19" t="n"/>
      <c r="B263" s="19" t="n"/>
      <c r="C263" s="19" t="n"/>
      <c r="D263" s="19" t="n"/>
      <c r="E263" s="19" t="n"/>
      <c r="F263" s="19" t="n"/>
      <c r="G263" s="19" t="n"/>
      <c r="H263" s="19" t="n"/>
      <c r="I263" s="19" t="n"/>
      <c r="J263" s="19" t="n"/>
      <c r="K263" s="19" t="n"/>
      <c r="L263" s="20" t="n"/>
      <c r="M263" s="20" t="n"/>
      <c r="N263" s="20" t="n"/>
      <c r="O263" s="20" t="n"/>
      <c r="P263" s="19" t="n"/>
      <c r="Q263" s="19" t="n"/>
      <c r="R263" s="20" t="n"/>
      <c r="S263" s="20" t="n"/>
      <c r="T263" s="19" t="n"/>
      <c r="U263" s="19" t="n"/>
      <c r="V263" s="19" t="n"/>
      <c r="W263" s="19" t="n"/>
      <c r="X263" s="19" t="n"/>
      <c r="Y263" s="19" t="n"/>
      <c r="Z263" s="21">
        <f>IF(AND($A263="",$B263=""),"",IF(OR($E263="",$H263="",$H263="Proposed",$H263="Not Reported"),0,IF(AND($P263="Y",$Q263&lt;&gt;"Y"),0,IF(AND($K263="Point",N($L263)&lt;=0),0,IF(AND(N($L263)&lt;=0,N($N263)&lt;=0,N($R263)+N($S263)&lt;=0),0,1)))))</f>
        <v/>
      </c>
      <c r="AA263" s="21">
        <f>IF(AND($A263="",$B263=""),"",IF($E263="","Site type missing",IF($H263="","STATUS missing",IF($H263="Proposed","STATUS = Proposed",IF($H263="Not Reported","STATUS = Not Reported",IF(AND($P263="Y",$Q263&lt;&gt;"Y"),"UNESCO-MAB Biosphere Reserve",IF(AND($K263="Point",N($L263)&lt;=0),"Point without REP_AREA",IF(AND(N($L263)&lt;=0,N($N263)&lt;=0,N($R263)+N($S263)&lt;=0),"No area information",""))))))))</f>
        <v/>
      </c>
      <c r="AB263" s="22">
        <f>IF(AND($A263="",$B263=""),"",IF($K263="Point",N($L263),IF(N($N263)&gt;0,N($N263),N($L263))))</f>
        <v/>
      </c>
      <c r="AC263" s="22">
        <f>IF(AND($A263="",$B263=""),"",MIN(AB263,IF(N($J263)=0,0,IF(N($J263)=2,AB263,IF(AND($K263&lt;&gt;"Point",N($O263)&gt;0),N($O263),N($M263))))))</f>
        <v/>
      </c>
      <c r="AD263" s="22">
        <f>IF(AND($A263="",$B263=""),"",MAX(0,AB263-AC263))</f>
        <v/>
      </c>
      <c r="AE263" s="21">
        <f>IF(AND($A263="",$B263=""),"",IF(OR($R263&lt;&gt;"",$S263&lt;&gt;""),1,0))</f>
        <v/>
      </c>
      <c r="AF263" s="22">
        <f>IF(AND($A263="",$B263=""),"",IF(Z263=1,IF(AE263=1,N($R263),AD263),0))</f>
        <v/>
      </c>
      <c r="AG263" s="22">
        <f>IF(AND($A263="",$B263=""),"",IF(Z263=1,IF(AE263=1,N($S263),AC263),0))</f>
        <v/>
      </c>
      <c r="AH263" s="21">
        <f>IF(AND($A263="",$B263=""),"",IF(AND(ISNUMBER($I263),N($I263)&gt;0),$I263,0))</f>
        <v/>
      </c>
      <c r="AI263" s="23">
        <f>IF(AND(NOT(AND($A263="",$B263="")),$K263="Point",N($L263)&gt;0),SQRT(N($L263)/PI()),"")</f>
        <v/>
      </c>
      <c r="AJ263" s="21">
        <f>IF(AND($A263="",$B263=""),"",IFERROR(VLOOKUP($G263,Lists!$D$4:$E$15,2,FALSE),"Not reported"))</f>
        <v/>
      </c>
      <c r="AK263" s="21">
        <f>IF(AND($A263="",$B263=""),"",IF($X263&lt;&gt;"",$X263,IF($T263&lt;&gt;"Y","Not assessed",IF(AND(ISNUMBER($V263),Setup!$B$6-$V263&gt;Setup!$B$26),"Assessment outdated",IF(NOT(ISNUMBER($W263)),"Assessed – no score",IF($W263&gt;=Setup!$B$24,"High",IF($W263&gt;=Setup!$B$25,"Moderate","Low")))))))</f>
        <v/>
      </c>
      <c r="AL263" s="21">
        <f>IF(AND($A263="",$B263=""),"",IF(Z263=0,"",IF(AND(AE263=1,N($R263)&gt;AD263*1.01+0.001),"Net terrestrial &gt; gross; ","")&amp;IF(AND(AE263=1,N($S263)&gt;AC263*1.01+0.001),"Net marine &gt; gross; ","")&amp;IF(AE263=0,"No net area – gross used, overlaps may be double-counted; ","")&amp;IF(AH263=0,"STATUS_YR missing – imputed in time series; ","")&amp;IF(AND(ISNUMBER($I263),N($I263)&gt;Setup!$B$6),"STATUS_YR after reporting year; ","")&amp;IF(OR($G263="",$G263="Not Reported"),"GOV_TYPE not reported; ","")&amp;IF(AND(N($J263)=1,$K263="Point",N($M263)&lt;=0),"Coastal point without REP_M_AREA – land/sea split unknown; ","")&amp;IF(AND(N($J263)=0,N($S263)&gt;0),"MARINE=0 but net marine &gt;0; ","")&amp;IF(AND(N($J263)=2,N($R263)&gt;0),"MARINE=2 but net terrestrial &gt;0; ","")&amp;IF($K263="Point","Buffered point – coverage approximate; ","")))</f>
        <v/>
      </c>
    </row>
    <row r="264">
      <c r="A264" s="19" t="n"/>
      <c r="B264" s="19" t="n"/>
      <c r="C264" s="19" t="n"/>
      <c r="D264" s="19" t="n"/>
      <c r="E264" s="19" t="n"/>
      <c r="F264" s="19" t="n"/>
      <c r="G264" s="19" t="n"/>
      <c r="H264" s="19" t="n"/>
      <c r="I264" s="19" t="n"/>
      <c r="J264" s="19" t="n"/>
      <c r="K264" s="19" t="n"/>
      <c r="L264" s="20" t="n"/>
      <c r="M264" s="20" t="n"/>
      <c r="N264" s="20" t="n"/>
      <c r="O264" s="20" t="n"/>
      <c r="P264" s="19" t="n"/>
      <c r="Q264" s="19" t="n"/>
      <c r="R264" s="20" t="n"/>
      <c r="S264" s="20" t="n"/>
      <c r="T264" s="19" t="n"/>
      <c r="U264" s="19" t="n"/>
      <c r="V264" s="19" t="n"/>
      <c r="W264" s="19" t="n"/>
      <c r="X264" s="19" t="n"/>
      <c r="Y264" s="19" t="n"/>
      <c r="Z264" s="21">
        <f>IF(AND($A264="",$B264=""),"",IF(OR($E264="",$H264="",$H264="Proposed",$H264="Not Reported"),0,IF(AND($P264="Y",$Q264&lt;&gt;"Y"),0,IF(AND($K264="Point",N($L264)&lt;=0),0,IF(AND(N($L264)&lt;=0,N($N264)&lt;=0,N($R264)+N($S264)&lt;=0),0,1)))))</f>
        <v/>
      </c>
      <c r="AA264" s="21">
        <f>IF(AND($A264="",$B264=""),"",IF($E264="","Site type missing",IF($H264="","STATUS missing",IF($H264="Proposed","STATUS = Proposed",IF($H264="Not Reported","STATUS = Not Reported",IF(AND($P264="Y",$Q264&lt;&gt;"Y"),"UNESCO-MAB Biosphere Reserve",IF(AND($K264="Point",N($L264)&lt;=0),"Point without REP_AREA",IF(AND(N($L264)&lt;=0,N($N264)&lt;=0,N($R264)+N($S264)&lt;=0),"No area information",""))))))))</f>
        <v/>
      </c>
      <c r="AB264" s="22">
        <f>IF(AND($A264="",$B264=""),"",IF($K264="Point",N($L264),IF(N($N264)&gt;0,N($N264),N($L264))))</f>
        <v/>
      </c>
      <c r="AC264" s="22">
        <f>IF(AND($A264="",$B264=""),"",MIN(AB264,IF(N($J264)=0,0,IF(N($J264)=2,AB264,IF(AND($K264&lt;&gt;"Point",N($O264)&gt;0),N($O264),N($M264))))))</f>
        <v/>
      </c>
      <c r="AD264" s="22">
        <f>IF(AND($A264="",$B264=""),"",MAX(0,AB264-AC264))</f>
        <v/>
      </c>
      <c r="AE264" s="21">
        <f>IF(AND($A264="",$B264=""),"",IF(OR($R264&lt;&gt;"",$S264&lt;&gt;""),1,0))</f>
        <v/>
      </c>
      <c r="AF264" s="22">
        <f>IF(AND($A264="",$B264=""),"",IF(Z264=1,IF(AE264=1,N($R264),AD264),0))</f>
        <v/>
      </c>
      <c r="AG264" s="22">
        <f>IF(AND($A264="",$B264=""),"",IF(Z264=1,IF(AE264=1,N($S264),AC264),0))</f>
        <v/>
      </c>
      <c r="AH264" s="21">
        <f>IF(AND($A264="",$B264=""),"",IF(AND(ISNUMBER($I264),N($I264)&gt;0),$I264,0))</f>
        <v/>
      </c>
      <c r="AI264" s="23">
        <f>IF(AND(NOT(AND($A264="",$B264="")),$K264="Point",N($L264)&gt;0),SQRT(N($L264)/PI()),"")</f>
        <v/>
      </c>
      <c r="AJ264" s="21">
        <f>IF(AND($A264="",$B264=""),"",IFERROR(VLOOKUP($G264,Lists!$D$4:$E$15,2,FALSE),"Not reported"))</f>
        <v/>
      </c>
      <c r="AK264" s="21">
        <f>IF(AND($A264="",$B264=""),"",IF($X264&lt;&gt;"",$X264,IF($T264&lt;&gt;"Y","Not assessed",IF(AND(ISNUMBER($V264),Setup!$B$6-$V264&gt;Setup!$B$26),"Assessment outdated",IF(NOT(ISNUMBER($W264)),"Assessed – no score",IF($W264&gt;=Setup!$B$24,"High",IF($W264&gt;=Setup!$B$25,"Moderate","Low")))))))</f>
        <v/>
      </c>
      <c r="AL264" s="21">
        <f>IF(AND($A264="",$B264=""),"",IF(Z264=0,"",IF(AND(AE264=1,N($R264)&gt;AD264*1.01+0.001),"Net terrestrial &gt; gross; ","")&amp;IF(AND(AE264=1,N($S264)&gt;AC264*1.01+0.001),"Net marine &gt; gross; ","")&amp;IF(AE264=0,"No net area – gross used, overlaps may be double-counted; ","")&amp;IF(AH264=0,"STATUS_YR missing – imputed in time series; ","")&amp;IF(AND(ISNUMBER($I264),N($I264)&gt;Setup!$B$6),"STATUS_YR after reporting year; ","")&amp;IF(OR($G264="",$G264="Not Reported"),"GOV_TYPE not reported; ","")&amp;IF(AND(N($J264)=1,$K264="Point",N($M264)&lt;=0),"Coastal point without REP_M_AREA – land/sea split unknown; ","")&amp;IF(AND(N($J264)=0,N($S264)&gt;0),"MARINE=0 but net marine &gt;0; ","")&amp;IF(AND(N($J264)=2,N($R264)&gt;0),"MARINE=2 but net terrestrial &gt;0; ","")&amp;IF($K264="Point","Buffered point – coverage approximate; ","")))</f>
        <v/>
      </c>
    </row>
    <row r="265">
      <c r="A265" s="19" t="n"/>
      <c r="B265" s="19" t="n"/>
      <c r="C265" s="19" t="n"/>
      <c r="D265" s="19" t="n"/>
      <c r="E265" s="19" t="n"/>
      <c r="F265" s="19" t="n"/>
      <c r="G265" s="19" t="n"/>
      <c r="H265" s="19" t="n"/>
      <c r="I265" s="19" t="n"/>
      <c r="J265" s="19" t="n"/>
      <c r="K265" s="19" t="n"/>
      <c r="L265" s="20" t="n"/>
      <c r="M265" s="20" t="n"/>
      <c r="N265" s="20" t="n"/>
      <c r="O265" s="20" t="n"/>
      <c r="P265" s="19" t="n"/>
      <c r="Q265" s="19" t="n"/>
      <c r="R265" s="20" t="n"/>
      <c r="S265" s="20" t="n"/>
      <c r="T265" s="19" t="n"/>
      <c r="U265" s="19" t="n"/>
      <c r="V265" s="19" t="n"/>
      <c r="W265" s="19" t="n"/>
      <c r="X265" s="19" t="n"/>
      <c r="Y265" s="19" t="n"/>
      <c r="Z265" s="21">
        <f>IF(AND($A265="",$B265=""),"",IF(OR($E265="",$H265="",$H265="Proposed",$H265="Not Reported"),0,IF(AND($P265="Y",$Q265&lt;&gt;"Y"),0,IF(AND($K265="Point",N($L265)&lt;=0),0,IF(AND(N($L265)&lt;=0,N($N265)&lt;=0,N($R265)+N($S265)&lt;=0),0,1)))))</f>
        <v/>
      </c>
      <c r="AA265" s="21">
        <f>IF(AND($A265="",$B265=""),"",IF($E265="","Site type missing",IF($H265="","STATUS missing",IF($H265="Proposed","STATUS = Proposed",IF($H265="Not Reported","STATUS = Not Reported",IF(AND($P265="Y",$Q265&lt;&gt;"Y"),"UNESCO-MAB Biosphere Reserve",IF(AND($K265="Point",N($L265)&lt;=0),"Point without REP_AREA",IF(AND(N($L265)&lt;=0,N($N265)&lt;=0,N($R265)+N($S265)&lt;=0),"No area information",""))))))))</f>
        <v/>
      </c>
      <c r="AB265" s="22">
        <f>IF(AND($A265="",$B265=""),"",IF($K265="Point",N($L265),IF(N($N265)&gt;0,N($N265),N($L265))))</f>
        <v/>
      </c>
      <c r="AC265" s="22">
        <f>IF(AND($A265="",$B265=""),"",MIN(AB265,IF(N($J265)=0,0,IF(N($J265)=2,AB265,IF(AND($K265&lt;&gt;"Point",N($O265)&gt;0),N($O265),N($M265))))))</f>
        <v/>
      </c>
      <c r="AD265" s="22">
        <f>IF(AND($A265="",$B265=""),"",MAX(0,AB265-AC265))</f>
        <v/>
      </c>
      <c r="AE265" s="21">
        <f>IF(AND($A265="",$B265=""),"",IF(OR($R265&lt;&gt;"",$S265&lt;&gt;""),1,0))</f>
        <v/>
      </c>
      <c r="AF265" s="22">
        <f>IF(AND($A265="",$B265=""),"",IF(Z265=1,IF(AE265=1,N($R265),AD265),0))</f>
        <v/>
      </c>
      <c r="AG265" s="22">
        <f>IF(AND($A265="",$B265=""),"",IF(Z265=1,IF(AE265=1,N($S265),AC265),0))</f>
        <v/>
      </c>
      <c r="AH265" s="21">
        <f>IF(AND($A265="",$B265=""),"",IF(AND(ISNUMBER($I265),N($I265)&gt;0),$I265,0))</f>
        <v/>
      </c>
      <c r="AI265" s="23">
        <f>IF(AND(NOT(AND($A265="",$B265="")),$K265="Point",N($L265)&gt;0),SQRT(N($L265)/PI()),"")</f>
        <v/>
      </c>
      <c r="AJ265" s="21">
        <f>IF(AND($A265="",$B265=""),"",IFERROR(VLOOKUP($G265,Lists!$D$4:$E$15,2,FALSE),"Not reported"))</f>
        <v/>
      </c>
      <c r="AK265" s="21">
        <f>IF(AND($A265="",$B265=""),"",IF($X265&lt;&gt;"",$X265,IF($T265&lt;&gt;"Y","Not assessed",IF(AND(ISNUMBER($V265),Setup!$B$6-$V265&gt;Setup!$B$26),"Assessment outdated",IF(NOT(ISNUMBER($W265)),"Assessed – no score",IF($W265&gt;=Setup!$B$24,"High",IF($W265&gt;=Setup!$B$25,"Moderate","Low")))))))</f>
        <v/>
      </c>
      <c r="AL265" s="21">
        <f>IF(AND($A265="",$B265=""),"",IF(Z265=0,"",IF(AND(AE265=1,N($R265)&gt;AD265*1.01+0.001),"Net terrestrial &gt; gross; ","")&amp;IF(AND(AE265=1,N($S265)&gt;AC265*1.01+0.001),"Net marine &gt; gross; ","")&amp;IF(AE265=0,"No net area – gross used, overlaps may be double-counted; ","")&amp;IF(AH265=0,"STATUS_YR missing – imputed in time series; ","")&amp;IF(AND(ISNUMBER($I265),N($I265)&gt;Setup!$B$6),"STATUS_YR after reporting year; ","")&amp;IF(OR($G265="",$G265="Not Reported"),"GOV_TYPE not reported; ","")&amp;IF(AND(N($J265)=1,$K265="Point",N($M265)&lt;=0),"Coastal point without REP_M_AREA – land/sea split unknown; ","")&amp;IF(AND(N($J265)=0,N($S265)&gt;0),"MARINE=0 but net marine &gt;0; ","")&amp;IF(AND(N($J265)=2,N($R265)&gt;0),"MARINE=2 but net terrestrial &gt;0; ","")&amp;IF($K265="Point","Buffered point – coverage approximate; ","")))</f>
        <v/>
      </c>
    </row>
    <row r="266">
      <c r="A266" s="19" t="n"/>
      <c r="B266" s="19" t="n"/>
      <c r="C266" s="19" t="n"/>
      <c r="D266" s="19" t="n"/>
      <c r="E266" s="19" t="n"/>
      <c r="F266" s="19" t="n"/>
      <c r="G266" s="19" t="n"/>
      <c r="H266" s="19" t="n"/>
      <c r="I266" s="19" t="n"/>
      <c r="J266" s="19" t="n"/>
      <c r="K266" s="19" t="n"/>
      <c r="L266" s="20" t="n"/>
      <c r="M266" s="20" t="n"/>
      <c r="N266" s="20" t="n"/>
      <c r="O266" s="20" t="n"/>
      <c r="P266" s="19" t="n"/>
      <c r="Q266" s="19" t="n"/>
      <c r="R266" s="20" t="n"/>
      <c r="S266" s="20" t="n"/>
      <c r="T266" s="19" t="n"/>
      <c r="U266" s="19" t="n"/>
      <c r="V266" s="19" t="n"/>
      <c r="W266" s="19" t="n"/>
      <c r="X266" s="19" t="n"/>
      <c r="Y266" s="19" t="n"/>
      <c r="Z266" s="21">
        <f>IF(AND($A266="",$B266=""),"",IF(OR($E266="",$H266="",$H266="Proposed",$H266="Not Reported"),0,IF(AND($P266="Y",$Q266&lt;&gt;"Y"),0,IF(AND($K266="Point",N($L266)&lt;=0),0,IF(AND(N($L266)&lt;=0,N($N266)&lt;=0,N($R266)+N($S266)&lt;=0),0,1)))))</f>
        <v/>
      </c>
      <c r="AA266" s="21">
        <f>IF(AND($A266="",$B266=""),"",IF($E266="","Site type missing",IF($H266="","STATUS missing",IF($H266="Proposed","STATUS = Proposed",IF($H266="Not Reported","STATUS = Not Reported",IF(AND($P266="Y",$Q266&lt;&gt;"Y"),"UNESCO-MAB Biosphere Reserve",IF(AND($K266="Point",N($L266)&lt;=0),"Point without REP_AREA",IF(AND(N($L266)&lt;=0,N($N266)&lt;=0,N($R266)+N($S266)&lt;=0),"No area information",""))))))))</f>
        <v/>
      </c>
      <c r="AB266" s="22">
        <f>IF(AND($A266="",$B266=""),"",IF($K266="Point",N($L266),IF(N($N266)&gt;0,N($N266),N($L266))))</f>
        <v/>
      </c>
      <c r="AC266" s="22">
        <f>IF(AND($A266="",$B266=""),"",MIN(AB266,IF(N($J266)=0,0,IF(N($J266)=2,AB266,IF(AND($K266&lt;&gt;"Point",N($O266)&gt;0),N($O266),N($M266))))))</f>
        <v/>
      </c>
      <c r="AD266" s="22">
        <f>IF(AND($A266="",$B266=""),"",MAX(0,AB266-AC266))</f>
        <v/>
      </c>
      <c r="AE266" s="21">
        <f>IF(AND($A266="",$B266=""),"",IF(OR($R266&lt;&gt;"",$S266&lt;&gt;""),1,0))</f>
        <v/>
      </c>
      <c r="AF266" s="22">
        <f>IF(AND($A266="",$B266=""),"",IF(Z266=1,IF(AE266=1,N($R266),AD266),0))</f>
        <v/>
      </c>
      <c r="AG266" s="22">
        <f>IF(AND($A266="",$B266=""),"",IF(Z266=1,IF(AE266=1,N($S266),AC266),0))</f>
        <v/>
      </c>
      <c r="AH266" s="21">
        <f>IF(AND($A266="",$B266=""),"",IF(AND(ISNUMBER($I266),N($I266)&gt;0),$I266,0))</f>
        <v/>
      </c>
      <c r="AI266" s="23">
        <f>IF(AND(NOT(AND($A266="",$B266="")),$K266="Point",N($L266)&gt;0),SQRT(N($L266)/PI()),"")</f>
        <v/>
      </c>
      <c r="AJ266" s="21">
        <f>IF(AND($A266="",$B266=""),"",IFERROR(VLOOKUP($G266,Lists!$D$4:$E$15,2,FALSE),"Not reported"))</f>
        <v/>
      </c>
      <c r="AK266" s="21">
        <f>IF(AND($A266="",$B266=""),"",IF($X266&lt;&gt;"",$X266,IF($T266&lt;&gt;"Y","Not assessed",IF(AND(ISNUMBER($V266),Setup!$B$6-$V266&gt;Setup!$B$26),"Assessment outdated",IF(NOT(ISNUMBER($W266)),"Assessed – no score",IF($W266&gt;=Setup!$B$24,"High",IF($W266&gt;=Setup!$B$25,"Moderate","Low")))))))</f>
        <v/>
      </c>
      <c r="AL266" s="21">
        <f>IF(AND($A266="",$B266=""),"",IF(Z266=0,"",IF(AND(AE266=1,N($R266)&gt;AD266*1.01+0.001),"Net terrestrial &gt; gross; ","")&amp;IF(AND(AE266=1,N($S266)&gt;AC266*1.01+0.001),"Net marine &gt; gross; ","")&amp;IF(AE266=0,"No net area – gross used, overlaps may be double-counted; ","")&amp;IF(AH266=0,"STATUS_YR missing – imputed in time series; ","")&amp;IF(AND(ISNUMBER($I266),N($I266)&gt;Setup!$B$6),"STATUS_YR after reporting year; ","")&amp;IF(OR($G266="",$G266="Not Reported"),"GOV_TYPE not reported; ","")&amp;IF(AND(N($J266)=1,$K266="Point",N($M266)&lt;=0),"Coastal point without REP_M_AREA – land/sea split unknown; ","")&amp;IF(AND(N($J266)=0,N($S266)&gt;0),"MARINE=0 but net marine &gt;0; ","")&amp;IF(AND(N($J266)=2,N($R266)&gt;0),"MARINE=2 but net terrestrial &gt;0; ","")&amp;IF($K266="Point","Buffered point – coverage approximate; ","")))</f>
        <v/>
      </c>
    </row>
    <row r="267">
      <c r="A267" s="19" t="n"/>
      <c r="B267" s="19" t="n"/>
      <c r="C267" s="19" t="n"/>
      <c r="D267" s="19" t="n"/>
      <c r="E267" s="19" t="n"/>
      <c r="F267" s="19" t="n"/>
      <c r="G267" s="19" t="n"/>
      <c r="H267" s="19" t="n"/>
      <c r="I267" s="19" t="n"/>
      <c r="J267" s="19" t="n"/>
      <c r="K267" s="19" t="n"/>
      <c r="L267" s="20" t="n"/>
      <c r="M267" s="20" t="n"/>
      <c r="N267" s="20" t="n"/>
      <c r="O267" s="20" t="n"/>
      <c r="P267" s="19" t="n"/>
      <c r="Q267" s="19" t="n"/>
      <c r="R267" s="20" t="n"/>
      <c r="S267" s="20" t="n"/>
      <c r="T267" s="19" t="n"/>
      <c r="U267" s="19" t="n"/>
      <c r="V267" s="19" t="n"/>
      <c r="W267" s="19" t="n"/>
      <c r="X267" s="19" t="n"/>
      <c r="Y267" s="19" t="n"/>
      <c r="Z267" s="21">
        <f>IF(AND($A267="",$B267=""),"",IF(OR($E267="",$H267="",$H267="Proposed",$H267="Not Reported"),0,IF(AND($P267="Y",$Q267&lt;&gt;"Y"),0,IF(AND($K267="Point",N($L267)&lt;=0),0,IF(AND(N($L267)&lt;=0,N($N267)&lt;=0,N($R267)+N($S267)&lt;=0),0,1)))))</f>
        <v/>
      </c>
      <c r="AA267" s="21">
        <f>IF(AND($A267="",$B267=""),"",IF($E267="","Site type missing",IF($H267="","STATUS missing",IF($H267="Proposed","STATUS = Proposed",IF($H267="Not Reported","STATUS = Not Reported",IF(AND($P267="Y",$Q267&lt;&gt;"Y"),"UNESCO-MAB Biosphere Reserve",IF(AND($K267="Point",N($L267)&lt;=0),"Point without REP_AREA",IF(AND(N($L267)&lt;=0,N($N267)&lt;=0,N($R267)+N($S267)&lt;=0),"No area information",""))))))))</f>
        <v/>
      </c>
      <c r="AB267" s="22">
        <f>IF(AND($A267="",$B267=""),"",IF($K267="Point",N($L267),IF(N($N267)&gt;0,N($N267),N($L267))))</f>
        <v/>
      </c>
      <c r="AC267" s="22">
        <f>IF(AND($A267="",$B267=""),"",MIN(AB267,IF(N($J267)=0,0,IF(N($J267)=2,AB267,IF(AND($K267&lt;&gt;"Point",N($O267)&gt;0),N($O267),N($M267))))))</f>
        <v/>
      </c>
      <c r="AD267" s="22">
        <f>IF(AND($A267="",$B267=""),"",MAX(0,AB267-AC267))</f>
        <v/>
      </c>
      <c r="AE267" s="21">
        <f>IF(AND($A267="",$B267=""),"",IF(OR($R267&lt;&gt;"",$S267&lt;&gt;""),1,0))</f>
        <v/>
      </c>
      <c r="AF267" s="22">
        <f>IF(AND($A267="",$B267=""),"",IF(Z267=1,IF(AE267=1,N($R267),AD267),0))</f>
        <v/>
      </c>
      <c r="AG267" s="22">
        <f>IF(AND($A267="",$B267=""),"",IF(Z267=1,IF(AE267=1,N($S267),AC267),0))</f>
        <v/>
      </c>
      <c r="AH267" s="21">
        <f>IF(AND($A267="",$B267=""),"",IF(AND(ISNUMBER($I267),N($I267)&gt;0),$I267,0))</f>
        <v/>
      </c>
      <c r="AI267" s="23">
        <f>IF(AND(NOT(AND($A267="",$B267="")),$K267="Point",N($L267)&gt;0),SQRT(N($L267)/PI()),"")</f>
        <v/>
      </c>
      <c r="AJ267" s="21">
        <f>IF(AND($A267="",$B267=""),"",IFERROR(VLOOKUP($G267,Lists!$D$4:$E$15,2,FALSE),"Not reported"))</f>
        <v/>
      </c>
      <c r="AK267" s="21">
        <f>IF(AND($A267="",$B267=""),"",IF($X267&lt;&gt;"",$X267,IF($T267&lt;&gt;"Y","Not assessed",IF(AND(ISNUMBER($V267),Setup!$B$6-$V267&gt;Setup!$B$26),"Assessment outdated",IF(NOT(ISNUMBER($W267)),"Assessed – no score",IF($W267&gt;=Setup!$B$24,"High",IF($W267&gt;=Setup!$B$25,"Moderate","Low")))))))</f>
        <v/>
      </c>
      <c r="AL267" s="21">
        <f>IF(AND($A267="",$B267=""),"",IF(Z267=0,"",IF(AND(AE267=1,N($R267)&gt;AD267*1.01+0.001),"Net terrestrial &gt; gross; ","")&amp;IF(AND(AE267=1,N($S267)&gt;AC267*1.01+0.001),"Net marine &gt; gross; ","")&amp;IF(AE267=0,"No net area – gross used, overlaps may be double-counted; ","")&amp;IF(AH267=0,"STATUS_YR missing – imputed in time series; ","")&amp;IF(AND(ISNUMBER($I267),N($I267)&gt;Setup!$B$6),"STATUS_YR after reporting year; ","")&amp;IF(OR($G267="",$G267="Not Reported"),"GOV_TYPE not reported; ","")&amp;IF(AND(N($J267)=1,$K267="Point",N($M267)&lt;=0),"Coastal point without REP_M_AREA – land/sea split unknown; ","")&amp;IF(AND(N($J267)=0,N($S267)&gt;0),"MARINE=0 but net marine &gt;0; ","")&amp;IF(AND(N($J267)=2,N($R267)&gt;0),"MARINE=2 but net terrestrial &gt;0; ","")&amp;IF($K267="Point","Buffered point – coverage approximate; ","")))</f>
        <v/>
      </c>
    </row>
    <row r="268">
      <c r="A268" s="19" t="n"/>
      <c r="B268" s="19" t="n"/>
      <c r="C268" s="19" t="n"/>
      <c r="D268" s="19" t="n"/>
      <c r="E268" s="19" t="n"/>
      <c r="F268" s="19" t="n"/>
      <c r="G268" s="19" t="n"/>
      <c r="H268" s="19" t="n"/>
      <c r="I268" s="19" t="n"/>
      <c r="J268" s="19" t="n"/>
      <c r="K268" s="19" t="n"/>
      <c r="L268" s="20" t="n"/>
      <c r="M268" s="20" t="n"/>
      <c r="N268" s="20" t="n"/>
      <c r="O268" s="20" t="n"/>
      <c r="P268" s="19" t="n"/>
      <c r="Q268" s="19" t="n"/>
      <c r="R268" s="20" t="n"/>
      <c r="S268" s="20" t="n"/>
      <c r="T268" s="19" t="n"/>
      <c r="U268" s="19" t="n"/>
      <c r="V268" s="19" t="n"/>
      <c r="W268" s="19" t="n"/>
      <c r="X268" s="19" t="n"/>
      <c r="Y268" s="19" t="n"/>
      <c r="Z268" s="21">
        <f>IF(AND($A268="",$B268=""),"",IF(OR($E268="",$H268="",$H268="Proposed",$H268="Not Reported"),0,IF(AND($P268="Y",$Q268&lt;&gt;"Y"),0,IF(AND($K268="Point",N($L268)&lt;=0),0,IF(AND(N($L268)&lt;=0,N($N268)&lt;=0,N($R268)+N($S268)&lt;=0),0,1)))))</f>
        <v/>
      </c>
      <c r="AA268" s="21">
        <f>IF(AND($A268="",$B268=""),"",IF($E268="","Site type missing",IF($H268="","STATUS missing",IF($H268="Proposed","STATUS = Proposed",IF($H268="Not Reported","STATUS = Not Reported",IF(AND($P268="Y",$Q268&lt;&gt;"Y"),"UNESCO-MAB Biosphere Reserve",IF(AND($K268="Point",N($L268)&lt;=0),"Point without REP_AREA",IF(AND(N($L268)&lt;=0,N($N268)&lt;=0,N($R268)+N($S268)&lt;=0),"No area information",""))))))))</f>
        <v/>
      </c>
      <c r="AB268" s="22">
        <f>IF(AND($A268="",$B268=""),"",IF($K268="Point",N($L268),IF(N($N268)&gt;0,N($N268),N($L268))))</f>
        <v/>
      </c>
      <c r="AC268" s="22">
        <f>IF(AND($A268="",$B268=""),"",MIN(AB268,IF(N($J268)=0,0,IF(N($J268)=2,AB268,IF(AND($K268&lt;&gt;"Point",N($O268)&gt;0),N($O268),N($M268))))))</f>
        <v/>
      </c>
      <c r="AD268" s="22">
        <f>IF(AND($A268="",$B268=""),"",MAX(0,AB268-AC268))</f>
        <v/>
      </c>
      <c r="AE268" s="21">
        <f>IF(AND($A268="",$B268=""),"",IF(OR($R268&lt;&gt;"",$S268&lt;&gt;""),1,0))</f>
        <v/>
      </c>
      <c r="AF268" s="22">
        <f>IF(AND($A268="",$B268=""),"",IF(Z268=1,IF(AE268=1,N($R268),AD268),0))</f>
        <v/>
      </c>
      <c r="AG268" s="22">
        <f>IF(AND($A268="",$B268=""),"",IF(Z268=1,IF(AE268=1,N($S268),AC268),0))</f>
        <v/>
      </c>
      <c r="AH268" s="21">
        <f>IF(AND($A268="",$B268=""),"",IF(AND(ISNUMBER($I268),N($I268)&gt;0),$I268,0))</f>
        <v/>
      </c>
      <c r="AI268" s="23">
        <f>IF(AND(NOT(AND($A268="",$B268="")),$K268="Point",N($L268)&gt;0),SQRT(N($L268)/PI()),"")</f>
        <v/>
      </c>
      <c r="AJ268" s="21">
        <f>IF(AND($A268="",$B268=""),"",IFERROR(VLOOKUP($G268,Lists!$D$4:$E$15,2,FALSE),"Not reported"))</f>
        <v/>
      </c>
      <c r="AK268" s="21">
        <f>IF(AND($A268="",$B268=""),"",IF($X268&lt;&gt;"",$X268,IF($T268&lt;&gt;"Y","Not assessed",IF(AND(ISNUMBER($V268),Setup!$B$6-$V268&gt;Setup!$B$26),"Assessment outdated",IF(NOT(ISNUMBER($W268)),"Assessed – no score",IF($W268&gt;=Setup!$B$24,"High",IF($W268&gt;=Setup!$B$25,"Moderate","Low")))))))</f>
        <v/>
      </c>
      <c r="AL268" s="21">
        <f>IF(AND($A268="",$B268=""),"",IF(Z268=0,"",IF(AND(AE268=1,N($R268)&gt;AD268*1.01+0.001),"Net terrestrial &gt; gross; ","")&amp;IF(AND(AE268=1,N($S268)&gt;AC268*1.01+0.001),"Net marine &gt; gross; ","")&amp;IF(AE268=0,"No net area – gross used, overlaps may be double-counted; ","")&amp;IF(AH268=0,"STATUS_YR missing – imputed in time series; ","")&amp;IF(AND(ISNUMBER($I268),N($I268)&gt;Setup!$B$6),"STATUS_YR after reporting year; ","")&amp;IF(OR($G268="",$G268="Not Reported"),"GOV_TYPE not reported; ","")&amp;IF(AND(N($J268)=1,$K268="Point",N($M268)&lt;=0),"Coastal point without REP_M_AREA – land/sea split unknown; ","")&amp;IF(AND(N($J268)=0,N($S268)&gt;0),"MARINE=0 but net marine &gt;0; ","")&amp;IF(AND(N($J268)=2,N($R268)&gt;0),"MARINE=2 but net terrestrial &gt;0; ","")&amp;IF($K268="Point","Buffered point – coverage approximate; ","")))</f>
        <v/>
      </c>
    </row>
    <row r="269">
      <c r="A269" s="19" t="n"/>
      <c r="B269" s="19" t="n"/>
      <c r="C269" s="19" t="n"/>
      <c r="D269" s="19" t="n"/>
      <c r="E269" s="19" t="n"/>
      <c r="F269" s="19" t="n"/>
      <c r="G269" s="19" t="n"/>
      <c r="H269" s="19" t="n"/>
      <c r="I269" s="19" t="n"/>
      <c r="J269" s="19" t="n"/>
      <c r="K269" s="19" t="n"/>
      <c r="L269" s="20" t="n"/>
      <c r="M269" s="20" t="n"/>
      <c r="N269" s="20" t="n"/>
      <c r="O269" s="20" t="n"/>
      <c r="P269" s="19" t="n"/>
      <c r="Q269" s="19" t="n"/>
      <c r="R269" s="20" t="n"/>
      <c r="S269" s="20" t="n"/>
      <c r="T269" s="19" t="n"/>
      <c r="U269" s="19" t="n"/>
      <c r="V269" s="19" t="n"/>
      <c r="W269" s="19" t="n"/>
      <c r="X269" s="19" t="n"/>
      <c r="Y269" s="19" t="n"/>
      <c r="Z269" s="21">
        <f>IF(AND($A269="",$B269=""),"",IF(OR($E269="",$H269="",$H269="Proposed",$H269="Not Reported"),0,IF(AND($P269="Y",$Q269&lt;&gt;"Y"),0,IF(AND($K269="Point",N($L269)&lt;=0),0,IF(AND(N($L269)&lt;=0,N($N269)&lt;=0,N($R269)+N($S269)&lt;=0),0,1)))))</f>
        <v/>
      </c>
      <c r="AA269" s="21">
        <f>IF(AND($A269="",$B269=""),"",IF($E269="","Site type missing",IF($H269="","STATUS missing",IF($H269="Proposed","STATUS = Proposed",IF($H269="Not Reported","STATUS = Not Reported",IF(AND($P269="Y",$Q269&lt;&gt;"Y"),"UNESCO-MAB Biosphere Reserve",IF(AND($K269="Point",N($L269)&lt;=0),"Point without REP_AREA",IF(AND(N($L269)&lt;=0,N($N269)&lt;=0,N($R269)+N($S269)&lt;=0),"No area information",""))))))))</f>
        <v/>
      </c>
      <c r="AB269" s="22">
        <f>IF(AND($A269="",$B269=""),"",IF($K269="Point",N($L269),IF(N($N269)&gt;0,N($N269),N($L269))))</f>
        <v/>
      </c>
      <c r="AC269" s="22">
        <f>IF(AND($A269="",$B269=""),"",MIN(AB269,IF(N($J269)=0,0,IF(N($J269)=2,AB269,IF(AND($K269&lt;&gt;"Point",N($O269)&gt;0),N($O269),N($M269))))))</f>
        <v/>
      </c>
      <c r="AD269" s="22">
        <f>IF(AND($A269="",$B269=""),"",MAX(0,AB269-AC269))</f>
        <v/>
      </c>
      <c r="AE269" s="21">
        <f>IF(AND($A269="",$B269=""),"",IF(OR($R269&lt;&gt;"",$S269&lt;&gt;""),1,0))</f>
        <v/>
      </c>
      <c r="AF269" s="22">
        <f>IF(AND($A269="",$B269=""),"",IF(Z269=1,IF(AE269=1,N($R269),AD269),0))</f>
        <v/>
      </c>
      <c r="AG269" s="22">
        <f>IF(AND($A269="",$B269=""),"",IF(Z269=1,IF(AE269=1,N($S269),AC269),0))</f>
        <v/>
      </c>
      <c r="AH269" s="21">
        <f>IF(AND($A269="",$B269=""),"",IF(AND(ISNUMBER($I269),N($I269)&gt;0),$I269,0))</f>
        <v/>
      </c>
      <c r="AI269" s="23">
        <f>IF(AND(NOT(AND($A269="",$B269="")),$K269="Point",N($L269)&gt;0),SQRT(N($L269)/PI()),"")</f>
        <v/>
      </c>
      <c r="AJ269" s="21">
        <f>IF(AND($A269="",$B269=""),"",IFERROR(VLOOKUP($G269,Lists!$D$4:$E$15,2,FALSE),"Not reported"))</f>
        <v/>
      </c>
      <c r="AK269" s="21">
        <f>IF(AND($A269="",$B269=""),"",IF($X269&lt;&gt;"",$X269,IF($T269&lt;&gt;"Y","Not assessed",IF(AND(ISNUMBER($V269),Setup!$B$6-$V269&gt;Setup!$B$26),"Assessment outdated",IF(NOT(ISNUMBER($W269)),"Assessed – no score",IF($W269&gt;=Setup!$B$24,"High",IF($W269&gt;=Setup!$B$25,"Moderate","Low")))))))</f>
        <v/>
      </c>
      <c r="AL269" s="21">
        <f>IF(AND($A269="",$B269=""),"",IF(Z269=0,"",IF(AND(AE269=1,N($R269)&gt;AD269*1.01+0.001),"Net terrestrial &gt; gross; ","")&amp;IF(AND(AE269=1,N($S269)&gt;AC269*1.01+0.001),"Net marine &gt; gross; ","")&amp;IF(AE269=0,"No net area – gross used, overlaps may be double-counted; ","")&amp;IF(AH269=0,"STATUS_YR missing – imputed in time series; ","")&amp;IF(AND(ISNUMBER($I269),N($I269)&gt;Setup!$B$6),"STATUS_YR after reporting year; ","")&amp;IF(OR($G269="",$G269="Not Reported"),"GOV_TYPE not reported; ","")&amp;IF(AND(N($J269)=1,$K269="Point",N($M269)&lt;=0),"Coastal point without REP_M_AREA – land/sea split unknown; ","")&amp;IF(AND(N($J269)=0,N($S269)&gt;0),"MARINE=0 but net marine &gt;0; ","")&amp;IF(AND(N($J269)=2,N($R269)&gt;0),"MARINE=2 but net terrestrial &gt;0; ","")&amp;IF($K269="Point","Buffered point – coverage approximate; ","")))</f>
        <v/>
      </c>
    </row>
    <row r="270">
      <c r="A270" s="19" t="n"/>
      <c r="B270" s="19" t="n"/>
      <c r="C270" s="19" t="n"/>
      <c r="D270" s="19" t="n"/>
      <c r="E270" s="19" t="n"/>
      <c r="F270" s="19" t="n"/>
      <c r="G270" s="19" t="n"/>
      <c r="H270" s="19" t="n"/>
      <c r="I270" s="19" t="n"/>
      <c r="J270" s="19" t="n"/>
      <c r="K270" s="19" t="n"/>
      <c r="L270" s="20" t="n"/>
      <c r="M270" s="20" t="n"/>
      <c r="N270" s="20" t="n"/>
      <c r="O270" s="20" t="n"/>
      <c r="P270" s="19" t="n"/>
      <c r="Q270" s="19" t="n"/>
      <c r="R270" s="20" t="n"/>
      <c r="S270" s="20" t="n"/>
      <c r="T270" s="19" t="n"/>
      <c r="U270" s="19" t="n"/>
      <c r="V270" s="19" t="n"/>
      <c r="W270" s="19" t="n"/>
      <c r="X270" s="19" t="n"/>
      <c r="Y270" s="19" t="n"/>
      <c r="Z270" s="21">
        <f>IF(AND($A270="",$B270=""),"",IF(OR($E270="",$H270="",$H270="Proposed",$H270="Not Reported"),0,IF(AND($P270="Y",$Q270&lt;&gt;"Y"),0,IF(AND($K270="Point",N($L270)&lt;=0),0,IF(AND(N($L270)&lt;=0,N($N270)&lt;=0,N($R270)+N($S270)&lt;=0),0,1)))))</f>
        <v/>
      </c>
      <c r="AA270" s="21">
        <f>IF(AND($A270="",$B270=""),"",IF($E270="","Site type missing",IF($H270="","STATUS missing",IF($H270="Proposed","STATUS = Proposed",IF($H270="Not Reported","STATUS = Not Reported",IF(AND($P270="Y",$Q270&lt;&gt;"Y"),"UNESCO-MAB Biosphere Reserve",IF(AND($K270="Point",N($L270)&lt;=0),"Point without REP_AREA",IF(AND(N($L270)&lt;=0,N($N270)&lt;=0,N($R270)+N($S270)&lt;=0),"No area information",""))))))))</f>
        <v/>
      </c>
      <c r="AB270" s="22">
        <f>IF(AND($A270="",$B270=""),"",IF($K270="Point",N($L270),IF(N($N270)&gt;0,N($N270),N($L270))))</f>
        <v/>
      </c>
      <c r="AC270" s="22">
        <f>IF(AND($A270="",$B270=""),"",MIN(AB270,IF(N($J270)=0,0,IF(N($J270)=2,AB270,IF(AND($K270&lt;&gt;"Point",N($O270)&gt;0),N($O270),N($M270))))))</f>
        <v/>
      </c>
      <c r="AD270" s="22">
        <f>IF(AND($A270="",$B270=""),"",MAX(0,AB270-AC270))</f>
        <v/>
      </c>
      <c r="AE270" s="21">
        <f>IF(AND($A270="",$B270=""),"",IF(OR($R270&lt;&gt;"",$S270&lt;&gt;""),1,0))</f>
        <v/>
      </c>
      <c r="AF270" s="22">
        <f>IF(AND($A270="",$B270=""),"",IF(Z270=1,IF(AE270=1,N($R270),AD270),0))</f>
        <v/>
      </c>
      <c r="AG270" s="22">
        <f>IF(AND($A270="",$B270=""),"",IF(Z270=1,IF(AE270=1,N($S270),AC270),0))</f>
        <v/>
      </c>
      <c r="AH270" s="21">
        <f>IF(AND($A270="",$B270=""),"",IF(AND(ISNUMBER($I270),N($I270)&gt;0),$I270,0))</f>
        <v/>
      </c>
      <c r="AI270" s="23">
        <f>IF(AND(NOT(AND($A270="",$B270="")),$K270="Point",N($L270)&gt;0),SQRT(N($L270)/PI()),"")</f>
        <v/>
      </c>
      <c r="AJ270" s="21">
        <f>IF(AND($A270="",$B270=""),"",IFERROR(VLOOKUP($G270,Lists!$D$4:$E$15,2,FALSE),"Not reported"))</f>
        <v/>
      </c>
      <c r="AK270" s="21">
        <f>IF(AND($A270="",$B270=""),"",IF($X270&lt;&gt;"",$X270,IF($T270&lt;&gt;"Y","Not assessed",IF(AND(ISNUMBER($V270),Setup!$B$6-$V270&gt;Setup!$B$26),"Assessment outdated",IF(NOT(ISNUMBER($W270)),"Assessed – no score",IF($W270&gt;=Setup!$B$24,"High",IF($W270&gt;=Setup!$B$25,"Moderate","Low")))))))</f>
        <v/>
      </c>
      <c r="AL270" s="21">
        <f>IF(AND($A270="",$B270=""),"",IF(Z270=0,"",IF(AND(AE270=1,N($R270)&gt;AD270*1.01+0.001),"Net terrestrial &gt; gross; ","")&amp;IF(AND(AE270=1,N($S270)&gt;AC270*1.01+0.001),"Net marine &gt; gross; ","")&amp;IF(AE270=0,"No net area – gross used, overlaps may be double-counted; ","")&amp;IF(AH270=0,"STATUS_YR missing – imputed in time series; ","")&amp;IF(AND(ISNUMBER($I270),N($I270)&gt;Setup!$B$6),"STATUS_YR after reporting year; ","")&amp;IF(OR($G270="",$G270="Not Reported"),"GOV_TYPE not reported; ","")&amp;IF(AND(N($J270)=1,$K270="Point",N($M270)&lt;=0),"Coastal point without REP_M_AREA – land/sea split unknown; ","")&amp;IF(AND(N($J270)=0,N($S270)&gt;0),"MARINE=0 but net marine &gt;0; ","")&amp;IF(AND(N($J270)=2,N($R270)&gt;0),"MARINE=2 but net terrestrial &gt;0; ","")&amp;IF($K270="Point","Buffered point – coverage approximate; ","")))</f>
        <v/>
      </c>
    </row>
    <row r="271">
      <c r="A271" s="19" t="n"/>
      <c r="B271" s="19" t="n"/>
      <c r="C271" s="19" t="n"/>
      <c r="D271" s="19" t="n"/>
      <c r="E271" s="19" t="n"/>
      <c r="F271" s="19" t="n"/>
      <c r="G271" s="19" t="n"/>
      <c r="H271" s="19" t="n"/>
      <c r="I271" s="19" t="n"/>
      <c r="J271" s="19" t="n"/>
      <c r="K271" s="19" t="n"/>
      <c r="L271" s="20" t="n"/>
      <c r="M271" s="20" t="n"/>
      <c r="N271" s="20" t="n"/>
      <c r="O271" s="20" t="n"/>
      <c r="P271" s="19" t="n"/>
      <c r="Q271" s="19" t="n"/>
      <c r="R271" s="20" t="n"/>
      <c r="S271" s="20" t="n"/>
      <c r="T271" s="19" t="n"/>
      <c r="U271" s="19" t="n"/>
      <c r="V271" s="19" t="n"/>
      <c r="W271" s="19" t="n"/>
      <c r="X271" s="19" t="n"/>
      <c r="Y271" s="19" t="n"/>
      <c r="Z271" s="21">
        <f>IF(AND($A271="",$B271=""),"",IF(OR($E271="",$H271="",$H271="Proposed",$H271="Not Reported"),0,IF(AND($P271="Y",$Q271&lt;&gt;"Y"),0,IF(AND($K271="Point",N($L271)&lt;=0),0,IF(AND(N($L271)&lt;=0,N($N271)&lt;=0,N($R271)+N($S271)&lt;=0),0,1)))))</f>
        <v/>
      </c>
      <c r="AA271" s="21">
        <f>IF(AND($A271="",$B271=""),"",IF($E271="","Site type missing",IF($H271="","STATUS missing",IF($H271="Proposed","STATUS = Proposed",IF($H271="Not Reported","STATUS = Not Reported",IF(AND($P271="Y",$Q271&lt;&gt;"Y"),"UNESCO-MAB Biosphere Reserve",IF(AND($K271="Point",N($L271)&lt;=0),"Point without REP_AREA",IF(AND(N($L271)&lt;=0,N($N271)&lt;=0,N($R271)+N($S271)&lt;=0),"No area information",""))))))))</f>
        <v/>
      </c>
      <c r="AB271" s="22">
        <f>IF(AND($A271="",$B271=""),"",IF($K271="Point",N($L271),IF(N($N271)&gt;0,N($N271),N($L271))))</f>
        <v/>
      </c>
      <c r="AC271" s="22">
        <f>IF(AND($A271="",$B271=""),"",MIN(AB271,IF(N($J271)=0,0,IF(N($J271)=2,AB271,IF(AND($K271&lt;&gt;"Point",N($O271)&gt;0),N($O271),N($M271))))))</f>
        <v/>
      </c>
      <c r="AD271" s="22">
        <f>IF(AND($A271="",$B271=""),"",MAX(0,AB271-AC271))</f>
        <v/>
      </c>
      <c r="AE271" s="21">
        <f>IF(AND($A271="",$B271=""),"",IF(OR($R271&lt;&gt;"",$S271&lt;&gt;""),1,0))</f>
        <v/>
      </c>
      <c r="AF271" s="22">
        <f>IF(AND($A271="",$B271=""),"",IF(Z271=1,IF(AE271=1,N($R271),AD271),0))</f>
        <v/>
      </c>
      <c r="AG271" s="22">
        <f>IF(AND($A271="",$B271=""),"",IF(Z271=1,IF(AE271=1,N($S271),AC271),0))</f>
        <v/>
      </c>
      <c r="AH271" s="21">
        <f>IF(AND($A271="",$B271=""),"",IF(AND(ISNUMBER($I271),N($I271)&gt;0),$I271,0))</f>
        <v/>
      </c>
      <c r="AI271" s="23">
        <f>IF(AND(NOT(AND($A271="",$B271="")),$K271="Point",N($L271)&gt;0),SQRT(N($L271)/PI()),"")</f>
        <v/>
      </c>
      <c r="AJ271" s="21">
        <f>IF(AND($A271="",$B271=""),"",IFERROR(VLOOKUP($G271,Lists!$D$4:$E$15,2,FALSE),"Not reported"))</f>
        <v/>
      </c>
      <c r="AK271" s="21">
        <f>IF(AND($A271="",$B271=""),"",IF($X271&lt;&gt;"",$X271,IF($T271&lt;&gt;"Y","Not assessed",IF(AND(ISNUMBER($V271),Setup!$B$6-$V271&gt;Setup!$B$26),"Assessment outdated",IF(NOT(ISNUMBER($W271)),"Assessed – no score",IF($W271&gt;=Setup!$B$24,"High",IF($W271&gt;=Setup!$B$25,"Moderate","Low")))))))</f>
        <v/>
      </c>
      <c r="AL271" s="21">
        <f>IF(AND($A271="",$B271=""),"",IF(Z271=0,"",IF(AND(AE271=1,N($R271)&gt;AD271*1.01+0.001),"Net terrestrial &gt; gross; ","")&amp;IF(AND(AE271=1,N($S271)&gt;AC271*1.01+0.001),"Net marine &gt; gross; ","")&amp;IF(AE271=0,"No net area – gross used, overlaps may be double-counted; ","")&amp;IF(AH271=0,"STATUS_YR missing – imputed in time series; ","")&amp;IF(AND(ISNUMBER($I271),N($I271)&gt;Setup!$B$6),"STATUS_YR after reporting year; ","")&amp;IF(OR($G271="",$G271="Not Reported"),"GOV_TYPE not reported; ","")&amp;IF(AND(N($J271)=1,$K271="Point",N($M271)&lt;=0),"Coastal point without REP_M_AREA – land/sea split unknown; ","")&amp;IF(AND(N($J271)=0,N($S271)&gt;0),"MARINE=0 but net marine &gt;0; ","")&amp;IF(AND(N($J271)=2,N($R271)&gt;0),"MARINE=2 but net terrestrial &gt;0; ","")&amp;IF($K271="Point","Buffered point – coverage approximate; ","")))</f>
        <v/>
      </c>
    </row>
    <row r="272">
      <c r="A272" s="19" t="n"/>
      <c r="B272" s="19" t="n"/>
      <c r="C272" s="19" t="n"/>
      <c r="D272" s="19" t="n"/>
      <c r="E272" s="19" t="n"/>
      <c r="F272" s="19" t="n"/>
      <c r="G272" s="19" t="n"/>
      <c r="H272" s="19" t="n"/>
      <c r="I272" s="19" t="n"/>
      <c r="J272" s="19" t="n"/>
      <c r="K272" s="19" t="n"/>
      <c r="L272" s="20" t="n"/>
      <c r="M272" s="20" t="n"/>
      <c r="N272" s="20" t="n"/>
      <c r="O272" s="20" t="n"/>
      <c r="P272" s="19" t="n"/>
      <c r="Q272" s="19" t="n"/>
      <c r="R272" s="20" t="n"/>
      <c r="S272" s="20" t="n"/>
      <c r="T272" s="19" t="n"/>
      <c r="U272" s="19" t="n"/>
      <c r="V272" s="19" t="n"/>
      <c r="W272" s="19" t="n"/>
      <c r="X272" s="19" t="n"/>
      <c r="Y272" s="19" t="n"/>
      <c r="Z272" s="21">
        <f>IF(AND($A272="",$B272=""),"",IF(OR($E272="",$H272="",$H272="Proposed",$H272="Not Reported"),0,IF(AND($P272="Y",$Q272&lt;&gt;"Y"),0,IF(AND($K272="Point",N($L272)&lt;=0),0,IF(AND(N($L272)&lt;=0,N($N272)&lt;=0,N($R272)+N($S272)&lt;=0),0,1)))))</f>
        <v/>
      </c>
      <c r="AA272" s="21">
        <f>IF(AND($A272="",$B272=""),"",IF($E272="","Site type missing",IF($H272="","STATUS missing",IF($H272="Proposed","STATUS = Proposed",IF($H272="Not Reported","STATUS = Not Reported",IF(AND($P272="Y",$Q272&lt;&gt;"Y"),"UNESCO-MAB Biosphere Reserve",IF(AND($K272="Point",N($L272)&lt;=0),"Point without REP_AREA",IF(AND(N($L272)&lt;=0,N($N272)&lt;=0,N($R272)+N($S272)&lt;=0),"No area information",""))))))))</f>
        <v/>
      </c>
      <c r="AB272" s="22">
        <f>IF(AND($A272="",$B272=""),"",IF($K272="Point",N($L272),IF(N($N272)&gt;0,N($N272),N($L272))))</f>
        <v/>
      </c>
      <c r="AC272" s="22">
        <f>IF(AND($A272="",$B272=""),"",MIN(AB272,IF(N($J272)=0,0,IF(N($J272)=2,AB272,IF(AND($K272&lt;&gt;"Point",N($O272)&gt;0),N($O272),N($M272))))))</f>
        <v/>
      </c>
      <c r="AD272" s="22">
        <f>IF(AND($A272="",$B272=""),"",MAX(0,AB272-AC272))</f>
        <v/>
      </c>
      <c r="AE272" s="21">
        <f>IF(AND($A272="",$B272=""),"",IF(OR($R272&lt;&gt;"",$S272&lt;&gt;""),1,0))</f>
        <v/>
      </c>
      <c r="AF272" s="22">
        <f>IF(AND($A272="",$B272=""),"",IF(Z272=1,IF(AE272=1,N($R272),AD272),0))</f>
        <v/>
      </c>
      <c r="AG272" s="22">
        <f>IF(AND($A272="",$B272=""),"",IF(Z272=1,IF(AE272=1,N($S272),AC272),0))</f>
        <v/>
      </c>
      <c r="AH272" s="21">
        <f>IF(AND($A272="",$B272=""),"",IF(AND(ISNUMBER($I272),N($I272)&gt;0),$I272,0))</f>
        <v/>
      </c>
      <c r="AI272" s="23">
        <f>IF(AND(NOT(AND($A272="",$B272="")),$K272="Point",N($L272)&gt;0),SQRT(N($L272)/PI()),"")</f>
        <v/>
      </c>
      <c r="AJ272" s="21">
        <f>IF(AND($A272="",$B272=""),"",IFERROR(VLOOKUP($G272,Lists!$D$4:$E$15,2,FALSE),"Not reported"))</f>
        <v/>
      </c>
      <c r="AK272" s="21">
        <f>IF(AND($A272="",$B272=""),"",IF($X272&lt;&gt;"",$X272,IF($T272&lt;&gt;"Y","Not assessed",IF(AND(ISNUMBER($V272),Setup!$B$6-$V272&gt;Setup!$B$26),"Assessment outdated",IF(NOT(ISNUMBER($W272)),"Assessed – no score",IF($W272&gt;=Setup!$B$24,"High",IF($W272&gt;=Setup!$B$25,"Moderate","Low")))))))</f>
        <v/>
      </c>
      <c r="AL272" s="21">
        <f>IF(AND($A272="",$B272=""),"",IF(Z272=0,"",IF(AND(AE272=1,N($R272)&gt;AD272*1.01+0.001),"Net terrestrial &gt; gross; ","")&amp;IF(AND(AE272=1,N($S272)&gt;AC272*1.01+0.001),"Net marine &gt; gross; ","")&amp;IF(AE272=0,"No net area – gross used, overlaps may be double-counted; ","")&amp;IF(AH272=0,"STATUS_YR missing – imputed in time series; ","")&amp;IF(AND(ISNUMBER($I272),N($I272)&gt;Setup!$B$6),"STATUS_YR after reporting year; ","")&amp;IF(OR($G272="",$G272="Not Reported"),"GOV_TYPE not reported; ","")&amp;IF(AND(N($J272)=1,$K272="Point",N($M272)&lt;=0),"Coastal point without REP_M_AREA – land/sea split unknown; ","")&amp;IF(AND(N($J272)=0,N($S272)&gt;0),"MARINE=0 but net marine &gt;0; ","")&amp;IF(AND(N($J272)=2,N($R272)&gt;0),"MARINE=2 but net terrestrial &gt;0; ","")&amp;IF($K272="Point","Buffered point – coverage approximate; ","")))</f>
        <v/>
      </c>
    </row>
    <row r="273">
      <c r="A273" s="19" t="n"/>
      <c r="B273" s="19" t="n"/>
      <c r="C273" s="19" t="n"/>
      <c r="D273" s="19" t="n"/>
      <c r="E273" s="19" t="n"/>
      <c r="F273" s="19" t="n"/>
      <c r="G273" s="19" t="n"/>
      <c r="H273" s="19" t="n"/>
      <c r="I273" s="19" t="n"/>
      <c r="J273" s="19" t="n"/>
      <c r="K273" s="19" t="n"/>
      <c r="L273" s="20" t="n"/>
      <c r="M273" s="20" t="n"/>
      <c r="N273" s="20" t="n"/>
      <c r="O273" s="20" t="n"/>
      <c r="P273" s="19" t="n"/>
      <c r="Q273" s="19" t="n"/>
      <c r="R273" s="20" t="n"/>
      <c r="S273" s="20" t="n"/>
      <c r="T273" s="19" t="n"/>
      <c r="U273" s="19" t="n"/>
      <c r="V273" s="19" t="n"/>
      <c r="W273" s="19" t="n"/>
      <c r="X273" s="19" t="n"/>
      <c r="Y273" s="19" t="n"/>
      <c r="Z273" s="21">
        <f>IF(AND($A273="",$B273=""),"",IF(OR($E273="",$H273="",$H273="Proposed",$H273="Not Reported"),0,IF(AND($P273="Y",$Q273&lt;&gt;"Y"),0,IF(AND($K273="Point",N($L273)&lt;=0),0,IF(AND(N($L273)&lt;=0,N($N273)&lt;=0,N($R273)+N($S273)&lt;=0),0,1)))))</f>
        <v/>
      </c>
      <c r="AA273" s="21">
        <f>IF(AND($A273="",$B273=""),"",IF($E273="","Site type missing",IF($H273="","STATUS missing",IF($H273="Proposed","STATUS = Proposed",IF($H273="Not Reported","STATUS = Not Reported",IF(AND($P273="Y",$Q273&lt;&gt;"Y"),"UNESCO-MAB Biosphere Reserve",IF(AND($K273="Point",N($L273)&lt;=0),"Point without REP_AREA",IF(AND(N($L273)&lt;=0,N($N273)&lt;=0,N($R273)+N($S273)&lt;=0),"No area information",""))))))))</f>
        <v/>
      </c>
      <c r="AB273" s="22">
        <f>IF(AND($A273="",$B273=""),"",IF($K273="Point",N($L273),IF(N($N273)&gt;0,N($N273),N($L273))))</f>
        <v/>
      </c>
      <c r="AC273" s="22">
        <f>IF(AND($A273="",$B273=""),"",MIN(AB273,IF(N($J273)=0,0,IF(N($J273)=2,AB273,IF(AND($K273&lt;&gt;"Point",N($O273)&gt;0),N($O273),N($M273))))))</f>
        <v/>
      </c>
      <c r="AD273" s="22">
        <f>IF(AND($A273="",$B273=""),"",MAX(0,AB273-AC273))</f>
        <v/>
      </c>
      <c r="AE273" s="21">
        <f>IF(AND($A273="",$B273=""),"",IF(OR($R273&lt;&gt;"",$S273&lt;&gt;""),1,0))</f>
        <v/>
      </c>
      <c r="AF273" s="22">
        <f>IF(AND($A273="",$B273=""),"",IF(Z273=1,IF(AE273=1,N($R273),AD273),0))</f>
        <v/>
      </c>
      <c r="AG273" s="22">
        <f>IF(AND($A273="",$B273=""),"",IF(Z273=1,IF(AE273=1,N($S273),AC273),0))</f>
        <v/>
      </c>
      <c r="AH273" s="21">
        <f>IF(AND($A273="",$B273=""),"",IF(AND(ISNUMBER($I273),N($I273)&gt;0),$I273,0))</f>
        <v/>
      </c>
      <c r="AI273" s="23">
        <f>IF(AND(NOT(AND($A273="",$B273="")),$K273="Point",N($L273)&gt;0),SQRT(N($L273)/PI()),"")</f>
        <v/>
      </c>
      <c r="AJ273" s="21">
        <f>IF(AND($A273="",$B273=""),"",IFERROR(VLOOKUP($G273,Lists!$D$4:$E$15,2,FALSE),"Not reported"))</f>
        <v/>
      </c>
      <c r="AK273" s="21">
        <f>IF(AND($A273="",$B273=""),"",IF($X273&lt;&gt;"",$X273,IF($T273&lt;&gt;"Y","Not assessed",IF(AND(ISNUMBER($V273),Setup!$B$6-$V273&gt;Setup!$B$26),"Assessment outdated",IF(NOT(ISNUMBER($W273)),"Assessed – no score",IF($W273&gt;=Setup!$B$24,"High",IF($W273&gt;=Setup!$B$25,"Moderate","Low")))))))</f>
        <v/>
      </c>
      <c r="AL273" s="21">
        <f>IF(AND($A273="",$B273=""),"",IF(Z273=0,"",IF(AND(AE273=1,N($R273)&gt;AD273*1.01+0.001),"Net terrestrial &gt; gross; ","")&amp;IF(AND(AE273=1,N($S273)&gt;AC273*1.01+0.001),"Net marine &gt; gross; ","")&amp;IF(AE273=0,"No net area – gross used, overlaps may be double-counted; ","")&amp;IF(AH273=0,"STATUS_YR missing – imputed in time series; ","")&amp;IF(AND(ISNUMBER($I273),N($I273)&gt;Setup!$B$6),"STATUS_YR after reporting year; ","")&amp;IF(OR($G273="",$G273="Not Reported"),"GOV_TYPE not reported; ","")&amp;IF(AND(N($J273)=1,$K273="Point",N($M273)&lt;=0),"Coastal point without REP_M_AREA – land/sea split unknown; ","")&amp;IF(AND(N($J273)=0,N($S273)&gt;0),"MARINE=0 but net marine &gt;0; ","")&amp;IF(AND(N($J273)=2,N($R273)&gt;0),"MARINE=2 but net terrestrial &gt;0; ","")&amp;IF($K273="Point","Buffered point – coverage approximate; ","")))</f>
        <v/>
      </c>
    </row>
    <row r="274">
      <c r="A274" s="19" t="n"/>
      <c r="B274" s="19" t="n"/>
      <c r="C274" s="19" t="n"/>
      <c r="D274" s="19" t="n"/>
      <c r="E274" s="19" t="n"/>
      <c r="F274" s="19" t="n"/>
      <c r="G274" s="19" t="n"/>
      <c r="H274" s="19" t="n"/>
      <c r="I274" s="19" t="n"/>
      <c r="J274" s="19" t="n"/>
      <c r="K274" s="19" t="n"/>
      <c r="L274" s="20" t="n"/>
      <c r="M274" s="20" t="n"/>
      <c r="N274" s="20" t="n"/>
      <c r="O274" s="20" t="n"/>
      <c r="P274" s="19" t="n"/>
      <c r="Q274" s="19" t="n"/>
      <c r="R274" s="20" t="n"/>
      <c r="S274" s="20" t="n"/>
      <c r="T274" s="19" t="n"/>
      <c r="U274" s="19" t="n"/>
      <c r="V274" s="19" t="n"/>
      <c r="W274" s="19" t="n"/>
      <c r="X274" s="19" t="n"/>
      <c r="Y274" s="19" t="n"/>
      <c r="Z274" s="21">
        <f>IF(AND($A274="",$B274=""),"",IF(OR($E274="",$H274="",$H274="Proposed",$H274="Not Reported"),0,IF(AND($P274="Y",$Q274&lt;&gt;"Y"),0,IF(AND($K274="Point",N($L274)&lt;=0),0,IF(AND(N($L274)&lt;=0,N($N274)&lt;=0,N($R274)+N($S274)&lt;=0),0,1)))))</f>
        <v/>
      </c>
      <c r="AA274" s="21">
        <f>IF(AND($A274="",$B274=""),"",IF($E274="","Site type missing",IF($H274="","STATUS missing",IF($H274="Proposed","STATUS = Proposed",IF($H274="Not Reported","STATUS = Not Reported",IF(AND($P274="Y",$Q274&lt;&gt;"Y"),"UNESCO-MAB Biosphere Reserve",IF(AND($K274="Point",N($L274)&lt;=0),"Point without REP_AREA",IF(AND(N($L274)&lt;=0,N($N274)&lt;=0,N($R274)+N($S274)&lt;=0),"No area information",""))))))))</f>
        <v/>
      </c>
      <c r="AB274" s="22">
        <f>IF(AND($A274="",$B274=""),"",IF($K274="Point",N($L274),IF(N($N274)&gt;0,N($N274),N($L274))))</f>
        <v/>
      </c>
      <c r="AC274" s="22">
        <f>IF(AND($A274="",$B274=""),"",MIN(AB274,IF(N($J274)=0,0,IF(N($J274)=2,AB274,IF(AND($K274&lt;&gt;"Point",N($O274)&gt;0),N($O274),N($M274))))))</f>
        <v/>
      </c>
      <c r="AD274" s="22">
        <f>IF(AND($A274="",$B274=""),"",MAX(0,AB274-AC274))</f>
        <v/>
      </c>
      <c r="AE274" s="21">
        <f>IF(AND($A274="",$B274=""),"",IF(OR($R274&lt;&gt;"",$S274&lt;&gt;""),1,0))</f>
        <v/>
      </c>
      <c r="AF274" s="22">
        <f>IF(AND($A274="",$B274=""),"",IF(Z274=1,IF(AE274=1,N($R274),AD274),0))</f>
        <v/>
      </c>
      <c r="AG274" s="22">
        <f>IF(AND($A274="",$B274=""),"",IF(Z274=1,IF(AE274=1,N($S274),AC274),0))</f>
        <v/>
      </c>
      <c r="AH274" s="21">
        <f>IF(AND($A274="",$B274=""),"",IF(AND(ISNUMBER($I274),N($I274)&gt;0),$I274,0))</f>
        <v/>
      </c>
      <c r="AI274" s="23">
        <f>IF(AND(NOT(AND($A274="",$B274="")),$K274="Point",N($L274)&gt;0),SQRT(N($L274)/PI()),"")</f>
        <v/>
      </c>
      <c r="AJ274" s="21">
        <f>IF(AND($A274="",$B274=""),"",IFERROR(VLOOKUP($G274,Lists!$D$4:$E$15,2,FALSE),"Not reported"))</f>
        <v/>
      </c>
      <c r="AK274" s="21">
        <f>IF(AND($A274="",$B274=""),"",IF($X274&lt;&gt;"",$X274,IF($T274&lt;&gt;"Y","Not assessed",IF(AND(ISNUMBER($V274),Setup!$B$6-$V274&gt;Setup!$B$26),"Assessment outdated",IF(NOT(ISNUMBER($W274)),"Assessed – no score",IF($W274&gt;=Setup!$B$24,"High",IF($W274&gt;=Setup!$B$25,"Moderate","Low")))))))</f>
        <v/>
      </c>
      <c r="AL274" s="21">
        <f>IF(AND($A274="",$B274=""),"",IF(Z274=0,"",IF(AND(AE274=1,N($R274)&gt;AD274*1.01+0.001),"Net terrestrial &gt; gross; ","")&amp;IF(AND(AE274=1,N($S274)&gt;AC274*1.01+0.001),"Net marine &gt; gross; ","")&amp;IF(AE274=0,"No net area – gross used, overlaps may be double-counted; ","")&amp;IF(AH274=0,"STATUS_YR missing – imputed in time series; ","")&amp;IF(AND(ISNUMBER($I274),N($I274)&gt;Setup!$B$6),"STATUS_YR after reporting year; ","")&amp;IF(OR($G274="",$G274="Not Reported"),"GOV_TYPE not reported; ","")&amp;IF(AND(N($J274)=1,$K274="Point",N($M274)&lt;=0),"Coastal point without REP_M_AREA – land/sea split unknown; ","")&amp;IF(AND(N($J274)=0,N($S274)&gt;0),"MARINE=0 but net marine &gt;0; ","")&amp;IF(AND(N($J274)=2,N($R274)&gt;0),"MARINE=2 but net terrestrial &gt;0; ","")&amp;IF($K274="Point","Buffered point – coverage approximate; ","")))</f>
        <v/>
      </c>
    </row>
    <row r="275">
      <c r="A275" s="19" t="n"/>
      <c r="B275" s="19" t="n"/>
      <c r="C275" s="19" t="n"/>
      <c r="D275" s="19" t="n"/>
      <c r="E275" s="19" t="n"/>
      <c r="F275" s="19" t="n"/>
      <c r="G275" s="19" t="n"/>
      <c r="H275" s="19" t="n"/>
      <c r="I275" s="19" t="n"/>
      <c r="J275" s="19" t="n"/>
      <c r="K275" s="19" t="n"/>
      <c r="L275" s="20" t="n"/>
      <c r="M275" s="20" t="n"/>
      <c r="N275" s="20" t="n"/>
      <c r="O275" s="20" t="n"/>
      <c r="P275" s="19" t="n"/>
      <c r="Q275" s="19" t="n"/>
      <c r="R275" s="20" t="n"/>
      <c r="S275" s="20" t="n"/>
      <c r="T275" s="19" t="n"/>
      <c r="U275" s="19" t="n"/>
      <c r="V275" s="19" t="n"/>
      <c r="W275" s="19" t="n"/>
      <c r="X275" s="19" t="n"/>
      <c r="Y275" s="19" t="n"/>
      <c r="Z275" s="21">
        <f>IF(AND($A275="",$B275=""),"",IF(OR($E275="",$H275="",$H275="Proposed",$H275="Not Reported"),0,IF(AND($P275="Y",$Q275&lt;&gt;"Y"),0,IF(AND($K275="Point",N($L275)&lt;=0),0,IF(AND(N($L275)&lt;=0,N($N275)&lt;=0,N($R275)+N($S275)&lt;=0),0,1)))))</f>
        <v/>
      </c>
      <c r="AA275" s="21">
        <f>IF(AND($A275="",$B275=""),"",IF($E275="","Site type missing",IF($H275="","STATUS missing",IF($H275="Proposed","STATUS = Proposed",IF($H275="Not Reported","STATUS = Not Reported",IF(AND($P275="Y",$Q275&lt;&gt;"Y"),"UNESCO-MAB Biosphere Reserve",IF(AND($K275="Point",N($L275)&lt;=0),"Point without REP_AREA",IF(AND(N($L275)&lt;=0,N($N275)&lt;=0,N($R275)+N($S275)&lt;=0),"No area information",""))))))))</f>
        <v/>
      </c>
      <c r="AB275" s="22">
        <f>IF(AND($A275="",$B275=""),"",IF($K275="Point",N($L275),IF(N($N275)&gt;0,N($N275),N($L275))))</f>
        <v/>
      </c>
      <c r="AC275" s="22">
        <f>IF(AND($A275="",$B275=""),"",MIN(AB275,IF(N($J275)=0,0,IF(N($J275)=2,AB275,IF(AND($K275&lt;&gt;"Point",N($O275)&gt;0),N($O275),N($M275))))))</f>
        <v/>
      </c>
      <c r="AD275" s="22">
        <f>IF(AND($A275="",$B275=""),"",MAX(0,AB275-AC275))</f>
        <v/>
      </c>
      <c r="AE275" s="21">
        <f>IF(AND($A275="",$B275=""),"",IF(OR($R275&lt;&gt;"",$S275&lt;&gt;""),1,0))</f>
        <v/>
      </c>
      <c r="AF275" s="22">
        <f>IF(AND($A275="",$B275=""),"",IF(Z275=1,IF(AE275=1,N($R275),AD275),0))</f>
        <v/>
      </c>
      <c r="AG275" s="22">
        <f>IF(AND($A275="",$B275=""),"",IF(Z275=1,IF(AE275=1,N($S275),AC275),0))</f>
        <v/>
      </c>
      <c r="AH275" s="21">
        <f>IF(AND($A275="",$B275=""),"",IF(AND(ISNUMBER($I275),N($I275)&gt;0),$I275,0))</f>
        <v/>
      </c>
      <c r="AI275" s="23">
        <f>IF(AND(NOT(AND($A275="",$B275="")),$K275="Point",N($L275)&gt;0),SQRT(N($L275)/PI()),"")</f>
        <v/>
      </c>
      <c r="AJ275" s="21">
        <f>IF(AND($A275="",$B275=""),"",IFERROR(VLOOKUP($G275,Lists!$D$4:$E$15,2,FALSE),"Not reported"))</f>
        <v/>
      </c>
      <c r="AK275" s="21">
        <f>IF(AND($A275="",$B275=""),"",IF($X275&lt;&gt;"",$X275,IF($T275&lt;&gt;"Y","Not assessed",IF(AND(ISNUMBER($V275),Setup!$B$6-$V275&gt;Setup!$B$26),"Assessment outdated",IF(NOT(ISNUMBER($W275)),"Assessed – no score",IF($W275&gt;=Setup!$B$24,"High",IF($W275&gt;=Setup!$B$25,"Moderate","Low")))))))</f>
        <v/>
      </c>
      <c r="AL275" s="21">
        <f>IF(AND($A275="",$B275=""),"",IF(Z275=0,"",IF(AND(AE275=1,N($R275)&gt;AD275*1.01+0.001),"Net terrestrial &gt; gross; ","")&amp;IF(AND(AE275=1,N($S275)&gt;AC275*1.01+0.001),"Net marine &gt; gross; ","")&amp;IF(AE275=0,"No net area – gross used, overlaps may be double-counted; ","")&amp;IF(AH275=0,"STATUS_YR missing – imputed in time series; ","")&amp;IF(AND(ISNUMBER($I275),N($I275)&gt;Setup!$B$6),"STATUS_YR after reporting year; ","")&amp;IF(OR($G275="",$G275="Not Reported"),"GOV_TYPE not reported; ","")&amp;IF(AND(N($J275)=1,$K275="Point",N($M275)&lt;=0),"Coastal point without REP_M_AREA – land/sea split unknown; ","")&amp;IF(AND(N($J275)=0,N($S275)&gt;0),"MARINE=0 but net marine &gt;0; ","")&amp;IF(AND(N($J275)=2,N($R275)&gt;0),"MARINE=2 but net terrestrial &gt;0; ","")&amp;IF($K275="Point","Buffered point – coverage approximate; ","")))</f>
        <v/>
      </c>
    </row>
    <row r="276">
      <c r="A276" s="19" t="n"/>
      <c r="B276" s="19" t="n"/>
      <c r="C276" s="19" t="n"/>
      <c r="D276" s="19" t="n"/>
      <c r="E276" s="19" t="n"/>
      <c r="F276" s="19" t="n"/>
      <c r="G276" s="19" t="n"/>
      <c r="H276" s="19" t="n"/>
      <c r="I276" s="19" t="n"/>
      <c r="J276" s="19" t="n"/>
      <c r="K276" s="19" t="n"/>
      <c r="L276" s="20" t="n"/>
      <c r="M276" s="20" t="n"/>
      <c r="N276" s="20" t="n"/>
      <c r="O276" s="20" t="n"/>
      <c r="P276" s="19" t="n"/>
      <c r="Q276" s="19" t="n"/>
      <c r="R276" s="20" t="n"/>
      <c r="S276" s="20" t="n"/>
      <c r="T276" s="19" t="n"/>
      <c r="U276" s="19" t="n"/>
      <c r="V276" s="19" t="n"/>
      <c r="W276" s="19" t="n"/>
      <c r="X276" s="19" t="n"/>
      <c r="Y276" s="19" t="n"/>
      <c r="Z276" s="21">
        <f>IF(AND($A276="",$B276=""),"",IF(OR($E276="",$H276="",$H276="Proposed",$H276="Not Reported"),0,IF(AND($P276="Y",$Q276&lt;&gt;"Y"),0,IF(AND($K276="Point",N($L276)&lt;=0),0,IF(AND(N($L276)&lt;=0,N($N276)&lt;=0,N($R276)+N($S276)&lt;=0),0,1)))))</f>
        <v/>
      </c>
      <c r="AA276" s="21">
        <f>IF(AND($A276="",$B276=""),"",IF($E276="","Site type missing",IF($H276="","STATUS missing",IF($H276="Proposed","STATUS = Proposed",IF($H276="Not Reported","STATUS = Not Reported",IF(AND($P276="Y",$Q276&lt;&gt;"Y"),"UNESCO-MAB Biosphere Reserve",IF(AND($K276="Point",N($L276)&lt;=0),"Point without REP_AREA",IF(AND(N($L276)&lt;=0,N($N276)&lt;=0,N($R276)+N($S276)&lt;=0),"No area information",""))))))))</f>
        <v/>
      </c>
      <c r="AB276" s="22">
        <f>IF(AND($A276="",$B276=""),"",IF($K276="Point",N($L276),IF(N($N276)&gt;0,N($N276),N($L276))))</f>
        <v/>
      </c>
      <c r="AC276" s="22">
        <f>IF(AND($A276="",$B276=""),"",MIN(AB276,IF(N($J276)=0,0,IF(N($J276)=2,AB276,IF(AND($K276&lt;&gt;"Point",N($O276)&gt;0),N($O276),N($M276))))))</f>
        <v/>
      </c>
      <c r="AD276" s="22">
        <f>IF(AND($A276="",$B276=""),"",MAX(0,AB276-AC276))</f>
        <v/>
      </c>
      <c r="AE276" s="21">
        <f>IF(AND($A276="",$B276=""),"",IF(OR($R276&lt;&gt;"",$S276&lt;&gt;""),1,0))</f>
        <v/>
      </c>
      <c r="AF276" s="22">
        <f>IF(AND($A276="",$B276=""),"",IF(Z276=1,IF(AE276=1,N($R276),AD276),0))</f>
        <v/>
      </c>
      <c r="AG276" s="22">
        <f>IF(AND($A276="",$B276=""),"",IF(Z276=1,IF(AE276=1,N($S276),AC276),0))</f>
        <v/>
      </c>
      <c r="AH276" s="21">
        <f>IF(AND($A276="",$B276=""),"",IF(AND(ISNUMBER($I276),N($I276)&gt;0),$I276,0))</f>
        <v/>
      </c>
      <c r="AI276" s="23">
        <f>IF(AND(NOT(AND($A276="",$B276="")),$K276="Point",N($L276)&gt;0),SQRT(N($L276)/PI()),"")</f>
        <v/>
      </c>
      <c r="AJ276" s="21">
        <f>IF(AND($A276="",$B276=""),"",IFERROR(VLOOKUP($G276,Lists!$D$4:$E$15,2,FALSE),"Not reported"))</f>
        <v/>
      </c>
      <c r="AK276" s="21">
        <f>IF(AND($A276="",$B276=""),"",IF($X276&lt;&gt;"",$X276,IF($T276&lt;&gt;"Y","Not assessed",IF(AND(ISNUMBER($V276),Setup!$B$6-$V276&gt;Setup!$B$26),"Assessment outdated",IF(NOT(ISNUMBER($W276)),"Assessed – no score",IF($W276&gt;=Setup!$B$24,"High",IF($W276&gt;=Setup!$B$25,"Moderate","Low")))))))</f>
        <v/>
      </c>
      <c r="AL276" s="21">
        <f>IF(AND($A276="",$B276=""),"",IF(Z276=0,"",IF(AND(AE276=1,N($R276)&gt;AD276*1.01+0.001),"Net terrestrial &gt; gross; ","")&amp;IF(AND(AE276=1,N($S276)&gt;AC276*1.01+0.001),"Net marine &gt; gross; ","")&amp;IF(AE276=0,"No net area – gross used, overlaps may be double-counted; ","")&amp;IF(AH276=0,"STATUS_YR missing – imputed in time series; ","")&amp;IF(AND(ISNUMBER($I276),N($I276)&gt;Setup!$B$6),"STATUS_YR after reporting year; ","")&amp;IF(OR($G276="",$G276="Not Reported"),"GOV_TYPE not reported; ","")&amp;IF(AND(N($J276)=1,$K276="Point",N($M276)&lt;=0),"Coastal point without REP_M_AREA – land/sea split unknown; ","")&amp;IF(AND(N($J276)=0,N($S276)&gt;0),"MARINE=0 but net marine &gt;0; ","")&amp;IF(AND(N($J276)=2,N($R276)&gt;0),"MARINE=2 but net terrestrial &gt;0; ","")&amp;IF($K276="Point","Buffered point – coverage approximate; ","")))</f>
        <v/>
      </c>
    </row>
    <row r="277">
      <c r="A277" s="19" t="n"/>
      <c r="B277" s="19" t="n"/>
      <c r="C277" s="19" t="n"/>
      <c r="D277" s="19" t="n"/>
      <c r="E277" s="19" t="n"/>
      <c r="F277" s="19" t="n"/>
      <c r="G277" s="19" t="n"/>
      <c r="H277" s="19" t="n"/>
      <c r="I277" s="19" t="n"/>
      <c r="J277" s="19" t="n"/>
      <c r="K277" s="19" t="n"/>
      <c r="L277" s="20" t="n"/>
      <c r="M277" s="20" t="n"/>
      <c r="N277" s="20" t="n"/>
      <c r="O277" s="20" t="n"/>
      <c r="P277" s="19" t="n"/>
      <c r="Q277" s="19" t="n"/>
      <c r="R277" s="20" t="n"/>
      <c r="S277" s="20" t="n"/>
      <c r="T277" s="19" t="n"/>
      <c r="U277" s="19" t="n"/>
      <c r="V277" s="19" t="n"/>
      <c r="W277" s="19" t="n"/>
      <c r="X277" s="19" t="n"/>
      <c r="Y277" s="19" t="n"/>
      <c r="Z277" s="21">
        <f>IF(AND($A277="",$B277=""),"",IF(OR($E277="",$H277="",$H277="Proposed",$H277="Not Reported"),0,IF(AND($P277="Y",$Q277&lt;&gt;"Y"),0,IF(AND($K277="Point",N($L277)&lt;=0),0,IF(AND(N($L277)&lt;=0,N($N277)&lt;=0,N($R277)+N($S277)&lt;=0),0,1)))))</f>
        <v/>
      </c>
      <c r="AA277" s="21">
        <f>IF(AND($A277="",$B277=""),"",IF($E277="","Site type missing",IF($H277="","STATUS missing",IF($H277="Proposed","STATUS = Proposed",IF($H277="Not Reported","STATUS = Not Reported",IF(AND($P277="Y",$Q277&lt;&gt;"Y"),"UNESCO-MAB Biosphere Reserve",IF(AND($K277="Point",N($L277)&lt;=0),"Point without REP_AREA",IF(AND(N($L277)&lt;=0,N($N277)&lt;=0,N($R277)+N($S277)&lt;=0),"No area information",""))))))))</f>
        <v/>
      </c>
      <c r="AB277" s="22">
        <f>IF(AND($A277="",$B277=""),"",IF($K277="Point",N($L277),IF(N($N277)&gt;0,N($N277),N($L277))))</f>
        <v/>
      </c>
      <c r="AC277" s="22">
        <f>IF(AND($A277="",$B277=""),"",MIN(AB277,IF(N($J277)=0,0,IF(N($J277)=2,AB277,IF(AND($K277&lt;&gt;"Point",N($O277)&gt;0),N($O277),N($M277))))))</f>
        <v/>
      </c>
      <c r="AD277" s="22">
        <f>IF(AND($A277="",$B277=""),"",MAX(0,AB277-AC277))</f>
        <v/>
      </c>
      <c r="AE277" s="21">
        <f>IF(AND($A277="",$B277=""),"",IF(OR($R277&lt;&gt;"",$S277&lt;&gt;""),1,0))</f>
        <v/>
      </c>
      <c r="AF277" s="22">
        <f>IF(AND($A277="",$B277=""),"",IF(Z277=1,IF(AE277=1,N($R277),AD277),0))</f>
        <v/>
      </c>
      <c r="AG277" s="22">
        <f>IF(AND($A277="",$B277=""),"",IF(Z277=1,IF(AE277=1,N($S277),AC277),0))</f>
        <v/>
      </c>
      <c r="AH277" s="21">
        <f>IF(AND($A277="",$B277=""),"",IF(AND(ISNUMBER($I277),N($I277)&gt;0),$I277,0))</f>
        <v/>
      </c>
      <c r="AI277" s="23">
        <f>IF(AND(NOT(AND($A277="",$B277="")),$K277="Point",N($L277)&gt;0),SQRT(N($L277)/PI()),"")</f>
        <v/>
      </c>
      <c r="AJ277" s="21">
        <f>IF(AND($A277="",$B277=""),"",IFERROR(VLOOKUP($G277,Lists!$D$4:$E$15,2,FALSE),"Not reported"))</f>
        <v/>
      </c>
      <c r="AK277" s="21">
        <f>IF(AND($A277="",$B277=""),"",IF($X277&lt;&gt;"",$X277,IF($T277&lt;&gt;"Y","Not assessed",IF(AND(ISNUMBER($V277),Setup!$B$6-$V277&gt;Setup!$B$26),"Assessment outdated",IF(NOT(ISNUMBER($W277)),"Assessed – no score",IF($W277&gt;=Setup!$B$24,"High",IF($W277&gt;=Setup!$B$25,"Moderate","Low")))))))</f>
        <v/>
      </c>
      <c r="AL277" s="21">
        <f>IF(AND($A277="",$B277=""),"",IF(Z277=0,"",IF(AND(AE277=1,N($R277)&gt;AD277*1.01+0.001),"Net terrestrial &gt; gross; ","")&amp;IF(AND(AE277=1,N($S277)&gt;AC277*1.01+0.001),"Net marine &gt; gross; ","")&amp;IF(AE277=0,"No net area – gross used, overlaps may be double-counted; ","")&amp;IF(AH277=0,"STATUS_YR missing – imputed in time series; ","")&amp;IF(AND(ISNUMBER($I277),N($I277)&gt;Setup!$B$6),"STATUS_YR after reporting year; ","")&amp;IF(OR($G277="",$G277="Not Reported"),"GOV_TYPE not reported; ","")&amp;IF(AND(N($J277)=1,$K277="Point",N($M277)&lt;=0),"Coastal point without REP_M_AREA – land/sea split unknown; ","")&amp;IF(AND(N($J277)=0,N($S277)&gt;0),"MARINE=0 but net marine &gt;0; ","")&amp;IF(AND(N($J277)=2,N($R277)&gt;0),"MARINE=2 but net terrestrial &gt;0; ","")&amp;IF($K277="Point","Buffered point – coverage approximate; ","")))</f>
        <v/>
      </c>
    </row>
    <row r="278">
      <c r="A278" s="19" t="n"/>
      <c r="B278" s="19" t="n"/>
      <c r="C278" s="19" t="n"/>
      <c r="D278" s="19" t="n"/>
      <c r="E278" s="19" t="n"/>
      <c r="F278" s="19" t="n"/>
      <c r="G278" s="19" t="n"/>
      <c r="H278" s="19" t="n"/>
      <c r="I278" s="19" t="n"/>
      <c r="J278" s="19" t="n"/>
      <c r="K278" s="19" t="n"/>
      <c r="L278" s="20" t="n"/>
      <c r="M278" s="20" t="n"/>
      <c r="N278" s="20" t="n"/>
      <c r="O278" s="20" t="n"/>
      <c r="P278" s="19" t="n"/>
      <c r="Q278" s="19" t="n"/>
      <c r="R278" s="20" t="n"/>
      <c r="S278" s="20" t="n"/>
      <c r="T278" s="19" t="n"/>
      <c r="U278" s="19" t="n"/>
      <c r="V278" s="19" t="n"/>
      <c r="W278" s="19" t="n"/>
      <c r="X278" s="19" t="n"/>
      <c r="Y278" s="19" t="n"/>
      <c r="Z278" s="21">
        <f>IF(AND($A278="",$B278=""),"",IF(OR($E278="",$H278="",$H278="Proposed",$H278="Not Reported"),0,IF(AND($P278="Y",$Q278&lt;&gt;"Y"),0,IF(AND($K278="Point",N($L278)&lt;=0),0,IF(AND(N($L278)&lt;=0,N($N278)&lt;=0,N($R278)+N($S278)&lt;=0),0,1)))))</f>
        <v/>
      </c>
      <c r="AA278" s="21">
        <f>IF(AND($A278="",$B278=""),"",IF($E278="","Site type missing",IF($H278="","STATUS missing",IF($H278="Proposed","STATUS = Proposed",IF($H278="Not Reported","STATUS = Not Reported",IF(AND($P278="Y",$Q278&lt;&gt;"Y"),"UNESCO-MAB Biosphere Reserve",IF(AND($K278="Point",N($L278)&lt;=0),"Point without REP_AREA",IF(AND(N($L278)&lt;=0,N($N278)&lt;=0,N($R278)+N($S278)&lt;=0),"No area information",""))))))))</f>
        <v/>
      </c>
      <c r="AB278" s="22">
        <f>IF(AND($A278="",$B278=""),"",IF($K278="Point",N($L278),IF(N($N278)&gt;0,N($N278),N($L278))))</f>
        <v/>
      </c>
      <c r="AC278" s="22">
        <f>IF(AND($A278="",$B278=""),"",MIN(AB278,IF(N($J278)=0,0,IF(N($J278)=2,AB278,IF(AND($K278&lt;&gt;"Point",N($O278)&gt;0),N($O278),N($M278))))))</f>
        <v/>
      </c>
      <c r="AD278" s="22">
        <f>IF(AND($A278="",$B278=""),"",MAX(0,AB278-AC278))</f>
        <v/>
      </c>
      <c r="AE278" s="21">
        <f>IF(AND($A278="",$B278=""),"",IF(OR($R278&lt;&gt;"",$S278&lt;&gt;""),1,0))</f>
        <v/>
      </c>
      <c r="AF278" s="22">
        <f>IF(AND($A278="",$B278=""),"",IF(Z278=1,IF(AE278=1,N($R278),AD278),0))</f>
        <v/>
      </c>
      <c r="AG278" s="22">
        <f>IF(AND($A278="",$B278=""),"",IF(Z278=1,IF(AE278=1,N($S278),AC278),0))</f>
        <v/>
      </c>
      <c r="AH278" s="21">
        <f>IF(AND($A278="",$B278=""),"",IF(AND(ISNUMBER($I278),N($I278)&gt;0),$I278,0))</f>
        <v/>
      </c>
      <c r="AI278" s="23">
        <f>IF(AND(NOT(AND($A278="",$B278="")),$K278="Point",N($L278)&gt;0),SQRT(N($L278)/PI()),"")</f>
        <v/>
      </c>
      <c r="AJ278" s="21">
        <f>IF(AND($A278="",$B278=""),"",IFERROR(VLOOKUP($G278,Lists!$D$4:$E$15,2,FALSE),"Not reported"))</f>
        <v/>
      </c>
      <c r="AK278" s="21">
        <f>IF(AND($A278="",$B278=""),"",IF($X278&lt;&gt;"",$X278,IF($T278&lt;&gt;"Y","Not assessed",IF(AND(ISNUMBER($V278),Setup!$B$6-$V278&gt;Setup!$B$26),"Assessment outdated",IF(NOT(ISNUMBER($W278)),"Assessed – no score",IF($W278&gt;=Setup!$B$24,"High",IF($W278&gt;=Setup!$B$25,"Moderate","Low")))))))</f>
        <v/>
      </c>
      <c r="AL278" s="21">
        <f>IF(AND($A278="",$B278=""),"",IF(Z278=0,"",IF(AND(AE278=1,N($R278)&gt;AD278*1.01+0.001),"Net terrestrial &gt; gross; ","")&amp;IF(AND(AE278=1,N($S278)&gt;AC278*1.01+0.001),"Net marine &gt; gross; ","")&amp;IF(AE278=0,"No net area – gross used, overlaps may be double-counted; ","")&amp;IF(AH278=0,"STATUS_YR missing – imputed in time series; ","")&amp;IF(AND(ISNUMBER($I278),N($I278)&gt;Setup!$B$6),"STATUS_YR after reporting year; ","")&amp;IF(OR($G278="",$G278="Not Reported"),"GOV_TYPE not reported; ","")&amp;IF(AND(N($J278)=1,$K278="Point",N($M278)&lt;=0),"Coastal point without REP_M_AREA – land/sea split unknown; ","")&amp;IF(AND(N($J278)=0,N($S278)&gt;0),"MARINE=0 but net marine &gt;0; ","")&amp;IF(AND(N($J278)=2,N($R278)&gt;0),"MARINE=2 but net terrestrial &gt;0; ","")&amp;IF($K278="Point","Buffered point – coverage approximate; ","")))</f>
        <v/>
      </c>
    </row>
    <row r="279">
      <c r="A279" s="19" t="n"/>
      <c r="B279" s="19" t="n"/>
      <c r="C279" s="19" t="n"/>
      <c r="D279" s="19" t="n"/>
      <c r="E279" s="19" t="n"/>
      <c r="F279" s="19" t="n"/>
      <c r="G279" s="19" t="n"/>
      <c r="H279" s="19" t="n"/>
      <c r="I279" s="19" t="n"/>
      <c r="J279" s="19" t="n"/>
      <c r="K279" s="19" t="n"/>
      <c r="L279" s="20" t="n"/>
      <c r="M279" s="20" t="n"/>
      <c r="N279" s="20" t="n"/>
      <c r="O279" s="20" t="n"/>
      <c r="P279" s="19" t="n"/>
      <c r="Q279" s="19" t="n"/>
      <c r="R279" s="20" t="n"/>
      <c r="S279" s="20" t="n"/>
      <c r="T279" s="19" t="n"/>
      <c r="U279" s="19" t="n"/>
      <c r="V279" s="19" t="n"/>
      <c r="W279" s="19" t="n"/>
      <c r="X279" s="19" t="n"/>
      <c r="Y279" s="19" t="n"/>
      <c r="Z279" s="21">
        <f>IF(AND($A279="",$B279=""),"",IF(OR($E279="",$H279="",$H279="Proposed",$H279="Not Reported"),0,IF(AND($P279="Y",$Q279&lt;&gt;"Y"),0,IF(AND($K279="Point",N($L279)&lt;=0),0,IF(AND(N($L279)&lt;=0,N($N279)&lt;=0,N($R279)+N($S279)&lt;=0),0,1)))))</f>
        <v/>
      </c>
      <c r="AA279" s="21">
        <f>IF(AND($A279="",$B279=""),"",IF($E279="","Site type missing",IF($H279="","STATUS missing",IF($H279="Proposed","STATUS = Proposed",IF($H279="Not Reported","STATUS = Not Reported",IF(AND($P279="Y",$Q279&lt;&gt;"Y"),"UNESCO-MAB Biosphere Reserve",IF(AND($K279="Point",N($L279)&lt;=0),"Point without REP_AREA",IF(AND(N($L279)&lt;=0,N($N279)&lt;=0,N($R279)+N($S279)&lt;=0),"No area information",""))))))))</f>
        <v/>
      </c>
      <c r="AB279" s="22">
        <f>IF(AND($A279="",$B279=""),"",IF($K279="Point",N($L279),IF(N($N279)&gt;0,N($N279),N($L279))))</f>
        <v/>
      </c>
      <c r="AC279" s="22">
        <f>IF(AND($A279="",$B279=""),"",MIN(AB279,IF(N($J279)=0,0,IF(N($J279)=2,AB279,IF(AND($K279&lt;&gt;"Point",N($O279)&gt;0),N($O279),N($M279))))))</f>
        <v/>
      </c>
      <c r="AD279" s="22">
        <f>IF(AND($A279="",$B279=""),"",MAX(0,AB279-AC279))</f>
        <v/>
      </c>
      <c r="AE279" s="21">
        <f>IF(AND($A279="",$B279=""),"",IF(OR($R279&lt;&gt;"",$S279&lt;&gt;""),1,0))</f>
        <v/>
      </c>
      <c r="AF279" s="22">
        <f>IF(AND($A279="",$B279=""),"",IF(Z279=1,IF(AE279=1,N($R279),AD279),0))</f>
        <v/>
      </c>
      <c r="AG279" s="22">
        <f>IF(AND($A279="",$B279=""),"",IF(Z279=1,IF(AE279=1,N($S279),AC279),0))</f>
        <v/>
      </c>
      <c r="AH279" s="21">
        <f>IF(AND($A279="",$B279=""),"",IF(AND(ISNUMBER($I279),N($I279)&gt;0),$I279,0))</f>
        <v/>
      </c>
      <c r="AI279" s="23">
        <f>IF(AND(NOT(AND($A279="",$B279="")),$K279="Point",N($L279)&gt;0),SQRT(N($L279)/PI()),"")</f>
        <v/>
      </c>
      <c r="AJ279" s="21">
        <f>IF(AND($A279="",$B279=""),"",IFERROR(VLOOKUP($G279,Lists!$D$4:$E$15,2,FALSE),"Not reported"))</f>
        <v/>
      </c>
      <c r="AK279" s="21">
        <f>IF(AND($A279="",$B279=""),"",IF($X279&lt;&gt;"",$X279,IF($T279&lt;&gt;"Y","Not assessed",IF(AND(ISNUMBER($V279),Setup!$B$6-$V279&gt;Setup!$B$26),"Assessment outdated",IF(NOT(ISNUMBER($W279)),"Assessed – no score",IF($W279&gt;=Setup!$B$24,"High",IF($W279&gt;=Setup!$B$25,"Moderate","Low")))))))</f>
        <v/>
      </c>
      <c r="AL279" s="21">
        <f>IF(AND($A279="",$B279=""),"",IF(Z279=0,"",IF(AND(AE279=1,N($R279)&gt;AD279*1.01+0.001),"Net terrestrial &gt; gross; ","")&amp;IF(AND(AE279=1,N($S279)&gt;AC279*1.01+0.001),"Net marine &gt; gross; ","")&amp;IF(AE279=0,"No net area – gross used, overlaps may be double-counted; ","")&amp;IF(AH279=0,"STATUS_YR missing – imputed in time series; ","")&amp;IF(AND(ISNUMBER($I279),N($I279)&gt;Setup!$B$6),"STATUS_YR after reporting year; ","")&amp;IF(OR($G279="",$G279="Not Reported"),"GOV_TYPE not reported; ","")&amp;IF(AND(N($J279)=1,$K279="Point",N($M279)&lt;=0),"Coastal point without REP_M_AREA – land/sea split unknown; ","")&amp;IF(AND(N($J279)=0,N($S279)&gt;0),"MARINE=0 but net marine &gt;0; ","")&amp;IF(AND(N($J279)=2,N($R279)&gt;0),"MARINE=2 but net terrestrial &gt;0; ","")&amp;IF($K279="Point","Buffered point – coverage approximate; ","")))</f>
        <v/>
      </c>
    </row>
    <row r="280">
      <c r="A280" s="19" t="n"/>
      <c r="B280" s="19" t="n"/>
      <c r="C280" s="19" t="n"/>
      <c r="D280" s="19" t="n"/>
      <c r="E280" s="19" t="n"/>
      <c r="F280" s="19" t="n"/>
      <c r="G280" s="19" t="n"/>
      <c r="H280" s="19" t="n"/>
      <c r="I280" s="19" t="n"/>
      <c r="J280" s="19" t="n"/>
      <c r="K280" s="19" t="n"/>
      <c r="L280" s="20" t="n"/>
      <c r="M280" s="20" t="n"/>
      <c r="N280" s="20" t="n"/>
      <c r="O280" s="20" t="n"/>
      <c r="P280" s="19" t="n"/>
      <c r="Q280" s="19" t="n"/>
      <c r="R280" s="20" t="n"/>
      <c r="S280" s="20" t="n"/>
      <c r="T280" s="19" t="n"/>
      <c r="U280" s="19" t="n"/>
      <c r="V280" s="19" t="n"/>
      <c r="W280" s="19" t="n"/>
      <c r="X280" s="19" t="n"/>
      <c r="Y280" s="19" t="n"/>
      <c r="Z280" s="21">
        <f>IF(AND($A280="",$B280=""),"",IF(OR($E280="",$H280="",$H280="Proposed",$H280="Not Reported"),0,IF(AND($P280="Y",$Q280&lt;&gt;"Y"),0,IF(AND($K280="Point",N($L280)&lt;=0),0,IF(AND(N($L280)&lt;=0,N($N280)&lt;=0,N($R280)+N($S280)&lt;=0),0,1)))))</f>
        <v/>
      </c>
      <c r="AA280" s="21">
        <f>IF(AND($A280="",$B280=""),"",IF($E280="","Site type missing",IF($H280="","STATUS missing",IF($H280="Proposed","STATUS = Proposed",IF($H280="Not Reported","STATUS = Not Reported",IF(AND($P280="Y",$Q280&lt;&gt;"Y"),"UNESCO-MAB Biosphere Reserve",IF(AND($K280="Point",N($L280)&lt;=0),"Point without REP_AREA",IF(AND(N($L280)&lt;=0,N($N280)&lt;=0,N($R280)+N($S280)&lt;=0),"No area information",""))))))))</f>
        <v/>
      </c>
      <c r="AB280" s="22">
        <f>IF(AND($A280="",$B280=""),"",IF($K280="Point",N($L280),IF(N($N280)&gt;0,N($N280),N($L280))))</f>
        <v/>
      </c>
      <c r="AC280" s="22">
        <f>IF(AND($A280="",$B280=""),"",MIN(AB280,IF(N($J280)=0,0,IF(N($J280)=2,AB280,IF(AND($K280&lt;&gt;"Point",N($O280)&gt;0),N($O280),N($M280))))))</f>
        <v/>
      </c>
      <c r="AD280" s="22">
        <f>IF(AND($A280="",$B280=""),"",MAX(0,AB280-AC280))</f>
        <v/>
      </c>
      <c r="AE280" s="21">
        <f>IF(AND($A280="",$B280=""),"",IF(OR($R280&lt;&gt;"",$S280&lt;&gt;""),1,0))</f>
        <v/>
      </c>
      <c r="AF280" s="22">
        <f>IF(AND($A280="",$B280=""),"",IF(Z280=1,IF(AE280=1,N($R280),AD280),0))</f>
        <v/>
      </c>
      <c r="AG280" s="22">
        <f>IF(AND($A280="",$B280=""),"",IF(Z280=1,IF(AE280=1,N($S280),AC280),0))</f>
        <v/>
      </c>
      <c r="AH280" s="21">
        <f>IF(AND($A280="",$B280=""),"",IF(AND(ISNUMBER($I280),N($I280)&gt;0),$I280,0))</f>
        <v/>
      </c>
      <c r="AI280" s="23">
        <f>IF(AND(NOT(AND($A280="",$B280="")),$K280="Point",N($L280)&gt;0),SQRT(N($L280)/PI()),"")</f>
        <v/>
      </c>
      <c r="AJ280" s="21">
        <f>IF(AND($A280="",$B280=""),"",IFERROR(VLOOKUP($G280,Lists!$D$4:$E$15,2,FALSE),"Not reported"))</f>
        <v/>
      </c>
      <c r="AK280" s="21">
        <f>IF(AND($A280="",$B280=""),"",IF($X280&lt;&gt;"",$X280,IF($T280&lt;&gt;"Y","Not assessed",IF(AND(ISNUMBER($V280),Setup!$B$6-$V280&gt;Setup!$B$26),"Assessment outdated",IF(NOT(ISNUMBER($W280)),"Assessed – no score",IF($W280&gt;=Setup!$B$24,"High",IF($W280&gt;=Setup!$B$25,"Moderate","Low")))))))</f>
        <v/>
      </c>
      <c r="AL280" s="21">
        <f>IF(AND($A280="",$B280=""),"",IF(Z280=0,"",IF(AND(AE280=1,N($R280)&gt;AD280*1.01+0.001),"Net terrestrial &gt; gross; ","")&amp;IF(AND(AE280=1,N($S280)&gt;AC280*1.01+0.001),"Net marine &gt; gross; ","")&amp;IF(AE280=0,"No net area – gross used, overlaps may be double-counted; ","")&amp;IF(AH280=0,"STATUS_YR missing – imputed in time series; ","")&amp;IF(AND(ISNUMBER($I280),N($I280)&gt;Setup!$B$6),"STATUS_YR after reporting year; ","")&amp;IF(OR($G280="",$G280="Not Reported"),"GOV_TYPE not reported; ","")&amp;IF(AND(N($J280)=1,$K280="Point",N($M280)&lt;=0),"Coastal point without REP_M_AREA – land/sea split unknown; ","")&amp;IF(AND(N($J280)=0,N($S280)&gt;0),"MARINE=0 but net marine &gt;0; ","")&amp;IF(AND(N($J280)=2,N($R280)&gt;0),"MARINE=2 but net terrestrial &gt;0; ","")&amp;IF($K280="Point","Buffered point – coverage approximate; ","")))</f>
        <v/>
      </c>
    </row>
    <row r="281">
      <c r="A281" s="19" t="n"/>
      <c r="B281" s="19" t="n"/>
      <c r="C281" s="19" t="n"/>
      <c r="D281" s="19" t="n"/>
      <c r="E281" s="19" t="n"/>
      <c r="F281" s="19" t="n"/>
      <c r="G281" s="19" t="n"/>
      <c r="H281" s="19" t="n"/>
      <c r="I281" s="19" t="n"/>
      <c r="J281" s="19" t="n"/>
      <c r="K281" s="19" t="n"/>
      <c r="L281" s="20" t="n"/>
      <c r="M281" s="20" t="n"/>
      <c r="N281" s="20" t="n"/>
      <c r="O281" s="20" t="n"/>
      <c r="P281" s="19" t="n"/>
      <c r="Q281" s="19" t="n"/>
      <c r="R281" s="20" t="n"/>
      <c r="S281" s="20" t="n"/>
      <c r="T281" s="19" t="n"/>
      <c r="U281" s="19" t="n"/>
      <c r="V281" s="19" t="n"/>
      <c r="W281" s="19" t="n"/>
      <c r="X281" s="19" t="n"/>
      <c r="Y281" s="19" t="n"/>
      <c r="Z281" s="21">
        <f>IF(AND($A281="",$B281=""),"",IF(OR($E281="",$H281="",$H281="Proposed",$H281="Not Reported"),0,IF(AND($P281="Y",$Q281&lt;&gt;"Y"),0,IF(AND($K281="Point",N($L281)&lt;=0),0,IF(AND(N($L281)&lt;=0,N($N281)&lt;=0,N($R281)+N($S281)&lt;=0),0,1)))))</f>
        <v/>
      </c>
      <c r="AA281" s="21">
        <f>IF(AND($A281="",$B281=""),"",IF($E281="","Site type missing",IF($H281="","STATUS missing",IF($H281="Proposed","STATUS = Proposed",IF($H281="Not Reported","STATUS = Not Reported",IF(AND($P281="Y",$Q281&lt;&gt;"Y"),"UNESCO-MAB Biosphere Reserve",IF(AND($K281="Point",N($L281)&lt;=0),"Point without REP_AREA",IF(AND(N($L281)&lt;=0,N($N281)&lt;=0,N($R281)+N($S281)&lt;=0),"No area information",""))))))))</f>
        <v/>
      </c>
      <c r="AB281" s="22">
        <f>IF(AND($A281="",$B281=""),"",IF($K281="Point",N($L281),IF(N($N281)&gt;0,N($N281),N($L281))))</f>
        <v/>
      </c>
      <c r="AC281" s="22">
        <f>IF(AND($A281="",$B281=""),"",MIN(AB281,IF(N($J281)=0,0,IF(N($J281)=2,AB281,IF(AND($K281&lt;&gt;"Point",N($O281)&gt;0),N($O281),N($M281))))))</f>
        <v/>
      </c>
      <c r="AD281" s="22">
        <f>IF(AND($A281="",$B281=""),"",MAX(0,AB281-AC281))</f>
        <v/>
      </c>
      <c r="AE281" s="21">
        <f>IF(AND($A281="",$B281=""),"",IF(OR($R281&lt;&gt;"",$S281&lt;&gt;""),1,0))</f>
        <v/>
      </c>
      <c r="AF281" s="22">
        <f>IF(AND($A281="",$B281=""),"",IF(Z281=1,IF(AE281=1,N($R281),AD281),0))</f>
        <v/>
      </c>
      <c r="AG281" s="22">
        <f>IF(AND($A281="",$B281=""),"",IF(Z281=1,IF(AE281=1,N($S281),AC281),0))</f>
        <v/>
      </c>
      <c r="AH281" s="21">
        <f>IF(AND($A281="",$B281=""),"",IF(AND(ISNUMBER($I281),N($I281)&gt;0),$I281,0))</f>
        <v/>
      </c>
      <c r="AI281" s="23">
        <f>IF(AND(NOT(AND($A281="",$B281="")),$K281="Point",N($L281)&gt;0),SQRT(N($L281)/PI()),"")</f>
        <v/>
      </c>
      <c r="AJ281" s="21">
        <f>IF(AND($A281="",$B281=""),"",IFERROR(VLOOKUP($G281,Lists!$D$4:$E$15,2,FALSE),"Not reported"))</f>
        <v/>
      </c>
      <c r="AK281" s="21">
        <f>IF(AND($A281="",$B281=""),"",IF($X281&lt;&gt;"",$X281,IF($T281&lt;&gt;"Y","Not assessed",IF(AND(ISNUMBER($V281),Setup!$B$6-$V281&gt;Setup!$B$26),"Assessment outdated",IF(NOT(ISNUMBER($W281)),"Assessed – no score",IF($W281&gt;=Setup!$B$24,"High",IF($W281&gt;=Setup!$B$25,"Moderate","Low")))))))</f>
        <v/>
      </c>
      <c r="AL281" s="21">
        <f>IF(AND($A281="",$B281=""),"",IF(Z281=0,"",IF(AND(AE281=1,N($R281)&gt;AD281*1.01+0.001),"Net terrestrial &gt; gross; ","")&amp;IF(AND(AE281=1,N($S281)&gt;AC281*1.01+0.001),"Net marine &gt; gross; ","")&amp;IF(AE281=0,"No net area – gross used, overlaps may be double-counted; ","")&amp;IF(AH281=0,"STATUS_YR missing – imputed in time series; ","")&amp;IF(AND(ISNUMBER($I281),N($I281)&gt;Setup!$B$6),"STATUS_YR after reporting year; ","")&amp;IF(OR($G281="",$G281="Not Reported"),"GOV_TYPE not reported; ","")&amp;IF(AND(N($J281)=1,$K281="Point",N($M281)&lt;=0),"Coastal point without REP_M_AREA – land/sea split unknown; ","")&amp;IF(AND(N($J281)=0,N($S281)&gt;0),"MARINE=0 but net marine &gt;0; ","")&amp;IF(AND(N($J281)=2,N($R281)&gt;0),"MARINE=2 but net terrestrial &gt;0; ","")&amp;IF($K281="Point","Buffered point – coverage approximate; ","")))</f>
        <v/>
      </c>
    </row>
    <row r="282">
      <c r="A282" s="19" t="n"/>
      <c r="B282" s="19" t="n"/>
      <c r="C282" s="19" t="n"/>
      <c r="D282" s="19" t="n"/>
      <c r="E282" s="19" t="n"/>
      <c r="F282" s="19" t="n"/>
      <c r="G282" s="19" t="n"/>
      <c r="H282" s="19" t="n"/>
      <c r="I282" s="19" t="n"/>
      <c r="J282" s="19" t="n"/>
      <c r="K282" s="19" t="n"/>
      <c r="L282" s="20" t="n"/>
      <c r="M282" s="20" t="n"/>
      <c r="N282" s="20" t="n"/>
      <c r="O282" s="20" t="n"/>
      <c r="P282" s="19" t="n"/>
      <c r="Q282" s="19" t="n"/>
      <c r="R282" s="20" t="n"/>
      <c r="S282" s="20" t="n"/>
      <c r="T282" s="19" t="n"/>
      <c r="U282" s="19" t="n"/>
      <c r="V282" s="19" t="n"/>
      <c r="W282" s="19" t="n"/>
      <c r="X282" s="19" t="n"/>
      <c r="Y282" s="19" t="n"/>
      <c r="Z282" s="21">
        <f>IF(AND($A282="",$B282=""),"",IF(OR($E282="",$H282="",$H282="Proposed",$H282="Not Reported"),0,IF(AND($P282="Y",$Q282&lt;&gt;"Y"),0,IF(AND($K282="Point",N($L282)&lt;=0),0,IF(AND(N($L282)&lt;=0,N($N282)&lt;=0,N($R282)+N($S282)&lt;=0),0,1)))))</f>
        <v/>
      </c>
      <c r="AA282" s="21">
        <f>IF(AND($A282="",$B282=""),"",IF($E282="","Site type missing",IF($H282="","STATUS missing",IF($H282="Proposed","STATUS = Proposed",IF($H282="Not Reported","STATUS = Not Reported",IF(AND($P282="Y",$Q282&lt;&gt;"Y"),"UNESCO-MAB Biosphere Reserve",IF(AND($K282="Point",N($L282)&lt;=0),"Point without REP_AREA",IF(AND(N($L282)&lt;=0,N($N282)&lt;=0,N($R282)+N($S282)&lt;=0),"No area information",""))))))))</f>
        <v/>
      </c>
      <c r="AB282" s="22">
        <f>IF(AND($A282="",$B282=""),"",IF($K282="Point",N($L282),IF(N($N282)&gt;0,N($N282),N($L282))))</f>
        <v/>
      </c>
      <c r="AC282" s="22">
        <f>IF(AND($A282="",$B282=""),"",MIN(AB282,IF(N($J282)=0,0,IF(N($J282)=2,AB282,IF(AND($K282&lt;&gt;"Point",N($O282)&gt;0),N($O282),N($M282))))))</f>
        <v/>
      </c>
      <c r="AD282" s="22">
        <f>IF(AND($A282="",$B282=""),"",MAX(0,AB282-AC282))</f>
        <v/>
      </c>
      <c r="AE282" s="21">
        <f>IF(AND($A282="",$B282=""),"",IF(OR($R282&lt;&gt;"",$S282&lt;&gt;""),1,0))</f>
        <v/>
      </c>
      <c r="AF282" s="22">
        <f>IF(AND($A282="",$B282=""),"",IF(Z282=1,IF(AE282=1,N($R282),AD282),0))</f>
        <v/>
      </c>
      <c r="AG282" s="22">
        <f>IF(AND($A282="",$B282=""),"",IF(Z282=1,IF(AE282=1,N($S282),AC282),0))</f>
        <v/>
      </c>
      <c r="AH282" s="21">
        <f>IF(AND($A282="",$B282=""),"",IF(AND(ISNUMBER($I282),N($I282)&gt;0),$I282,0))</f>
        <v/>
      </c>
      <c r="AI282" s="23">
        <f>IF(AND(NOT(AND($A282="",$B282="")),$K282="Point",N($L282)&gt;0),SQRT(N($L282)/PI()),"")</f>
        <v/>
      </c>
      <c r="AJ282" s="21">
        <f>IF(AND($A282="",$B282=""),"",IFERROR(VLOOKUP($G282,Lists!$D$4:$E$15,2,FALSE),"Not reported"))</f>
        <v/>
      </c>
      <c r="AK282" s="21">
        <f>IF(AND($A282="",$B282=""),"",IF($X282&lt;&gt;"",$X282,IF($T282&lt;&gt;"Y","Not assessed",IF(AND(ISNUMBER($V282),Setup!$B$6-$V282&gt;Setup!$B$26),"Assessment outdated",IF(NOT(ISNUMBER($W282)),"Assessed – no score",IF($W282&gt;=Setup!$B$24,"High",IF($W282&gt;=Setup!$B$25,"Moderate","Low")))))))</f>
        <v/>
      </c>
      <c r="AL282" s="21">
        <f>IF(AND($A282="",$B282=""),"",IF(Z282=0,"",IF(AND(AE282=1,N($R282)&gt;AD282*1.01+0.001),"Net terrestrial &gt; gross; ","")&amp;IF(AND(AE282=1,N($S282)&gt;AC282*1.01+0.001),"Net marine &gt; gross; ","")&amp;IF(AE282=0,"No net area – gross used, overlaps may be double-counted; ","")&amp;IF(AH282=0,"STATUS_YR missing – imputed in time series; ","")&amp;IF(AND(ISNUMBER($I282),N($I282)&gt;Setup!$B$6),"STATUS_YR after reporting year; ","")&amp;IF(OR($G282="",$G282="Not Reported"),"GOV_TYPE not reported; ","")&amp;IF(AND(N($J282)=1,$K282="Point",N($M282)&lt;=0),"Coastal point without REP_M_AREA – land/sea split unknown; ","")&amp;IF(AND(N($J282)=0,N($S282)&gt;0),"MARINE=0 but net marine &gt;0; ","")&amp;IF(AND(N($J282)=2,N($R282)&gt;0),"MARINE=2 but net terrestrial &gt;0; ","")&amp;IF($K282="Point","Buffered point – coverage approximate; ","")))</f>
        <v/>
      </c>
    </row>
    <row r="283">
      <c r="A283" s="19" t="n"/>
      <c r="B283" s="19" t="n"/>
      <c r="C283" s="19" t="n"/>
      <c r="D283" s="19" t="n"/>
      <c r="E283" s="19" t="n"/>
      <c r="F283" s="19" t="n"/>
      <c r="G283" s="19" t="n"/>
      <c r="H283" s="19" t="n"/>
      <c r="I283" s="19" t="n"/>
      <c r="J283" s="19" t="n"/>
      <c r="K283" s="19" t="n"/>
      <c r="L283" s="20" t="n"/>
      <c r="M283" s="20" t="n"/>
      <c r="N283" s="20" t="n"/>
      <c r="O283" s="20" t="n"/>
      <c r="P283" s="19" t="n"/>
      <c r="Q283" s="19" t="n"/>
      <c r="R283" s="20" t="n"/>
      <c r="S283" s="20" t="n"/>
      <c r="T283" s="19" t="n"/>
      <c r="U283" s="19" t="n"/>
      <c r="V283" s="19" t="n"/>
      <c r="W283" s="19" t="n"/>
      <c r="X283" s="19" t="n"/>
      <c r="Y283" s="19" t="n"/>
      <c r="Z283" s="21">
        <f>IF(AND($A283="",$B283=""),"",IF(OR($E283="",$H283="",$H283="Proposed",$H283="Not Reported"),0,IF(AND($P283="Y",$Q283&lt;&gt;"Y"),0,IF(AND($K283="Point",N($L283)&lt;=0),0,IF(AND(N($L283)&lt;=0,N($N283)&lt;=0,N($R283)+N($S283)&lt;=0),0,1)))))</f>
        <v/>
      </c>
      <c r="AA283" s="21">
        <f>IF(AND($A283="",$B283=""),"",IF($E283="","Site type missing",IF($H283="","STATUS missing",IF($H283="Proposed","STATUS = Proposed",IF($H283="Not Reported","STATUS = Not Reported",IF(AND($P283="Y",$Q283&lt;&gt;"Y"),"UNESCO-MAB Biosphere Reserve",IF(AND($K283="Point",N($L283)&lt;=0),"Point without REP_AREA",IF(AND(N($L283)&lt;=0,N($N283)&lt;=0,N($R283)+N($S283)&lt;=0),"No area information",""))))))))</f>
        <v/>
      </c>
      <c r="AB283" s="22">
        <f>IF(AND($A283="",$B283=""),"",IF($K283="Point",N($L283),IF(N($N283)&gt;0,N($N283),N($L283))))</f>
        <v/>
      </c>
      <c r="AC283" s="22">
        <f>IF(AND($A283="",$B283=""),"",MIN(AB283,IF(N($J283)=0,0,IF(N($J283)=2,AB283,IF(AND($K283&lt;&gt;"Point",N($O283)&gt;0),N($O283),N($M283))))))</f>
        <v/>
      </c>
      <c r="AD283" s="22">
        <f>IF(AND($A283="",$B283=""),"",MAX(0,AB283-AC283))</f>
        <v/>
      </c>
      <c r="AE283" s="21">
        <f>IF(AND($A283="",$B283=""),"",IF(OR($R283&lt;&gt;"",$S283&lt;&gt;""),1,0))</f>
        <v/>
      </c>
      <c r="AF283" s="22">
        <f>IF(AND($A283="",$B283=""),"",IF(Z283=1,IF(AE283=1,N($R283),AD283),0))</f>
        <v/>
      </c>
      <c r="AG283" s="22">
        <f>IF(AND($A283="",$B283=""),"",IF(Z283=1,IF(AE283=1,N($S283),AC283),0))</f>
        <v/>
      </c>
      <c r="AH283" s="21">
        <f>IF(AND($A283="",$B283=""),"",IF(AND(ISNUMBER($I283),N($I283)&gt;0),$I283,0))</f>
        <v/>
      </c>
      <c r="AI283" s="23">
        <f>IF(AND(NOT(AND($A283="",$B283="")),$K283="Point",N($L283)&gt;0),SQRT(N($L283)/PI()),"")</f>
        <v/>
      </c>
      <c r="AJ283" s="21">
        <f>IF(AND($A283="",$B283=""),"",IFERROR(VLOOKUP($G283,Lists!$D$4:$E$15,2,FALSE),"Not reported"))</f>
        <v/>
      </c>
      <c r="AK283" s="21">
        <f>IF(AND($A283="",$B283=""),"",IF($X283&lt;&gt;"",$X283,IF($T283&lt;&gt;"Y","Not assessed",IF(AND(ISNUMBER($V283),Setup!$B$6-$V283&gt;Setup!$B$26),"Assessment outdated",IF(NOT(ISNUMBER($W283)),"Assessed – no score",IF($W283&gt;=Setup!$B$24,"High",IF($W283&gt;=Setup!$B$25,"Moderate","Low")))))))</f>
        <v/>
      </c>
      <c r="AL283" s="21">
        <f>IF(AND($A283="",$B283=""),"",IF(Z283=0,"",IF(AND(AE283=1,N($R283)&gt;AD283*1.01+0.001),"Net terrestrial &gt; gross; ","")&amp;IF(AND(AE283=1,N($S283)&gt;AC283*1.01+0.001),"Net marine &gt; gross; ","")&amp;IF(AE283=0,"No net area – gross used, overlaps may be double-counted; ","")&amp;IF(AH283=0,"STATUS_YR missing – imputed in time series; ","")&amp;IF(AND(ISNUMBER($I283),N($I283)&gt;Setup!$B$6),"STATUS_YR after reporting year; ","")&amp;IF(OR($G283="",$G283="Not Reported"),"GOV_TYPE not reported; ","")&amp;IF(AND(N($J283)=1,$K283="Point",N($M283)&lt;=0),"Coastal point without REP_M_AREA – land/sea split unknown; ","")&amp;IF(AND(N($J283)=0,N($S283)&gt;0),"MARINE=0 but net marine &gt;0; ","")&amp;IF(AND(N($J283)=2,N($R283)&gt;0),"MARINE=2 but net terrestrial &gt;0; ","")&amp;IF($K283="Point","Buffered point – coverage approximate; ","")))</f>
        <v/>
      </c>
    </row>
    <row r="284">
      <c r="A284" s="19" t="n"/>
      <c r="B284" s="19" t="n"/>
      <c r="C284" s="19" t="n"/>
      <c r="D284" s="19" t="n"/>
      <c r="E284" s="19" t="n"/>
      <c r="F284" s="19" t="n"/>
      <c r="G284" s="19" t="n"/>
      <c r="H284" s="19" t="n"/>
      <c r="I284" s="19" t="n"/>
      <c r="J284" s="19" t="n"/>
      <c r="K284" s="19" t="n"/>
      <c r="L284" s="20" t="n"/>
      <c r="M284" s="20" t="n"/>
      <c r="N284" s="20" t="n"/>
      <c r="O284" s="20" t="n"/>
      <c r="P284" s="19" t="n"/>
      <c r="Q284" s="19" t="n"/>
      <c r="R284" s="20" t="n"/>
      <c r="S284" s="20" t="n"/>
      <c r="T284" s="19" t="n"/>
      <c r="U284" s="19" t="n"/>
      <c r="V284" s="19" t="n"/>
      <c r="W284" s="19" t="n"/>
      <c r="X284" s="19" t="n"/>
      <c r="Y284" s="19" t="n"/>
      <c r="Z284" s="21">
        <f>IF(AND($A284="",$B284=""),"",IF(OR($E284="",$H284="",$H284="Proposed",$H284="Not Reported"),0,IF(AND($P284="Y",$Q284&lt;&gt;"Y"),0,IF(AND($K284="Point",N($L284)&lt;=0),0,IF(AND(N($L284)&lt;=0,N($N284)&lt;=0,N($R284)+N($S284)&lt;=0),0,1)))))</f>
        <v/>
      </c>
      <c r="AA284" s="21">
        <f>IF(AND($A284="",$B284=""),"",IF($E284="","Site type missing",IF($H284="","STATUS missing",IF($H284="Proposed","STATUS = Proposed",IF($H284="Not Reported","STATUS = Not Reported",IF(AND($P284="Y",$Q284&lt;&gt;"Y"),"UNESCO-MAB Biosphere Reserve",IF(AND($K284="Point",N($L284)&lt;=0),"Point without REP_AREA",IF(AND(N($L284)&lt;=0,N($N284)&lt;=0,N($R284)+N($S284)&lt;=0),"No area information",""))))))))</f>
        <v/>
      </c>
      <c r="AB284" s="22">
        <f>IF(AND($A284="",$B284=""),"",IF($K284="Point",N($L284),IF(N($N284)&gt;0,N($N284),N($L284))))</f>
        <v/>
      </c>
      <c r="AC284" s="22">
        <f>IF(AND($A284="",$B284=""),"",MIN(AB284,IF(N($J284)=0,0,IF(N($J284)=2,AB284,IF(AND($K284&lt;&gt;"Point",N($O284)&gt;0),N($O284),N($M284))))))</f>
        <v/>
      </c>
      <c r="AD284" s="22">
        <f>IF(AND($A284="",$B284=""),"",MAX(0,AB284-AC284))</f>
        <v/>
      </c>
      <c r="AE284" s="21">
        <f>IF(AND($A284="",$B284=""),"",IF(OR($R284&lt;&gt;"",$S284&lt;&gt;""),1,0))</f>
        <v/>
      </c>
      <c r="AF284" s="22">
        <f>IF(AND($A284="",$B284=""),"",IF(Z284=1,IF(AE284=1,N($R284),AD284),0))</f>
        <v/>
      </c>
      <c r="AG284" s="22">
        <f>IF(AND($A284="",$B284=""),"",IF(Z284=1,IF(AE284=1,N($S284),AC284),0))</f>
        <v/>
      </c>
      <c r="AH284" s="21">
        <f>IF(AND($A284="",$B284=""),"",IF(AND(ISNUMBER($I284),N($I284)&gt;0),$I284,0))</f>
        <v/>
      </c>
      <c r="AI284" s="23">
        <f>IF(AND(NOT(AND($A284="",$B284="")),$K284="Point",N($L284)&gt;0),SQRT(N($L284)/PI()),"")</f>
        <v/>
      </c>
      <c r="AJ284" s="21">
        <f>IF(AND($A284="",$B284=""),"",IFERROR(VLOOKUP($G284,Lists!$D$4:$E$15,2,FALSE),"Not reported"))</f>
        <v/>
      </c>
      <c r="AK284" s="21">
        <f>IF(AND($A284="",$B284=""),"",IF($X284&lt;&gt;"",$X284,IF($T284&lt;&gt;"Y","Not assessed",IF(AND(ISNUMBER($V284),Setup!$B$6-$V284&gt;Setup!$B$26),"Assessment outdated",IF(NOT(ISNUMBER($W284)),"Assessed – no score",IF($W284&gt;=Setup!$B$24,"High",IF($W284&gt;=Setup!$B$25,"Moderate","Low")))))))</f>
        <v/>
      </c>
      <c r="AL284" s="21">
        <f>IF(AND($A284="",$B284=""),"",IF(Z284=0,"",IF(AND(AE284=1,N($R284)&gt;AD284*1.01+0.001),"Net terrestrial &gt; gross; ","")&amp;IF(AND(AE284=1,N($S284)&gt;AC284*1.01+0.001),"Net marine &gt; gross; ","")&amp;IF(AE284=0,"No net area – gross used, overlaps may be double-counted; ","")&amp;IF(AH284=0,"STATUS_YR missing – imputed in time series; ","")&amp;IF(AND(ISNUMBER($I284),N($I284)&gt;Setup!$B$6),"STATUS_YR after reporting year; ","")&amp;IF(OR($G284="",$G284="Not Reported"),"GOV_TYPE not reported; ","")&amp;IF(AND(N($J284)=1,$K284="Point",N($M284)&lt;=0),"Coastal point without REP_M_AREA – land/sea split unknown; ","")&amp;IF(AND(N($J284)=0,N($S284)&gt;0),"MARINE=0 but net marine &gt;0; ","")&amp;IF(AND(N($J284)=2,N($R284)&gt;0),"MARINE=2 but net terrestrial &gt;0; ","")&amp;IF($K284="Point","Buffered point – coverage approximate; ","")))</f>
        <v/>
      </c>
    </row>
    <row r="285">
      <c r="A285" s="19" t="n"/>
      <c r="B285" s="19" t="n"/>
      <c r="C285" s="19" t="n"/>
      <c r="D285" s="19" t="n"/>
      <c r="E285" s="19" t="n"/>
      <c r="F285" s="19" t="n"/>
      <c r="G285" s="19" t="n"/>
      <c r="H285" s="19" t="n"/>
      <c r="I285" s="19" t="n"/>
      <c r="J285" s="19" t="n"/>
      <c r="K285" s="19" t="n"/>
      <c r="L285" s="20" t="n"/>
      <c r="M285" s="20" t="n"/>
      <c r="N285" s="20" t="n"/>
      <c r="O285" s="20" t="n"/>
      <c r="P285" s="19" t="n"/>
      <c r="Q285" s="19" t="n"/>
      <c r="R285" s="20" t="n"/>
      <c r="S285" s="20" t="n"/>
      <c r="T285" s="19" t="n"/>
      <c r="U285" s="19" t="n"/>
      <c r="V285" s="19" t="n"/>
      <c r="W285" s="19" t="n"/>
      <c r="X285" s="19" t="n"/>
      <c r="Y285" s="19" t="n"/>
      <c r="Z285" s="21">
        <f>IF(AND($A285="",$B285=""),"",IF(OR($E285="",$H285="",$H285="Proposed",$H285="Not Reported"),0,IF(AND($P285="Y",$Q285&lt;&gt;"Y"),0,IF(AND($K285="Point",N($L285)&lt;=0),0,IF(AND(N($L285)&lt;=0,N($N285)&lt;=0,N($R285)+N($S285)&lt;=0),0,1)))))</f>
        <v/>
      </c>
      <c r="AA285" s="21">
        <f>IF(AND($A285="",$B285=""),"",IF($E285="","Site type missing",IF($H285="","STATUS missing",IF($H285="Proposed","STATUS = Proposed",IF($H285="Not Reported","STATUS = Not Reported",IF(AND($P285="Y",$Q285&lt;&gt;"Y"),"UNESCO-MAB Biosphere Reserve",IF(AND($K285="Point",N($L285)&lt;=0),"Point without REP_AREA",IF(AND(N($L285)&lt;=0,N($N285)&lt;=0,N($R285)+N($S285)&lt;=0),"No area information",""))))))))</f>
        <v/>
      </c>
      <c r="AB285" s="22">
        <f>IF(AND($A285="",$B285=""),"",IF($K285="Point",N($L285),IF(N($N285)&gt;0,N($N285),N($L285))))</f>
        <v/>
      </c>
      <c r="AC285" s="22">
        <f>IF(AND($A285="",$B285=""),"",MIN(AB285,IF(N($J285)=0,0,IF(N($J285)=2,AB285,IF(AND($K285&lt;&gt;"Point",N($O285)&gt;0),N($O285),N($M285))))))</f>
        <v/>
      </c>
      <c r="AD285" s="22">
        <f>IF(AND($A285="",$B285=""),"",MAX(0,AB285-AC285))</f>
        <v/>
      </c>
      <c r="AE285" s="21">
        <f>IF(AND($A285="",$B285=""),"",IF(OR($R285&lt;&gt;"",$S285&lt;&gt;""),1,0))</f>
        <v/>
      </c>
      <c r="AF285" s="22">
        <f>IF(AND($A285="",$B285=""),"",IF(Z285=1,IF(AE285=1,N($R285),AD285),0))</f>
        <v/>
      </c>
      <c r="AG285" s="22">
        <f>IF(AND($A285="",$B285=""),"",IF(Z285=1,IF(AE285=1,N($S285),AC285),0))</f>
        <v/>
      </c>
      <c r="AH285" s="21">
        <f>IF(AND($A285="",$B285=""),"",IF(AND(ISNUMBER($I285),N($I285)&gt;0),$I285,0))</f>
        <v/>
      </c>
      <c r="AI285" s="23">
        <f>IF(AND(NOT(AND($A285="",$B285="")),$K285="Point",N($L285)&gt;0),SQRT(N($L285)/PI()),"")</f>
        <v/>
      </c>
      <c r="AJ285" s="21">
        <f>IF(AND($A285="",$B285=""),"",IFERROR(VLOOKUP($G285,Lists!$D$4:$E$15,2,FALSE),"Not reported"))</f>
        <v/>
      </c>
      <c r="AK285" s="21">
        <f>IF(AND($A285="",$B285=""),"",IF($X285&lt;&gt;"",$X285,IF($T285&lt;&gt;"Y","Not assessed",IF(AND(ISNUMBER($V285),Setup!$B$6-$V285&gt;Setup!$B$26),"Assessment outdated",IF(NOT(ISNUMBER($W285)),"Assessed – no score",IF($W285&gt;=Setup!$B$24,"High",IF($W285&gt;=Setup!$B$25,"Moderate","Low")))))))</f>
        <v/>
      </c>
      <c r="AL285" s="21">
        <f>IF(AND($A285="",$B285=""),"",IF(Z285=0,"",IF(AND(AE285=1,N($R285)&gt;AD285*1.01+0.001),"Net terrestrial &gt; gross; ","")&amp;IF(AND(AE285=1,N($S285)&gt;AC285*1.01+0.001),"Net marine &gt; gross; ","")&amp;IF(AE285=0,"No net area – gross used, overlaps may be double-counted; ","")&amp;IF(AH285=0,"STATUS_YR missing – imputed in time series; ","")&amp;IF(AND(ISNUMBER($I285),N($I285)&gt;Setup!$B$6),"STATUS_YR after reporting year; ","")&amp;IF(OR($G285="",$G285="Not Reported"),"GOV_TYPE not reported; ","")&amp;IF(AND(N($J285)=1,$K285="Point",N($M285)&lt;=0),"Coastal point without REP_M_AREA – land/sea split unknown; ","")&amp;IF(AND(N($J285)=0,N($S285)&gt;0),"MARINE=0 but net marine &gt;0; ","")&amp;IF(AND(N($J285)=2,N($R285)&gt;0),"MARINE=2 but net terrestrial &gt;0; ","")&amp;IF($K285="Point","Buffered point – coverage approximate; ","")))</f>
        <v/>
      </c>
    </row>
    <row r="286">
      <c r="A286" s="19" t="n"/>
      <c r="B286" s="19" t="n"/>
      <c r="C286" s="19" t="n"/>
      <c r="D286" s="19" t="n"/>
      <c r="E286" s="19" t="n"/>
      <c r="F286" s="19" t="n"/>
      <c r="G286" s="19" t="n"/>
      <c r="H286" s="19" t="n"/>
      <c r="I286" s="19" t="n"/>
      <c r="J286" s="19" t="n"/>
      <c r="K286" s="19" t="n"/>
      <c r="L286" s="20" t="n"/>
      <c r="M286" s="20" t="n"/>
      <c r="N286" s="20" t="n"/>
      <c r="O286" s="20" t="n"/>
      <c r="P286" s="19" t="n"/>
      <c r="Q286" s="19" t="n"/>
      <c r="R286" s="20" t="n"/>
      <c r="S286" s="20" t="n"/>
      <c r="T286" s="19" t="n"/>
      <c r="U286" s="19" t="n"/>
      <c r="V286" s="19" t="n"/>
      <c r="W286" s="19" t="n"/>
      <c r="X286" s="19" t="n"/>
      <c r="Y286" s="19" t="n"/>
      <c r="Z286" s="21">
        <f>IF(AND($A286="",$B286=""),"",IF(OR($E286="",$H286="",$H286="Proposed",$H286="Not Reported"),0,IF(AND($P286="Y",$Q286&lt;&gt;"Y"),0,IF(AND($K286="Point",N($L286)&lt;=0),0,IF(AND(N($L286)&lt;=0,N($N286)&lt;=0,N($R286)+N($S286)&lt;=0),0,1)))))</f>
        <v/>
      </c>
      <c r="AA286" s="21">
        <f>IF(AND($A286="",$B286=""),"",IF($E286="","Site type missing",IF($H286="","STATUS missing",IF($H286="Proposed","STATUS = Proposed",IF($H286="Not Reported","STATUS = Not Reported",IF(AND($P286="Y",$Q286&lt;&gt;"Y"),"UNESCO-MAB Biosphere Reserve",IF(AND($K286="Point",N($L286)&lt;=0),"Point without REP_AREA",IF(AND(N($L286)&lt;=0,N($N286)&lt;=0,N($R286)+N($S286)&lt;=0),"No area information",""))))))))</f>
        <v/>
      </c>
      <c r="AB286" s="22">
        <f>IF(AND($A286="",$B286=""),"",IF($K286="Point",N($L286),IF(N($N286)&gt;0,N($N286),N($L286))))</f>
        <v/>
      </c>
      <c r="AC286" s="22">
        <f>IF(AND($A286="",$B286=""),"",MIN(AB286,IF(N($J286)=0,0,IF(N($J286)=2,AB286,IF(AND($K286&lt;&gt;"Point",N($O286)&gt;0),N($O286),N($M286))))))</f>
        <v/>
      </c>
      <c r="AD286" s="22">
        <f>IF(AND($A286="",$B286=""),"",MAX(0,AB286-AC286))</f>
        <v/>
      </c>
      <c r="AE286" s="21">
        <f>IF(AND($A286="",$B286=""),"",IF(OR($R286&lt;&gt;"",$S286&lt;&gt;""),1,0))</f>
        <v/>
      </c>
      <c r="AF286" s="22">
        <f>IF(AND($A286="",$B286=""),"",IF(Z286=1,IF(AE286=1,N($R286),AD286),0))</f>
        <v/>
      </c>
      <c r="AG286" s="22">
        <f>IF(AND($A286="",$B286=""),"",IF(Z286=1,IF(AE286=1,N($S286),AC286),0))</f>
        <v/>
      </c>
      <c r="AH286" s="21">
        <f>IF(AND($A286="",$B286=""),"",IF(AND(ISNUMBER($I286),N($I286)&gt;0),$I286,0))</f>
        <v/>
      </c>
      <c r="AI286" s="23">
        <f>IF(AND(NOT(AND($A286="",$B286="")),$K286="Point",N($L286)&gt;0),SQRT(N($L286)/PI()),"")</f>
        <v/>
      </c>
      <c r="AJ286" s="21">
        <f>IF(AND($A286="",$B286=""),"",IFERROR(VLOOKUP($G286,Lists!$D$4:$E$15,2,FALSE),"Not reported"))</f>
        <v/>
      </c>
      <c r="AK286" s="21">
        <f>IF(AND($A286="",$B286=""),"",IF($X286&lt;&gt;"",$X286,IF($T286&lt;&gt;"Y","Not assessed",IF(AND(ISNUMBER($V286),Setup!$B$6-$V286&gt;Setup!$B$26),"Assessment outdated",IF(NOT(ISNUMBER($W286)),"Assessed – no score",IF($W286&gt;=Setup!$B$24,"High",IF($W286&gt;=Setup!$B$25,"Moderate","Low")))))))</f>
        <v/>
      </c>
      <c r="AL286" s="21">
        <f>IF(AND($A286="",$B286=""),"",IF(Z286=0,"",IF(AND(AE286=1,N($R286)&gt;AD286*1.01+0.001),"Net terrestrial &gt; gross; ","")&amp;IF(AND(AE286=1,N($S286)&gt;AC286*1.01+0.001),"Net marine &gt; gross; ","")&amp;IF(AE286=0,"No net area – gross used, overlaps may be double-counted; ","")&amp;IF(AH286=0,"STATUS_YR missing – imputed in time series; ","")&amp;IF(AND(ISNUMBER($I286),N($I286)&gt;Setup!$B$6),"STATUS_YR after reporting year; ","")&amp;IF(OR($G286="",$G286="Not Reported"),"GOV_TYPE not reported; ","")&amp;IF(AND(N($J286)=1,$K286="Point",N($M286)&lt;=0),"Coastal point without REP_M_AREA – land/sea split unknown; ","")&amp;IF(AND(N($J286)=0,N($S286)&gt;0),"MARINE=0 but net marine &gt;0; ","")&amp;IF(AND(N($J286)=2,N($R286)&gt;0),"MARINE=2 but net terrestrial &gt;0; ","")&amp;IF($K286="Point","Buffered point – coverage approximate; ","")))</f>
        <v/>
      </c>
    </row>
    <row r="287">
      <c r="A287" s="19" t="n"/>
      <c r="B287" s="19" t="n"/>
      <c r="C287" s="19" t="n"/>
      <c r="D287" s="19" t="n"/>
      <c r="E287" s="19" t="n"/>
      <c r="F287" s="19" t="n"/>
      <c r="G287" s="19" t="n"/>
      <c r="H287" s="19" t="n"/>
      <c r="I287" s="19" t="n"/>
      <c r="J287" s="19" t="n"/>
      <c r="K287" s="19" t="n"/>
      <c r="L287" s="20" t="n"/>
      <c r="M287" s="20" t="n"/>
      <c r="N287" s="20" t="n"/>
      <c r="O287" s="20" t="n"/>
      <c r="P287" s="19" t="n"/>
      <c r="Q287" s="19" t="n"/>
      <c r="R287" s="20" t="n"/>
      <c r="S287" s="20" t="n"/>
      <c r="T287" s="19" t="n"/>
      <c r="U287" s="19" t="n"/>
      <c r="V287" s="19" t="n"/>
      <c r="W287" s="19" t="n"/>
      <c r="X287" s="19" t="n"/>
      <c r="Y287" s="19" t="n"/>
      <c r="Z287" s="21">
        <f>IF(AND($A287="",$B287=""),"",IF(OR($E287="",$H287="",$H287="Proposed",$H287="Not Reported"),0,IF(AND($P287="Y",$Q287&lt;&gt;"Y"),0,IF(AND($K287="Point",N($L287)&lt;=0),0,IF(AND(N($L287)&lt;=0,N($N287)&lt;=0,N($R287)+N($S287)&lt;=0),0,1)))))</f>
        <v/>
      </c>
      <c r="AA287" s="21">
        <f>IF(AND($A287="",$B287=""),"",IF($E287="","Site type missing",IF($H287="","STATUS missing",IF($H287="Proposed","STATUS = Proposed",IF($H287="Not Reported","STATUS = Not Reported",IF(AND($P287="Y",$Q287&lt;&gt;"Y"),"UNESCO-MAB Biosphere Reserve",IF(AND($K287="Point",N($L287)&lt;=0),"Point without REP_AREA",IF(AND(N($L287)&lt;=0,N($N287)&lt;=0,N($R287)+N($S287)&lt;=0),"No area information",""))))))))</f>
        <v/>
      </c>
      <c r="AB287" s="22">
        <f>IF(AND($A287="",$B287=""),"",IF($K287="Point",N($L287),IF(N($N287)&gt;0,N($N287),N($L287))))</f>
        <v/>
      </c>
      <c r="AC287" s="22">
        <f>IF(AND($A287="",$B287=""),"",MIN(AB287,IF(N($J287)=0,0,IF(N($J287)=2,AB287,IF(AND($K287&lt;&gt;"Point",N($O287)&gt;0),N($O287),N($M287))))))</f>
        <v/>
      </c>
      <c r="AD287" s="22">
        <f>IF(AND($A287="",$B287=""),"",MAX(0,AB287-AC287))</f>
        <v/>
      </c>
      <c r="AE287" s="21">
        <f>IF(AND($A287="",$B287=""),"",IF(OR($R287&lt;&gt;"",$S287&lt;&gt;""),1,0))</f>
        <v/>
      </c>
      <c r="AF287" s="22">
        <f>IF(AND($A287="",$B287=""),"",IF(Z287=1,IF(AE287=1,N($R287),AD287),0))</f>
        <v/>
      </c>
      <c r="AG287" s="22">
        <f>IF(AND($A287="",$B287=""),"",IF(Z287=1,IF(AE287=1,N($S287),AC287),0))</f>
        <v/>
      </c>
      <c r="AH287" s="21">
        <f>IF(AND($A287="",$B287=""),"",IF(AND(ISNUMBER($I287),N($I287)&gt;0),$I287,0))</f>
        <v/>
      </c>
      <c r="AI287" s="23">
        <f>IF(AND(NOT(AND($A287="",$B287="")),$K287="Point",N($L287)&gt;0),SQRT(N($L287)/PI()),"")</f>
        <v/>
      </c>
      <c r="AJ287" s="21">
        <f>IF(AND($A287="",$B287=""),"",IFERROR(VLOOKUP($G287,Lists!$D$4:$E$15,2,FALSE),"Not reported"))</f>
        <v/>
      </c>
      <c r="AK287" s="21">
        <f>IF(AND($A287="",$B287=""),"",IF($X287&lt;&gt;"",$X287,IF($T287&lt;&gt;"Y","Not assessed",IF(AND(ISNUMBER($V287),Setup!$B$6-$V287&gt;Setup!$B$26),"Assessment outdated",IF(NOT(ISNUMBER($W287)),"Assessed – no score",IF($W287&gt;=Setup!$B$24,"High",IF($W287&gt;=Setup!$B$25,"Moderate","Low")))))))</f>
        <v/>
      </c>
      <c r="AL287" s="21">
        <f>IF(AND($A287="",$B287=""),"",IF(Z287=0,"",IF(AND(AE287=1,N($R287)&gt;AD287*1.01+0.001),"Net terrestrial &gt; gross; ","")&amp;IF(AND(AE287=1,N($S287)&gt;AC287*1.01+0.001),"Net marine &gt; gross; ","")&amp;IF(AE287=0,"No net area – gross used, overlaps may be double-counted; ","")&amp;IF(AH287=0,"STATUS_YR missing – imputed in time series; ","")&amp;IF(AND(ISNUMBER($I287),N($I287)&gt;Setup!$B$6),"STATUS_YR after reporting year; ","")&amp;IF(OR($G287="",$G287="Not Reported"),"GOV_TYPE not reported; ","")&amp;IF(AND(N($J287)=1,$K287="Point",N($M287)&lt;=0),"Coastal point without REP_M_AREA – land/sea split unknown; ","")&amp;IF(AND(N($J287)=0,N($S287)&gt;0),"MARINE=0 but net marine &gt;0; ","")&amp;IF(AND(N($J287)=2,N($R287)&gt;0),"MARINE=2 but net terrestrial &gt;0; ","")&amp;IF($K287="Point","Buffered point – coverage approximate; ","")))</f>
        <v/>
      </c>
    </row>
    <row r="288">
      <c r="A288" s="19" t="n"/>
      <c r="B288" s="19" t="n"/>
      <c r="C288" s="19" t="n"/>
      <c r="D288" s="19" t="n"/>
      <c r="E288" s="19" t="n"/>
      <c r="F288" s="19" t="n"/>
      <c r="G288" s="19" t="n"/>
      <c r="H288" s="19" t="n"/>
      <c r="I288" s="19" t="n"/>
      <c r="J288" s="19" t="n"/>
      <c r="K288" s="19" t="n"/>
      <c r="L288" s="20" t="n"/>
      <c r="M288" s="20" t="n"/>
      <c r="N288" s="20" t="n"/>
      <c r="O288" s="20" t="n"/>
      <c r="P288" s="19" t="n"/>
      <c r="Q288" s="19" t="n"/>
      <c r="R288" s="20" t="n"/>
      <c r="S288" s="20" t="n"/>
      <c r="T288" s="19" t="n"/>
      <c r="U288" s="19" t="n"/>
      <c r="V288" s="19" t="n"/>
      <c r="W288" s="19" t="n"/>
      <c r="X288" s="19" t="n"/>
      <c r="Y288" s="19" t="n"/>
      <c r="Z288" s="21">
        <f>IF(AND($A288="",$B288=""),"",IF(OR($E288="",$H288="",$H288="Proposed",$H288="Not Reported"),0,IF(AND($P288="Y",$Q288&lt;&gt;"Y"),0,IF(AND($K288="Point",N($L288)&lt;=0),0,IF(AND(N($L288)&lt;=0,N($N288)&lt;=0,N($R288)+N($S288)&lt;=0),0,1)))))</f>
        <v/>
      </c>
      <c r="AA288" s="21">
        <f>IF(AND($A288="",$B288=""),"",IF($E288="","Site type missing",IF($H288="","STATUS missing",IF($H288="Proposed","STATUS = Proposed",IF($H288="Not Reported","STATUS = Not Reported",IF(AND($P288="Y",$Q288&lt;&gt;"Y"),"UNESCO-MAB Biosphere Reserve",IF(AND($K288="Point",N($L288)&lt;=0),"Point without REP_AREA",IF(AND(N($L288)&lt;=0,N($N288)&lt;=0,N($R288)+N($S288)&lt;=0),"No area information",""))))))))</f>
        <v/>
      </c>
      <c r="AB288" s="22">
        <f>IF(AND($A288="",$B288=""),"",IF($K288="Point",N($L288),IF(N($N288)&gt;0,N($N288),N($L288))))</f>
        <v/>
      </c>
      <c r="AC288" s="22">
        <f>IF(AND($A288="",$B288=""),"",MIN(AB288,IF(N($J288)=0,0,IF(N($J288)=2,AB288,IF(AND($K288&lt;&gt;"Point",N($O288)&gt;0),N($O288),N($M288))))))</f>
        <v/>
      </c>
      <c r="AD288" s="22">
        <f>IF(AND($A288="",$B288=""),"",MAX(0,AB288-AC288))</f>
        <v/>
      </c>
      <c r="AE288" s="21">
        <f>IF(AND($A288="",$B288=""),"",IF(OR($R288&lt;&gt;"",$S288&lt;&gt;""),1,0))</f>
        <v/>
      </c>
      <c r="AF288" s="22">
        <f>IF(AND($A288="",$B288=""),"",IF(Z288=1,IF(AE288=1,N($R288),AD288),0))</f>
        <v/>
      </c>
      <c r="AG288" s="22">
        <f>IF(AND($A288="",$B288=""),"",IF(Z288=1,IF(AE288=1,N($S288),AC288),0))</f>
        <v/>
      </c>
      <c r="AH288" s="21">
        <f>IF(AND($A288="",$B288=""),"",IF(AND(ISNUMBER($I288),N($I288)&gt;0),$I288,0))</f>
        <v/>
      </c>
      <c r="AI288" s="23">
        <f>IF(AND(NOT(AND($A288="",$B288="")),$K288="Point",N($L288)&gt;0),SQRT(N($L288)/PI()),"")</f>
        <v/>
      </c>
      <c r="AJ288" s="21">
        <f>IF(AND($A288="",$B288=""),"",IFERROR(VLOOKUP($G288,Lists!$D$4:$E$15,2,FALSE),"Not reported"))</f>
        <v/>
      </c>
      <c r="AK288" s="21">
        <f>IF(AND($A288="",$B288=""),"",IF($X288&lt;&gt;"",$X288,IF($T288&lt;&gt;"Y","Not assessed",IF(AND(ISNUMBER($V288),Setup!$B$6-$V288&gt;Setup!$B$26),"Assessment outdated",IF(NOT(ISNUMBER($W288)),"Assessed – no score",IF($W288&gt;=Setup!$B$24,"High",IF($W288&gt;=Setup!$B$25,"Moderate","Low")))))))</f>
        <v/>
      </c>
      <c r="AL288" s="21">
        <f>IF(AND($A288="",$B288=""),"",IF(Z288=0,"",IF(AND(AE288=1,N($R288)&gt;AD288*1.01+0.001),"Net terrestrial &gt; gross; ","")&amp;IF(AND(AE288=1,N($S288)&gt;AC288*1.01+0.001),"Net marine &gt; gross; ","")&amp;IF(AE288=0,"No net area – gross used, overlaps may be double-counted; ","")&amp;IF(AH288=0,"STATUS_YR missing – imputed in time series; ","")&amp;IF(AND(ISNUMBER($I288),N($I288)&gt;Setup!$B$6),"STATUS_YR after reporting year; ","")&amp;IF(OR($G288="",$G288="Not Reported"),"GOV_TYPE not reported; ","")&amp;IF(AND(N($J288)=1,$K288="Point",N($M288)&lt;=0),"Coastal point without REP_M_AREA – land/sea split unknown; ","")&amp;IF(AND(N($J288)=0,N($S288)&gt;0),"MARINE=0 but net marine &gt;0; ","")&amp;IF(AND(N($J288)=2,N($R288)&gt;0),"MARINE=2 but net terrestrial &gt;0; ","")&amp;IF($K288="Point","Buffered point – coverage approximate; ","")))</f>
        <v/>
      </c>
    </row>
    <row r="289">
      <c r="A289" s="19" t="n"/>
      <c r="B289" s="19" t="n"/>
      <c r="C289" s="19" t="n"/>
      <c r="D289" s="19" t="n"/>
      <c r="E289" s="19" t="n"/>
      <c r="F289" s="19" t="n"/>
      <c r="G289" s="19" t="n"/>
      <c r="H289" s="19" t="n"/>
      <c r="I289" s="19" t="n"/>
      <c r="J289" s="19" t="n"/>
      <c r="K289" s="19" t="n"/>
      <c r="L289" s="20" t="n"/>
      <c r="M289" s="20" t="n"/>
      <c r="N289" s="20" t="n"/>
      <c r="O289" s="20" t="n"/>
      <c r="P289" s="19" t="n"/>
      <c r="Q289" s="19" t="n"/>
      <c r="R289" s="20" t="n"/>
      <c r="S289" s="20" t="n"/>
      <c r="T289" s="19" t="n"/>
      <c r="U289" s="19" t="n"/>
      <c r="V289" s="19" t="n"/>
      <c r="W289" s="19" t="n"/>
      <c r="X289" s="19" t="n"/>
      <c r="Y289" s="19" t="n"/>
      <c r="Z289" s="21">
        <f>IF(AND($A289="",$B289=""),"",IF(OR($E289="",$H289="",$H289="Proposed",$H289="Not Reported"),0,IF(AND($P289="Y",$Q289&lt;&gt;"Y"),0,IF(AND($K289="Point",N($L289)&lt;=0),0,IF(AND(N($L289)&lt;=0,N($N289)&lt;=0,N($R289)+N($S289)&lt;=0),0,1)))))</f>
        <v/>
      </c>
      <c r="AA289" s="21">
        <f>IF(AND($A289="",$B289=""),"",IF($E289="","Site type missing",IF($H289="","STATUS missing",IF($H289="Proposed","STATUS = Proposed",IF($H289="Not Reported","STATUS = Not Reported",IF(AND($P289="Y",$Q289&lt;&gt;"Y"),"UNESCO-MAB Biosphere Reserve",IF(AND($K289="Point",N($L289)&lt;=0),"Point without REP_AREA",IF(AND(N($L289)&lt;=0,N($N289)&lt;=0,N($R289)+N($S289)&lt;=0),"No area information",""))))))))</f>
        <v/>
      </c>
      <c r="AB289" s="22">
        <f>IF(AND($A289="",$B289=""),"",IF($K289="Point",N($L289),IF(N($N289)&gt;0,N($N289),N($L289))))</f>
        <v/>
      </c>
      <c r="AC289" s="22">
        <f>IF(AND($A289="",$B289=""),"",MIN(AB289,IF(N($J289)=0,0,IF(N($J289)=2,AB289,IF(AND($K289&lt;&gt;"Point",N($O289)&gt;0),N($O289),N($M289))))))</f>
        <v/>
      </c>
      <c r="AD289" s="22">
        <f>IF(AND($A289="",$B289=""),"",MAX(0,AB289-AC289))</f>
        <v/>
      </c>
      <c r="AE289" s="21">
        <f>IF(AND($A289="",$B289=""),"",IF(OR($R289&lt;&gt;"",$S289&lt;&gt;""),1,0))</f>
        <v/>
      </c>
      <c r="AF289" s="22">
        <f>IF(AND($A289="",$B289=""),"",IF(Z289=1,IF(AE289=1,N($R289),AD289),0))</f>
        <v/>
      </c>
      <c r="AG289" s="22">
        <f>IF(AND($A289="",$B289=""),"",IF(Z289=1,IF(AE289=1,N($S289),AC289),0))</f>
        <v/>
      </c>
      <c r="AH289" s="21">
        <f>IF(AND($A289="",$B289=""),"",IF(AND(ISNUMBER($I289),N($I289)&gt;0),$I289,0))</f>
        <v/>
      </c>
      <c r="AI289" s="23">
        <f>IF(AND(NOT(AND($A289="",$B289="")),$K289="Point",N($L289)&gt;0),SQRT(N($L289)/PI()),"")</f>
        <v/>
      </c>
      <c r="AJ289" s="21">
        <f>IF(AND($A289="",$B289=""),"",IFERROR(VLOOKUP($G289,Lists!$D$4:$E$15,2,FALSE),"Not reported"))</f>
        <v/>
      </c>
      <c r="AK289" s="21">
        <f>IF(AND($A289="",$B289=""),"",IF($X289&lt;&gt;"",$X289,IF($T289&lt;&gt;"Y","Not assessed",IF(AND(ISNUMBER($V289),Setup!$B$6-$V289&gt;Setup!$B$26),"Assessment outdated",IF(NOT(ISNUMBER($W289)),"Assessed – no score",IF($W289&gt;=Setup!$B$24,"High",IF($W289&gt;=Setup!$B$25,"Moderate","Low")))))))</f>
        <v/>
      </c>
      <c r="AL289" s="21">
        <f>IF(AND($A289="",$B289=""),"",IF(Z289=0,"",IF(AND(AE289=1,N($R289)&gt;AD289*1.01+0.001),"Net terrestrial &gt; gross; ","")&amp;IF(AND(AE289=1,N($S289)&gt;AC289*1.01+0.001),"Net marine &gt; gross; ","")&amp;IF(AE289=0,"No net area – gross used, overlaps may be double-counted; ","")&amp;IF(AH289=0,"STATUS_YR missing – imputed in time series; ","")&amp;IF(AND(ISNUMBER($I289),N($I289)&gt;Setup!$B$6),"STATUS_YR after reporting year; ","")&amp;IF(OR($G289="",$G289="Not Reported"),"GOV_TYPE not reported; ","")&amp;IF(AND(N($J289)=1,$K289="Point",N($M289)&lt;=0),"Coastal point without REP_M_AREA – land/sea split unknown; ","")&amp;IF(AND(N($J289)=0,N($S289)&gt;0),"MARINE=0 but net marine &gt;0; ","")&amp;IF(AND(N($J289)=2,N($R289)&gt;0),"MARINE=2 but net terrestrial &gt;0; ","")&amp;IF($K289="Point","Buffered point – coverage approximate; ","")))</f>
        <v/>
      </c>
    </row>
    <row r="290">
      <c r="A290" s="19" t="n"/>
      <c r="B290" s="19" t="n"/>
      <c r="C290" s="19" t="n"/>
      <c r="D290" s="19" t="n"/>
      <c r="E290" s="19" t="n"/>
      <c r="F290" s="19" t="n"/>
      <c r="G290" s="19" t="n"/>
      <c r="H290" s="19" t="n"/>
      <c r="I290" s="19" t="n"/>
      <c r="J290" s="19" t="n"/>
      <c r="K290" s="19" t="n"/>
      <c r="L290" s="20" t="n"/>
      <c r="M290" s="20" t="n"/>
      <c r="N290" s="20" t="n"/>
      <c r="O290" s="20" t="n"/>
      <c r="P290" s="19" t="n"/>
      <c r="Q290" s="19" t="n"/>
      <c r="R290" s="20" t="n"/>
      <c r="S290" s="20" t="n"/>
      <c r="T290" s="19" t="n"/>
      <c r="U290" s="19" t="n"/>
      <c r="V290" s="19" t="n"/>
      <c r="W290" s="19" t="n"/>
      <c r="X290" s="19" t="n"/>
      <c r="Y290" s="19" t="n"/>
      <c r="Z290" s="21">
        <f>IF(AND($A290="",$B290=""),"",IF(OR($E290="",$H290="",$H290="Proposed",$H290="Not Reported"),0,IF(AND($P290="Y",$Q290&lt;&gt;"Y"),0,IF(AND($K290="Point",N($L290)&lt;=0),0,IF(AND(N($L290)&lt;=0,N($N290)&lt;=0,N($R290)+N($S290)&lt;=0),0,1)))))</f>
        <v/>
      </c>
      <c r="AA290" s="21">
        <f>IF(AND($A290="",$B290=""),"",IF($E290="","Site type missing",IF($H290="","STATUS missing",IF($H290="Proposed","STATUS = Proposed",IF($H290="Not Reported","STATUS = Not Reported",IF(AND($P290="Y",$Q290&lt;&gt;"Y"),"UNESCO-MAB Biosphere Reserve",IF(AND($K290="Point",N($L290)&lt;=0),"Point without REP_AREA",IF(AND(N($L290)&lt;=0,N($N290)&lt;=0,N($R290)+N($S290)&lt;=0),"No area information",""))))))))</f>
        <v/>
      </c>
      <c r="AB290" s="22">
        <f>IF(AND($A290="",$B290=""),"",IF($K290="Point",N($L290),IF(N($N290)&gt;0,N($N290),N($L290))))</f>
        <v/>
      </c>
      <c r="AC290" s="22">
        <f>IF(AND($A290="",$B290=""),"",MIN(AB290,IF(N($J290)=0,0,IF(N($J290)=2,AB290,IF(AND($K290&lt;&gt;"Point",N($O290)&gt;0),N($O290),N($M290))))))</f>
        <v/>
      </c>
      <c r="AD290" s="22">
        <f>IF(AND($A290="",$B290=""),"",MAX(0,AB290-AC290))</f>
        <v/>
      </c>
      <c r="AE290" s="21">
        <f>IF(AND($A290="",$B290=""),"",IF(OR($R290&lt;&gt;"",$S290&lt;&gt;""),1,0))</f>
        <v/>
      </c>
      <c r="AF290" s="22">
        <f>IF(AND($A290="",$B290=""),"",IF(Z290=1,IF(AE290=1,N($R290),AD290),0))</f>
        <v/>
      </c>
      <c r="AG290" s="22">
        <f>IF(AND($A290="",$B290=""),"",IF(Z290=1,IF(AE290=1,N($S290),AC290),0))</f>
        <v/>
      </c>
      <c r="AH290" s="21">
        <f>IF(AND($A290="",$B290=""),"",IF(AND(ISNUMBER($I290),N($I290)&gt;0),$I290,0))</f>
        <v/>
      </c>
      <c r="AI290" s="23">
        <f>IF(AND(NOT(AND($A290="",$B290="")),$K290="Point",N($L290)&gt;0),SQRT(N($L290)/PI()),"")</f>
        <v/>
      </c>
      <c r="AJ290" s="21">
        <f>IF(AND($A290="",$B290=""),"",IFERROR(VLOOKUP($G290,Lists!$D$4:$E$15,2,FALSE),"Not reported"))</f>
        <v/>
      </c>
      <c r="AK290" s="21">
        <f>IF(AND($A290="",$B290=""),"",IF($X290&lt;&gt;"",$X290,IF($T290&lt;&gt;"Y","Not assessed",IF(AND(ISNUMBER($V290),Setup!$B$6-$V290&gt;Setup!$B$26),"Assessment outdated",IF(NOT(ISNUMBER($W290)),"Assessed – no score",IF($W290&gt;=Setup!$B$24,"High",IF($W290&gt;=Setup!$B$25,"Moderate","Low")))))))</f>
        <v/>
      </c>
      <c r="AL290" s="21">
        <f>IF(AND($A290="",$B290=""),"",IF(Z290=0,"",IF(AND(AE290=1,N($R290)&gt;AD290*1.01+0.001),"Net terrestrial &gt; gross; ","")&amp;IF(AND(AE290=1,N($S290)&gt;AC290*1.01+0.001),"Net marine &gt; gross; ","")&amp;IF(AE290=0,"No net area – gross used, overlaps may be double-counted; ","")&amp;IF(AH290=0,"STATUS_YR missing – imputed in time series; ","")&amp;IF(AND(ISNUMBER($I290),N($I290)&gt;Setup!$B$6),"STATUS_YR after reporting year; ","")&amp;IF(OR($G290="",$G290="Not Reported"),"GOV_TYPE not reported; ","")&amp;IF(AND(N($J290)=1,$K290="Point",N($M290)&lt;=0),"Coastal point without REP_M_AREA – land/sea split unknown; ","")&amp;IF(AND(N($J290)=0,N($S290)&gt;0),"MARINE=0 but net marine &gt;0; ","")&amp;IF(AND(N($J290)=2,N($R290)&gt;0),"MARINE=2 but net terrestrial &gt;0; ","")&amp;IF($K290="Point","Buffered point – coverage approximate; ","")))</f>
        <v/>
      </c>
    </row>
    <row r="291">
      <c r="A291" s="19" t="n"/>
      <c r="B291" s="19" t="n"/>
      <c r="C291" s="19" t="n"/>
      <c r="D291" s="19" t="n"/>
      <c r="E291" s="19" t="n"/>
      <c r="F291" s="19" t="n"/>
      <c r="G291" s="19" t="n"/>
      <c r="H291" s="19" t="n"/>
      <c r="I291" s="19" t="n"/>
      <c r="J291" s="19" t="n"/>
      <c r="K291" s="19" t="n"/>
      <c r="L291" s="20" t="n"/>
      <c r="M291" s="20" t="n"/>
      <c r="N291" s="20" t="n"/>
      <c r="O291" s="20" t="n"/>
      <c r="P291" s="19" t="n"/>
      <c r="Q291" s="19" t="n"/>
      <c r="R291" s="20" t="n"/>
      <c r="S291" s="20" t="n"/>
      <c r="T291" s="19" t="n"/>
      <c r="U291" s="19" t="n"/>
      <c r="V291" s="19" t="n"/>
      <c r="W291" s="19" t="n"/>
      <c r="X291" s="19" t="n"/>
      <c r="Y291" s="19" t="n"/>
      <c r="Z291" s="21">
        <f>IF(AND($A291="",$B291=""),"",IF(OR($E291="",$H291="",$H291="Proposed",$H291="Not Reported"),0,IF(AND($P291="Y",$Q291&lt;&gt;"Y"),0,IF(AND($K291="Point",N($L291)&lt;=0),0,IF(AND(N($L291)&lt;=0,N($N291)&lt;=0,N($R291)+N($S291)&lt;=0),0,1)))))</f>
        <v/>
      </c>
      <c r="AA291" s="21">
        <f>IF(AND($A291="",$B291=""),"",IF($E291="","Site type missing",IF($H291="","STATUS missing",IF($H291="Proposed","STATUS = Proposed",IF($H291="Not Reported","STATUS = Not Reported",IF(AND($P291="Y",$Q291&lt;&gt;"Y"),"UNESCO-MAB Biosphere Reserve",IF(AND($K291="Point",N($L291)&lt;=0),"Point without REP_AREA",IF(AND(N($L291)&lt;=0,N($N291)&lt;=0,N($R291)+N($S291)&lt;=0),"No area information",""))))))))</f>
        <v/>
      </c>
      <c r="AB291" s="22">
        <f>IF(AND($A291="",$B291=""),"",IF($K291="Point",N($L291),IF(N($N291)&gt;0,N($N291),N($L291))))</f>
        <v/>
      </c>
      <c r="AC291" s="22">
        <f>IF(AND($A291="",$B291=""),"",MIN(AB291,IF(N($J291)=0,0,IF(N($J291)=2,AB291,IF(AND($K291&lt;&gt;"Point",N($O291)&gt;0),N($O291),N($M291))))))</f>
        <v/>
      </c>
      <c r="AD291" s="22">
        <f>IF(AND($A291="",$B291=""),"",MAX(0,AB291-AC291))</f>
        <v/>
      </c>
      <c r="AE291" s="21">
        <f>IF(AND($A291="",$B291=""),"",IF(OR($R291&lt;&gt;"",$S291&lt;&gt;""),1,0))</f>
        <v/>
      </c>
      <c r="AF291" s="22">
        <f>IF(AND($A291="",$B291=""),"",IF(Z291=1,IF(AE291=1,N($R291),AD291),0))</f>
        <v/>
      </c>
      <c r="AG291" s="22">
        <f>IF(AND($A291="",$B291=""),"",IF(Z291=1,IF(AE291=1,N($S291),AC291),0))</f>
        <v/>
      </c>
      <c r="AH291" s="21">
        <f>IF(AND($A291="",$B291=""),"",IF(AND(ISNUMBER($I291),N($I291)&gt;0),$I291,0))</f>
        <v/>
      </c>
      <c r="AI291" s="23">
        <f>IF(AND(NOT(AND($A291="",$B291="")),$K291="Point",N($L291)&gt;0),SQRT(N($L291)/PI()),"")</f>
        <v/>
      </c>
      <c r="AJ291" s="21">
        <f>IF(AND($A291="",$B291=""),"",IFERROR(VLOOKUP($G291,Lists!$D$4:$E$15,2,FALSE),"Not reported"))</f>
        <v/>
      </c>
      <c r="AK291" s="21">
        <f>IF(AND($A291="",$B291=""),"",IF($X291&lt;&gt;"",$X291,IF($T291&lt;&gt;"Y","Not assessed",IF(AND(ISNUMBER($V291),Setup!$B$6-$V291&gt;Setup!$B$26),"Assessment outdated",IF(NOT(ISNUMBER($W291)),"Assessed – no score",IF($W291&gt;=Setup!$B$24,"High",IF($W291&gt;=Setup!$B$25,"Moderate","Low")))))))</f>
        <v/>
      </c>
      <c r="AL291" s="21">
        <f>IF(AND($A291="",$B291=""),"",IF(Z291=0,"",IF(AND(AE291=1,N($R291)&gt;AD291*1.01+0.001),"Net terrestrial &gt; gross; ","")&amp;IF(AND(AE291=1,N($S291)&gt;AC291*1.01+0.001),"Net marine &gt; gross; ","")&amp;IF(AE291=0,"No net area – gross used, overlaps may be double-counted; ","")&amp;IF(AH291=0,"STATUS_YR missing – imputed in time series; ","")&amp;IF(AND(ISNUMBER($I291),N($I291)&gt;Setup!$B$6),"STATUS_YR after reporting year; ","")&amp;IF(OR($G291="",$G291="Not Reported"),"GOV_TYPE not reported; ","")&amp;IF(AND(N($J291)=1,$K291="Point",N($M291)&lt;=0),"Coastal point without REP_M_AREA – land/sea split unknown; ","")&amp;IF(AND(N($J291)=0,N($S291)&gt;0),"MARINE=0 but net marine &gt;0; ","")&amp;IF(AND(N($J291)=2,N($R291)&gt;0),"MARINE=2 but net terrestrial &gt;0; ","")&amp;IF($K291="Point","Buffered point – coverage approximate; ","")))</f>
        <v/>
      </c>
    </row>
    <row r="292">
      <c r="A292" s="19" t="n"/>
      <c r="B292" s="19" t="n"/>
      <c r="C292" s="19" t="n"/>
      <c r="D292" s="19" t="n"/>
      <c r="E292" s="19" t="n"/>
      <c r="F292" s="19" t="n"/>
      <c r="G292" s="19" t="n"/>
      <c r="H292" s="19" t="n"/>
      <c r="I292" s="19" t="n"/>
      <c r="J292" s="19" t="n"/>
      <c r="K292" s="19" t="n"/>
      <c r="L292" s="20" t="n"/>
      <c r="M292" s="20" t="n"/>
      <c r="N292" s="20" t="n"/>
      <c r="O292" s="20" t="n"/>
      <c r="P292" s="19" t="n"/>
      <c r="Q292" s="19" t="n"/>
      <c r="R292" s="20" t="n"/>
      <c r="S292" s="20" t="n"/>
      <c r="T292" s="19" t="n"/>
      <c r="U292" s="19" t="n"/>
      <c r="V292" s="19" t="n"/>
      <c r="W292" s="19" t="n"/>
      <c r="X292" s="19" t="n"/>
      <c r="Y292" s="19" t="n"/>
      <c r="Z292" s="21">
        <f>IF(AND($A292="",$B292=""),"",IF(OR($E292="",$H292="",$H292="Proposed",$H292="Not Reported"),0,IF(AND($P292="Y",$Q292&lt;&gt;"Y"),0,IF(AND($K292="Point",N($L292)&lt;=0),0,IF(AND(N($L292)&lt;=0,N($N292)&lt;=0,N($R292)+N($S292)&lt;=0),0,1)))))</f>
        <v/>
      </c>
      <c r="AA292" s="21">
        <f>IF(AND($A292="",$B292=""),"",IF($E292="","Site type missing",IF($H292="","STATUS missing",IF($H292="Proposed","STATUS = Proposed",IF($H292="Not Reported","STATUS = Not Reported",IF(AND($P292="Y",$Q292&lt;&gt;"Y"),"UNESCO-MAB Biosphere Reserve",IF(AND($K292="Point",N($L292)&lt;=0),"Point without REP_AREA",IF(AND(N($L292)&lt;=0,N($N292)&lt;=0,N($R292)+N($S292)&lt;=0),"No area information",""))))))))</f>
        <v/>
      </c>
      <c r="AB292" s="22">
        <f>IF(AND($A292="",$B292=""),"",IF($K292="Point",N($L292),IF(N($N292)&gt;0,N($N292),N($L292))))</f>
        <v/>
      </c>
      <c r="AC292" s="22">
        <f>IF(AND($A292="",$B292=""),"",MIN(AB292,IF(N($J292)=0,0,IF(N($J292)=2,AB292,IF(AND($K292&lt;&gt;"Point",N($O292)&gt;0),N($O292),N($M292))))))</f>
        <v/>
      </c>
      <c r="AD292" s="22">
        <f>IF(AND($A292="",$B292=""),"",MAX(0,AB292-AC292))</f>
        <v/>
      </c>
      <c r="AE292" s="21">
        <f>IF(AND($A292="",$B292=""),"",IF(OR($R292&lt;&gt;"",$S292&lt;&gt;""),1,0))</f>
        <v/>
      </c>
      <c r="AF292" s="22">
        <f>IF(AND($A292="",$B292=""),"",IF(Z292=1,IF(AE292=1,N($R292),AD292),0))</f>
        <v/>
      </c>
      <c r="AG292" s="22">
        <f>IF(AND($A292="",$B292=""),"",IF(Z292=1,IF(AE292=1,N($S292),AC292),0))</f>
        <v/>
      </c>
      <c r="AH292" s="21">
        <f>IF(AND($A292="",$B292=""),"",IF(AND(ISNUMBER($I292),N($I292)&gt;0),$I292,0))</f>
        <v/>
      </c>
      <c r="AI292" s="23">
        <f>IF(AND(NOT(AND($A292="",$B292="")),$K292="Point",N($L292)&gt;0),SQRT(N($L292)/PI()),"")</f>
        <v/>
      </c>
      <c r="AJ292" s="21">
        <f>IF(AND($A292="",$B292=""),"",IFERROR(VLOOKUP($G292,Lists!$D$4:$E$15,2,FALSE),"Not reported"))</f>
        <v/>
      </c>
      <c r="AK292" s="21">
        <f>IF(AND($A292="",$B292=""),"",IF($X292&lt;&gt;"",$X292,IF($T292&lt;&gt;"Y","Not assessed",IF(AND(ISNUMBER($V292),Setup!$B$6-$V292&gt;Setup!$B$26),"Assessment outdated",IF(NOT(ISNUMBER($W292)),"Assessed – no score",IF($W292&gt;=Setup!$B$24,"High",IF($W292&gt;=Setup!$B$25,"Moderate","Low")))))))</f>
        <v/>
      </c>
      <c r="AL292" s="21">
        <f>IF(AND($A292="",$B292=""),"",IF(Z292=0,"",IF(AND(AE292=1,N($R292)&gt;AD292*1.01+0.001),"Net terrestrial &gt; gross; ","")&amp;IF(AND(AE292=1,N($S292)&gt;AC292*1.01+0.001),"Net marine &gt; gross; ","")&amp;IF(AE292=0,"No net area – gross used, overlaps may be double-counted; ","")&amp;IF(AH292=0,"STATUS_YR missing – imputed in time series; ","")&amp;IF(AND(ISNUMBER($I292),N($I292)&gt;Setup!$B$6),"STATUS_YR after reporting year; ","")&amp;IF(OR($G292="",$G292="Not Reported"),"GOV_TYPE not reported; ","")&amp;IF(AND(N($J292)=1,$K292="Point",N($M292)&lt;=0),"Coastal point without REP_M_AREA – land/sea split unknown; ","")&amp;IF(AND(N($J292)=0,N($S292)&gt;0),"MARINE=0 but net marine &gt;0; ","")&amp;IF(AND(N($J292)=2,N($R292)&gt;0),"MARINE=2 but net terrestrial &gt;0; ","")&amp;IF($K292="Point","Buffered point – coverage approximate; ","")))</f>
        <v/>
      </c>
    </row>
    <row r="293">
      <c r="A293" s="19" t="n"/>
      <c r="B293" s="19" t="n"/>
      <c r="C293" s="19" t="n"/>
      <c r="D293" s="19" t="n"/>
      <c r="E293" s="19" t="n"/>
      <c r="F293" s="19" t="n"/>
      <c r="G293" s="19" t="n"/>
      <c r="H293" s="19" t="n"/>
      <c r="I293" s="19" t="n"/>
      <c r="J293" s="19" t="n"/>
      <c r="K293" s="19" t="n"/>
      <c r="L293" s="20" t="n"/>
      <c r="M293" s="20" t="n"/>
      <c r="N293" s="20" t="n"/>
      <c r="O293" s="20" t="n"/>
      <c r="P293" s="19" t="n"/>
      <c r="Q293" s="19" t="n"/>
      <c r="R293" s="20" t="n"/>
      <c r="S293" s="20" t="n"/>
      <c r="T293" s="19" t="n"/>
      <c r="U293" s="19" t="n"/>
      <c r="V293" s="19" t="n"/>
      <c r="W293" s="19" t="n"/>
      <c r="X293" s="19" t="n"/>
      <c r="Y293" s="19" t="n"/>
      <c r="Z293" s="21">
        <f>IF(AND($A293="",$B293=""),"",IF(OR($E293="",$H293="",$H293="Proposed",$H293="Not Reported"),0,IF(AND($P293="Y",$Q293&lt;&gt;"Y"),0,IF(AND($K293="Point",N($L293)&lt;=0),0,IF(AND(N($L293)&lt;=0,N($N293)&lt;=0,N($R293)+N($S293)&lt;=0),0,1)))))</f>
        <v/>
      </c>
      <c r="AA293" s="21">
        <f>IF(AND($A293="",$B293=""),"",IF($E293="","Site type missing",IF($H293="","STATUS missing",IF($H293="Proposed","STATUS = Proposed",IF($H293="Not Reported","STATUS = Not Reported",IF(AND($P293="Y",$Q293&lt;&gt;"Y"),"UNESCO-MAB Biosphere Reserve",IF(AND($K293="Point",N($L293)&lt;=0),"Point without REP_AREA",IF(AND(N($L293)&lt;=0,N($N293)&lt;=0,N($R293)+N($S293)&lt;=0),"No area information",""))))))))</f>
        <v/>
      </c>
      <c r="AB293" s="22">
        <f>IF(AND($A293="",$B293=""),"",IF($K293="Point",N($L293),IF(N($N293)&gt;0,N($N293),N($L293))))</f>
        <v/>
      </c>
      <c r="AC293" s="22">
        <f>IF(AND($A293="",$B293=""),"",MIN(AB293,IF(N($J293)=0,0,IF(N($J293)=2,AB293,IF(AND($K293&lt;&gt;"Point",N($O293)&gt;0),N($O293),N($M293))))))</f>
        <v/>
      </c>
      <c r="AD293" s="22">
        <f>IF(AND($A293="",$B293=""),"",MAX(0,AB293-AC293))</f>
        <v/>
      </c>
      <c r="AE293" s="21">
        <f>IF(AND($A293="",$B293=""),"",IF(OR($R293&lt;&gt;"",$S293&lt;&gt;""),1,0))</f>
        <v/>
      </c>
      <c r="AF293" s="22">
        <f>IF(AND($A293="",$B293=""),"",IF(Z293=1,IF(AE293=1,N($R293),AD293),0))</f>
        <v/>
      </c>
      <c r="AG293" s="22">
        <f>IF(AND($A293="",$B293=""),"",IF(Z293=1,IF(AE293=1,N($S293),AC293),0))</f>
        <v/>
      </c>
      <c r="AH293" s="21">
        <f>IF(AND($A293="",$B293=""),"",IF(AND(ISNUMBER($I293),N($I293)&gt;0),$I293,0))</f>
        <v/>
      </c>
      <c r="AI293" s="23">
        <f>IF(AND(NOT(AND($A293="",$B293="")),$K293="Point",N($L293)&gt;0),SQRT(N($L293)/PI()),"")</f>
        <v/>
      </c>
      <c r="AJ293" s="21">
        <f>IF(AND($A293="",$B293=""),"",IFERROR(VLOOKUP($G293,Lists!$D$4:$E$15,2,FALSE),"Not reported"))</f>
        <v/>
      </c>
      <c r="AK293" s="21">
        <f>IF(AND($A293="",$B293=""),"",IF($X293&lt;&gt;"",$X293,IF($T293&lt;&gt;"Y","Not assessed",IF(AND(ISNUMBER($V293),Setup!$B$6-$V293&gt;Setup!$B$26),"Assessment outdated",IF(NOT(ISNUMBER($W293)),"Assessed – no score",IF($W293&gt;=Setup!$B$24,"High",IF($W293&gt;=Setup!$B$25,"Moderate","Low")))))))</f>
        <v/>
      </c>
      <c r="AL293" s="21">
        <f>IF(AND($A293="",$B293=""),"",IF(Z293=0,"",IF(AND(AE293=1,N($R293)&gt;AD293*1.01+0.001),"Net terrestrial &gt; gross; ","")&amp;IF(AND(AE293=1,N($S293)&gt;AC293*1.01+0.001),"Net marine &gt; gross; ","")&amp;IF(AE293=0,"No net area – gross used, overlaps may be double-counted; ","")&amp;IF(AH293=0,"STATUS_YR missing – imputed in time series; ","")&amp;IF(AND(ISNUMBER($I293),N($I293)&gt;Setup!$B$6),"STATUS_YR after reporting year; ","")&amp;IF(OR($G293="",$G293="Not Reported"),"GOV_TYPE not reported; ","")&amp;IF(AND(N($J293)=1,$K293="Point",N($M293)&lt;=0),"Coastal point without REP_M_AREA – land/sea split unknown; ","")&amp;IF(AND(N($J293)=0,N($S293)&gt;0),"MARINE=0 but net marine &gt;0; ","")&amp;IF(AND(N($J293)=2,N($R293)&gt;0),"MARINE=2 but net terrestrial &gt;0; ","")&amp;IF($K293="Point","Buffered point – coverage approximate; ","")))</f>
        <v/>
      </c>
    </row>
    <row r="294">
      <c r="A294" s="19" t="n"/>
      <c r="B294" s="19" t="n"/>
      <c r="C294" s="19" t="n"/>
      <c r="D294" s="19" t="n"/>
      <c r="E294" s="19" t="n"/>
      <c r="F294" s="19" t="n"/>
      <c r="G294" s="19" t="n"/>
      <c r="H294" s="19" t="n"/>
      <c r="I294" s="19" t="n"/>
      <c r="J294" s="19" t="n"/>
      <c r="K294" s="19" t="n"/>
      <c r="L294" s="20" t="n"/>
      <c r="M294" s="20" t="n"/>
      <c r="N294" s="20" t="n"/>
      <c r="O294" s="20" t="n"/>
      <c r="P294" s="19" t="n"/>
      <c r="Q294" s="19" t="n"/>
      <c r="R294" s="20" t="n"/>
      <c r="S294" s="20" t="n"/>
      <c r="T294" s="19" t="n"/>
      <c r="U294" s="19" t="n"/>
      <c r="V294" s="19" t="n"/>
      <c r="W294" s="19" t="n"/>
      <c r="X294" s="19" t="n"/>
      <c r="Y294" s="19" t="n"/>
      <c r="Z294" s="21">
        <f>IF(AND($A294="",$B294=""),"",IF(OR($E294="",$H294="",$H294="Proposed",$H294="Not Reported"),0,IF(AND($P294="Y",$Q294&lt;&gt;"Y"),0,IF(AND($K294="Point",N($L294)&lt;=0),0,IF(AND(N($L294)&lt;=0,N($N294)&lt;=0,N($R294)+N($S294)&lt;=0),0,1)))))</f>
        <v/>
      </c>
      <c r="AA294" s="21">
        <f>IF(AND($A294="",$B294=""),"",IF($E294="","Site type missing",IF($H294="","STATUS missing",IF($H294="Proposed","STATUS = Proposed",IF($H294="Not Reported","STATUS = Not Reported",IF(AND($P294="Y",$Q294&lt;&gt;"Y"),"UNESCO-MAB Biosphere Reserve",IF(AND($K294="Point",N($L294)&lt;=0),"Point without REP_AREA",IF(AND(N($L294)&lt;=0,N($N294)&lt;=0,N($R294)+N($S294)&lt;=0),"No area information",""))))))))</f>
        <v/>
      </c>
      <c r="AB294" s="22">
        <f>IF(AND($A294="",$B294=""),"",IF($K294="Point",N($L294),IF(N($N294)&gt;0,N($N294),N($L294))))</f>
        <v/>
      </c>
      <c r="AC294" s="22">
        <f>IF(AND($A294="",$B294=""),"",MIN(AB294,IF(N($J294)=0,0,IF(N($J294)=2,AB294,IF(AND($K294&lt;&gt;"Point",N($O294)&gt;0),N($O294),N($M294))))))</f>
        <v/>
      </c>
      <c r="AD294" s="22">
        <f>IF(AND($A294="",$B294=""),"",MAX(0,AB294-AC294))</f>
        <v/>
      </c>
      <c r="AE294" s="21">
        <f>IF(AND($A294="",$B294=""),"",IF(OR($R294&lt;&gt;"",$S294&lt;&gt;""),1,0))</f>
        <v/>
      </c>
      <c r="AF294" s="22">
        <f>IF(AND($A294="",$B294=""),"",IF(Z294=1,IF(AE294=1,N($R294),AD294),0))</f>
        <v/>
      </c>
      <c r="AG294" s="22">
        <f>IF(AND($A294="",$B294=""),"",IF(Z294=1,IF(AE294=1,N($S294),AC294),0))</f>
        <v/>
      </c>
      <c r="AH294" s="21">
        <f>IF(AND($A294="",$B294=""),"",IF(AND(ISNUMBER($I294),N($I294)&gt;0),$I294,0))</f>
        <v/>
      </c>
      <c r="AI294" s="23">
        <f>IF(AND(NOT(AND($A294="",$B294="")),$K294="Point",N($L294)&gt;0),SQRT(N($L294)/PI()),"")</f>
        <v/>
      </c>
      <c r="AJ294" s="21">
        <f>IF(AND($A294="",$B294=""),"",IFERROR(VLOOKUP($G294,Lists!$D$4:$E$15,2,FALSE),"Not reported"))</f>
        <v/>
      </c>
      <c r="AK294" s="21">
        <f>IF(AND($A294="",$B294=""),"",IF($X294&lt;&gt;"",$X294,IF($T294&lt;&gt;"Y","Not assessed",IF(AND(ISNUMBER($V294),Setup!$B$6-$V294&gt;Setup!$B$26),"Assessment outdated",IF(NOT(ISNUMBER($W294)),"Assessed – no score",IF($W294&gt;=Setup!$B$24,"High",IF($W294&gt;=Setup!$B$25,"Moderate","Low")))))))</f>
        <v/>
      </c>
      <c r="AL294" s="21">
        <f>IF(AND($A294="",$B294=""),"",IF(Z294=0,"",IF(AND(AE294=1,N($R294)&gt;AD294*1.01+0.001),"Net terrestrial &gt; gross; ","")&amp;IF(AND(AE294=1,N($S294)&gt;AC294*1.01+0.001),"Net marine &gt; gross; ","")&amp;IF(AE294=0,"No net area – gross used, overlaps may be double-counted; ","")&amp;IF(AH294=0,"STATUS_YR missing – imputed in time series; ","")&amp;IF(AND(ISNUMBER($I294),N($I294)&gt;Setup!$B$6),"STATUS_YR after reporting year; ","")&amp;IF(OR($G294="",$G294="Not Reported"),"GOV_TYPE not reported; ","")&amp;IF(AND(N($J294)=1,$K294="Point",N($M294)&lt;=0),"Coastal point without REP_M_AREA – land/sea split unknown; ","")&amp;IF(AND(N($J294)=0,N($S294)&gt;0),"MARINE=0 but net marine &gt;0; ","")&amp;IF(AND(N($J294)=2,N($R294)&gt;0),"MARINE=2 but net terrestrial &gt;0; ","")&amp;IF($K294="Point","Buffered point – coverage approximate; ","")))</f>
        <v/>
      </c>
    </row>
    <row r="295">
      <c r="A295" s="19" t="n"/>
      <c r="B295" s="19" t="n"/>
      <c r="C295" s="19" t="n"/>
      <c r="D295" s="19" t="n"/>
      <c r="E295" s="19" t="n"/>
      <c r="F295" s="19" t="n"/>
      <c r="G295" s="19" t="n"/>
      <c r="H295" s="19" t="n"/>
      <c r="I295" s="19" t="n"/>
      <c r="J295" s="19" t="n"/>
      <c r="K295" s="19" t="n"/>
      <c r="L295" s="20" t="n"/>
      <c r="M295" s="20" t="n"/>
      <c r="N295" s="20" t="n"/>
      <c r="O295" s="20" t="n"/>
      <c r="P295" s="19" t="n"/>
      <c r="Q295" s="19" t="n"/>
      <c r="R295" s="20" t="n"/>
      <c r="S295" s="20" t="n"/>
      <c r="T295" s="19" t="n"/>
      <c r="U295" s="19" t="n"/>
      <c r="V295" s="19" t="n"/>
      <c r="W295" s="19" t="n"/>
      <c r="X295" s="19" t="n"/>
      <c r="Y295" s="19" t="n"/>
      <c r="Z295" s="21">
        <f>IF(AND($A295="",$B295=""),"",IF(OR($E295="",$H295="",$H295="Proposed",$H295="Not Reported"),0,IF(AND($P295="Y",$Q295&lt;&gt;"Y"),0,IF(AND($K295="Point",N($L295)&lt;=0),0,IF(AND(N($L295)&lt;=0,N($N295)&lt;=0,N($R295)+N($S295)&lt;=0),0,1)))))</f>
        <v/>
      </c>
      <c r="AA295" s="21">
        <f>IF(AND($A295="",$B295=""),"",IF($E295="","Site type missing",IF($H295="","STATUS missing",IF($H295="Proposed","STATUS = Proposed",IF($H295="Not Reported","STATUS = Not Reported",IF(AND($P295="Y",$Q295&lt;&gt;"Y"),"UNESCO-MAB Biosphere Reserve",IF(AND($K295="Point",N($L295)&lt;=0),"Point without REP_AREA",IF(AND(N($L295)&lt;=0,N($N295)&lt;=0,N($R295)+N($S295)&lt;=0),"No area information",""))))))))</f>
        <v/>
      </c>
      <c r="AB295" s="22">
        <f>IF(AND($A295="",$B295=""),"",IF($K295="Point",N($L295),IF(N($N295)&gt;0,N($N295),N($L295))))</f>
        <v/>
      </c>
      <c r="AC295" s="22">
        <f>IF(AND($A295="",$B295=""),"",MIN(AB295,IF(N($J295)=0,0,IF(N($J295)=2,AB295,IF(AND($K295&lt;&gt;"Point",N($O295)&gt;0),N($O295),N($M295))))))</f>
        <v/>
      </c>
      <c r="AD295" s="22">
        <f>IF(AND($A295="",$B295=""),"",MAX(0,AB295-AC295))</f>
        <v/>
      </c>
      <c r="AE295" s="21">
        <f>IF(AND($A295="",$B295=""),"",IF(OR($R295&lt;&gt;"",$S295&lt;&gt;""),1,0))</f>
        <v/>
      </c>
      <c r="AF295" s="22">
        <f>IF(AND($A295="",$B295=""),"",IF(Z295=1,IF(AE295=1,N($R295),AD295),0))</f>
        <v/>
      </c>
      <c r="AG295" s="22">
        <f>IF(AND($A295="",$B295=""),"",IF(Z295=1,IF(AE295=1,N($S295),AC295),0))</f>
        <v/>
      </c>
      <c r="AH295" s="21">
        <f>IF(AND($A295="",$B295=""),"",IF(AND(ISNUMBER($I295),N($I295)&gt;0),$I295,0))</f>
        <v/>
      </c>
      <c r="AI295" s="23">
        <f>IF(AND(NOT(AND($A295="",$B295="")),$K295="Point",N($L295)&gt;0),SQRT(N($L295)/PI()),"")</f>
        <v/>
      </c>
      <c r="AJ295" s="21">
        <f>IF(AND($A295="",$B295=""),"",IFERROR(VLOOKUP($G295,Lists!$D$4:$E$15,2,FALSE),"Not reported"))</f>
        <v/>
      </c>
      <c r="AK295" s="21">
        <f>IF(AND($A295="",$B295=""),"",IF($X295&lt;&gt;"",$X295,IF($T295&lt;&gt;"Y","Not assessed",IF(AND(ISNUMBER($V295),Setup!$B$6-$V295&gt;Setup!$B$26),"Assessment outdated",IF(NOT(ISNUMBER($W295)),"Assessed – no score",IF($W295&gt;=Setup!$B$24,"High",IF($W295&gt;=Setup!$B$25,"Moderate","Low")))))))</f>
        <v/>
      </c>
      <c r="AL295" s="21">
        <f>IF(AND($A295="",$B295=""),"",IF(Z295=0,"",IF(AND(AE295=1,N($R295)&gt;AD295*1.01+0.001),"Net terrestrial &gt; gross; ","")&amp;IF(AND(AE295=1,N($S295)&gt;AC295*1.01+0.001),"Net marine &gt; gross; ","")&amp;IF(AE295=0,"No net area – gross used, overlaps may be double-counted; ","")&amp;IF(AH295=0,"STATUS_YR missing – imputed in time series; ","")&amp;IF(AND(ISNUMBER($I295),N($I295)&gt;Setup!$B$6),"STATUS_YR after reporting year; ","")&amp;IF(OR($G295="",$G295="Not Reported"),"GOV_TYPE not reported; ","")&amp;IF(AND(N($J295)=1,$K295="Point",N($M295)&lt;=0),"Coastal point without REP_M_AREA – land/sea split unknown; ","")&amp;IF(AND(N($J295)=0,N($S295)&gt;0),"MARINE=0 but net marine &gt;0; ","")&amp;IF(AND(N($J295)=2,N($R295)&gt;0),"MARINE=2 but net terrestrial &gt;0; ","")&amp;IF($K295="Point","Buffered point – coverage approximate; ","")))</f>
        <v/>
      </c>
    </row>
    <row r="296">
      <c r="A296" s="19" t="n"/>
      <c r="B296" s="19" t="n"/>
      <c r="C296" s="19" t="n"/>
      <c r="D296" s="19" t="n"/>
      <c r="E296" s="19" t="n"/>
      <c r="F296" s="19" t="n"/>
      <c r="G296" s="19" t="n"/>
      <c r="H296" s="19" t="n"/>
      <c r="I296" s="19" t="n"/>
      <c r="J296" s="19" t="n"/>
      <c r="K296" s="19" t="n"/>
      <c r="L296" s="20" t="n"/>
      <c r="M296" s="20" t="n"/>
      <c r="N296" s="20" t="n"/>
      <c r="O296" s="20" t="n"/>
      <c r="P296" s="19" t="n"/>
      <c r="Q296" s="19" t="n"/>
      <c r="R296" s="20" t="n"/>
      <c r="S296" s="20" t="n"/>
      <c r="T296" s="19" t="n"/>
      <c r="U296" s="19" t="n"/>
      <c r="V296" s="19" t="n"/>
      <c r="W296" s="19" t="n"/>
      <c r="X296" s="19" t="n"/>
      <c r="Y296" s="19" t="n"/>
      <c r="Z296" s="21">
        <f>IF(AND($A296="",$B296=""),"",IF(OR($E296="",$H296="",$H296="Proposed",$H296="Not Reported"),0,IF(AND($P296="Y",$Q296&lt;&gt;"Y"),0,IF(AND($K296="Point",N($L296)&lt;=0),0,IF(AND(N($L296)&lt;=0,N($N296)&lt;=0,N($R296)+N($S296)&lt;=0),0,1)))))</f>
        <v/>
      </c>
      <c r="AA296" s="21">
        <f>IF(AND($A296="",$B296=""),"",IF($E296="","Site type missing",IF($H296="","STATUS missing",IF($H296="Proposed","STATUS = Proposed",IF($H296="Not Reported","STATUS = Not Reported",IF(AND($P296="Y",$Q296&lt;&gt;"Y"),"UNESCO-MAB Biosphere Reserve",IF(AND($K296="Point",N($L296)&lt;=0),"Point without REP_AREA",IF(AND(N($L296)&lt;=0,N($N296)&lt;=0,N($R296)+N($S296)&lt;=0),"No area information",""))))))))</f>
        <v/>
      </c>
      <c r="AB296" s="22">
        <f>IF(AND($A296="",$B296=""),"",IF($K296="Point",N($L296),IF(N($N296)&gt;0,N($N296),N($L296))))</f>
        <v/>
      </c>
      <c r="AC296" s="22">
        <f>IF(AND($A296="",$B296=""),"",MIN(AB296,IF(N($J296)=0,0,IF(N($J296)=2,AB296,IF(AND($K296&lt;&gt;"Point",N($O296)&gt;0),N($O296),N($M296))))))</f>
        <v/>
      </c>
      <c r="AD296" s="22">
        <f>IF(AND($A296="",$B296=""),"",MAX(0,AB296-AC296))</f>
        <v/>
      </c>
      <c r="AE296" s="21">
        <f>IF(AND($A296="",$B296=""),"",IF(OR($R296&lt;&gt;"",$S296&lt;&gt;""),1,0))</f>
        <v/>
      </c>
      <c r="AF296" s="22">
        <f>IF(AND($A296="",$B296=""),"",IF(Z296=1,IF(AE296=1,N($R296),AD296),0))</f>
        <v/>
      </c>
      <c r="AG296" s="22">
        <f>IF(AND($A296="",$B296=""),"",IF(Z296=1,IF(AE296=1,N($S296),AC296),0))</f>
        <v/>
      </c>
      <c r="AH296" s="21">
        <f>IF(AND($A296="",$B296=""),"",IF(AND(ISNUMBER($I296),N($I296)&gt;0),$I296,0))</f>
        <v/>
      </c>
      <c r="AI296" s="23">
        <f>IF(AND(NOT(AND($A296="",$B296="")),$K296="Point",N($L296)&gt;0),SQRT(N($L296)/PI()),"")</f>
        <v/>
      </c>
      <c r="AJ296" s="21">
        <f>IF(AND($A296="",$B296=""),"",IFERROR(VLOOKUP($G296,Lists!$D$4:$E$15,2,FALSE),"Not reported"))</f>
        <v/>
      </c>
      <c r="AK296" s="21">
        <f>IF(AND($A296="",$B296=""),"",IF($X296&lt;&gt;"",$X296,IF($T296&lt;&gt;"Y","Not assessed",IF(AND(ISNUMBER($V296),Setup!$B$6-$V296&gt;Setup!$B$26),"Assessment outdated",IF(NOT(ISNUMBER($W296)),"Assessed – no score",IF($W296&gt;=Setup!$B$24,"High",IF($W296&gt;=Setup!$B$25,"Moderate","Low")))))))</f>
        <v/>
      </c>
      <c r="AL296" s="21">
        <f>IF(AND($A296="",$B296=""),"",IF(Z296=0,"",IF(AND(AE296=1,N($R296)&gt;AD296*1.01+0.001),"Net terrestrial &gt; gross; ","")&amp;IF(AND(AE296=1,N($S296)&gt;AC296*1.01+0.001),"Net marine &gt; gross; ","")&amp;IF(AE296=0,"No net area – gross used, overlaps may be double-counted; ","")&amp;IF(AH296=0,"STATUS_YR missing – imputed in time series; ","")&amp;IF(AND(ISNUMBER($I296),N($I296)&gt;Setup!$B$6),"STATUS_YR after reporting year; ","")&amp;IF(OR($G296="",$G296="Not Reported"),"GOV_TYPE not reported; ","")&amp;IF(AND(N($J296)=1,$K296="Point",N($M296)&lt;=0),"Coastal point without REP_M_AREA – land/sea split unknown; ","")&amp;IF(AND(N($J296)=0,N($S296)&gt;0),"MARINE=0 but net marine &gt;0; ","")&amp;IF(AND(N($J296)=2,N($R296)&gt;0),"MARINE=2 but net terrestrial &gt;0; ","")&amp;IF($K296="Point","Buffered point – coverage approximate; ","")))</f>
        <v/>
      </c>
    </row>
    <row r="297">
      <c r="A297" s="19" t="n"/>
      <c r="B297" s="19" t="n"/>
      <c r="C297" s="19" t="n"/>
      <c r="D297" s="19" t="n"/>
      <c r="E297" s="19" t="n"/>
      <c r="F297" s="19" t="n"/>
      <c r="G297" s="19" t="n"/>
      <c r="H297" s="19" t="n"/>
      <c r="I297" s="19" t="n"/>
      <c r="J297" s="19" t="n"/>
      <c r="K297" s="19" t="n"/>
      <c r="L297" s="20" t="n"/>
      <c r="M297" s="20" t="n"/>
      <c r="N297" s="20" t="n"/>
      <c r="O297" s="20" t="n"/>
      <c r="P297" s="19" t="n"/>
      <c r="Q297" s="19" t="n"/>
      <c r="R297" s="20" t="n"/>
      <c r="S297" s="20" t="n"/>
      <c r="T297" s="19" t="n"/>
      <c r="U297" s="19" t="n"/>
      <c r="V297" s="19" t="n"/>
      <c r="W297" s="19" t="n"/>
      <c r="X297" s="19" t="n"/>
      <c r="Y297" s="19" t="n"/>
      <c r="Z297" s="21">
        <f>IF(AND($A297="",$B297=""),"",IF(OR($E297="",$H297="",$H297="Proposed",$H297="Not Reported"),0,IF(AND($P297="Y",$Q297&lt;&gt;"Y"),0,IF(AND($K297="Point",N($L297)&lt;=0),0,IF(AND(N($L297)&lt;=0,N($N297)&lt;=0,N($R297)+N($S297)&lt;=0),0,1)))))</f>
        <v/>
      </c>
      <c r="AA297" s="21">
        <f>IF(AND($A297="",$B297=""),"",IF($E297="","Site type missing",IF($H297="","STATUS missing",IF($H297="Proposed","STATUS = Proposed",IF($H297="Not Reported","STATUS = Not Reported",IF(AND($P297="Y",$Q297&lt;&gt;"Y"),"UNESCO-MAB Biosphere Reserve",IF(AND($K297="Point",N($L297)&lt;=0),"Point without REP_AREA",IF(AND(N($L297)&lt;=0,N($N297)&lt;=0,N($R297)+N($S297)&lt;=0),"No area information",""))))))))</f>
        <v/>
      </c>
      <c r="AB297" s="22">
        <f>IF(AND($A297="",$B297=""),"",IF($K297="Point",N($L297),IF(N($N297)&gt;0,N($N297),N($L297))))</f>
        <v/>
      </c>
      <c r="AC297" s="22">
        <f>IF(AND($A297="",$B297=""),"",MIN(AB297,IF(N($J297)=0,0,IF(N($J297)=2,AB297,IF(AND($K297&lt;&gt;"Point",N($O297)&gt;0),N($O297),N($M297))))))</f>
        <v/>
      </c>
      <c r="AD297" s="22">
        <f>IF(AND($A297="",$B297=""),"",MAX(0,AB297-AC297))</f>
        <v/>
      </c>
      <c r="AE297" s="21">
        <f>IF(AND($A297="",$B297=""),"",IF(OR($R297&lt;&gt;"",$S297&lt;&gt;""),1,0))</f>
        <v/>
      </c>
      <c r="AF297" s="22">
        <f>IF(AND($A297="",$B297=""),"",IF(Z297=1,IF(AE297=1,N($R297),AD297),0))</f>
        <v/>
      </c>
      <c r="AG297" s="22">
        <f>IF(AND($A297="",$B297=""),"",IF(Z297=1,IF(AE297=1,N($S297),AC297),0))</f>
        <v/>
      </c>
      <c r="AH297" s="21">
        <f>IF(AND($A297="",$B297=""),"",IF(AND(ISNUMBER($I297),N($I297)&gt;0),$I297,0))</f>
        <v/>
      </c>
      <c r="AI297" s="23">
        <f>IF(AND(NOT(AND($A297="",$B297="")),$K297="Point",N($L297)&gt;0),SQRT(N($L297)/PI()),"")</f>
        <v/>
      </c>
      <c r="AJ297" s="21">
        <f>IF(AND($A297="",$B297=""),"",IFERROR(VLOOKUP($G297,Lists!$D$4:$E$15,2,FALSE),"Not reported"))</f>
        <v/>
      </c>
      <c r="AK297" s="21">
        <f>IF(AND($A297="",$B297=""),"",IF($X297&lt;&gt;"",$X297,IF($T297&lt;&gt;"Y","Not assessed",IF(AND(ISNUMBER($V297),Setup!$B$6-$V297&gt;Setup!$B$26),"Assessment outdated",IF(NOT(ISNUMBER($W297)),"Assessed – no score",IF($W297&gt;=Setup!$B$24,"High",IF($W297&gt;=Setup!$B$25,"Moderate","Low")))))))</f>
        <v/>
      </c>
      <c r="AL297" s="21">
        <f>IF(AND($A297="",$B297=""),"",IF(Z297=0,"",IF(AND(AE297=1,N($R297)&gt;AD297*1.01+0.001),"Net terrestrial &gt; gross; ","")&amp;IF(AND(AE297=1,N($S297)&gt;AC297*1.01+0.001),"Net marine &gt; gross; ","")&amp;IF(AE297=0,"No net area – gross used, overlaps may be double-counted; ","")&amp;IF(AH297=0,"STATUS_YR missing – imputed in time series; ","")&amp;IF(AND(ISNUMBER($I297),N($I297)&gt;Setup!$B$6),"STATUS_YR after reporting year; ","")&amp;IF(OR($G297="",$G297="Not Reported"),"GOV_TYPE not reported; ","")&amp;IF(AND(N($J297)=1,$K297="Point",N($M297)&lt;=0),"Coastal point without REP_M_AREA – land/sea split unknown; ","")&amp;IF(AND(N($J297)=0,N($S297)&gt;0),"MARINE=0 but net marine &gt;0; ","")&amp;IF(AND(N($J297)=2,N($R297)&gt;0),"MARINE=2 but net terrestrial &gt;0; ","")&amp;IF($K297="Point","Buffered point – coverage approximate; ","")))</f>
        <v/>
      </c>
    </row>
    <row r="298">
      <c r="A298" s="19" t="n"/>
      <c r="B298" s="19" t="n"/>
      <c r="C298" s="19" t="n"/>
      <c r="D298" s="19" t="n"/>
      <c r="E298" s="19" t="n"/>
      <c r="F298" s="19" t="n"/>
      <c r="G298" s="19" t="n"/>
      <c r="H298" s="19" t="n"/>
      <c r="I298" s="19" t="n"/>
      <c r="J298" s="19" t="n"/>
      <c r="K298" s="19" t="n"/>
      <c r="L298" s="20" t="n"/>
      <c r="M298" s="20" t="n"/>
      <c r="N298" s="20" t="n"/>
      <c r="O298" s="20" t="n"/>
      <c r="P298" s="19" t="n"/>
      <c r="Q298" s="19" t="n"/>
      <c r="R298" s="20" t="n"/>
      <c r="S298" s="20" t="n"/>
      <c r="T298" s="19" t="n"/>
      <c r="U298" s="19" t="n"/>
      <c r="V298" s="19" t="n"/>
      <c r="W298" s="19" t="n"/>
      <c r="X298" s="19" t="n"/>
      <c r="Y298" s="19" t="n"/>
      <c r="Z298" s="21">
        <f>IF(AND($A298="",$B298=""),"",IF(OR($E298="",$H298="",$H298="Proposed",$H298="Not Reported"),0,IF(AND($P298="Y",$Q298&lt;&gt;"Y"),0,IF(AND($K298="Point",N($L298)&lt;=0),0,IF(AND(N($L298)&lt;=0,N($N298)&lt;=0,N($R298)+N($S298)&lt;=0),0,1)))))</f>
        <v/>
      </c>
      <c r="AA298" s="21">
        <f>IF(AND($A298="",$B298=""),"",IF($E298="","Site type missing",IF($H298="","STATUS missing",IF($H298="Proposed","STATUS = Proposed",IF($H298="Not Reported","STATUS = Not Reported",IF(AND($P298="Y",$Q298&lt;&gt;"Y"),"UNESCO-MAB Biosphere Reserve",IF(AND($K298="Point",N($L298)&lt;=0),"Point without REP_AREA",IF(AND(N($L298)&lt;=0,N($N298)&lt;=0,N($R298)+N($S298)&lt;=0),"No area information",""))))))))</f>
        <v/>
      </c>
      <c r="AB298" s="22">
        <f>IF(AND($A298="",$B298=""),"",IF($K298="Point",N($L298),IF(N($N298)&gt;0,N($N298),N($L298))))</f>
        <v/>
      </c>
      <c r="AC298" s="22">
        <f>IF(AND($A298="",$B298=""),"",MIN(AB298,IF(N($J298)=0,0,IF(N($J298)=2,AB298,IF(AND($K298&lt;&gt;"Point",N($O298)&gt;0),N($O298),N($M298))))))</f>
        <v/>
      </c>
      <c r="AD298" s="22">
        <f>IF(AND($A298="",$B298=""),"",MAX(0,AB298-AC298))</f>
        <v/>
      </c>
      <c r="AE298" s="21">
        <f>IF(AND($A298="",$B298=""),"",IF(OR($R298&lt;&gt;"",$S298&lt;&gt;""),1,0))</f>
        <v/>
      </c>
      <c r="AF298" s="22">
        <f>IF(AND($A298="",$B298=""),"",IF(Z298=1,IF(AE298=1,N($R298),AD298),0))</f>
        <v/>
      </c>
      <c r="AG298" s="22">
        <f>IF(AND($A298="",$B298=""),"",IF(Z298=1,IF(AE298=1,N($S298),AC298),0))</f>
        <v/>
      </c>
      <c r="AH298" s="21">
        <f>IF(AND($A298="",$B298=""),"",IF(AND(ISNUMBER($I298),N($I298)&gt;0),$I298,0))</f>
        <v/>
      </c>
      <c r="AI298" s="23">
        <f>IF(AND(NOT(AND($A298="",$B298="")),$K298="Point",N($L298)&gt;0),SQRT(N($L298)/PI()),"")</f>
        <v/>
      </c>
      <c r="AJ298" s="21">
        <f>IF(AND($A298="",$B298=""),"",IFERROR(VLOOKUP($G298,Lists!$D$4:$E$15,2,FALSE),"Not reported"))</f>
        <v/>
      </c>
      <c r="AK298" s="21">
        <f>IF(AND($A298="",$B298=""),"",IF($X298&lt;&gt;"",$X298,IF($T298&lt;&gt;"Y","Not assessed",IF(AND(ISNUMBER($V298),Setup!$B$6-$V298&gt;Setup!$B$26),"Assessment outdated",IF(NOT(ISNUMBER($W298)),"Assessed – no score",IF($W298&gt;=Setup!$B$24,"High",IF($W298&gt;=Setup!$B$25,"Moderate","Low")))))))</f>
        <v/>
      </c>
      <c r="AL298" s="21">
        <f>IF(AND($A298="",$B298=""),"",IF(Z298=0,"",IF(AND(AE298=1,N($R298)&gt;AD298*1.01+0.001),"Net terrestrial &gt; gross; ","")&amp;IF(AND(AE298=1,N($S298)&gt;AC298*1.01+0.001),"Net marine &gt; gross; ","")&amp;IF(AE298=0,"No net area – gross used, overlaps may be double-counted; ","")&amp;IF(AH298=0,"STATUS_YR missing – imputed in time series; ","")&amp;IF(AND(ISNUMBER($I298),N($I298)&gt;Setup!$B$6),"STATUS_YR after reporting year; ","")&amp;IF(OR($G298="",$G298="Not Reported"),"GOV_TYPE not reported; ","")&amp;IF(AND(N($J298)=1,$K298="Point",N($M298)&lt;=0),"Coastal point without REP_M_AREA – land/sea split unknown; ","")&amp;IF(AND(N($J298)=0,N($S298)&gt;0),"MARINE=0 but net marine &gt;0; ","")&amp;IF(AND(N($J298)=2,N($R298)&gt;0),"MARINE=2 but net terrestrial &gt;0; ","")&amp;IF($K298="Point","Buffered point – coverage approximate; ","")))</f>
        <v/>
      </c>
    </row>
    <row r="299">
      <c r="A299" s="19" t="n"/>
      <c r="B299" s="19" t="n"/>
      <c r="C299" s="19" t="n"/>
      <c r="D299" s="19" t="n"/>
      <c r="E299" s="19" t="n"/>
      <c r="F299" s="19" t="n"/>
      <c r="G299" s="19" t="n"/>
      <c r="H299" s="19" t="n"/>
      <c r="I299" s="19" t="n"/>
      <c r="J299" s="19" t="n"/>
      <c r="K299" s="19" t="n"/>
      <c r="L299" s="20" t="n"/>
      <c r="M299" s="20" t="n"/>
      <c r="N299" s="20" t="n"/>
      <c r="O299" s="20" t="n"/>
      <c r="P299" s="19" t="n"/>
      <c r="Q299" s="19" t="n"/>
      <c r="R299" s="20" t="n"/>
      <c r="S299" s="20" t="n"/>
      <c r="T299" s="19" t="n"/>
      <c r="U299" s="19" t="n"/>
      <c r="V299" s="19" t="n"/>
      <c r="W299" s="19" t="n"/>
      <c r="X299" s="19" t="n"/>
      <c r="Y299" s="19" t="n"/>
      <c r="Z299" s="21">
        <f>IF(AND($A299="",$B299=""),"",IF(OR($E299="",$H299="",$H299="Proposed",$H299="Not Reported"),0,IF(AND($P299="Y",$Q299&lt;&gt;"Y"),0,IF(AND($K299="Point",N($L299)&lt;=0),0,IF(AND(N($L299)&lt;=0,N($N299)&lt;=0,N($R299)+N($S299)&lt;=0),0,1)))))</f>
        <v/>
      </c>
      <c r="AA299" s="21">
        <f>IF(AND($A299="",$B299=""),"",IF($E299="","Site type missing",IF($H299="","STATUS missing",IF($H299="Proposed","STATUS = Proposed",IF($H299="Not Reported","STATUS = Not Reported",IF(AND($P299="Y",$Q299&lt;&gt;"Y"),"UNESCO-MAB Biosphere Reserve",IF(AND($K299="Point",N($L299)&lt;=0),"Point without REP_AREA",IF(AND(N($L299)&lt;=0,N($N299)&lt;=0,N($R299)+N($S299)&lt;=0),"No area information",""))))))))</f>
        <v/>
      </c>
      <c r="AB299" s="22">
        <f>IF(AND($A299="",$B299=""),"",IF($K299="Point",N($L299),IF(N($N299)&gt;0,N($N299),N($L299))))</f>
        <v/>
      </c>
      <c r="AC299" s="22">
        <f>IF(AND($A299="",$B299=""),"",MIN(AB299,IF(N($J299)=0,0,IF(N($J299)=2,AB299,IF(AND($K299&lt;&gt;"Point",N($O299)&gt;0),N($O299),N($M299))))))</f>
        <v/>
      </c>
      <c r="AD299" s="22">
        <f>IF(AND($A299="",$B299=""),"",MAX(0,AB299-AC299))</f>
        <v/>
      </c>
      <c r="AE299" s="21">
        <f>IF(AND($A299="",$B299=""),"",IF(OR($R299&lt;&gt;"",$S299&lt;&gt;""),1,0))</f>
        <v/>
      </c>
      <c r="AF299" s="22">
        <f>IF(AND($A299="",$B299=""),"",IF(Z299=1,IF(AE299=1,N($R299),AD299),0))</f>
        <v/>
      </c>
      <c r="AG299" s="22">
        <f>IF(AND($A299="",$B299=""),"",IF(Z299=1,IF(AE299=1,N($S299),AC299),0))</f>
        <v/>
      </c>
      <c r="AH299" s="21">
        <f>IF(AND($A299="",$B299=""),"",IF(AND(ISNUMBER($I299),N($I299)&gt;0),$I299,0))</f>
        <v/>
      </c>
      <c r="AI299" s="23">
        <f>IF(AND(NOT(AND($A299="",$B299="")),$K299="Point",N($L299)&gt;0),SQRT(N($L299)/PI()),"")</f>
        <v/>
      </c>
      <c r="AJ299" s="21">
        <f>IF(AND($A299="",$B299=""),"",IFERROR(VLOOKUP($G299,Lists!$D$4:$E$15,2,FALSE),"Not reported"))</f>
        <v/>
      </c>
      <c r="AK299" s="21">
        <f>IF(AND($A299="",$B299=""),"",IF($X299&lt;&gt;"",$X299,IF($T299&lt;&gt;"Y","Not assessed",IF(AND(ISNUMBER($V299),Setup!$B$6-$V299&gt;Setup!$B$26),"Assessment outdated",IF(NOT(ISNUMBER($W299)),"Assessed – no score",IF($W299&gt;=Setup!$B$24,"High",IF($W299&gt;=Setup!$B$25,"Moderate","Low")))))))</f>
        <v/>
      </c>
      <c r="AL299" s="21">
        <f>IF(AND($A299="",$B299=""),"",IF(Z299=0,"",IF(AND(AE299=1,N($R299)&gt;AD299*1.01+0.001),"Net terrestrial &gt; gross; ","")&amp;IF(AND(AE299=1,N($S299)&gt;AC299*1.01+0.001),"Net marine &gt; gross; ","")&amp;IF(AE299=0,"No net area – gross used, overlaps may be double-counted; ","")&amp;IF(AH299=0,"STATUS_YR missing – imputed in time series; ","")&amp;IF(AND(ISNUMBER($I299),N($I299)&gt;Setup!$B$6),"STATUS_YR after reporting year; ","")&amp;IF(OR($G299="",$G299="Not Reported"),"GOV_TYPE not reported; ","")&amp;IF(AND(N($J299)=1,$K299="Point",N($M299)&lt;=0),"Coastal point without REP_M_AREA – land/sea split unknown; ","")&amp;IF(AND(N($J299)=0,N($S299)&gt;0),"MARINE=0 but net marine &gt;0; ","")&amp;IF(AND(N($J299)=2,N($R299)&gt;0),"MARINE=2 but net terrestrial &gt;0; ","")&amp;IF($K299="Point","Buffered point – coverage approximate; ","")))</f>
        <v/>
      </c>
    </row>
    <row r="300">
      <c r="A300" s="19" t="n"/>
      <c r="B300" s="19" t="n"/>
      <c r="C300" s="19" t="n"/>
      <c r="D300" s="19" t="n"/>
      <c r="E300" s="19" t="n"/>
      <c r="F300" s="19" t="n"/>
      <c r="G300" s="19" t="n"/>
      <c r="H300" s="19" t="n"/>
      <c r="I300" s="19" t="n"/>
      <c r="J300" s="19" t="n"/>
      <c r="K300" s="19" t="n"/>
      <c r="L300" s="20" t="n"/>
      <c r="M300" s="20" t="n"/>
      <c r="N300" s="20" t="n"/>
      <c r="O300" s="20" t="n"/>
      <c r="P300" s="19" t="n"/>
      <c r="Q300" s="19" t="n"/>
      <c r="R300" s="20" t="n"/>
      <c r="S300" s="20" t="n"/>
      <c r="T300" s="19" t="n"/>
      <c r="U300" s="19" t="n"/>
      <c r="V300" s="19" t="n"/>
      <c r="W300" s="19" t="n"/>
      <c r="X300" s="19" t="n"/>
      <c r="Y300" s="19" t="n"/>
      <c r="Z300" s="21">
        <f>IF(AND($A300="",$B300=""),"",IF(OR($E300="",$H300="",$H300="Proposed",$H300="Not Reported"),0,IF(AND($P300="Y",$Q300&lt;&gt;"Y"),0,IF(AND($K300="Point",N($L300)&lt;=0),0,IF(AND(N($L300)&lt;=0,N($N300)&lt;=0,N($R300)+N($S300)&lt;=0),0,1)))))</f>
        <v/>
      </c>
      <c r="AA300" s="21">
        <f>IF(AND($A300="",$B300=""),"",IF($E300="","Site type missing",IF($H300="","STATUS missing",IF($H300="Proposed","STATUS = Proposed",IF($H300="Not Reported","STATUS = Not Reported",IF(AND($P300="Y",$Q300&lt;&gt;"Y"),"UNESCO-MAB Biosphere Reserve",IF(AND($K300="Point",N($L300)&lt;=0),"Point without REP_AREA",IF(AND(N($L300)&lt;=0,N($N300)&lt;=0,N($R300)+N($S300)&lt;=0),"No area information",""))))))))</f>
        <v/>
      </c>
      <c r="AB300" s="22">
        <f>IF(AND($A300="",$B300=""),"",IF($K300="Point",N($L300),IF(N($N300)&gt;0,N($N300),N($L300))))</f>
        <v/>
      </c>
      <c r="AC300" s="22">
        <f>IF(AND($A300="",$B300=""),"",MIN(AB300,IF(N($J300)=0,0,IF(N($J300)=2,AB300,IF(AND($K300&lt;&gt;"Point",N($O300)&gt;0),N($O300),N($M300))))))</f>
        <v/>
      </c>
      <c r="AD300" s="22">
        <f>IF(AND($A300="",$B300=""),"",MAX(0,AB300-AC300))</f>
        <v/>
      </c>
      <c r="AE300" s="21">
        <f>IF(AND($A300="",$B300=""),"",IF(OR($R300&lt;&gt;"",$S300&lt;&gt;""),1,0))</f>
        <v/>
      </c>
      <c r="AF300" s="22">
        <f>IF(AND($A300="",$B300=""),"",IF(Z300=1,IF(AE300=1,N($R300),AD300),0))</f>
        <v/>
      </c>
      <c r="AG300" s="22">
        <f>IF(AND($A300="",$B300=""),"",IF(Z300=1,IF(AE300=1,N($S300),AC300),0))</f>
        <v/>
      </c>
      <c r="AH300" s="21">
        <f>IF(AND($A300="",$B300=""),"",IF(AND(ISNUMBER($I300),N($I300)&gt;0),$I300,0))</f>
        <v/>
      </c>
      <c r="AI300" s="23">
        <f>IF(AND(NOT(AND($A300="",$B300="")),$K300="Point",N($L300)&gt;0),SQRT(N($L300)/PI()),"")</f>
        <v/>
      </c>
      <c r="AJ300" s="21">
        <f>IF(AND($A300="",$B300=""),"",IFERROR(VLOOKUP($G300,Lists!$D$4:$E$15,2,FALSE),"Not reported"))</f>
        <v/>
      </c>
      <c r="AK300" s="21">
        <f>IF(AND($A300="",$B300=""),"",IF($X300&lt;&gt;"",$X300,IF($T300&lt;&gt;"Y","Not assessed",IF(AND(ISNUMBER($V300),Setup!$B$6-$V300&gt;Setup!$B$26),"Assessment outdated",IF(NOT(ISNUMBER($W300)),"Assessed – no score",IF($W300&gt;=Setup!$B$24,"High",IF($W300&gt;=Setup!$B$25,"Moderate","Low")))))))</f>
        <v/>
      </c>
      <c r="AL300" s="21">
        <f>IF(AND($A300="",$B300=""),"",IF(Z300=0,"",IF(AND(AE300=1,N($R300)&gt;AD300*1.01+0.001),"Net terrestrial &gt; gross; ","")&amp;IF(AND(AE300=1,N($S300)&gt;AC300*1.01+0.001),"Net marine &gt; gross; ","")&amp;IF(AE300=0,"No net area – gross used, overlaps may be double-counted; ","")&amp;IF(AH300=0,"STATUS_YR missing – imputed in time series; ","")&amp;IF(AND(ISNUMBER($I300),N($I300)&gt;Setup!$B$6),"STATUS_YR after reporting year; ","")&amp;IF(OR($G300="",$G300="Not Reported"),"GOV_TYPE not reported; ","")&amp;IF(AND(N($J300)=1,$K300="Point",N($M300)&lt;=0),"Coastal point without REP_M_AREA – land/sea split unknown; ","")&amp;IF(AND(N($J300)=0,N($S300)&gt;0),"MARINE=0 but net marine &gt;0; ","")&amp;IF(AND(N($J300)=2,N($R300)&gt;0),"MARINE=2 but net terrestrial &gt;0; ","")&amp;IF($K300="Point","Buffered point – coverage approximate; ","")))</f>
        <v/>
      </c>
    </row>
    <row r="301">
      <c r="A301" s="19" t="n"/>
      <c r="B301" s="19" t="n"/>
      <c r="C301" s="19" t="n"/>
      <c r="D301" s="19" t="n"/>
      <c r="E301" s="19" t="n"/>
      <c r="F301" s="19" t="n"/>
      <c r="G301" s="19" t="n"/>
      <c r="H301" s="19" t="n"/>
      <c r="I301" s="19" t="n"/>
      <c r="J301" s="19" t="n"/>
      <c r="K301" s="19" t="n"/>
      <c r="L301" s="20" t="n"/>
      <c r="M301" s="20" t="n"/>
      <c r="N301" s="20" t="n"/>
      <c r="O301" s="20" t="n"/>
      <c r="P301" s="19" t="n"/>
      <c r="Q301" s="19" t="n"/>
      <c r="R301" s="20" t="n"/>
      <c r="S301" s="20" t="n"/>
      <c r="T301" s="19" t="n"/>
      <c r="U301" s="19" t="n"/>
      <c r="V301" s="19" t="n"/>
      <c r="W301" s="19" t="n"/>
      <c r="X301" s="19" t="n"/>
      <c r="Y301" s="19" t="n"/>
      <c r="Z301" s="21">
        <f>IF(AND($A301="",$B301=""),"",IF(OR($E301="",$H301="",$H301="Proposed",$H301="Not Reported"),0,IF(AND($P301="Y",$Q301&lt;&gt;"Y"),0,IF(AND($K301="Point",N($L301)&lt;=0),0,IF(AND(N($L301)&lt;=0,N($N301)&lt;=0,N($R301)+N($S301)&lt;=0),0,1)))))</f>
        <v/>
      </c>
      <c r="AA301" s="21">
        <f>IF(AND($A301="",$B301=""),"",IF($E301="","Site type missing",IF($H301="","STATUS missing",IF($H301="Proposed","STATUS = Proposed",IF($H301="Not Reported","STATUS = Not Reported",IF(AND($P301="Y",$Q301&lt;&gt;"Y"),"UNESCO-MAB Biosphere Reserve",IF(AND($K301="Point",N($L301)&lt;=0),"Point without REP_AREA",IF(AND(N($L301)&lt;=0,N($N301)&lt;=0,N($R301)+N($S301)&lt;=0),"No area information",""))))))))</f>
        <v/>
      </c>
      <c r="AB301" s="22">
        <f>IF(AND($A301="",$B301=""),"",IF($K301="Point",N($L301),IF(N($N301)&gt;0,N($N301),N($L301))))</f>
        <v/>
      </c>
      <c r="AC301" s="22">
        <f>IF(AND($A301="",$B301=""),"",MIN(AB301,IF(N($J301)=0,0,IF(N($J301)=2,AB301,IF(AND($K301&lt;&gt;"Point",N($O301)&gt;0),N($O301),N($M301))))))</f>
        <v/>
      </c>
      <c r="AD301" s="22">
        <f>IF(AND($A301="",$B301=""),"",MAX(0,AB301-AC301))</f>
        <v/>
      </c>
      <c r="AE301" s="21">
        <f>IF(AND($A301="",$B301=""),"",IF(OR($R301&lt;&gt;"",$S301&lt;&gt;""),1,0))</f>
        <v/>
      </c>
      <c r="AF301" s="22">
        <f>IF(AND($A301="",$B301=""),"",IF(Z301=1,IF(AE301=1,N($R301),AD301),0))</f>
        <v/>
      </c>
      <c r="AG301" s="22">
        <f>IF(AND($A301="",$B301=""),"",IF(Z301=1,IF(AE301=1,N($S301),AC301),0))</f>
        <v/>
      </c>
      <c r="AH301" s="21">
        <f>IF(AND($A301="",$B301=""),"",IF(AND(ISNUMBER($I301),N($I301)&gt;0),$I301,0))</f>
        <v/>
      </c>
      <c r="AI301" s="23">
        <f>IF(AND(NOT(AND($A301="",$B301="")),$K301="Point",N($L301)&gt;0),SQRT(N($L301)/PI()),"")</f>
        <v/>
      </c>
      <c r="AJ301" s="21">
        <f>IF(AND($A301="",$B301=""),"",IFERROR(VLOOKUP($G301,Lists!$D$4:$E$15,2,FALSE),"Not reported"))</f>
        <v/>
      </c>
      <c r="AK301" s="21">
        <f>IF(AND($A301="",$B301=""),"",IF($X301&lt;&gt;"",$X301,IF($T301&lt;&gt;"Y","Not assessed",IF(AND(ISNUMBER($V301),Setup!$B$6-$V301&gt;Setup!$B$26),"Assessment outdated",IF(NOT(ISNUMBER($W301)),"Assessed – no score",IF($W301&gt;=Setup!$B$24,"High",IF($W301&gt;=Setup!$B$25,"Moderate","Low")))))))</f>
        <v/>
      </c>
      <c r="AL301" s="21">
        <f>IF(AND($A301="",$B301=""),"",IF(Z301=0,"",IF(AND(AE301=1,N($R301)&gt;AD301*1.01+0.001),"Net terrestrial &gt; gross; ","")&amp;IF(AND(AE301=1,N($S301)&gt;AC301*1.01+0.001),"Net marine &gt; gross; ","")&amp;IF(AE301=0,"No net area – gross used, overlaps may be double-counted; ","")&amp;IF(AH301=0,"STATUS_YR missing – imputed in time series; ","")&amp;IF(AND(ISNUMBER($I301),N($I301)&gt;Setup!$B$6),"STATUS_YR after reporting year; ","")&amp;IF(OR($G301="",$G301="Not Reported"),"GOV_TYPE not reported; ","")&amp;IF(AND(N($J301)=1,$K301="Point",N($M301)&lt;=0),"Coastal point without REP_M_AREA – land/sea split unknown; ","")&amp;IF(AND(N($J301)=0,N($S301)&gt;0),"MARINE=0 but net marine &gt;0; ","")&amp;IF(AND(N($J301)=2,N($R301)&gt;0),"MARINE=2 but net terrestrial &gt;0; ","")&amp;IF($K301="Point","Buffered point – coverage approximate; ","")))</f>
        <v/>
      </c>
    </row>
    <row r="302">
      <c r="A302" s="19" t="n"/>
      <c r="B302" s="19" t="n"/>
      <c r="C302" s="19" t="n"/>
      <c r="D302" s="19" t="n"/>
      <c r="E302" s="19" t="n"/>
      <c r="F302" s="19" t="n"/>
      <c r="G302" s="19" t="n"/>
      <c r="H302" s="19" t="n"/>
      <c r="I302" s="19" t="n"/>
      <c r="J302" s="19" t="n"/>
      <c r="K302" s="19" t="n"/>
      <c r="L302" s="20" t="n"/>
      <c r="M302" s="20" t="n"/>
      <c r="N302" s="20" t="n"/>
      <c r="O302" s="20" t="n"/>
      <c r="P302" s="19" t="n"/>
      <c r="Q302" s="19" t="n"/>
      <c r="R302" s="20" t="n"/>
      <c r="S302" s="20" t="n"/>
      <c r="T302" s="19" t="n"/>
      <c r="U302" s="19" t="n"/>
      <c r="V302" s="19" t="n"/>
      <c r="W302" s="19" t="n"/>
      <c r="X302" s="19" t="n"/>
      <c r="Y302" s="19" t="n"/>
      <c r="Z302" s="21">
        <f>IF(AND($A302="",$B302=""),"",IF(OR($E302="",$H302="",$H302="Proposed",$H302="Not Reported"),0,IF(AND($P302="Y",$Q302&lt;&gt;"Y"),0,IF(AND($K302="Point",N($L302)&lt;=0),0,IF(AND(N($L302)&lt;=0,N($N302)&lt;=0,N($R302)+N($S302)&lt;=0),0,1)))))</f>
        <v/>
      </c>
      <c r="AA302" s="21">
        <f>IF(AND($A302="",$B302=""),"",IF($E302="","Site type missing",IF($H302="","STATUS missing",IF($H302="Proposed","STATUS = Proposed",IF($H302="Not Reported","STATUS = Not Reported",IF(AND($P302="Y",$Q302&lt;&gt;"Y"),"UNESCO-MAB Biosphere Reserve",IF(AND($K302="Point",N($L302)&lt;=0),"Point without REP_AREA",IF(AND(N($L302)&lt;=0,N($N302)&lt;=0,N($R302)+N($S302)&lt;=0),"No area information",""))))))))</f>
        <v/>
      </c>
      <c r="AB302" s="22">
        <f>IF(AND($A302="",$B302=""),"",IF($K302="Point",N($L302),IF(N($N302)&gt;0,N($N302),N($L302))))</f>
        <v/>
      </c>
      <c r="AC302" s="22">
        <f>IF(AND($A302="",$B302=""),"",MIN(AB302,IF(N($J302)=0,0,IF(N($J302)=2,AB302,IF(AND($K302&lt;&gt;"Point",N($O302)&gt;0),N($O302),N($M302))))))</f>
        <v/>
      </c>
      <c r="AD302" s="22">
        <f>IF(AND($A302="",$B302=""),"",MAX(0,AB302-AC302))</f>
        <v/>
      </c>
      <c r="AE302" s="21">
        <f>IF(AND($A302="",$B302=""),"",IF(OR($R302&lt;&gt;"",$S302&lt;&gt;""),1,0))</f>
        <v/>
      </c>
      <c r="AF302" s="22">
        <f>IF(AND($A302="",$B302=""),"",IF(Z302=1,IF(AE302=1,N($R302),AD302),0))</f>
        <v/>
      </c>
      <c r="AG302" s="22">
        <f>IF(AND($A302="",$B302=""),"",IF(Z302=1,IF(AE302=1,N($S302),AC302),0))</f>
        <v/>
      </c>
      <c r="AH302" s="21">
        <f>IF(AND($A302="",$B302=""),"",IF(AND(ISNUMBER($I302),N($I302)&gt;0),$I302,0))</f>
        <v/>
      </c>
      <c r="AI302" s="23">
        <f>IF(AND(NOT(AND($A302="",$B302="")),$K302="Point",N($L302)&gt;0),SQRT(N($L302)/PI()),"")</f>
        <v/>
      </c>
      <c r="AJ302" s="21">
        <f>IF(AND($A302="",$B302=""),"",IFERROR(VLOOKUP($G302,Lists!$D$4:$E$15,2,FALSE),"Not reported"))</f>
        <v/>
      </c>
      <c r="AK302" s="21">
        <f>IF(AND($A302="",$B302=""),"",IF($X302&lt;&gt;"",$X302,IF($T302&lt;&gt;"Y","Not assessed",IF(AND(ISNUMBER($V302),Setup!$B$6-$V302&gt;Setup!$B$26),"Assessment outdated",IF(NOT(ISNUMBER($W302)),"Assessed – no score",IF($W302&gt;=Setup!$B$24,"High",IF($W302&gt;=Setup!$B$25,"Moderate","Low")))))))</f>
        <v/>
      </c>
      <c r="AL302" s="21">
        <f>IF(AND($A302="",$B302=""),"",IF(Z302=0,"",IF(AND(AE302=1,N($R302)&gt;AD302*1.01+0.001),"Net terrestrial &gt; gross; ","")&amp;IF(AND(AE302=1,N($S302)&gt;AC302*1.01+0.001),"Net marine &gt; gross; ","")&amp;IF(AE302=0,"No net area – gross used, overlaps may be double-counted; ","")&amp;IF(AH302=0,"STATUS_YR missing – imputed in time series; ","")&amp;IF(AND(ISNUMBER($I302),N($I302)&gt;Setup!$B$6),"STATUS_YR after reporting year; ","")&amp;IF(OR($G302="",$G302="Not Reported"),"GOV_TYPE not reported; ","")&amp;IF(AND(N($J302)=1,$K302="Point",N($M302)&lt;=0),"Coastal point without REP_M_AREA – land/sea split unknown; ","")&amp;IF(AND(N($J302)=0,N($S302)&gt;0),"MARINE=0 but net marine &gt;0; ","")&amp;IF(AND(N($J302)=2,N($R302)&gt;0),"MARINE=2 but net terrestrial &gt;0; ","")&amp;IF($K302="Point","Buffered point – coverage approximate; ","")))</f>
        <v/>
      </c>
    </row>
    <row r="303">
      <c r="A303" s="19" t="n"/>
      <c r="B303" s="19" t="n"/>
      <c r="C303" s="19" t="n"/>
      <c r="D303" s="19" t="n"/>
      <c r="E303" s="19" t="n"/>
      <c r="F303" s="19" t="n"/>
      <c r="G303" s="19" t="n"/>
      <c r="H303" s="19" t="n"/>
      <c r="I303" s="19" t="n"/>
      <c r="J303" s="19" t="n"/>
      <c r="K303" s="19" t="n"/>
      <c r="L303" s="20" t="n"/>
      <c r="M303" s="20" t="n"/>
      <c r="N303" s="20" t="n"/>
      <c r="O303" s="20" t="n"/>
      <c r="P303" s="19" t="n"/>
      <c r="Q303" s="19" t="n"/>
      <c r="R303" s="20" t="n"/>
      <c r="S303" s="20" t="n"/>
      <c r="T303" s="19" t="n"/>
      <c r="U303" s="19" t="n"/>
      <c r="V303" s="19" t="n"/>
      <c r="W303" s="19" t="n"/>
      <c r="X303" s="19" t="n"/>
      <c r="Y303" s="19" t="n"/>
      <c r="Z303" s="21">
        <f>IF(AND($A303="",$B303=""),"",IF(OR($E303="",$H303="",$H303="Proposed",$H303="Not Reported"),0,IF(AND($P303="Y",$Q303&lt;&gt;"Y"),0,IF(AND($K303="Point",N($L303)&lt;=0),0,IF(AND(N($L303)&lt;=0,N($N303)&lt;=0,N($R303)+N($S303)&lt;=0),0,1)))))</f>
        <v/>
      </c>
      <c r="AA303" s="21">
        <f>IF(AND($A303="",$B303=""),"",IF($E303="","Site type missing",IF($H303="","STATUS missing",IF($H303="Proposed","STATUS = Proposed",IF($H303="Not Reported","STATUS = Not Reported",IF(AND($P303="Y",$Q303&lt;&gt;"Y"),"UNESCO-MAB Biosphere Reserve",IF(AND($K303="Point",N($L303)&lt;=0),"Point without REP_AREA",IF(AND(N($L303)&lt;=0,N($N303)&lt;=0,N($R303)+N($S303)&lt;=0),"No area information",""))))))))</f>
        <v/>
      </c>
      <c r="AB303" s="22">
        <f>IF(AND($A303="",$B303=""),"",IF($K303="Point",N($L303),IF(N($N303)&gt;0,N($N303),N($L303))))</f>
        <v/>
      </c>
      <c r="AC303" s="22">
        <f>IF(AND($A303="",$B303=""),"",MIN(AB303,IF(N($J303)=0,0,IF(N($J303)=2,AB303,IF(AND($K303&lt;&gt;"Point",N($O303)&gt;0),N($O303),N($M303))))))</f>
        <v/>
      </c>
      <c r="AD303" s="22">
        <f>IF(AND($A303="",$B303=""),"",MAX(0,AB303-AC303))</f>
        <v/>
      </c>
      <c r="AE303" s="21">
        <f>IF(AND($A303="",$B303=""),"",IF(OR($R303&lt;&gt;"",$S303&lt;&gt;""),1,0))</f>
        <v/>
      </c>
      <c r="AF303" s="22">
        <f>IF(AND($A303="",$B303=""),"",IF(Z303=1,IF(AE303=1,N($R303),AD303),0))</f>
        <v/>
      </c>
      <c r="AG303" s="22">
        <f>IF(AND($A303="",$B303=""),"",IF(Z303=1,IF(AE303=1,N($S303),AC303),0))</f>
        <v/>
      </c>
      <c r="AH303" s="21">
        <f>IF(AND($A303="",$B303=""),"",IF(AND(ISNUMBER($I303),N($I303)&gt;0),$I303,0))</f>
        <v/>
      </c>
      <c r="AI303" s="23">
        <f>IF(AND(NOT(AND($A303="",$B303="")),$K303="Point",N($L303)&gt;0),SQRT(N($L303)/PI()),"")</f>
        <v/>
      </c>
      <c r="AJ303" s="21">
        <f>IF(AND($A303="",$B303=""),"",IFERROR(VLOOKUP($G303,Lists!$D$4:$E$15,2,FALSE),"Not reported"))</f>
        <v/>
      </c>
      <c r="AK303" s="21">
        <f>IF(AND($A303="",$B303=""),"",IF($X303&lt;&gt;"",$X303,IF($T303&lt;&gt;"Y","Not assessed",IF(AND(ISNUMBER($V303),Setup!$B$6-$V303&gt;Setup!$B$26),"Assessment outdated",IF(NOT(ISNUMBER($W303)),"Assessed – no score",IF($W303&gt;=Setup!$B$24,"High",IF($W303&gt;=Setup!$B$25,"Moderate","Low")))))))</f>
        <v/>
      </c>
      <c r="AL303" s="21">
        <f>IF(AND($A303="",$B303=""),"",IF(Z303=0,"",IF(AND(AE303=1,N($R303)&gt;AD303*1.01+0.001),"Net terrestrial &gt; gross; ","")&amp;IF(AND(AE303=1,N($S303)&gt;AC303*1.01+0.001),"Net marine &gt; gross; ","")&amp;IF(AE303=0,"No net area – gross used, overlaps may be double-counted; ","")&amp;IF(AH303=0,"STATUS_YR missing – imputed in time series; ","")&amp;IF(AND(ISNUMBER($I303),N($I303)&gt;Setup!$B$6),"STATUS_YR after reporting year; ","")&amp;IF(OR($G303="",$G303="Not Reported"),"GOV_TYPE not reported; ","")&amp;IF(AND(N($J303)=1,$K303="Point",N($M303)&lt;=0),"Coastal point without REP_M_AREA – land/sea split unknown; ","")&amp;IF(AND(N($J303)=0,N($S303)&gt;0),"MARINE=0 but net marine &gt;0; ","")&amp;IF(AND(N($J303)=2,N($R303)&gt;0),"MARINE=2 but net terrestrial &gt;0; ","")&amp;IF($K303="Point","Buffered point – coverage approximate; ","")))</f>
        <v/>
      </c>
    </row>
    <row r="304">
      <c r="A304" s="19" t="n"/>
      <c r="B304" s="19" t="n"/>
      <c r="C304" s="19" t="n"/>
      <c r="D304" s="19" t="n"/>
      <c r="E304" s="19" t="n"/>
      <c r="F304" s="19" t="n"/>
      <c r="G304" s="19" t="n"/>
      <c r="H304" s="19" t="n"/>
      <c r="I304" s="19" t="n"/>
      <c r="J304" s="19" t="n"/>
      <c r="K304" s="19" t="n"/>
      <c r="L304" s="20" t="n"/>
      <c r="M304" s="20" t="n"/>
      <c r="N304" s="20" t="n"/>
      <c r="O304" s="20" t="n"/>
      <c r="P304" s="19" t="n"/>
      <c r="Q304" s="19" t="n"/>
      <c r="R304" s="20" t="n"/>
      <c r="S304" s="20" t="n"/>
      <c r="T304" s="19" t="n"/>
      <c r="U304" s="19" t="n"/>
      <c r="V304" s="19" t="n"/>
      <c r="W304" s="19" t="n"/>
      <c r="X304" s="19" t="n"/>
      <c r="Y304" s="19" t="n"/>
      <c r="Z304" s="21">
        <f>IF(AND($A304="",$B304=""),"",IF(OR($E304="",$H304="",$H304="Proposed",$H304="Not Reported"),0,IF(AND($P304="Y",$Q304&lt;&gt;"Y"),0,IF(AND($K304="Point",N($L304)&lt;=0),0,IF(AND(N($L304)&lt;=0,N($N304)&lt;=0,N($R304)+N($S304)&lt;=0),0,1)))))</f>
        <v/>
      </c>
      <c r="AA304" s="21">
        <f>IF(AND($A304="",$B304=""),"",IF($E304="","Site type missing",IF($H304="","STATUS missing",IF($H304="Proposed","STATUS = Proposed",IF($H304="Not Reported","STATUS = Not Reported",IF(AND($P304="Y",$Q304&lt;&gt;"Y"),"UNESCO-MAB Biosphere Reserve",IF(AND($K304="Point",N($L304)&lt;=0),"Point without REP_AREA",IF(AND(N($L304)&lt;=0,N($N304)&lt;=0,N($R304)+N($S304)&lt;=0),"No area information",""))))))))</f>
        <v/>
      </c>
      <c r="AB304" s="22">
        <f>IF(AND($A304="",$B304=""),"",IF($K304="Point",N($L304),IF(N($N304)&gt;0,N($N304),N($L304))))</f>
        <v/>
      </c>
      <c r="AC304" s="22">
        <f>IF(AND($A304="",$B304=""),"",MIN(AB304,IF(N($J304)=0,0,IF(N($J304)=2,AB304,IF(AND($K304&lt;&gt;"Point",N($O304)&gt;0),N($O304),N($M304))))))</f>
        <v/>
      </c>
      <c r="AD304" s="22">
        <f>IF(AND($A304="",$B304=""),"",MAX(0,AB304-AC304))</f>
        <v/>
      </c>
      <c r="AE304" s="21">
        <f>IF(AND($A304="",$B304=""),"",IF(OR($R304&lt;&gt;"",$S304&lt;&gt;""),1,0))</f>
        <v/>
      </c>
      <c r="AF304" s="22">
        <f>IF(AND($A304="",$B304=""),"",IF(Z304=1,IF(AE304=1,N($R304),AD304),0))</f>
        <v/>
      </c>
      <c r="AG304" s="22">
        <f>IF(AND($A304="",$B304=""),"",IF(Z304=1,IF(AE304=1,N($S304),AC304),0))</f>
        <v/>
      </c>
      <c r="AH304" s="21">
        <f>IF(AND($A304="",$B304=""),"",IF(AND(ISNUMBER($I304),N($I304)&gt;0),$I304,0))</f>
        <v/>
      </c>
      <c r="AI304" s="23">
        <f>IF(AND(NOT(AND($A304="",$B304="")),$K304="Point",N($L304)&gt;0),SQRT(N($L304)/PI()),"")</f>
        <v/>
      </c>
      <c r="AJ304" s="21">
        <f>IF(AND($A304="",$B304=""),"",IFERROR(VLOOKUP($G304,Lists!$D$4:$E$15,2,FALSE),"Not reported"))</f>
        <v/>
      </c>
      <c r="AK304" s="21">
        <f>IF(AND($A304="",$B304=""),"",IF($X304&lt;&gt;"",$X304,IF($T304&lt;&gt;"Y","Not assessed",IF(AND(ISNUMBER($V304),Setup!$B$6-$V304&gt;Setup!$B$26),"Assessment outdated",IF(NOT(ISNUMBER($W304)),"Assessed – no score",IF($W304&gt;=Setup!$B$24,"High",IF($W304&gt;=Setup!$B$25,"Moderate","Low")))))))</f>
        <v/>
      </c>
      <c r="AL304" s="21">
        <f>IF(AND($A304="",$B304=""),"",IF(Z304=0,"",IF(AND(AE304=1,N($R304)&gt;AD304*1.01+0.001),"Net terrestrial &gt; gross; ","")&amp;IF(AND(AE304=1,N($S304)&gt;AC304*1.01+0.001),"Net marine &gt; gross; ","")&amp;IF(AE304=0,"No net area – gross used, overlaps may be double-counted; ","")&amp;IF(AH304=0,"STATUS_YR missing – imputed in time series; ","")&amp;IF(AND(ISNUMBER($I304),N($I304)&gt;Setup!$B$6),"STATUS_YR after reporting year; ","")&amp;IF(OR($G304="",$G304="Not Reported"),"GOV_TYPE not reported; ","")&amp;IF(AND(N($J304)=1,$K304="Point",N($M304)&lt;=0),"Coastal point without REP_M_AREA – land/sea split unknown; ","")&amp;IF(AND(N($J304)=0,N($S304)&gt;0),"MARINE=0 but net marine &gt;0; ","")&amp;IF(AND(N($J304)=2,N($R304)&gt;0),"MARINE=2 but net terrestrial &gt;0; ","")&amp;IF($K304="Point","Buffered point – coverage approximate; ","")))</f>
        <v/>
      </c>
    </row>
    <row r="305">
      <c r="A305" s="19" t="n"/>
      <c r="B305" s="19" t="n"/>
      <c r="C305" s="19" t="n"/>
      <c r="D305" s="19" t="n"/>
      <c r="E305" s="19" t="n"/>
      <c r="F305" s="19" t="n"/>
      <c r="G305" s="19" t="n"/>
      <c r="H305" s="19" t="n"/>
      <c r="I305" s="19" t="n"/>
      <c r="J305" s="19" t="n"/>
      <c r="K305" s="19" t="n"/>
      <c r="L305" s="20" t="n"/>
      <c r="M305" s="20" t="n"/>
      <c r="N305" s="20" t="n"/>
      <c r="O305" s="20" t="n"/>
      <c r="P305" s="19" t="n"/>
      <c r="Q305" s="19" t="n"/>
      <c r="R305" s="20" t="n"/>
      <c r="S305" s="20" t="n"/>
      <c r="T305" s="19" t="n"/>
      <c r="U305" s="19" t="n"/>
      <c r="V305" s="19" t="n"/>
      <c r="W305" s="19" t="n"/>
      <c r="X305" s="19" t="n"/>
      <c r="Y305" s="19" t="n"/>
      <c r="Z305" s="21">
        <f>IF(AND($A305="",$B305=""),"",IF(OR($E305="",$H305="",$H305="Proposed",$H305="Not Reported"),0,IF(AND($P305="Y",$Q305&lt;&gt;"Y"),0,IF(AND($K305="Point",N($L305)&lt;=0),0,IF(AND(N($L305)&lt;=0,N($N305)&lt;=0,N($R305)+N($S305)&lt;=0),0,1)))))</f>
        <v/>
      </c>
      <c r="AA305" s="21">
        <f>IF(AND($A305="",$B305=""),"",IF($E305="","Site type missing",IF($H305="","STATUS missing",IF($H305="Proposed","STATUS = Proposed",IF($H305="Not Reported","STATUS = Not Reported",IF(AND($P305="Y",$Q305&lt;&gt;"Y"),"UNESCO-MAB Biosphere Reserve",IF(AND($K305="Point",N($L305)&lt;=0),"Point without REP_AREA",IF(AND(N($L305)&lt;=0,N($N305)&lt;=0,N($R305)+N($S305)&lt;=0),"No area information",""))))))))</f>
        <v/>
      </c>
      <c r="AB305" s="22">
        <f>IF(AND($A305="",$B305=""),"",IF($K305="Point",N($L305),IF(N($N305)&gt;0,N($N305),N($L305))))</f>
        <v/>
      </c>
      <c r="AC305" s="22">
        <f>IF(AND($A305="",$B305=""),"",MIN(AB305,IF(N($J305)=0,0,IF(N($J305)=2,AB305,IF(AND($K305&lt;&gt;"Point",N($O305)&gt;0),N($O305),N($M305))))))</f>
        <v/>
      </c>
      <c r="AD305" s="22">
        <f>IF(AND($A305="",$B305=""),"",MAX(0,AB305-AC305))</f>
        <v/>
      </c>
      <c r="AE305" s="21">
        <f>IF(AND($A305="",$B305=""),"",IF(OR($R305&lt;&gt;"",$S305&lt;&gt;""),1,0))</f>
        <v/>
      </c>
      <c r="AF305" s="22">
        <f>IF(AND($A305="",$B305=""),"",IF(Z305=1,IF(AE305=1,N($R305),AD305),0))</f>
        <v/>
      </c>
      <c r="AG305" s="22">
        <f>IF(AND($A305="",$B305=""),"",IF(Z305=1,IF(AE305=1,N($S305),AC305),0))</f>
        <v/>
      </c>
      <c r="AH305" s="21">
        <f>IF(AND($A305="",$B305=""),"",IF(AND(ISNUMBER($I305),N($I305)&gt;0),$I305,0))</f>
        <v/>
      </c>
      <c r="AI305" s="23">
        <f>IF(AND(NOT(AND($A305="",$B305="")),$K305="Point",N($L305)&gt;0),SQRT(N($L305)/PI()),"")</f>
        <v/>
      </c>
      <c r="AJ305" s="21">
        <f>IF(AND($A305="",$B305=""),"",IFERROR(VLOOKUP($G305,Lists!$D$4:$E$15,2,FALSE),"Not reported"))</f>
        <v/>
      </c>
      <c r="AK305" s="21">
        <f>IF(AND($A305="",$B305=""),"",IF($X305&lt;&gt;"",$X305,IF($T305&lt;&gt;"Y","Not assessed",IF(AND(ISNUMBER($V305),Setup!$B$6-$V305&gt;Setup!$B$26),"Assessment outdated",IF(NOT(ISNUMBER($W305)),"Assessed – no score",IF($W305&gt;=Setup!$B$24,"High",IF($W305&gt;=Setup!$B$25,"Moderate","Low")))))))</f>
        <v/>
      </c>
      <c r="AL305" s="21">
        <f>IF(AND($A305="",$B305=""),"",IF(Z305=0,"",IF(AND(AE305=1,N($R305)&gt;AD305*1.01+0.001),"Net terrestrial &gt; gross; ","")&amp;IF(AND(AE305=1,N($S305)&gt;AC305*1.01+0.001),"Net marine &gt; gross; ","")&amp;IF(AE305=0,"No net area – gross used, overlaps may be double-counted; ","")&amp;IF(AH305=0,"STATUS_YR missing – imputed in time series; ","")&amp;IF(AND(ISNUMBER($I305),N($I305)&gt;Setup!$B$6),"STATUS_YR after reporting year; ","")&amp;IF(OR($G305="",$G305="Not Reported"),"GOV_TYPE not reported; ","")&amp;IF(AND(N($J305)=1,$K305="Point",N($M305)&lt;=0),"Coastal point without REP_M_AREA – land/sea split unknown; ","")&amp;IF(AND(N($J305)=0,N($S305)&gt;0),"MARINE=0 but net marine &gt;0; ","")&amp;IF(AND(N($J305)=2,N($R305)&gt;0),"MARINE=2 but net terrestrial &gt;0; ","")&amp;IF($K305="Point","Buffered point – coverage approximate; ","")))</f>
        <v/>
      </c>
    </row>
    <row r="306">
      <c r="A306" s="19" t="n"/>
      <c r="B306" s="19" t="n"/>
      <c r="C306" s="19" t="n"/>
      <c r="D306" s="19" t="n"/>
      <c r="E306" s="19" t="n"/>
      <c r="F306" s="19" t="n"/>
      <c r="G306" s="19" t="n"/>
      <c r="H306" s="19" t="n"/>
      <c r="I306" s="19" t="n"/>
      <c r="J306" s="19" t="n"/>
      <c r="K306" s="19" t="n"/>
      <c r="L306" s="20" t="n"/>
      <c r="M306" s="20" t="n"/>
      <c r="N306" s="20" t="n"/>
      <c r="O306" s="20" t="n"/>
      <c r="P306" s="19" t="n"/>
      <c r="Q306" s="19" t="n"/>
      <c r="R306" s="20" t="n"/>
      <c r="S306" s="20" t="n"/>
      <c r="T306" s="19" t="n"/>
      <c r="U306" s="19" t="n"/>
      <c r="V306" s="19" t="n"/>
      <c r="W306" s="19" t="n"/>
      <c r="X306" s="19" t="n"/>
      <c r="Y306" s="19" t="n"/>
      <c r="Z306" s="21">
        <f>IF(AND($A306="",$B306=""),"",IF(OR($E306="",$H306="",$H306="Proposed",$H306="Not Reported"),0,IF(AND($P306="Y",$Q306&lt;&gt;"Y"),0,IF(AND($K306="Point",N($L306)&lt;=0),0,IF(AND(N($L306)&lt;=0,N($N306)&lt;=0,N($R306)+N($S306)&lt;=0),0,1)))))</f>
        <v/>
      </c>
      <c r="AA306" s="21">
        <f>IF(AND($A306="",$B306=""),"",IF($E306="","Site type missing",IF($H306="","STATUS missing",IF($H306="Proposed","STATUS = Proposed",IF($H306="Not Reported","STATUS = Not Reported",IF(AND($P306="Y",$Q306&lt;&gt;"Y"),"UNESCO-MAB Biosphere Reserve",IF(AND($K306="Point",N($L306)&lt;=0),"Point without REP_AREA",IF(AND(N($L306)&lt;=0,N($N306)&lt;=0,N($R306)+N($S306)&lt;=0),"No area information",""))))))))</f>
        <v/>
      </c>
      <c r="AB306" s="22">
        <f>IF(AND($A306="",$B306=""),"",IF($K306="Point",N($L306),IF(N($N306)&gt;0,N($N306),N($L306))))</f>
        <v/>
      </c>
      <c r="AC306" s="22">
        <f>IF(AND($A306="",$B306=""),"",MIN(AB306,IF(N($J306)=0,0,IF(N($J306)=2,AB306,IF(AND($K306&lt;&gt;"Point",N($O306)&gt;0),N($O306),N($M306))))))</f>
        <v/>
      </c>
      <c r="AD306" s="22">
        <f>IF(AND($A306="",$B306=""),"",MAX(0,AB306-AC306))</f>
        <v/>
      </c>
      <c r="AE306" s="21">
        <f>IF(AND($A306="",$B306=""),"",IF(OR($R306&lt;&gt;"",$S306&lt;&gt;""),1,0))</f>
        <v/>
      </c>
      <c r="AF306" s="22">
        <f>IF(AND($A306="",$B306=""),"",IF(Z306=1,IF(AE306=1,N($R306),AD306),0))</f>
        <v/>
      </c>
      <c r="AG306" s="22">
        <f>IF(AND($A306="",$B306=""),"",IF(Z306=1,IF(AE306=1,N($S306),AC306),0))</f>
        <v/>
      </c>
      <c r="AH306" s="21">
        <f>IF(AND($A306="",$B306=""),"",IF(AND(ISNUMBER($I306),N($I306)&gt;0),$I306,0))</f>
        <v/>
      </c>
      <c r="AI306" s="23">
        <f>IF(AND(NOT(AND($A306="",$B306="")),$K306="Point",N($L306)&gt;0),SQRT(N($L306)/PI()),"")</f>
        <v/>
      </c>
      <c r="AJ306" s="21">
        <f>IF(AND($A306="",$B306=""),"",IFERROR(VLOOKUP($G306,Lists!$D$4:$E$15,2,FALSE),"Not reported"))</f>
        <v/>
      </c>
      <c r="AK306" s="21">
        <f>IF(AND($A306="",$B306=""),"",IF($X306&lt;&gt;"",$X306,IF($T306&lt;&gt;"Y","Not assessed",IF(AND(ISNUMBER($V306),Setup!$B$6-$V306&gt;Setup!$B$26),"Assessment outdated",IF(NOT(ISNUMBER($W306)),"Assessed – no score",IF($W306&gt;=Setup!$B$24,"High",IF($W306&gt;=Setup!$B$25,"Moderate","Low")))))))</f>
        <v/>
      </c>
      <c r="AL306" s="21">
        <f>IF(AND($A306="",$B306=""),"",IF(Z306=0,"",IF(AND(AE306=1,N($R306)&gt;AD306*1.01+0.001),"Net terrestrial &gt; gross; ","")&amp;IF(AND(AE306=1,N($S306)&gt;AC306*1.01+0.001),"Net marine &gt; gross; ","")&amp;IF(AE306=0,"No net area – gross used, overlaps may be double-counted; ","")&amp;IF(AH306=0,"STATUS_YR missing – imputed in time series; ","")&amp;IF(AND(ISNUMBER($I306),N($I306)&gt;Setup!$B$6),"STATUS_YR after reporting year; ","")&amp;IF(OR($G306="",$G306="Not Reported"),"GOV_TYPE not reported; ","")&amp;IF(AND(N($J306)=1,$K306="Point",N($M306)&lt;=0),"Coastal point without REP_M_AREA – land/sea split unknown; ","")&amp;IF(AND(N($J306)=0,N($S306)&gt;0),"MARINE=0 but net marine &gt;0; ","")&amp;IF(AND(N($J306)=2,N($R306)&gt;0),"MARINE=2 but net terrestrial &gt;0; ","")&amp;IF($K306="Point","Buffered point – coverage approximate; ","")))</f>
        <v/>
      </c>
    </row>
    <row r="307">
      <c r="A307" s="19" t="n"/>
      <c r="B307" s="19" t="n"/>
      <c r="C307" s="19" t="n"/>
      <c r="D307" s="19" t="n"/>
      <c r="E307" s="19" t="n"/>
      <c r="F307" s="19" t="n"/>
      <c r="G307" s="19" t="n"/>
      <c r="H307" s="19" t="n"/>
      <c r="I307" s="19" t="n"/>
      <c r="J307" s="19" t="n"/>
      <c r="K307" s="19" t="n"/>
      <c r="L307" s="20" t="n"/>
      <c r="M307" s="20" t="n"/>
      <c r="N307" s="20" t="n"/>
      <c r="O307" s="20" t="n"/>
      <c r="P307" s="19" t="n"/>
      <c r="Q307" s="19" t="n"/>
      <c r="R307" s="20" t="n"/>
      <c r="S307" s="20" t="n"/>
      <c r="T307" s="19" t="n"/>
      <c r="U307" s="19" t="n"/>
      <c r="V307" s="19" t="n"/>
      <c r="W307" s="19" t="n"/>
      <c r="X307" s="19" t="n"/>
      <c r="Y307" s="19" t="n"/>
      <c r="Z307" s="21">
        <f>IF(AND($A307="",$B307=""),"",IF(OR($E307="",$H307="",$H307="Proposed",$H307="Not Reported"),0,IF(AND($P307="Y",$Q307&lt;&gt;"Y"),0,IF(AND($K307="Point",N($L307)&lt;=0),0,IF(AND(N($L307)&lt;=0,N($N307)&lt;=0,N($R307)+N($S307)&lt;=0),0,1)))))</f>
        <v/>
      </c>
      <c r="AA307" s="21">
        <f>IF(AND($A307="",$B307=""),"",IF($E307="","Site type missing",IF($H307="","STATUS missing",IF($H307="Proposed","STATUS = Proposed",IF($H307="Not Reported","STATUS = Not Reported",IF(AND($P307="Y",$Q307&lt;&gt;"Y"),"UNESCO-MAB Biosphere Reserve",IF(AND($K307="Point",N($L307)&lt;=0),"Point without REP_AREA",IF(AND(N($L307)&lt;=0,N($N307)&lt;=0,N($R307)+N($S307)&lt;=0),"No area information",""))))))))</f>
        <v/>
      </c>
      <c r="AB307" s="22">
        <f>IF(AND($A307="",$B307=""),"",IF($K307="Point",N($L307),IF(N($N307)&gt;0,N($N307),N($L307))))</f>
        <v/>
      </c>
      <c r="AC307" s="22">
        <f>IF(AND($A307="",$B307=""),"",MIN(AB307,IF(N($J307)=0,0,IF(N($J307)=2,AB307,IF(AND($K307&lt;&gt;"Point",N($O307)&gt;0),N($O307),N($M307))))))</f>
        <v/>
      </c>
      <c r="AD307" s="22">
        <f>IF(AND($A307="",$B307=""),"",MAX(0,AB307-AC307))</f>
        <v/>
      </c>
      <c r="AE307" s="21">
        <f>IF(AND($A307="",$B307=""),"",IF(OR($R307&lt;&gt;"",$S307&lt;&gt;""),1,0))</f>
        <v/>
      </c>
      <c r="AF307" s="22">
        <f>IF(AND($A307="",$B307=""),"",IF(Z307=1,IF(AE307=1,N($R307),AD307),0))</f>
        <v/>
      </c>
      <c r="AG307" s="22">
        <f>IF(AND($A307="",$B307=""),"",IF(Z307=1,IF(AE307=1,N($S307),AC307),0))</f>
        <v/>
      </c>
      <c r="AH307" s="21">
        <f>IF(AND($A307="",$B307=""),"",IF(AND(ISNUMBER($I307),N($I307)&gt;0),$I307,0))</f>
        <v/>
      </c>
      <c r="AI307" s="23">
        <f>IF(AND(NOT(AND($A307="",$B307="")),$K307="Point",N($L307)&gt;0),SQRT(N($L307)/PI()),"")</f>
        <v/>
      </c>
      <c r="AJ307" s="21">
        <f>IF(AND($A307="",$B307=""),"",IFERROR(VLOOKUP($G307,Lists!$D$4:$E$15,2,FALSE),"Not reported"))</f>
        <v/>
      </c>
      <c r="AK307" s="21">
        <f>IF(AND($A307="",$B307=""),"",IF($X307&lt;&gt;"",$X307,IF($T307&lt;&gt;"Y","Not assessed",IF(AND(ISNUMBER($V307),Setup!$B$6-$V307&gt;Setup!$B$26),"Assessment outdated",IF(NOT(ISNUMBER($W307)),"Assessed – no score",IF($W307&gt;=Setup!$B$24,"High",IF($W307&gt;=Setup!$B$25,"Moderate","Low")))))))</f>
        <v/>
      </c>
      <c r="AL307" s="21">
        <f>IF(AND($A307="",$B307=""),"",IF(Z307=0,"",IF(AND(AE307=1,N($R307)&gt;AD307*1.01+0.001),"Net terrestrial &gt; gross; ","")&amp;IF(AND(AE307=1,N($S307)&gt;AC307*1.01+0.001),"Net marine &gt; gross; ","")&amp;IF(AE307=0,"No net area – gross used, overlaps may be double-counted; ","")&amp;IF(AH307=0,"STATUS_YR missing – imputed in time series; ","")&amp;IF(AND(ISNUMBER($I307),N($I307)&gt;Setup!$B$6),"STATUS_YR after reporting year; ","")&amp;IF(OR($G307="",$G307="Not Reported"),"GOV_TYPE not reported; ","")&amp;IF(AND(N($J307)=1,$K307="Point",N($M307)&lt;=0),"Coastal point without REP_M_AREA – land/sea split unknown; ","")&amp;IF(AND(N($J307)=0,N($S307)&gt;0),"MARINE=0 but net marine &gt;0; ","")&amp;IF(AND(N($J307)=2,N($R307)&gt;0),"MARINE=2 but net terrestrial &gt;0; ","")&amp;IF($K307="Point","Buffered point – coverage approximate; ","")))</f>
        <v/>
      </c>
    </row>
    <row r="308">
      <c r="A308" s="19" t="n"/>
      <c r="B308" s="19" t="n"/>
      <c r="C308" s="19" t="n"/>
      <c r="D308" s="19" t="n"/>
      <c r="E308" s="19" t="n"/>
      <c r="F308" s="19" t="n"/>
      <c r="G308" s="19" t="n"/>
      <c r="H308" s="19" t="n"/>
      <c r="I308" s="19" t="n"/>
      <c r="J308" s="19" t="n"/>
      <c r="K308" s="19" t="n"/>
      <c r="L308" s="20" t="n"/>
      <c r="M308" s="20" t="n"/>
      <c r="N308" s="20" t="n"/>
      <c r="O308" s="20" t="n"/>
      <c r="P308" s="19" t="n"/>
      <c r="Q308" s="19" t="n"/>
      <c r="R308" s="20" t="n"/>
      <c r="S308" s="20" t="n"/>
      <c r="T308" s="19" t="n"/>
      <c r="U308" s="19" t="n"/>
      <c r="V308" s="19" t="n"/>
      <c r="W308" s="19" t="n"/>
      <c r="X308" s="19" t="n"/>
      <c r="Y308" s="19" t="n"/>
      <c r="Z308" s="21">
        <f>IF(AND($A308="",$B308=""),"",IF(OR($E308="",$H308="",$H308="Proposed",$H308="Not Reported"),0,IF(AND($P308="Y",$Q308&lt;&gt;"Y"),0,IF(AND($K308="Point",N($L308)&lt;=0),0,IF(AND(N($L308)&lt;=0,N($N308)&lt;=0,N($R308)+N($S308)&lt;=0),0,1)))))</f>
        <v/>
      </c>
      <c r="AA308" s="21">
        <f>IF(AND($A308="",$B308=""),"",IF($E308="","Site type missing",IF($H308="","STATUS missing",IF($H308="Proposed","STATUS = Proposed",IF($H308="Not Reported","STATUS = Not Reported",IF(AND($P308="Y",$Q308&lt;&gt;"Y"),"UNESCO-MAB Biosphere Reserve",IF(AND($K308="Point",N($L308)&lt;=0),"Point without REP_AREA",IF(AND(N($L308)&lt;=0,N($N308)&lt;=0,N($R308)+N($S308)&lt;=0),"No area information",""))))))))</f>
        <v/>
      </c>
      <c r="AB308" s="22">
        <f>IF(AND($A308="",$B308=""),"",IF($K308="Point",N($L308),IF(N($N308)&gt;0,N($N308),N($L308))))</f>
        <v/>
      </c>
      <c r="AC308" s="22">
        <f>IF(AND($A308="",$B308=""),"",MIN(AB308,IF(N($J308)=0,0,IF(N($J308)=2,AB308,IF(AND($K308&lt;&gt;"Point",N($O308)&gt;0),N($O308),N($M308))))))</f>
        <v/>
      </c>
      <c r="AD308" s="22">
        <f>IF(AND($A308="",$B308=""),"",MAX(0,AB308-AC308))</f>
        <v/>
      </c>
      <c r="AE308" s="21">
        <f>IF(AND($A308="",$B308=""),"",IF(OR($R308&lt;&gt;"",$S308&lt;&gt;""),1,0))</f>
        <v/>
      </c>
      <c r="AF308" s="22">
        <f>IF(AND($A308="",$B308=""),"",IF(Z308=1,IF(AE308=1,N($R308),AD308),0))</f>
        <v/>
      </c>
      <c r="AG308" s="22">
        <f>IF(AND($A308="",$B308=""),"",IF(Z308=1,IF(AE308=1,N($S308),AC308),0))</f>
        <v/>
      </c>
      <c r="AH308" s="21">
        <f>IF(AND($A308="",$B308=""),"",IF(AND(ISNUMBER($I308),N($I308)&gt;0),$I308,0))</f>
        <v/>
      </c>
      <c r="AI308" s="23">
        <f>IF(AND(NOT(AND($A308="",$B308="")),$K308="Point",N($L308)&gt;0),SQRT(N($L308)/PI()),"")</f>
        <v/>
      </c>
      <c r="AJ308" s="21">
        <f>IF(AND($A308="",$B308=""),"",IFERROR(VLOOKUP($G308,Lists!$D$4:$E$15,2,FALSE),"Not reported"))</f>
        <v/>
      </c>
      <c r="AK308" s="21">
        <f>IF(AND($A308="",$B308=""),"",IF($X308&lt;&gt;"",$X308,IF($T308&lt;&gt;"Y","Not assessed",IF(AND(ISNUMBER($V308),Setup!$B$6-$V308&gt;Setup!$B$26),"Assessment outdated",IF(NOT(ISNUMBER($W308)),"Assessed – no score",IF($W308&gt;=Setup!$B$24,"High",IF($W308&gt;=Setup!$B$25,"Moderate","Low")))))))</f>
        <v/>
      </c>
      <c r="AL308" s="21">
        <f>IF(AND($A308="",$B308=""),"",IF(Z308=0,"",IF(AND(AE308=1,N($R308)&gt;AD308*1.01+0.001),"Net terrestrial &gt; gross; ","")&amp;IF(AND(AE308=1,N($S308)&gt;AC308*1.01+0.001),"Net marine &gt; gross; ","")&amp;IF(AE308=0,"No net area – gross used, overlaps may be double-counted; ","")&amp;IF(AH308=0,"STATUS_YR missing – imputed in time series; ","")&amp;IF(AND(ISNUMBER($I308),N($I308)&gt;Setup!$B$6),"STATUS_YR after reporting year; ","")&amp;IF(OR($G308="",$G308="Not Reported"),"GOV_TYPE not reported; ","")&amp;IF(AND(N($J308)=1,$K308="Point",N($M308)&lt;=0),"Coastal point without REP_M_AREA – land/sea split unknown; ","")&amp;IF(AND(N($J308)=0,N($S308)&gt;0),"MARINE=0 but net marine &gt;0; ","")&amp;IF(AND(N($J308)=2,N($R308)&gt;0),"MARINE=2 but net terrestrial &gt;0; ","")&amp;IF($K308="Point","Buffered point – coverage approximate; ","")))</f>
        <v/>
      </c>
    </row>
    <row r="309">
      <c r="A309" s="19" t="n"/>
      <c r="B309" s="19" t="n"/>
      <c r="C309" s="19" t="n"/>
      <c r="D309" s="19" t="n"/>
      <c r="E309" s="19" t="n"/>
      <c r="F309" s="19" t="n"/>
      <c r="G309" s="19" t="n"/>
      <c r="H309" s="19" t="n"/>
      <c r="I309" s="19" t="n"/>
      <c r="J309" s="19" t="n"/>
      <c r="K309" s="19" t="n"/>
      <c r="L309" s="20" t="n"/>
      <c r="M309" s="20" t="n"/>
      <c r="N309" s="20" t="n"/>
      <c r="O309" s="20" t="n"/>
      <c r="P309" s="19" t="n"/>
      <c r="Q309" s="19" t="n"/>
      <c r="R309" s="20" t="n"/>
      <c r="S309" s="20" t="n"/>
      <c r="T309" s="19" t="n"/>
      <c r="U309" s="19" t="n"/>
      <c r="V309" s="19" t="n"/>
      <c r="W309" s="19" t="n"/>
      <c r="X309" s="19" t="n"/>
      <c r="Y309" s="19" t="n"/>
      <c r="Z309" s="21">
        <f>IF(AND($A309="",$B309=""),"",IF(OR($E309="",$H309="",$H309="Proposed",$H309="Not Reported"),0,IF(AND($P309="Y",$Q309&lt;&gt;"Y"),0,IF(AND($K309="Point",N($L309)&lt;=0),0,IF(AND(N($L309)&lt;=0,N($N309)&lt;=0,N($R309)+N($S309)&lt;=0),0,1)))))</f>
        <v/>
      </c>
      <c r="AA309" s="21">
        <f>IF(AND($A309="",$B309=""),"",IF($E309="","Site type missing",IF($H309="","STATUS missing",IF($H309="Proposed","STATUS = Proposed",IF($H309="Not Reported","STATUS = Not Reported",IF(AND($P309="Y",$Q309&lt;&gt;"Y"),"UNESCO-MAB Biosphere Reserve",IF(AND($K309="Point",N($L309)&lt;=0),"Point without REP_AREA",IF(AND(N($L309)&lt;=0,N($N309)&lt;=0,N($R309)+N($S309)&lt;=0),"No area information",""))))))))</f>
        <v/>
      </c>
      <c r="AB309" s="22">
        <f>IF(AND($A309="",$B309=""),"",IF($K309="Point",N($L309),IF(N($N309)&gt;0,N($N309),N($L309))))</f>
        <v/>
      </c>
      <c r="AC309" s="22">
        <f>IF(AND($A309="",$B309=""),"",MIN(AB309,IF(N($J309)=0,0,IF(N($J309)=2,AB309,IF(AND($K309&lt;&gt;"Point",N($O309)&gt;0),N($O309),N($M309))))))</f>
        <v/>
      </c>
      <c r="AD309" s="22">
        <f>IF(AND($A309="",$B309=""),"",MAX(0,AB309-AC309))</f>
        <v/>
      </c>
      <c r="AE309" s="21">
        <f>IF(AND($A309="",$B309=""),"",IF(OR($R309&lt;&gt;"",$S309&lt;&gt;""),1,0))</f>
        <v/>
      </c>
      <c r="AF309" s="22">
        <f>IF(AND($A309="",$B309=""),"",IF(Z309=1,IF(AE309=1,N($R309),AD309),0))</f>
        <v/>
      </c>
      <c r="AG309" s="22">
        <f>IF(AND($A309="",$B309=""),"",IF(Z309=1,IF(AE309=1,N($S309),AC309),0))</f>
        <v/>
      </c>
      <c r="AH309" s="21">
        <f>IF(AND($A309="",$B309=""),"",IF(AND(ISNUMBER($I309),N($I309)&gt;0),$I309,0))</f>
        <v/>
      </c>
      <c r="AI309" s="23">
        <f>IF(AND(NOT(AND($A309="",$B309="")),$K309="Point",N($L309)&gt;0),SQRT(N($L309)/PI()),"")</f>
        <v/>
      </c>
      <c r="AJ309" s="21">
        <f>IF(AND($A309="",$B309=""),"",IFERROR(VLOOKUP($G309,Lists!$D$4:$E$15,2,FALSE),"Not reported"))</f>
        <v/>
      </c>
      <c r="AK309" s="21">
        <f>IF(AND($A309="",$B309=""),"",IF($X309&lt;&gt;"",$X309,IF($T309&lt;&gt;"Y","Not assessed",IF(AND(ISNUMBER($V309),Setup!$B$6-$V309&gt;Setup!$B$26),"Assessment outdated",IF(NOT(ISNUMBER($W309)),"Assessed – no score",IF($W309&gt;=Setup!$B$24,"High",IF($W309&gt;=Setup!$B$25,"Moderate","Low")))))))</f>
        <v/>
      </c>
      <c r="AL309" s="21">
        <f>IF(AND($A309="",$B309=""),"",IF(Z309=0,"",IF(AND(AE309=1,N($R309)&gt;AD309*1.01+0.001),"Net terrestrial &gt; gross; ","")&amp;IF(AND(AE309=1,N($S309)&gt;AC309*1.01+0.001),"Net marine &gt; gross; ","")&amp;IF(AE309=0,"No net area – gross used, overlaps may be double-counted; ","")&amp;IF(AH309=0,"STATUS_YR missing – imputed in time series; ","")&amp;IF(AND(ISNUMBER($I309),N($I309)&gt;Setup!$B$6),"STATUS_YR after reporting year; ","")&amp;IF(OR($G309="",$G309="Not Reported"),"GOV_TYPE not reported; ","")&amp;IF(AND(N($J309)=1,$K309="Point",N($M309)&lt;=0),"Coastal point without REP_M_AREA – land/sea split unknown; ","")&amp;IF(AND(N($J309)=0,N($S309)&gt;0),"MARINE=0 but net marine &gt;0; ","")&amp;IF(AND(N($J309)=2,N($R309)&gt;0),"MARINE=2 but net terrestrial &gt;0; ","")&amp;IF($K309="Point","Buffered point – coverage approximate; ","")))</f>
        <v/>
      </c>
    </row>
    <row r="310">
      <c r="A310" s="19" t="n"/>
      <c r="B310" s="19" t="n"/>
      <c r="C310" s="19" t="n"/>
      <c r="D310" s="19" t="n"/>
      <c r="E310" s="19" t="n"/>
      <c r="F310" s="19" t="n"/>
      <c r="G310" s="19" t="n"/>
      <c r="H310" s="19" t="n"/>
      <c r="I310" s="19" t="n"/>
      <c r="J310" s="19" t="n"/>
      <c r="K310" s="19" t="n"/>
      <c r="L310" s="20" t="n"/>
      <c r="M310" s="20" t="n"/>
      <c r="N310" s="20" t="n"/>
      <c r="O310" s="20" t="n"/>
      <c r="P310" s="19" t="n"/>
      <c r="Q310" s="19" t="n"/>
      <c r="R310" s="20" t="n"/>
      <c r="S310" s="20" t="n"/>
      <c r="T310" s="19" t="n"/>
      <c r="U310" s="19" t="n"/>
      <c r="V310" s="19" t="n"/>
      <c r="W310" s="19" t="n"/>
      <c r="X310" s="19" t="n"/>
      <c r="Y310" s="19" t="n"/>
      <c r="Z310" s="21">
        <f>IF(AND($A310="",$B310=""),"",IF(OR($E310="",$H310="",$H310="Proposed",$H310="Not Reported"),0,IF(AND($P310="Y",$Q310&lt;&gt;"Y"),0,IF(AND($K310="Point",N($L310)&lt;=0),0,IF(AND(N($L310)&lt;=0,N($N310)&lt;=0,N($R310)+N($S310)&lt;=0),0,1)))))</f>
        <v/>
      </c>
      <c r="AA310" s="21">
        <f>IF(AND($A310="",$B310=""),"",IF($E310="","Site type missing",IF($H310="","STATUS missing",IF($H310="Proposed","STATUS = Proposed",IF($H310="Not Reported","STATUS = Not Reported",IF(AND($P310="Y",$Q310&lt;&gt;"Y"),"UNESCO-MAB Biosphere Reserve",IF(AND($K310="Point",N($L310)&lt;=0),"Point without REP_AREA",IF(AND(N($L310)&lt;=0,N($N310)&lt;=0,N($R310)+N($S310)&lt;=0),"No area information",""))))))))</f>
        <v/>
      </c>
      <c r="AB310" s="22">
        <f>IF(AND($A310="",$B310=""),"",IF($K310="Point",N($L310),IF(N($N310)&gt;0,N($N310),N($L310))))</f>
        <v/>
      </c>
      <c r="AC310" s="22">
        <f>IF(AND($A310="",$B310=""),"",MIN(AB310,IF(N($J310)=0,0,IF(N($J310)=2,AB310,IF(AND($K310&lt;&gt;"Point",N($O310)&gt;0),N($O310),N($M310))))))</f>
        <v/>
      </c>
      <c r="AD310" s="22">
        <f>IF(AND($A310="",$B310=""),"",MAX(0,AB310-AC310))</f>
        <v/>
      </c>
      <c r="AE310" s="21">
        <f>IF(AND($A310="",$B310=""),"",IF(OR($R310&lt;&gt;"",$S310&lt;&gt;""),1,0))</f>
        <v/>
      </c>
      <c r="AF310" s="22">
        <f>IF(AND($A310="",$B310=""),"",IF(Z310=1,IF(AE310=1,N($R310),AD310),0))</f>
        <v/>
      </c>
      <c r="AG310" s="22">
        <f>IF(AND($A310="",$B310=""),"",IF(Z310=1,IF(AE310=1,N($S310),AC310),0))</f>
        <v/>
      </c>
      <c r="AH310" s="21">
        <f>IF(AND($A310="",$B310=""),"",IF(AND(ISNUMBER($I310),N($I310)&gt;0),$I310,0))</f>
        <v/>
      </c>
      <c r="AI310" s="23">
        <f>IF(AND(NOT(AND($A310="",$B310="")),$K310="Point",N($L310)&gt;0),SQRT(N($L310)/PI()),"")</f>
        <v/>
      </c>
      <c r="AJ310" s="21">
        <f>IF(AND($A310="",$B310=""),"",IFERROR(VLOOKUP($G310,Lists!$D$4:$E$15,2,FALSE),"Not reported"))</f>
        <v/>
      </c>
      <c r="AK310" s="21">
        <f>IF(AND($A310="",$B310=""),"",IF($X310&lt;&gt;"",$X310,IF($T310&lt;&gt;"Y","Not assessed",IF(AND(ISNUMBER($V310),Setup!$B$6-$V310&gt;Setup!$B$26),"Assessment outdated",IF(NOT(ISNUMBER($W310)),"Assessed – no score",IF($W310&gt;=Setup!$B$24,"High",IF($W310&gt;=Setup!$B$25,"Moderate","Low")))))))</f>
        <v/>
      </c>
      <c r="AL310" s="21">
        <f>IF(AND($A310="",$B310=""),"",IF(Z310=0,"",IF(AND(AE310=1,N($R310)&gt;AD310*1.01+0.001),"Net terrestrial &gt; gross; ","")&amp;IF(AND(AE310=1,N($S310)&gt;AC310*1.01+0.001),"Net marine &gt; gross; ","")&amp;IF(AE310=0,"No net area – gross used, overlaps may be double-counted; ","")&amp;IF(AH310=0,"STATUS_YR missing – imputed in time series; ","")&amp;IF(AND(ISNUMBER($I310),N($I310)&gt;Setup!$B$6),"STATUS_YR after reporting year; ","")&amp;IF(OR($G310="",$G310="Not Reported"),"GOV_TYPE not reported; ","")&amp;IF(AND(N($J310)=1,$K310="Point",N($M310)&lt;=0),"Coastal point without REP_M_AREA – land/sea split unknown; ","")&amp;IF(AND(N($J310)=0,N($S310)&gt;0),"MARINE=0 but net marine &gt;0; ","")&amp;IF(AND(N($J310)=2,N($R310)&gt;0),"MARINE=2 but net terrestrial &gt;0; ","")&amp;IF($K310="Point","Buffered point – coverage approximate; ","")))</f>
        <v/>
      </c>
    </row>
    <row r="311">
      <c r="A311" s="19" t="n"/>
      <c r="B311" s="19" t="n"/>
      <c r="C311" s="19" t="n"/>
      <c r="D311" s="19" t="n"/>
      <c r="E311" s="19" t="n"/>
      <c r="F311" s="19" t="n"/>
      <c r="G311" s="19" t="n"/>
      <c r="H311" s="19" t="n"/>
      <c r="I311" s="19" t="n"/>
      <c r="J311" s="19" t="n"/>
      <c r="K311" s="19" t="n"/>
      <c r="L311" s="20" t="n"/>
      <c r="M311" s="20" t="n"/>
      <c r="N311" s="20" t="n"/>
      <c r="O311" s="20" t="n"/>
      <c r="P311" s="19" t="n"/>
      <c r="Q311" s="19" t="n"/>
      <c r="R311" s="20" t="n"/>
      <c r="S311" s="20" t="n"/>
      <c r="T311" s="19" t="n"/>
      <c r="U311" s="19" t="n"/>
      <c r="V311" s="19" t="n"/>
      <c r="W311" s="19" t="n"/>
      <c r="X311" s="19" t="n"/>
      <c r="Y311" s="19" t="n"/>
      <c r="Z311" s="21">
        <f>IF(AND($A311="",$B311=""),"",IF(OR($E311="",$H311="",$H311="Proposed",$H311="Not Reported"),0,IF(AND($P311="Y",$Q311&lt;&gt;"Y"),0,IF(AND($K311="Point",N($L311)&lt;=0),0,IF(AND(N($L311)&lt;=0,N($N311)&lt;=0,N($R311)+N($S311)&lt;=0),0,1)))))</f>
        <v/>
      </c>
      <c r="AA311" s="21">
        <f>IF(AND($A311="",$B311=""),"",IF($E311="","Site type missing",IF($H311="","STATUS missing",IF($H311="Proposed","STATUS = Proposed",IF($H311="Not Reported","STATUS = Not Reported",IF(AND($P311="Y",$Q311&lt;&gt;"Y"),"UNESCO-MAB Biosphere Reserve",IF(AND($K311="Point",N($L311)&lt;=0),"Point without REP_AREA",IF(AND(N($L311)&lt;=0,N($N311)&lt;=0,N($R311)+N($S311)&lt;=0),"No area information",""))))))))</f>
        <v/>
      </c>
      <c r="AB311" s="22">
        <f>IF(AND($A311="",$B311=""),"",IF($K311="Point",N($L311),IF(N($N311)&gt;0,N($N311),N($L311))))</f>
        <v/>
      </c>
      <c r="AC311" s="22">
        <f>IF(AND($A311="",$B311=""),"",MIN(AB311,IF(N($J311)=0,0,IF(N($J311)=2,AB311,IF(AND($K311&lt;&gt;"Point",N($O311)&gt;0),N($O311),N($M311))))))</f>
        <v/>
      </c>
      <c r="AD311" s="22">
        <f>IF(AND($A311="",$B311=""),"",MAX(0,AB311-AC311))</f>
        <v/>
      </c>
      <c r="AE311" s="21">
        <f>IF(AND($A311="",$B311=""),"",IF(OR($R311&lt;&gt;"",$S311&lt;&gt;""),1,0))</f>
        <v/>
      </c>
      <c r="AF311" s="22">
        <f>IF(AND($A311="",$B311=""),"",IF(Z311=1,IF(AE311=1,N($R311),AD311),0))</f>
        <v/>
      </c>
      <c r="AG311" s="22">
        <f>IF(AND($A311="",$B311=""),"",IF(Z311=1,IF(AE311=1,N($S311),AC311),0))</f>
        <v/>
      </c>
      <c r="AH311" s="21">
        <f>IF(AND($A311="",$B311=""),"",IF(AND(ISNUMBER($I311),N($I311)&gt;0),$I311,0))</f>
        <v/>
      </c>
      <c r="AI311" s="23">
        <f>IF(AND(NOT(AND($A311="",$B311="")),$K311="Point",N($L311)&gt;0),SQRT(N($L311)/PI()),"")</f>
        <v/>
      </c>
      <c r="AJ311" s="21">
        <f>IF(AND($A311="",$B311=""),"",IFERROR(VLOOKUP($G311,Lists!$D$4:$E$15,2,FALSE),"Not reported"))</f>
        <v/>
      </c>
      <c r="AK311" s="21">
        <f>IF(AND($A311="",$B311=""),"",IF($X311&lt;&gt;"",$X311,IF($T311&lt;&gt;"Y","Not assessed",IF(AND(ISNUMBER($V311),Setup!$B$6-$V311&gt;Setup!$B$26),"Assessment outdated",IF(NOT(ISNUMBER($W311)),"Assessed – no score",IF($W311&gt;=Setup!$B$24,"High",IF($W311&gt;=Setup!$B$25,"Moderate","Low")))))))</f>
        <v/>
      </c>
      <c r="AL311" s="21">
        <f>IF(AND($A311="",$B311=""),"",IF(Z311=0,"",IF(AND(AE311=1,N($R311)&gt;AD311*1.01+0.001),"Net terrestrial &gt; gross; ","")&amp;IF(AND(AE311=1,N($S311)&gt;AC311*1.01+0.001),"Net marine &gt; gross; ","")&amp;IF(AE311=0,"No net area – gross used, overlaps may be double-counted; ","")&amp;IF(AH311=0,"STATUS_YR missing – imputed in time series; ","")&amp;IF(AND(ISNUMBER($I311),N($I311)&gt;Setup!$B$6),"STATUS_YR after reporting year; ","")&amp;IF(OR($G311="",$G311="Not Reported"),"GOV_TYPE not reported; ","")&amp;IF(AND(N($J311)=1,$K311="Point",N($M311)&lt;=0),"Coastal point without REP_M_AREA – land/sea split unknown; ","")&amp;IF(AND(N($J311)=0,N($S311)&gt;0),"MARINE=0 but net marine &gt;0; ","")&amp;IF(AND(N($J311)=2,N($R311)&gt;0),"MARINE=2 but net terrestrial &gt;0; ","")&amp;IF($K311="Point","Buffered point – coverage approximate; ","")))</f>
        <v/>
      </c>
    </row>
    <row r="312">
      <c r="A312" s="19" t="n"/>
      <c r="B312" s="19" t="n"/>
      <c r="C312" s="19" t="n"/>
      <c r="D312" s="19" t="n"/>
      <c r="E312" s="19" t="n"/>
      <c r="F312" s="19" t="n"/>
      <c r="G312" s="19" t="n"/>
      <c r="H312" s="19" t="n"/>
      <c r="I312" s="19" t="n"/>
      <c r="J312" s="19" t="n"/>
      <c r="K312" s="19" t="n"/>
      <c r="L312" s="20" t="n"/>
      <c r="M312" s="20" t="n"/>
      <c r="N312" s="20" t="n"/>
      <c r="O312" s="20" t="n"/>
      <c r="P312" s="19" t="n"/>
      <c r="Q312" s="19" t="n"/>
      <c r="R312" s="20" t="n"/>
      <c r="S312" s="20" t="n"/>
      <c r="T312" s="19" t="n"/>
      <c r="U312" s="19" t="n"/>
      <c r="V312" s="19" t="n"/>
      <c r="W312" s="19" t="n"/>
      <c r="X312" s="19" t="n"/>
      <c r="Y312" s="19" t="n"/>
      <c r="Z312" s="21">
        <f>IF(AND($A312="",$B312=""),"",IF(OR($E312="",$H312="",$H312="Proposed",$H312="Not Reported"),0,IF(AND($P312="Y",$Q312&lt;&gt;"Y"),0,IF(AND($K312="Point",N($L312)&lt;=0),0,IF(AND(N($L312)&lt;=0,N($N312)&lt;=0,N($R312)+N($S312)&lt;=0),0,1)))))</f>
        <v/>
      </c>
      <c r="AA312" s="21">
        <f>IF(AND($A312="",$B312=""),"",IF($E312="","Site type missing",IF($H312="","STATUS missing",IF($H312="Proposed","STATUS = Proposed",IF($H312="Not Reported","STATUS = Not Reported",IF(AND($P312="Y",$Q312&lt;&gt;"Y"),"UNESCO-MAB Biosphere Reserve",IF(AND($K312="Point",N($L312)&lt;=0),"Point without REP_AREA",IF(AND(N($L312)&lt;=0,N($N312)&lt;=0,N($R312)+N($S312)&lt;=0),"No area information",""))))))))</f>
        <v/>
      </c>
      <c r="AB312" s="22">
        <f>IF(AND($A312="",$B312=""),"",IF($K312="Point",N($L312),IF(N($N312)&gt;0,N($N312),N($L312))))</f>
        <v/>
      </c>
      <c r="AC312" s="22">
        <f>IF(AND($A312="",$B312=""),"",MIN(AB312,IF(N($J312)=0,0,IF(N($J312)=2,AB312,IF(AND($K312&lt;&gt;"Point",N($O312)&gt;0),N($O312),N($M312))))))</f>
        <v/>
      </c>
      <c r="AD312" s="22">
        <f>IF(AND($A312="",$B312=""),"",MAX(0,AB312-AC312))</f>
        <v/>
      </c>
      <c r="AE312" s="21">
        <f>IF(AND($A312="",$B312=""),"",IF(OR($R312&lt;&gt;"",$S312&lt;&gt;""),1,0))</f>
        <v/>
      </c>
      <c r="AF312" s="22">
        <f>IF(AND($A312="",$B312=""),"",IF(Z312=1,IF(AE312=1,N($R312),AD312),0))</f>
        <v/>
      </c>
      <c r="AG312" s="22">
        <f>IF(AND($A312="",$B312=""),"",IF(Z312=1,IF(AE312=1,N($S312),AC312),0))</f>
        <v/>
      </c>
      <c r="AH312" s="21">
        <f>IF(AND($A312="",$B312=""),"",IF(AND(ISNUMBER($I312),N($I312)&gt;0),$I312,0))</f>
        <v/>
      </c>
      <c r="AI312" s="23">
        <f>IF(AND(NOT(AND($A312="",$B312="")),$K312="Point",N($L312)&gt;0),SQRT(N($L312)/PI()),"")</f>
        <v/>
      </c>
      <c r="AJ312" s="21">
        <f>IF(AND($A312="",$B312=""),"",IFERROR(VLOOKUP($G312,Lists!$D$4:$E$15,2,FALSE),"Not reported"))</f>
        <v/>
      </c>
      <c r="AK312" s="21">
        <f>IF(AND($A312="",$B312=""),"",IF($X312&lt;&gt;"",$X312,IF($T312&lt;&gt;"Y","Not assessed",IF(AND(ISNUMBER($V312),Setup!$B$6-$V312&gt;Setup!$B$26),"Assessment outdated",IF(NOT(ISNUMBER($W312)),"Assessed – no score",IF($W312&gt;=Setup!$B$24,"High",IF($W312&gt;=Setup!$B$25,"Moderate","Low")))))))</f>
        <v/>
      </c>
      <c r="AL312" s="21">
        <f>IF(AND($A312="",$B312=""),"",IF(Z312=0,"",IF(AND(AE312=1,N($R312)&gt;AD312*1.01+0.001),"Net terrestrial &gt; gross; ","")&amp;IF(AND(AE312=1,N($S312)&gt;AC312*1.01+0.001),"Net marine &gt; gross; ","")&amp;IF(AE312=0,"No net area – gross used, overlaps may be double-counted; ","")&amp;IF(AH312=0,"STATUS_YR missing – imputed in time series; ","")&amp;IF(AND(ISNUMBER($I312),N($I312)&gt;Setup!$B$6),"STATUS_YR after reporting year; ","")&amp;IF(OR($G312="",$G312="Not Reported"),"GOV_TYPE not reported; ","")&amp;IF(AND(N($J312)=1,$K312="Point",N($M312)&lt;=0),"Coastal point without REP_M_AREA – land/sea split unknown; ","")&amp;IF(AND(N($J312)=0,N($S312)&gt;0),"MARINE=0 but net marine &gt;0; ","")&amp;IF(AND(N($J312)=2,N($R312)&gt;0),"MARINE=2 but net terrestrial &gt;0; ","")&amp;IF($K312="Point","Buffered point – coverage approximate; ","")))</f>
        <v/>
      </c>
    </row>
    <row r="313">
      <c r="A313" s="19" t="n"/>
      <c r="B313" s="19" t="n"/>
      <c r="C313" s="19" t="n"/>
      <c r="D313" s="19" t="n"/>
      <c r="E313" s="19" t="n"/>
      <c r="F313" s="19" t="n"/>
      <c r="G313" s="19" t="n"/>
      <c r="H313" s="19" t="n"/>
      <c r="I313" s="19" t="n"/>
      <c r="J313" s="19" t="n"/>
      <c r="K313" s="19" t="n"/>
      <c r="L313" s="20" t="n"/>
      <c r="M313" s="20" t="n"/>
      <c r="N313" s="20" t="n"/>
      <c r="O313" s="20" t="n"/>
      <c r="P313" s="19" t="n"/>
      <c r="Q313" s="19" t="n"/>
      <c r="R313" s="20" t="n"/>
      <c r="S313" s="20" t="n"/>
      <c r="T313" s="19" t="n"/>
      <c r="U313" s="19" t="n"/>
      <c r="V313" s="19" t="n"/>
      <c r="W313" s="19" t="n"/>
      <c r="X313" s="19" t="n"/>
      <c r="Y313" s="19" t="n"/>
      <c r="Z313" s="21">
        <f>IF(AND($A313="",$B313=""),"",IF(OR($E313="",$H313="",$H313="Proposed",$H313="Not Reported"),0,IF(AND($P313="Y",$Q313&lt;&gt;"Y"),0,IF(AND($K313="Point",N($L313)&lt;=0),0,IF(AND(N($L313)&lt;=0,N($N313)&lt;=0,N($R313)+N($S313)&lt;=0),0,1)))))</f>
        <v/>
      </c>
      <c r="AA313" s="21">
        <f>IF(AND($A313="",$B313=""),"",IF($E313="","Site type missing",IF($H313="","STATUS missing",IF($H313="Proposed","STATUS = Proposed",IF($H313="Not Reported","STATUS = Not Reported",IF(AND($P313="Y",$Q313&lt;&gt;"Y"),"UNESCO-MAB Biosphere Reserve",IF(AND($K313="Point",N($L313)&lt;=0),"Point without REP_AREA",IF(AND(N($L313)&lt;=0,N($N313)&lt;=0,N($R313)+N($S313)&lt;=0),"No area information",""))))))))</f>
        <v/>
      </c>
      <c r="AB313" s="22">
        <f>IF(AND($A313="",$B313=""),"",IF($K313="Point",N($L313),IF(N($N313)&gt;0,N($N313),N($L313))))</f>
        <v/>
      </c>
      <c r="AC313" s="22">
        <f>IF(AND($A313="",$B313=""),"",MIN(AB313,IF(N($J313)=0,0,IF(N($J313)=2,AB313,IF(AND($K313&lt;&gt;"Point",N($O313)&gt;0),N($O313),N($M313))))))</f>
        <v/>
      </c>
      <c r="AD313" s="22">
        <f>IF(AND($A313="",$B313=""),"",MAX(0,AB313-AC313))</f>
        <v/>
      </c>
      <c r="AE313" s="21">
        <f>IF(AND($A313="",$B313=""),"",IF(OR($R313&lt;&gt;"",$S313&lt;&gt;""),1,0))</f>
        <v/>
      </c>
      <c r="AF313" s="22">
        <f>IF(AND($A313="",$B313=""),"",IF(Z313=1,IF(AE313=1,N($R313),AD313),0))</f>
        <v/>
      </c>
      <c r="AG313" s="22">
        <f>IF(AND($A313="",$B313=""),"",IF(Z313=1,IF(AE313=1,N($S313),AC313),0))</f>
        <v/>
      </c>
      <c r="AH313" s="21">
        <f>IF(AND($A313="",$B313=""),"",IF(AND(ISNUMBER($I313),N($I313)&gt;0),$I313,0))</f>
        <v/>
      </c>
      <c r="AI313" s="23">
        <f>IF(AND(NOT(AND($A313="",$B313="")),$K313="Point",N($L313)&gt;0),SQRT(N($L313)/PI()),"")</f>
        <v/>
      </c>
      <c r="AJ313" s="21">
        <f>IF(AND($A313="",$B313=""),"",IFERROR(VLOOKUP($G313,Lists!$D$4:$E$15,2,FALSE),"Not reported"))</f>
        <v/>
      </c>
      <c r="AK313" s="21">
        <f>IF(AND($A313="",$B313=""),"",IF($X313&lt;&gt;"",$X313,IF($T313&lt;&gt;"Y","Not assessed",IF(AND(ISNUMBER($V313),Setup!$B$6-$V313&gt;Setup!$B$26),"Assessment outdated",IF(NOT(ISNUMBER($W313)),"Assessed – no score",IF($W313&gt;=Setup!$B$24,"High",IF($W313&gt;=Setup!$B$25,"Moderate","Low")))))))</f>
        <v/>
      </c>
      <c r="AL313" s="21">
        <f>IF(AND($A313="",$B313=""),"",IF(Z313=0,"",IF(AND(AE313=1,N($R313)&gt;AD313*1.01+0.001),"Net terrestrial &gt; gross; ","")&amp;IF(AND(AE313=1,N($S313)&gt;AC313*1.01+0.001),"Net marine &gt; gross; ","")&amp;IF(AE313=0,"No net area – gross used, overlaps may be double-counted; ","")&amp;IF(AH313=0,"STATUS_YR missing – imputed in time series; ","")&amp;IF(AND(ISNUMBER($I313),N($I313)&gt;Setup!$B$6),"STATUS_YR after reporting year; ","")&amp;IF(OR($G313="",$G313="Not Reported"),"GOV_TYPE not reported; ","")&amp;IF(AND(N($J313)=1,$K313="Point",N($M313)&lt;=0),"Coastal point without REP_M_AREA – land/sea split unknown; ","")&amp;IF(AND(N($J313)=0,N($S313)&gt;0),"MARINE=0 but net marine &gt;0; ","")&amp;IF(AND(N($J313)=2,N($R313)&gt;0),"MARINE=2 but net terrestrial &gt;0; ","")&amp;IF($K313="Point","Buffered point – coverage approximate; ","")))</f>
        <v/>
      </c>
    </row>
    <row r="314">
      <c r="A314" s="19" t="n"/>
      <c r="B314" s="19" t="n"/>
      <c r="C314" s="19" t="n"/>
      <c r="D314" s="19" t="n"/>
      <c r="E314" s="19" t="n"/>
      <c r="F314" s="19" t="n"/>
      <c r="G314" s="19" t="n"/>
      <c r="H314" s="19" t="n"/>
      <c r="I314" s="19" t="n"/>
      <c r="J314" s="19" t="n"/>
      <c r="K314" s="19" t="n"/>
      <c r="L314" s="20" t="n"/>
      <c r="M314" s="20" t="n"/>
      <c r="N314" s="20" t="n"/>
      <c r="O314" s="20" t="n"/>
      <c r="P314" s="19" t="n"/>
      <c r="Q314" s="19" t="n"/>
      <c r="R314" s="20" t="n"/>
      <c r="S314" s="20" t="n"/>
      <c r="T314" s="19" t="n"/>
      <c r="U314" s="19" t="n"/>
      <c r="V314" s="19" t="n"/>
      <c r="W314" s="19" t="n"/>
      <c r="X314" s="19" t="n"/>
      <c r="Y314" s="19" t="n"/>
      <c r="Z314" s="21">
        <f>IF(AND($A314="",$B314=""),"",IF(OR($E314="",$H314="",$H314="Proposed",$H314="Not Reported"),0,IF(AND($P314="Y",$Q314&lt;&gt;"Y"),0,IF(AND($K314="Point",N($L314)&lt;=0),0,IF(AND(N($L314)&lt;=0,N($N314)&lt;=0,N($R314)+N($S314)&lt;=0),0,1)))))</f>
        <v/>
      </c>
      <c r="AA314" s="21">
        <f>IF(AND($A314="",$B314=""),"",IF($E314="","Site type missing",IF($H314="","STATUS missing",IF($H314="Proposed","STATUS = Proposed",IF($H314="Not Reported","STATUS = Not Reported",IF(AND($P314="Y",$Q314&lt;&gt;"Y"),"UNESCO-MAB Biosphere Reserve",IF(AND($K314="Point",N($L314)&lt;=0),"Point without REP_AREA",IF(AND(N($L314)&lt;=0,N($N314)&lt;=0,N($R314)+N($S314)&lt;=0),"No area information",""))))))))</f>
        <v/>
      </c>
      <c r="AB314" s="22">
        <f>IF(AND($A314="",$B314=""),"",IF($K314="Point",N($L314),IF(N($N314)&gt;0,N($N314),N($L314))))</f>
        <v/>
      </c>
      <c r="AC314" s="22">
        <f>IF(AND($A314="",$B314=""),"",MIN(AB314,IF(N($J314)=0,0,IF(N($J314)=2,AB314,IF(AND($K314&lt;&gt;"Point",N($O314)&gt;0),N($O314),N($M314))))))</f>
        <v/>
      </c>
      <c r="AD314" s="22">
        <f>IF(AND($A314="",$B314=""),"",MAX(0,AB314-AC314))</f>
        <v/>
      </c>
      <c r="AE314" s="21">
        <f>IF(AND($A314="",$B314=""),"",IF(OR($R314&lt;&gt;"",$S314&lt;&gt;""),1,0))</f>
        <v/>
      </c>
      <c r="AF314" s="22">
        <f>IF(AND($A314="",$B314=""),"",IF(Z314=1,IF(AE314=1,N($R314),AD314),0))</f>
        <v/>
      </c>
      <c r="AG314" s="22">
        <f>IF(AND($A314="",$B314=""),"",IF(Z314=1,IF(AE314=1,N($S314),AC314),0))</f>
        <v/>
      </c>
      <c r="AH314" s="21">
        <f>IF(AND($A314="",$B314=""),"",IF(AND(ISNUMBER($I314),N($I314)&gt;0),$I314,0))</f>
        <v/>
      </c>
      <c r="AI314" s="23">
        <f>IF(AND(NOT(AND($A314="",$B314="")),$K314="Point",N($L314)&gt;0),SQRT(N($L314)/PI()),"")</f>
        <v/>
      </c>
      <c r="AJ314" s="21">
        <f>IF(AND($A314="",$B314=""),"",IFERROR(VLOOKUP($G314,Lists!$D$4:$E$15,2,FALSE),"Not reported"))</f>
        <v/>
      </c>
      <c r="AK314" s="21">
        <f>IF(AND($A314="",$B314=""),"",IF($X314&lt;&gt;"",$X314,IF($T314&lt;&gt;"Y","Not assessed",IF(AND(ISNUMBER($V314),Setup!$B$6-$V314&gt;Setup!$B$26),"Assessment outdated",IF(NOT(ISNUMBER($W314)),"Assessed – no score",IF($W314&gt;=Setup!$B$24,"High",IF($W314&gt;=Setup!$B$25,"Moderate","Low")))))))</f>
        <v/>
      </c>
      <c r="AL314" s="21">
        <f>IF(AND($A314="",$B314=""),"",IF(Z314=0,"",IF(AND(AE314=1,N($R314)&gt;AD314*1.01+0.001),"Net terrestrial &gt; gross; ","")&amp;IF(AND(AE314=1,N($S314)&gt;AC314*1.01+0.001),"Net marine &gt; gross; ","")&amp;IF(AE314=0,"No net area – gross used, overlaps may be double-counted; ","")&amp;IF(AH314=0,"STATUS_YR missing – imputed in time series; ","")&amp;IF(AND(ISNUMBER($I314),N($I314)&gt;Setup!$B$6),"STATUS_YR after reporting year; ","")&amp;IF(OR($G314="",$G314="Not Reported"),"GOV_TYPE not reported; ","")&amp;IF(AND(N($J314)=1,$K314="Point",N($M314)&lt;=0),"Coastal point without REP_M_AREA – land/sea split unknown; ","")&amp;IF(AND(N($J314)=0,N($S314)&gt;0),"MARINE=0 but net marine &gt;0; ","")&amp;IF(AND(N($J314)=2,N($R314)&gt;0),"MARINE=2 but net terrestrial &gt;0; ","")&amp;IF($K314="Point","Buffered point – coverage approximate; ","")))</f>
        <v/>
      </c>
    </row>
    <row r="315">
      <c r="A315" s="19" t="n"/>
      <c r="B315" s="19" t="n"/>
      <c r="C315" s="19" t="n"/>
      <c r="D315" s="19" t="n"/>
      <c r="E315" s="19" t="n"/>
      <c r="F315" s="19" t="n"/>
      <c r="G315" s="19" t="n"/>
      <c r="H315" s="19" t="n"/>
      <c r="I315" s="19" t="n"/>
      <c r="J315" s="19" t="n"/>
      <c r="K315" s="19" t="n"/>
      <c r="L315" s="20" t="n"/>
      <c r="M315" s="20" t="n"/>
      <c r="N315" s="20" t="n"/>
      <c r="O315" s="20" t="n"/>
      <c r="P315" s="19" t="n"/>
      <c r="Q315" s="19" t="n"/>
      <c r="R315" s="20" t="n"/>
      <c r="S315" s="20" t="n"/>
      <c r="T315" s="19" t="n"/>
      <c r="U315" s="19" t="n"/>
      <c r="V315" s="19" t="n"/>
      <c r="W315" s="19" t="n"/>
      <c r="X315" s="19" t="n"/>
      <c r="Y315" s="19" t="n"/>
      <c r="Z315" s="21">
        <f>IF(AND($A315="",$B315=""),"",IF(OR($E315="",$H315="",$H315="Proposed",$H315="Not Reported"),0,IF(AND($P315="Y",$Q315&lt;&gt;"Y"),0,IF(AND($K315="Point",N($L315)&lt;=0),0,IF(AND(N($L315)&lt;=0,N($N315)&lt;=0,N($R315)+N($S315)&lt;=0),0,1)))))</f>
        <v/>
      </c>
      <c r="AA315" s="21">
        <f>IF(AND($A315="",$B315=""),"",IF($E315="","Site type missing",IF($H315="","STATUS missing",IF($H315="Proposed","STATUS = Proposed",IF($H315="Not Reported","STATUS = Not Reported",IF(AND($P315="Y",$Q315&lt;&gt;"Y"),"UNESCO-MAB Biosphere Reserve",IF(AND($K315="Point",N($L315)&lt;=0),"Point without REP_AREA",IF(AND(N($L315)&lt;=0,N($N315)&lt;=0,N($R315)+N($S315)&lt;=0),"No area information",""))))))))</f>
        <v/>
      </c>
      <c r="AB315" s="22">
        <f>IF(AND($A315="",$B315=""),"",IF($K315="Point",N($L315),IF(N($N315)&gt;0,N($N315),N($L315))))</f>
        <v/>
      </c>
      <c r="AC315" s="22">
        <f>IF(AND($A315="",$B315=""),"",MIN(AB315,IF(N($J315)=0,0,IF(N($J315)=2,AB315,IF(AND($K315&lt;&gt;"Point",N($O315)&gt;0),N($O315),N($M315))))))</f>
        <v/>
      </c>
      <c r="AD315" s="22">
        <f>IF(AND($A315="",$B315=""),"",MAX(0,AB315-AC315))</f>
        <v/>
      </c>
      <c r="AE315" s="21">
        <f>IF(AND($A315="",$B315=""),"",IF(OR($R315&lt;&gt;"",$S315&lt;&gt;""),1,0))</f>
        <v/>
      </c>
      <c r="AF315" s="22">
        <f>IF(AND($A315="",$B315=""),"",IF(Z315=1,IF(AE315=1,N($R315),AD315),0))</f>
        <v/>
      </c>
      <c r="AG315" s="22">
        <f>IF(AND($A315="",$B315=""),"",IF(Z315=1,IF(AE315=1,N($S315),AC315),0))</f>
        <v/>
      </c>
      <c r="AH315" s="21">
        <f>IF(AND($A315="",$B315=""),"",IF(AND(ISNUMBER($I315),N($I315)&gt;0),$I315,0))</f>
        <v/>
      </c>
      <c r="AI315" s="23">
        <f>IF(AND(NOT(AND($A315="",$B315="")),$K315="Point",N($L315)&gt;0),SQRT(N($L315)/PI()),"")</f>
        <v/>
      </c>
      <c r="AJ315" s="21">
        <f>IF(AND($A315="",$B315=""),"",IFERROR(VLOOKUP($G315,Lists!$D$4:$E$15,2,FALSE),"Not reported"))</f>
        <v/>
      </c>
      <c r="AK315" s="21">
        <f>IF(AND($A315="",$B315=""),"",IF($X315&lt;&gt;"",$X315,IF($T315&lt;&gt;"Y","Not assessed",IF(AND(ISNUMBER($V315),Setup!$B$6-$V315&gt;Setup!$B$26),"Assessment outdated",IF(NOT(ISNUMBER($W315)),"Assessed – no score",IF($W315&gt;=Setup!$B$24,"High",IF($W315&gt;=Setup!$B$25,"Moderate","Low")))))))</f>
        <v/>
      </c>
      <c r="AL315" s="21">
        <f>IF(AND($A315="",$B315=""),"",IF(Z315=0,"",IF(AND(AE315=1,N($R315)&gt;AD315*1.01+0.001),"Net terrestrial &gt; gross; ","")&amp;IF(AND(AE315=1,N($S315)&gt;AC315*1.01+0.001),"Net marine &gt; gross; ","")&amp;IF(AE315=0,"No net area – gross used, overlaps may be double-counted; ","")&amp;IF(AH315=0,"STATUS_YR missing – imputed in time series; ","")&amp;IF(AND(ISNUMBER($I315),N($I315)&gt;Setup!$B$6),"STATUS_YR after reporting year; ","")&amp;IF(OR($G315="",$G315="Not Reported"),"GOV_TYPE not reported; ","")&amp;IF(AND(N($J315)=1,$K315="Point",N($M315)&lt;=0),"Coastal point without REP_M_AREA – land/sea split unknown; ","")&amp;IF(AND(N($J315)=0,N($S315)&gt;0),"MARINE=0 but net marine &gt;0; ","")&amp;IF(AND(N($J315)=2,N($R315)&gt;0),"MARINE=2 but net terrestrial &gt;0; ","")&amp;IF($K315="Point","Buffered point – coverage approximate; ","")))</f>
        <v/>
      </c>
    </row>
    <row r="316">
      <c r="A316" s="19" t="n"/>
      <c r="B316" s="19" t="n"/>
      <c r="C316" s="19" t="n"/>
      <c r="D316" s="19" t="n"/>
      <c r="E316" s="19" t="n"/>
      <c r="F316" s="19" t="n"/>
      <c r="G316" s="19" t="n"/>
      <c r="H316" s="19" t="n"/>
      <c r="I316" s="19" t="n"/>
      <c r="J316" s="19" t="n"/>
      <c r="K316" s="19" t="n"/>
      <c r="L316" s="20" t="n"/>
      <c r="M316" s="20" t="n"/>
      <c r="N316" s="20" t="n"/>
      <c r="O316" s="20" t="n"/>
      <c r="P316" s="19" t="n"/>
      <c r="Q316" s="19" t="n"/>
      <c r="R316" s="20" t="n"/>
      <c r="S316" s="20" t="n"/>
      <c r="T316" s="19" t="n"/>
      <c r="U316" s="19" t="n"/>
      <c r="V316" s="19" t="n"/>
      <c r="W316" s="19" t="n"/>
      <c r="X316" s="19" t="n"/>
      <c r="Y316" s="19" t="n"/>
      <c r="Z316" s="21">
        <f>IF(AND($A316="",$B316=""),"",IF(OR($E316="",$H316="",$H316="Proposed",$H316="Not Reported"),0,IF(AND($P316="Y",$Q316&lt;&gt;"Y"),0,IF(AND($K316="Point",N($L316)&lt;=0),0,IF(AND(N($L316)&lt;=0,N($N316)&lt;=0,N($R316)+N($S316)&lt;=0),0,1)))))</f>
        <v/>
      </c>
      <c r="AA316" s="21">
        <f>IF(AND($A316="",$B316=""),"",IF($E316="","Site type missing",IF($H316="","STATUS missing",IF($H316="Proposed","STATUS = Proposed",IF($H316="Not Reported","STATUS = Not Reported",IF(AND($P316="Y",$Q316&lt;&gt;"Y"),"UNESCO-MAB Biosphere Reserve",IF(AND($K316="Point",N($L316)&lt;=0),"Point without REP_AREA",IF(AND(N($L316)&lt;=0,N($N316)&lt;=0,N($R316)+N($S316)&lt;=0),"No area information",""))))))))</f>
        <v/>
      </c>
      <c r="AB316" s="22">
        <f>IF(AND($A316="",$B316=""),"",IF($K316="Point",N($L316),IF(N($N316)&gt;0,N($N316),N($L316))))</f>
        <v/>
      </c>
      <c r="AC316" s="22">
        <f>IF(AND($A316="",$B316=""),"",MIN(AB316,IF(N($J316)=0,0,IF(N($J316)=2,AB316,IF(AND($K316&lt;&gt;"Point",N($O316)&gt;0),N($O316),N($M316))))))</f>
        <v/>
      </c>
      <c r="AD316" s="22">
        <f>IF(AND($A316="",$B316=""),"",MAX(0,AB316-AC316))</f>
        <v/>
      </c>
      <c r="AE316" s="21">
        <f>IF(AND($A316="",$B316=""),"",IF(OR($R316&lt;&gt;"",$S316&lt;&gt;""),1,0))</f>
        <v/>
      </c>
      <c r="AF316" s="22">
        <f>IF(AND($A316="",$B316=""),"",IF(Z316=1,IF(AE316=1,N($R316),AD316),0))</f>
        <v/>
      </c>
      <c r="AG316" s="22">
        <f>IF(AND($A316="",$B316=""),"",IF(Z316=1,IF(AE316=1,N($S316),AC316),0))</f>
        <v/>
      </c>
      <c r="AH316" s="21">
        <f>IF(AND($A316="",$B316=""),"",IF(AND(ISNUMBER($I316),N($I316)&gt;0),$I316,0))</f>
        <v/>
      </c>
      <c r="AI316" s="23">
        <f>IF(AND(NOT(AND($A316="",$B316="")),$K316="Point",N($L316)&gt;0),SQRT(N($L316)/PI()),"")</f>
        <v/>
      </c>
      <c r="AJ316" s="21">
        <f>IF(AND($A316="",$B316=""),"",IFERROR(VLOOKUP($G316,Lists!$D$4:$E$15,2,FALSE),"Not reported"))</f>
        <v/>
      </c>
      <c r="AK316" s="21">
        <f>IF(AND($A316="",$B316=""),"",IF($X316&lt;&gt;"",$X316,IF($T316&lt;&gt;"Y","Not assessed",IF(AND(ISNUMBER($V316),Setup!$B$6-$V316&gt;Setup!$B$26),"Assessment outdated",IF(NOT(ISNUMBER($W316)),"Assessed – no score",IF($W316&gt;=Setup!$B$24,"High",IF($W316&gt;=Setup!$B$25,"Moderate","Low")))))))</f>
        <v/>
      </c>
      <c r="AL316" s="21">
        <f>IF(AND($A316="",$B316=""),"",IF(Z316=0,"",IF(AND(AE316=1,N($R316)&gt;AD316*1.01+0.001),"Net terrestrial &gt; gross; ","")&amp;IF(AND(AE316=1,N($S316)&gt;AC316*1.01+0.001),"Net marine &gt; gross; ","")&amp;IF(AE316=0,"No net area – gross used, overlaps may be double-counted; ","")&amp;IF(AH316=0,"STATUS_YR missing – imputed in time series; ","")&amp;IF(AND(ISNUMBER($I316),N($I316)&gt;Setup!$B$6),"STATUS_YR after reporting year; ","")&amp;IF(OR($G316="",$G316="Not Reported"),"GOV_TYPE not reported; ","")&amp;IF(AND(N($J316)=1,$K316="Point",N($M316)&lt;=0),"Coastal point without REP_M_AREA – land/sea split unknown; ","")&amp;IF(AND(N($J316)=0,N($S316)&gt;0),"MARINE=0 but net marine &gt;0; ","")&amp;IF(AND(N($J316)=2,N($R316)&gt;0),"MARINE=2 but net terrestrial &gt;0; ","")&amp;IF($K316="Point","Buffered point – coverage approximate; ","")))</f>
        <v/>
      </c>
    </row>
    <row r="317">
      <c r="A317" s="19" t="n"/>
      <c r="B317" s="19" t="n"/>
      <c r="C317" s="19" t="n"/>
      <c r="D317" s="19" t="n"/>
      <c r="E317" s="19" t="n"/>
      <c r="F317" s="19" t="n"/>
      <c r="G317" s="19" t="n"/>
      <c r="H317" s="19" t="n"/>
      <c r="I317" s="19" t="n"/>
      <c r="J317" s="19" t="n"/>
      <c r="K317" s="19" t="n"/>
      <c r="L317" s="20" t="n"/>
      <c r="M317" s="20" t="n"/>
      <c r="N317" s="20" t="n"/>
      <c r="O317" s="20" t="n"/>
      <c r="P317" s="19" t="n"/>
      <c r="Q317" s="19" t="n"/>
      <c r="R317" s="20" t="n"/>
      <c r="S317" s="20" t="n"/>
      <c r="T317" s="19" t="n"/>
      <c r="U317" s="19" t="n"/>
      <c r="V317" s="19" t="n"/>
      <c r="W317" s="19" t="n"/>
      <c r="X317" s="19" t="n"/>
      <c r="Y317" s="19" t="n"/>
      <c r="Z317" s="21">
        <f>IF(AND($A317="",$B317=""),"",IF(OR($E317="",$H317="",$H317="Proposed",$H317="Not Reported"),0,IF(AND($P317="Y",$Q317&lt;&gt;"Y"),0,IF(AND($K317="Point",N($L317)&lt;=0),0,IF(AND(N($L317)&lt;=0,N($N317)&lt;=0,N($R317)+N($S317)&lt;=0),0,1)))))</f>
        <v/>
      </c>
      <c r="AA317" s="21">
        <f>IF(AND($A317="",$B317=""),"",IF($E317="","Site type missing",IF($H317="","STATUS missing",IF($H317="Proposed","STATUS = Proposed",IF($H317="Not Reported","STATUS = Not Reported",IF(AND($P317="Y",$Q317&lt;&gt;"Y"),"UNESCO-MAB Biosphere Reserve",IF(AND($K317="Point",N($L317)&lt;=0),"Point without REP_AREA",IF(AND(N($L317)&lt;=0,N($N317)&lt;=0,N($R317)+N($S317)&lt;=0),"No area information",""))))))))</f>
        <v/>
      </c>
      <c r="AB317" s="22">
        <f>IF(AND($A317="",$B317=""),"",IF($K317="Point",N($L317),IF(N($N317)&gt;0,N($N317),N($L317))))</f>
        <v/>
      </c>
      <c r="AC317" s="22">
        <f>IF(AND($A317="",$B317=""),"",MIN(AB317,IF(N($J317)=0,0,IF(N($J317)=2,AB317,IF(AND($K317&lt;&gt;"Point",N($O317)&gt;0),N($O317),N($M317))))))</f>
        <v/>
      </c>
      <c r="AD317" s="22">
        <f>IF(AND($A317="",$B317=""),"",MAX(0,AB317-AC317))</f>
        <v/>
      </c>
      <c r="AE317" s="21">
        <f>IF(AND($A317="",$B317=""),"",IF(OR($R317&lt;&gt;"",$S317&lt;&gt;""),1,0))</f>
        <v/>
      </c>
      <c r="AF317" s="22">
        <f>IF(AND($A317="",$B317=""),"",IF(Z317=1,IF(AE317=1,N($R317),AD317),0))</f>
        <v/>
      </c>
      <c r="AG317" s="22">
        <f>IF(AND($A317="",$B317=""),"",IF(Z317=1,IF(AE317=1,N($S317),AC317),0))</f>
        <v/>
      </c>
      <c r="AH317" s="21">
        <f>IF(AND($A317="",$B317=""),"",IF(AND(ISNUMBER($I317),N($I317)&gt;0),$I317,0))</f>
        <v/>
      </c>
      <c r="AI317" s="23">
        <f>IF(AND(NOT(AND($A317="",$B317="")),$K317="Point",N($L317)&gt;0),SQRT(N($L317)/PI()),"")</f>
        <v/>
      </c>
      <c r="AJ317" s="21">
        <f>IF(AND($A317="",$B317=""),"",IFERROR(VLOOKUP($G317,Lists!$D$4:$E$15,2,FALSE),"Not reported"))</f>
        <v/>
      </c>
      <c r="AK317" s="21">
        <f>IF(AND($A317="",$B317=""),"",IF($X317&lt;&gt;"",$X317,IF($T317&lt;&gt;"Y","Not assessed",IF(AND(ISNUMBER($V317),Setup!$B$6-$V317&gt;Setup!$B$26),"Assessment outdated",IF(NOT(ISNUMBER($W317)),"Assessed – no score",IF($W317&gt;=Setup!$B$24,"High",IF($W317&gt;=Setup!$B$25,"Moderate","Low")))))))</f>
        <v/>
      </c>
      <c r="AL317" s="21">
        <f>IF(AND($A317="",$B317=""),"",IF(Z317=0,"",IF(AND(AE317=1,N($R317)&gt;AD317*1.01+0.001),"Net terrestrial &gt; gross; ","")&amp;IF(AND(AE317=1,N($S317)&gt;AC317*1.01+0.001),"Net marine &gt; gross; ","")&amp;IF(AE317=0,"No net area – gross used, overlaps may be double-counted; ","")&amp;IF(AH317=0,"STATUS_YR missing – imputed in time series; ","")&amp;IF(AND(ISNUMBER($I317),N($I317)&gt;Setup!$B$6),"STATUS_YR after reporting year; ","")&amp;IF(OR($G317="",$G317="Not Reported"),"GOV_TYPE not reported; ","")&amp;IF(AND(N($J317)=1,$K317="Point",N($M317)&lt;=0),"Coastal point without REP_M_AREA – land/sea split unknown; ","")&amp;IF(AND(N($J317)=0,N($S317)&gt;0),"MARINE=0 but net marine &gt;0; ","")&amp;IF(AND(N($J317)=2,N($R317)&gt;0),"MARINE=2 but net terrestrial &gt;0; ","")&amp;IF($K317="Point","Buffered point – coverage approximate; ","")))</f>
        <v/>
      </c>
    </row>
    <row r="318">
      <c r="A318" s="19" t="n"/>
      <c r="B318" s="19" t="n"/>
      <c r="C318" s="19" t="n"/>
      <c r="D318" s="19" t="n"/>
      <c r="E318" s="19" t="n"/>
      <c r="F318" s="19" t="n"/>
      <c r="G318" s="19" t="n"/>
      <c r="H318" s="19" t="n"/>
      <c r="I318" s="19" t="n"/>
      <c r="J318" s="19" t="n"/>
      <c r="K318" s="19" t="n"/>
      <c r="L318" s="20" t="n"/>
      <c r="M318" s="20" t="n"/>
      <c r="N318" s="20" t="n"/>
      <c r="O318" s="20" t="n"/>
      <c r="P318" s="19" t="n"/>
      <c r="Q318" s="19" t="n"/>
      <c r="R318" s="20" t="n"/>
      <c r="S318" s="20" t="n"/>
      <c r="T318" s="19" t="n"/>
      <c r="U318" s="19" t="n"/>
      <c r="V318" s="19" t="n"/>
      <c r="W318" s="19" t="n"/>
      <c r="X318" s="19" t="n"/>
      <c r="Y318" s="19" t="n"/>
      <c r="Z318" s="21">
        <f>IF(AND($A318="",$B318=""),"",IF(OR($E318="",$H318="",$H318="Proposed",$H318="Not Reported"),0,IF(AND($P318="Y",$Q318&lt;&gt;"Y"),0,IF(AND($K318="Point",N($L318)&lt;=0),0,IF(AND(N($L318)&lt;=0,N($N318)&lt;=0,N($R318)+N($S318)&lt;=0),0,1)))))</f>
        <v/>
      </c>
      <c r="AA318" s="21">
        <f>IF(AND($A318="",$B318=""),"",IF($E318="","Site type missing",IF($H318="","STATUS missing",IF($H318="Proposed","STATUS = Proposed",IF($H318="Not Reported","STATUS = Not Reported",IF(AND($P318="Y",$Q318&lt;&gt;"Y"),"UNESCO-MAB Biosphere Reserve",IF(AND($K318="Point",N($L318)&lt;=0),"Point without REP_AREA",IF(AND(N($L318)&lt;=0,N($N318)&lt;=0,N($R318)+N($S318)&lt;=0),"No area information",""))))))))</f>
        <v/>
      </c>
      <c r="AB318" s="22">
        <f>IF(AND($A318="",$B318=""),"",IF($K318="Point",N($L318),IF(N($N318)&gt;0,N($N318),N($L318))))</f>
        <v/>
      </c>
      <c r="AC318" s="22">
        <f>IF(AND($A318="",$B318=""),"",MIN(AB318,IF(N($J318)=0,0,IF(N($J318)=2,AB318,IF(AND($K318&lt;&gt;"Point",N($O318)&gt;0),N($O318),N($M318))))))</f>
        <v/>
      </c>
      <c r="AD318" s="22">
        <f>IF(AND($A318="",$B318=""),"",MAX(0,AB318-AC318))</f>
        <v/>
      </c>
      <c r="AE318" s="21">
        <f>IF(AND($A318="",$B318=""),"",IF(OR($R318&lt;&gt;"",$S318&lt;&gt;""),1,0))</f>
        <v/>
      </c>
      <c r="AF318" s="22">
        <f>IF(AND($A318="",$B318=""),"",IF(Z318=1,IF(AE318=1,N($R318),AD318),0))</f>
        <v/>
      </c>
      <c r="AG318" s="22">
        <f>IF(AND($A318="",$B318=""),"",IF(Z318=1,IF(AE318=1,N($S318),AC318),0))</f>
        <v/>
      </c>
      <c r="AH318" s="21">
        <f>IF(AND($A318="",$B318=""),"",IF(AND(ISNUMBER($I318),N($I318)&gt;0),$I318,0))</f>
        <v/>
      </c>
      <c r="AI318" s="23">
        <f>IF(AND(NOT(AND($A318="",$B318="")),$K318="Point",N($L318)&gt;0),SQRT(N($L318)/PI()),"")</f>
        <v/>
      </c>
      <c r="AJ318" s="21">
        <f>IF(AND($A318="",$B318=""),"",IFERROR(VLOOKUP($G318,Lists!$D$4:$E$15,2,FALSE),"Not reported"))</f>
        <v/>
      </c>
      <c r="AK318" s="21">
        <f>IF(AND($A318="",$B318=""),"",IF($X318&lt;&gt;"",$X318,IF($T318&lt;&gt;"Y","Not assessed",IF(AND(ISNUMBER($V318),Setup!$B$6-$V318&gt;Setup!$B$26),"Assessment outdated",IF(NOT(ISNUMBER($W318)),"Assessed – no score",IF($W318&gt;=Setup!$B$24,"High",IF($W318&gt;=Setup!$B$25,"Moderate","Low")))))))</f>
        <v/>
      </c>
      <c r="AL318" s="21">
        <f>IF(AND($A318="",$B318=""),"",IF(Z318=0,"",IF(AND(AE318=1,N($R318)&gt;AD318*1.01+0.001),"Net terrestrial &gt; gross; ","")&amp;IF(AND(AE318=1,N($S318)&gt;AC318*1.01+0.001),"Net marine &gt; gross; ","")&amp;IF(AE318=0,"No net area – gross used, overlaps may be double-counted; ","")&amp;IF(AH318=0,"STATUS_YR missing – imputed in time series; ","")&amp;IF(AND(ISNUMBER($I318),N($I318)&gt;Setup!$B$6),"STATUS_YR after reporting year; ","")&amp;IF(OR($G318="",$G318="Not Reported"),"GOV_TYPE not reported; ","")&amp;IF(AND(N($J318)=1,$K318="Point",N($M318)&lt;=0),"Coastal point without REP_M_AREA – land/sea split unknown; ","")&amp;IF(AND(N($J318)=0,N($S318)&gt;0),"MARINE=0 but net marine &gt;0; ","")&amp;IF(AND(N($J318)=2,N($R318)&gt;0),"MARINE=2 but net terrestrial &gt;0; ","")&amp;IF($K318="Point","Buffered point – coverage approximate; ","")))</f>
        <v/>
      </c>
    </row>
    <row r="319">
      <c r="A319" s="19" t="n"/>
      <c r="B319" s="19" t="n"/>
      <c r="C319" s="19" t="n"/>
      <c r="D319" s="19" t="n"/>
      <c r="E319" s="19" t="n"/>
      <c r="F319" s="19" t="n"/>
      <c r="G319" s="19" t="n"/>
      <c r="H319" s="19" t="n"/>
      <c r="I319" s="19" t="n"/>
      <c r="J319" s="19" t="n"/>
      <c r="K319" s="19" t="n"/>
      <c r="L319" s="20" t="n"/>
      <c r="M319" s="20" t="n"/>
      <c r="N319" s="20" t="n"/>
      <c r="O319" s="20" t="n"/>
      <c r="P319" s="19" t="n"/>
      <c r="Q319" s="19" t="n"/>
      <c r="R319" s="20" t="n"/>
      <c r="S319" s="20" t="n"/>
      <c r="T319" s="19" t="n"/>
      <c r="U319" s="19" t="n"/>
      <c r="V319" s="19" t="n"/>
      <c r="W319" s="19" t="n"/>
      <c r="X319" s="19" t="n"/>
      <c r="Y319" s="19" t="n"/>
      <c r="Z319" s="21">
        <f>IF(AND($A319="",$B319=""),"",IF(OR($E319="",$H319="",$H319="Proposed",$H319="Not Reported"),0,IF(AND($P319="Y",$Q319&lt;&gt;"Y"),0,IF(AND($K319="Point",N($L319)&lt;=0),0,IF(AND(N($L319)&lt;=0,N($N319)&lt;=0,N($R319)+N($S319)&lt;=0),0,1)))))</f>
        <v/>
      </c>
      <c r="AA319" s="21">
        <f>IF(AND($A319="",$B319=""),"",IF($E319="","Site type missing",IF($H319="","STATUS missing",IF($H319="Proposed","STATUS = Proposed",IF($H319="Not Reported","STATUS = Not Reported",IF(AND($P319="Y",$Q319&lt;&gt;"Y"),"UNESCO-MAB Biosphere Reserve",IF(AND($K319="Point",N($L319)&lt;=0),"Point without REP_AREA",IF(AND(N($L319)&lt;=0,N($N319)&lt;=0,N($R319)+N($S319)&lt;=0),"No area information",""))))))))</f>
        <v/>
      </c>
      <c r="AB319" s="22">
        <f>IF(AND($A319="",$B319=""),"",IF($K319="Point",N($L319),IF(N($N319)&gt;0,N($N319),N($L319))))</f>
        <v/>
      </c>
      <c r="AC319" s="22">
        <f>IF(AND($A319="",$B319=""),"",MIN(AB319,IF(N($J319)=0,0,IF(N($J319)=2,AB319,IF(AND($K319&lt;&gt;"Point",N($O319)&gt;0),N($O319),N($M319))))))</f>
        <v/>
      </c>
      <c r="AD319" s="22">
        <f>IF(AND($A319="",$B319=""),"",MAX(0,AB319-AC319))</f>
        <v/>
      </c>
      <c r="AE319" s="21">
        <f>IF(AND($A319="",$B319=""),"",IF(OR($R319&lt;&gt;"",$S319&lt;&gt;""),1,0))</f>
        <v/>
      </c>
      <c r="AF319" s="22">
        <f>IF(AND($A319="",$B319=""),"",IF(Z319=1,IF(AE319=1,N($R319),AD319),0))</f>
        <v/>
      </c>
      <c r="AG319" s="22">
        <f>IF(AND($A319="",$B319=""),"",IF(Z319=1,IF(AE319=1,N($S319),AC319),0))</f>
        <v/>
      </c>
      <c r="AH319" s="21">
        <f>IF(AND($A319="",$B319=""),"",IF(AND(ISNUMBER($I319),N($I319)&gt;0),$I319,0))</f>
        <v/>
      </c>
      <c r="AI319" s="23">
        <f>IF(AND(NOT(AND($A319="",$B319="")),$K319="Point",N($L319)&gt;0),SQRT(N($L319)/PI()),"")</f>
        <v/>
      </c>
      <c r="AJ319" s="21">
        <f>IF(AND($A319="",$B319=""),"",IFERROR(VLOOKUP($G319,Lists!$D$4:$E$15,2,FALSE),"Not reported"))</f>
        <v/>
      </c>
      <c r="AK319" s="21">
        <f>IF(AND($A319="",$B319=""),"",IF($X319&lt;&gt;"",$X319,IF($T319&lt;&gt;"Y","Not assessed",IF(AND(ISNUMBER($V319),Setup!$B$6-$V319&gt;Setup!$B$26),"Assessment outdated",IF(NOT(ISNUMBER($W319)),"Assessed – no score",IF($W319&gt;=Setup!$B$24,"High",IF($W319&gt;=Setup!$B$25,"Moderate","Low")))))))</f>
        <v/>
      </c>
      <c r="AL319" s="21">
        <f>IF(AND($A319="",$B319=""),"",IF(Z319=0,"",IF(AND(AE319=1,N($R319)&gt;AD319*1.01+0.001),"Net terrestrial &gt; gross; ","")&amp;IF(AND(AE319=1,N($S319)&gt;AC319*1.01+0.001),"Net marine &gt; gross; ","")&amp;IF(AE319=0,"No net area – gross used, overlaps may be double-counted; ","")&amp;IF(AH319=0,"STATUS_YR missing – imputed in time series; ","")&amp;IF(AND(ISNUMBER($I319),N($I319)&gt;Setup!$B$6),"STATUS_YR after reporting year; ","")&amp;IF(OR($G319="",$G319="Not Reported"),"GOV_TYPE not reported; ","")&amp;IF(AND(N($J319)=1,$K319="Point",N($M319)&lt;=0),"Coastal point without REP_M_AREA – land/sea split unknown; ","")&amp;IF(AND(N($J319)=0,N($S319)&gt;0),"MARINE=0 but net marine &gt;0; ","")&amp;IF(AND(N($J319)=2,N($R319)&gt;0),"MARINE=2 but net terrestrial &gt;0; ","")&amp;IF($K319="Point","Buffered point – coverage approximate; ","")))</f>
        <v/>
      </c>
    </row>
    <row r="320">
      <c r="A320" s="19" t="n"/>
      <c r="B320" s="19" t="n"/>
      <c r="C320" s="19" t="n"/>
      <c r="D320" s="19" t="n"/>
      <c r="E320" s="19" t="n"/>
      <c r="F320" s="19" t="n"/>
      <c r="G320" s="19" t="n"/>
      <c r="H320" s="19" t="n"/>
      <c r="I320" s="19" t="n"/>
      <c r="J320" s="19" t="n"/>
      <c r="K320" s="19" t="n"/>
      <c r="L320" s="20" t="n"/>
      <c r="M320" s="20" t="n"/>
      <c r="N320" s="20" t="n"/>
      <c r="O320" s="20" t="n"/>
      <c r="P320" s="19" t="n"/>
      <c r="Q320" s="19" t="n"/>
      <c r="R320" s="20" t="n"/>
      <c r="S320" s="20" t="n"/>
      <c r="T320" s="19" t="n"/>
      <c r="U320" s="19" t="n"/>
      <c r="V320" s="19" t="n"/>
      <c r="W320" s="19" t="n"/>
      <c r="X320" s="19" t="n"/>
      <c r="Y320" s="19" t="n"/>
      <c r="Z320" s="21">
        <f>IF(AND($A320="",$B320=""),"",IF(OR($E320="",$H320="",$H320="Proposed",$H320="Not Reported"),0,IF(AND($P320="Y",$Q320&lt;&gt;"Y"),0,IF(AND($K320="Point",N($L320)&lt;=0),0,IF(AND(N($L320)&lt;=0,N($N320)&lt;=0,N($R320)+N($S320)&lt;=0),0,1)))))</f>
        <v/>
      </c>
      <c r="AA320" s="21">
        <f>IF(AND($A320="",$B320=""),"",IF($E320="","Site type missing",IF($H320="","STATUS missing",IF($H320="Proposed","STATUS = Proposed",IF($H320="Not Reported","STATUS = Not Reported",IF(AND($P320="Y",$Q320&lt;&gt;"Y"),"UNESCO-MAB Biosphere Reserve",IF(AND($K320="Point",N($L320)&lt;=0),"Point without REP_AREA",IF(AND(N($L320)&lt;=0,N($N320)&lt;=0,N($R320)+N($S320)&lt;=0),"No area information",""))))))))</f>
        <v/>
      </c>
      <c r="AB320" s="22">
        <f>IF(AND($A320="",$B320=""),"",IF($K320="Point",N($L320),IF(N($N320)&gt;0,N($N320),N($L320))))</f>
        <v/>
      </c>
      <c r="AC320" s="22">
        <f>IF(AND($A320="",$B320=""),"",MIN(AB320,IF(N($J320)=0,0,IF(N($J320)=2,AB320,IF(AND($K320&lt;&gt;"Point",N($O320)&gt;0),N($O320),N($M320))))))</f>
        <v/>
      </c>
      <c r="AD320" s="22">
        <f>IF(AND($A320="",$B320=""),"",MAX(0,AB320-AC320))</f>
        <v/>
      </c>
      <c r="AE320" s="21">
        <f>IF(AND($A320="",$B320=""),"",IF(OR($R320&lt;&gt;"",$S320&lt;&gt;""),1,0))</f>
        <v/>
      </c>
      <c r="AF320" s="22">
        <f>IF(AND($A320="",$B320=""),"",IF(Z320=1,IF(AE320=1,N($R320),AD320),0))</f>
        <v/>
      </c>
      <c r="AG320" s="22">
        <f>IF(AND($A320="",$B320=""),"",IF(Z320=1,IF(AE320=1,N($S320),AC320),0))</f>
        <v/>
      </c>
      <c r="AH320" s="21">
        <f>IF(AND($A320="",$B320=""),"",IF(AND(ISNUMBER($I320),N($I320)&gt;0),$I320,0))</f>
        <v/>
      </c>
      <c r="AI320" s="23">
        <f>IF(AND(NOT(AND($A320="",$B320="")),$K320="Point",N($L320)&gt;0),SQRT(N($L320)/PI()),"")</f>
        <v/>
      </c>
      <c r="AJ320" s="21">
        <f>IF(AND($A320="",$B320=""),"",IFERROR(VLOOKUP($G320,Lists!$D$4:$E$15,2,FALSE),"Not reported"))</f>
        <v/>
      </c>
      <c r="AK320" s="21">
        <f>IF(AND($A320="",$B320=""),"",IF($X320&lt;&gt;"",$X320,IF($T320&lt;&gt;"Y","Not assessed",IF(AND(ISNUMBER($V320),Setup!$B$6-$V320&gt;Setup!$B$26),"Assessment outdated",IF(NOT(ISNUMBER($W320)),"Assessed – no score",IF($W320&gt;=Setup!$B$24,"High",IF($W320&gt;=Setup!$B$25,"Moderate","Low")))))))</f>
        <v/>
      </c>
      <c r="AL320" s="21">
        <f>IF(AND($A320="",$B320=""),"",IF(Z320=0,"",IF(AND(AE320=1,N($R320)&gt;AD320*1.01+0.001),"Net terrestrial &gt; gross; ","")&amp;IF(AND(AE320=1,N($S320)&gt;AC320*1.01+0.001),"Net marine &gt; gross; ","")&amp;IF(AE320=0,"No net area – gross used, overlaps may be double-counted; ","")&amp;IF(AH320=0,"STATUS_YR missing – imputed in time series; ","")&amp;IF(AND(ISNUMBER($I320),N($I320)&gt;Setup!$B$6),"STATUS_YR after reporting year; ","")&amp;IF(OR($G320="",$G320="Not Reported"),"GOV_TYPE not reported; ","")&amp;IF(AND(N($J320)=1,$K320="Point",N($M320)&lt;=0),"Coastal point without REP_M_AREA – land/sea split unknown; ","")&amp;IF(AND(N($J320)=0,N($S320)&gt;0),"MARINE=0 but net marine &gt;0; ","")&amp;IF(AND(N($J320)=2,N($R320)&gt;0),"MARINE=2 but net terrestrial &gt;0; ","")&amp;IF($K320="Point","Buffered point – coverage approximate; ","")))</f>
        <v/>
      </c>
    </row>
    <row r="321">
      <c r="A321" s="19" t="n"/>
      <c r="B321" s="19" t="n"/>
      <c r="C321" s="19" t="n"/>
      <c r="D321" s="19" t="n"/>
      <c r="E321" s="19" t="n"/>
      <c r="F321" s="19" t="n"/>
      <c r="G321" s="19" t="n"/>
      <c r="H321" s="19" t="n"/>
      <c r="I321" s="19" t="n"/>
      <c r="J321" s="19" t="n"/>
      <c r="K321" s="19" t="n"/>
      <c r="L321" s="20" t="n"/>
      <c r="M321" s="20" t="n"/>
      <c r="N321" s="20" t="n"/>
      <c r="O321" s="20" t="n"/>
      <c r="P321" s="19" t="n"/>
      <c r="Q321" s="19" t="n"/>
      <c r="R321" s="20" t="n"/>
      <c r="S321" s="20" t="n"/>
      <c r="T321" s="19" t="n"/>
      <c r="U321" s="19" t="n"/>
      <c r="V321" s="19" t="n"/>
      <c r="W321" s="19" t="n"/>
      <c r="X321" s="19" t="n"/>
      <c r="Y321" s="19" t="n"/>
      <c r="Z321" s="21">
        <f>IF(AND($A321="",$B321=""),"",IF(OR($E321="",$H321="",$H321="Proposed",$H321="Not Reported"),0,IF(AND($P321="Y",$Q321&lt;&gt;"Y"),0,IF(AND($K321="Point",N($L321)&lt;=0),0,IF(AND(N($L321)&lt;=0,N($N321)&lt;=0,N($R321)+N($S321)&lt;=0),0,1)))))</f>
        <v/>
      </c>
      <c r="AA321" s="21">
        <f>IF(AND($A321="",$B321=""),"",IF($E321="","Site type missing",IF($H321="","STATUS missing",IF($H321="Proposed","STATUS = Proposed",IF($H321="Not Reported","STATUS = Not Reported",IF(AND($P321="Y",$Q321&lt;&gt;"Y"),"UNESCO-MAB Biosphere Reserve",IF(AND($K321="Point",N($L321)&lt;=0),"Point without REP_AREA",IF(AND(N($L321)&lt;=0,N($N321)&lt;=0,N($R321)+N($S321)&lt;=0),"No area information",""))))))))</f>
        <v/>
      </c>
      <c r="AB321" s="22">
        <f>IF(AND($A321="",$B321=""),"",IF($K321="Point",N($L321),IF(N($N321)&gt;0,N($N321),N($L321))))</f>
        <v/>
      </c>
      <c r="AC321" s="22">
        <f>IF(AND($A321="",$B321=""),"",MIN(AB321,IF(N($J321)=0,0,IF(N($J321)=2,AB321,IF(AND($K321&lt;&gt;"Point",N($O321)&gt;0),N($O321),N($M321))))))</f>
        <v/>
      </c>
      <c r="AD321" s="22">
        <f>IF(AND($A321="",$B321=""),"",MAX(0,AB321-AC321))</f>
        <v/>
      </c>
      <c r="AE321" s="21">
        <f>IF(AND($A321="",$B321=""),"",IF(OR($R321&lt;&gt;"",$S321&lt;&gt;""),1,0))</f>
        <v/>
      </c>
      <c r="AF321" s="22">
        <f>IF(AND($A321="",$B321=""),"",IF(Z321=1,IF(AE321=1,N($R321),AD321),0))</f>
        <v/>
      </c>
      <c r="AG321" s="22">
        <f>IF(AND($A321="",$B321=""),"",IF(Z321=1,IF(AE321=1,N($S321),AC321),0))</f>
        <v/>
      </c>
      <c r="AH321" s="21">
        <f>IF(AND($A321="",$B321=""),"",IF(AND(ISNUMBER($I321),N($I321)&gt;0),$I321,0))</f>
        <v/>
      </c>
      <c r="AI321" s="23">
        <f>IF(AND(NOT(AND($A321="",$B321="")),$K321="Point",N($L321)&gt;0),SQRT(N($L321)/PI()),"")</f>
        <v/>
      </c>
      <c r="AJ321" s="21">
        <f>IF(AND($A321="",$B321=""),"",IFERROR(VLOOKUP($G321,Lists!$D$4:$E$15,2,FALSE),"Not reported"))</f>
        <v/>
      </c>
      <c r="AK321" s="21">
        <f>IF(AND($A321="",$B321=""),"",IF($X321&lt;&gt;"",$X321,IF($T321&lt;&gt;"Y","Not assessed",IF(AND(ISNUMBER($V321),Setup!$B$6-$V321&gt;Setup!$B$26),"Assessment outdated",IF(NOT(ISNUMBER($W321)),"Assessed – no score",IF($W321&gt;=Setup!$B$24,"High",IF($W321&gt;=Setup!$B$25,"Moderate","Low")))))))</f>
        <v/>
      </c>
      <c r="AL321" s="21">
        <f>IF(AND($A321="",$B321=""),"",IF(Z321=0,"",IF(AND(AE321=1,N($R321)&gt;AD321*1.01+0.001),"Net terrestrial &gt; gross; ","")&amp;IF(AND(AE321=1,N($S321)&gt;AC321*1.01+0.001),"Net marine &gt; gross; ","")&amp;IF(AE321=0,"No net area – gross used, overlaps may be double-counted; ","")&amp;IF(AH321=0,"STATUS_YR missing – imputed in time series; ","")&amp;IF(AND(ISNUMBER($I321),N($I321)&gt;Setup!$B$6),"STATUS_YR after reporting year; ","")&amp;IF(OR($G321="",$G321="Not Reported"),"GOV_TYPE not reported; ","")&amp;IF(AND(N($J321)=1,$K321="Point",N($M321)&lt;=0),"Coastal point without REP_M_AREA – land/sea split unknown; ","")&amp;IF(AND(N($J321)=0,N($S321)&gt;0),"MARINE=0 but net marine &gt;0; ","")&amp;IF(AND(N($J321)=2,N($R321)&gt;0),"MARINE=2 but net terrestrial &gt;0; ","")&amp;IF($K321="Point","Buffered point – coverage approximate; ","")))</f>
        <v/>
      </c>
    </row>
    <row r="322">
      <c r="A322" s="19" t="n"/>
      <c r="B322" s="19" t="n"/>
      <c r="C322" s="19" t="n"/>
      <c r="D322" s="19" t="n"/>
      <c r="E322" s="19" t="n"/>
      <c r="F322" s="19" t="n"/>
      <c r="G322" s="19" t="n"/>
      <c r="H322" s="19" t="n"/>
      <c r="I322" s="19" t="n"/>
      <c r="J322" s="19" t="n"/>
      <c r="K322" s="19" t="n"/>
      <c r="L322" s="20" t="n"/>
      <c r="M322" s="20" t="n"/>
      <c r="N322" s="20" t="n"/>
      <c r="O322" s="20" t="n"/>
      <c r="P322" s="19" t="n"/>
      <c r="Q322" s="19" t="n"/>
      <c r="R322" s="20" t="n"/>
      <c r="S322" s="20" t="n"/>
      <c r="T322" s="19" t="n"/>
      <c r="U322" s="19" t="n"/>
      <c r="V322" s="19" t="n"/>
      <c r="W322" s="19" t="n"/>
      <c r="X322" s="19" t="n"/>
      <c r="Y322" s="19" t="n"/>
      <c r="Z322" s="21">
        <f>IF(AND($A322="",$B322=""),"",IF(OR($E322="",$H322="",$H322="Proposed",$H322="Not Reported"),0,IF(AND($P322="Y",$Q322&lt;&gt;"Y"),0,IF(AND($K322="Point",N($L322)&lt;=0),0,IF(AND(N($L322)&lt;=0,N($N322)&lt;=0,N($R322)+N($S322)&lt;=0),0,1)))))</f>
        <v/>
      </c>
      <c r="AA322" s="21">
        <f>IF(AND($A322="",$B322=""),"",IF($E322="","Site type missing",IF($H322="","STATUS missing",IF($H322="Proposed","STATUS = Proposed",IF($H322="Not Reported","STATUS = Not Reported",IF(AND($P322="Y",$Q322&lt;&gt;"Y"),"UNESCO-MAB Biosphere Reserve",IF(AND($K322="Point",N($L322)&lt;=0),"Point without REP_AREA",IF(AND(N($L322)&lt;=0,N($N322)&lt;=0,N($R322)+N($S322)&lt;=0),"No area information",""))))))))</f>
        <v/>
      </c>
      <c r="AB322" s="22">
        <f>IF(AND($A322="",$B322=""),"",IF($K322="Point",N($L322),IF(N($N322)&gt;0,N($N322),N($L322))))</f>
        <v/>
      </c>
      <c r="AC322" s="22">
        <f>IF(AND($A322="",$B322=""),"",MIN(AB322,IF(N($J322)=0,0,IF(N($J322)=2,AB322,IF(AND($K322&lt;&gt;"Point",N($O322)&gt;0),N($O322),N($M322))))))</f>
        <v/>
      </c>
      <c r="AD322" s="22">
        <f>IF(AND($A322="",$B322=""),"",MAX(0,AB322-AC322))</f>
        <v/>
      </c>
      <c r="AE322" s="21">
        <f>IF(AND($A322="",$B322=""),"",IF(OR($R322&lt;&gt;"",$S322&lt;&gt;""),1,0))</f>
        <v/>
      </c>
      <c r="AF322" s="22">
        <f>IF(AND($A322="",$B322=""),"",IF(Z322=1,IF(AE322=1,N($R322),AD322),0))</f>
        <v/>
      </c>
      <c r="AG322" s="22">
        <f>IF(AND($A322="",$B322=""),"",IF(Z322=1,IF(AE322=1,N($S322),AC322),0))</f>
        <v/>
      </c>
      <c r="AH322" s="21">
        <f>IF(AND($A322="",$B322=""),"",IF(AND(ISNUMBER($I322),N($I322)&gt;0),$I322,0))</f>
        <v/>
      </c>
      <c r="AI322" s="23">
        <f>IF(AND(NOT(AND($A322="",$B322="")),$K322="Point",N($L322)&gt;0),SQRT(N($L322)/PI()),"")</f>
        <v/>
      </c>
      <c r="AJ322" s="21">
        <f>IF(AND($A322="",$B322=""),"",IFERROR(VLOOKUP($G322,Lists!$D$4:$E$15,2,FALSE),"Not reported"))</f>
        <v/>
      </c>
      <c r="AK322" s="21">
        <f>IF(AND($A322="",$B322=""),"",IF($X322&lt;&gt;"",$X322,IF($T322&lt;&gt;"Y","Not assessed",IF(AND(ISNUMBER($V322),Setup!$B$6-$V322&gt;Setup!$B$26),"Assessment outdated",IF(NOT(ISNUMBER($W322)),"Assessed – no score",IF($W322&gt;=Setup!$B$24,"High",IF($W322&gt;=Setup!$B$25,"Moderate","Low")))))))</f>
        <v/>
      </c>
      <c r="AL322" s="21">
        <f>IF(AND($A322="",$B322=""),"",IF(Z322=0,"",IF(AND(AE322=1,N($R322)&gt;AD322*1.01+0.001),"Net terrestrial &gt; gross; ","")&amp;IF(AND(AE322=1,N($S322)&gt;AC322*1.01+0.001),"Net marine &gt; gross; ","")&amp;IF(AE322=0,"No net area – gross used, overlaps may be double-counted; ","")&amp;IF(AH322=0,"STATUS_YR missing – imputed in time series; ","")&amp;IF(AND(ISNUMBER($I322),N($I322)&gt;Setup!$B$6),"STATUS_YR after reporting year; ","")&amp;IF(OR($G322="",$G322="Not Reported"),"GOV_TYPE not reported; ","")&amp;IF(AND(N($J322)=1,$K322="Point",N($M322)&lt;=0),"Coastal point without REP_M_AREA – land/sea split unknown; ","")&amp;IF(AND(N($J322)=0,N($S322)&gt;0),"MARINE=0 but net marine &gt;0; ","")&amp;IF(AND(N($J322)=2,N($R322)&gt;0),"MARINE=2 but net terrestrial &gt;0; ","")&amp;IF($K322="Point","Buffered point – coverage approximate; ","")))</f>
        <v/>
      </c>
    </row>
    <row r="323">
      <c r="A323" s="19" t="n"/>
      <c r="B323" s="19" t="n"/>
      <c r="C323" s="19" t="n"/>
      <c r="D323" s="19" t="n"/>
      <c r="E323" s="19" t="n"/>
      <c r="F323" s="19" t="n"/>
      <c r="G323" s="19" t="n"/>
      <c r="H323" s="19" t="n"/>
      <c r="I323" s="19" t="n"/>
      <c r="J323" s="19" t="n"/>
      <c r="K323" s="19" t="n"/>
      <c r="L323" s="20" t="n"/>
      <c r="M323" s="20" t="n"/>
      <c r="N323" s="20" t="n"/>
      <c r="O323" s="20" t="n"/>
      <c r="P323" s="19" t="n"/>
      <c r="Q323" s="19" t="n"/>
      <c r="R323" s="20" t="n"/>
      <c r="S323" s="20" t="n"/>
      <c r="T323" s="19" t="n"/>
      <c r="U323" s="19" t="n"/>
      <c r="V323" s="19" t="n"/>
      <c r="W323" s="19" t="n"/>
      <c r="X323" s="19" t="n"/>
      <c r="Y323" s="19" t="n"/>
      <c r="Z323" s="21">
        <f>IF(AND($A323="",$B323=""),"",IF(OR($E323="",$H323="",$H323="Proposed",$H323="Not Reported"),0,IF(AND($P323="Y",$Q323&lt;&gt;"Y"),0,IF(AND($K323="Point",N($L323)&lt;=0),0,IF(AND(N($L323)&lt;=0,N($N323)&lt;=0,N($R323)+N($S323)&lt;=0),0,1)))))</f>
        <v/>
      </c>
      <c r="AA323" s="21">
        <f>IF(AND($A323="",$B323=""),"",IF($E323="","Site type missing",IF($H323="","STATUS missing",IF($H323="Proposed","STATUS = Proposed",IF($H323="Not Reported","STATUS = Not Reported",IF(AND($P323="Y",$Q323&lt;&gt;"Y"),"UNESCO-MAB Biosphere Reserve",IF(AND($K323="Point",N($L323)&lt;=0),"Point without REP_AREA",IF(AND(N($L323)&lt;=0,N($N323)&lt;=0,N($R323)+N($S323)&lt;=0),"No area information",""))))))))</f>
        <v/>
      </c>
      <c r="AB323" s="22">
        <f>IF(AND($A323="",$B323=""),"",IF($K323="Point",N($L323),IF(N($N323)&gt;0,N($N323),N($L323))))</f>
        <v/>
      </c>
      <c r="AC323" s="22">
        <f>IF(AND($A323="",$B323=""),"",MIN(AB323,IF(N($J323)=0,0,IF(N($J323)=2,AB323,IF(AND($K323&lt;&gt;"Point",N($O323)&gt;0),N($O323),N($M323))))))</f>
        <v/>
      </c>
      <c r="AD323" s="22">
        <f>IF(AND($A323="",$B323=""),"",MAX(0,AB323-AC323))</f>
        <v/>
      </c>
      <c r="AE323" s="21">
        <f>IF(AND($A323="",$B323=""),"",IF(OR($R323&lt;&gt;"",$S323&lt;&gt;""),1,0))</f>
        <v/>
      </c>
      <c r="AF323" s="22">
        <f>IF(AND($A323="",$B323=""),"",IF(Z323=1,IF(AE323=1,N($R323),AD323),0))</f>
        <v/>
      </c>
      <c r="AG323" s="22">
        <f>IF(AND($A323="",$B323=""),"",IF(Z323=1,IF(AE323=1,N($S323),AC323),0))</f>
        <v/>
      </c>
      <c r="AH323" s="21">
        <f>IF(AND($A323="",$B323=""),"",IF(AND(ISNUMBER($I323),N($I323)&gt;0),$I323,0))</f>
        <v/>
      </c>
      <c r="AI323" s="23">
        <f>IF(AND(NOT(AND($A323="",$B323="")),$K323="Point",N($L323)&gt;0),SQRT(N($L323)/PI()),"")</f>
        <v/>
      </c>
      <c r="AJ323" s="21">
        <f>IF(AND($A323="",$B323=""),"",IFERROR(VLOOKUP($G323,Lists!$D$4:$E$15,2,FALSE),"Not reported"))</f>
        <v/>
      </c>
      <c r="AK323" s="21">
        <f>IF(AND($A323="",$B323=""),"",IF($X323&lt;&gt;"",$X323,IF($T323&lt;&gt;"Y","Not assessed",IF(AND(ISNUMBER($V323),Setup!$B$6-$V323&gt;Setup!$B$26),"Assessment outdated",IF(NOT(ISNUMBER($W323)),"Assessed – no score",IF($W323&gt;=Setup!$B$24,"High",IF($W323&gt;=Setup!$B$25,"Moderate","Low")))))))</f>
        <v/>
      </c>
      <c r="AL323" s="21">
        <f>IF(AND($A323="",$B323=""),"",IF(Z323=0,"",IF(AND(AE323=1,N($R323)&gt;AD323*1.01+0.001),"Net terrestrial &gt; gross; ","")&amp;IF(AND(AE323=1,N($S323)&gt;AC323*1.01+0.001),"Net marine &gt; gross; ","")&amp;IF(AE323=0,"No net area – gross used, overlaps may be double-counted; ","")&amp;IF(AH323=0,"STATUS_YR missing – imputed in time series; ","")&amp;IF(AND(ISNUMBER($I323),N($I323)&gt;Setup!$B$6),"STATUS_YR after reporting year; ","")&amp;IF(OR($G323="",$G323="Not Reported"),"GOV_TYPE not reported; ","")&amp;IF(AND(N($J323)=1,$K323="Point",N($M323)&lt;=0),"Coastal point without REP_M_AREA – land/sea split unknown; ","")&amp;IF(AND(N($J323)=0,N($S323)&gt;0),"MARINE=0 but net marine &gt;0; ","")&amp;IF(AND(N($J323)=2,N($R323)&gt;0),"MARINE=2 but net terrestrial &gt;0; ","")&amp;IF($K323="Point","Buffered point – coverage approximate; ","")))</f>
        <v/>
      </c>
    </row>
    <row r="324">
      <c r="A324" s="19" t="n"/>
      <c r="B324" s="19" t="n"/>
      <c r="C324" s="19" t="n"/>
      <c r="D324" s="19" t="n"/>
      <c r="E324" s="19" t="n"/>
      <c r="F324" s="19" t="n"/>
      <c r="G324" s="19" t="n"/>
      <c r="H324" s="19" t="n"/>
      <c r="I324" s="19" t="n"/>
      <c r="J324" s="19" t="n"/>
      <c r="K324" s="19" t="n"/>
      <c r="L324" s="20" t="n"/>
      <c r="M324" s="20" t="n"/>
      <c r="N324" s="20" t="n"/>
      <c r="O324" s="20" t="n"/>
      <c r="P324" s="19" t="n"/>
      <c r="Q324" s="19" t="n"/>
      <c r="R324" s="20" t="n"/>
      <c r="S324" s="20" t="n"/>
      <c r="T324" s="19" t="n"/>
      <c r="U324" s="19" t="n"/>
      <c r="V324" s="19" t="n"/>
      <c r="W324" s="19" t="n"/>
      <c r="X324" s="19" t="n"/>
      <c r="Y324" s="19" t="n"/>
      <c r="Z324" s="21">
        <f>IF(AND($A324="",$B324=""),"",IF(OR($E324="",$H324="",$H324="Proposed",$H324="Not Reported"),0,IF(AND($P324="Y",$Q324&lt;&gt;"Y"),0,IF(AND($K324="Point",N($L324)&lt;=0),0,IF(AND(N($L324)&lt;=0,N($N324)&lt;=0,N($R324)+N($S324)&lt;=0),0,1)))))</f>
        <v/>
      </c>
      <c r="AA324" s="21">
        <f>IF(AND($A324="",$B324=""),"",IF($E324="","Site type missing",IF($H324="","STATUS missing",IF($H324="Proposed","STATUS = Proposed",IF($H324="Not Reported","STATUS = Not Reported",IF(AND($P324="Y",$Q324&lt;&gt;"Y"),"UNESCO-MAB Biosphere Reserve",IF(AND($K324="Point",N($L324)&lt;=0),"Point without REP_AREA",IF(AND(N($L324)&lt;=0,N($N324)&lt;=0,N($R324)+N($S324)&lt;=0),"No area information",""))))))))</f>
        <v/>
      </c>
      <c r="AB324" s="22">
        <f>IF(AND($A324="",$B324=""),"",IF($K324="Point",N($L324),IF(N($N324)&gt;0,N($N324),N($L324))))</f>
        <v/>
      </c>
      <c r="AC324" s="22">
        <f>IF(AND($A324="",$B324=""),"",MIN(AB324,IF(N($J324)=0,0,IF(N($J324)=2,AB324,IF(AND($K324&lt;&gt;"Point",N($O324)&gt;0),N($O324),N($M324))))))</f>
        <v/>
      </c>
      <c r="AD324" s="22">
        <f>IF(AND($A324="",$B324=""),"",MAX(0,AB324-AC324))</f>
        <v/>
      </c>
      <c r="AE324" s="21">
        <f>IF(AND($A324="",$B324=""),"",IF(OR($R324&lt;&gt;"",$S324&lt;&gt;""),1,0))</f>
        <v/>
      </c>
      <c r="AF324" s="22">
        <f>IF(AND($A324="",$B324=""),"",IF(Z324=1,IF(AE324=1,N($R324),AD324),0))</f>
        <v/>
      </c>
      <c r="AG324" s="22">
        <f>IF(AND($A324="",$B324=""),"",IF(Z324=1,IF(AE324=1,N($S324),AC324),0))</f>
        <v/>
      </c>
      <c r="AH324" s="21">
        <f>IF(AND($A324="",$B324=""),"",IF(AND(ISNUMBER($I324),N($I324)&gt;0),$I324,0))</f>
        <v/>
      </c>
      <c r="AI324" s="23">
        <f>IF(AND(NOT(AND($A324="",$B324="")),$K324="Point",N($L324)&gt;0),SQRT(N($L324)/PI()),"")</f>
        <v/>
      </c>
      <c r="AJ324" s="21">
        <f>IF(AND($A324="",$B324=""),"",IFERROR(VLOOKUP($G324,Lists!$D$4:$E$15,2,FALSE),"Not reported"))</f>
        <v/>
      </c>
      <c r="AK324" s="21">
        <f>IF(AND($A324="",$B324=""),"",IF($X324&lt;&gt;"",$X324,IF($T324&lt;&gt;"Y","Not assessed",IF(AND(ISNUMBER($V324),Setup!$B$6-$V324&gt;Setup!$B$26),"Assessment outdated",IF(NOT(ISNUMBER($W324)),"Assessed – no score",IF($W324&gt;=Setup!$B$24,"High",IF($W324&gt;=Setup!$B$25,"Moderate","Low")))))))</f>
        <v/>
      </c>
      <c r="AL324" s="21">
        <f>IF(AND($A324="",$B324=""),"",IF(Z324=0,"",IF(AND(AE324=1,N($R324)&gt;AD324*1.01+0.001),"Net terrestrial &gt; gross; ","")&amp;IF(AND(AE324=1,N($S324)&gt;AC324*1.01+0.001),"Net marine &gt; gross; ","")&amp;IF(AE324=0,"No net area – gross used, overlaps may be double-counted; ","")&amp;IF(AH324=0,"STATUS_YR missing – imputed in time series; ","")&amp;IF(AND(ISNUMBER($I324),N($I324)&gt;Setup!$B$6),"STATUS_YR after reporting year; ","")&amp;IF(OR($G324="",$G324="Not Reported"),"GOV_TYPE not reported; ","")&amp;IF(AND(N($J324)=1,$K324="Point",N($M324)&lt;=0),"Coastal point without REP_M_AREA – land/sea split unknown; ","")&amp;IF(AND(N($J324)=0,N($S324)&gt;0),"MARINE=0 but net marine &gt;0; ","")&amp;IF(AND(N($J324)=2,N($R324)&gt;0),"MARINE=2 but net terrestrial &gt;0; ","")&amp;IF($K324="Point","Buffered point – coverage approximate; ","")))</f>
        <v/>
      </c>
    </row>
    <row r="325">
      <c r="A325" s="19" t="n"/>
      <c r="B325" s="19" t="n"/>
      <c r="C325" s="19" t="n"/>
      <c r="D325" s="19" t="n"/>
      <c r="E325" s="19" t="n"/>
      <c r="F325" s="19" t="n"/>
      <c r="G325" s="19" t="n"/>
      <c r="H325" s="19" t="n"/>
      <c r="I325" s="19" t="n"/>
      <c r="J325" s="19" t="n"/>
      <c r="K325" s="19" t="n"/>
      <c r="L325" s="20" t="n"/>
      <c r="M325" s="20" t="n"/>
      <c r="N325" s="20" t="n"/>
      <c r="O325" s="20" t="n"/>
      <c r="P325" s="19" t="n"/>
      <c r="Q325" s="19" t="n"/>
      <c r="R325" s="20" t="n"/>
      <c r="S325" s="20" t="n"/>
      <c r="T325" s="19" t="n"/>
      <c r="U325" s="19" t="n"/>
      <c r="V325" s="19" t="n"/>
      <c r="W325" s="19" t="n"/>
      <c r="X325" s="19" t="n"/>
      <c r="Y325" s="19" t="n"/>
      <c r="Z325" s="21">
        <f>IF(AND($A325="",$B325=""),"",IF(OR($E325="",$H325="",$H325="Proposed",$H325="Not Reported"),0,IF(AND($P325="Y",$Q325&lt;&gt;"Y"),0,IF(AND($K325="Point",N($L325)&lt;=0),0,IF(AND(N($L325)&lt;=0,N($N325)&lt;=0,N($R325)+N($S325)&lt;=0),0,1)))))</f>
        <v/>
      </c>
      <c r="AA325" s="21">
        <f>IF(AND($A325="",$B325=""),"",IF($E325="","Site type missing",IF($H325="","STATUS missing",IF($H325="Proposed","STATUS = Proposed",IF($H325="Not Reported","STATUS = Not Reported",IF(AND($P325="Y",$Q325&lt;&gt;"Y"),"UNESCO-MAB Biosphere Reserve",IF(AND($K325="Point",N($L325)&lt;=0),"Point without REP_AREA",IF(AND(N($L325)&lt;=0,N($N325)&lt;=0,N($R325)+N($S325)&lt;=0),"No area information",""))))))))</f>
        <v/>
      </c>
      <c r="AB325" s="22">
        <f>IF(AND($A325="",$B325=""),"",IF($K325="Point",N($L325),IF(N($N325)&gt;0,N($N325),N($L325))))</f>
        <v/>
      </c>
      <c r="AC325" s="22">
        <f>IF(AND($A325="",$B325=""),"",MIN(AB325,IF(N($J325)=0,0,IF(N($J325)=2,AB325,IF(AND($K325&lt;&gt;"Point",N($O325)&gt;0),N($O325),N($M325))))))</f>
        <v/>
      </c>
      <c r="AD325" s="22">
        <f>IF(AND($A325="",$B325=""),"",MAX(0,AB325-AC325))</f>
        <v/>
      </c>
      <c r="AE325" s="21">
        <f>IF(AND($A325="",$B325=""),"",IF(OR($R325&lt;&gt;"",$S325&lt;&gt;""),1,0))</f>
        <v/>
      </c>
      <c r="AF325" s="22">
        <f>IF(AND($A325="",$B325=""),"",IF(Z325=1,IF(AE325=1,N($R325),AD325),0))</f>
        <v/>
      </c>
      <c r="AG325" s="22">
        <f>IF(AND($A325="",$B325=""),"",IF(Z325=1,IF(AE325=1,N($S325),AC325),0))</f>
        <v/>
      </c>
      <c r="AH325" s="21">
        <f>IF(AND($A325="",$B325=""),"",IF(AND(ISNUMBER($I325),N($I325)&gt;0),$I325,0))</f>
        <v/>
      </c>
      <c r="AI325" s="23">
        <f>IF(AND(NOT(AND($A325="",$B325="")),$K325="Point",N($L325)&gt;0),SQRT(N($L325)/PI()),"")</f>
        <v/>
      </c>
      <c r="AJ325" s="21">
        <f>IF(AND($A325="",$B325=""),"",IFERROR(VLOOKUP($G325,Lists!$D$4:$E$15,2,FALSE),"Not reported"))</f>
        <v/>
      </c>
      <c r="AK325" s="21">
        <f>IF(AND($A325="",$B325=""),"",IF($X325&lt;&gt;"",$X325,IF($T325&lt;&gt;"Y","Not assessed",IF(AND(ISNUMBER($V325),Setup!$B$6-$V325&gt;Setup!$B$26),"Assessment outdated",IF(NOT(ISNUMBER($W325)),"Assessed – no score",IF($W325&gt;=Setup!$B$24,"High",IF($W325&gt;=Setup!$B$25,"Moderate","Low")))))))</f>
        <v/>
      </c>
      <c r="AL325" s="21">
        <f>IF(AND($A325="",$B325=""),"",IF(Z325=0,"",IF(AND(AE325=1,N($R325)&gt;AD325*1.01+0.001),"Net terrestrial &gt; gross; ","")&amp;IF(AND(AE325=1,N($S325)&gt;AC325*1.01+0.001),"Net marine &gt; gross; ","")&amp;IF(AE325=0,"No net area – gross used, overlaps may be double-counted; ","")&amp;IF(AH325=0,"STATUS_YR missing – imputed in time series; ","")&amp;IF(AND(ISNUMBER($I325),N($I325)&gt;Setup!$B$6),"STATUS_YR after reporting year; ","")&amp;IF(OR($G325="",$G325="Not Reported"),"GOV_TYPE not reported; ","")&amp;IF(AND(N($J325)=1,$K325="Point",N($M325)&lt;=0),"Coastal point without REP_M_AREA – land/sea split unknown; ","")&amp;IF(AND(N($J325)=0,N($S325)&gt;0),"MARINE=0 but net marine &gt;0; ","")&amp;IF(AND(N($J325)=2,N($R325)&gt;0),"MARINE=2 but net terrestrial &gt;0; ","")&amp;IF($K325="Point","Buffered point – coverage approximate; ","")))</f>
        <v/>
      </c>
    </row>
    <row r="326">
      <c r="A326" s="19" t="n"/>
      <c r="B326" s="19" t="n"/>
      <c r="C326" s="19" t="n"/>
      <c r="D326" s="19" t="n"/>
      <c r="E326" s="19" t="n"/>
      <c r="F326" s="19" t="n"/>
      <c r="G326" s="19" t="n"/>
      <c r="H326" s="19" t="n"/>
      <c r="I326" s="19" t="n"/>
      <c r="J326" s="19" t="n"/>
      <c r="K326" s="19" t="n"/>
      <c r="L326" s="20" t="n"/>
      <c r="M326" s="20" t="n"/>
      <c r="N326" s="20" t="n"/>
      <c r="O326" s="20" t="n"/>
      <c r="P326" s="19" t="n"/>
      <c r="Q326" s="19" t="n"/>
      <c r="R326" s="20" t="n"/>
      <c r="S326" s="20" t="n"/>
      <c r="T326" s="19" t="n"/>
      <c r="U326" s="19" t="n"/>
      <c r="V326" s="19" t="n"/>
      <c r="W326" s="19" t="n"/>
      <c r="X326" s="19" t="n"/>
      <c r="Y326" s="19" t="n"/>
      <c r="Z326" s="21">
        <f>IF(AND($A326="",$B326=""),"",IF(OR($E326="",$H326="",$H326="Proposed",$H326="Not Reported"),0,IF(AND($P326="Y",$Q326&lt;&gt;"Y"),0,IF(AND($K326="Point",N($L326)&lt;=0),0,IF(AND(N($L326)&lt;=0,N($N326)&lt;=0,N($R326)+N($S326)&lt;=0),0,1)))))</f>
        <v/>
      </c>
      <c r="AA326" s="21">
        <f>IF(AND($A326="",$B326=""),"",IF($E326="","Site type missing",IF($H326="","STATUS missing",IF($H326="Proposed","STATUS = Proposed",IF($H326="Not Reported","STATUS = Not Reported",IF(AND($P326="Y",$Q326&lt;&gt;"Y"),"UNESCO-MAB Biosphere Reserve",IF(AND($K326="Point",N($L326)&lt;=0),"Point without REP_AREA",IF(AND(N($L326)&lt;=0,N($N326)&lt;=0,N($R326)+N($S326)&lt;=0),"No area information",""))))))))</f>
        <v/>
      </c>
      <c r="AB326" s="22">
        <f>IF(AND($A326="",$B326=""),"",IF($K326="Point",N($L326),IF(N($N326)&gt;0,N($N326),N($L326))))</f>
        <v/>
      </c>
      <c r="AC326" s="22">
        <f>IF(AND($A326="",$B326=""),"",MIN(AB326,IF(N($J326)=0,0,IF(N($J326)=2,AB326,IF(AND($K326&lt;&gt;"Point",N($O326)&gt;0),N($O326),N($M326))))))</f>
        <v/>
      </c>
      <c r="AD326" s="22">
        <f>IF(AND($A326="",$B326=""),"",MAX(0,AB326-AC326))</f>
        <v/>
      </c>
      <c r="AE326" s="21">
        <f>IF(AND($A326="",$B326=""),"",IF(OR($R326&lt;&gt;"",$S326&lt;&gt;""),1,0))</f>
        <v/>
      </c>
      <c r="AF326" s="22">
        <f>IF(AND($A326="",$B326=""),"",IF(Z326=1,IF(AE326=1,N($R326),AD326),0))</f>
        <v/>
      </c>
      <c r="AG326" s="22">
        <f>IF(AND($A326="",$B326=""),"",IF(Z326=1,IF(AE326=1,N($S326),AC326),0))</f>
        <v/>
      </c>
      <c r="AH326" s="21">
        <f>IF(AND($A326="",$B326=""),"",IF(AND(ISNUMBER($I326),N($I326)&gt;0),$I326,0))</f>
        <v/>
      </c>
      <c r="AI326" s="23">
        <f>IF(AND(NOT(AND($A326="",$B326="")),$K326="Point",N($L326)&gt;0),SQRT(N($L326)/PI()),"")</f>
        <v/>
      </c>
      <c r="AJ326" s="21">
        <f>IF(AND($A326="",$B326=""),"",IFERROR(VLOOKUP($G326,Lists!$D$4:$E$15,2,FALSE),"Not reported"))</f>
        <v/>
      </c>
      <c r="AK326" s="21">
        <f>IF(AND($A326="",$B326=""),"",IF($X326&lt;&gt;"",$X326,IF($T326&lt;&gt;"Y","Not assessed",IF(AND(ISNUMBER($V326),Setup!$B$6-$V326&gt;Setup!$B$26),"Assessment outdated",IF(NOT(ISNUMBER($W326)),"Assessed – no score",IF($W326&gt;=Setup!$B$24,"High",IF($W326&gt;=Setup!$B$25,"Moderate","Low")))))))</f>
        <v/>
      </c>
      <c r="AL326" s="21">
        <f>IF(AND($A326="",$B326=""),"",IF(Z326=0,"",IF(AND(AE326=1,N($R326)&gt;AD326*1.01+0.001),"Net terrestrial &gt; gross; ","")&amp;IF(AND(AE326=1,N($S326)&gt;AC326*1.01+0.001),"Net marine &gt; gross; ","")&amp;IF(AE326=0,"No net area – gross used, overlaps may be double-counted; ","")&amp;IF(AH326=0,"STATUS_YR missing – imputed in time series; ","")&amp;IF(AND(ISNUMBER($I326),N($I326)&gt;Setup!$B$6),"STATUS_YR after reporting year; ","")&amp;IF(OR($G326="",$G326="Not Reported"),"GOV_TYPE not reported; ","")&amp;IF(AND(N($J326)=1,$K326="Point",N($M326)&lt;=0),"Coastal point without REP_M_AREA – land/sea split unknown; ","")&amp;IF(AND(N($J326)=0,N($S326)&gt;0),"MARINE=0 but net marine &gt;0; ","")&amp;IF(AND(N($J326)=2,N($R326)&gt;0),"MARINE=2 but net terrestrial &gt;0; ","")&amp;IF($K326="Point","Buffered point – coverage approximate; ","")))</f>
        <v/>
      </c>
    </row>
    <row r="327">
      <c r="A327" s="19" t="n"/>
      <c r="B327" s="19" t="n"/>
      <c r="C327" s="19" t="n"/>
      <c r="D327" s="19" t="n"/>
      <c r="E327" s="19" t="n"/>
      <c r="F327" s="19" t="n"/>
      <c r="G327" s="19" t="n"/>
      <c r="H327" s="19" t="n"/>
      <c r="I327" s="19" t="n"/>
      <c r="J327" s="19" t="n"/>
      <c r="K327" s="19" t="n"/>
      <c r="L327" s="20" t="n"/>
      <c r="M327" s="20" t="n"/>
      <c r="N327" s="20" t="n"/>
      <c r="O327" s="20" t="n"/>
      <c r="P327" s="19" t="n"/>
      <c r="Q327" s="19" t="n"/>
      <c r="R327" s="20" t="n"/>
      <c r="S327" s="20" t="n"/>
      <c r="T327" s="19" t="n"/>
      <c r="U327" s="19" t="n"/>
      <c r="V327" s="19" t="n"/>
      <c r="W327" s="19" t="n"/>
      <c r="X327" s="19" t="n"/>
      <c r="Y327" s="19" t="n"/>
      <c r="Z327" s="21">
        <f>IF(AND($A327="",$B327=""),"",IF(OR($E327="",$H327="",$H327="Proposed",$H327="Not Reported"),0,IF(AND($P327="Y",$Q327&lt;&gt;"Y"),0,IF(AND($K327="Point",N($L327)&lt;=0),0,IF(AND(N($L327)&lt;=0,N($N327)&lt;=0,N($R327)+N($S327)&lt;=0),0,1)))))</f>
        <v/>
      </c>
      <c r="AA327" s="21">
        <f>IF(AND($A327="",$B327=""),"",IF($E327="","Site type missing",IF($H327="","STATUS missing",IF($H327="Proposed","STATUS = Proposed",IF($H327="Not Reported","STATUS = Not Reported",IF(AND($P327="Y",$Q327&lt;&gt;"Y"),"UNESCO-MAB Biosphere Reserve",IF(AND($K327="Point",N($L327)&lt;=0),"Point without REP_AREA",IF(AND(N($L327)&lt;=0,N($N327)&lt;=0,N($R327)+N($S327)&lt;=0),"No area information",""))))))))</f>
        <v/>
      </c>
      <c r="AB327" s="22">
        <f>IF(AND($A327="",$B327=""),"",IF($K327="Point",N($L327),IF(N($N327)&gt;0,N($N327),N($L327))))</f>
        <v/>
      </c>
      <c r="AC327" s="22">
        <f>IF(AND($A327="",$B327=""),"",MIN(AB327,IF(N($J327)=0,0,IF(N($J327)=2,AB327,IF(AND($K327&lt;&gt;"Point",N($O327)&gt;0),N($O327),N($M327))))))</f>
        <v/>
      </c>
      <c r="AD327" s="22">
        <f>IF(AND($A327="",$B327=""),"",MAX(0,AB327-AC327))</f>
        <v/>
      </c>
      <c r="AE327" s="21">
        <f>IF(AND($A327="",$B327=""),"",IF(OR($R327&lt;&gt;"",$S327&lt;&gt;""),1,0))</f>
        <v/>
      </c>
      <c r="AF327" s="22">
        <f>IF(AND($A327="",$B327=""),"",IF(Z327=1,IF(AE327=1,N($R327),AD327),0))</f>
        <v/>
      </c>
      <c r="AG327" s="22">
        <f>IF(AND($A327="",$B327=""),"",IF(Z327=1,IF(AE327=1,N($S327),AC327),0))</f>
        <v/>
      </c>
      <c r="AH327" s="21">
        <f>IF(AND($A327="",$B327=""),"",IF(AND(ISNUMBER($I327),N($I327)&gt;0),$I327,0))</f>
        <v/>
      </c>
      <c r="AI327" s="23">
        <f>IF(AND(NOT(AND($A327="",$B327="")),$K327="Point",N($L327)&gt;0),SQRT(N($L327)/PI()),"")</f>
        <v/>
      </c>
      <c r="AJ327" s="21">
        <f>IF(AND($A327="",$B327=""),"",IFERROR(VLOOKUP($G327,Lists!$D$4:$E$15,2,FALSE),"Not reported"))</f>
        <v/>
      </c>
      <c r="AK327" s="21">
        <f>IF(AND($A327="",$B327=""),"",IF($X327&lt;&gt;"",$X327,IF($T327&lt;&gt;"Y","Not assessed",IF(AND(ISNUMBER($V327),Setup!$B$6-$V327&gt;Setup!$B$26),"Assessment outdated",IF(NOT(ISNUMBER($W327)),"Assessed – no score",IF($W327&gt;=Setup!$B$24,"High",IF($W327&gt;=Setup!$B$25,"Moderate","Low")))))))</f>
        <v/>
      </c>
      <c r="AL327" s="21">
        <f>IF(AND($A327="",$B327=""),"",IF(Z327=0,"",IF(AND(AE327=1,N($R327)&gt;AD327*1.01+0.001),"Net terrestrial &gt; gross; ","")&amp;IF(AND(AE327=1,N($S327)&gt;AC327*1.01+0.001),"Net marine &gt; gross; ","")&amp;IF(AE327=0,"No net area – gross used, overlaps may be double-counted; ","")&amp;IF(AH327=0,"STATUS_YR missing – imputed in time series; ","")&amp;IF(AND(ISNUMBER($I327),N($I327)&gt;Setup!$B$6),"STATUS_YR after reporting year; ","")&amp;IF(OR($G327="",$G327="Not Reported"),"GOV_TYPE not reported; ","")&amp;IF(AND(N($J327)=1,$K327="Point",N($M327)&lt;=0),"Coastal point without REP_M_AREA – land/sea split unknown; ","")&amp;IF(AND(N($J327)=0,N($S327)&gt;0),"MARINE=0 but net marine &gt;0; ","")&amp;IF(AND(N($J327)=2,N($R327)&gt;0),"MARINE=2 but net terrestrial &gt;0; ","")&amp;IF($K327="Point","Buffered point – coverage approximate; ","")))</f>
        <v/>
      </c>
    </row>
    <row r="328">
      <c r="A328" s="19" t="n"/>
      <c r="B328" s="19" t="n"/>
      <c r="C328" s="19" t="n"/>
      <c r="D328" s="19" t="n"/>
      <c r="E328" s="19" t="n"/>
      <c r="F328" s="19" t="n"/>
      <c r="G328" s="19" t="n"/>
      <c r="H328" s="19" t="n"/>
      <c r="I328" s="19" t="n"/>
      <c r="J328" s="19" t="n"/>
      <c r="K328" s="19" t="n"/>
      <c r="L328" s="20" t="n"/>
      <c r="M328" s="20" t="n"/>
      <c r="N328" s="20" t="n"/>
      <c r="O328" s="20" t="n"/>
      <c r="P328" s="19" t="n"/>
      <c r="Q328" s="19" t="n"/>
      <c r="R328" s="20" t="n"/>
      <c r="S328" s="20" t="n"/>
      <c r="T328" s="19" t="n"/>
      <c r="U328" s="19" t="n"/>
      <c r="V328" s="19" t="n"/>
      <c r="W328" s="19" t="n"/>
      <c r="X328" s="19" t="n"/>
      <c r="Y328" s="19" t="n"/>
      <c r="Z328" s="21">
        <f>IF(AND($A328="",$B328=""),"",IF(OR($E328="",$H328="",$H328="Proposed",$H328="Not Reported"),0,IF(AND($P328="Y",$Q328&lt;&gt;"Y"),0,IF(AND($K328="Point",N($L328)&lt;=0),0,IF(AND(N($L328)&lt;=0,N($N328)&lt;=0,N($R328)+N($S328)&lt;=0),0,1)))))</f>
        <v/>
      </c>
      <c r="AA328" s="21">
        <f>IF(AND($A328="",$B328=""),"",IF($E328="","Site type missing",IF($H328="","STATUS missing",IF($H328="Proposed","STATUS = Proposed",IF($H328="Not Reported","STATUS = Not Reported",IF(AND($P328="Y",$Q328&lt;&gt;"Y"),"UNESCO-MAB Biosphere Reserve",IF(AND($K328="Point",N($L328)&lt;=0),"Point without REP_AREA",IF(AND(N($L328)&lt;=0,N($N328)&lt;=0,N($R328)+N($S328)&lt;=0),"No area information",""))))))))</f>
        <v/>
      </c>
      <c r="AB328" s="22">
        <f>IF(AND($A328="",$B328=""),"",IF($K328="Point",N($L328),IF(N($N328)&gt;0,N($N328),N($L328))))</f>
        <v/>
      </c>
      <c r="AC328" s="22">
        <f>IF(AND($A328="",$B328=""),"",MIN(AB328,IF(N($J328)=0,0,IF(N($J328)=2,AB328,IF(AND($K328&lt;&gt;"Point",N($O328)&gt;0),N($O328),N($M328))))))</f>
        <v/>
      </c>
      <c r="AD328" s="22">
        <f>IF(AND($A328="",$B328=""),"",MAX(0,AB328-AC328))</f>
        <v/>
      </c>
      <c r="AE328" s="21">
        <f>IF(AND($A328="",$B328=""),"",IF(OR($R328&lt;&gt;"",$S328&lt;&gt;""),1,0))</f>
        <v/>
      </c>
      <c r="AF328" s="22">
        <f>IF(AND($A328="",$B328=""),"",IF(Z328=1,IF(AE328=1,N($R328),AD328),0))</f>
        <v/>
      </c>
      <c r="AG328" s="22">
        <f>IF(AND($A328="",$B328=""),"",IF(Z328=1,IF(AE328=1,N($S328),AC328),0))</f>
        <v/>
      </c>
      <c r="AH328" s="21">
        <f>IF(AND($A328="",$B328=""),"",IF(AND(ISNUMBER($I328),N($I328)&gt;0),$I328,0))</f>
        <v/>
      </c>
      <c r="AI328" s="23">
        <f>IF(AND(NOT(AND($A328="",$B328="")),$K328="Point",N($L328)&gt;0),SQRT(N($L328)/PI()),"")</f>
        <v/>
      </c>
      <c r="AJ328" s="21">
        <f>IF(AND($A328="",$B328=""),"",IFERROR(VLOOKUP($G328,Lists!$D$4:$E$15,2,FALSE),"Not reported"))</f>
        <v/>
      </c>
      <c r="AK328" s="21">
        <f>IF(AND($A328="",$B328=""),"",IF($X328&lt;&gt;"",$X328,IF($T328&lt;&gt;"Y","Not assessed",IF(AND(ISNUMBER($V328),Setup!$B$6-$V328&gt;Setup!$B$26),"Assessment outdated",IF(NOT(ISNUMBER($W328)),"Assessed – no score",IF($W328&gt;=Setup!$B$24,"High",IF($W328&gt;=Setup!$B$25,"Moderate","Low")))))))</f>
        <v/>
      </c>
      <c r="AL328" s="21">
        <f>IF(AND($A328="",$B328=""),"",IF(Z328=0,"",IF(AND(AE328=1,N($R328)&gt;AD328*1.01+0.001),"Net terrestrial &gt; gross; ","")&amp;IF(AND(AE328=1,N($S328)&gt;AC328*1.01+0.001),"Net marine &gt; gross; ","")&amp;IF(AE328=0,"No net area – gross used, overlaps may be double-counted; ","")&amp;IF(AH328=0,"STATUS_YR missing – imputed in time series; ","")&amp;IF(AND(ISNUMBER($I328),N($I328)&gt;Setup!$B$6),"STATUS_YR after reporting year; ","")&amp;IF(OR($G328="",$G328="Not Reported"),"GOV_TYPE not reported; ","")&amp;IF(AND(N($J328)=1,$K328="Point",N($M328)&lt;=0),"Coastal point without REP_M_AREA – land/sea split unknown; ","")&amp;IF(AND(N($J328)=0,N($S328)&gt;0),"MARINE=0 but net marine &gt;0; ","")&amp;IF(AND(N($J328)=2,N($R328)&gt;0),"MARINE=2 but net terrestrial &gt;0; ","")&amp;IF($K328="Point","Buffered point – coverage approximate; ","")))</f>
        <v/>
      </c>
    </row>
    <row r="329">
      <c r="A329" s="19" t="n"/>
      <c r="B329" s="19" t="n"/>
      <c r="C329" s="19" t="n"/>
      <c r="D329" s="19" t="n"/>
      <c r="E329" s="19" t="n"/>
      <c r="F329" s="19" t="n"/>
      <c r="G329" s="19" t="n"/>
      <c r="H329" s="19" t="n"/>
      <c r="I329" s="19" t="n"/>
      <c r="J329" s="19" t="n"/>
      <c r="K329" s="19" t="n"/>
      <c r="L329" s="20" t="n"/>
      <c r="M329" s="20" t="n"/>
      <c r="N329" s="20" t="n"/>
      <c r="O329" s="20" t="n"/>
      <c r="P329" s="19" t="n"/>
      <c r="Q329" s="19" t="n"/>
      <c r="R329" s="20" t="n"/>
      <c r="S329" s="20" t="n"/>
      <c r="T329" s="19" t="n"/>
      <c r="U329" s="19" t="n"/>
      <c r="V329" s="19" t="n"/>
      <c r="W329" s="19" t="n"/>
      <c r="X329" s="19" t="n"/>
      <c r="Y329" s="19" t="n"/>
      <c r="Z329" s="21">
        <f>IF(AND($A329="",$B329=""),"",IF(OR($E329="",$H329="",$H329="Proposed",$H329="Not Reported"),0,IF(AND($P329="Y",$Q329&lt;&gt;"Y"),0,IF(AND($K329="Point",N($L329)&lt;=0),0,IF(AND(N($L329)&lt;=0,N($N329)&lt;=0,N($R329)+N($S329)&lt;=0),0,1)))))</f>
        <v/>
      </c>
      <c r="AA329" s="21">
        <f>IF(AND($A329="",$B329=""),"",IF($E329="","Site type missing",IF($H329="","STATUS missing",IF($H329="Proposed","STATUS = Proposed",IF($H329="Not Reported","STATUS = Not Reported",IF(AND($P329="Y",$Q329&lt;&gt;"Y"),"UNESCO-MAB Biosphere Reserve",IF(AND($K329="Point",N($L329)&lt;=0),"Point without REP_AREA",IF(AND(N($L329)&lt;=0,N($N329)&lt;=0,N($R329)+N($S329)&lt;=0),"No area information",""))))))))</f>
        <v/>
      </c>
      <c r="AB329" s="22">
        <f>IF(AND($A329="",$B329=""),"",IF($K329="Point",N($L329),IF(N($N329)&gt;0,N($N329),N($L329))))</f>
        <v/>
      </c>
      <c r="AC329" s="22">
        <f>IF(AND($A329="",$B329=""),"",MIN(AB329,IF(N($J329)=0,0,IF(N($J329)=2,AB329,IF(AND($K329&lt;&gt;"Point",N($O329)&gt;0),N($O329),N($M329))))))</f>
        <v/>
      </c>
      <c r="AD329" s="22">
        <f>IF(AND($A329="",$B329=""),"",MAX(0,AB329-AC329))</f>
        <v/>
      </c>
      <c r="AE329" s="21">
        <f>IF(AND($A329="",$B329=""),"",IF(OR($R329&lt;&gt;"",$S329&lt;&gt;""),1,0))</f>
        <v/>
      </c>
      <c r="AF329" s="22">
        <f>IF(AND($A329="",$B329=""),"",IF(Z329=1,IF(AE329=1,N($R329),AD329),0))</f>
        <v/>
      </c>
      <c r="AG329" s="22">
        <f>IF(AND($A329="",$B329=""),"",IF(Z329=1,IF(AE329=1,N($S329),AC329),0))</f>
        <v/>
      </c>
      <c r="AH329" s="21">
        <f>IF(AND($A329="",$B329=""),"",IF(AND(ISNUMBER($I329),N($I329)&gt;0),$I329,0))</f>
        <v/>
      </c>
      <c r="AI329" s="23">
        <f>IF(AND(NOT(AND($A329="",$B329="")),$K329="Point",N($L329)&gt;0),SQRT(N($L329)/PI()),"")</f>
        <v/>
      </c>
      <c r="AJ329" s="21">
        <f>IF(AND($A329="",$B329=""),"",IFERROR(VLOOKUP($G329,Lists!$D$4:$E$15,2,FALSE),"Not reported"))</f>
        <v/>
      </c>
      <c r="AK329" s="21">
        <f>IF(AND($A329="",$B329=""),"",IF($X329&lt;&gt;"",$X329,IF($T329&lt;&gt;"Y","Not assessed",IF(AND(ISNUMBER($V329),Setup!$B$6-$V329&gt;Setup!$B$26),"Assessment outdated",IF(NOT(ISNUMBER($W329)),"Assessed – no score",IF($W329&gt;=Setup!$B$24,"High",IF($W329&gt;=Setup!$B$25,"Moderate","Low")))))))</f>
        <v/>
      </c>
      <c r="AL329" s="21">
        <f>IF(AND($A329="",$B329=""),"",IF(Z329=0,"",IF(AND(AE329=1,N($R329)&gt;AD329*1.01+0.001),"Net terrestrial &gt; gross; ","")&amp;IF(AND(AE329=1,N($S329)&gt;AC329*1.01+0.001),"Net marine &gt; gross; ","")&amp;IF(AE329=0,"No net area – gross used, overlaps may be double-counted; ","")&amp;IF(AH329=0,"STATUS_YR missing – imputed in time series; ","")&amp;IF(AND(ISNUMBER($I329),N($I329)&gt;Setup!$B$6),"STATUS_YR after reporting year; ","")&amp;IF(OR($G329="",$G329="Not Reported"),"GOV_TYPE not reported; ","")&amp;IF(AND(N($J329)=1,$K329="Point",N($M329)&lt;=0),"Coastal point without REP_M_AREA – land/sea split unknown; ","")&amp;IF(AND(N($J329)=0,N($S329)&gt;0),"MARINE=0 but net marine &gt;0; ","")&amp;IF(AND(N($J329)=2,N($R329)&gt;0),"MARINE=2 but net terrestrial &gt;0; ","")&amp;IF($K329="Point","Buffered point – coverage approximate; ","")))</f>
        <v/>
      </c>
    </row>
    <row r="330">
      <c r="A330" s="19" t="n"/>
      <c r="B330" s="19" t="n"/>
      <c r="C330" s="19" t="n"/>
      <c r="D330" s="19" t="n"/>
      <c r="E330" s="19" t="n"/>
      <c r="F330" s="19" t="n"/>
      <c r="G330" s="19" t="n"/>
      <c r="H330" s="19" t="n"/>
      <c r="I330" s="19" t="n"/>
      <c r="J330" s="19" t="n"/>
      <c r="K330" s="19" t="n"/>
      <c r="L330" s="20" t="n"/>
      <c r="M330" s="20" t="n"/>
      <c r="N330" s="20" t="n"/>
      <c r="O330" s="20" t="n"/>
      <c r="P330" s="19" t="n"/>
      <c r="Q330" s="19" t="n"/>
      <c r="R330" s="20" t="n"/>
      <c r="S330" s="20" t="n"/>
      <c r="T330" s="19" t="n"/>
      <c r="U330" s="19" t="n"/>
      <c r="V330" s="19" t="n"/>
      <c r="W330" s="19" t="n"/>
      <c r="X330" s="19" t="n"/>
      <c r="Y330" s="19" t="n"/>
      <c r="Z330" s="21">
        <f>IF(AND($A330="",$B330=""),"",IF(OR($E330="",$H330="",$H330="Proposed",$H330="Not Reported"),0,IF(AND($P330="Y",$Q330&lt;&gt;"Y"),0,IF(AND($K330="Point",N($L330)&lt;=0),0,IF(AND(N($L330)&lt;=0,N($N330)&lt;=0,N($R330)+N($S330)&lt;=0),0,1)))))</f>
        <v/>
      </c>
      <c r="AA330" s="21">
        <f>IF(AND($A330="",$B330=""),"",IF($E330="","Site type missing",IF($H330="","STATUS missing",IF($H330="Proposed","STATUS = Proposed",IF($H330="Not Reported","STATUS = Not Reported",IF(AND($P330="Y",$Q330&lt;&gt;"Y"),"UNESCO-MAB Biosphere Reserve",IF(AND($K330="Point",N($L330)&lt;=0),"Point without REP_AREA",IF(AND(N($L330)&lt;=0,N($N330)&lt;=0,N($R330)+N($S330)&lt;=0),"No area information",""))))))))</f>
        <v/>
      </c>
      <c r="AB330" s="22">
        <f>IF(AND($A330="",$B330=""),"",IF($K330="Point",N($L330),IF(N($N330)&gt;0,N($N330),N($L330))))</f>
        <v/>
      </c>
      <c r="AC330" s="22">
        <f>IF(AND($A330="",$B330=""),"",MIN(AB330,IF(N($J330)=0,0,IF(N($J330)=2,AB330,IF(AND($K330&lt;&gt;"Point",N($O330)&gt;0),N($O330),N($M330))))))</f>
        <v/>
      </c>
      <c r="AD330" s="22">
        <f>IF(AND($A330="",$B330=""),"",MAX(0,AB330-AC330))</f>
        <v/>
      </c>
      <c r="AE330" s="21">
        <f>IF(AND($A330="",$B330=""),"",IF(OR($R330&lt;&gt;"",$S330&lt;&gt;""),1,0))</f>
        <v/>
      </c>
      <c r="AF330" s="22">
        <f>IF(AND($A330="",$B330=""),"",IF(Z330=1,IF(AE330=1,N($R330),AD330),0))</f>
        <v/>
      </c>
      <c r="AG330" s="22">
        <f>IF(AND($A330="",$B330=""),"",IF(Z330=1,IF(AE330=1,N($S330),AC330),0))</f>
        <v/>
      </c>
      <c r="AH330" s="21">
        <f>IF(AND($A330="",$B330=""),"",IF(AND(ISNUMBER($I330),N($I330)&gt;0),$I330,0))</f>
        <v/>
      </c>
      <c r="AI330" s="23">
        <f>IF(AND(NOT(AND($A330="",$B330="")),$K330="Point",N($L330)&gt;0),SQRT(N($L330)/PI()),"")</f>
        <v/>
      </c>
      <c r="AJ330" s="21">
        <f>IF(AND($A330="",$B330=""),"",IFERROR(VLOOKUP($G330,Lists!$D$4:$E$15,2,FALSE),"Not reported"))</f>
        <v/>
      </c>
      <c r="AK330" s="21">
        <f>IF(AND($A330="",$B330=""),"",IF($X330&lt;&gt;"",$X330,IF($T330&lt;&gt;"Y","Not assessed",IF(AND(ISNUMBER($V330),Setup!$B$6-$V330&gt;Setup!$B$26),"Assessment outdated",IF(NOT(ISNUMBER($W330)),"Assessed – no score",IF($W330&gt;=Setup!$B$24,"High",IF($W330&gt;=Setup!$B$25,"Moderate","Low")))))))</f>
        <v/>
      </c>
      <c r="AL330" s="21">
        <f>IF(AND($A330="",$B330=""),"",IF(Z330=0,"",IF(AND(AE330=1,N($R330)&gt;AD330*1.01+0.001),"Net terrestrial &gt; gross; ","")&amp;IF(AND(AE330=1,N($S330)&gt;AC330*1.01+0.001),"Net marine &gt; gross; ","")&amp;IF(AE330=0,"No net area – gross used, overlaps may be double-counted; ","")&amp;IF(AH330=0,"STATUS_YR missing – imputed in time series; ","")&amp;IF(AND(ISNUMBER($I330),N($I330)&gt;Setup!$B$6),"STATUS_YR after reporting year; ","")&amp;IF(OR($G330="",$G330="Not Reported"),"GOV_TYPE not reported; ","")&amp;IF(AND(N($J330)=1,$K330="Point",N($M330)&lt;=0),"Coastal point without REP_M_AREA – land/sea split unknown; ","")&amp;IF(AND(N($J330)=0,N($S330)&gt;0),"MARINE=0 but net marine &gt;0; ","")&amp;IF(AND(N($J330)=2,N($R330)&gt;0),"MARINE=2 but net terrestrial &gt;0; ","")&amp;IF($K330="Point","Buffered point – coverage approximate; ","")))</f>
        <v/>
      </c>
    </row>
    <row r="331">
      <c r="A331" s="19" t="n"/>
      <c r="B331" s="19" t="n"/>
      <c r="C331" s="19" t="n"/>
      <c r="D331" s="19" t="n"/>
      <c r="E331" s="19" t="n"/>
      <c r="F331" s="19" t="n"/>
      <c r="G331" s="19" t="n"/>
      <c r="H331" s="19" t="n"/>
      <c r="I331" s="19" t="n"/>
      <c r="J331" s="19" t="n"/>
      <c r="K331" s="19" t="n"/>
      <c r="L331" s="20" t="n"/>
      <c r="M331" s="20" t="n"/>
      <c r="N331" s="20" t="n"/>
      <c r="O331" s="20" t="n"/>
      <c r="P331" s="19" t="n"/>
      <c r="Q331" s="19" t="n"/>
      <c r="R331" s="20" t="n"/>
      <c r="S331" s="20" t="n"/>
      <c r="T331" s="19" t="n"/>
      <c r="U331" s="19" t="n"/>
      <c r="V331" s="19" t="n"/>
      <c r="W331" s="19" t="n"/>
      <c r="X331" s="19" t="n"/>
      <c r="Y331" s="19" t="n"/>
      <c r="Z331" s="21">
        <f>IF(AND($A331="",$B331=""),"",IF(OR($E331="",$H331="",$H331="Proposed",$H331="Not Reported"),0,IF(AND($P331="Y",$Q331&lt;&gt;"Y"),0,IF(AND($K331="Point",N($L331)&lt;=0),0,IF(AND(N($L331)&lt;=0,N($N331)&lt;=0,N($R331)+N($S331)&lt;=0),0,1)))))</f>
        <v/>
      </c>
      <c r="AA331" s="21">
        <f>IF(AND($A331="",$B331=""),"",IF($E331="","Site type missing",IF($H331="","STATUS missing",IF($H331="Proposed","STATUS = Proposed",IF($H331="Not Reported","STATUS = Not Reported",IF(AND($P331="Y",$Q331&lt;&gt;"Y"),"UNESCO-MAB Biosphere Reserve",IF(AND($K331="Point",N($L331)&lt;=0),"Point without REP_AREA",IF(AND(N($L331)&lt;=0,N($N331)&lt;=0,N($R331)+N($S331)&lt;=0),"No area information",""))))))))</f>
        <v/>
      </c>
      <c r="AB331" s="22">
        <f>IF(AND($A331="",$B331=""),"",IF($K331="Point",N($L331),IF(N($N331)&gt;0,N($N331),N($L331))))</f>
        <v/>
      </c>
      <c r="AC331" s="22">
        <f>IF(AND($A331="",$B331=""),"",MIN(AB331,IF(N($J331)=0,0,IF(N($J331)=2,AB331,IF(AND($K331&lt;&gt;"Point",N($O331)&gt;0),N($O331),N($M331))))))</f>
        <v/>
      </c>
      <c r="AD331" s="22">
        <f>IF(AND($A331="",$B331=""),"",MAX(0,AB331-AC331))</f>
        <v/>
      </c>
      <c r="AE331" s="21">
        <f>IF(AND($A331="",$B331=""),"",IF(OR($R331&lt;&gt;"",$S331&lt;&gt;""),1,0))</f>
        <v/>
      </c>
      <c r="AF331" s="22">
        <f>IF(AND($A331="",$B331=""),"",IF(Z331=1,IF(AE331=1,N($R331),AD331),0))</f>
        <v/>
      </c>
      <c r="AG331" s="22">
        <f>IF(AND($A331="",$B331=""),"",IF(Z331=1,IF(AE331=1,N($S331),AC331),0))</f>
        <v/>
      </c>
      <c r="AH331" s="21">
        <f>IF(AND($A331="",$B331=""),"",IF(AND(ISNUMBER($I331),N($I331)&gt;0),$I331,0))</f>
        <v/>
      </c>
      <c r="AI331" s="23">
        <f>IF(AND(NOT(AND($A331="",$B331="")),$K331="Point",N($L331)&gt;0),SQRT(N($L331)/PI()),"")</f>
        <v/>
      </c>
      <c r="AJ331" s="21">
        <f>IF(AND($A331="",$B331=""),"",IFERROR(VLOOKUP($G331,Lists!$D$4:$E$15,2,FALSE),"Not reported"))</f>
        <v/>
      </c>
      <c r="AK331" s="21">
        <f>IF(AND($A331="",$B331=""),"",IF($X331&lt;&gt;"",$X331,IF($T331&lt;&gt;"Y","Not assessed",IF(AND(ISNUMBER($V331),Setup!$B$6-$V331&gt;Setup!$B$26),"Assessment outdated",IF(NOT(ISNUMBER($W331)),"Assessed – no score",IF($W331&gt;=Setup!$B$24,"High",IF($W331&gt;=Setup!$B$25,"Moderate","Low")))))))</f>
        <v/>
      </c>
      <c r="AL331" s="21">
        <f>IF(AND($A331="",$B331=""),"",IF(Z331=0,"",IF(AND(AE331=1,N($R331)&gt;AD331*1.01+0.001),"Net terrestrial &gt; gross; ","")&amp;IF(AND(AE331=1,N($S331)&gt;AC331*1.01+0.001),"Net marine &gt; gross; ","")&amp;IF(AE331=0,"No net area – gross used, overlaps may be double-counted; ","")&amp;IF(AH331=0,"STATUS_YR missing – imputed in time series; ","")&amp;IF(AND(ISNUMBER($I331),N($I331)&gt;Setup!$B$6),"STATUS_YR after reporting year; ","")&amp;IF(OR($G331="",$G331="Not Reported"),"GOV_TYPE not reported; ","")&amp;IF(AND(N($J331)=1,$K331="Point",N($M331)&lt;=0),"Coastal point without REP_M_AREA – land/sea split unknown; ","")&amp;IF(AND(N($J331)=0,N($S331)&gt;0),"MARINE=0 but net marine &gt;0; ","")&amp;IF(AND(N($J331)=2,N($R331)&gt;0),"MARINE=2 but net terrestrial &gt;0; ","")&amp;IF($K331="Point","Buffered point – coverage approximate; ","")))</f>
        <v/>
      </c>
    </row>
    <row r="332">
      <c r="A332" s="19" t="n"/>
      <c r="B332" s="19" t="n"/>
      <c r="C332" s="19" t="n"/>
      <c r="D332" s="19" t="n"/>
      <c r="E332" s="19" t="n"/>
      <c r="F332" s="19" t="n"/>
      <c r="G332" s="19" t="n"/>
      <c r="H332" s="19" t="n"/>
      <c r="I332" s="19" t="n"/>
      <c r="J332" s="19" t="n"/>
      <c r="K332" s="19" t="n"/>
      <c r="L332" s="20" t="n"/>
      <c r="M332" s="20" t="n"/>
      <c r="N332" s="20" t="n"/>
      <c r="O332" s="20" t="n"/>
      <c r="P332" s="19" t="n"/>
      <c r="Q332" s="19" t="n"/>
      <c r="R332" s="20" t="n"/>
      <c r="S332" s="20" t="n"/>
      <c r="T332" s="19" t="n"/>
      <c r="U332" s="19" t="n"/>
      <c r="V332" s="19" t="n"/>
      <c r="W332" s="19" t="n"/>
      <c r="X332" s="19" t="n"/>
      <c r="Y332" s="19" t="n"/>
      <c r="Z332" s="21">
        <f>IF(AND($A332="",$B332=""),"",IF(OR($E332="",$H332="",$H332="Proposed",$H332="Not Reported"),0,IF(AND($P332="Y",$Q332&lt;&gt;"Y"),0,IF(AND($K332="Point",N($L332)&lt;=0),0,IF(AND(N($L332)&lt;=0,N($N332)&lt;=0,N($R332)+N($S332)&lt;=0),0,1)))))</f>
        <v/>
      </c>
      <c r="AA332" s="21">
        <f>IF(AND($A332="",$B332=""),"",IF($E332="","Site type missing",IF($H332="","STATUS missing",IF($H332="Proposed","STATUS = Proposed",IF($H332="Not Reported","STATUS = Not Reported",IF(AND($P332="Y",$Q332&lt;&gt;"Y"),"UNESCO-MAB Biosphere Reserve",IF(AND($K332="Point",N($L332)&lt;=0),"Point without REP_AREA",IF(AND(N($L332)&lt;=0,N($N332)&lt;=0,N($R332)+N($S332)&lt;=0),"No area information",""))))))))</f>
        <v/>
      </c>
      <c r="AB332" s="22">
        <f>IF(AND($A332="",$B332=""),"",IF($K332="Point",N($L332),IF(N($N332)&gt;0,N($N332),N($L332))))</f>
        <v/>
      </c>
      <c r="AC332" s="22">
        <f>IF(AND($A332="",$B332=""),"",MIN(AB332,IF(N($J332)=0,0,IF(N($J332)=2,AB332,IF(AND($K332&lt;&gt;"Point",N($O332)&gt;0),N($O332),N($M332))))))</f>
        <v/>
      </c>
      <c r="AD332" s="22">
        <f>IF(AND($A332="",$B332=""),"",MAX(0,AB332-AC332))</f>
        <v/>
      </c>
      <c r="AE332" s="21">
        <f>IF(AND($A332="",$B332=""),"",IF(OR($R332&lt;&gt;"",$S332&lt;&gt;""),1,0))</f>
        <v/>
      </c>
      <c r="AF332" s="22">
        <f>IF(AND($A332="",$B332=""),"",IF(Z332=1,IF(AE332=1,N($R332),AD332),0))</f>
        <v/>
      </c>
      <c r="AG332" s="22">
        <f>IF(AND($A332="",$B332=""),"",IF(Z332=1,IF(AE332=1,N($S332),AC332),0))</f>
        <v/>
      </c>
      <c r="AH332" s="21">
        <f>IF(AND($A332="",$B332=""),"",IF(AND(ISNUMBER($I332),N($I332)&gt;0),$I332,0))</f>
        <v/>
      </c>
      <c r="AI332" s="23">
        <f>IF(AND(NOT(AND($A332="",$B332="")),$K332="Point",N($L332)&gt;0),SQRT(N($L332)/PI()),"")</f>
        <v/>
      </c>
      <c r="AJ332" s="21">
        <f>IF(AND($A332="",$B332=""),"",IFERROR(VLOOKUP($G332,Lists!$D$4:$E$15,2,FALSE),"Not reported"))</f>
        <v/>
      </c>
      <c r="AK332" s="21">
        <f>IF(AND($A332="",$B332=""),"",IF($X332&lt;&gt;"",$X332,IF($T332&lt;&gt;"Y","Not assessed",IF(AND(ISNUMBER($V332),Setup!$B$6-$V332&gt;Setup!$B$26),"Assessment outdated",IF(NOT(ISNUMBER($W332)),"Assessed – no score",IF($W332&gt;=Setup!$B$24,"High",IF($W332&gt;=Setup!$B$25,"Moderate","Low")))))))</f>
        <v/>
      </c>
      <c r="AL332" s="21">
        <f>IF(AND($A332="",$B332=""),"",IF(Z332=0,"",IF(AND(AE332=1,N($R332)&gt;AD332*1.01+0.001),"Net terrestrial &gt; gross; ","")&amp;IF(AND(AE332=1,N($S332)&gt;AC332*1.01+0.001),"Net marine &gt; gross; ","")&amp;IF(AE332=0,"No net area – gross used, overlaps may be double-counted; ","")&amp;IF(AH332=0,"STATUS_YR missing – imputed in time series; ","")&amp;IF(AND(ISNUMBER($I332),N($I332)&gt;Setup!$B$6),"STATUS_YR after reporting year; ","")&amp;IF(OR($G332="",$G332="Not Reported"),"GOV_TYPE not reported; ","")&amp;IF(AND(N($J332)=1,$K332="Point",N($M332)&lt;=0),"Coastal point without REP_M_AREA – land/sea split unknown; ","")&amp;IF(AND(N($J332)=0,N($S332)&gt;0),"MARINE=0 but net marine &gt;0; ","")&amp;IF(AND(N($J332)=2,N($R332)&gt;0),"MARINE=2 but net terrestrial &gt;0; ","")&amp;IF($K332="Point","Buffered point – coverage approximate; ","")))</f>
        <v/>
      </c>
    </row>
    <row r="333">
      <c r="A333" s="19" t="n"/>
      <c r="B333" s="19" t="n"/>
      <c r="C333" s="19" t="n"/>
      <c r="D333" s="19" t="n"/>
      <c r="E333" s="19" t="n"/>
      <c r="F333" s="19" t="n"/>
      <c r="G333" s="19" t="n"/>
      <c r="H333" s="19" t="n"/>
      <c r="I333" s="19" t="n"/>
      <c r="J333" s="19" t="n"/>
      <c r="K333" s="19" t="n"/>
      <c r="L333" s="20" t="n"/>
      <c r="M333" s="20" t="n"/>
      <c r="N333" s="20" t="n"/>
      <c r="O333" s="20" t="n"/>
      <c r="P333" s="19" t="n"/>
      <c r="Q333" s="19" t="n"/>
      <c r="R333" s="20" t="n"/>
      <c r="S333" s="20" t="n"/>
      <c r="T333" s="19" t="n"/>
      <c r="U333" s="19" t="n"/>
      <c r="V333" s="19" t="n"/>
      <c r="W333" s="19" t="n"/>
      <c r="X333" s="19" t="n"/>
      <c r="Y333" s="19" t="n"/>
      <c r="Z333" s="21">
        <f>IF(AND($A333="",$B333=""),"",IF(OR($E333="",$H333="",$H333="Proposed",$H333="Not Reported"),0,IF(AND($P333="Y",$Q333&lt;&gt;"Y"),0,IF(AND($K333="Point",N($L333)&lt;=0),0,IF(AND(N($L333)&lt;=0,N($N333)&lt;=0,N($R333)+N($S333)&lt;=0),0,1)))))</f>
        <v/>
      </c>
      <c r="AA333" s="21">
        <f>IF(AND($A333="",$B333=""),"",IF($E333="","Site type missing",IF($H333="","STATUS missing",IF($H333="Proposed","STATUS = Proposed",IF($H333="Not Reported","STATUS = Not Reported",IF(AND($P333="Y",$Q333&lt;&gt;"Y"),"UNESCO-MAB Biosphere Reserve",IF(AND($K333="Point",N($L333)&lt;=0),"Point without REP_AREA",IF(AND(N($L333)&lt;=0,N($N333)&lt;=0,N($R333)+N($S333)&lt;=0),"No area information",""))))))))</f>
        <v/>
      </c>
      <c r="AB333" s="22">
        <f>IF(AND($A333="",$B333=""),"",IF($K333="Point",N($L333),IF(N($N333)&gt;0,N($N333),N($L333))))</f>
        <v/>
      </c>
      <c r="AC333" s="22">
        <f>IF(AND($A333="",$B333=""),"",MIN(AB333,IF(N($J333)=0,0,IF(N($J333)=2,AB333,IF(AND($K333&lt;&gt;"Point",N($O333)&gt;0),N($O333),N($M333))))))</f>
        <v/>
      </c>
      <c r="AD333" s="22">
        <f>IF(AND($A333="",$B333=""),"",MAX(0,AB333-AC333))</f>
        <v/>
      </c>
      <c r="AE333" s="21">
        <f>IF(AND($A333="",$B333=""),"",IF(OR($R333&lt;&gt;"",$S333&lt;&gt;""),1,0))</f>
        <v/>
      </c>
      <c r="AF333" s="22">
        <f>IF(AND($A333="",$B333=""),"",IF(Z333=1,IF(AE333=1,N($R333),AD333),0))</f>
        <v/>
      </c>
      <c r="AG333" s="22">
        <f>IF(AND($A333="",$B333=""),"",IF(Z333=1,IF(AE333=1,N($S333),AC333),0))</f>
        <v/>
      </c>
      <c r="AH333" s="21">
        <f>IF(AND($A333="",$B333=""),"",IF(AND(ISNUMBER($I333),N($I333)&gt;0),$I333,0))</f>
        <v/>
      </c>
      <c r="AI333" s="23">
        <f>IF(AND(NOT(AND($A333="",$B333="")),$K333="Point",N($L333)&gt;0),SQRT(N($L333)/PI()),"")</f>
        <v/>
      </c>
      <c r="AJ333" s="21">
        <f>IF(AND($A333="",$B333=""),"",IFERROR(VLOOKUP($G333,Lists!$D$4:$E$15,2,FALSE),"Not reported"))</f>
        <v/>
      </c>
      <c r="AK333" s="21">
        <f>IF(AND($A333="",$B333=""),"",IF($X333&lt;&gt;"",$X333,IF($T333&lt;&gt;"Y","Not assessed",IF(AND(ISNUMBER($V333),Setup!$B$6-$V333&gt;Setup!$B$26),"Assessment outdated",IF(NOT(ISNUMBER($W333)),"Assessed – no score",IF($W333&gt;=Setup!$B$24,"High",IF($W333&gt;=Setup!$B$25,"Moderate","Low")))))))</f>
        <v/>
      </c>
      <c r="AL333" s="21">
        <f>IF(AND($A333="",$B333=""),"",IF(Z333=0,"",IF(AND(AE333=1,N($R333)&gt;AD333*1.01+0.001),"Net terrestrial &gt; gross; ","")&amp;IF(AND(AE333=1,N($S333)&gt;AC333*1.01+0.001),"Net marine &gt; gross; ","")&amp;IF(AE333=0,"No net area – gross used, overlaps may be double-counted; ","")&amp;IF(AH333=0,"STATUS_YR missing – imputed in time series; ","")&amp;IF(AND(ISNUMBER($I333),N($I333)&gt;Setup!$B$6),"STATUS_YR after reporting year; ","")&amp;IF(OR($G333="",$G333="Not Reported"),"GOV_TYPE not reported; ","")&amp;IF(AND(N($J333)=1,$K333="Point",N($M333)&lt;=0),"Coastal point without REP_M_AREA – land/sea split unknown; ","")&amp;IF(AND(N($J333)=0,N($S333)&gt;0),"MARINE=0 but net marine &gt;0; ","")&amp;IF(AND(N($J333)=2,N($R333)&gt;0),"MARINE=2 but net terrestrial &gt;0; ","")&amp;IF($K333="Point","Buffered point – coverage approximate; ","")))</f>
        <v/>
      </c>
    </row>
    <row r="334">
      <c r="A334" s="19" t="n"/>
      <c r="B334" s="19" t="n"/>
      <c r="C334" s="19" t="n"/>
      <c r="D334" s="19" t="n"/>
      <c r="E334" s="19" t="n"/>
      <c r="F334" s="19" t="n"/>
      <c r="G334" s="19" t="n"/>
      <c r="H334" s="19" t="n"/>
      <c r="I334" s="19" t="n"/>
      <c r="J334" s="19" t="n"/>
      <c r="K334" s="19" t="n"/>
      <c r="L334" s="20" t="n"/>
      <c r="M334" s="20" t="n"/>
      <c r="N334" s="20" t="n"/>
      <c r="O334" s="20" t="n"/>
      <c r="P334" s="19" t="n"/>
      <c r="Q334" s="19" t="n"/>
      <c r="R334" s="20" t="n"/>
      <c r="S334" s="20" t="n"/>
      <c r="T334" s="19" t="n"/>
      <c r="U334" s="19" t="n"/>
      <c r="V334" s="19" t="n"/>
      <c r="W334" s="19" t="n"/>
      <c r="X334" s="19" t="n"/>
      <c r="Y334" s="19" t="n"/>
      <c r="Z334" s="21">
        <f>IF(AND($A334="",$B334=""),"",IF(OR($E334="",$H334="",$H334="Proposed",$H334="Not Reported"),0,IF(AND($P334="Y",$Q334&lt;&gt;"Y"),0,IF(AND($K334="Point",N($L334)&lt;=0),0,IF(AND(N($L334)&lt;=0,N($N334)&lt;=0,N($R334)+N($S334)&lt;=0),0,1)))))</f>
        <v/>
      </c>
      <c r="AA334" s="21">
        <f>IF(AND($A334="",$B334=""),"",IF($E334="","Site type missing",IF($H334="","STATUS missing",IF($H334="Proposed","STATUS = Proposed",IF($H334="Not Reported","STATUS = Not Reported",IF(AND($P334="Y",$Q334&lt;&gt;"Y"),"UNESCO-MAB Biosphere Reserve",IF(AND($K334="Point",N($L334)&lt;=0),"Point without REP_AREA",IF(AND(N($L334)&lt;=0,N($N334)&lt;=0,N($R334)+N($S334)&lt;=0),"No area information",""))))))))</f>
        <v/>
      </c>
      <c r="AB334" s="22">
        <f>IF(AND($A334="",$B334=""),"",IF($K334="Point",N($L334),IF(N($N334)&gt;0,N($N334),N($L334))))</f>
        <v/>
      </c>
      <c r="AC334" s="22">
        <f>IF(AND($A334="",$B334=""),"",MIN(AB334,IF(N($J334)=0,0,IF(N($J334)=2,AB334,IF(AND($K334&lt;&gt;"Point",N($O334)&gt;0),N($O334),N($M334))))))</f>
        <v/>
      </c>
      <c r="AD334" s="22">
        <f>IF(AND($A334="",$B334=""),"",MAX(0,AB334-AC334))</f>
        <v/>
      </c>
      <c r="AE334" s="21">
        <f>IF(AND($A334="",$B334=""),"",IF(OR($R334&lt;&gt;"",$S334&lt;&gt;""),1,0))</f>
        <v/>
      </c>
      <c r="AF334" s="22">
        <f>IF(AND($A334="",$B334=""),"",IF(Z334=1,IF(AE334=1,N($R334),AD334),0))</f>
        <v/>
      </c>
      <c r="AG334" s="22">
        <f>IF(AND($A334="",$B334=""),"",IF(Z334=1,IF(AE334=1,N($S334),AC334),0))</f>
        <v/>
      </c>
      <c r="AH334" s="21">
        <f>IF(AND($A334="",$B334=""),"",IF(AND(ISNUMBER($I334),N($I334)&gt;0),$I334,0))</f>
        <v/>
      </c>
      <c r="AI334" s="23">
        <f>IF(AND(NOT(AND($A334="",$B334="")),$K334="Point",N($L334)&gt;0),SQRT(N($L334)/PI()),"")</f>
        <v/>
      </c>
      <c r="AJ334" s="21">
        <f>IF(AND($A334="",$B334=""),"",IFERROR(VLOOKUP($G334,Lists!$D$4:$E$15,2,FALSE),"Not reported"))</f>
        <v/>
      </c>
      <c r="AK334" s="21">
        <f>IF(AND($A334="",$B334=""),"",IF($X334&lt;&gt;"",$X334,IF($T334&lt;&gt;"Y","Not assessed",IF(AND(ISNUMBER($V334),Setup!$B$6-$V334&gt;Setup!$B$26),"Assessment outdated",IF(NOT(ISNUMBER($W334)),"Assessed – no score",IF($W334&gt;=Setup!$B$24,"High",IF($W334&gt;=Setup!$B$25,"Moderate","Low")))))))</f>
        <v/>
      </c>
      <c r="AL334" s="21">
        <f>IF(AND($A334="",$B334=""),"",IF(Z334=0,"",IF(AND(AE334=1,N($R334)&gt;AD334*1.01+0.001),"Net terrestrial &gt; gross; ","")&amp;IF(AND(AE334=1,N($S334)&gt;AC334*1.01+0.001),"Net marine &gt; gross; ","")&amp;IF(AE334=0,"No net area – gross used, overlaps may be double-counted; ","")&amp;IF(AH334=0,"STATUS_YR missing – imputed in time series; ","")&amp;IF(AND(ISNUMBER($I334),N($I334)&gt;Setup!$B$6),"STATUS_YR after reporting year; ","")&amp;IF(OR($G334="",$G334="Not Reported"),"GOV_TYPE not reported; ","")&amp;IF(AND(N($J334)=1,$K334="Point",N($M334)&lt;=0),"Coastal point without REP_M_AREA – land/sea split unknown; ","")&amp;IF(AND(N($J334)=0,N($S334)&gt;0),"MARINE=0 but net marine &gt;0; ","")&amp;IF(AND(N($J334)=2,N($R334)&gt;0),"MARINE=2 but net terrestrial &gt;0; ","")&amp;IF($K334="Point","Buffered point – coverage approximate; ","")))</f>
        <v/>
      </c>
    </row>
    <row r="335">
      <c r="A335" s="19" t="n"/>
      <c r="B335" s="19" t="n"/>
      <c r="C335" s="19" t="n"/>
      <c r="D335" s="19" t="n"/>
      <c r="E335" s="19" t="n"/>
      <c r="F335" s="19" t="n"/>
      <c r="G335" s="19" t="n"/>
      <c r="H335" s="19" t="n"/>
      <c r="I335" s="19" t="n"/>
      <c r="J335" s="19" t="n"/>
      <c r="K335" s="19" t="n"/>
      <c r="L335" s="20" t="n"/>
      <c r="M335" s="20" t="n"/>
      <c r="N335" s="20" t="n"/>
      <c r="O335" s="20" t="n"/>
      <c r="P335" s="19" t="n"/>
      <c r="Q335" s="19" t="n"/>
      <c r="R335" s="20" t="n"/>
      <c r="S335" s="20" t="n"/>
      <c r="T335" s="19" t="n"/>
      <c r="U335" s="19" t="n"/>
      <c r="V335" s="19" t="n"/>
      <c r="W335" s="19" t="n"/>
      <c r="X335" s="19" t="n"/>
      <c r="Y335" s="19" t="n"/>
      <c r="Z335" s="21">
        <f>IF(AND($A335="",$B335=""),"",IF(OR($E335="",$H335="",$H335="Proposed",$H335="Not Reported"),0,IF(AND($P335="Y",$Q335&lt;&gt;"Y"),0,IF(AND($K335="Point",N($L335)&lt;=0),0,IF(AND(N($L335)&lt;=0,N($N335)&lt;=0,N($R335)+N($S335)&lt;=0),0,1)))))</f>
        <v/>
      </c>
      <c r="AA335" s="21">
        <f>IF(AND($A335="",$B335=""),"",IF($E335="","Site type missing",IF($H335="","STATUS missing",IF($H335="Proposed","STATUS = Proposed",IF($H335="Not Reported","STATUS = Not Reported",IF(AND($P335="Y",$Q335&lt;&gt;"Y"),"UNESCO-MAB Biosphere Reserve",IF(AND($K335="Point",N($L335)&lt;=0),"Point without REP_AREA",IF(AND(N($L335)&lt;=0,N($N335)&lt;=0,N($R335)+N($S335)&lt;=0),"No area information",""))))))))</f>
        <v/>
      </c>
      <c r="AB335" s="22">
        <f>IF(AND($A335="",$B335=""),"",IF($K335="Point",N($L335),IF(N($N335)&gt;0,N($N335),N($L335))))</f>
        <v/>
      </c>
      <c r="AC335" s="22">
        <f>IF(AND($A335="",$B335=""),"",MIN(AB335,IF(N($J335)=0,0,IF(N($J335)=2,AB335,IF(AND($K335&lt;&gt;"Point",N($O335)&gt;0),N($O335),N($M335))))))</f>
        <v/>
      </c>
      <c r="AD335" s="22">
        <f>IF(AND($A335="",$B335=""),"",MAX(0,AB335-AC335))</f>
        <v/>
      </c>
      <c r="AE335" s="21">
        <f>IF(AND($A335="",$B335=""),"",IF(OR($R335&lt;&gt;"",$S335&lt;&gt;""),1,0))</f>
        <v/>
      </c>
      <c r="AF335" s="22">
        <f>IF(AND($A335="",$B335=""),"",IF(Z335=1,IF(AE335=1,N($R335),AD335),0))</f>
        <v/>
      </c>
      <c r="AG335" s="22">
        <f>IF(AND($A335="",$B335=""),"",IF(Z335=1,IF(AE335=1,N($S335),AC335),0))</f>
        <v/>
      </c>
      <c r="AH335" s="21">
        <f>IF(AND($A335="",$B335=""),"",IF(AND(ISNUMBER($I335),N($I335)&gt;0),$I335,0))</f>
        <v/>
      </c>
      <c r="AI335" s="23">
        <f>IF(AND(NOT(AND($A335="",$B335="")),$K335="Point",N($L335)&gt;0),SQRT(N($L335)/PI()),"")</f>
        <v/>
      </c>
      <c r="AJ335" s="21">
        <f>IF(AND($A335="",$B335=""),"",IFERROR(VLOOKUP($G335,Lists!$D$4:$E$15,2,FALSE),"Not reported"))</f>
        <v/>
      </c>
      <c r="AK335" s="21">
        <f>IF(AND($A335="",$B335=""),"",IF($X335&lt;&gt;"",$X335,IF($T335&lt;&gt;"Y","Not assessed",IF(AND(ISNUMBER($V335),Setup!$B$6-$V335&gt;Setup!$B$26),"Assessment outdated",IF(NOT(ISNUMBER($W335)),"Assessed – no score",IF($W335&gt;=Setup!$B$24,"High",IF($W335&gt;=Setup!$B$25,"Moderate","Low")))))))</f>
        <v/>
      </c>
      <c r="AL335" s="21">
        <f>IF(AND($A335="",$B335=""),"",IF(Z335=0,"",IF(AND(AE335=1,N($R335)&gt;AD335*1.01+0.001),"Net terrestrial &gt; gross; ","")&amp;IF(AND(AE335=1,N($S335)&gt;AC335*1.01+0.001),"Net marine &gt; gross; ","")&amp;IF(AE335=0,"No net area – gross used, overlaps may be double-counted; ","")&amp;IF(AH335=0,"STATUS_YR missing – imputed in time series; ","")&amp;IF(AND(ISNUMBER($I335),N($I335)&gt;Setup!$B$6),"STATUS_YR after reporting year; ","")&amp;IF(OR($G335="",$G335="Not Reported"),"GOV_TYPE not reported; ","")&amp;IF(AND(N($J335)=1,$K335="Point",N($M335)&lt;=0),"Coastal point without REP_M_AREA – land/sea split unknown; ","")&amp;IF(AND(N($J335)=0,N($S335)&gt;0),"MARINE=0 but net marine &gt;0; ","")&amp;IF(AND(N($J335)=2,N($R335)&gt;0),"MARINE=2 but net terrestrial &gt;0; ","")&amp;IF($K335="Point","Buffered point – coverage approximate; ","")))</f>
        <v/>
      </c>
    </row>
    <row r="336">
      <c r="A336" s="19" t="n"/>
      <c r="B336" s="19" t="n"/>
      <c r="C336" s="19" t="n"/>
      <c r="D336" s="19" t="n"/>
      <c r="E336" s="19" t="n"/>
      <c r="F336" s="19" t="n"/>
      <c r="G336" s="19" t="n"/>
      <c r="H336" s="19" t="n"/>
      <c r="I336" s="19" t="n"/>
      <c r="J336" s="19" t="n"/>
      <c r="K336" s="19" t="n"/>
      <c r="L336" s="20" t="n"/>
      <c r="M336" s="20" t="n"/>
      <c r="N336" s="20" t="n"/>
      <c r="O336" s="20" t="n"/>
      <c r="P336" s="19" t="n"/>
      <c r="Q336" s="19" t="n"/>
      <c r="R336" s="20" t="n"/>
      <c r="S336" s="20" t="n"/>
      <c r="T336" s="19" t="n"/>
      <c r="U336" s="19" t="n"/>
      <c r="V336" s="19" t="n"/>
      <c r="W336" s="19" t="n"/>
      <c r="X336" s="19" t="n"/>
      <c r="Y336" s="19" t="n"/>
      <c r="Z336" s="21">
        <f>IF(AND($A336="",$B336=""),"",IF(OR($E336="",$H336="",$H336="Proposed",$H336="Not Reported"),0,IF(AND($P336="Y",$Q336&lt;&gt;"Y"),0,IF(AND($K336="Point",N($L336)&lt;=0),0,IF(AND(N($L336)&lt;=0,N($N336)&lt;=0,N($R336)+N($S336)&lt;=0),0,1)))))</f>
        <v/>
      </c>
      <c r="AA336" s="21">
        <f>IF(AND($A336="",$B336=""),"",IF($E336="","Site type missing",IF($H336="","STATUS missing",IF($H336="Proposed","STATUS = Proposed",IF($H336="Not Reported","STATUS = Not Reported",IF(AND($P336="Y",$Q336&lt;&gt;"Y"),"UNESCO-MAB Biosphere Reserve",IF(AND($K336="Point",N($L336)&lt;=0),"Point without REP_AREA",IF(AND(N($L336)&lt;=0,N($N336)&lt;=0,N($R336)+N($S336)&lt;=0),"No area information",""))))))))</f>
        <v/>
      </c>
      <c r="AB336" s="22">
        <f>IF(AND($A336="",$B336=""),"",IF($K336="Point",N($L336),IF(N($N336)&gt;0,N($N336),N($L336))))</f>
        <v/>
      </c>
      <c r="AC336" s="22">
        <f>IF(AND($A336="",$B336=""),"",MIN(AB336,IF(N($J336)=0,0,IF(N($J336)=2,AB336,IF(AND($K336&lt;&gt;"Point",N($O336)&gt;0),N($O336),N($M336))))))</f>
        <v/>
      </c>
      <c r="AD336" s="22">
        <f>IF(AND($A336="",$B336=""),"",MAX(0,AB336-AC336))</f>
        <v/>
      </c>
      <c r="AE336" s="21">
        <f>IF(AND($A336="",$B336=""),"",IF(OR($R336&lt;&gt;"",$S336&lt;&gt;""),1,0))</f>
        <v/>
      </c>
      <c r="AF336" s="22">
        <f>IF(AND($A336="",$B336=""),"",IF(Z336=1,IF(AE336=1,N($R336),AD336),0))</f>
        <v/>
      </c>
      <c r="AG336" s="22">
        <f>IF(AND($A336="",$B336=""),"",IF(Z336=1,IF(AE336=1,N($S336),AC336),0))</f>
        <v/>
      </c>
      <c r="AH336" s="21">
        <f>IF(AND($A336="",$B336=""),"",IF(AND(ISNUMBER($I336),N($I336)&gt;0),$I336,0))</f>
        <v/>
      </c>
      <c r="AI336" s="23">
        <f>IF(AND(NOT(AND($A336="",$B336="")),$K336="Point",N($L336)&gt;0),SQRT(N($L336)/PI()),"")</f>
        <v/>
      </c>
      <c r="AJ336" s="21">
        <f>IF(AND($A336="",$B336=""),"",IFERROR(VLOOKUP($G336,Lists!$D$4:$E$15,2,FALSE),"Not reported"))</f>
        <v/>
      </c>
      <c r="AK336" s="21">
        <f>IF(AND($A336="",$B336=""),"",IF($X336&lt;&gt;"",$X336,IF($T336&lt;&gt;"Y","Not assessed",IF(AND(ISNUMBER($V336),Setup!$B$6-$V336&gt;Setup!$B$26),"Assessment outdated",IF(NOT(ISNUMBER($W336)),"Assessed – no score",IF($W336&gt;=Setup!$B$24,"High",IF($W336&gt;=Setup!$B$25,"Moderate","Low")))))))</f>
        <v/>
      </c>
      <c r="AL336" s="21">
        <f>IF(AND($A336="",$B336=""),"",IF(Z336=0,"",IF(AND(AE336=1,N($R336)&gt;AD336*1.01+0.001),"Net terrestrial &gt; gross; ","")&amp;IF(AND(AE336=1,N($S336)&gt;AC336*1.01+0.001),"Net marine &gt; gross; ","")&amp;IF(AE336=0,"No net area – gross used, overlaps may be double-counted; ","")&amp;IF(AH336=0,"STATUS_YR missing – imputed in time series; ","")&amp;IF(AND(ISNUMBER($I336),N($I336)&gt;Setup!$B$6),"STATUS_YR after reporting year; ","")&amp;IF(OR($G336="",$G336="Not Reported"),"GOV_TYPE not reported; ","")&amp;IF(AND(N($J336)=1,$K336="Point",N($M336)&lt;=0),"Coastal point without REP_M_AREA – land/sea split unknown; ","")&amp;IF(AND(N($J336)=0,N($S336)&gt;0),"MARINE=0 but net marine &gt;0; ","")&amp;IF(AND(N($J336)=2,N($R336)&gt;0),"MARINE=2 but net terrestrial &gt;0; ","")&amp;IF($K336="Point","Buffered point – coverage approximate; ","")))</f>
        <v/>
      </c>
    </row>
    <row r="337">
      <c r="A337" s="19" t="n"/>
      <c r="B337" s="19" t="n"/>
      <c r="C337" s="19" t="n"/>
      <c r="D337" s="19" t="n"/>
      <c r="E337" s="19" t="n"/>
      <c r="F337" s="19" t="n"/>
      <c r="G337" s="19" t="n"/>
      <c r="H337" s="19" t="n"/>
      <c r="I337" s="19" t="n"/>
      <c r="J337" s="19" t="n"/>
      <c r="K337" s="19" t="n"/>
      <c r="L337" s="20" t="n"/>
      <c r="M337" s="20" t="n"/>
      <c r="N337" s="20" t="n"/>
      <c r="O337" s="20" t="n"/>
      <c r="P337" s="19" t="n"/>
      <c r="Q337" s="19" t="n"/>
      <c r="R337" s="20" t="n"/>
      <c r="S337" s="20" t="n"/>
      <c r="T337" s="19" t="n"/>
      <c r="U337" s="19" t="n"/>
      <c r="V337" s="19" t="n"/>
      <c r="W337" s="19" t="n"/>
      <c r="X337" s="19" t="n"/>
      <c r="Y337" s="19" t="n"/>
      <c r="Z337" s="21">
        <f>IF(AND($A337="",$B337=""),"",IF(OR($E337="",$H337="",$H337="Proposed",$H337="Not Reported"),0,IF(AND($P337="Y",$Q337&lt;&gt;"Y"),0,IF(AND($K337="Point",N($L337)&lt;=0),0,IF(AND(N($L337)&lt;=0,N($N337)&lt;=0,N($R337)+N($S337)&lt;=0),0,1)))))</f>
        <v/>
      </c>
      <c r="AA337" s="21">
        <f>IF(AND($A337="",$B337=""),"",IF($E337="","Site type missing",IF($H337="","STATUS missing",IF($H337="Proposed","STATUS = Proposed",IF($H337="Not Reported","STATUS = Not Reported",IF(AND($P337="Y",$Q337&lt;&gt;"Y"),"UNESCO-MAB Biosphere Reserve",IF(AND($K337="Point",N($L337)&lt;=0),"Point without REP_AREA",IF(AND(N($L337)&lt;=0,N($N337)&lt;=0,N($R337)+N($S337)&lt;=0),"No area information",""))))))))</f>
        <v/>
      </c>
      <c r="AB337" s="22">
        <f>IF(AND($A337="",$B337=""),"",IF($K337="Point",N($L337),IF(N($N337)&gt;0,N($N337),N($L337))))</f>
        <v/>
      </c>
      <c r="AC337" s="22">
        <f>IF(AND($A337="",$B337=""),"",MIN(AB337,IF(N($J337)=0,0,IF(N($J337)=2,AB337,IF(AND($K337&lt;&gt;"Point",N($O337)&gt;0),N($O337),N($M337))))))</f>
        <v/>
      </c>
      <c r="AD337" s="22">
        <f>IF(AND($A337="",$B337=""),"",MAX(0,AB337-AC337))</f>
        <v/>
      </c>
      <c r="AE337" s="21">
        <f>IF(AND($A337="",$B337=""),"",IF(OR($R337&lt;&gt;"",$S337&lt;&gt;""),1,0))</f>
        <v/>
      </c>
      <c r="AF337" s="22">
        <f>IF(AND($A337="",$B337=""),"",IF(Z337=1,IF(AE337=1,N($R337),AD337),0))</f>
        <v/>
      </c>
      <c r="AG337" s="22">
        <f>IF(AND($A337="",$B337=""),"",IF(Z337=1,IF(AE337=1,N($S337),AC337),0))</f>
        <v/>
      </c>
      <c r="AH337" s="21">
        <f>IF(AND($A337="",$B337=""),"",IF(AND(ISNUMBER($I337),N($I337)&gt;0),$I337,0))</f>
        <v/>
      </c>
      <c r="AI337" s="23">
        <f>IF(AND(NOT(AND($A337="",$B337="")),$K337="Point",N($L337)&gt;0),SQRT(N($L337)/PI()),"")</f>
        <v/>
      </c>
      <c r="AJ337" s="21">
        <f>IF(AND($A337="",$B337=""),"",IFERROR(VLOOKUP($G337,Lists!$D$4:$E$15,2,FALSE),"Not reported"))</f>
        <v/>
      </c>
      <c r="AK337" s="21">
        <f>IF(AND($A337="",$B337=""),"",IF($X337&lt;&gt;"",$X337,IF($T337&lt;&gt;"Y","Not assessed",IF(AND(ISNUMBER($V337),Setup!$B$6-$V337&gt;Setup!$B$26),"Assessment outdated",IF(NOT(ISNUMBER($W337)),"Assessed – no score",IF($W337&gt;=Setup!$B$24,"High",IF($W337&gt;=Setup!$B$25,"Moderate","Low")))))))</f>
        <v/>
      </c>
      <c r="AL337" s="21">
        <f>IF(AND($A337="",$B337=""),"",IF(Z337=0,"",IF(AND(AE337=1,N($R337)&gt;AD337*1.01+0.001),"Net terrestrial &gt; gross; ","")&amp;IF(AND(AE337=1,N($S337)&gt;AC337*1.01+0.001),"Net marine &gt; gross; ","")&amp;IF(AE337=0,"No net area – gross used, overlaps may be double-counted; ","")&amp;IF(AH337=0,"STATUS_YR missing – imputed in time series; ","")&amp;IF(AND(ISNUMBER($I337),N($I337)&gt;Setup!$B$6),"STATUS_YR after reporting year; ","")&amp;IF(OR($G337="",$G337="Not Reported"),"GOV_TYPE not reported; ","")&amp;IF(AND(N($J337)=1,$K337="Point",N($M337)&lt;=0),"Coastal point without REP_M_AREA – land/sea split unknown; ","")&amp;IF(AND(N($J337)=0,N($S337)&gt;0),"MARINE=0 but net marine &gt;0; ","")&amp;IF(AND(N($J337)=2,N($R337)&gt;0),"MARINE=2 but net terrestrial &gt;0; ","")&amp;IF($K337="Point","Buffered point – coverage approximate; ","")))</f>
        <v/>
      </c>
    </row>
    <row r="338">
      <c r="A338" s="19" t="n"/>
      <c r="B338" s="19" t="n"/>
      <c r="C338" s="19" t="n"/>
      <c r="D338" s="19" t="n"/>
      <c r="E338" s="19" t="n"/>
      <c r="F338" s="19" t="n"/>
      <c r="G338" s="19" t="n"/>
      <c r="H338" s="19" t="n"/>
      <c r="I338" s="19" t="n"/>
      <c r="J338" s="19" t="n"/>
      <c r="K338" s="19" t="n"/>
      <c r="L338" s="20" t="n"/>
      <c r="M338" s="20" t="n"/>
      <c r="N338" s="20" t="n"/>
      <c r="O338" s="20" t="n"/>
      <c r="P338" s="19" t="n"/>
      <c r="Q338" s="19" t="n"/>
      <c r="R338" s="20" t="n"/>
      <c r="S338" s="20" t="n"/>
      <c r="T338" s="19" t="n"/>
      <c r="U338" s="19" t="n"/>
      <c r="V338" s="19" t="n"/>
      <c r="W338" s="19" t="n"/>
      <c r="X338" s="19" t="n"/>
      <c r="Y338" s="19" t="n"/>
      <c r="Z338" s="21">
        <f>IF(AND($A338="",$B338=""),"",IF(OR($E338="",$H338="",$H338="Proposed",$H338="Not Reported"),0,IF(AND($P338="Y",$Q338&lt;&gt;"Y"),0,IF(AND($K338="Point",N($L338)&lt;=0),0,IF(AND(N($L338)&lt;=0,N($N338)&lt;=0,N($R338)+N($S338)&lt;=0),0,1)))))</f>
        <v/>
      </c>
      <c r="AA338" s="21">
        <f>IF(AND($A338="",$B338=""),"",IF($E338="","Site type missing",IF($H338="","STATUS missing",IF($H338="Proposed","STATUS = Proposed",IF($H338="Not Reported","STATUS = Not Reported",IF(AND($P338="Y",$Q338&lt;&gt;"Y"),"UNESCO-MAB Biosphere Reserve",IF(AND($K338="Point",N($L338)&lt;=0),"Point without REP_AREA",IF(AND(N($L338)&lt;=0,N($N338)&lt;=0,N($R338)+N($S338)&lt;=0),"No area information",""))))))))</f>
        <v/>
      </c>
      <c r="AB338" s="22">
        <f>IF(AND($A338="",$B338=""),"",IF($K338="Point",N($L338),IF(N($N338)&gt;0,N($N338),N($L338))))</f>
        <v/>
      </c>
      <c r="AC338" s="22">
        <f>IF(AND($A338="",$B338=""),"",MIN(AB338,IF(N($J338)=0,0,IF(N($J338)=2,AB338,IF(AND($K338&lt;&gt;"Point",N($O338)&gt;0),N($O338),N($M338))))))</f>
        <v/>
      </c>
      <c r="AD338" s="22">
        <f>IF(AND($A338="",$B338=""),"",MAX(0,AB338-AC338))</f>
        <v/>
      </c>
      <c r="AE338" s="21">
        <f>IF(AND($A338="",$B338=""),"",IF(OR($R338&lt;&gt;"",$S338&lt;&gt;""),1,0))</f>
        <v/>
      </c>
      <c r="AF338" s="22">
        <f>IF(AND($A338="",$B338=""),"",IF(Z338=1,IF(AE338=1,N($R338),AD338),0))</f>
        <v/>
      </c>
      <c r="AG338" s="22">
        <f>IF(AND($A338="",$B338=""),"",IF(Z338=1,IF(AE338=1,N($S338),AC338),0))</f>
        <v/>
      </c>
      <c r="AH338" s="21">
        <f>IF(AND($A338="",$B338=""),"",IF(AND(ISNUMBER($I338),N($I338)&gt;0),$I338,0))</f>
        <v/>
      </c>
      <c r="AI338" s="23">
        <f>IF(AND(NOT(AND($A338="",$B338="")),$K338="Point",N($L338)&gt;0),SQRT(N($L338)/PI()),"")</f>
        <v/>
      </c>
      <c r="AJ338" s="21">
        <f>IF(AND($A338="",$B338=""),"",IFERROR(VLOOKUP($G338,Lists!$D$4:$E$15,2,FALSE),"Not reported"))</f>
        <v/>
      </c>
      <c r="AK338" s="21">
        <f>IF(AND($A338="",$B338=""),"",IF($X338&lt;&gt;"",$X338,IF($T338&lt;&gt;"Y","Not assessed",IF(AND(ISNUMBER($V338),Setup!$B$6-$V338&gt;Setup!$B$26),"Assessment outdated",IF(NOT(ISNUMBER($W338)),"Assessed – no score",IF($W338&gt;=Setup!$B$24,"High",IF($W338&gt;=Setup!$B$25,"Moderate","Low")))))))</f>
        <v/>
      </c>
      <c r="AL338" s="21">
        <f>IF(AND($A338="",$B338=""),"",IF(Z338=0,"",IF(AND(AE338=1,N($R338)&gt;AD338*1.01+0.001),"Net terrestrial &gt; gross; ","")&amp;IF(AND(AE338=1,N($S338)&gt;AC338*1.01+0.001),"Net marine &gt; gross; ","")&amp;IF(AE338=0,"No net area – gross used, overlaps may be double-counted; ","")&amp;IF(AH338=0,"STATUS_YR missing – imputed in time series; ","")&amp;IF(AND(ISNUMBER($I338),N($I338)&gt;Setup!$B$6),"STATUS_YR after reporting year; ","")&amp;IF(OR($G338="",$G338="Not Reported"),"GOV_TYPE not reported; ","")&amp;IF(AND(N($J338)=1,$K338="Point",N($M338)&lt;=0),"Coastal point without REP_M_AREA – land/sea split unknown; ","")&amp;IF(AND(N($J338)=0,N($S338)&gt;0),"MARINE=0 but net marine &gt;0; ","")&amp;IF(AND(N($J338)=2,N($R338)&gt;0),"MARINE=2 but net terrestrial &gt;0; ","")&amp;IF($K338="Point","Buffered point – coverage approximate; ","")))</f>
        <v/>
      </c>
    </row>
    <row r="339">
      <c r="A339" s="19" t="n"/>
      <c r="B339" s="19" t="n"/>
      <c r="C339" s="19" t="n"/>
      <c r="D339" s="19" t="n"/>
      <c r="E339" s="19" t="n"/>
      <c r="F339" s="19" t="n"/>
      <c r="G339" s="19" t="n"/>
      <c r="H339" s="19" t="n"/>
      <c r="I339" s="19" t="n"/>
      <c r="J339" s="19" t="n"/>
      <c r="K339" s="19" t="n"/>
      <c r="L339" s="20" t="n"/>
      <c r="M339" s="20" t="n"/>
      <c r="N339" s="20" t="n"/>
      <c r="O339" s="20" t="n"/>
      <c r="P339" s="19" t="n"/>
      <c r="Q339" s="19" t="n"/>
      <c r="R339" s="20" t="n"/>
      <c r="S339" s="20" t="n"/>
      <c r="T339" s="19" t="n"/>
      <c r="U339" s="19" t="n"/>
      <c r="V339" s="19" t="n"/>
      <c r="W339" s="19" t="n"/>
      <c r="X339" s="19" t="n"/>
      <c r="Y339" s="19" t="n"/>
      <c r="Z339" s="21">
        <f>IF(AND($A339="",$B339=""),"",IF(OR($E339="",$H339="",$H339="Proposed",$H339="Not Reported"),0,IF(AND($P339="Y",$Q339&lt;&gt;"Y"),0,IF(AND($K339="Point",N($L339)&lt;=0),0,IF(AND(N($L339)&lt;=0,N($N339)&lt;=0,N($R339)+N($S339)&lt;=0),0,1)))))</f>
        <v/>
      </c>
      <c r="AA339" s="21">
        <f>IF(AND($A339="",$B339=""),"",IF($E339="","Site type missing",IF($H339="","STATUS missing",IF($H339="Proposed","STATUS = Proposed",IF($H339="Not Reported","STATUS = Not Reported",IF(AND($P339="Y",$Q339&lt;&gt;"Y"),"UNESCO-MAB Biosphere Reserve",IF(AND($K339="Point",N($L339)&lt;=0),"Point without REP_AREA",IF(AND(N($L339)&lt;=0,N($N339)&lt;=0,N($R339)+N($S339)&lt;=0),"No area information",""))))))))</f>
        <v/>
      </c>
      <c r="AB339" s="22">
        <f>IF(AND($A339="",$B339=""),"",IF($K339="Point",N($L339),IF(N($N339)&gt;0,N($N339),N($L339))))</f>
        <v/>
      </c>
      <c r="AC339" s="22">
        <f>IF(AND($A339="",$B339=""),"",MIN(AB339,IF(N($J339)=0,0,IF(N($J339)=2,AB339,IF(AND($K339&lt;&gt;"Point",N($O339)&gt;0),N($O339),N($M339))))))</f>
        <v/>
      </c>
      <c r="AD339" s="22">
        <f>IF(AND($A339="",$B339=""),"",MAX(0,AB339-AC339))</f>
        <v/>
      </c>
      <c r="AE339" s="21">
        <f>IF(AND($A339="",$B339=""),"",IF(OR($R339&lt;&gt;"",$S339&lt;&gt;""),1,0))</f>
        <v/>
      </c>
      <c r="AF339" s="22">
        <f>IF(AND($A339="",$B339=""),"",IF(Z339=1,IF(AE339=1,N($R339),AD339),0))</f>
        <v/>
      </c>
      <c r="AG339" s="22">
        <f>IF(AND($A339="",$B339=""),"",IF(Z339=1,IF(AE339=1,N($S339),AC339),0))</f>
        <v/>
      </c>
      <c r="AH339" s="21">
        <f>IF(AND($A339="",$B339=""),"",IF(AND(ISNUMBER($I339),N($I339)&gt;0),$I339,0))</f>
        <v/>
      </c>
      <c r="AI339" s="23">
        <f>IF(AND(NOT(AND($A339="",$B339="")),$K339="Point",N($L339)&gt;0),SQRT(N($L339)/PI()),"")</f>
        <v/>
      </c>
      <c r="AJ339" s="21">
        <f>IF(AND($A339="",$B339=""),"",IFERROR(VLOOKUP($G339,Lists!$D$4:$E$15,2,FALSE),"Not reported"))</f>
        <v/>
      </c>
      <c r="AK339" s="21">
        <f>IF(AND($A339="",$B339=""),"",IF($X339&lt;&gt;"",$X339,IF($T339&lt;&gt;"Y","Not assessed",IF(AND(ISNUMBER($V339),Setup!$B$6-$V339&gt;Setup!$B$26),"Assessment outdated",IF(NOT(ISNUMBER($W339)),"Assessed – no score",IF($W339&gt;=Setup!$B$24,"High",IF($W339&gt;=Setup!$B$25,"Moderate","Low")))))))</f>
        <v/>
      </c>
      <c r="AL339" s="21">
        <f>IF(AND($A339="",$B339=""),"",IF(Z339=0,"",IF(AND(AE339=1,N($R339)&gt;AD339*1.01+0.001),"Net terrestrial &gt; gross; ","")&amp;IF(AND(AE339=1,N($S339)&gt;AC339*1.01+0.001),"Net marine &gt; gross; ","")&amp;IF(AE339=0,"No net area – gross used, overlaps may be double-counted; ","")&amp;IF(AH339=0,"STATUS_YR missing – imputed in time series; ","")&amp;IF(AND(ISNUMBER($I339),N($I339)&gt;Setup!$B$6),"STATUS_YR after reporting year; ","")&amp;IF(OR($G339="",$G339="Not Reported"),"GOV_TYPE not reported; ","")&amp;IF(AND(N($J339)=1,$K339="Point",N($M339)&lt;=0),"Coastal point without REP_M_AREA – land/sea split unknown; ","")&amp;IF(AND(N($J339)=0,N($S339)&gt;0),"MARINE=0 but net marine &gt;0; ","")&amp;IF(AND(N($J339)=2,N($R339)&gt;0),"MARINE=2 but net terrestrial &gt;0; ","")&amp;IF($K339="Point","Buffered point – coverage approximate; ","")))</f>
        <v/>
      </c>
    </row>
    <row r="340">
      <c r="A340" s="19" t="n"/>
      <c r="B340" s="19" t="n"/>
      <c r="C340" s="19" t="n"/>
      <c r="D340" s="19" t="n"/>
      <c r="E340" s="19" t="n"/>
      <c r="F340" s="19" t="n"/>
      <c r="G340" s="19" t="n"/>
      <c r="H340" s="19" t="n"/>
      <c r="I340" s="19" t="n"/>
      <c r="J340" s="19" t="n"/>
      <c r="K340" s="19" t="n"/>
      <c r="L340" s="20" t="n"/>
      <c r="M340" s="20" t="n"/>
      <c r="N340" s="20" t="n"/>
      <c r="O340" s="20" t="n"/>
      <c r="P340" s="19" t="n"/>
      <c r="Q340" s="19" t="n"/>
      <c r="R340" s="20" t="n"/>
      <c r="S340" s="20" t="n"/>
      <c r="T340" s="19" t="n"/>
      <c r="U340" s="19" t="n"/>
      <c r="V340" s="19" t="n"/>
      <c r="W340" s="19" t="n"/>
      <c r="X340" s="19" t="n"/>
      <c r="Y340" s="19" t="n"/>
      <c r="Z340" s="21">
        <f>IF(AND($A340="",$B340=""),"",IF(OR($E340="",$H340="",$H340="Proposed",$H340="Not Reported"),0,IF(AND($P340="Y",$Q340&lt;&gt;"Y"),0,IF(AND($K340="Point",N($L340)&lt;=0),0,IF(AND(N($L340)&lt;=0,N($N340)&lt;=0,N($R340)+N($S340)&lt;=0),0,1)))))</f>
        <v/>
      </c>
      <c r="AA340" s="21">
        <f>IF(AND($A340="",$B340=""),"",IF($E340="","Site type missing",IF($H340="","STATUS missing",IF($H340="Proposed","STATUS = Proposed",IF($H340="Not Reported","STATUS = Not Reported",IF(AND($P340="Y",$Q340&lt;&gt;"Y"),"UNESCO-MAB Biosphere Reserve",IF(AND($K340="Point",N($L340)&lt;=0),"Point without REP_AREA",IF(AND(N($L340)&lt;=0,N($N340)&lt;=0,N($R340)+N($S340)&lt;=0),"No area information",""))))))))</f>
        <v/>
      </c>
      <c r="AB340" s="22">
        <f>IF(AND($A340="",$B340=""),"",IF($K340="Point",N($L340),IF(N($N340)&gt;0,N($N340),N($L340))))</f>
        <v/>
      </c>
      <c r="AC340" s="22">
        <f>IF(AND($A340="",$B340=""),"",MIN(AB340,IF(N($J340)=0,0,IF(N($J340)=2,AB340,IF(AND($K340&lt;&gt;"Point",N($O340)&gt;0),N($O340),N($M340))))))</f>
        <v/>
      </c>
      <c r="AD340" s="22">
        <f>IF(AND($A340="",$B340=""),"",MAX(0,AB340-AC340))</f>
        <v/>
      </c>
      <c r="AE340" s="21">
        <f>IF(AND($A340="",$B340=""),"",IF(OR($R340&lt;&gt;"",$S340&lt;&gt;""),1,0))</f>
        <v/>
      </c>
      <c r="AF340" s="22">
        <f>IF(AND($A340="",$B340=""),"",IF(Z340=1,IF(AE340=1,N($R340),AD340),0))</f>
        <v/>
      </c>
      <c r="AG340" s="22">
        <f>IF(AND($A340="",$B340=""),"",IF(Z340=1,IF(AE340=1,N($S340),AC340),0))</f>
        <v/>
      </c>
      <c r="AH340" s="21">
        <f>IF(AND($A340="",$B340=""),"",IF(AND(ISNUMBER($I340),N($I340)&gt;0),$I340,0))</f>
        <v/>
      </c>
      <c r="AI340" s="23">
        <f>IF(AND(NOT(AND($A340="",$B340="")),$K340="Point",N($L340)&gt;0),SQRT(N($L340)/PI()),"")</f>
        <v/>
      </c>
      <c r="AJ340" s="21">
        <f>IF(AND($A340="",$B340=""),"",IFERROR(VLOOKUP($G340,Lists!$D$4:$E$15,2,FALSE),"Not reported"))</f>
        <v/>
      </c>
      <c r="AK340" s="21">
        <f>IF(AND($A340="",$B340=""),"",IF($X340&lt;&gt;"",$X340,IF($T340&lt;&gt;"Y","Not assessed",IF(AND(ISNUMBER($V340),Setup!$B$6-$V340&gt;Setup!$B$26),"Assessment outdated",IF(NOT(ISNUMBER($W340)),"Assessed – no score",IF($W340&gt;=Setup!$B$24,"High",IF($W340&gt;=Setup!$B$25,"Moderate","Low")))))))</f>
        <v/>
      </c>
      <c r="AL340" s="21">
        <f>IF(AND($A340="",$B340=""),"",IF(Z340=0,"",IF(AND(AE340=1,N($R340)&gt;AD340*1.01+0.001),"Net terrestrial &gt; gross; ","")&amp;IF(AND(AE340=1,N($S340)&gt;AC340*1.01+0.001),"Net marine &gt; gross; ","")&amp;IF(AE340=0,"No net area – gross used, overlaps may be double-counted; ","")&amp;IF(AH340=0,"STATUS_YR missing – imputed in time series; ","")&amp;IF(AND(ISNUMBER($I340),N($I340)&gt;Setup!$B$6),"STATUS_YR after reporting year; ","")&amp;IF(OR($G340="",$G340="Not Reported"),"GOV_TYPE not reported; ","")&amp;IF(AND(N($J340)=1,$K340="Point",N($M340)&lt;=0),"Coastal point without REP_M_AREA – land/sea split unknown; ","")&amp;IF(AND(N($J340)=0,N($S340)&gt;0),"MARINE=0 but net marine &gt;0; ","")&amp;IF(AND(N($J340)=2,N($R340)&gt;0),"MARINE=2 but net terrestrial &gt;0; ","")&amp;IF($K340="Point","Buffered point – coverage approximate; ","")))</f>
        <v/>
      </c>
    </row>
    <row r="341">
      <c r="A341" s="19" t="n"/>
      <c r="B341" s="19" t="n"/>
      <c r="C341" s="19" t="n"/>
      <c r="D341" s="19" t="n"/>
      <c r="E341" s="19" t="n"/>
      <c r="F341" s="19" t="n"/>
      <c r="G341" s="19" t="n"/>
      <c r="H341" s="19" t="n"/>
      <c r="I341" s="19" t="n"/>
      <c r="J341" s="19" t="n"/>
      <c r="K341" s="19" t="n"/>
      <c r="L341" s="20" t="n"/>
      <c r="M341" s="20" t="n"/>
      <c r="N341" s="20" t="n"/>
      <c r="O341" s="20" t="n"/>
      <c r="P341" s="19" t="n"/>
      <c r="Q341" s="19" t="n"/>
      <c r="R341" s="20" t="n"/>
      <c r="S341" s="20" t="n"/>
      <c r="T341" s="19" t="n"/>
      <c r="U341" s="19" t="n"/>
      <c r="V341" s="19" t="n"/>
      <c r="W341" s="19" t="n"/>
      <c r="X341" s="19" t="n"/>
      <c r="Y341" s="19" t="n"/>
      <c r="Z341" s="21">
        <f>IF(AND($A341="",$B341=""),"",IF(OR($E341="",$H341="",$H341="Proposed",$H341="Not Reported"),0,IF(AND($P341="Y",$Q341&lt;&gt;"Y"),0,IF(AND($K341="Point",N($L341)&lt;=0),0,IF(AND(N($L341)&lt;=0,N($N341)&lt;=0,N($R341)+N($S341)&lt;=0),0,1)))))</f>
        <v/>
      </c>
      <c r="AA341" s="21">
        <f>IF(AND($A341="",$B341=""),"",IF($E341="","Site type missing",IF($H341="","STATUS missing",IF($H341="Proposed","STATUS = Proposed",IF($H341="Not Reported","STATUS = Not Reported",IF(AND($P341="Y",$Q341&lt;&gt;"Y"),"UNESCO-MAB Biosphere Reserve",IF(AND($K341="Point",N($L341)&lt;=0),"Point without REP_AREA",IF(AND(N($L341)&lt;=0,N($N341)&lt;=0,N($R341)+N($S341)&lt;=0),"No area information",""))))))))</f>
        <v/>
      </c>
      <c r="AB341" s="22">
        <f>IF(AND($A341="",$B341=""),"",IF($K341="Point",N($L341),IF(N($N341)&gt;0,N($N341),N($L341))))</f>
        <v/>
      </c>
      <c r="AC341" s="22">
        <f>IF(AND($A341="",$B341=""),"",MIN(AB341,IF(N($J341)=0,0,IF(N($J341)=2,AB341,IF(AND($K341&lt;&gt;"Point",N($O341)&gt;0),N($O341),N($M341))))))</f>
        <v/>
      </c>
      <c r="AD341" s="22">
        <f>IF(AND($A341="",$B341=""),"",MAX(0,AB341-AC341))</f>
        <v/>
      </c>
      <c r="AE341" s="21">
        <f>IF(AND($A341="",$B341=""),"",IF(OR($R341&lt;&gt;"",$S341&lt;&gt;""),1,0))</f>
        <v/>
      </c>
      <c r="AF341" s="22">
        <f>IF(AND($A341="",$B341=""),"",IF(Z341=1,IF(AE341=1,N($R341),AD341),0))</f>
        <v/>
      </c>
      <c r="AG341" s="22">
        <f>IF(AND($A341="",$B341=""),"",IF(Z341=1,IF(AE341=1,N($S341),AC341),0))</f>
        <v/>
      </c>
      <c r="AH341" s="21">
        <f>IF(AND($A341="",$B341=""),"",IF(AND(ISNUMBER($I341),N($I341)&gt;0),$I341,0))</f>
        <v/>
      </c>
      <c r="AI341" s="23">
        <f>IF(AND(NOT(AND($A341="",$B341="")),$K341="Point",N($L341)&gt;0),SQRT(N($L341)/PI()),"")</f>
        <v/>
      </c>
      <c r="AJ341" s="21">
        <f>IF(AND($A341="",$B341=""),"",IFERROR(VLOOKUP($G341,Lists!$D$4:$E$15,2,FALSE),"Not reported"))</f>
        <v/>
      </c>
      <c r="AK341" s="21">
        <f>IF(AND($A341="",$B341=""),"",IF($X341&lt;&gt;"",$X341,IF($T341&lt;&gt;"Y","Not assessed",IF(AND(ISNUMBER($V341),Setup!$B$6-$V341&gt;Setup!$B$26),"Assessment outdated",IF(NOT(ISNUMBER($W341)),"Assessed – no score",IF($W341&gt;=Setup!$B$24,"High",IF($W341&gt;=Setup!$B$25,"Moderate","Low")))))))</f>
        <v/>
      </c>
      <c r="AL341" s="21">
        <f>IF(AND($A341="",$B341=""),"",IF(Z341=0,"",IF(AND(AE341=1,N($R341)&gt;AD341*1.01+0.001),"Net terrestrial &gt; gross; ","")&amp;IF(AND(AE341=1,N($S341)&gt;AC341*1.01+0.001),"Net marine &gt; gross; ","")&amp;IF(AE341=0,"No net area – gross used, overlaps may be double-counted; ","")&amp;IF(AH341=0,"STATUS_YR missing – imputed in time series; ","")&amp;IF(AND(ISNUMBER($I341),N($I341)&gt;Setup!$B$6),"STATUS_YR after reporting year; ","")&amp;IF(OR($G341="",$G341="Not Reported"),"GOV_TYPE not reported; ","")&amp;IF(AND(N($J341)=1,$K341="Point",N($M341)&lt;=0),"Coastal point without REP_M_AREA – land/sea split unknown; ","")&amp;IF(AND(N($J341)=0,N($S341)&gt;0),"MARINE=0 but net marine &gt;0; ","")&amp;IF(AND(N($J341)=2,N($R341)&gt;0),"MARINE=2 but net terrestrial &gt;0; ","")&amp;IF($K341="Point","Buffered point – coverage approximate; ","")))</f>
        <v/>
      </c>
    </row>
    <row r="342">
      <c r="A342" s="19" t="n"/>
      <c r="B342" s="19" t="n"/>
      <c r="C342" s="19" t="n"/>
      <c r="D342" s="19" t="n"/>
      <c r="E342" s="19" t="n"/>
      <c r="F342" s="19" t="n"/>
      <c r="G342" s="19" t="n"/>
      <c r="H342" s="19" t="n"/>
      <c r="I342" s="19" t="n"/>
      <c r="J342" s="19" t="n"/>
      <c r="K342" s="19" t="n"/>
      <c r="L342" s="20" t="n"/>
      <c r="M342" s="20" t="n"/>
      <c r="N342" s="20" t="n"/>
      <c r="O342" s="20" t="n"/>
      <c r="P342" s="19" t="n"/>
      <c r="Q342" s="19" t="n"/>
      <c r="R342" s="20" t="n"/>
      <c r="S342" s="20" t="n"/>
      <c r="T342" s="19" t="n"/>
      <c r="U342" s="19" t="n"/>
      <c r="V342" s="19" t="n"/>
      <c r="W342" s="19" t="n"/>
      <c r="X342" s="19" t="n"/>
      <c r="Y342" s="19" t="n"/>
      <c r="Z342" s="21">
        <f>IF(AND($A342="",$B342=""),"",IF(OR($E342="",$H342="",$H342="Proposed",$H342="Not Reported"),0,IF(AND($P342="Y",$Q342&lt;&gt;"Y"),0,IF(AND($K342="Point",N($L342)&lt;=0),0,IF(AND(N($L342)&lt;=0,N($N342)&lt;=0,N($R342)+N($S342)&lt;=0),0,1)))))</f>
        <v/>
      </c>
      <c r="AA342" s="21">
        <f>IF(AND($A342="",$B342=""),"",IF($E342="","Site type missing",IF($H342="","STATUS missing",IF($H342="Proposed","STATUS = Proposed",IF($H342="Not Reported","STATUS = Not Reported",IF(AND($P342="Y",$Q342&lt;&gt;"Y"),"UNESCO-MAB Biosphere Reserve",IF(AND($K342="Point",N($L342)&lt;=0),"Point without REP_AREA",IF(AND(N($L342)&lt;=0,N($N342)&lt;=0,N($R342)+N($S342)&lt;=0),"No area information",""))))))))</f>
        <v/>
      </c>
      <c r="AB342" s="22">
        <f>IF(AND($A342="",$B342=""),"",IF($K342="Point",N($L342),IF(N($N342)&gt;0,N($N342),N($L342))))</f>
        <v/>
      </c>
      <c r="AC342" s="22">
        <f>IF(AND($A342="",$B342=""),"",MIN(AB342,IF(N($J342)=0,0,IF(N($J342)=2,AB342,IF(AND($K342&lt;&gt;"Point",N($O342)&gt;0),N($O342),N($M342))))))</f>
        <v/>
      </c>
      <c r="AD342" s="22">
        <f>IF(AND($A342="",$B342=""),"",MAX(0,AB342-AC342))</f>
        <v/>
      </c>
      <c r="AE342" s="21">
        <f>IF(AND($A342="",$B342=""),"",IF(OR($R342&lt;&gt;"",$S342&lt;&gt;""),1,0))</f>
        <v/>
      </c>
      <c r="AF342" s="22">
        <f>IF(AND($A342="",$B342=""),"",IF(Z342=1,IF(AE342=1,N($R342),AD342),0))</f>
        <v/>
      </c>
      <c r="AG342" s="22">
        <f>IF(AND($A342="",$B342=""),"",IF(Z342=1,IF(AE342=1,N($S342),AC342),0))</f>
        <v/>
      </c>
      <c r="AH342" s="21">
        <f>IF(AND($A342="",$B342=""),"",IF(AND(ISNUMBER($I342),N($I342)&gt;0),$I342,0))</f>
        <v/>
      </c>
      <c r="AI342" s="23">
        <f>IF(AND(NOT(AND($A342="",$B342="")),$K342="Point",N($L342)&gt;0),SQRT(N($L342)/PI()),"")</f>
        <v/>
      </c>
      <c r="AJ342" s="21">
        <f>IF(AND($A342="",$B342=""),"",IFERROR(VLOOKUP($G342,Lists!$D$4:$E$15,2,FALSE),"Not reported"))</f>
        <v/>
      </c>
      <c r="AK342" s="21">
        <f>IF(AND($A342="",$B342=""),"",IF($X342&lt;&gt;"",$X342,IF($T342&lt;&gt;"Y","Not assessed",IF(AND(ISNUMBER($V342),Setup!$B$6-$V342&gt;Setup!$B$26),"Assessment outdated",IF(NOT(ISNUMBER($W342)),"Assessed – no score",IF($W342&gt;=Setup!$B$24,"High",IF($W342&gt;=Setup!$B$25,"Moderate","Low")))))))</f>
        <v/>
      </c>
      <c r="AL342" s="21">
        <f>IF(AND($A342="",$B342=""),"",IF(Z342=0,"",IF(AND(AE342=1,N($R342)&gt;AD342*1.01+0.001),"Net terrestrial &gt; gross; ","")&amp;IF(AND(AE342=1,N($S342)&gt;AC342*1.01+0.001),"Net marine &gt; gross; ","")&amp;IF(AE342=0,"No net area – gross used, overlaps may be double-counted; ","")&amp;IF(AH342=0,"STATUS_YR missing – imputed in time series; ","")&amp;IF(AND(ISNUMBER($I342),N($I342)&gt;Setup!$B$6),"STATUS_YR after reporting year; ","")&amp;IF(OR($G342="",$G342="Not Reported"),"GOV_TYPE not reported; ","")&amp;IF(AND(N($J342)=1,$K342="Point",N($M342)&lt;=0),"Coastal point without REP_M_AREA – land/sea split unknown; ","")&amp;IF(AND(N($J342)=0,N($S342)&gt;0),"MARINE=0 but net marine &gt;0; ","")&amp;IF(AND(N($J342)=2,N($R342)&gt;0),"MARINE=2 but net terrestrial &gt;0; ","")&amp;IF($K342="Point","Buffered point – coverage approximate; ","")))</f>
        <v/>
      </c>
    </row>
    <row r="343">
      <c r="A343" s="19" t="n"/>
      <c r="B343" s="19" t="n"/>
      <c r="C343" s="19" t="n"/>
      <c r="D343" s="19" t="n"/>
      <c r="E343" s="19" t="n"/>
      <c r="F343" s="19" t="n"/>
      <c r="G343" s="19" t="n"/>
      <c r="H343" s="19" t="n"/>
      <c r="I343" s="19" t="n"/>
      <c r="J343" s="19" t="n"/>
      <c r="K343" s="19" t="n"/>
      <c r="L343" s="20" t="n"/>
      <c r="M343" s="20" t="n"/>
      <c r="N343" s="20" t="n"/>
      <c r="O343" s="20" t="n"/>
      <c r="P343" s="19" t="n"/>
      <c r="Q343" s="19" t="n"/>
      <c r="R343" s="20" t="n"/>
      <c r="S343" s="20" t="n"/>
      <c r="T343" s="19" t="n"/>
      <c r="U343" s="19" t="n"/>
      <c r="V343" s="19" t="n"/>
      <c r="W343" s="19" t="n"/>
      <c r="X343" s="19" t="n"/>
      <c r="Y343" s="19" t="n"/>
      <c r="Z343" s="21">
        <f>IF(AND($A343="",$B343=""),"",IF(OR($E343="",$H343="",$H343="Proposed",$H343="Not Reported"),0,IF(AND($P343="Y",$Q343&lt;&gt;"Y"),0,IF(AND($K343="Point",N($L343)&lt;=0),0,IF(AND(N($L343)&lt;=0,N($N343)&lt;=0,N($R343)+N($S343)&lt;=0),0,1)))))</f>
        <v/>
      </c>
      <c r="AA343" s="21">
        <f>IF(AND($A343="",$B343=""),"",IF($E343="","Site type missing",IF($H343="","STATUS missing",IF($H343="Proposed","STATUS = Proposed",IF($H343="Not Reported","STATUS = Not Reported",IF(AND($P343="Y",$Q343&lt;&gt;"Y"),"UNESCO-MAB Biosphere Reserve",IF(AND($K343="Point",N($L343)&lt;=0),"Point without REP_AREA",IF(AND(N($L343)&lt;=0,N($N343)&lt;=0,N($R343)+N($S343)&lt;=0),"No area information",""))))))))</f>
        <v/>
      </c>
      <c r="AB343" s="22">
        <f>IF(AND($A343="",$B343=""),"",IF($K343="Point",N($L343),IF(N($N343)&gt;0,N($N343),N($L343))))</f>
        <v/>
      </c>
      <c r="AC343" s="22">
        <f>IF(AND($A343="",$B343=""),"",MIN(AB343,IF(N($J343)=0,0,IF(N($J343)=2,AB343,IF(AND($K343&lt;&gt;"Point",N($O343)&gt;0),N($O343),N($M343))))))</f>
        <v/>
      </c>
      <c r="AD343" s="22">
        <f>IF(AND($A343="",$B343=""),"",MAX(0,AB343-AC343))</f>
        <v/>
      </c>
      <c r="AE343" s="21">
        <f>IF(AND($A343="",$B343=""),"",IF(OR($R343&lt;&gt;"",$S343&lt;&gt;""),1,0))</f>
        <v/>
      </c>
      <c r="AF343" s="22">
        <f>IF(AND($A343="",$B343=""),"",IF(Z343=1,IF(AE343=1,N($R343),AD343),0))</f>
        <v/>
      </c>
      <c r="AG343" s="22">
        <f>IF(AND($A343="",$B343=""),"",IF(Z343=1,IF(AE343=1,N($S343),AC343),0))</f>
        <v/>
      </c>
      <c r="AH343" s="21">
        <f>IF(AND($A343="",$B343=""),"",IF(AND(ISNUMBER($I343),N($I343)&gt;0),$I343,0))</f>
        <v/>
      </c>
      <c r="AI343" s="23">
        <f>IF(AND(NOT(AND($A343="",$B343="")),$K343="Point",N($L343)&gt;0),SQRT(N($L343)/PI()),"")</f>
        <v/>
      </c>
      <c r="AJ343" s="21">
        <f>IF(AND($A343="",$B343=""),"",IFERROR(VLOOKUP($G343,Lists!$D$4:$E$15,2,FALSE),"Not reported"))</f>
        <v/>
      </c>
      <c r="AK343" s="21">
        <f>IF(AND($A343="",$B343=""),"",IF($X343&lt;&gt;"",$X343,IF($T343&lt;&gt;"Y","Not assessed",IF(AND(ISNUMBER($V343),Setup!$B$6-$V343&gt;Setup!$B$26),"Assessment outdated",IF(NOT(ISNUMBER($W343)),"Assessed – no score",IF($W343&gt;=Setup!$B$24,"High",IF($W343&gt;=Setup!$B$25,"Moderate","Low")))))))</f>
        <v/>
      </c>
      <c r="AL343" s="21">
        <f>IF(AND($A343="",$B343=""),"",IF(Z343=0,"",IF(AND(AE343=1,N($R343)&gt;AD343*1.01+0.001),"Net terrestrial &gt; gross; ","")&amp;IF(AND(AE343=1,N($S343)&gt;AC343*1.01+0.001),"Net marine &gt; gross; ","")&amp;IF(AE343=0,"No net area – gross used, overlaps may be double-counted; ","")&amp;IF(AH343=0,"STATUS_YR missing – imputed in time series; ","")&amp;IF(AND(ISNUMBER($I343),N($I343)&gt;Setup!$B$6),"STATUS_YR after reporting year; ","")&amp;IF(OR($G343="",$G343="Not Reported"),"GOV_TYPE not reported; ","")&amp;IF(AND(N($J343)=1,$K343="Point",N($M343)&lt;=0),"Coastal point without REP_M_AREA – land/sea split unknown; ","")&amp;IF(AND(N($J343)=0,N($S343)&gt;0),"MARINE=0 but net marine &gt;0; ","")&amp;IF(AND(N($J343)=2,N($R343)&gt;0),"MARINE=2 but net terrestrial &gt;0; ","")&amp;IF($K343="Point","Buffered point – coverage approximate; ","")))</f>
        <v/>
      </c>
    </row>
    <row r="344">
      <c r="A344" s="19" t="n"/>
      <c r="B344" s="19" t="n"/>
      <c r="C344" s="19" t="n"/>
      <c r="D344" s="19" t="n"/>
      <c r="E344" s="19" t="n"/>
      <c r="F344" s="19" t="n"/>
      <c r="G344" s="19" t="n"/>
      <c r="H344" s="19" t="n"/>
      <c r="I344" s="19" t="n"/>
      <c r="J344" s="19" t="n"/>
      <c r="K344" s="19" t="n"/>
      <c r="L344" s="20" t="n"/>
      <c r="M344" s="20" t="n"/>
      <c r="N344" s="20" t="n"/>
      <c r="O344" s="20" t="n"/>
      <c r="P344" s="19" t="n"/>
      <c r="Q344" s="19" t="n"/>
      <c r="R344" s="20" t="n"/>
      <c r="S344" s="20" t="n"/>
      <c r="T344" s="19" t="n"/>
      <c r="U344" s="19" t="n"/>
      <c r="V344" s="19" t="n"/>
      <c r="W344" s="19" t="n"/>
      <c r="X344" s="19" t="n"/>
      <c r="Y344" s="19" t="n"/>
      <c r="Z344" s="21">
        <f>IF(AND($A344="",$B344=""),"",IF(OR($E344="",$H344="",$H344="Proposed",$H344="Not Reported"),0,IF(AND($P344="Y",$Q344&lt;&gt;"Y"),0,IF(AND($K344="Point",N($L344)&lt;=0),0,IF(AND(N($L344)&lt;=0,N($N344)&lt;=0,N($R344)+N($S344)&lt;=0),0,1)))))</f>
        <v/>
      </c>
      <c r="AA344" s="21">
        <f>IF(AND($A344="",$B344=""),"",IF($E344="","Site type missing",IF($H344="","STATUS missing",IF($H344="Proposed","STATUS = Proposed",IF($H344="Not Reported","STATUS = Not Reported",IF(AND($P344="Y",$Q344&lt;&gt;"Y"),"UNESCO-MAB Biosphere Reserve",IF(AND($K344="Point",N($L344)&lt;=0),"Point without REP_AREA",IF(AND(N($L344)&lt;=0,N($N344)&lt;=0,N($R344)+N($S344)&lt;=0),"No area information",""))))))))</f>
        <v/>
      </c>
      <c r="AB344" s="22">
        <f>IF(AND($A344="",$B344=""),"",IF($K344="Point",N($L344),IF(N($N344)&gt;0,N($N344),N($L344))))</f>
        <v/>
      </c>
      <c r="AC344" s="22">
        <f>IF(AND($A344="",$B344=""),"",MIN(AB344,IF(N($J344)=0,0,IF(N($J344)=2,AB344,IF(AND($K344&lt;&gt;"Point",N($O344)&gt;0),N($O344),N($M344))))))</f>
        <v/>
      </c>
      <c r="AD344" s="22">
        <f>IF(AND($A344="",$B344=""),"",MAX(0,AB344-AC344))</f>
        <v/>
      </c>
      <c r="AE344" s="21">
        <f>IF(AND($A344="",$B344=""),"",IF(OR($R344&lt;&gt;"",$S344&lt;&gt;""),1,0))</f>
        <v/>
      </c>
      <c r="AF344" s="22">
        <f>IF(AND($A344="",$B344=""),"",IF(Z344=1,IF(AE344=1,N($R344),AD344),0))</f>
        <v/>
      </c>
      <c r="AG344" s="22">
        <f>IF(AND($A344="",$B344=""),"",IF(Z344=1,IF(AE344=1,N($S344),AC344),0))</f>
        <v/>
      </c>
      <c r="AH344" s="21">
        <f>IF(AND($A344="",$B344=""),"",IF(AND(ISNUMBER($I344),N($I344)&gt;0),$I344,0))</f>
        <v/>
      </c>
      <c r="AI344" s="23">
        <f>IF(AND(NOT(AND($A344="",$B344="")),$K344="Point",N($L344)&gt;0),SQRT(N($L344)/PI()),"")</f>
        <v/>
      </c>
      <c r="AJ344" s="21">
        <f>IF(AND($A344="",$B344=""),"",IFERROR(VLOOKUP($G344,Lists!$D$4:$E$15,2,FALSE),"Not reported"))</f>
        <v/>
      </c>
      <c r="AK344" s="21">
        <f>IF(AND($A344="",$B344=""),"",IF($X344&lt;&gt;"",$X344,IF($T344&lt;&gt;"Y","Not assessed",IF(AND(ISNUMBER($V344),Setup!$B$6-$V344&gt;Setup!$B$26),"Assessment outdated",IF(NOT(ISNUMBER($W344)),"Assessed – no score",IF($W344&gt;=Setup!$B$24,"High",IF($W344&gt;=Setup!$B$25,"Moderate","Low")))))))</f>
        <v/>
      </c>
      <c r="AL344" s="21">
        <f>IF(AND($A344="",$B344=""),"",IF(Z344=0,"",IF(AND(AE344=1,N($R344)&gt;AD344*1.01+0.001),"Net terrestrial &gt; gross; ","")&amp;IF(AND(AE344=1,N($S344)&gt;AC344*1.01+0.001),"Net marine &gt; gross; ","")&amp;IF(AE344=0,"No net area – gross used, overlaps may be double-counted; ","")&amp;IF(AH344=0,"STATUS_YR missing – imputed in time series; ","")&amp;IF(AND(ISNUMBER($I344),N($I344)&gt;Setup!$B$6),"STATUS_YR after reporting year; ","")&amp;IF(OR($G344="",$G344="Not Reported"),"GOV_TYPE not reported; ","")&amp;IF(AND(N($J344)=1,$K344="Point",N($M344)&lt;=0),"Coastal point without REP_M_AREA – land/sea split unknown; ","")&amp;IF(AND(N($J344)=0,N($S344)&gt;0),"MARINE=0 but net marine &gt;0; ","")&amp;IF(AND(N($J344)=2,N($R344)&gt;0),"MARINE=2 but net terrestrial &gt;0; ","")&amp;IF($K344="Point","Buffered point – coverage approximate; ","")))</f>
        <v/>
      </c>
    </row>
    <row r="345">
      <c r="A345" s="19" t="n"/>
      <c r="B345" s="19" t="n"/>
      <c r="C345" s="19" t="n"/>
      <c r="D345" s="19" t="n"/>
      <c r="E345" s="19" t="n"/>
      <c r="F345" s="19" t="n"/>
      <c r="G345" s="19" t="n"/>
      <c r="H345" s="19" t="n"/>
      <c r="I345" s="19" t="n"/>
      <c r="J345" s="19" t="n"/>
      <c r="K345" s="19" t="n"/>
      <c r="L345" s="20" t="n"/>
      <c r="M345" s="20" t="n"/>
      <c r="N345" s="20" t="n"/>
      <c r="O345" s="20" t="n"/>
      <c r="P345" s="19" t="n"/>
      <c r="Q345" s="19" t="n"/>
      <c r="R345" s="20" t="n"/>
      <c r="S345" s="20" t="n"/>
      <c r="T345" s="19" t="n"/>
      <c r="U345" s="19" t="n"/>
      <c r="V345" s="19" t="n"/>
      <c r="W345" s="19" t="n"/>
      <c r="X345" s="19" t="n"/>
      <c r="Y345" s="19" t="n"/>
      <c r="Z345" s="21">
        <f>IF(AND($A345="",$B345=""),"",IF(OR($E345="",$H345="",$H345="Proposed",$H345="Not Reported"),0,IF(AND($P345="Y",$Q345&lt;&gt;"Y"),0,IF(AND($K345="Point",N($L345)&lt;=0),0,IF(AND(N($L345)&lt;=0,N($N345)&lt;=0,N($R345)+N($S345)&lt;=0),0,1)))))</f>
        <v/>
      </c>
      <c r="AA345" s="21">
        <f>IF(AND($A345="",$B345=""),"",IF($E345="","Site type missing",IF($H345="","STATUS missing",IF($H345="Proposed","STATUS = Proposed",IF($H345="Not Reported","STATUS = Not Reported",IF(AND($P345="Y",$Q345&lt;&gt;"Y"),"UNESCO-MAB Biosphere Reserve",IF(AND($K345="Point",N($L345)&lt;=0),"Point without REP_AREA",IF(AND(N($L345)&lt;=0,N($N345)&lt;=0,N($R345)+N($S345)&lt;=0),"No area information",""))))))))</f>
        <v/>
      </c>
      <c r="AB345" s="22">
        <f>IF(AND($A345="",$B345=""),"",IF($K345="Point",N($L345),IF(N($N345)&gt;0,N($N345),N($L345))))</f>
        <v/>
      </c>
      <c r="AC345" s="22">
        <f>IF(AND($A345="",$B345=""),"",MIN(AB345,IF(N($J345)=0,0,IF(N($J345)=2,AB345,IF(AND($K345&lt;&gt;"Point",N($O345)&gt;0),N($O345),N($M345))))))</f>
        <v/>
      </c>
      <c r="AD345" s="22">
        <f>IF(AND($A345="",$B345=""),"",MAX(0,AB345-AC345))</f>
        <v/>
      </c>
      <c r="AE345" s="21">
        <f>IF(AND($A345="",$B345=""),"",IF(OR($R345&lt;&gt;"",$S345&lt;&gt;""),1,0))</f>
        <v/>
      </c>
      <c r="AF345" s="22">
        <f>IF(AND($A345="",$B345=""),"",IF(Z345=1,IF(AE345=1,N($R345),AD345),0))</f>
        <v/>
      </c>
      <c r="AG345" s="22">
        <f>IF(AND($A345="",$B345=""),"",IF(Z345=1,IF(AE345=1,N($S345),AC345),0))</f>
        <v/>
      </c>
      <c r="AH345" s="21">
        <f>IF(AND($A345="",$B345=""),"",IF(AND(ISNUMBER($I345),N($I345)&gt;0),$I345,0))</f>
        <v/>
      </c>
      <c r="AI345" s="23">
        <f>IF(AND(NOT(AND($A345="",$B345="")),$K345="Point",N($L345)&gt;0),SQRT(N($L345)/PI()),"")</f>
        <v/>
      </c>
      <c r="AJ345" s="21">
        <f>IF(AND($A345="",$B345=""),"",IFERROR(VLOOKUP($G345,Lists!$D$4:$E$15,2,FALSE),"Not reported"))</f>
        <v/>
      </c>
      <c r="AK345" s="21">
        <f>IF(AND($A345="",$B345=""),"",IF($X345&lt;&gt;"",$X345,IF($T345&lt;&gt;"Y","Not assessed",IF(AND(ISNUMBER($V345),Setup!$B$6-$V345&gt;Setup!$B$26),"Assessment outdated",IF(NOT(ISNUMBER($W345)),"Assessed – no score",IF($W345&gt;=Setup!$B$24,"High",IF($W345&gt;=Setup!$B$25,"Moderate","Low")))))))</f>
        <v/>
      </c>
      <c r="AL345" s="21">
        <f>IF(AND($A345="",$B345=""),"",IF(Z345=0,"",IF(AND(AE345=1,N($R345)&gt;AD345*1.01+0.001),"Net terrestrial &gt; gross; ","")&amp;IF(AND(AE345=1,N($S345)&gt;AC345*1.01+0.001),"Net marine &gt; gross; ","")&amp;IF(AE345=0,"No net area – gross used, overlaps may be double-counted; ","")&amp;IF(AH345=0,"STATUS_YR missing – imputed in time series; ","")&amp;IF(AND(ISNUMBER($I345),N($I345)&gt;Setup!$B$6),"STATUS_YR after reporting year; ","")&amp;IF(OR($G345="",$G345="Not Reported"),"GOV_TYPE not reported; ","")&amp;IF(AND(N($J345)=1,$K345="Point",N($M345)&lt;=0),"Coastal point without REP_M_AREA – land/sea split unknown; ","")&amp;IF(AND(N($J345)=0,N($S345)&gt;0),"MARINE=0 but net marine &gt;0; ","")&amp;IF(AND(N($J345)=2,N($R345)&gt;0),"MARINE=2 but net terrestrial &gt;0; ","")&amp;IF($K345="Point","Buffered point – coverage approximate; ","")))</f>
        <v/>
      </c>
    </row>
    <row r="346">
      <c r="A346" s="19" t="n"/>
      <c r="B346" s="19" t="n"/>
      <c r="C346" s="19" t="n"/>
      <c r="D346" s="19" t="n"/>
      <c r="E346" s="19" t="n"/>
      <c r="F346" s="19" t="n"/>
      <c r="G346" s="19" t="n"/>
      <c r="H346" s="19" t="n"/>
      <c r="I346" s="19" t="n"/>
      <c r="J346" s="19" t="n"/>
      <c r="K346" s="19" t="n"/>
      <c r="L346" s="20" t="n"/>
      <c r="M346" s="20" t="n"/>
      <c r="N346" s="20" t="n"/>
      <c r="O346" s="20" t="n"/>
      <c r="P346" s="19" t="n"/>
      <c r="Q346" s="19" t="n"/>
      <c r="R346" s="20" t="n"/>
      <c r="S346" s="20" t="n"/>
      <c r="T346" s="19" t="n"/>
      <c r="U346" s="19" t="n"/>
      <c r="V346" s="19" t="n"/>
      <c r="W346" s="19" t="n"/>
      <c r="X346" s="19" t="n"/>
      <c r="Y346" s="19" t="n"/>
      <c r="Z346" s="21">
        <f>IF(AND($A346="",$B346=""),"",IF(OR($E346="",$H346="",$H346="Proposed",$H346="Not Reported"),0,IF(AND($P346="Y",$Q346&lt;&gt;"Y"),0,IF(AND($K346="Point",N($L346)&lt;=0),0,IF(AND(N($L346)&lt;=0,N($N346)&lt;=0,N($R346)+N($S346)&lt;=0),0,1)))))</f>
        <v/>
      </c>
      <c r="AA346" s="21">
        <f>IF(AND($A346="",$B346=""),"",IF($E346="","Site type missing",IF($H346="","STATUS missing",IF($H346="Proposed","STATUS = Proposed",IF($H346="Not Reported","STATUS = Not Reported",IF(AND($P346="Y",$Q346&lt;&gt;"Y"),"UNESCO-MAB Biosphere Reserve",IF(AND($K346="Point",N($L346)&lt;=0),"Point without REP_AREA",IF(AND(N($L346)&lt;=0,N($N346)&lt;=0,N($R346)+N($S346)&lt;=0),"No area information",""))))))))</f>
        <v/>
      </c>
      <c r="AB346" s="22">
        <f>IF(AND($A346="",$B346=""),"",IF($K346="Point",N($L346),IF(N($N346)&gt;0,N($N346),N($L346))))</f>
        <v/>
      </c>
      <c r="AC346" s="22">
        <f>IF(AND($A346="",$B346=""),"",MIN(AB346,IF(N($J346)=0,0,IF(N($J346)=2,AB346,IF(AND($K346&lt;&gt;"Point",N($O346)&gt;0),N($O346),N($M346))))))</f>
        <v/>
      </c>
      <c r="AD346" s="22">
        <f>IF(AND($A346="",$B346=""),"",MAX(0,AB346-AC346))</f>
        <v/>
      </c>
      <c r="AE346" s="21">
        <f>IF(AND($A346="",$B346=""),"",IF(OR($R346&lt;&gt;"",$S346&lt;&gt;""),1,0))</f>
        <v/>
      </c>
      <c r="AF346" s="22">
        <f>IF(AND($A346="",$B346=""),"",IF(Z346=1,IF(AE346=1,N($R346),AD346),0))</f>
        <v/>
      </c>
      <c r="AG346" s="22">
        <f>IF(AND($A346="",$B346=""),"",IF(Z346=1,IF(AE346=1,N($S346),AC346),0))</f>
        <v/>
      </c>
      <c r="AH346" s="21">
        <f>IF(AND($A346="",$B346=""),"",IF(AND(ISNUMBER($I346),N($I346)&gt;0),$I346,0))</f>
        <v/>
      </c>
      <c r="AI346" s="23">
        <f>IF(AND(NOT(AND($A346="",$B346="")),$K346="Point",N($L346)&gt;0),SQRT(N($L346)/PI()),"")</f>
        <v/>
      </c>
      <c r="AJ346" s="21">
        <f>IF(AND($A346="",$B346=""),"",IFERROR(VLOOKUP($G346,Lists!$D$4:$E$15,2,FALSE),"Not reported"))</f>
        <v/>
      </c>
      <c r="AK346" s="21">
        <f>IF(AND($A346="",$B346=""),"",IF($X346&lt;&gt;"",$X346,IF($T346&lt;&gt;"Y","Not assessed",IF(AND(ISNUMBER($V346),Setup!$B$6-$V346&gt;Setup!$B$26),"Assessment outdated",IF(NOT(ISNUMBER($W346)),"Assessed – no score",IF($W346&gt;=Setup!$B$24,"High",IF($W346&gt;=Setup!$B$25,"Moderate","Low")))))))</f>
        <v/>
      </c>
      <c r="AL346" s="21">
        <f>IF(AND($A346="",$B346=""),"",IF(Z346=0,"",IF(AND(AE346=1,N($R346)&gt;AD346*1.01+0.001),"Net terrestrial &gt; gross; ","")&amp;IF(AND(AE346=1,N($S346)&gt;AC346*1.01+0.001),"Net marine &gt; gross; ","")&amp;IF(AE346=0,"No net area – gross used, overlaps may be double-counted; ","")&amp;IF(AH346=0,"STATUS_YR missing – imputed in time series; ","")&amp;IF(AND(ISNUMBER($I346),N($I346)&gt;Setup!$B$6),"STATUS_YR after reporting year; ","")&amp;IF(OR($G346="",$G346="Not Reported"),"GOV_TYPE not reported; ","")&amp;IF(AND(N($J346)=1,$K346="Point",N($M346)&lt;=0),"Coastal point without REP_M_AREA – land/sea split unknown; ","")&amp;IF(AND(N($J346)=0,N($S346)&gt;0),"MARINE=0 but net marine &gt;0; ","")&amp;IF(AND(N($J346)=2,N($R346)&gt;0),"MARINE=2 but net terrestrial &gt;0; ","")&amp;IF($K346="Point","Buffered point – coverage approximate; ","")))</f>
        <v/>
      </c>
    </row>
    <row r="347">
      <c r="A347" s="19" t="n"/>
      <c r="B347" s="19" t="n"/>
      <c r="C347" s="19" t="n"/>
      <c r="D347" s="19" t="n"/>
      <c r="E347" s="19" t="n"/>
      <c r="F347" s="19" t="n"/>
      <c r="G347" s="19" t="n"/>
      <c r="H347" s="19" t="n"/>
      <c r="I347" s="19" t="n"/>
      <c r="J347" s="19" t="n"/>
      <c r="K347" s="19" t="n"/>
      <c r="L347" s="20" t="n"/>
      <c r="M347" s="20" t="n"/>
      <c r="N347" s="20" t="n"/>
      <c r="O347" s="20" t="n"/>
      <c r="P347" s="19" t="n"/>
      <c r="Q347" s="19" t="n"/>
      <c r="R347" s="20" t="n"/>
      <c r="S347" s="20" t="n"/>
      <c r="T347" s="19" t="n"/>
      <c r="U347" s="19" t="n"/>
      <c r="V347" s="19" t="n"/>
      <c r="W347" s="19" t="n"/>
      <c r="X347" s="19" t="n"/>
      <c r="Y347" s="19" t="n"/>
      <c r="Z347" s="21">
        <f>IF(AND($A347="",$B347=""),"",IF(OR($E347="",$H347="",$H347="Proposed",$H347="Not Reported"),0,IF(AND($P347="Y",$Q347&lt;&gt;"Y"),0,IF(AND($K347="Point",N($L347)&lt;=0),0,IF(AND(N($L347)&lt;=0,N($N347)&lt;=0,N($R347)+N($S347)&lt;=0),0,1)))))</f>
        <v/>
      </c>
      <c r="AA347" s="21">
        <f>IF(AND($A347="",$B347=""),"",IF($E347="","Site type missing",IF($H347="","STATUS missing",IF($H347="Proposed","STATUS = Proposed",IF($H347="Not Reported","STATUS = Not Reported",IF(AND($P347="Y",$Q347&lt;&gt;"Y"),"UNESCO-MAB Biosphere Reserve",IF(AND($K347="Point",N($L347)&lt;=0),"Point without REP_AREA",IF(AND(N($L347)&lt;=0,N($N347)&lt;=0,N($R347)+N($S347)&lt;=0),"No area information",""))))))))</f>
        <v/>
      </c>
      <c r="AB347" s="22">
        <f>IF(AND($A347="",$B347=""),"",IF($K347="Point",N($L347),IF(N($N347)&gt;0,N($N347),N($L347))))</f>
        <v/>
      </c>
      <c r="AC347" s="22">
        <f>IF(AND($A347="",$B347=""),"",MIN(AB347,IF(N($J347)=0,0,IF(N($J347)=2,AB347,IF(AND($K347&lt;&gt;"Point",N($O347)&gt;0),N($O347),N($M347))))))</f>
        <v/>
      </c>
      <c r="AD347" s="22">
        <f>IF(AND($A347="",$B347=""),"",MAX(0,AB347-AC347))</f>
        <v/>
      </c>
      <c r="AE347" s="21">
        <f>IF(AND($A347="",$B347=""),"",IF(OR($R347&lt;&gt;"",$S347&lt;&gt;""),1,0))</f>
        <v/>
      </c>
      <c r="AF347" s="22">
        <f>IF(AND($A347="",$B347=""),"",IF(Z347=1,IF(AE347=1,N($R347),AD347),0))</f>
        <v/>
      </c>
      <c r="AG347" s="22">
        <f>IF(AND($A347="",$B347=""),"",IF(Z347=1,IF(AE347=1,N($S347),AC347),0))</f>
        <v/>
      </c>
      <c r="AH347" s="21">
        <f>IF(AND($A347="",$B347=""),"",IF(AND(ISNUMBER($I347),N($I347)&gt;0),$I347,0))</f>
        <v/>
      </c>
      <c r="AI347" s="23">
        <f>IF(AND(NOT(AND($A347="",$B347="")),$K347="Point",N($L347)&gt;0),SQRT(N($L347)/PI()),"")</f>
        <v/>
      </c>
      <c r="AJ347" s="21">
        <f>IF(AND($A347="",$B347=""),"",IFERROR(VLOOKUP($G347,Lists!$D$4:$E$15,2,FALSE),"Not reported"))</f>
        <v/>
      </c>
      <c r="AK347" s="21">
        <f>IF(AND($A347="",$B347=""),"",IF($X347&lt;&gt;"",$X347,IF($T347&lt;&gt;"Y","Not assessed",IF(AND(ISNUMBER($V347),Setup!$B$6-$V347&gt;Setup!$B$26),"Assessment outdated",IF(NOT(ISNUMBER($W347)),"Assessed – no score",IF($W347&gt;=Setup!$B$24,"High",IF($W347&gt;=Setup!$B$25,"Moderate","Low")))))))</f>
        <v/>
      </c>
      <c r="AL347" s="21">
        <f>IF(AND($A347="",$B347=""),"",IF(Z347=0,"",IF(AND(AE347=1,N($R347)&gt;AD347*1.01+0.001),"Net terrestrial &gt; gross; ","")&amp;IF(AND(AE347=1,N($S347)&gt;AC347*1.01+0.001),"Net marine &gt; gross; ","")&amp;IF(AE347=0,"No net area – gross used, overlaps may be double-counted; ","")&amp;IF(AH347=0,"STATUS_YR missing – imputed in time series; ","")&amp;IF(AND(ISNUMBER($I347),N($I347)&gt;Setup!$B$6),"STATUS_YR after reporting year; ","")&amp;IF(OR($G347="",$G347="Not Reported"),"GOV_TYPE not reported; ","")&amp;IF(AND(N($J347)=1,$K347="Point",N($M347)&lt;=0),"Coastal point without REP_M_AREA – land/sea split unknown; ","")&amp;IF(AND(N($J347)=0,N($S347)&gt;0),"MARINE=0 but net marine &gt;0; ","")&amp;IF(AND(N($J347)=2,N($R347)&gt;0),"MARINE=2 but net terrestrial &gt;0; ","")&amp;IF($K347="Point","Buffered point – coverage approximate; ","")))</f>
        <v/>
      </c>
    </row>
    <row r="348">
      <c r="A348" s="19" t="n"/>
      <c r="B348" s="19" t="n"/>
      <c r="C348" s="19" t="n"/>
      <c r="D348" s="19" t="n"/>
      <c r="E348" s="19" t="n"/>
      <c r="F348" s="19" t="n"/>
      <c r="G348" s="19" t="n"/>
      <c r="H348" s="19" t="n"/>
      <c r="I348" s="19" t="n"/>
      <c r="J348" s="19" t="n"/>
      <c r="K348" s="19" t="n"/>
      <c r="L348" s="20" t="n"/>
      <c r="M348" s="20" t="n"/>
      <c r="N348" s="20" t="n"/>
      <c r="O348" s="20" t="n"/>
      <c r="P348" s="19" t="n"/>
      <c r="Q348" s="19" t="n"/>
      <c r="R348" s="20" t="n"/>
      <c r="S348" s="20" t="n"/>
      <c r="T348" s="19" t="n"/>
      <c r="U348" s="19" t="n"/>
      <c r="V348" s="19" t="n"/>
      <c r="W348" s="19" t="n"/>
      <c r="X348" s="19" t="n"/>
      <c r="Y348" s="19" t="n"/>
      <c r="Z348" s="21">
        <f>IF(AND($A348="",$B348=""),"",IF(OR($E348="",$H348="",$H348="Proposed",$H348="Not Reported"),0,IF(AND($P348="Y",$Q348&lt;&gt;"Y"),0,IF(AND($K348="Point",N($L348)&lt;=0),0,IF(AND(N($L348)&lt;=0,N($N348)&lt;=0,N($R348)+N($S348)&lt;=0),0,1)))))</f>
        <v/>
      </c>
      <c r="AA348" s="21">
        <f>IF(AND($A348="",$B348=""),"",IF($E348="","Site type missing",IF($H348="","STATUS missing",IF($H348="Proposed","STATUS = Proposed",IF($H348="Not Reported","STATUS = Not Reported",IF(AND($P348="Y",$Q348&lt;&gt;"Y"),"UNESCO-MAB Biosphere Reserve",IF(AND($K348="Point",N($L348)&lt;=0),"Point without REP_AREA",IF(AND(N($L348)&lt;=0,N($N348)&lt;=0,N($R348)+N($S348)&lt;=0),"No area information",""))))))))</f>
        <v/>
      </c>
      <c r="AB348" s="22">
        <f>IF(AND($A348="",$B348=""),"",IF($K348="Point",N($L348),IF(N($N348)&gt;0,N($N348),N($L348))))</f>
        <v/>
      </c>
      <c r="AC348" s="22">
        <f>IF(AND($A348="",$B348=""),"",MIN(AB348,IF(N($J348)=0,0,IF(N($J348)=2,AB348,IF(AND($K348&lt;&gt;"Point",N($O348)&gt;0),N($O348),N($M348))))))</f>
        <v/>
      </c>
      <c r="AD348" s="22">
        <f>IF(AND($A348="",$B348=""),"",MAX(0,AB348-AC348))</f>
        <v/>
      </c>
      <c r="AE348" s="21">
        <f>IF(AND($A348="",$B348=""),"",IF(OR($R348&lt;&gt;"",$S348&lt;&gt;""),1,0))</f>
        <v/>
      </c>
      <c r="AF348" s="22">
        <f>IF(AND($A348="",$B348=""),"",IF(Z348=1,IF(AE348=1,N($R348),AD348),0))</f>
        <v/>
      </c>
      <c r="AG348" s="22">
        <f>IF(AND($A348="",$B348=""),"",IF(Z348=1,IF(AE348=1,N($S348),AC348),0))</f>
        <v/>
      </c>
      <c r="AH348" s="21">
        <f>IF(AND($A348="",$B348=""),"",IF(AND(ISNUMBER($I348),N($I348)&gt;0),$I348,0))</f>
        <v/>
      </c>
      <c r="AI348" s="23">
        <f>IF(AND(NOT(AND($A348="",$B348="")),$K348="Point",N($L348)&gt;0),SQRT(N($L348)/PI()),"")</f>
        <v/>
      </c>
      <c r="AJ348" s="21">
        <f>IF(AND($A348="",$B348=""),"",IFERROR(VLOOKUP($G348,Lists!$D$4:$E$15,2,FALSE),"Not reported"))</f>
        <v/>
      </c>
      <c r="AK348" s="21">
        <f>IF(AND($A348="",$B348=""),"",IF($X348&lt;&gt;"",$X348,IF($T348&lt;&gt;"Y","Not assessed",IF(AND(ISNUMBER($V348),Setup!$B$6-$V348&gt;Setup!$B$26),"Assessment outdated",IF(NOT(ISNUMBER($W348)),"Assessed – no score",IF($W348&gt;=Setup!$B$24,"High",IF($W348&gt;=Setup!$B$25,"Moderate","Low")))))))</f>
        <v/>
      </c>
      <c r="AL348" s="21">
        <f>IF(AND($A348="",$B348=""),"",IF(Z348=0,"",IF(AND(AE348=1,N($R348)&gt;AD348*1.01+0.001),"Net terrestrial &gt; gross; ","")&amp;IF(AND(AE348=1,N($S348)&gt;AC348*1.01+0.001),"Net marine &gt; gross; ","")&amp;IF(AE348=0,"No net area – gross used, overlaps may be double-counted; ","")&amp;IF(AH348=0,"STATUS_YR missing – imputed in time series; ","")&amp;IF(AND(ISNUMBER($I348),N($I348)&gt;Setup!$B$6),"STATUS_YR after reporting year; ","")&amp;IF(OR($G348="",$G348="Not Reported"),"GOV_TYPE not reported; ","")&amp;IF(AND(N($J348)=1,$K348="Point",N($M348)&lt;=0),"Coastal point without REP_M_AREA – land/sea split unknown; ","")&amp;IF(AND(N($J348)=0,N($S348)&gt;0),"MARINE=0 but net marine &gt;0; ","")&amp;IF(AND(N($J348)=2,N($R348)&gt;0),"MARINE=2 but net terrestrial &gt;0; ","")&amp;IF($K348="Point","Buffered point – coverage approximate; ","")))</f>
        <v/>
      </c>
    </row>
    <row r="349">
      <c r="A349" s="19" t="n"/>
      <c r="B349" s="19" t="n"/>
      <c r="C349" s="19" t="n"/>
      <c r="D349" s="19" t="n"/>
      <c r="E349" s="19" t="n"/>
      <c r="F349" s="19" t="n"/>
      <c r="G349" s="19" t="n"/>
      <c r="H349" s="19" t="n"/>
      <c r="I349" s="19" t="n"/>
      <c r="J349" s="19" t="n"/>
      <c r="K349" s="19" t="n"/>
      <c r="L349" s="20" t="n"/>
      <c r="M349" s="20" t="n"/>
      <c r="N349" s="20" t="n"/>
      <c r="O349" s="20" t="n"/>
      <c r="P349" s="19" t="n"/>
      <c r="Q349" s="19" t="n"/>
      <c r="R349" s="20" t="n"/>
      <c r="S349" s="20" t="n"/>
      <c r="T349" s="19" t="n"/>
      <c r="U349" s="19" t="n"/>
      <c r="V349" s="19" t="n"/>
      <c r="W349" s="19" t="n"/>
      <c r="X349" s="19" t="n"/>
      <c r="Y349" s="19" t="n"/>
      <c r="Z349" s="21">
        <f>IF(AND($A349="",$B349=""),"",IF(OR($E349="",$H349="",$H349="Proposed",$H349="Not Reported"),0,IF(AND($P349="Y",$Q349&lt;&gt;"Y"),0,IF(AND($K349="Point",N($L349)&lt;=0),0,IF(AND(N($L349)&lt;=0,N($N349)&lt;=0,N($R349)+N($S349)&lt;=0),0,1)))))</f>
        <v/>
      </c>
      <c r="AA349" s="21">
        <f>IF(AND($A349="",$B349=""),"",IF($E349="","Site type missing",IF($H349="","STATUS missing",IF($H349="Proposed","STATUS = Proposed",IF($H349="Not Reported","STATUS = Not Reported",IF(AND($P349="Y",$Q349&lt;&gt;"Y"),"UNESCO-MAB Biosphere Reserve",IF(AND($K349="Point",N($L349)&lt;=0),"Point without REP_AREA",IF(AND(N($L349)&lt;=0,N($N349)&lt;=0,N($R349)+N($S349)&lt;=0),"No area information",""))))))))</f>
        <v/>
      </c>
      <c r="AB349" s="22">
        <f>IF(AND($A349="",$B349=""),"",IF($K349="Point",N($L349),IF(N($N349)&gt;0,N($N349),N($L349))))</f>
        <v/>
      </c>
      <c r="AC349" s="22">
        <f>IF(AND($A349="",$B349=""),"",MIN(AB349,IF(N($J349)=0,0,IF(N($J349)=2,AB349,IF(AND($K349&lt;&gt;"Point",N($O349)&gt;0),N($O349),N($M349))))))</f>
        <v/>
      </c>
      <c r="AD349" s="22">
        <f>IF(AND($A349="",$B349=""),"",MAX(0,AB349-AC349))</f>
        <v/>
      </c>
      <c r="AE349" s="21">
        <f>IF(AND($A349="",$B349=""),"",IF(OR($R349&lt;&gt;"",$S349&lt;&gt;""),1,0))</f>
        <v/>
      </c>
      <c r="AF349" s="22">
        <f>IF(AND($A349="",$B349=""),"",IF(Z349=1,IF(AE349=1,N($R349),AD349),0))</f>
        <v/>
      </c>
      <c r="AG349" s="22">
        <f>IF(AND($A349="",$B349=""),"",IF(Z349=1,IF(AE349=1,N($S349),AC349),0))</f>
        <v/>
      </c>
      <c r="AH349" s="21">
        <f>IF(AND($A349="",$B349=""),"",IF(AND(ISNUMBER($I349),N($I349)&gt;0),$I349,0))</f>
        <v/>
      </c>
      <c r="AI349" s="23">
        <f>IF(AND(NOT(AND($A349="",$B349="")),$K349="Point",N($L349)&gt;0),SQRT(N($L349)/PI()),"")</f>
        <v/>
      </c>
      <c r="AJ349" s="21">
        <f>IF(AND($A349="",$B349=""),"",IFERROR(VLOOKUP($G349,Lists!$D$4:$E$15,2,FALSE),"Not reported"))</f>
        <v/>
      </c>
      <c r="AK349" s="21">
        <f>IF(AND($A349="",$B349=""),"",IF($X349&lt;&gt;"",$X349,IF($T349&lt;&gt;"Y","Not assessed",IF(AND(ISNUMBER($V349),Setup!$B$6-$V349&gt;Setup!$B$26),"Assessment outdated",IF(NOT(ISNUMBER($W349)),"Assessed – no score",IF($W349&gt;=Setup!$B$24,"High",IF($W349&gt;=Setup!$B$25,"Moderate","Low")))))))</f>
        <v/>
      </c>
      <c r="AL349" s="21">
        <f>IF(AND($A349="",$B349=""),"",IF(Z349=0,"",IF(AND(AE349=1,N($R349)&gt;AD349*1.01+0.001),"Net terrestrial &gt; gross; ","")&amp;IF(AND(AE349=1,N($S349)&gt;AC349*1.01+0.001),"Net marine &gt; gross; ","")&amp;IF(AE349=0,"No net area – gross used, overlaps may be double-counted; ","")&amp;IF(AH349=0,"STATUS_YR missing – imputed in time series; ","")&amp;IF(AND(ISNUMBER($I349),N($I349)&gt;Setup!$B$6),"STATUS_YR after reporting year; ","")&amp;IF(OR($G349="",$G349="Not Reported"),"GOV_TYPE not reported; ","")&amp;IF(AND(N($J349)=1,$K349="Point",N($M349)&lt;=0),"Coastal point without REP_M_AREA – land/sea split unknown; ","")&amp;IF(AND(N($J349)=0,N($S349)&gt;0),"MARINE=0 but net marine &gt;0; ","")&amp;IF(AND(N($J349)=2,N($R349)&gt;0),"MARINE=2 but net terrestrial &gt;0; ","")&amp;IF($K349="Point","Buffered point – coverage approximate; ","")))</f>
        <v/>
      </c>
    </row>
    <row r="350">
      <c r="A350" s="19" t="n"/>
      <c r="B350" s="19" t="n"/>
      <c r="C350" s="19" t="n"/>
      <c r="D350" s="19" t="n"/>
      <c r="E350" s="19" t="n"/>
      <c r="F350" s="19" t="n"/>
      <c r="G350" s="19" t="n"/>
      <c r="H350" s="19" t="n"/>
      <c r="I350" s="19" t="n"/>
      <c r="J350" s="19" t="n"/>
      <c r="K350" s="19" t="n"/>
      <c r="L350" s="20" t="n"/>
      <c r="M350" s="20" t="n"/>
      <c r="N350" s="20" t="n"/>
      <c r="O350" s="20" t="n"/>
      <c r="P350" s="19" t="n"/>
      <c r="Q350" s="19" t="n"/>
      <c r="R350" s="20" t="n"/>
      <c r="S350" s="20" t="n"/>
      <c r="T350" s="19" t="n"/>
      <c r="U350" s="19" t="n"/>
      <c r="V350" s="19" t="n"/>
      <c r="W350" s="19" t="n"/>
      <c r="X350" s="19" t="n"/>
      <c r="Y350" s="19" t="n"/>
      <c r="Z350" s="21">
        <f>IF(AND($A350="",$B350=""),"",IF(OR($E350="",$H350="",$H350="Proposed",$H350="Not Reported"),0,IF(AND($P350="Y",$Q350&lt;&gt;"Y"),0,IF(AND($K350="Point",N($L350)&lt;=0),0,IF(AND(N($L350)&lt;=0,N($N350)&lt;=0,N($R350)+N($S350)&lt;=0),0,1)))))</f>
        <v/>
      </c>
      <c r="AA350" s="21">
        <f>IF(AND($A350="",$B350=""),"",IF($E350="","Site type missing",IF($H350="","STATUS missing",IF($H350="Proposed","STATUS = Proposed",IF($H350="Not Reported","STATUS = Not Reported",IF(AND($P350="Y",$Q350&lt;&gt;"Y"),"UNESCO-MAB Biosphere Reserve",IF(AND($K350="Point",N($L350)&lt;=0),"Point without REP_AREA",IF(AND(N($L350)&lt;=0,N($N350)&lt;=0,N($R350)+N($S350)&lt;=0),"No area information",""))))))))</f>
        <v/>
      </c>
      <c r="AB350" s="22">
        <f>IF(AND($A350="",$B350=""),"",IF($K350="Point",N($L350),IF(N($N350)&gt;0,N($N350),N($L350))))</f>
        <v/>
      </c>
      <c r="AC350" s="22">
        <f>IF(AND($A350="",$B350=""),"",MIN(AB350,IF(N($J350)=0,0,IF(N($J350)=2,AB350,IF(AND($K350&lt;&gt;"Point",N($O350)&gt;0),N($O350),N($M350))))))</f>
        <v/>
      </c>
      <c r="AD350" s="22">
        <f>IF(AND($A350="",$B350=""),"",MAX(0,AB350-AC350))</f>
        <v/>
      </c>
      <c r="AE350" s="21">
        <f>IF(AND($A350="",$B350=""),"",IF(OR($R350&lt;&gt;"",$S350&lt;&gt;""),1,0))</f>
        <v/>
      </c>
      <c r="AF350" s="22">
        <f>IF(AND($A350="",$B350=""),"",IF(Z350=1,IF(AE350=1,N($R350),AD350),0))</f>
        <v/>
      </c>
      <c r="AG350" s="22">
        <f>IF(AND($A350="",$B350=""),"",IF(Z350=1,IF(AE350=1,N($S350),AC350),0))</f>
        <v/>
      </c>
      <c r="AH350" s="21">
        <f>IF(AND($A350="",$B350=""),"",IF(AND(ISNUMBER($I350),N($I350)&gt;0),$I350,0))</f>
        <v/>
      </c>
      <c r="AI350" s="23">
        <f>IF(AND(NOT(AND($A350="",$B350="")),$K350="Point",N($L350)&gt;0),SQRT(N($L350)/PI()),"")</f>
        <v/>
      </c>
      <c r="AJ350" s="21">
        <f>IF(AND($A350="",$B350=""),"",IFERROR(VLOOKUP($G350,Lists!$D$4:$E$15,2,FALSE),"Not reported"))</f>
        <v/>
      </c>
      <c r="AK350" s="21">
        <f>IF(AND($A350="",$B350=""),"",IF($X350&lt;&gt;"",$X350,IF($T350&lt;&gt;"Y","Not assessed",IF(AND(ISNUMBER($V350),Setup!$B$6-$V350&gt;Setup!$B$26),"Assessment outdated",IF(NOT(ISNUMBER($W350)),"Assessed – no score",IF($W350&gt;=Setup!$B$24,"High",IF($W350&gt;=Setup!$B$25,"Moderate","Low")))))))</f>
        <v/>
      </c>
      <c r="AL350" s="21">
        <f>IF(AND($A350="",$B350=""),"",IF(Z350=0,"",IF(AND(AE350=1,N($R350)&gt;AD350*1.01+0.001),"Net terrestrial &gt; gross; ","")&amp;IF(AND(AE350=1,N($S350)&gt;AC350*1.01+0.001),"Net marine &gt; gross; ","")&amp;IF(AE350=0,"No net area – gross used, overlaps may be double-counted; ","")&amp;IF(AH350=0,"STATUS_YR missing – imputed in time series; ","")&amp;IF(AND(ISNUMBER($I350),N($I350)&gt;Setup!$B$6),"STATUS_YR after reporting year; ","")&amp;IF(OR($G350="",$G350="Not Reported"),"GOV_TYPE not reported; ","")&amp;IF(AND(N($J350)=1,$K350="Point",N($M350)&lt;=0),"Coastal point without REP_M_AREA – land/sea split unknown; ","")&amp;IF(AND(N($J350)=0,N($S350)&gt;0),"MARINE=0 but net marine &gt;0; ","")&amp;IF(AND(N($J350)=2,N($R350)&gt;0),"MARINE=2 but net terrestrial &gt;0; ","")&amp;IF($K350="Point","Buffered point – coverage approximate; ","")))</f>
        <v/>
      </c>
    </row>
    <row r="351">
      <c r="A351" s="19" t="n"/>
      <c r="B351" s="19" t="n"/>
      <c r="C351" s="19" t="n"/>
      <c r="D351" s="19" t="n"/>
      <c r="E351" s="19" t="n"/>
      <c r="F351" s="19" t="n"/>
      <c r="G351" s="19" t="n"/>
      <c r="H351" s="19" t="n"/>
      <c r="I351" s="19" t="n"/>
      <c r="J351" s="19" t="n"/>
      <c r="K351" s="19" t="n"/>
      <c r="L351" s="20" t="n"/>
      <c r="M351" s="20" t="n"/>
      <c r="N351" s="20" t="n"/>
      <c r="O351" s="20" t="n"/>
      <c r="P351" s="19" t="n"/>
      <c r="Q351" s="19" t="n"/>
      <c r="R351" s="20" t="n"/>
      <c r="S351" s="20" t="n"/>
      <c r="T351" s="19" t="n"/>
      <c r="U351" s="19" t="n"/>
      <c r="V351" s="19" t="n"/>
      <c r="W351" s="19" t="n"/>
      <c r="X351" s="19" t="n"/>
      <c r="Y351" s="19" t="n"/>
      <c r="Z351" s="21">
        <f>IF(AND($A351="",$B351=""),"",IF(OR($E351="",$H351="",$H351="Proposed",$H351="Not Reported"),0,IF(AND($P351="Y",$Q351&lt;&gt;"Y"),0,IF(AND($K351="Point",N($L351)&lt;=0),0,IF(AND(N($L351)&lt;=0,N($N351)&lt;=0,N($R351)+N($S351)&lt;=0),0,1)))))</f>
        <v/>
      </c>
      <c r="AA351" s="21">
        <f>IF(AND($A351="",$B351=""),"",IF($E351="","Site type missing",IF($H351="","STATUS missing",IF($H351="Proposed","STATUS = Proposed",IF($H351="Not Reported","STATUS = Not Reported",IF(AND($P351="Y",$Q351&lt;&gt;"Y"),"UNESCO-MAB Biosphere Reserve",IF(AND($K351="Point",N($L351)&lt;=0),"Point without REP_AREA",IF(AND(N($L351)&lt;=0,N($N351)&lt;=0,N($R351)+N($S351)&lt;=0),"No area information",""))))))))</f>
        <v/>
      </c>
      <c r="AB351" s="22">
        <f>IF(AND($A351="",$B351=""),"",IF($K351="Point",N($L351),IF(N($N351)&gt;0,N($N351),N($L351))))</f>
        <v/>
      </c>
      <c r="AC351" s="22">
        <f>IF(AND($A351="",$B351=""),"",MIN(AB351,IF(N($J351)=0,0,IF(N($J351)=2,AB351,IF(AND($K351&lt;&gt;"Point",N($O351)&gt;0),N($O351),N($M351))))))</f>
        <v/>
      </c>
      <c r="AD351" s="22">
        <f>IF(AND($A351="",$B351=""),"",MAX(0,AB351-AC351))</f>
        <v/>
      </c>
      <c r="AE351" s="21">
        <f>IF(AND($A351="",$B351=""),"",IF(OR($R351&lt;&gt;"",$S351&lt;&gt;""),1,0))</f>
        <v/>
      </c>
      <c r="AF351" s="22">
        <f>IF(AND($A351="",$B351=""),"",IF(Z351=1,IF(AE351=1,N($R351),AD351),0))</f>
        <v/>
      </c>
      <c r="AG351" s="22">
        <f>IF(AND($A351="",$B351=""),"",IF(Z351=1,IF(AE351=1,N($S351),AC351),0))</f>
        <v/>
      </c>
      <c r="AH351" s="21">
        <f>IF(AND($A351="",$B351=""),"",IF(AND(ISNUMBER($I351),N($I351)&gt;0),$I351,0))</f>
        <v/>
      </c>
      <c r="AI351" s="23">
        <f>IF(AND(NOT(AND($A351="",$B351="")),$K351="Point",N($L351)&gt;0),SQRT(N($L351)/PI()),"")</f>
        <v/>
      </c>
      <c r="AJ351" s="21">
        <f>IF(AND($A351="",$B351=""),"",IFERROR(VLOOKUP($G351,Lists!$D$4:$E$15,2,FALSE),"Not reported"))</f>
        <v/>
      </c>
      <c r="AK351" s="21">
        <f>IF(AND($A351="",$B351=""),"",IF($X351&lt;&gt;"",$X351,IF($T351&lt;&gt;"Y","Not assessed",IF(AND(ISNUMBER($V351),Setup!$B$6-$V351&gt;Setup!$B$26),"Assessment outdated",IF(NOT(ISNUMBER($W351)),"Assessed – no score",IF($W351&gt;=Setup!$B$24,"High",IF($W351&gt;=Setup!$B$25,"Moderate","Low")))))))</f>
        <v/>
      </c>
      <c r="AL351" s="21">
        <f>IF(AND($A351="",$B351=""),"",IF(Z351=0,"",IF(AND(AE351=1,N($R351)&gt;AD351*1.01+0.001),"Net terrestrial &gt; gross; ","")&amp;IF(AND(AE351=1,N($S351)&gt;AC351*1.01+0.001),"Net marine &gt; gross; ","")&amp;IF(AE351=0,"No net area – gross used, overlaps may be double-counted; ","")&amp;IF(AH351=0,"STATUS_YR missing – imputed in time series; ","")&amp;IF(AND(ISNUMBER($I351),N($I351)&gt;Setup!$B$6),"STATUS_YR after reporting year; ","")&amp;IF(OR($G351="",$G351="Not Reported"),"GOV_TYPE not reported; ","")&amp;IF(AND(N($J351)=1,$K351="Point",N($M351)&lt;=0),"Coastal point without REP_M_AREA – land/sea split unknown; ","")&amp;IF(AND(N($J351)=0,N($S351)&gt;0),"MARINE=0 but net marine &gt;0; ","")&amp;IF(AND(N($J351)=2,N($R351)&gt;0),"MARINE=2 but net terrestrial &gt;0; ","")&amp;IF($K351="Point","Buffered point – coverage approximate; ","")))</f>
        <v/>
      </c>
    </row>
    <row r="352">
      <c r="A352" s="19" t="n"/>
      <c r="B352" s="19" t="n"/>
      <c r="C352" s="19" t="n"/>
      <c r="D352" s="19" t="n"/>
      <c r="E352" s="19" t="n"/>
      <c r="F352" s="19" t="n"/>
      <c r="G352" s="19" t="n"/>
      <c r="H352" s="19" t="n"/>
      <c r="I352" s="19" t="n"/>
      <c r="J352" s="19" t="n"/>
      <c r="K352" s="19" t="n"/>
      <c r="L352" s="20" t="n"/>
      <c r="M352" s="20" t="n"/>
      <c r="N352" s="20" t="n"/>
      <c r="O352" s="20" t="n"/>
      <c r="P352" s="19" t="n"/>
      <c r="Q352" s="19" t="n"/>
      <c r="R352" s="20" t="n"/>
      <c r="S352" s="20" t="n"/>
      <c r="T352" s="19" t="n"/>
      <c r="U352" s="19" t="n"/>
      <c r="V352" s="19" t="n"/>
      <c r="W352" s="19" t="n"/>
      <c r="X352" s="19" t="n"/>
      <c r="Y352" s="19" t="n"/>
      <c r="Z352" s="21">
        <f>IF(AND($A352="",$B352=""),"",IF(OR($E352="",$H352="",$H352="Proposed",$H352="Not Reported"),0,IF(AND($P352="Y",$Q352&lt;&gt;"Y"),0,IF(AND($K352="Point",N($L352)&lt;=0),0,IF(AND(N($L352)&lt;=0,N($N352)&lt;=0,N($R352)+N($S352)&lt;=0),0,1)))))</f>
        <v/>
      </c>
      <c r="AA352" s="21">
        <f>IF(AND($A352="",$B352=""),"",IF($E352="","Site type missing",IF($H352="","STATUS missing",IF($H352="Proposed","STATUS = Proposed",IF($H352="Not Reported","STATUS = Not Reported",IF(AND($P352="Y",$Q352&lt;&gt;"Y"),"UNESCO-MAB Biosphere Reserve",IF(AND($K352="Point",N($L352)&lt;=0),"Point without REP_AREA",IF(AND(N($L352)&lt;=0,N($N352)&lt;=0,N($R352)+N($S352)&lt;=0),"No area information",""))))))))</f>
        <v/>
      </c>
      <c r="AB352" s="22">
        <f>IF(AND($A352="",$B352=""),"",IF($K352="Point",N($L352),IF(N($N352)&gt;0,N($N352),N($L352))))</f>
        <v/>
      </c>
      <c r="AC352" s="22">
        <f>IF(AND($A352="",$B352=""),"",MIN(AB352,IF(N($J352)=0,0,IF(N($J352)=2,AB352,IF(AND($K352&lt;&gt;"Point",N($O352)&gt;0),N($O352),N($M352))))))</f>
        <v/>
      </c>
      <c r="AD352" s="22">
        <f>IF(AND($A352="",$B352=""),"",MAX(0,AB352-AC352))</f>
        <v/>
      </c>
      <c r="AE352" s="21">
        <f>IF(AND($A352="",$B352=""),"",IF(OR($R352&lt;&gt;"",$S352&lt;&gt;""),1,0))</f>
        <v/>
      </c>
      <c r="AF352" s="22">
        <f>IF(AND($A352="",$B352=""),"",IF(Z352=1,IF(AE352=1,N($R352),AD352),0))</f>
        <v/>
      </c>
      <c r="AG352" s="22">
        <f>IF(AND($A352="",$B352=""),"",IF(Z352=1,IF(AE352=1,N($S352),AC352),0))</f>
        <v/>
      </c>
      <c r="AH352" s="21">
        <f>IF(AND($A352="",$B352=""),"",IF(AND(ISNUMBER($I352),N($I352)&gt;0),$I352,0))</f>
        <v/>
      </c>
      <c r="AI352" s="23">
        <f>IF(AND(NOT(AND($A352="",$B352="")),$K352="Point",N($L352)&gt;0),SQRT(N($L352)/PI()),"")</f>
        <v/>
      </c>
      <c r="AJ352" s="21">
        <f>IF(AND($A352="",$B352=""),"",IFERROR(VLOOKUP($G352,Lists!$D$4:$E$15,2,FALSE),"Not reported"))</f>
        <v/>
      </c>
      <c r="AK352" s="21">
        <f>IF(AND($A352="",$B352=""),"",IF($X352&lt;&gt;"",$X352,IF($T352&lt;&gt;"Y","Not assessed",IF(AND(ISNUMBER($V352),Setup!$B$6-$V352&gt;Setup!$B$26),"Assessment outdated",IF(NOT(ISNUMBER($W352)),"Assessed – no score",IF($W352&gt;=Setup!$B$24,"High",IF($W352&gt;=Setup!$B$25,"Moderate","Low")))))))</f>
        <v/>
      </c>
      <c r="AL352" s="21">
        <f>IF(AND($A352="",$B352=""),"",IF(Z352=0,"",IF(AND(AE352=1,N($R352)&gt;AD352*1.01+0.001),"Net terrestrial &gt; gross; ","")&amp;IF(AND(AE352=1,N($S352)&gt;AC352*1.01+0.001),"Net marine &gt; gross; ","")&amp;IF(AE352=0,"No net area – gross used, overlaps may be double-counted; ","")&amp;IF(AH352=0,"STATUS_YR missing – imputed in time series; ","")&amp;IF(AND(ISNUMBER($I352),N($I352)&gt;Setup!$B$6),"STATUS_YR after reporting year; ","")&amp;IF(OR($G352="",$G352="Not Reported"),"GOV_TYPE not reported; ","")&amp;IF(AND(N($J352)=1,$K352="Point",N($M352)&lt;=0),"Coastal point without REP_M_AREA – land/sea split unknown; ","")&amp;IF(AND(N($J352)=0,N($S352)&gt;0),"MARINE=0 but net marine &gt;0; ","")&amp;IF(AND(N($J352)=2,N($R352)&gt;0),"MARINE=2 but net terrestrial &gt;0; ","")&amp;IF($K352="Point","Buffered point – coverage approximate; ","")))</f>
        <v/>
      </c>
    </row>
    <row r="353">
      <c r="A353" s="19" t="n"/>
      <c r="B353" s="19" t="n"/>
      <c r="C353" s="19" t="n"/>
      <c r="D353" s="19" t="n"/>
      <c r="E353" s="19" t="n"/>
      <c r="F353" s="19" t="n"/>
      <c r="G353" s="19" t="n"/>
      <c r="H353" s="19" t="n"/>
      <c r="I353" s="19" t="n"/>
      <c r="J353" s="19" t="n"/>
      <c r="K353" s="19" t="n"/>
      <c r="L353" s="20" t="n"/>
      <c r="M353" s="20" t="n"/>
      <c r="N353" s="20" t="n"/>
      <c r="O353" s="20" t="n"/>
      <c r="P353" s="19" t="n"/>
      <c r="Q353" s="19" t="n"/>
      <c r="R353" s="20" t="n"/>
      <c r="S353" s="20" t="n"/>
      <c r="T353" s="19" t="n"/>
      <c r="U353" s="19" t="n"/>
      <c r="V353" s="19" t="n"/>
      <c r="W353" s="19" t="n"/>
      <c r="X353" s="19" t="n"/>
      <c r="Y353" s="19" t="n"/>
      <c r="Z353" s="21">
        <f>IF(AND($A353="",$B353=""),"",IF(OR($E353="",$H353="",$H353="Proposed",$H353="Not Reported"),0,IF(AND($P353="Y",$Q353&lt;&gt;"Y"),0,IF(AND($K353="Point",N($L353)&lt;=0),0,IF(AND(N($L353)&lt;=0,N($N353)&lt;=0,N($R353)+N($S353)&lt;=0),0,1)))))</f>
        <v/>
      </c>
      <c r="AA353" s="21">
        <f>IF(AND($A353="",$B353=""),"",IF($E353="","Site type missing",IF($H353="","STATUS missing",IF($H353="Proposed","STATUS = Proposed",IF($H353="Not Reported","STATUS = Not Reported",IF(AND($P353="Y",$Q353&lt;&gt;"Y"),"UNESCO-MAB Biosphere Reserve",IF(AND($K353="Point",N($L353)&lt;=0),"Point without REP_AREA",IF(AND(N($L353)&lt;=0,N($N353)&lt;=0,N($R353)+N($S353)&lt;=0),"No area information",""))))))))</f>
        <v/>
      </c>
      <c r="AB353" s="22">
        <f>IF(AND($A353="",$B353=""),"",IF($K353="Point",N($L353),IF(N($N353)&gt;0,N($N353),N($L353))))</f>
        <v/>
      </c>
      <c r="AC353" s="22">
        <f>IF(AND($A353="",$B353=""),"",MIN(AB353,IF(N($J353)=0,0,IF(N($J353)=2,AB353,IF(AND($K353&lt;&gt;"Point",N($O353)&gt;0),N($O353),N($M353))))))</f>
        <v/>
      </c>
      <c r="AD353" s="22">
        <f>IF(AND($A353="",$B353=""),"",MAX(0,AB353-AC353))</f>
        <v/>
      </c>
      <c r="AE353" s="21">
        <f>IF(AND($A353="",$B353=""),"",IF(OR($R353&lt;&gt;"",$S353&lt;&gt;""),1,0))</f>
        <v/>
      </c>
      <c r="AF353" s="22">
        <f>IF(AND($A353="",$B353=""),"",IF(Z353=1,IF(AE353=1,N($R353),AD353),0))</f>
        <v/>
      </c>
      <c r="AG353" s="22">
        <f>IF(AND($A353="",$B353=""),"",IF(Z353=1,IF(AE353=1,N($S353),AC353),0))</f>
        <v/>
      </c>
      <c r="AH353" s="21">
        <f>IF(AND($A353="",$B353=""),"",IF(AND(ISNUMBER($I353),N($I353)&gt;0),$I353,0))</f>
        <v/>
      </c>
      <c r="AI353" s="23">
        <f>IF(AND(NOT(AND($A353="",$B353="")),$K353="Point",N($L353)&gt;0),SQRT(N($L353)/PI()),"")</f>
        <v/>
      </c>
      <c r="AJ353" s="21">
        <f>IF(AND($A353="",$B353=""),"",IFERROR(VLOOKUP($G353,Lists!$D$4:$E$15,2,FALSE),"Not reported"))</f>
        <v/>
      </c>
      <c r="AK353" s="21">
        <f>IF(AND($A353="",$B353=""),"",IF($X353&lt;&gt;"",$X353,IF($T353&lt;&gt;"Y","Not assessed",IF(AND(ISNUMBER($V353),Setup!$B$6-$V353&gt;Setup!$B$26),"Assessment outdated",IF(NOT(ISNUMBER($W353)),"Assessed – no score",IF($W353&gt;=Setup!$B$24,"High",IF($W353&gt;=Setup!$B$25,"Moderate","Low")))))))</f>
        <v/>
      </c>
      <c r="AL353" s="21">
        <f>IF(AND($A353="",$B353=""),"",IF(Z353=0,"",IF(AND(AE353=1,N($R353)&gt;AD353*1.01+0.001),"Net terrestrial &gt; gross; ","")&amp;IF(AND(AE353=1,N($S353)&gt;AC353*1.01+0.001),"Net marine &gt; gross; ","")&amp;IF(AE353=0,"No net area – gross used, overlaps may be double-counted; ","")&amp;IF(AH353=0,"STATUS_YR missing – imputed in time series; ","")&amp;IF(AND(ISNUMBER($I353),N($I353)&gt;Setup!$B$6),"STATUS_YR after reporting year; ","")&amp;IF(OR($G353="",$G353="Not Reported"),"GOV_TYPE not reported; ","")&amp;IF(AND(N($J353)=1,$K353="Point",N($M353)&lt;=0),"Coastal point without REP_M_AREA – land/sea split unknown; ","")&amp;IF(AND(N($J353)=0,N($S353)&gt;0),"MARINE=0 but net marine &gt;0; ","")&amp;IF(AND(N($J353)=2,N($R353)&gt;0),"MARINE=2 but net terrestrial &gt;0; ","")&amp;IF($K353="Point","Buffered point – coverage approximate; ","")))</f>
        <v/>
      </c>
    </row>
    <row r="354">
      <c r="A354" s="19" t="n"/>
      <c r="B354" s="19" t="n"/>
      <c r="C354" s="19" t="n"/>
      <c r="D354" s="19" t="n"/>
      <c r="E354" s="19" t="n"/>
      <c r="F354" s="19" t="n"/>
      <c r="G354" s="19" t="n"/>
      <c r="H354" s="19" t="n"/>
      <c r="I354" s="19" t="n"/>
      <c r="J354" s="19" t="n"/>
      <c r="K354" s="19" t="n"/>
      <c r="L354" s="20" t="n"/>
      <c r="M354" s="20" t="n"/>
      <c r="N354" s="20" t="n"/>
      <c r="O354" s="20" t="n"/>
      <c r="P354" s="19" t="n"/>
      <c r="Q354" s="19" t="n"/>
      <c r="R354" s="20" t="n"/>
      <c r="S354" s="20" t="n"/>
      <c r="T354" s="19" t="n"/>
      <c r="U354" s="19" t="n"/>
      <c r="V354" s="19" t="n"/>
      <c r="W354" s="19" t="n"/>
      <c r="X354" s="19" t="n"/>
      <c r="Y354" s="19" t="n"/>
      <c r="Z354" s="21">
        <f>IF(AND($A354="",$B354=""),"",IF(OR($E354="",$H354="",$H354="Proposed",$H354="Not Reported"),0,IF(AND($P354="Y",$Q354&lt;&gt;"Y"),0,IF(AND($K354="Point",N($L354)&lt;=0),0,IF(AND(N($L354)&lt;=0,N($N354)&lt;=0,N($R354)+N($S354)&lt;=0),0,1)))))</f>
        <v/>
      </c>
      <c r="AA354" s="21">
        <f>IF(AND($A354="",$B354=""),"",IF($E354="","Site type missing",IF($H354="","STATUS missing",IF($H354="Proposed","STATUS = Proposed",IF($H354="Not Reported","STATUS = Not Reported",IF(AND($P354="Y",$Q354&lt;&gt;"Y"),"UNESCO-MAB Biosphere Reserve",IF(AND($K354="Point",N($L354)&lt;=0),"Point without REP_AREA",IF(AND(N($L354)&lt;=0,N($N354)&lt;=0,N($R354)+N($S354)&lt;=0),"No area information",""))))))))</f>
        <v/>
      </c>
      <c r="AB354" s="22">
        <f>IF(AND($A354="",$B354=""),"",IF($K354="Point",N($L354),IF(N($N354)&gt;0,N($N354),N($L354))))</f>
        <v/>
      </c>
      <c r="AC354" s="22">
        <f>IF(AND($A354="",$B354=""),"",MIN(AB354,IF(N($J354)=0,0,IF(N($J354)=2,AB354,IF(AND($K354&lt;&gt;"Point",N($O354)&gt;0),N($O354),N($M354))))))</f>
        <v/>
      </c>
      <c r="AD354" s="22">
        <f>IF(AND($A354="",$B354=""),"",MAX(0,AB354-AC354))</f>
        <v/>
      </c>
      <c r="AE354" s="21">
        <f>IF(AND($A354="",$B354=""),"",IF(OR($R354&lt;&gt;"",$S354&lt;&gt;""),1,0))</f>
        <v/>
      </c>
      <c r="AF354" s="22">
        <f>IF(AND($A354="",$B354=""),"",IF(Z354=1,IF(AE354=1,N($R354),AD354),0))</f>
        <v/>
      </c>
      <c r="AG354" s="22">
        <f>IF(AND($A354="",$B354=""),"",IF(Z354=1,IF(AE354=1,N($S354),AC354),0))</f>
        <v/>
      </c>
      <c r="AH354" s="21">
        <f>IF(AND($A354="",$B354=""),"",IF(AND(ISNUMBER($I354),N($I354)&gt;0),$I354,0))</f>
        <v/>
      </c>
      <c r="AI354" s="23">
        <f>IF(AND(NOT(AND($A354="",$B354="")),$K354="Point",N($L354)&gt;0),SQRT(N($L354)/PI()),"")</f>
        <v/>
      </c>
      <c r="AJ354" s="21">
        <f>IF(AND($A354="",$B354=""),"",IFERROR(VLOOKUP($G354,Lists!$D$4:$E$15,2,FALSE),"Not reported"))</f>
        <v/>
      </c>
      <c r="AK354" s="21">
        <f>IF(AND($A354="",$B354=""),"",IF($X354&lt;&gt;"",$X354,IF($T354&lt;&gt;"Y","Not assessed",IF(AND(ISNUMBER($V354),Setup!$B$6-$V354&gt;Setup!$B$26),"Assessment outdated",IF(NOT(ISNUMBER($W354)),"Assessed – no score",IF($W354&gt;=Setup!$B$24,"High",IF($W354&gt;=Setup!$B$25,"Moderate","Low")))))))</f>
        <v/>
      </c>
      <c r="AL354" s="21">
        <f>IF(AND($A354="",$B354=""),"",IF(Z354=0,"",IF(AND(AE354=1,N($R354)&gt;AD354*1.01+0.001),"Net terrestrial &gt; gross; ","")&amp;IF(AND(AE354=1,N($S354)&gt;AC354*1.01+0.001),"Net marine &gt; gross; ","")&amp;IF(AE354=0,"No net area – gross used, overlaps may be double-counted; ","")&amp;IF(AH354=0,"STATUS_YR missing – imputed in time series; ","")&amp;IF(AND(ISNUMBER($I354),N($I354)&gt;Setup!$B$6),"STATUS_YR after reporting year; ","")&amp;IF(OR($G354="",$G354="Not Reported"),"GOV_TYPE not reported; ","")&amp;IF(AND(N($J354)=1,$K354="Point",N($M354)&lt;=0),"Coastal point without REP_M_AREA – land/sea split unknown; ","")&amp;IF(AND(N($J354)=0,N($S354)&gt;0),"MARINE=0 but net marine &gt;0; ","")&amp;IF(AND(N($J354)=2,N($R354)&gt;0),"MARINE=2 but net terrestrial &gt;0; ","")&amp;IF($K354="Point","Buffered point – coverage approximate; ","")))</f>
        <v/>
      </c>
    </row>
    <row r="355">
      <c r="A355" s="19" t="n"/>
      <c r="B355" s="19" t="n"/>
      <c r="C355" s="19" t="n"/>
      <c r="D355" s="19" t="n"/>
      <c r="E355" s="19" t="n"/>
      <c r="F355" s="19" t="n"/>
      <c r="G355" s="19" t="n"/>
      <c r="H355" s="19" t="n"/>
      <c r="I355" s="19" t="n"/>
      <c r="J355" s="19" t="n"/>
      <c r="K355" s="19" t="n"/>
      <c r="L355" s="20" t="n"/>
      <c r="M355" s="20" t="n"/>
      <c r="N355" s="20" t="n"/>
      <c r="O355" s="20" t="n"/>
      <c r="P355" s="19" t="n"/>
      <c r="Q355" s="19" t="n"/>
      <c r="R355" s="20" t="n"/>
      <c r="S355" s="20" t="n"/>
      <c r="T355" s="19" t="n"/>
      <c r="U355" s="19" t="n"/>
      <c r="V355" s="19" t="n"/>
      <c r="W355" s="19" t="n"/>
      <c r="X355" s="19" t="n"/>
      <c r="Y355" s="19" t="n"/>
      <c r="Z355" s="21">
        <f>IF(AND($A355="",$B355=""),"",IF(OR($E355="",$H355="",$H355="Proposed",$H355="Not Reported"),0,IF(AND($P355="Y",$Q355&lt;&gt;"Y"),0,IF(AND($K355="Point",N($L355)&lt;=0),0,IF(AND(N($L355)&lt;=0,N($N355)&lt;=0,N($R355)+N($S355)&lt;=0),0,1)))))</f>
        <v/>
      </c>
      <c r="AA355" s="21">
        <f>IF(AND($A355="",$B355=""),"",IF($E355="","Site type missing",IF($H355="","STATUS missing",IF($H355="Proposed","STATUS = Proposed",IF($H355="Not Reported","STATUS = Not Reported",IF(AND($P355="Y",$Q355&lt;&gt;"Y"),"UNESCO-MAB Biosphere Reserve",IF(AND($K355="Point",N($L355)&lt;=0),"Point without REP_AREA",IF(AND(N($L355)&lt;=0,N($N355)&lt;=0,N($R355)+N($S355)&lt;=0),"No area information",""))))))))</f>
        <v/>
      </c>
      <c r="AB355" s="22">
        <f>IF(AND($A355="",$B355=""),"",IF($K355="Point",N($L355),IF(N($N355)&gt;0,N($N355),N($L355))))</f>
        <v/>
      </c>
      <c r="AC355" s="22">
        <f>IF(AND($A355="",$B355=""),"",MIN(AB355,IF(N($J355)=0,0,IF(N($J355)=2,AB355,IF(AND($K355&lt;&gt;"Point",N($O355)&gt;0),N($O355),N($M355))))))</f>
        <v/>
      </c>
      <c r="AD355" s="22">
        <f>IF(AND($A355="",$B355=""),"",MAX(0,AB355-AC355))</f>
        <v/>
      </c>
      <c r="AE355" s="21">
        <f>IF(AND($A355="",$B355=""),"",IF(OR($R355&lt;&gt;"",$S355&lt;&gt;""),1,0))</f>
        <v/>
      </c>
      <c r="AF355" s="22">
        <f>IF(AND($A355="",$B355=""),"",IF(Z355=1,IF(AE355=1,N($R355),AD355),0))</f>
        <v/>
      </c>
      <c r="AG355" s="22">
        <f>IF(AND($A355="",$B355=""),"",IF(Z355=1,IF(AE355=1,N($S355),AC355),0))</f>
        <v/>
      </c>
      <c r="AH355" s="21">
        <f>IF(AND($A355="",$B355=""),"",IF(AND(ISNUMBER($I355),N($I355)&gt;0),$I355,0))</f>
        <v/>
      </c>
      <c r="AI355" s="23">
        <f>IF(AND(NOT(AND($A355="",$B355="")),$K355="Point",N($L355)&gt;0),SQRT(N($L355)/PI()),"")</f>
        <v/>
      </c>
      <c r="AJ355" s="21">
        <f>IF(AND($A355="",$B355=""),"",IFERROR(VLOOKUP($G355,Lists!$D$4:$E$15,2,FALSE),"Not reported"))</f>
        <v/>
      </c>
      <c r="AK355" s="21">
        <f>IF(AND($A355="",$B355=""),"",IF($X355&lt;&gt;"",$X355,IF($T355&lt;&gt;"Y","Not assessed",IF(AND(ISNUMBER($V355),Setup!$B$6-$V355&gt;Setup!$B$26),"Assessment outdated",IF(NOT(ISNUMBER($W355)),"Assessed – no score",IF($W355&gt;=Setup!$B$24,"High",IF($W355&gt;=Setup!$B$25,"Moderate","Low")))))))</f>
        <v/>
      </c>
      <c r="AL355" s="21">
        <f>IF(AND($A355="",$B355=""),"",IF(Z355=0,"",IF(AND(AE355=1,N($R355)&gt;AD355*1.01+0.001),"Net terrestrial &gt; gross; ","")&amp;IF(AND(AE355=1,N($S355)&gt;AC355*1.01+0.001),"Net marine &gt; gross; ","")&amp;IF(AE355=0,"No net area – gross used, overlaps may be double-counted; ","")&amp;IF(AH355=0,"STATUS_YR missing – imputed in time series; ","")&amp;IF(AND(ISNUMBER($I355),N($I355)&gt;Setup!$B$6),"STATUS_YR after reporting year; ","")&amp;IF(OR($G355="",$G355="Not Reported"),"GOV_TYPE not reported; ","")&amp;IF(AND(N($J355)=1,$K355="Point",N($M355)&lt;=0),"Coastal point without REP_M_AREA – land/sea split unknown; ","")&amp;IF(AND(N($J355)=0,N($S355)&gt;0),"MARINE=0 but net marine &gt;0; ","")&amp;IF(AND(N($J355)=2,N($R355)&gt;0),"MARINE=2 but net terrestrial &gt;0; ","")&amp;IF($K355="Point","Buffered point – coverage approximate; ","")))</f>
        <v/>
      </c>
    </row>
    <row r="356">
      <c r="A356" s="19" t="n"/>
      <c r="B356" s="19" t="n"/>
      <c r="C356" s="19" t="n"/>
      <c r="D356" s="19" t="n"/>
      <c r="E356" s="19" t="n"/>
      <c r="F356" s="19" t="n"/>
      <c r="G356" s="19" t="n"/>
      <c r="H356" s="19" t="n"/>
      <c r="I356" s="19" t="n"/>
      <c r="J356" s="19" t="n"/>
      <c r="K356" s="19" t="n"/>
      <c r="L356" s="20" t="n"/>
      <c r="M356" s="20" t="n"/>
      <c r="N356" s="20" t="n"/>
      <c r="O356" s="20" t="n"/>
      <c r="P356" s="19" t="n"/>
      <c r="Q356" s="19" t="n"/>
      <c r="R356" s="20" t="n"/>
      <c r="S356" s="20" t="n"/>
      <c r="T356" s="19" t="n"/>
      <c r="U356" s="19" t="n"/>
      <c r="V356" s="19" t="n"/>
      <c r="W356" s="19" t="n"/>
      <c r="X356" s="19" t="n"/>
      <c r="Y356" s="19" t="n"/>
      <c r="Z356" s="21">
        <f>IF(AND($A356="",$B356=""),"",IF(OR($E356="",$H356="",$H356="Proposed",$H356="Not Reported"),0,IF(AND($P356="Y",$Q356&lt;&gt;"Y"),0,IF(AND($K356="Point",N($L356)&lt;=0),0,IF(AND(N($L356)&lt;=0,N($N356)&lt;=0,N($R356)+N($S356)&lt;=0),0,1)))))</f>
        <v/>
      </c>
      <c r="AA356" s="21">
        <f>IF(AND($A356="",$B356=""),"",IF($E356="","Site type missing",IF($H356="","STATUS missing",IF($H356="Proposed","STATUS = Proposed",IF($H356="Not Reported","STATUS = Not Reported",IF(AND($P356="Y",$Q356&lt;&gt;"Y"),"UNESCO-MAB Biosphere Reserve",IF(AND($K356="Point",N($L356)&lt;=0),"Point without REP_AREA",IF(AND(N($L356)&lt;=0,N($N356)&lt;=0,N($R356)+N($S356)&lt;=0),"No area information",""))))))))</f>
        <v/>
      </c>
      <c r="AB356" s="22">
        <f>IF(AND($A356="",$B356=""),"",IF($K356="Point",N($L356),IF(N($N356)&gt;0,N($N356),N($L356))))</f>
        <v/>
      </c>
      <c r="AC356" s="22">
        <f>IF(AND($A356="",$B356=""),"",MIN(AB356,IF(N($J356)=0,0,IF(N($J356)=2,AB356,IF(AND($K356&lt;&gt;"Point",N($O356)&gt;0),N($O356),N($M356))))))</f>
        <v/>
      </c>
      <c r="AD356" s="22">
        <f>IF(AND($A356="",$B356=""),"",MAX(0,AB356-AC356))</f>
        <v/>
      </c>
      <c r="AE356" s="21">
        <f>IF(AND($A356="",$B356=""),"",IF(OR($R356&lt;&gt;"",$S356&lt;&gt;""),1,0))</f>
        <v/>
      </c>
      <c r="AF356" s="22">
        <f>IF(AND($A356="",$B356=""),"",IF(Z356=1,IF(AE356=1,N($R356),AD356),0))</f>
        <v/>
      </c>
      <c r="AG356" s="22">
        <f>IF(AND($A356="",$B356=""),"",IF(Z356=1,IF(AE356=1,N($S356),AC356),0))</f>
        <v/>
      </c>
      <c r="AH356" s="21">
        <f>IF(AND($A356="",$B356=""),"",IF(AND(ISNUMBER($I356),N($I356)&gt;0),$I356,0))</f>
        <v/>
      </c>
      <c r="AI356" s="23">
        <f>IF(AND(NOT(AND($A356="",$B356="")),$K356="Point",N($L356)&gt;0),SQRT(N($L356)/PI()),"")</f>
        <v/>
      </c>
      <c r="AJ356" s="21">
        <f>IF(AND($A356="",$B356=""),"",IFERROR(VLOOKUP($G356,Lists!$D$4:$E$15,2,FALSE),"Not reported"))</f>
        <v/>
      </c>
      <c r="AK356" s="21">
        <f>IF(AND($A356="",$B356=""),"",IF($X356&lt;&gt;"",$X356,IF($T356&lt;&gt;"Y","Not assessed",IF(AND(ISNUMBER($V356),Setup!$B$6-$V356&gt;Setup!$B$26),"Assessment outdated",IF(NOT(ISNUMBER($W356)),"Assessed – no score",IF($W356&gt;=Setup!$B$24,"High",IF($W356&gt;=Setup!$B$25,"Moderate","Low")))))))</f>
        <v/>
      </c>
      <c r="AL356" s="21">
        <f>IF(AND($A356="",$B356=""),"",IF(Z356=0,"",IF(AND(AE356=1,N($R356)&gt;AD356*1.01+0.001),"Net terrestrial &gt; gross; ","")&amp;IF(AND(AE356=1,N($S356)&gt;AC356*1.01+0.001),"Net marine &gt; gross; ","")&amp;IF(AE356=0,"No net area – gross used, overlaps may be double-counted; ","")&amp;IF(AH356=0,"STATUS_YR missing – imputed in time series; ","")&amp;IF(AND(ISNUMBER($I356),N($I356)&gt;Setup!$B$6),"STATUS_YR after reporting year; ","")&amp;IF(OR($G356="",$G356="Not Reported"),"GOV_TYPE not reported; ","")&amp;IF(AND(N($J356)=1,$K356="Point",N($M356)&lt;=0),"Coastal point without REP_M_AREA – land/sea split unknown; ","")&amp;IF(AND(N($J356)=0,N($S356)&gt;0),"MARINE=0 but net marine &gt;0; ","")&amp;IF(AND(N($J356)=2,N($R356)&gt;0),"MARINE=2 but net terrestrial &gt;0; ","")&amp;IF($K356="Point","Buffered point – coverage approximate; ","")))</f>
        <v/>
      </c>
    </row>
    <row r="357">
      <c r="A357" s="19" t="n"/>
      <c r="B357" s="19" t="n"/>
      <c r="C357" s="19" t="n"/>
      <c r="D357" s="19" t="n"/>
      <c r="E357" s="19" t="n"/>
      <c r="F357" s="19" t="n"/>
      <c r="G357" s="19" t="n"/>
      <c r="H357" s="19" t="n"/>
      <c r="I357" s="19" t="n"/>
      <c r="J357" s="19" t="n"/>
      <c r="K357" s="19" t="n"/>
      <c r="L357" s="20" t="n"/>
      <c r="M357" s="20" t="n"/>
      <c r="N357" s="20" t="n"/>
      <c r="O357" s="20" t="n"/>
      <c r="P357" s="19" t="n"/>
      <c r="Q357" s="19" t="n"/>
      <c r="R357" s="20" t="n"/>
      <c r="S357" s="20" t="n"/>
      <c r="T357" s="19" t="n"/>
      <c r="U357" s="19" t="n"/>
      <c r="V357" s="19" t="n"/>
      <c r="W357" s="19" t="n"/>
      <c r="X357" s="19" t="n"/>
      <c r="Y357" s="19" t="n"/>
      <c r="Z357" s="21">
        <f>IF(AND($A357="",$B357=""),"",IF(OR($E357="",$H357="",$H357="Proposed",$H357="Not Reported"),0,IF(AND($P357="Y",$Q357&lt;&gt;"Y"),0,IF(AND($K357="Point",N($L357)&lt;=0),0,IF(AND(N($L357)&lt;=0,N($N357)&lt;=0,N($R357)+N($S357)&lt;=0),0,1)))))</f>
        <v/>
      </c>
      <c r="AA357" s="21">
        <f>IF(AND($A357="",$B357=""),"",IF($E357="","Site type missing",IF($H357="","STATUS missing",IF($H357="Proposed","STATUS = Proposed",IF($H357="Not Reported","STATUS = Not Reported",IF(AND($P357="Y",$Q357&lt;&gt;"Y"),"UNESCO-MAB Biosphere Reserve",IF(AND($K357="Point",N($L357)&lt;=0),"Point without REP_AREA",IF(AND(N($L357)&lt;=0,N($N357)&lt;=0,N($R357)+N($S357)&lt;=0),"No area information",""))))))))</f>
        <v/>
      </c>
      <c r="AB357" s="22">
        <f>IF(AND($A357="",$B357=""),"",IF($K357="Point",N($L357),IF(N($N357)&gt;0,N($N357),N($L357))))</f>
        <v/>
      </c>
      <c r="AC357" s="22">
        <f>IF(AND($A357="",$B357=""),"",MIN(AB357,IF(N($J357)=0,0,IF(N($J357)=2,AB357,IF(AND($K357&lt;&gt;"Point",N($O357)&gt;0),N($O357),N($M357))))))</f>
        <v/>
      </c>
      <c r="AD357" s="22">
        <f>IF(AND($A357="",$B357=""),"",MAX(0,AB357-AC357))</f>
        <v/>
      </c>
      <c r="AE357" s="21">
        <f>IF(AND($A357="",$B357=""),"",IF(OR($R357&lt;&gt;"",$S357&lt;&gt;""),1,0))</f>
        <v/>
      </c>
      <c r="AF357" s="22">
        <f>IF(AND($A357="",$B357=""),"",IF(Z357=1,IF(AE357=1,N($R357),AD357),0))</f>
        <v/>
      </c>
      <c r="AG357" s="22">
        <f>IF(AND($A357="",$B357=""),"",IF(Z357=1,IF(AE357=1,N($S357),AC357),0))</f>
        <v/>
      </c>
      <c r="AH357" s="21">
        <f>IF(AND($A357="",$B357=""),"",IF(AND(ISNUMBER($I357),N($I357)&gt;0),$I357,0))</f>
        <v/>
      </c>
      <c r="AI357" s="23">
        <f>IF(AND(NOT(AND($A357="",$B357="")),$K357="Point",N($L357)&gt;0),SQRT(N($L357)/PI()),"")</f>
        <v/>
      </c>
      <c r="AJ357" s="21">
        <f>IF(AND($A357="",$B357=""),"",IFERROR(VLOOKUP($G357,Lists!$D$4:$E$15,2,FALSE),"Not reported"))</f>
        <v/>
      </c>
      <c r="AK357" s="21">
        <f>IF(AND($A357="",$B357=""),"",IF($X357&lt;&gt;"",$X357,IF($T357&lt;&gt;"Y","Not assessed",IF(AND(ISNUMBER($V357),Setup!$B$6-$V357&gt;Setup!$B$26),"Assessment outdated",IF(NOT(ISNUMBER($W357)),"Assessed – no score",IF($W357&gt;=Setup!$B$24,"High",IF($W357&gt;=Setup!$B$25,"Moderate","Low")))))))</f>
        <v/>
      </c>
      <c r="AL357" s="21">
        <f>IF(AND($A357="",$B357=""),"",IF(Z357=0,"",IF(AND(AE357=1,N($R357)&gt;AD357*1.01+0.001),"Net terrestrial &gt; gross; ","")&amp;IF(AND(AE357=1,N($S357)&gt;AC357*1.01+0.001),"Net marine &gt; gross; ","")&amp;IF(AE357=0,"No net area – gross used, overlaps may be double-counted; ","")&amp;IF(AH357=0,"STATUS_YR missing – imputed in time series; ","")&amp;IF(AND(ISNUMBER($I357),N($I357)&gt;Setup!$B$6),"STATUS_YR after reporting year; ","")&amp;IF(OR($G357="",$G357="Not Reported"),"GOV_TYPE not reported; ","")&amp;IF(AND(N($J357)=1,$K357="Point",N($M357)&lt;=0),"Coastal point without REP_M_AREA – land/sea split unknown; ","")&amp;IF(AND(N($J357)=0,N($S357)&gt;0),"MARINE=0 but net marine &gt;0; ","")&amp;IF(AND(N($J357)=2,N($R357)&gt;0),"MARINE=2 but net terrestrial &gt;0; ","")&amp;IF($K357="Point","Buffered point – coverage approximate; ","")))</f>
        <v/>
      </c>
    </row>
    <row r="358">
      <c r="A358" s="19" t="n"/>
      <c r="B358" s="19" t="n"/>
      <c r="C358" s="19" t="n"/>
      <c r="D358" s="19" t="n"/>
      <c r="E358" s="19" t="n"/>
      <c r="F358" s="19" t="n"/>
      <c r="G358" s="19" t="n"/>
      <c r="H358" s="19" t="n"/>
      <c r="I358" s="19" t="n"/>
      <c r="J358" s="19" t="n"/>
      <c r="K358" s="19" t="n"/>
      <c r="L358" s="20" t="n"/>
      <c r="M358" s="20" t="n"/>
      <c r="N358" s="20" t="n"/>
      <c r="O358" s="20" t="n"/>
      <c r="P358" s="19" t="n"/>
      <c r="Q358" s="19" t="n"/>
      <c r="R358" s="20" t="n"/>
      <c r="S358" s="20" t="n"/>
      <c r="T358" s="19" t="n"/>
      <c r="U358" s="19" t="n"/>
      <c r="V358" s="19" t="n"/>
      <c r="W358" s="19" t="n"/>
      <c r="X358" s="19" t="n"/>
      <c r="Y358" s="19" t="n"/>
      <c r="Z358" s="21">
        <f>IF(AND($A358="",$B358=""),"",IF(OR($E358="",$H358="",$H358="Proposed",$H358="Not Reported"),0,IF(AND($P358="Y",$Q358&lt;&gt;"Y"),0,IF(AND($K358="Point",N($L358)&lt;=0),0,IF(AND(N($L358)&lt;=0,N($N358)&lt;=0,N($R358)+N($S358)&lt;=0),0,1)))))</f>
        <v/>
      </c>
      <c r="AA358" s="21">
        <f>IF(AND($A358="",$B358=""),"",IF($E358="","Site type missing",IF($H358="","STATUS missing",IF($H358="Proposed","STATUS = Proposed",IF($H358="Not Reported","STATUS = Not Reported",IF(AND($P358="Y",$Q358&lt;&gt;"Y"),"UNESCO-MAB Biosphere Reserve",IF(AND($K358="Point",N($L358)&lt;=0),"Point without REP_AREA",IF(AND(N($L358)&lt;=0,N($N358)&lt;=0,N($R358)+N($S358)&lt;=0),"No area information",""))))))))</f>
        <v/>
      </c>
      <c r="AB358" s="22">
        <f>IF(AND($A358="",$B358=""),"",IF($K358="Point",N($L358),IF(N($N358)&gt;0,N($N358),N($L358))))</f>
        <v/>
      </c>
      <c r="AC358" s="22">
        <f>IF(AND($A358="",$B358=""),"",MIN(AB358,IF(N($J358)=0,0,IF(N($J358)=2,AB358,IF(AND($K358&lt;&gt;"Point",N($O358)&gt;0),N($O358),N($M358))))))</f>
        <v/>
      </c>
      <c r="AD358" s="22">
        <f>IF(AND($A358="",$B358=""),"",MAX(0,AB358-AC358))</f>
        <v/>
      </c>
      <c r="AE358" s="21">
        <f>IF(AND($A358="",$B358=""),"",IF(OR($R358&lt;&gt;"",$S358&lt;&gt;""),1,0))</f>
        <v/>
      </c>
      <c r="AF358" s="22">
        <f>IF(AND($A358="",$B358=""),"",IF(Z358=1,IF(AE358=1,N($R358),AD358),0))</f>
        <v/>
      </c>
      <c r="AG358" s="22">
        <f>IF(AND($A358="",$B358=""),"",IF(Z358=1,IF(AE358=1,N($S358),AC358),0))</f>
        <v/>
      </c>
      <c r="AH358" s="21">
        <f>IF(AND($A358="",$B358=""),"",IF(AND(ISNUMBER($I358),N($I358)&gt;0),$I358,0))</f>
        <v/>
      </c>
      <c r="AI358" s="23">
        <f>IF(AND(NOT(AND($A358="",$B358="")),$K358="Point",N($L358)&gt;0),SQRT(N($L358)/PI()),"")</f>
        <v/>
      </c>
      <c r="AJ358" s="21">
        <f>IF(AND($A358="",$B358=""),"",IFERROR(VLOOKUP($G358,Lists!$D$4:$E$15,2,FALSE),"Not reported"))</f>
        <v/>
      </c>
      <c r="AK358" s="21">
        <f>IF(AND($A358="",$B358=""),"",IF($X358&lt;&gt;"",$X358,IF($T358&lt;&gt;"Y","Not assessed",IF(AND(ISNUMBER($V358),Setup!$B$6-$V358&gt;Setup!$B$26),"Assessment outdated",IF(NOT(ISNUMBER($W358)),"Assessed – no score",IF($W358&gt;=Setup!$B$24,"High",IF($W358&gt;=Setup!$B$25,"Moderate","Low")))))))</f>
        <v/>
      </c>
      <c r="AL358" s="21">
        <f>IF(AND($A358="",$B358=""),"",IF(Z358=0,"",IF(AND(AE358=1,N($R358)&gt;AD358*1.01+0.001),"Net terrestrial &gt; gross; ","")&amp;IF(AND(AE358=1,N($S358)&gt;AC358*1.01+0.001),"Net marine &gt; gross; ","")&amp;IF(AE358=0,"No net area – gross used, overlaps may be double-counted; ","")&amp;IF(AH358=0,"STATUS_YR missing – imputed in time series; ","")&amp;IF(AND(ISNUMBER($I358),N($I358)&gt;Setup!$B$6),"STATUS_YR after reporting year; ","")&amp;IF(OR($G358="",$G358="Not Reported"),"GOV_TYPE not reported; ","")&amp;IF(AND(N($J358)=1,$K358="Point",N($M358)&lt;=0),"Coastal point without REP_M_AREA – land/sea split unknown; ","")&amp;IF(AND(N($J358)=0,N($S358)&gt;0),"MARINE=0 but net marine &gt;0; ","")&amp;IF(AND(N($J358)=2,N($R358)&gt;0),"MARINE=2 but net terrestrial &gt;0; ","")&amp;IF($K358="Point","Buffered point – coverage approximate; ","")))</f>
        <v/>
      </c>
    </row>
    <row r="359">
      <c r="A359" s="19" t="n"/>
      <c r="B359" s="19" t="n"/>
      <c r="C359" s="19" t="n"/>
      <c r="D359" s="19" t="n"/>
      <c r="E359" s="19" t="n"/>
      <c r="F359" s="19" t="n"/>
      <c r="G359" s="19" t="n"/>
      <c r="H359" s="19" t="n"/>
      <c r="I359" s="19" t="n"/>
      <c r="J359" s="19" t="n"/>
      <c r="K359" s="19" t="n"/>
      <c r="L359" s="20" t="n"/>
      <c r="M359" s="20" t="n"/>
      <c r="N359" s="20" t="n"/>
      <c r="O359" s="20" t="n"/>
      <c r="P359" s="19" t="n"/>
      <c r="Q359" s="19" t="n"/>
      <c r="R359" s="20" t="n"/>
      <c r="S359" s="20" t="n"/>
      <c r="T359" s="19" t="n"/>
      <c r="U359" s="19" t="n"/>
      <c r="V359" s="19" t="n"/>
      <c r="W359" s="19" t="n"/>
      <c r="X359" s="19" t="n"/>
      <c r="Y359" s="19" t="n"/>
      <c r="Z359" s="21">
        <f>IF(AND($A359="",$B359=""),"",IF(OR($E359="",$H359="",$H359="Proposed",$H359="Not Reported"),0,IF(AND($P359="Y",$Q359&lt;&gt;"Y"),0,IF(AND($K359="Point",N($L359)&lt;=0),0,IF(AND(N($L359)&lt;=0,N($N359)&lt;=0,N($R359)+N($S359)&lt;=0),0,1)))))</f>
        <v/>
      </c>
      <c r="AA359" s="21">
        <f>IF(AND($A359="",$B359=""),"",IF($E359="","Site type missing",IF($H359="","STATUS missing",IF($H359="Proposed","STATUS = Proposed",IF($H359="Not Reported","STATUS = Not Reported",IF(AND($P359="Y",$Q359&lt;&gt;"Y"),"UNESCO-MAB Biosphere Reserve",IF(AND($K359="Point",N($L359)&lt;=0),"Point without REP_AREA",IF(AND(N($L359)&lt;=0,N($N359)&lt;=0,N($R359)+N($S359)&lt;=0),"No area information",""))))))))</f>
        <v/>
      </c>
      <c r="AB359" s="22">
        <f>IF(AND($A359="",$B359=""),"",IF($K359="Point",N($L359),IF(N($N359)&gt;0,N($N359),N($L359))))</f>
        <v/>
      </c>
      <c r="AC359" s="22">
        <f>IF(AND($A359="",$B359=""),"",MIN(AB359,IF(N($J359)=0,0,IF(N($J359)=2,AB359,IF(AND($K359&lt;&gt;"Point",N($O359)&gt;0),N($O359),N($M359))))))</f>
        <v/>
      </c>
      <c r="AD359" s="22">
        <f>IF(AND($A359="",$B359=""),"",MAX(0,AB359-AC359))</f>
        <v/>
      </c>
      <c r="AE359" s="21">
        <f>IF(AND($A359="",$B359=""),"",IF(OR($R359&lt;&gt;"",$S359&lt;&gt;""),1,0))</f>
        <v/>
      </c>
      <c r="AF359" s="22">
        <f>IF(AND($A359="",$B359=""),"",IF(Z359=1,IF(AE359=1,N($R359),AD359),0))</f>
        <v/>
      </c>
      <c r="AG359" s="22">
        <f>IF(AND($A359="",$B359=""),"",IF(Z359=1,IF(AE359=1,N($S359),AC359),0))</f>
        <v/>
      </c>
      <c r="AH359" s="21">
        <f>IF(AND($A359="",$B359=""),"",IF(AND(ISNUMBER($I359),N($I359)&gt;0),$I359,0))</f>
        <v/>
      </c>
      <c r="AI359" s="23">
        <f>IF(AND(NOT(AND($A359="",$B359="")),$K359="Point",N($L359)&gt;0),SQRT(N($L359)/PI()),"")</f>
        <v/>
      </c>
      <c r="AJ359" s="21">
        <f>IF(AND($A359="",$B359=""),"",IFERROR(VLOOKUP($G359,Lists!$D$4:$E$15,2,FALSE),"Not reported"))</f>
        <v/>
      </c>
      <c r="AK359" s="21">
        <f>IF(AND($A359="",$B359=""),"",IF($X359&lt;&gt;"",$X359,IF($T359&lt;&gt;"Y","Not assessed",IF(AND(ISNUMBER($V359),Setup!$B$6-$V359&gt;Setup!$B$26),"Assessment outdated",IF(NOT(ISNUMBER($W359)),"Assessed – no score",IF($W359&gt;=Setup!$B$24,"High",IF($W359&gt;=Setup!$B$25,"Moderate","Low")))))))</f>
        <v/>
      </c>
      <c r="AL359" s="21">
        <f>IF(AND($A359="",$B359=""),"",IF(Z359=0,"",IF(AND(AE359=1,N($R359)&gt;AD359*1.01+0.001),"Net terrestrial &gt; gross; ","")&amp;IF(AND(AE359=1,N($S359)&gt;AC359*1.01+0.001),"Net marine &gt; gross; ","")&amp;IF(AE359=0,"No net area – gross used, overlaps may be double-counted; ","")&amp;IF(AH359=0,"STATUS_YR missing – imputed in time series; ","")&amp;IF(AND(ISNUMBER($I359),N($I359)&gt;Setup!$B$6),"STATUS_YR after reporting year; ","")&amp;IF(OR($G359="",$G359="Not Reported"),"GOV_TYPE not reported; ","")&amp;IF(AND(N($J359)=1,$K359="Point",N($M359)&lt;=0),"Coastal point without REP_M_AREA – land/sea split unknown; ","")&amp;IF(AND(N($J359)=0,N($S359)&gt;0),"MARINE=0 but net marine &gt;0; ","")&amp;IF(AND(N($J359)=2,N($R359)&gt;0),"MARINE=2 but net terrestrial &gt;0; ","")&amp;IF($K359="Point","Buffered point – coverage approximate; ","")))</f>
        <v/>
      </c>
    </row>
    <row r="360">
      <c r="A360" s="19" t="n"/>
      <c r="B360" s="19" t="n"/>
      <c r="C360" s="19" t="n"/>
      <c r="D360" s="19" t="n"/>
      <c r="E360" s="19" t="n"/>
      <c r="F360" s="19" t="n"/>
      <c r="G360" s="19" t="n"/>
      <c r="H360" s="19" t="n"/>
      <c r="I360" s="19" t="n"/>
      <c r="J360" s="19" t="n"/>
      <c r="K360" s="19" t="n"/>
      <c r="L360" s="20" t="n"/>
      <c r="M360" s="20" t="n"/>
      <c r="N360" s="20" t="n"/>
      <c r="O360" s="20" t="n"/>
      <c r="P360" s="19" t="n"/>
      <c r="Q360" s="19" t="n"/>
      <c r="R360" s="20" t="n"/>
      <c r="S360" s="20" t="n"/>
      <c r="T360" s="19" t="n"/>
      <c r="U360" s="19" t="n"/>
      <c r="V360" s="19" t="n"/>
      <c r="W360" s="19" t="n"/>
      <c r="X360" s="19" t="n"/>
      <c r="Y360" s="19" t="n"/>
      <c r="Z360" s="21">
        <f>IF(AND($A360="",$B360=""),"",IF(OR($E360="",$H360="",$H360="Proposed",$H360="Not Reported"),0,IF(AND($P360="Y",$Q360&lt;&gt;"Y"),0,IF(AND($K360="Point",N($L360)&lt;=0),0,IF(AND(N($L360)&lt;=0,N($N360)&lt;=0,N($R360)+N($S360)&lt;=0),0,1)))))</f>
        <v/>
      </c>
      <c r="AA360" s="21">
        <f>IF(AND($A360="",$B360=""),"",IF($E360="","Site type missing",IF($H360="","STATUS missing",IF($H360="Proposed","STATUS = Proposed",IF($H360="Not Reported","STATUS = Not Reported",IF(AND($P360="Y",$Q360&lt;&gt;"Y"),"UNESCO-MAB Biosphere Reserve",IF(AND($K360="Point",N($L360)&lt;=0),"Point without REP_AREA",IF(AND(N($L360)&lt;=0,N($N360)&lt;=0,N($R360)+N($S360)&lt;=0),"No area information",""))))))))</f>
        <v/>
      </c>
      <c r="AB360" s="22">
        <f>IF(AND($A360="",$B360=""),"",IF($K360="Point",N($L360),IF(N($N360)&gt;0,N($N360),N($L360))))</f>
        <v/>
      </c>
      <c r="AC360" s="22">
        <f>IF(AND($A360="",$B360=""),"",MIN(AB360,IF(N($J360)=0,0,IF(N($J360)=2,AB360,IF(AND($K360&lt;&gt;"Point",N($O360)&gt;0),N($O360),N($M360))))))</f>
        <v/>
      </c>
      <c r="AD360" s="22">
        <f>IF(AND($A360="",$B360=""),"",MAX(0,AB360-AC360))</f>
        <v/>
      </c>
      <c r="AE360" s="21">
        <f>IF(AND($A360="",$B360=""),"",IF(OR($R360&lt;&gt;"",$S360&lt;&gt;""),1,0))</f>
        <v/>
      </c>
      <c r="AF360" s="22">
        <f>IF(AND($A360="",$B360=""),"",IF(Z360=1,IF(AE360=1,N($R360),AD360),0))</f>
        <v/>
      </c>
      <c r="AG360" s="22">
        <f>IF(AND($A360="",$B360=""),"",IF(Z360=1,IF(AE360=1,N($S360),AC360),0))</f>
        <v/>
      </c>
      <c r="AH360" s="21">
        <f>IF(AND($A360="",$B360=""),"",IF(AND(ISNUMBER($I360),N($I360)&gt;0),$I360,0))</f>
        <v/>
      </c>
      <c r="AI360" s="23">
        <f>IF(AND(NOT(AND($A360="",$B360="")),$K360="Point",N($L360)&gt;0),SQRT(N($L360)/PI()),"")</f>
        <v/>
      </c>
      <c r="AJ360" s="21">
        <f>IF(AND($A360="",$B360=""),"",IFERROR(VLOOKUP($G360,Lists!$D$4:$E$15,2,FALSE),"Not reported"))</f>
        <v/>
      </c>
      <c r="AK360" s="21">
        <f>IF(AND($A360="",$B360=""),"",IF($X360&lt;&gt;"",$X360,IF($T360&lt;&gt;"Y","Not assessed",IF(AND(ISNUMBER($V360),Setup!$B$6-$V360&gt;Setup!$B$26),"Assessment outdated",IF(NOT(ISNUMBER($W360)),"Assessed – no score",IF($W360&gt;=Setup!$B$24,"High",IF($W360&gt;=Setup!$B$25,"Moderate","Low")))))))</f>
        <v/>
      </c>
      <c r="AL360" s="21">
        <f>IF(AND($A360="",$B360=""),"",IF(Z360=0,"",IF(AND(AE360=1,N($R360)&gt;AD360*1.01+0.001),"Net terrestrial &gt; gross; ","")&amp;IF(AND(AE360=1,N($S360)&gt;AC360*1.01+0.001),"Net marine &gt; gross; ","")&amp;IF(AE360=0,"No net area – gross used, overlaps may be double-counted; ","")&amp;IF(AH360=0,"STATUS_YR missing – imputed in time series; ","")&amp;IF(AND(ISNUMBER($I360),N($I360)&gt;Setup!$B$6),"STATUS_YR after reporting year; ","")&amp;IF(OR($G360="",$G360="Not Reported"),"GOV_TYPE not reported; ","")&amp;IF(AND(N($J360)=1,$K360="Point",N($M360)&lt;=0),"Coastal point without REP_M_AREA – land/sea split unknown; ","")&amp;IF(AND(N($J360)=0,N($S360)&gt;0),"MARINE=0 but net marine &gt;0; ","")&amp;IF(AND(N($J360)=2,N($R360)&gt;0),"MARINE=2 but net terrestrial &gt;0; ","")&amp;IF($K360="Point","Buffered point – coverage approximate; ","")))</f>
        <v/>
      </c>
    </row>
    <row r="361">
      <c r="A361" s="19" t="n"/>
      <c r="B361" s="19" t="n"/>
      <c r="C361" s="19" t="n"/>
      <c r="D361" s="19" t="n"/>
      <c r="E361" s="19" t="n"/>
      <c r="F361" s="19" t="n"/>
      <c r="G361" s="19" t="n"/>
      <c r="H361" s="19" t="n"/>
      <c r="I361" s="19" t="n"/>
      <c r="J361" s="19" t="n"/>
      <c r="K361" s="19" t="n"/>
      <c r="L361" s="20" t="n"/>
      <c r="M361" s="20" t="n"/>
      <c r="N361" s="20" t="n"/>
      <c r="O361" s="20" t="n"/>
      <c r="P361" s="19" t="n"/>
      <c r="Q361" s="19" t="n"/>
      <c r="R361" s="20" t="n"/>
      <c r="S361" s="20" t="n"/>
      <c r="T361" s="19" t="n"/>
      <c r="U361" s="19" t="n"/>
      <c r="V361" s="19" t="n"/>
      <c r="W361" s="19" t="n"/>
      <c r="X361" s="19" t="n"/>
      <c r="Y361" s="19" t="n"/>
      <c r="Z361" s="21">
        <f>IF(AND($A361="",$B361=""),"",IF(OR($E361="",$H361="",$H361="Proposed",$H361="Not Reported"),0,IF(AND($P361="Y",$Q361&lt;&gt;"Y"),0,IF(AND($K361="Point",N($L361)&lt;=0),0,IF(AND(N($L361)&lt;=0,N($N361)&lt;=0,N($R361)+N($S361)&lt;=0),0,1)))))</f>
        <v/>
      </c>
      <c r="AA361" s="21">
        <f>IF(AND($A361="",$B361=""),"",IF($E361="","Site type missing",IF($H361="","STATUS missing",IF($H361="Proposed","STATUS = Proposed",IF($H361="Not Reported","STATUS = Not Reported",IF(AND($P361="Y",$Q361&lt;&gt;"Y"),"UNESCO-MAB Biosphere Reserve",IF(AND($K361="Point",N($L361)&lt;=0),"Point without REP_AREA",IF(AND(N($L361)&lt;=0,N($N361)&lt;=0,N($R361)+N($S361)&lt;=0),"No area information",""))))))))</f>
        <v/>
      </c>
      <c r="AB361" s="22">
        <f>IF(AND($A361="",$B361=""),"",IF($K361="Point",N($L361),IF(N($N361)&gt;0,N($N361),N($L361))))</f>
        <v/>
      </c>
      <c r="AC361" s="22">
        <f>IF(AND($A361="",$B361=""),"",MIN(AB361,IF(N($J361)=0,0,IF(N($J361)=2,AB361,IF(AND($K361&lt;&gt;"Point",N($O361)&gt;0),N($O361),N($M361))))))</f>
        <v/>
      </c>
      <c r="AD361" s="22">
        <f>IF(AND($A361="",$B361=""),"",MAX(0,AB361-AC361))</f>
        <v/>
      </c>
      <c r="AE361" s="21">
        <f>IF(AND($A361="",$B361=""),"",IF(OR($R361&lt;&gt;"",$S361&lt;&gt;""),1,0))</f>
        <v/>
      </c>
      <c r="AF361" s="22">
        <f>IF(AND($A361="",$B361=""),"",IF(Z361=1,IF(AE361=1,N($R361),AD361),0))</f>
        <v/>
      </c>
      <c r="AG361" s="22">
        <f>IF(AND($A361="",$B361=""),"",IF(Z361=1,IF(AE361=1,N($S361),AC361),0))</f>
        <v/>
      </c>
      <c r="AH361" s="21">
        <f>IF(AND($A361="",$B361=""),"",IF(AND(ISNUMBER($I361),N($I361)&gt;0),$I361,0))</f>
        <v/>
      </c>
      <c r="AI361" s="23">
        <f>IF(AND(NOT(AND($A361="",$B361="")),$K361="Point",N($L361)&gt;0),SQRT(N($L361)/PI()),"")</f>
        <v/>
      </c>
      <c r="AJ361" s="21">
        <f>IF(AND($A361="",$B361=""),"",IFERROR(VLOOKUP($G361,Lists!$D$4:$E$15,2,FALSE),"Not reported"))</f>
        <v/>
      </c>
      <c r="AK361" s="21">
        <f>IF(AND($A361="",$B361=""),"",IF($X361&lt;&gt;"",$X361,IF($T361&lt;&gt;"Y","Not assessed",IF(AND(ISNUMBER($V361),Setup!$B$6-$V361&gt;Setup!$B$26),"Assessment outdated",IF(NOT(ISNUMBER($W361)),"Assessed – no score",IF($W361&gt;=Setup!$B$24,"High",IF($W361&gt;=Setup!$B$25,"Moderate","Low")))))))</f>
        <v/>
      </c>
      <c r="AL361" s="21">
        <f>IF(AND($A361="",$B361=""),"",IF(Z361=0,"",IF(AND(AE361=1,N($R361)&gt;AD361*1.01+0.001),"Net terrestrial &gt; gross; ","")&amp;IF(AND(AE361=1,N($S361)&gt;AC361*1.01+0.001),"Net marine &gt; gross; ","")&amp;IF(AE361=0,"No net area – gross used, overlaps may be double-counted; ","")&amp;IF(AH361=0,"STATUS_YR missing – imputed in time series; ","")&amp;IF(AND(ISNUMBER($I361),N($I361)&gt;Setup!$B$6),"STATUS_YR after reporting year; ","")&amp;IF(OR($G361="",$G361="Not Reported"),"GOV_TYPE not reported; ","")&amp;IF(AND(N($J361)=1,$K361="Point",N($M361)&lt;=0),"Coastal point without REP_M_AREA – land/sea split unknown; ","")&amp;IF(AND(N($J361)=0,N($S361)&gt;0),"MARINE=0 but net marine &gt;0; ","")&amp;IF(AND(N($J361)=2,N($R361)&gt;0),"MARINE=2 but net terrestrial &gt;0; ","")&amp;IF($K361="Point","Buffered point – coverage approximate; ","")))</f>
        <v/>
      </c>
    </row>
    <row r="362">
      <c r="A362" s="19" t="n"/>
      <c r="B362" s="19" t="n"/>
      <c r="C362" s="19" t="n"/>
      <c r="D362" s="19" t="n"/>
      <c r="E362" s="19" t="n"/>
      <c r="F362" s="19" t="n"/>
      <c r="G362" s="19" t="n"/>
      <c r="H362" s="19" t="n"/>
      <c r="I362" s="19" t="n"/>
      <c r="J362" s="19" t="n"/>
      <c r="K362" s="19" t="n"/>
      <c r="L362" s="20" t="n"/>
      <c r="M362" s="20" t="n"/>
      <c r="N362" s="20" t="n"/>
      <c r="O362" s="20" t="n"/>
      <c r="P362" s="19" t="n"/>
      <c r="Q362" s="19" t="n"/>
      <c r="R362" s="20" t="n"/>
      <c r="S362" s="20" t="n"/>
      <c r="T362" s="19" t="n"/>
      <c r="U362" s="19" t="n"/>
      <c r="V362" s="19" t="n"/>
      <c r="W362" s="19" t="n"/>
      <c r="X362" s="19" t="n"/>
      <c r="Y362" s="19" t="n"/>
      <c r="Z362" s="21">
        <f>IF(AND($A362="",$B362=""),"",IF(OR($E362="",$H362="",$H362="Proposed",$H362="Not Reported"),0,IF(AND($P362="Y",$Q362&lt;&gt;"Y"),0,IF(AND($K362="Point",N($L362)&lt;=0),0,IF(AND(N($L362)&lt;=0,N($N362)&lt;=0,N($R362)+N($S362)&lt;=0),0,1)))))</f>
        <v/>
      </c>
      <c r="AA362" s="21">
        <f>IF(AND($A362="",$B362=""),"",IF($E362="","Site type missing",IF($H362="","STATUS missing",IF($H362="Proposed","STATUS = Proposed",IF($H362="Not Reported","STATUS = Not Reported",IF(AND($P362="Y",$Q362&lt;&gt;"Y"),"UNESCO-MAB Biosphere Reserve",IF(AND($K362="Point",N($L362)&lt;=0),"Point without REP_AREA",IF(AND(N($L362)&lt;=0,N($N362)&lt;=0,N($R362)+N($S362)&lt;=0),"No area information",""))))))))</f>
        <v/>
      </c>
      <c r="AB362" s="22">
        <f>IF(AND($A362="",$B362=""),"",IF($K362="Point",N($L362),IF(N($N362)&gt;0,N($N362),N($L362))))</f>
        <v/>
      </c>
      <c r="AC362" s="22">
        <f>IF(AND($A362="",$B362=""),"",MIN(AB362,IF(N($J362)=0,0,IF(N($J362)=2,AB362,IF(AND($K362&lt;&gt;"Point",N($O362)&gt;0),N($O362),N($M362))))))</f>
        <v/>
      </c>
      <c r="AD362" s="22">
        <f>IF(AND($A362="",$B362=""),"",MAX(0,AB362-AC362))</f>
        <v/>
      </c>
      <c r="AE362" s="21">
        <f>IF(AND($A362="",$B362=""),"",IF(OR($R362&lt;&gt;"",$S362&lt;&gt;""),1,0))</f>
        <v/>
      </c>
      <c r="AF362" s="22">
        <f>IF(AND($A362="",$B362=""),"",IF(Z362=1,IF(AE362=1,N($R362),AD362),0))</f>
        <v/>
      </c>
      <c r="AG362" s="22">
        <f>IF(AND($A362="",$B362=""),"",IF(Z362=1,IF(AE362=1,N($S362),AC362),0))</f>
        <v/>
      </c>
      <c r="AH362" s="21">
        <f>IF(AND($A362="",$B362=""),"",IF(AND(ISNUMBER($I362),N($I362)&gt;0),$I362,0))</f>
        <v/>
      </c>
      <c r="AI362" s="23">
        <f>IF(AND(NOT(AND($A362="",$B362="")),$K362="Point",N($L362)&gt;0),SQRT(N($L362)/PI()),"")</f>
        <v/>
      </c>
      <c r="AJ362" s="21">
        <f>IF(AND($A362="",$B362=""),"",IFERROR(VLOOKUP($G362,Lists!$D$4:$E$15,2,FALSE),"Not reported"))</f>
        <v/>
      </c>
      <c r="AK362" s="21">
        <f>IF(AND($A362="",$B362=""),"",IF($X362&lt;&gt;"",$X362,IF($T362&lt;&gt;"Y","Not assessed",IF(AND(ISNUMBER($V362),Setup!$B$6-$V362&gt;Setup!$B$26),"Assessment outdated",IF(NOT(ISNUMBER($W362)),"Assessed – no score",IF($W362&gt;=Setup!$B$24,"High",IF($W362&gt;=Setup!$B$25,"Moderate","Low")))))))</f>
        <v/>
      </c>
      <c r="AL362" s="21">
        <f>IF(AND($A362="",$B362=""),"",IF(Z362=0,"",IF(AND(AE362=1,N($R362)&gt;AD362*1.01+0.001),"Net terrestrial &gt; gross; ","")&amp;IF(AND(AE362=1,N($S362)&gt;AC362*1.01+0.001),"Net marine &gt; gross; ","")&amp;IF(AE362=0,"No net area – gross used, overlaps may be double-counted; ","")&amp;IF(AH362=0,"STATUS_YR missing – imputed in time series; ","")&amp;IF(AND(ISNUMBER($I362),N($I362)&gt;Setup!$B$6),"STATUS_YR after reporting year; ","")&amp;IF(OR($G362="",$G362="Not Reported"),"GOV_TYPE not reported; ","")&amp;IF(AND(N($J362)=1,$K362="Point",N($M362)&lt;=0),"Coastal point without REP_M_AREA – land/sea split unknown; ","")&amp;IF(AND(N($J362)=0,N($S362)&gt;0),"MARINE=0 but net marine &gt;0; ","")&amp;IF(AND(N($J362)=2,N($R362)&gt;0),"MARINE=2 but net terrestrial &gt;0; ","")&amp;IF($K362="Point","Buffered point – coverage approximate; ","")))</f>
        <v/>
      </c>
    </row>
    <row r="363">
      <c r="A363" s="19" t="n"/>
      <c r="B363" s="19" t="n"/>
      <c r="C363" s="19" t="n"/>
      <c r="D363" s="19" t="n"/>
      <c r="E363" s="19" t="n"/>
      <c r="F363" s="19" t="n"/>
      <c r="G363" s="19" t="n"/>
      <c r="H363" s="19" t="n"/>
      <c r="I363" s="19" t="n"/>
      <c r="J363" s="19" t="n"/>
      <c r="K363" s="19" t="n"/>
      <c r="L363" s="20" t="n"/>
      <c r="M363" s="20" t="n"/>
      <c r="N363" s="20" t="n"/>
      <c r="O363" s="20" t="n"/>
      <c r="P363" s="19" t="n"/>
      <c r="Q363" s="19" t="n"/>
      <c r="R363" s="20" t="n"/>
      <c r="S363" s="20" t="n"/>
      <c r="T363" s="19" t="n"/>
      <c r="U363" s="19" t="n"/>
      <c r="V363" s="19" t="n"/>
      <c r="W363" s="19" t="n"/>
      <c r="X363" s="19" t="n"/>
      <c r="Y363" s="19" t="n"/>
      <c r="Z363" s="21">
        <f>IF(AND($A363="",$B363=""),"",IF(OR($E363="",$H363="",$H363="Proposed",$H363="Not Reported"),0,IF(AND($P363="Y",$Q363&lt;&gt;"Y"),0,IF(AND($K363="Point",N($L363)&lt;=0),0,IF(AND(N($L363)&lt;=0,N($N363)&lt;=0,N($R363)+N($S363)&lt;=0),0,1)))))</f>
        <v/>
      </c>
      <c r="AA363" s="21">
        <f>IF(AND($A363="",$B363=""),"",IF($E363="","Site type missing",IF($H363="","STATUS missing",IF($H363="Proposed","STATUS = Proposed",IF($H363="Not Reported","STATUS = Not Reported",IF(AND($P363="Y",$Q363&lt;&gt;"Y"),"UNESCO-MAB Biosphere Reserve",IF(AND($K363="Point",N($L363)&lt;=0),"Point without REP_AREA",IF(AND(N($L363)&lt;=0,N($N363)&lt;=0,N($R363)+N($S363)&lt;=0),"No area information",""))))))))</f>
        <v/>
      </c>
      <c r="AB363" s="22">
        <f>IF(AND($A363="",$B363=""),"",IF($K363="Point",N($L363),IF(N($N363)&gt;0,N($N363),N($L363))))</f>
        <v/>
      </c>
      <c r="AC363" s="22">
        <f>IF(AND($A363="",$B363=""),"",MIN(AB363,IF(N($J363)=0,0,IF(N($J363)=2,AB363,IF(AND($K363&lt;&gt;"Point",N($O363)&gt;0),N($O363),N($M363))))))</f>
        <v/>
      </c>
      <c r="AD363" s="22">
        <f>IF(AND($A363="",$B363=""),"",MAX(0,AB363-AC363))</f>
        <v/>
      </c>
      <c r="AE363" s="21">
        <f>IF(AND($A363="",$B363=""),"",IF(OR($R363&lt;&gt;"",$S363&lt;&gt;""),1,0))</f>
        <v/>
      </c>
      <c r="AF363" s="22">
        <f>IF(AND($A363="",$B363=""),"",IF(Z363=1,IF(AE363=1,N($R363),AD363),0))</f>
        <v/>
      </c>
      <c r="AG363" s="22">
        <f>IF(AND($A363="",$B363=""),"",IF(Z363=1,IF(AE363=1,N($S363),AC363),0))</f>
        <v/>
      </c>
      <c r="AH363" s="21">
        <f>IF(AND($A363="",$B363=""),"",IF(AND(ISNUMBER($I363),N($I363)&gt;0),$I363,0))</f>
        <v/>
      </c>
      <c r="AI363" s="23">
        <f>IF(AND(NOT(AND($A363="",$B363="")),$K363="Point",N($L363)&gt;0),SQRT(N($L363)/PI()),"")</f>
        <v/>
      </c>
      <c r="AJ363" s="21">
        <f>IF(AND($A363="",$B363=""),"",IFERROR(VLOOKUP($G363,Lists!$D$4:$E$15,2,FALSE),"Not reported"))</f>
        <v/>
      </c>
      <c r="AK363" s="21">
        <f>IF(AND($A363="",$B363=""),"",IF($X363&lt;&gt;"",$X363,IF($T363&lt;&gt;"Y","Not assessed",IF(AND(ISNUMBER($V363),Setup!$B$6-$V363&gt;Setup!$B$26),"Assessment outdated",IF(NOT(ISNUMBER($W363)),"Assessed – no score",IF($W363&gt;=Setup!$B$24,"High",IF($W363&gt;=Setup!$B$25,"Moderate","Low")))))))</f>
        <v/>
      </c>
      <c r="AL363" s="21">
        <f>IF(AND($A363="",$B363=""),"",IF(Z363=0,"",IF(AND(AE363=1,N($R363)&gt;AD363*1.01+0.001),"Net terrestrial &gt; gross; ","")&amp;IF(AND(AE363=1,N($S363)&gt;AC363*1.01+0.001),"Net marine &gt; gross; ","")&amp;IF(AE363=0,"No net area – gross used, overlaps may be double-counted; ","")&amp;IF(AH363=0,"STATUS_YR missing – imputed in time series; ","")&amp;IF(AND(ISNUMBER($I363),N($I363)&gt;Setup!$B$6),"STATUS_YR after reporting year; ","")&amp;IF(OR($G363="",$G363="Not Reported"),"GOV_TYPE not reported; ","")&amp;IF(AND(N($J363)=1,$K363="Point",N($M363)&lt;=0),"Coastal point without REP_M_AREA – land/sea split unknown; ","")&amp;IF(AND(N($J363)=0,N($S363)&gt;0),"MARINE=0 but net marine &gt;0; ","")&amp;IF(AND(N($J363)=2,N($R363)&gt;0),"MARINE=2 but net terrestrial &gt;0; ","")&amp;IF($K363="Point","Buffered point – coverage approximate; ","")))</f>
        <v/>
      </c>
    </row>
    <row r="364">
      <c r="A364" s="19" t="n"/>
      <c r="B364" s="19" t="n"/>
      <c r="C364" s="19" t="n"/>
      <c r="D364" s="19" t="n"/>
      <c r="E364" s="19" t="n"/>
      <c r="F364" s="19" t="n"/>
      <c r="G364" s="19" t="n"/>
      <c r="H364" s="19" t="n"/>
      <c r="I364" s="19" t="n"/>
      <c r="J364" s="19" t="n"/>
      <c r="K364" s="19" t="n"/>
      <c r="L364" s="20" t="n"/>
      <c r="M364" s="20" t="n"/>
      <c r="N364" s="20" t="n"/>
      <c r="O364" s="20" t="n"/>
      <c r="P364" s="19" t="n"/>
      <c r="Q364" s="19" t="n"/>
      <c r="R364" s="20" t="n"/>
      <c r="S364" s="20" t="n"/>
      <c r="T364" s="19" t="n"/>
      <c r="U364" s="19" t="n"/>
      <c r="V364" s="19" t="n"/>
      <c r="W364" s="19" t="n"/>
      <c r="X364" s="19" t="n"/>
      <c r="Y364" s="19" t="n"/>
      <c r="Z364" s="21">
        <f>IF(AND($A364="",$B364=""),"",IF(OR($E364="",$H364="",$H364="Proposed",$H364="Not Reported"),0,IF(AND($P364="Y",$Q364&lt;&gt;"Y"),0,IF(AND($K364="Point",N($L364)&lt;=0),0,IF(AND(N($L364)&lt;=0,N($N364)&lt;=0,N($R364)+N($S364)&lt;=0),0,1)))))</f>
        <v/>
      </c>
      <c r="AA364" s="21">
        <f>IF(AND($A364="",$B364=""),"",IF($E364="","Site type missing",IF($H364="","STATUS missing",IF($H364="Proposed","STATUS = Proposed",IF($H364="Not Reported","STATUS = Not Reported",IF(AND($P364="Y",$Q364&lt;&gt;"Y"),"UNESCO-MAB Biosphere Reserve",IF(AND($K364="Point",N($L364)&lt;=0),"Point without REP_AREA",IF(AND(N($L364)&lt;=0,N($N364)&lt;=0,N($R364)+N($S364)&lt;=0),"No area information",""))))))))</f>
        <v/>
      </c>
      <c r="AB364" s="22">
        <f>IF(AND($A364="",$B364=""),"",IF($K364="Point",N($L364),IF(N($N364)&gt;0,N($N364),N($L364))))</f>
        <v/>
      </c>
      <c r="AC364" s="22">
        <f>IF(AND($A364="",$B364=""),"",MIN(AB364,IF(N($J364)=0,0,IF(N($J364)=2,AB364,IF(AND($K364&lt;&gt;"Point",N($O364)&gt;0),N($O364),N($M364))))))</f>
        <v/>
      </c>
      <c r="AD364" s="22">
        <f>IF(AND($A364="",$B364=""),"",MAX(0,AB364-AC364))</f>
        <v/>
      </c>
      <c r="AE364" s="21">
        <f>IF(AND($A364="",$B364=""),"",IF(OR($R364&lt;&gt;"",$S364&lt;&gt;""),1,0))</f>
        <v/>
      </c>
      <c r="AF364" s="22">
        <f>IF(AND($A364="",$B364=""),"",IF(Z364=1,IF(AE364=1,N($R364),AD364),0))</f>
        <v/>
      </c>
      <c r="AG364" s="22">
        <f>IF(AND($A364="",$B364=""),"",IF(Z364=1,IF(AE364=1,N($S364),AC364),0))</f>
        <v/>
      </c>
      <c r="AH364" s="21">
        <f>IF(AND($A364="",$B364=""),"",IF(AND(ISNUMBER($I364),N($I364)&gt;0),$I364,0))</f>
        <v/>
      </c>
      <c r="AI364" s="23">
        <f>IF(AND(NOT(AND($A364="",$B364="")),$K364="Point",N($L364)&gt;0),SQRT(N($L364)/PI()),"")</f>
        <v/>
      </c>
      <c r="AJ364" s="21">
        <f>IF(AND($A364="",$B364=""),"",IFERROR(VLOOKUP($G364,Lists!$D$4:$E$15,2,FALSE),"Not reported"))</f>
        <v/>
      </c>
      <c r="AK364" s="21">
        <f>IF(AND($A364="",$B364=""),"",IF($X364&lt;&gt;"",$X364,IF($T364&lt;&gt;"Y","Not assessed",IF(AND(ISNUMBER($V364),Setup!$B$6-$V364&gt;Setup!$B$26),"Assessment outdated",IF(NOT(ISNUMBER($W364)),"Assessed – no score",IF($W364&gt;=Setup!$B$24,"High",IF($W364&gt;=Setup!$B$25,"Moderate","Low")))))))</f>
        <v/>
      </c>
      <c r="AL364" s="21">
        <f>IF(AND($A364="",$B364=""),"",IF(Z364=0,"",IF(AND(AE364=1,N($R364)&gt;AD364*1.01+0.001),"Net terrestrial &gt; gross; ","")&amp;IF(AND(AE364=1,N($S364)&gt;AC364*1.01+0.001),"Net marine &gt; gross; ","")&amp;IF(AE364=0,"No net area – gross used, overlaps may be double-counted; ","")&amp;IF(AH364=0,"STATUS_YR missing – imputed in time series; ","")&amp;IF(AND(ISNUMBER($I364),N($I364)&gt;Setup!$B$6),"STATUS_YR after reporting year; ","")&amp;IF(OR($G364="",$G364="Not Reported"),"GOV_TYPE not reported; ","")&amp;IF(AND(N($J364)=1,$K364="Point",N($M364)&lt;=0),"Coastal point without REP_M_AREA – land/sea split unknown; ","")&amp;IF(AND(N($J364)=0,N($S364)&gt;0),"MARINE=0 but net marine &gt;0; ","")&amp;IF(AND(N($J364)=2,N($R364)&gt;0),"MARINE=2 but net terrestrial &gt;0; ","")&amp;IF($K364="Point","Buffered point – coverage approximate; ","")))</f>
        <v/>
      </c>
    </row>
    <row r="365">
      <c r="A365" s="19" t="n"/>
      <c r="B365" s="19" t="n"/>
      <c r="C365" s="19" t="n"/>
      <c r="D365" s="19" t="n"/>
      <c r="E365" s="19" t="n"/>
      <c r="F365" s="19" t="n"/>
      <c r="G365" s="19" t="n"/>
      <c r="H365" s="19" t="n"/>
      <c r="I365" s="19" t="n"/>
      <c r="J365" s="19" t="n"/>
      <c r="K365" s="19" t="n"/>
      <c r="L365" s="20" t="n"/>
      <c r="M365" s="20" t="n"/>
      <c r="N365" s="20" t="n"/>
      <c r="O365" s="20" t="n"/>
      <c r="P365" s="19" t="n"/>
      <c r="Q365" s="19" t="n"/>
      <c r="R365" s="20" t="n"/>
      <c r="S365" s="20" t="n"/>
      <c r="T365" s="19" t="n"/>
      <c r="U365" s="19" t="n"/>
      <c r="V365" s="19" t="n"/>
      <c r="W365" s="19" t="n"/>
      <c r="X365" s="19" t="n"/>
      <c r="Y365" s="19" t="n"/>
      <c r="Z365" s="21">
        <f>IF(AND($A365="",$B365=""),"",IF(OR($E365="",$H365="",$H365="Proposed",$H365="Not Reported"),0,IF(AND($P365="Y",$Q365&lt;&gt;"Y"),0,IF(AND($K365="Point",N($L365)&lt;=0),0,IF(AND(N($L365)&lt;=0,N($N365)&lt;=0,N($R365)+N($S365)&lt;=0),0,1)))))</f>
        <v/>
      </c>
      <c r="AA365" s="21">
        <f>IF(AND($A365="",$B365=""),"",IF($E365="","Site type missing",IF($H365="","STATUS missing",IF($H365="Proposed","STATUS = Proposed",IF($H365="Not Reported","STATUS = Not Reported",IF(AND($P365="Y",$Q365&lt;&gt;"Y"),"UNESCO-MAB Biosphere Reserve",IF(AND($K365="Point",N($L365)&lt;=0),"Point without REP_AREA",IF(AND(N($L365)&lt;=0,N($N365)&lt;=0,N($R365)+N($S365)&lt;=0),"No area information",""))))))))</f>
        <v/>
      </c>
      <c r="AB365" s="22">
        <f>IF(AND($A365="",$B365=""),"",IF($K365="Point",N($L365),IF(N($N365)&gt;0,N($N365),N($L365))))</f>
        <v/>
      </c>
      <c r="AC365" s="22">
        <f>IF(AND($A365="",$B365=""),"",MIN(AB365,IF(N($J365)=0,0,IF(N($J365)=2,AB365,IF(AND($K365&lt;&gt;"Point",N($O365)&gt;0),N($O365),N($M365))))))</f>
        <v/>
      </c>
      <c r="AD365" s="22">
        <f>IF(AND($A365="",$B365=""),"",MAX(0,AB365-AC365))</f>
        <v/>
      </c>
      <c r="AE365" s="21">
        <f>IF(AND($A365="",$B365=""),"",IF(OR($R365&lt;&gt;"",$S365&lt;&gt;""),1,0))</f>
        <v/>
      </c>
      <c r="AF365" s="22">
        <f>IF(AND($A365="",$B365=""),"",IF(Z365=1,IF(AE365=1,N($R365),AD365),0))</f>
        <v/>
      </c>
      <c r="AG365" s="22">
        <f>IF(AND($A365="",$B365=""),"",IF(Z365=1,IF(AE365=1,N($S365),AC365),0))</f>
        <v/>
      </c>
      <c r="AH365" s="21">
        <f>IF(AND($A365="",$B365=""),"",IF(AND(ISNUMBER($I365),N($I365)&gt;0),$I365,0))</f>
        <v/>
      </c>
      <c r="AI365" s="23">
        <f>IF(AND(NOT(AND($A365="",$B365="")),$K365="Point",N($L365)&gt;0),SQRT(N($L365)/PI()),"")</f>
        <v/>
      </c>
      <c r="AJ365" s="21">
        <f>IF(AND($A365="",$B365=""),"",IFERROR(VLOOKUP($G365,Lists!$D$4:$E$15,2,FALSE),"Not reported"))</f>
        <v/>
      </c>
      <c r="AK365" s="21">
        <f>IF(AND($A365="",$B365=""),"",IF($X365&lt;&gt;"",$X365,IF($T365&lt;&gt;"Y","Not assessed",IF(AND(ISNUMBER($V365),Setup!$B$6-$V365&gt;Setup!$B$26),"Assessment outdated",IF(NOT(ISNUMBER($W365)),"Assessed – no score",IF($W365&gt;=Setup!$B$24,"High",IF($W365&gt;=Setup!$B$25,"Moderate","Low")))))))</f>
        <v/>
      </c>
      <c r="AL365" s="21">
        <f>IF(AND($A365="",$B365=""),"",IF(Z365=0,"",IF(AND(AE365=1,N($R365)&gt;AD365*1.01+0.001),"Net terrestrial &gt; gross; ","")&amp;IF(AND(AE365=1,N($S365)&gt;AC365*1.01+0.001),"Net marine &gt; gross; ","")&amp;IF(AE365=0,"No net area – gross used, overlaps may be double-counted; ","")&amp;IF(AH365=0,"STATUS_YR missing – imputed in time series; ","")&amp;IF(AND(ISNUMBER($I365),N($I365)&gt;Setup!$B$6),"STATUS_YR after reporting year; ","")&amp;IF(OR($G365="",$G365="Not Reported"),"GOV_TYPE not reported; ","")&amp;IF(AND(N($J365)=1,$K365="Point",N($M365)&lt;=0),"Coastal point without REP_M_AREA – land/sea split unknown; ","")&amp;IF(AND(N($J365)=0,N($S365)&gt;0),"MARINE=0 but net marine &gt;0; ","")&amp;IF(AND(N($J365)=2,N($R365)&gt;0),"MARINE=2 but net terrestrial &gt;0; ","")&amp;IF($K365="Point","Buffered point – coverage approximate; ","")))</f>
        <v/>
      </c>
    </row>
    <row r="366">
      <c r="A366" s="19" t="n"/>
      <c r="B366" s="19" t="n"/>
      <c r="C366" s="19" t="n"/>
      <c r="D366" s="19" t="n"/>
      <c r="E366" s="19" t="n"/>
      <c r="F366" s="19" t="n"/>
      <c r="G366" s="19" t="n"/>
      <c r="H366" s="19" t="n"/>
      <c r="I366" s="19" t="n"/>
      <c r="J366" s="19" t="n"/>
      <c r="K366" s="19" t="n"/>
      <c r="L366" s="20" t="n"/>
      <c r="M366" s="20" t="n"/>
      <c r="N366" s="20" t="n"/>
      <c r="O366" s="20" t="n"/>
      <c r="P366" s="19" t="n"/>
      <c r="Q366" s="19" t="n"/>
      <c r="R366" s="20" t="n"/>
      <c r="S366" s="20" t="n"/>
      <c r="T366" s="19" t="n"/>
      <c r="U366" s="19" t="n"/>
      <c r="V366" s="19" t="n"/>
      <c r="W366" s="19" t="n"/>
      <c r="X366" s="19" t="n"/>
      <c r="Y366" s="19" t="n"/>
      <c r="Z366" s="21">
        <f>IF(AND($A366="",$B366=""),"",IF(OR($E366="",$H366="",$H366="Proposed",$H366="Not Reported"),0,IF(AND($P366="Y",$Q366&lt;&gt;"Y"),0,IF(AND($K366="Point",N($L366)&lt;=0),0,IF(AND(N($L366)&lt;=0,N($N366)&lt;=0,N($R366)+N($S366)&lt;=0),0,1)))))</f>
        <v/>
      </c>
      <c r="AA366" s="21">
        <f>IF(AND($A366="",$B366=""),"",IF($E366="","Site type missing",IF($H366="","STATUS missing",IF($H366="Proposed","STATUS = Proposed",IF($H366="Not Reported","STATUS = Not Reported",IF(AND($P366="Y",$Q366&lt;&gt;"Y"),"UNESCO-MAB Biosphere Reserve",IF(AND($K366="Point",N($L366)&lt;=0),"Point without REP_AREA",IF(AND(N($L366)&lt;=0,N($N366)&lt;=0,N($R366)+N($S366)&lt;=0),"No area information",""))))))))</f>
        <v/>
      </c>
      <c r="AB366" s="22">
        <f>IF(AND($A366="",$B366=""),"",IF($K366="Point",N($L366),IF(N($N366)&gt;0,N($N366),N($L366))))</f>
        <v/>
      </c>
      <c r="AC366" s="22">
        <f>IF(AND($A366="",$B366=""),"",MIN(AB366,IF(N($J366)=0,0,IF(N($J366)=2,AB366,IF(AND($K366&lt;&gt;"Point",N($O366)&gt;0),N($O366),N($M366))))))</f>
        <v/>
      </c>
      <c r="AD366" s="22">
        <f>IF(AND($A366="",$B366=""),"",MAX(0,AB366-AC366))</f>
        <v/>
      </c>
      <c r="AE366" s="21">
        <f>IF(AND($A366="",$B366=""),"",IF(OR($R366&lt;&gt;"",$S366&lt;&gt;""),1,0))</f>
        <v/>
      </c>
      <c r="AF366" s="22">
        <f>IF(AND($A366="",$B366=""),"",IF(Z366=1,IF(AE366=1,N($R366),AD366),0))</f>
        <v/>
      </c>
      <c r="AG366" s="22">
        <f>IF(AND($A366="",$B366=""),"",IF(Z366=1,IF(AE366=1,N($S366),AC366),0))</f>
        <v/>
      </c>
      <c r="AH366" s="21">
        <f>IF(AND($A366="",$B366=""),"",IF(AND(ISNUMBER($I366),N($I366)&gt;0),$I366,0))</f>
        <v/>
      </c>
      <c r="AI366" s="23">
        <f>IF(AND(NOT(AND($A366="",$B366="")),$K366="Point",N($L366)&gt;0),SQRT(N($L366)/PI()),"")</f>
        <v/>
      </c>
      <c r="AJ366" s="21">
        <f>IF(AND($A366="",$B366=""),"",IFERROR(VLOOKUP($G366,Lists!$D$4:$E$15,2,FALSE),"Not reported"))</f>
        <v/>
      </c>
      <c r="AK366" s="21">
        <f>IF(AND($A366="",$B366=""),"",IF($X366&lt;&gt;"",$X366,IF($T366&lt;&gt;"Y","Not assessed",IF(AND(ISNUMBER($V366),Setup!$B$6-$V366&gt;Setup!$B$26),"Assessment outdated",IF(NOT(ISNUMBER($W366)),"Assessed – no score",IF($W366&gt;=Setup!$B$24,"High",IF($W366&gt;=Setup!$B$25,"Moderate","Low")))))))</f>
        <v/>
      </c>
      <c r="AL366" s="21">
        <f>IF(AND($A366="",$B366=""),"",IF(Z366=0,"",IF(AND(AE366=1,N($R366)&gt;AD366*1.01+0.001),"Net terrestrial &gt; gross; ","")&amp;IF(AND(AE366=1,N($S366)&gt;AC366*1.01+0.001),"Net marine &gt; gross; ","")&amp;IF(AE366=0,"No net area – gross used, overlaps may be double-counted; ","")&amp;IF(AH366=0,"STATUS_YR missing – imputed in time series; ","")&amp;IF(AND(ISNUMBER($I366),N($I366)&gt;Setup!$B$6),"STATUS_YR after reporting year; ","")&amp;IF(OR($G366="",$G366="Not Reported"),"GOV_TYPE not reported; ","")&amp;IF(AND(N($J366)=1,$K366="Point",N($M366)&lt;=0),"Coastal point without REP_M_AREA – land/sea split unknown; ","")&amp;IF(AND(N($J366)=0,N($S366)&gt;0),"MARINE=0 but net marine &gt;0; ","")&amp;IF(AND(N($J366)=2,N($R366)&gt;0),"MARINE=2 but net terrestrial &gt;0; ","")&amp;IF($K366="Point","Buffered point – coverage approximate; ","")))</f>
        <v/>
      </c>
    </row>
    <row r="367">
      <c r="A367" s="19" t="n"/>
      <c r="B367" s="19" t="n"/>
      <c r="C367" s="19" t="n"/>
      <c r="D367" s="19" t="n"/>
      <c r="E367" s="19" t="n"/>
      <c r="F367" s="19" t="n"/>
      <c r="G367" s="19" t="n"/>
      <c r="H367" s="19" t="n"/>
      <c r="I367" s="19" t="n"/>
      <c r="J367" s="19" t="n"/>
      <c r="K367" s="19" t="n"/>
      <c r="L367" s="20" t="n"/>
      <c r="M367" s="20" t="n"/>
      <c r="N367" s="20" t="n"/>
      <c r="O367" s="20" t="n"/>
      <c r="P367" s="19" t="n"/>
      <c r="Q367" s="19" t="n"/>
      <c r="R367" s="20" t="n"/>
      <c r="S367" s="20" t="n"/>
      <c r="T367" s="19" t="n"/>
      <c r="U367" s="19" t="n"/>
      <c r="V367" s="19" t="n"/>
      <c r="W367" s="19" t="n"/>
      <c r="X367" s="19" t="n"/>
      <c r="Y367" s="19" t="n"/>
      <c r="Z367" s="21">
        <f>IF(AND($A367="",$B367=""),"",IF(OR($E367="",$H367="",$H367="Proposed",$H367="Not Reported"),0,IF(AND($P367="Y",$Q367&lt;&gt;"Y"),0,IF(AND($K367="Point",N($L367)&lt;=0),0,IF(AND(N($L367)&lt;=0,N($N367)&lt;=0,N($R367)+N($S367)&lt;=0),0,1)))))</f>
        <v/>
      </c>
      <c r="AA367" s="21">
        <f>IF(AND($A367="",$B367=""),"",IF($E367="","Site type missing",IF($H367="","STATUS missing",IF($H367="Proposed","STATUS = Proposed",IF($H367="Not Reported","STATUS = Not Reported",IF(AND($P367="Y",$Q367&lt;&gt;"Y"),"UNESCO-MAB Biosphere Reserve",IF(AND($K367="Point",N($L367)&lt;=0),"Point without REP_AREA",IF(AND(N($L367)&lt;=0,N($N367)&lt;=0,N($R367)+N($S367)&lt;=0),"No area information",""))))))))</f>
        <v/>
      </c>
      <c r="AB367" s="22">
        <f>IF(AND($A367="",$B367=""),"",IF($K367="Point",N($L367),IF(N($N367)&gt;0,N($N367),N($L367))))</f>
        <v/>
      </c>
      <c r="AC367" s="22">
        <f>IF(AND($A367="",$B367=""),"",MIN(AB367,IF(N($J367)=0,0,IF(N($J367)=2,AB367,IF(AND($K367&lt;&gt;"Point",N($O367)&gt;0),N($O367),N($M367))))))</f>
        <v/>
      </c>
      <c r="AD367" s="22">
        <f>IF(AND($A367="",$B367=""),"",MAX(0,AB367-AC367))</f>
        <v/>
      </c>
      <c r="AE367" s="21">
        <f>IF(AND($A367="",$B367=""),"",IF(OR($R367&lt;&gt;"",$S367&lt;&gt;""),1,0))</f>
        <v/>
      </c>
      <c r="AF367" s="22">
        <f>IF(AND($A367="",$B367=""),"",IF(Z367=1,IF(AE367=1,N($R367),AD367),0))</f>
        <v/>
      </c>
      <c r="AG367" s="22">
        <f>IF(AND($A367="",$B367=""),"",IF(Z367=1,IF(AE367=1,N($S367),AC367),0))</f>
        <v/>
      </c>
      <c r="AH367" s="21">
        <f>IF(AND($A367="",$B367=""),"",IF(AND(ISNUMBER($I367),N($I367)&gt;0),$I367,0))</f>
        <v/>
      </c>
      <c r="AI367" s="23">
        <f>IF(AND(NOT(AND($A367="",$B367="")),$K367="Point",N($L367)&gt;0),SQRT(N($L367)/PI()),"")</f>
        <v/>
      </c>
      <c r="AJ367" s="21">
        <f>IF(AND($A367="",$B367=""),"",IFERROR(VLOOKUP($G367,Lists!$D$4:$E$15,2,FALSE),"Not reported"))</f>
        <v/>
      </c>
      <c r="AK367" s="21">
        <f>IF(AND($A367="",$B367=""),"",IF($X367&lt;&gt;"",$X367,IF($T367&lt;&gt;"Y","Not assessed",IF(AND(ISNUMBER($V367),Setup!$B$6-$V367&gt;Setup!$B$26),"Assessment outdated",IF(NOT(ISNUMBER($W367)),"Assessed – no score",IF($W367&gt;=Setup!$B$24,"High",IF($W367&gt;=Setup!$B$25,"Moderate","Low")))))))</f>
        <v/>
      </c>
      <c r="AL367" s="21">
        <f>IF(AND($A367="",$B367=""),"",IF(Z367=0,"",IF(AND(AE367=1,N($R367)&gt;AD367*1.01+0.001),"Net terrestrial &gt; gross; ","")&amp;IF(AND(AE367=1,N($S367)&gt;AC367*1.01+0.001),"Net marine &gt; gross; ","")&amp;IF(AE367=0,"No net area – gross used, overlaps may be double-counted; ","")&amp;IF(AH367=0,"STATUS_YR missing – imputed in time series; ","")&amp;IF(AND(ISNUMBER($I367),N($I367)&gt;Setup!$B$6),"STATUS_YR after reporting year; ","")&amp;IF(OR($G367="",$G367="Not Reported"),"GOV_TYPE not reported; ","")&amp;IF(AND(N($J367)=1,$K367="Point",N($M367)&lt;=0),"Coastal point without REP_M_AREA – land/sea split unknown; ","")&amp;IF(AND(N($J367)=0,N($S367)&gt;0),"MARINE=0 but net marine &gt;0; ","")&amp;IF(AND(N($J367)=2,N($R367)&gt;0),"MARINE=2 but net terrestrial &gt;0; ","")&amp;IF($K367="Point","Buffered point – coverage approximate; ","")))</f>
        <v/>
      </c>
    </row>
    <row r="368">
      <c r="A368" s="19" t="n"/>
      <c r="B368" s="19" t="n"/>
      <c r="C368" s="19" t="n"/>
      <c r="D368" s="19" t="n"/>
      <c r="E368" s="19" t="n"/>
      <c r="F368" s="19" t="n"/>
      <c r="G368" s="19" t="n"/>
      <c r="H368" s="19" t="n"/>
      <c r="I368" s="19" t="n"/>
      <c r="J368" s="19" t="n"/>
      <c r="K368" s="19" t="n"/>
      <c r="L368" s="20" t="n"/>
      <c r="M368" s="20" t="n"/>
      <c r="N368" s="20" t="n"/>
      <c r="O368" s="20" t="n"/>
      <c r="P368" s="19" t="n"/>
      <c r="Q368" s="19" t="n"/>
      <c r="R368" s="20" t="n"/>
      <c r="S368" s="20" t="n"/>
      <c r="T368" s="19" t="n"/>
      <c r="U368" s="19" t="n"/>
      <c r="V368" s="19" t="n"/>
      <c r="W368" s="19" t="n"/>
      <c r="X368" s="19" t="n"/>
      <c r="Y368" s="19" t="n"/>
      <c r="Z368" s="21">
        <f>IF(AND($A368="",$B368=""),"",IF(OR($E368="",$H368="",$H368="Proposed",$H368="Not Reported"),0,IF(AND($P368="Y",$Q368&lt;&gt;"Y"),0,IF(AND($K368="Point",N($L368)&lt;=0),0,IF(AND(N($L368)&lt;=0,N($N368)&lt;=0,N($R368)+N($S368)&lt;=0),0,1)))))</f>
        <v/>
      </c>
      <c r="AA368" s="21">
        <f>IF(AND($A368="",$B368=""),"",IF($E368="","Site type missing",IF($H368="","STATUS missing",IF($H368="Proposed","STATUS = Proposed",IF($H368="Not Reported","STATUS = Not Reported",IF(AND($P368="Y",$Q368&lt;&gt;"Y"),"UNESCO-MAB Biosphere Reserve",IF(AND($K368="Point",N($L368)&lt;=0),"Point without REP_AREA",IF(AND(N($L368)&lt;=0,N($N368)&lt;=0,N($R368)+N($S368)&lt;=0),"No area information",""))))))))</f>
        <v/>
      </c>
      <c r="AB368" s="22">
        <f>IF(AND($A368="",$B368=""),"",IF($K368="Point",N($L368),IF(N($N368)&gt;0,N($N368),N($L368))))</f>
        <v/>
      </c>
      <c r="AC368" s="22">
        <f>IF(AND($A368="",$B368=""),"",MIN(AB368,IF(N($J368)=0,0,IF(N($J368)=2,AB368,IF(AND($K368&lt;&gt;"Point",N($O368)&gt;0),N($O368),N($M368))))))</f>
        <v/>
      </c>
      <c r="AD368" s="22">
        <f>IF(AND($A368="",$B368=""),"",MAX(0,AB368-AC368))</f>
        <v/>
      </c>
      <c r="AE368" s="21">
        <f>IF(AND($A368="",$B368=""),"",IF(OR($R368&lt;&gt;"",$S368&lt;&gt;""),1,0))</f>
        <v/>
      </c>
      <c r="AF368" s="22">
        <f>IF(AND($A368="",$B368=""),"",IF(Z368=1,IF(AE368=1,N($R368),AD368),0))</f>
        <v/>
      </c>
      <c r="AG368" s="22">
        <f>IF(AND($A368="",$B368=""),"",IF(Z368=1,IF(AE368=1,N($S368),AC368),0))</f>
        <v/>
      </c>
      <c r="AH368" s="21">
        <f>IF(AND($A368="",$B368=""),"",IF(AND(ISNUMBER($I368),N($I368)&gt;0),$I368,0))</f>
        <v/>
      </c>
      <c r="AI368" s="23">
        <f>IF(AND(NOT(AND($A368="",$B368="")),$K368="Point",N($L368)&gt;0),SQRT(N($L368)/PI()),"")</f>
        <v/>
      </c>
      <c r="AJ368" s="21">
        <f>IF(AND($A368="",$B368=""),"",IFERROR(VLOOKUP($G368,Lists!$D$4:$E$15,2,FALSE),"Not reported"))</f>
        <v/>
      </c>
      <c r="AK368" s="21">
        <f>IF(AND($A368="",$B368=""),"",IF($X368&lt;&gt;"",$X368,IF($T368&lt;&gt;"Y","Not assessed",IF(AND(ISNUMBER($V368),Setup!$B$6-$V368&gt;Setup!$B$26),"Assessment outdated",IF(NOT(ISNUMBER($W368)),"Assessed – no score",IF($W368&gt;=Setup!$B$24,"High",IF($W368&gt;=Setup!$B$25,"Moderate","Low")))))))</f>
        <v/>
      </c>
      <c r="AL368" s="21">
        <f>IF(AND($A368="",$B368=""),"",IF(Z368=0,"",IF(AND(AE368=1,N($R368)&gt;AD368*1.01+0.001),"Net terrestrial &gt; gross; ","")&amp;IF(AND(AE368=1,N($S368)&gt;AC368*1.01+0.001),"Net marine &gt; gross; ","")&amp;IF(AE368=0,"No net area – gross used, overlaps may be double-counted; ","")&amp;IF(AH368=0,"STATUS_YR missing – imputed in time series; ","")&amp;IF(AND(ISNUMBER($I368),N($I368)&gt;Setup!$B$6),"STATUS_YR after reporting year; ","")&amp;IF(OR($G368="",$G368="Not Reported"),"GOV_TYPE not reported; ","")&amp;IF(AND(N($J368)=1,$K368="Point",N($M368)&lt;=0),"Coastal point without REP_M_AREA – land/sea split unknown; ","")&amp;IF(AND(N($J368)=0,N($S368)&gt;0),"MARINE=0 but net marine &gt;0; ","")&amp;IF(AND(N($J368)=2,N($R368)&gt;0),"MARINE=2 but net terrestrial &gt;0; ","")&amp;IF($K368="Point","Buffered point – coverage approximate; ","")))</f>
        <v/>
      </c>
    </row>
    <row r="369">
      <c r="A369" s="19" t="n"/>
      <c r="B369" s="19" t="n"/>
      <c r="C369" s="19" t="n"/>
      <c r="D369" s="19" t="n"/>
      <c r="E369" s="19" t="n"/>
      <c r="F369" s="19" t="n"/>
      <c r="G369" s="19" t="n"/>
      <c r="H369" s="19" t="n"/>
      <c r="I369" s="19" t="n"/>
      <c r="J369" s="19" t="n"/>
      <c r="K369" s="19" t="n"/>
      <c r="L369" s="20" t="n"/>
      <c r="M369" s="20" t="n"/>
      <c r="N369" s="20" t="n"/>
      <c r="O369" s="20" t="n"/>
      <c r="P369" s="19" t="n"/>
      <c r="Q369" s="19" t="n"/>
      <c r="R369" s="20" t="n"/>
      <c r="S369" s="20" t="n"/>
      <c r="T369" s="19" t="n"/>
      <c r="U369" s="19" t="n"/>
      <c r="V369" s="19" t="n"/>
      <c r="W369" s="19" t="n"/>
      <c r="X369" s="19" t="n"/>
      <c r="Y369" s="19" t="n"/>
      <c r="Z369" s="21">
        <f>IF(AND($A369="",$B369=""),"",IF(OR($E369="",$H369="",$H369="Proposed",$H369="Not Reported"),0,IF(AND($P369="Y",$Q369&lt;&gt;"Y"),0,IF(AND($K369="Point",N($L369)&lt;=0),0,IF(AND(N($L369)&lt;=0,N($N369)&lt;=0,N($R369)+N($S369)&lt;=0),0,1)))))</f>
        <v/>
      </c>
      <c r="AA369" s="21">
        <f>IF(AND($A369="",$B369=""),"",IF($E369="","Site type missing",IF($H369="","STATUS missing",IF($H369="Proposed","STATUS = Proposed",IF($H369="Not Reported","STATUS = Not Reported",IF(AND($P369="Y",$Q369&lt;&gt;"Y"),"UNESCO-MAB Biosphere Reserve",IF(AND($K369="Point",N($L369)&lt;=0),"Point without REP_AREA",IF(AND(N($L369)&lt;=0,N($N369)&lt;=0,N($R369)+N($S369)&lt;=0),"No area information",""))))))))</f>
        <v/>
      </c>
      <c r="AB369" s="22">
        <f>IF(AND($A369="",$B369=""),"",IF($K369="Point",N($L369),IF(N($N369)&gt;0,N($N369),N($L369))))</f>
        <v/>
      </c>
      <c r="AC369" s="22">
        <f>IF(AND($A369="",$B369=""),"",MIN(AB369,IF(N($J369)=0,0,IF(N($J369)=2,AB369,IF(AND($K369&lt;&gt;"Point",N($O369)&gt;0),N($O369),N($M369))))))</f>
        <v/>
      </c>
      <c r="AD369" s="22">
        <f>IF(AND($A369="",$B369=""),"",MAX(0,AB369-AC369))</f>
        <v/>
      </c>
      <c r="AE369" s="21">
        <f>IF(AND($A369="",$B369=""),"",IF(OR($R369&lt;&gt;"",$S369&lt;&gt;""),1,0))</f>
        <v/>
      </c>
      <c r="AF369" s="22">
        <f>IF(AND($A369="",$B369=""),"",IF(Z369=1,IF(AE369=1,N($R369),AD369),0))</f>
        <v/>
      </c>
      <c r="AG369" s="22">
        <f>IF(AND($A369="",$B369=""),"",IF(Z369=1,IF(AE369=1,N($S369),AC369),0))</f>
        <v/>
      </c>
      <c r="AH369" s="21">
        <f>IF(AND($A369="",$B369=""),"",IF(AND(ISNUMBER($I369),N($I369)&gt;0),$I369,0))</f>
        <v/>
      </c>
      <c r="AI369" s="23">
        <f>IF(AND(NOT(AND($A369="",$B369="")),$K369="Point",N($L369)&gt;0),SQRT(N($L369)/PI()),"")</f>
        <v/>
      </c>
      <c r="AJ369" s="21">
        <f>IF(AND($A369="",$B369=""),"",IFERROR(VLOOKUP($G369,Lists!$D$4:$E$15,2,FALSE),"Not reported"))</f>
        <v/>
      </c>
      <c r="AK369" s="21">
        <f>IF(AND($A369="",$B369=""),"",IF($X369&lt;&gt;"",$X369,IF($T369&lt;&gt;"Y","Not assessed",IF(AND(ISNUMBER($V369),Setup!$B$6-$V369&gt;Setup!$B$26),"Assessment outdated",IF(NOT(ISNUMBER($W369)),"Assessed – no score",IF($W369&gt;=Setup!$B$24,"High",IF($W369&gt;=Setup!$B$25,"Moderate","Low")))))))</f>
        <v/>
      </c>
      <c r="AL369" s="21">
        <f>IF(AND($A369="",$B369=""),"",IF(Z369=0,"",IF(AND(AE369=1,N($R369)&gt;AD369*1.01+0.001),"Net terrestrial &gt; gross; ","")&amp;IF(AND(AE369=1,N($S369)&gt;AC369*1.01+0.001),"Net marine &gt; gross; ","")&amp;IF(AE369=0,"No net area – gross used, overlaps may be double-counted; ","")&amp;IF(AH369=0,"STATUS_YR missing – imputed in time series; ","")&amp;IF(AND(ISNUMBER($I369),N($I369)&gt;Setup!$B$6),"STATUS_YR after reporting year; ","")&amp;IF(OR($G369="",$G369="Not Reported"),"GOV_TYPE not reported; ","")&amp;IF(AND(N($J369)=1,$K369="Point",N($M369)&lt;=0),"Coastal point without REP_M_AREA – land/sea split unknown; ","")&amp;IF(AND(N($J369)=0,N($S369)&gt;0),"MARINE=0 but net marine &gt;0; ","")&amp;IF(AND(N($J369)=2,N($R369)&gt;0),"MARINE=2 but net terrestrial &gt;0; ","")&amp;IF($K369="Point","Buffered point – coverage approximate; ","")))</f>
        <v/>
      </c>
    </row>
    <row r="370">
      <c r="A370" s="19" t="n"/>
      <c r="B370" s="19" t="n"/>
      <c r="C370" s="19" t="n"/>
      <c r="D370" s="19" t="n"/>
      <c r="E370" s="19" t="n"/>
      <c r="F370" s="19" t="n"/>
      <c r="G370" s="19" t="n"/>
      <c r="H370" s="19" t="n"/>
      <c r="I370" s="19" t="n"/>
      <c r="J370" s="19" t="n"/>
      <c r="K370" s="19" t="n"/>
      <c r="L370" s="20" t="n"/>
      <c r="M370" s="20" t="n"/>
      <c r="N370" s="20" t="n"/>
      <c r="O370" s="20" t="n"/>
      <c r="P370" s="19" t="n"/>
      <c r="Q370" s="19" t="n"/>
      <c r="R370" s="20" t="n"/>
      <c r="S370" s="20" t="n"/>
      <c r="T370" s="19" t="n"/>
      <c r="U370" s="19" t="n"/>
      <c r="V370" s="19" t="n"/>
      <c r="W370" s="19" t="n"/>
      <c r="X370" s="19" t="n"/>
      <c r="Y370" s="19" t="n"/>
      <c r="Z370" s="21">
        <f>IF(AND($A370="",$B370=""),"",IF(OR($E370="",$H370="",$H370="Proposed",$H370="Not Reported"),0,IF(AND($P370="Y",$Q370&lt;&gt;"Y"),0,IF(AND($K370="Point",N($L370)&lt;=0),0,IF(AND(N($L370)&lt;=0,N($N370)&lt;=0,N($R370)+N($S370)&lt;=0),0,1)))))</f>
        <v/>
      </c>
      <c r="AA370" s="21">
        <f>IF(AND($A370="",$B370=""),"",IF($E370="","Site type missing",IF($H370="","STATUS missing",IF($H370="Proposed","STATUS = Proposed",IF($H370="Not Reported","STATUS = Not Reported",IF(AND($P370="Y",$Q370&lt;&gt;"Y"),"UNESCO-MAB Biosphere Reserve",IF(AND($K370="Point",N($L370)&lt;=0),"Point without REP_AREA",IF(AND(N($L370)&lt;=0,N($N370)&lt;=0,N($R370)+N($S370)&lt;=0),"No area information",""))))))))</f>
        <v/>
      </c>
      <c r="AB370" s="22">
        <f>IF(AND($A370="",$B370=""),"",IF($K370="Point",N($L370),IF(N($N370)&gt;0,N($N370),N($L370))))</f>
        <v/>
      </c>
      <c r="AC370" s="22">
        <f>IF(AND($A370="",$B370=""),"",MIN(AB370,IF(N($J370)=0,0,IF(N($J370)=2,AB370,IF(AND($K370&lt;&gt;"Point",N($O370)&gt;0),N($O370),N($M370))))))</f>
        <v/>
      </c>
      <c r="AD370" s="22">
        <f>IF(AND($A370="",$B370=""),"",MAX(0,AB370-AC370))</f>
        <v/>
      </c>
      <c r="AE370" s="21">
        <f>IF(AND($A370="",$B370=""),"",IF(OR($R370&lt;&gt;"",$S370&lt;&gt;""),1,0))</f>
        <v/>
      </c>
      <c r="AF370" s="22">
        <f>IF(AND($A370="",$B370=""),"",IF(Z370=1,IF(AE370=1,N($R370),AD370),0))</f>
        <v/>
      </c>
      <c r="AG370" s="22">
        <f>IF(AND($A370="",$B370=""),"",IF(Z370=1,IF(AE370=1,N($S370),AC370),0))</f>
        <v/>
      </c>
      <c r="AH370" s="21">
        <f>IF(AND($A370="",$B370=""),"",IF(AND(ISNUMBER($I370),N($I370)&gt;0),$I370,0))</f>
        <v/>
      </c>
      <c r="AI370" s="23">
        <f>IF(AND(NOT(AND($A370="",$B370="")),$K370="Point",N($L370)&gt;0),SQRT(N($L370)/PI()),"")</f>
        <v/>
      </c>
      <c r="AJ370" s="21">
        <f>IF(AND($A370="",$B370=""),"",IFERROR(VLOOKUP($G370,Lists!$D$4:$E$15,2,FALSE),"Not reported"))</f>
        <v/>
      </c>
      <c r="AK370" s="21">
        <f>IF(AND($A370="",$B370=""),"",IF($X370&lt;&gt;"",$X370,IF($T370&lt;&gt;"Y","Not assessed",IF(AND(ISNUMBER($V370),Setup!$B$6-$V370&gt;Setup!$B$26),"Assessment outdated",IF(NOT(ISNUMBER($W370)),"Assessed – no score",IF($W370&gt;=Setup!$B$24,"High",IF($W370&gt;=Setup!$B$25,"Moderate","Low")))))))</f>
        <v/>
      </c>
      <c r="AL370" s="21">
        <f>IF(AND($A370="",$B370=""),"",IF(Z370=0,"",IF(AND(AE370=1,N($R370)&gt;AD370*1.01+0.001),"Net terrestrial &gt; gross; ","")&amp;IF(AND(AE370=1,N($S370)&gt;AC370*1.01+0.001),"Net marine &gt; gross; ","")&amp;IF(AE370=0,"No net area – gross used, overlaps may be double-counted; ","")&amp;IF(AH370=0,"STATUS_YR missing – imputed in time series; ","")&amp;IF(AND(ISNUMBER($I370),N($I370)&gt;Setup!$B$6),"STATUS_YR after reporting year; ","")&amp;IF(OR($G370="",$G370="Not Reported"),"GOV_TYPE not reported; ","")&amp;IF(AND(N($J370)=1,$K370="Point",N($M370)&lt;=0),"Coastal point without REP_M_AREA – land/sea split unknown; ","")&amp;IF(AND(N($J370)=0,N($S370)&gt;0),"MARINE=0 but net marine &gt;0; ","")&amp;IF(AND(N($J370)=2,N($R370)&gt;0),"MARINE=2 but net terrestrial &gt;0; ","")&amp;IF($K370="Point","Buffered point – coverage approximate; ","")))</f>
        <v/>
      </c>
    </row>
    <row r="371">
      <c r="A371" s="19" t="n"/>
      <c r="B371" s="19" t="n"/>
      <c r="C371" s="19" t="n"/>
      <c r="D371" s="19" t="n"/>
      <c r="E371" s="19" t="n"/>
      <c r="F371" s="19" t="n"/>
      <c r="G371" s="19" t="n"/>
      <c r="H371" s="19" t="n"/>
      <c r="I371" s="19" t="n"/>
      <c r="J371" s="19" t="n"/>
      <c r="K371" s="19" t="n"/>
      <c r="L371" s="20" t="n"/>
      <c r="M371" s="20" t="n"/>
      <c r="N371" s="20" t="n"/>
      <c r="O371" s="20" t="n"/>
      <c r="P371" s="19" t="n"/>
      <c r="Q371" s="19" t="n"/>
      <c r="R371" s="20" t="n"/>
      <c r="S371" s="20" t="n"/>
      <c r="T371" s="19" t="n"/>
      <c r="U371" s="19" t="n"/>
      <c r="V371" s="19" t="n"/>
      <c r="W371" s="19" t="n"/>
      <c r="X371" s="19" t="n"/>
      <c r="Y371" s="19" t="n"/>
      <c r="Z371" s="21">
        <f>IF(AND($A371="",$B371=""),"",IF(OR($E371="",$H371="",$H371="Proposed",$H371="Not Reported"),0,IF(AND($P371="Y",$Q371&lt;&gt;"Y"),0,IF(AND($K371="Point",N($L371)&lt;=0),0,IF(AND(N($L371)&lt;=0,N($N371)&lt;=0,N($R371)+N($S371)&lt;=0),0,1)))))</f>
        <v/>
      </c>
      <c r="AA371" s="21">
        <f>IF(AND($A371="",$B371=""),"",IF($E371="","Site type missing",IF($H371="","STATUS missing",IF($H371="Proposed","STATUS = Proposed",IF($H371="Not Reported","STATUS = Not Reported",IF(AND($P371="Y",$Q371&lt;&gt;"Y"),"UNESCO-MAB Biosphere Reserve",IF(AND($K371="Point",N($L371)&lt;=0),"Point without REP_AREA",IF(AND(N($L371)&lt;=0,N($N371)&lt;=0,N($R371)+N($S371)&lt;=0),"No area information",""))))))))</f>
        <v/>
      </c>
      <c r="AB371" s="22">
        <f>IF(AND($A371="",$B371=""),"",IF($K371="Point",N($L371),IF(N($N371)&gt;0,N($N371),N($L371))))</f>
        <v/>
      </c>
      <c r="AC371" s="22">
        <f>IF(AND($A371="",$B371=""),"",MIN(AB371,IF(N($J371)=0,0,IF(N($J371)=2,AB371,IF(AND($K371&lt;&gt;"Point",N($O371)&gt;0),N($O371),N($M371))))))</f>
        <v/>
      </c>
      <c r="AD371" s="22">
        <f>IF(AND($A371="",$B371=""),"",MAX(0,AB371-AC371))</f>
        <v/>
      </c>
      <c r="AE371" s="21">
        <f>IF(AND($A371="",$B371=""),"",IF(OR($R371&lt;&gt;"",$S371&lt;&gt;""),1,0))</f>
        <v/>
      </c>
      <c r="AF371" s="22">
        <f>IF(AND($A371="",$B371=""),"",IF(Z371=1,IF(AE371=1,N($R371),AD371),0))</f>
        <v/>
      </c>
      <c r="AG371" s="22">
        <f>IF(AND($A371="",$B371=""),"",IF(Z371=1,IF(AE371=1,N($S371),AC371),0))</f>
        <v/>
      </c>
      <c r="AH371" s="21">
        <f>IF(AND($A371="",$B371=""),"",IF(AND(ISNUMBER($I371),N($I371)&gt;0),$I371,0))</f>
        <v/>
      </c>
      <c r="AI371" s="23">
        <f>IF(AND(NOT(AND($A371="",$B371="")),$K371="Point",N($L371)&gt;0),SQRT(N($L371)/PI()),"")</f>
        <v/>
      </c>
      <c r="AJ371" s="21">
        <f>IF(AND($A371="",$B371=""),"",IFERROR(VLOOKUP($G371,Lists!$D$4:$E$15,2,FALSE),"Not reported"))</f>
        <v/>
      </c>
      <c r="AK371" s="21">
        <f>IF(AND($A371="",$B371=""),"",IF($X371&lt;&gt;"",$X371,IF($T371&lt;&gt;"Y","Not assessed",IF(AND(ISNUMBER($V371),Setup!$B$6-$V371&gt;Setup!$B$26),"Assessment outdated",IF(NOT(ISNUMBER($W371)),"Assessed – no score",IF($W371&gt;=Setup!$B$24,"High",IF($W371&gt;=Setup!$B$25,"Moderate","Low")))))))</f>
        <v/>
      </c>
      <c r="AL371" s="21">
        <f>IF(AND($A371="",$B371=""),"",IF(Z371=0,"",IF(AND(AE371=1,N($R371)&gt;AD371*1.01+0.001),"Net terrestrial &gt; gross; ","")&amp;IF(AND(AE371=1,N($S371)&gt;AC371*1.01+0.001),"Net marine &gt; gross; ","")&amp;IF(AE371=0,"No net area – gross used, overlaps may be double-counted; ","")&amp;IF(AH371=0,"STATUS_YR missing – imputed in time series; ","")&amp;IF(AND(ISNUMBER($I371),N($I371)&gt;Setup!$B$6),"STATUS_YR after reporting year; ","")&amp;IF(OR($G371="",$G371="Not Reported"),"GOV_TYPE not reported; ","")&amp;IF(AND(N($J371)=1,$K371="Point",N($M371)&lt;=0),"Coastal point without REP_M_AREA – land/sea split unknown; ","")&amp;IF(AND(N($J371)=0,N($S371)&gt;0),"MARINE=0 but net marine &gt;0; ","")&amp;IF(AND(N($J371)=2,N($R371)&gt;0),"MARINE=2 but net terrestrial &gt;0; ","")&amp;IF($K371="Point","Buffered point – coverage approximate; ","")))</f>
        <v/>
      </c>
    </row>
    <row r="372">
      <c r="A372" s="19" t="n"/>
      <c r="B372" s="19" t="n"/>
      <c r="C372" s="19" t="n"/>
      <c r="D372" s="19" t="n"/>
      <c r="E372" s="19" t="n"/>
      <c r="F372" s="19" t="n"/>
      <c r="G372" s="19" t="n"/>
      <c r="H372" s="19" t="n"/>
      <c r="I372" s="19" t="n"/>
      <c r="J372" s="19" t="n"/>
      <c r="K372" s="19" t="n"/>
      <c r="L372" s="20" t="n"/>
      <c r="M372" s="20" t="n"/>
      <c r="N372" s="20" t="n"/>
      <c r="O372" s="20" t="n"/>
      <c r="P372" s="19" t="n"/>
      <c r="Q372" s="19" t="n"/>
      <c r="R372" s="20" t="n"/>
      <c r="S372" s="20" t="n"/>
      <c r="T372" s="19" t="n"/>
      <c r="U372" s="19" t="n"/>
      <c r="V372" s="19" t="n"/>
      <c r="W372" s="19" t="n"/>
      <c r="X372" s="19" t="n"/>
      <c r="Y372" s="19" t="n"/>
      <c r="Z372" s="21">
        <f>IF(AND($A372="",$B372=""),"",IF(OR($E372="",$H372="",$H372="Proposed",$H372="Not Reported"),0,IF(AND($P372="Y",$Q372&lt;&gt;"Y"),0,IF(AND($K372="Point",N($L372)&lt;=0),0,IF(AND(N($L372)&lt;=0,N($N372)&lt;=0,N($R372)+N($S372)&lt;=0),0,1)))))</f>
        <v/>
      </c>
      <c r="AA372" s="21">
        <f>IF(AND($A372="",$B372=""),"",IF($E372="","Site type missing",IF($H372="","STATUS missing",IF($H372="Proposed","STATUS = Proposed",IF($H372="Not Reported","STATUS = Not Reported",IF(AND($P372="Y",$Q372&lt;&gt;"Y"),"UNESCO-MAB Biosphere Reserve",IF(AND($K372="Point",N($L372)&lt;=0),"Point without REP_AREA",IF(AND(N($L372)&lt;=0,N($N372)&lt;=0,N($R372)+N($S372)&lt;=0),"No area information",""))))))))</f>
        <v/>
      </c>
      <c r="AB372" s="22">
        <f>IF(AND($A372="",$B372=""),"",IF($K372="Point",N($L372),IF(N($N372)&gt;0,N($N372),N($L372))))</f>
        <v/>
      </c>
      <c r="AC372" s="22">
        <f>IF(AND($A372="",$B372=""),"",MIN(AB372,IF(N($J372)=0,0,IF(N($J372)=2,AB372,IF(AND($K372&lt;&gt;"Point",N($O372)&gt;0),N($O372),N($M372))))))</f>
        <v/>
      </c>
      <c r="AD372" s="22">
        <f>IF(AND($A372="",$B372=""),"",MAX(0,AB372-AC372))</f>
        <v/>
      </c>
      <c r="AE372" s="21">
        <f>IF(AND($A372="",$B372=""),"",IF(OR($R372&lt;&gt;"",$S372&lt;&gt;""),1,0))</f>
        <v/>
      </c>
      <c r="AF372" s="22">
        <f>IF(AND($A372="",$B372=""),"",IF(Z372=1,IF(AE372=1,N($R372),AD372),0))</f>
        <v/>
      </c>
      <c r="AG372" s="22">
        <f>IF(AND($A372="",$B372=""),"",IF(Z372=1,IF(AE372=1,N($S372),AC372),0))</f>
        <v/>
      </c>
      <c r="AH372" s="21">
        <f>IF(AND($A372="",$B372=""),"",IF(AND(ISNUMBER($I372),N($I372)&gt;0),$I372,0))</f>
        <v/>
      </c>
      <c r="AI372" s="23">
        <f>IF(AND(NOT(AND($A372="",$B372="")),$K372="Point",N($L372)&gt;0),SQRT(N($L372)/PI()),"")</f>
        <v/>
      </c>
      <c r="AJ372" s="21">
        <f>IF(AND($A372="",$B372=""),"",IFERROR(VLOOKUP($G372,Lists!$D$4:$E$15,2,FALSE),"Not reported"))</f>
        <v/>
      </c>
      <c r="AK372" s="21">
        <f>IF(AND($A372="",$B372=""),"",IF($X372&lt;&gt;"",$X372,IF($T372&lt;&gt;"Y","Not assessed",IF(AND(ISNUMBER($V372),Setup!$B$6-$V372&gt;Setup!$B$26),"Assessment outdated",IF(NOT(ISNUMBER($W372)),"Assessed – no score",IF($W372&gt;=Setup!$B$24,"High",IF($W372&gt;=Setup!$B$25,"Moderate","Low")))))))</f>
        <v/>
      </c>
      <c r="AL372" s="21">
        <f>IF(AND($A372="",$B372=""),"",IF(Z372=0,"",IF(AND(AE372=1,N($R372)&gt;AD372*1.01+0.001),"Net terrestrial &gt; gross; ","")&amp;IF(AND(AE372=1,N($S372)&gt;AC372*1.01+0.001),"Net marine &gt; gross; ","")&amp;IF(AE372=0,"No net area – gross used, overlaps may be double-counted; ","")&amp;IF(AH372=0,"STATUS_YR missing – imputed in time series; ","")&amp;IF(AND(ISNUMBER($I372),N($I372)&gt;Setup!$B$6),"STATUS_YR after reporting year; ","")&amp;IF(OR($G372="",$G372="Not Reported"),"GOV_TYPE not reported; ","")&amp;IF(AND(N($J372)=1,$K372="Point",N($M372)&lt;=0),"Coastal point without REP_M_AREA – land/sea split unknown; ","")&amp;IF(AND(N($J372)=0,N($S372)&gt;0),"MARINE=0 but net marine &gt;0; ","")&amp;IF(AND(N($J372)=2,N($R372)&gt;0),"MARINE=2 but net terrestrial &gt;0; ","")&amp;IF($K372="Point","Buffered point – coverage approximate; ","")))</f>
        <v/>
      </c>
    </row>
    <row r="373">
      <c r="A373" s="19" t="n"/>
      <c r="B373" s="19" t="n"/>
      <c r="C373" s="19" t="n"/>
      <c r="D373" s="19" t="n"/>
      <c r="E373" s="19" t="n"/>
      <c r="F373" s="19" t="n"/>
      <c r="G373" s="19" t="n"/>
      <c r="H373" s="19" t="n"/>
      <c r="I373" s="19" t="n"/>
      <c r="J373" s="19" t="n"/>
      <c r="K373" s="19" t="n"/>
      <c r="L373" s="20" t="n"/>
      <c r="M373" s="20" t="n"/>
      <c r="N373" s="20" t="n"/>
      <c r="O373" s="20" t="n"/>
      <c r="P373" s="19" t="n"/>
      <c r="Q373" s="19" t="n"/>
      <c r="R373" s="20" t="n"/>
      <c r="S373" s="20" t="n"/>
      <c r="T373" s="19" t="n"/>
      <c r="U373" s="19" t="n"/>
      <c r="V373" s="19" t="n"/>
      <c r="W373" s="19" t="n"/>
      <c r="X373" s="19" t="n"/>
      <c r="Y373" s="19" t="n"/>
      <c r="Z373" s="21">
        <f>IF(AND($A373="",$B373=""),"",IF(OR($E373="",$H373="",$H373="Proposed",$H373="Not Reported"),0,IF(AND($P373="Y",$Q373&lt;&gt;"Y"),0,IF(AND($K373="Point",N($L373)&lt;=0),0,IF(AND(N($L373)&lt;=0,N($N373)&lt;=0,N($R373)+N($S373)&lt;=0),0,1)))))</f>
        <v/>
      </c>
      <c r="AA373" s="21">
        <f>IF(AND($A373="",$B373=""),"",IF($E373="","Site type missing",IF($H373="","STATUS missing",IF($H373="Proposed","STATUS = Proposed",IF($H373="Not Reported","STATUS = Not Reported",IF(AND($P373="Y",$Q373&lt;&gt;"Y"),"UNESCO-MAB Biosphere Reserve",IF(AND($K373="Point",N($L373)&lt;=0),"Point without REP_AREA",IF(AND(N($L373)&lt;=0,N($N373)&lt;=0,N($R373)+N($S373)&lt;=0),"No area information",""))))))))</f>
        <v/>
      </c>
      <c r="AB373" s="22">
        <f>IF(AND($A373="",$B373=""),"",IF($K373="Point",N($L373),IF(N($N373)&gt;0,N($N373),N($L373))))</f>
        <v/>
      </c>
      <c r="AC373" s="22">
        <f>IF(AND($A373="",$B373=""),"",MIN(AB373,IF(N($J373)=0,0,IF(N($J373)=2,AB373,IF(AND($K373&lt;&gt;"Point",N($O373)&gt;0),N($O373),N($M373))))))</f>
        <v/>
      </c>
      <c r="AD373" s="22">
        <f>IF(AND($A373="",$B373=""),"",MAX(0,AB373-AC373))</f>
        <v/>
      </c>
      <c r="AE373" s="21">
        <f>IF(AND($A373="",$B373=""),"",IF(OR($R373&lt;&gt;"",$S373&lt;&gt;""),1,0))</f>
        <v/>
      </c>
      <c r="AF373" s="22">
        <f>IF(AND($A373="",$B373=""),"",IF(Z373=1,IF(AE373=1,N($R373),AD373),0))</f>
        <v/>
      </c>
      <c r="AG373" s="22">
        <f>IF(AND($A373="",$B373=""),"",IF(Z373=1,IF(AE373=1,N($S373),AC373),0))</f>
        <v/>
      </c>
      <c r="AH373" s="21">
        <f>IF(AND($A373="",$B373=""),"",IF(AND(ISNUMBER($I373),N($I373)&gt;0),$I373,0))</f>
        <v/>
      </c>
      <c r="AI373" s="23">
        <f>IF(AND(NOT(AND($A373="",$B373="")),$K373="Point",N($L373)&gt;0),SQRT(N($L373)/PI()),"")</f>
        <v/>
      </c>
      <c r="AJ373" s="21">
        <f>IF(AND($A373="",$B373=""),"",IFERROR(VLOOKUP($G373,Lists!$D$4:$E$15,2,FALSE),"Not reported"))</f>
        <v/>
      </c>
      <c r="AK373" s="21">
        <f>IF(AND($A373="",$B373=""),"",IF($X373&lt;&gt;"",$X373,IF($T373&lt;&gt;"Y","Not assessed",IF(AND(ISNUMBER($V373),Setup!$B$6-$V373&gt;Setup!$B$26),"Assessment outdated",IF(NOT(ISNUMBER($W373)),"Assessed – no score",IF($W373&gt;=Setup!$B$24,"High",IF($W373&gt;=Setup!$B$25,"Moderate","Low")))))))</f>
        <v/>
      </c>
      <c r="AL373" s="21">
        <f>IF(AND($A373="",$B373=""),"",IF(Z373=0,"",IF(AND(AE373=1,N($R373)&gt;AD373*1.01+0.001),"Net terrestrial &gt; gross; ","")&amp;IF(AND(AE373=1,N($S373)&gt;AC373*1.01+0.001),"Net marine &gt; gross; ","")&amp;IF(AE373=0,"No net area – gross used, overlaps may be double-counted; ","")&amp;IF(AH373=0,"STATUS_YR missing – imputed in time series; ","")&amp;IF(AND(ISNUMBER($I373),N($I373)&gt;Setup!$B$6),"STATUS_YR after reporting year; ","")&amp;IF(OR($G373="",$G373="Not Reported"),"GOV_TYPE not reported; ","")&amp;IF(AND(N($J373)=1,$K373="Point",N($M373)&lt;=0),"Coastal point without REP_M_AREA – land/sea split unknown; ","")&amp;IF(AND(N($J373)=0,N($S373)&gt;0),"MARINE=0 but net marine &gt;0; ","")&amp;IF(AND(N($J373)=2,N($R373)&gt;0),"MARINE=2 but net terrestrial &gt;0; ","")&amp;IF($K373="Point","Buffered point – coverage approximate; ","")))</f>
        <v/>
      </c>
    </row>
    <row r="374">
      <c r="A374" s="19" t="n"/>
      <c r="B374" s="19" t="n"/>
      <c r="C374" s="19" t="n"/>
      <c r="D374" s="19" t="n"/>
      <c r="E374" s="19" t="n"/>
      <c r="F374" s="19" t="n"/>
      <c r="G374" s="19" t="n"/>
      <c r="H374" s="19" t="n"/>
      <c r="I374" s="19" t="n"/>
      <c r="J374" s="19" t="n"/>
      <c r="K374" s="19" t="n"/>
      <c r="L374" s="20" t="n"/>
      <c r="M374" s="20" t="n"/>
      <c r="N374" s="20" t="n"/>
      <c r="O374" s="20" t="n"/>
      <c r="P374" s="19" t="n"/>
      <c r="Q374" s="19" t="n"/>
      <c r="R374" s="20" t="n"/>
      <c r="S374" s="20" t="n"/>
      <c r="T374" s="19" t="n"/>
      <c r="U374" s="19" t="n"/>
      <c r="V374" s="19" t="n"/>
      <c r="W374" s="19" t="n"/>
      <c r="X374" s="19" t="n"/>
      <c r="Y374" s="19" t="n"/>
      <c r="Z374" s="21">
        <f>IF(AND($A374="",$B374=""),"",IF(OR($E374="",$H374="",$H374="Proposed",$H374="Not Reported"),0,IF(AND($P374="Y",$Q374&lt;&gt;"Y"),0,IF(AND($K374="Point",N($L374)&lt;=0),0,IF(AND(N($L374)&lt;=0,N($N374)&lt;=0,N($R374)+N($S374)&lt;=0),0,1)))))</f>
        <v/>
      </c>
      <c r="AA374" s="21">
        <f>IF(AND($A374="",$B374=""),"",IF($E374="","Site type missing",IF($H374="","STATUS missing",IF($H374="Proposed","STATUS = Proposed",IF($H374="Not Reported","STATUS = Not Reported",IF(AND($P374="Y",$Q374&lt;&gt;"Y"),"UNESCO-MAB Biosphere Reserve",IF(AND($K374="Point",N($L374)&lt;=0),"Point without REP_AREA",IF(AND(N($L374)&lt;=0,N($N374)&lt;=0,N($R374)+N($S374)&lt;=0),"No area information",""))))))))</f>
        <v/>
      </c>
      <c r="AB374" s="22">
        <f>IF(AND($A374="",$B374=""),"",IF($K374="Point",N($L374),IF(N($N374)&gt;0,N($N374),N($L374))))</f>
        <v/>
      </c>
      <c r="AC374" s="22">
        <f>IF(AND($A374="",$B374=""),"",MIN(AB374,IF(N($J374)=0,0,IF(N($J374)=2,AB374,IF(AND($K374&lt;&gt;"Point",N($O374)&gt;0),N($O374),N($M374))))))</f>
        <v/>
      </c>
      <c r="AD374" s="22">
        <f>IF(AND($A374="",$B374=""),"",MAX(0,AB374-AC374))</f>
        <v/>
      </c>
      <c r="AE374" s="21">
        <f>IF(AND($A374="",$B374=""),"",IF(OR($R374&lt;&gt;"",$S374&lt;&gt;""),1,0))</f>
        <v/>
      </c>
      <c r="AF374" s="22">
        <f>IF(AND($A374="",$B374=""),"",IF(Z374=1,IF(AE374=1,N($R374),AD374),0))</f>
        <v/>
      </c>
      <c r="AG374" s="22">
        <f>IF(AND($A374="",$B374=""),"",IF(Z374=1,IF(AE374=1,N($S374),AC374),0))</f>
        <v/>
      </c>
      <c r="AH374" s="21">
        <f>IF(AND($A374="",$B374=""),"",IF(AND(ISNUMBER($I374),N($I374)&gt;0),$I374,0))</f>
        <v/>
      </c>
      <c r="AI374" s="23">
        <f>IF(AND(NOT(AND($A374="",$B374="")),$K374="Point",N($L374)&gt;0),SQRT(N($L374)/PI()),"")</f>
        <v/>
      </c>
      <c r="AJ374" s="21">
        <f>IF(AND($A374="",$B374=""),"",IFERROR(VLOOKUP($G374,Lists!$D$4:$E$15,2,FALSE),"Not reported"))</f>
        <v/>
      </c>
      <c r="AK374" s="21">
        <f>IF(AND($A374="",$B374=""),"",IF($X374&lt;&gt;"",$X374,IF($T374&lt;&gt;"Y","Not assessed",IF(AND(ISNUMBER($V374),Setup!$B$6-$V374&gt;Setup!$B$26),"Assessment outdated",IF(NOT(ISNUMBER($W374)),"Assessed – no score",IF($W374&gt;=Setup!$B$24,"High",IF($W374&gt;=Setup!$B$25,"Moderate","Low")))))))</f>
        <v/>
      </c>
      <c r="AL374" s="21">
        <f>IF(AND($A374="",$B374=""),"",IF(Z374=0,"",IF(AND(AE374=1,N($R374)&gt;AD374*1.01+0.001),"Net terrestrial &gt; gross; ","")&amp;IF(AND(AE374=1,N($S374)&gt;AC374*1.01+0.001),"Net marine &gt; gross; ","")&amp;IF(AE374=0,"No net area – gross used, overlaps may be double-counted; ","")&amp;IF(AH374=0,"STATUS_YR missing – imputed in time series; ","")&amp;IF(AND(ISNUMBER($I374),N($I374)&gt;Setup!$B$6),"STATUS_YR after reporting year; ","")&amp;IF(OR($G374="",$G374="Not Reported"),"GOV_TYPE not reported; ","")&amp;IF(AND(N($J374)=1,$K374="Point",N($M374)&lt;=0),"Coastal point without REP_M_AREA – land/sea split unknown; ","")&amp;IF(AND(N($J374)=0,N($S374)&gt;0),"MARINE=0 but net marine &gt;0; ","")&amp;IF(AND(N($J374)=2,N($R374)&gt;0),"MARINE=2 but net terrestrial &gt;0; ","")&amp;IF($K374="Point","Buffered point – coverage approximate; ","")))</f>
        <v/>
      </c>
    </row>
    <row r="375">
      <c r="A375" s="19" t="n"/>
      <c r="B375" s="19" t="n"/>
      <c r="C375" s="19" t="n"/>
      <c r="D375" s="19" t="n"/>
      <c r="E375" s="19" t="n"/>
      <c r="F375" s="19" t="n"/>
      <c r="G375" s="19" t="n"/>
      <c r="H375" s="19" t="n"/>
      <c r="I375" s="19" t="n"/>
      <c r="J375" s="19" t="n"/>
      <c r="K375" s="19" t="n"/>
      <c r="L375" s="20" t="n"/>
      <c r="M375" s="20" t="n"/>
      <c r="N375" s="20" t="n"/>
      <c r="O375" s="20" t="n"/>
      <c r="P375" s="19" t="n"/>
      <c r="Q375" s="19" t="n"/>
      <c r="R375" s="20" t="n"/>
      <c r="S375" s="20" t="n"/>
      <c r="T375" s="19" t="n"/>
      <c r="U375" s="19" t="n"/>
      <c r="V375" s="19" t="n"/>
      <c r="W375" s="19" t="n"/>
      <c r="X375" s="19" t="n"/>
      <c r="Y375" s="19" t="n"/>
      <c r="Z375" s="21">
        <f>IF(AND($A375="",$B375=""),"",IF(OR($E375="",$H375="",$H375="Proposed",$H375="Not Reported"),0,IF(AND($P375="Y",$Q375&lt;&gt;"Y"),0,IF(AND($K375="Point",N($L375)&lt;=0),0,IF(AND(N($L375)&lt;=0,N($N375)&lt;=0,N($R375)+N($S375)&lt;=0),0,1)))))</f>
        <v/>
      </c>
      <c r="AA375" s="21">
        <f>IF(AND($A375="",$B375=""),"",IF($E375="","Site type missing",IF($H375="","STATUS missing",IF($H375="Proposed","STATUS = Proposed",IF($H375="Not Reported","STATUS = Not Reported",IF(AND($P375="Y",$Q375&lt;&gt;"Y"),"UNESCO-MAB Biosphere Reserve",IF(AND($K375="Point",N($L375)&lt;=0),"Point without REP_AREA",IF(AND(N($L375)&lt;=0,N($N375)&lt;=0,N($R375)+N($S375)&lt;=0),"No area information",""))))))))</f>
        <v/>
      </c>
      <c r="AB375" s="22">
        <f>IF(AND($A375="",$B375=""),"",IF($K375="Point",N($L375),IF(N($N375)&gt;0,N($N375),N($L375))))</f>
        <v/>
      </c>
      <c r="AC375" s="22">
        <f>IF(AND($A375="",$B375=""),"",MIN(AB375,IF(N($J375)=0,0,IF(N($J375)=2,AB375,IF(AND($K375&lt;&gt;"Point",N($O375)&gt;0),N($O375),N($M375))))))</f>
        <v/>
      </c>
      <c r="AD375" s="22">
        <f>IF(AND($A375="",$B375=""),"",MAX(0,AB375-AC375))</f>
        <v/>
      </c>
      <c r="AE375" s="21">
        <f>IF(AND($A375="",$B375=""),"",IF(OR($R375&lt;&gt;"",$S375&lt;&gt;""),1,0))</f>
        <v/>
      </c>
      <c r="AF375" s="22">
        <f>IF(AND($A375="",$B375=""),"",IF(Z375=1,IF(AE375=1,N($R375),AD375),0))</f>
        <v/>
      </c>
      <c r="AG375" s="22">
        <f>IF(AND($A375="",$B375=""),"",IF(Z375=1,IF(AE375=1,N($S375),AC375),0))</f>
        <v/>
      </c>
      <c r="AH375" s="21">
        <f>IF(AND($A375="",$B375=""),"",IF(AND(ISNUMBER($I375),N($I375)&gt;0),$I375,0))</f>
        <v/>
      </c>
      <c r="AI375" s="23">
        <f>IF(AND(NOT(AND($A375="",$B375="")),$K375="Point",N($L375)&gt;0),SQRT(N($L375)/PI()),"")</f>
        <v/>
      </c>
      <c r="AJ375" s="21">
        <f>IF(AND($A375="",$B375=""),"",IFERROR(VLOOKUP($G375,Lists!$D$4:$E$15,2,FALSE),"Not reported"))</f>
        <v/>
      </c>
      <c r="AK375" s="21">
        <f>IF(AND($A375="",$B375=""),"",IF($X375&lt;&gt;"",$X375,IF($T375&lt;&gt;"Y","Not assessed",IF(AND(ISNUMBER($V375),Setup!$B$6-$V375&gt;Setup!$B$26),"Assessment outdated",IF(NOT(ISNUMBER($W375)),"Assessed – no score",IF($W375&gt;=Setup!$B$24,"High",IF($W375&gt;=Setup!$B$25,"Moderate","Low")))))))</f>
        <v/>
      </c>
      <c r="AL375" s="21">
        <f>IF(AND($A375="",$B375=""),"",IF(Z375=0,"",IF(AND(AE375=1,N($R375)&gt;AD375*1.01+0.001),"Net terrestrial &gt; gross; ","")&amp;IF(AND(AE375=1,N($S375)&gt;AC375*1.01+0.001),"Net marine &gt; gross; ","")&amp;IF(AE375=0,"No net area – gross used, overlaps may be double-counted; ","")&amp;IF(AH375=0,"STATUS_YR missing – imputed in time series; ","")&amp;IF(AND(ISNUMBER($I375),N($I375)&gt;Setup!$B$6),"STATUS_YR after reporting year; ","")&amp;IF(OR($G375="",$G375="Not Reported"),"GOV_TYPE not reported; ","")&amp;IF(AND(N($J375)=1,$K375="Point",N($M375)&lt;=0),"Coastal point without REP_M_AREA – land/sea split unknown; ","")&amp;IF(AND(N($J375)=0,N($S375)&gt;0),"MARINE=0 but net marine &gt;0; ","")&amp;IF(AND(N($J375)=2,N($R375)&gt;0),"MARINE=2 but net terrestrial &gt;0; ","")&amp;IF($K375="Point","Buffered point – coverage approximate; ","")))</f>
        <v/>
      </c>
    </row>
    <row r="376">
      <c r="A376" s="19" t="n"/>
      <c r="B376" s="19" t="n"/>
      <c r="C376" s="19" t="n"/>
      <c r="D376" s="19" t="n"/>
      <c r="E376" s="19" t="n"/>
      <c r="F376" s="19" t="n"/>
      <c r="G376" s="19" t="n"/>
      <c r="H376" s="19" t="n"/>
      <c r="I376" s="19" t="n"/>
      <c r="J376" s="19" t="n"/>
      <c r="K376" s="19" t="n"/>
      <c r="L376" s="20" t="n"/>
      <c r="M376" s="20" t="n"/>
      <c r="N376" s="20" t="n"/>
      <c r="O376" s="20" t="n"/>
      <c r="P376" s="19" t="n"/>
      <c r="Q376" s="19" t="n"/>
      <c r="R376" s="20" t="n"/>
      <c r="S376" s="20" t="n"/>
      <c r="T376" s="19" t="n"/>
      <c r="U376" s="19" t="n"/>
      <c r="V376" s="19" t="n"/>
      <c r="W376" s="19" t="n"/>
      <c r="X376" s="19" t="n"/>
      <c r="Y376" s="19" t="n"/>
      <c r="Z376" s="21">
        <f>IF(AND($A376="",$B376=""),"",IF(OR($E376="",$H376="",$H376="Proposed",$H376="Not Reported"),0,IF(AND($P376="Y",$Q376&lt;&gt;"Y"),0,IF(AND($K376="Point",N($L376)&lt;=0),0,IF(AND(N($L376)&lt;=0,N($N376)&lt;=0,N($R376)+N($S376)&lt;=0),0,1)))))</f>
        <v/>
      </c>
      <c r="AA376" s="21">
        <f>IF(AND($A376="",$B376=""),"",IF($E376="","Site type missing",IF($H376="","STATUS missing",IF($H376="Proposed","STATUS = Proposed",IF($H376="Not Reported","STATUS = Not Reported",IF(AND($P376="Y",$Q376&lt;&gt;"Y"),"UNESCO-MAB Biosphere Reserve",IF(AND($K376="Point",N($L376)&lt;=0),"Point without REP_AREA",IF(AND(N($L376)&lt;=0,N($N376)&lt;=0,N($R376)+N($S376)&lt;=0),"No area information",""))))))))</f>
        <v/>
      </c>
      <c r="AB376" s="22">
        <f>IF(AND($A376="",$B376=""),"",IF($K376="Point",N($L376),IF(N($N376)&gt;0,N($N376),N($L376))))</f>
        <v/>
      </c>
      <c r="AC376" s="22">
        <f>IF(AND($A376="",$B376=""),"",MIN(AB376,IF(N($J376)=0,0,IF(N($J376)=2,AB376,IF(AND($K376&lt;&gt;"Point",N($O376)&gt;0),N($O376),N($M376))))))</f>
        <v/>
      </c>
      <c r="AD376" s="22">
        <f>IF(AND($A376="",$B376=""),"",MAX(0,AB376-AC376))</f>
        <v/>
      </c>
      <c r="AE376" s="21">
        <f>IF(AND($A376="",$B376=""),"",IF(OR($R376&lt;&gt;"",$S376&lt;&gt;""),1,0))</f>
        <v/>
      </c>
      <c r="AF376" s="22">
        <f>IF(AND($A376="",$B376=""),"",IF(Z376=1,IF(AE376=1,N($R376),AD376),0))</f>
        <v/>
      </c>
      <c r="AG376" s="22">
        <f>IF(AND($A376="",$B376=""),"",IF(Z376=1,IF(AE376=1,N($S376),AC376),0))</f>
        <v/>
      </c>
      <c r="AH376" s="21">
        <f>IF(AND($A376="",$B376=""),"",IF(AND(ISNUMBER($I376),N($I376)&gt;0),$I376,0))</f>
        <v/>
      </c>
      <c r="AI376" s="23">
        <f>IF(AND(NOT(AND($A376="",$B376="")),$K376="Point",N($L376)&gt;0),SQRT(N($L376)/PI()),"")</f>
        <v/>
      </c>
      <c r="AJ376" s="21">
        <f>IF(AND($A376="",$B376=""),"",IFERROR(VLOOKUP($G376,Lists!$D$4:$E$15,2,FALSE),"Not reported"))</f>
        <v/>
      </c>
      <c r="AK376" s="21">
        <f>IF(AND($A376="",$B376=""),"",IF($X376&lt;&gt;"",$X376,IF($T376&lt;&gt;"Y","Not assessed",IF(AND(ISNUMBER($V376),Setup!$B$6-$V376&gt;Setup!$B$26),"Assessment outdated",IF(NOT(ISNUMBER($W376)),"Assessed – no score",IF($W376&gt;=Setup!$B$24,"High",IF($W376&gt;=Setup!$B$25,"Moderate","Low")))))))</f>
        <v/>
      </c>
      <c r="AL376" s="21">
        <f>IF(AND($A376="",$B376=""),"",IF(Z376=0,"",IF(AND(AE376=1,N($R376)&gt;AD376*1.01+0.001),"Net terrestrial &gt; gross; ","")&amp;IF(AND(AE376=1,N($S376)&gt;AC376*1.01+0.001),"Net marine &gt; gross; ","")&amp;IF(AE376=0,"No net area – gross used, overlaps may be double-counted; ","")&amp;IF(AH376=0,"STATUS_YR missing – imputed in time series; ","")&amp;IF(AND(ISNUMBER($I376),N($I376)&gt;Setup!$B$6),"STATUS_YR after reporting year; ","")&amp;IF(OR($G376="",$G376="Not Reported"),"GOV_TYPE not reported; ","")&amp;IF(AND(N($J376)=1,$K376="Point",N($M376)&lt;=0),"Coastal point without REP_M_AREA – land/sea split unknown; ","")&amp;IF(AND(N($J376)=0,N($S376)&gt;0),"MARINE=0 but net marine &gt;0; ","")&amp;IF(AND(N($J376)=2,N($R376)&gt;0),"MARINE=2 but net terrestrial &gt;0; ","")&amp;IF($K376="Point","Buffered point – coverage approximate; ","")))</f>
        <v/>
      </c>
    </row>
    <row r="377">
      <c r="A377" s="19" t="n"/>
      <c r="B377" s="19" t="n"/>
      <c r="C377" s="19" t="n"/>
      <c r="D377" s="19" t="n"/>
      <c r="E377" s="19" t="n"/>
      <c r="F377" s="19" t="n"/>
      <c r="G377" s="19" t="n"/>
      <c r="H377" s="19" t="n"/>
      <c r="I377" s="19" t="n"/>
      <c r="J377" s="19" t="n"/>
      <c r="K377" s="19" t="n"/>
      <c r="L377" s="20" t="n"/>
      <c r="M377" s="20" t="n"/>
      <c r="N377" s="20" t="n"/>
      <c r="O377" s="20" t="n"/>
      <c r="P377" s="19" t="n"/>
      <c r="Q377" s="19" t="n"/>
      <c r="R377" s="20" t="n"/>
      <c r="S377" s="20" t="n"/>
      <c r="T377" s="19" t="n"/>
      <c r="U377" s="19" t="n"/>
      <c r="V377" s="19" t="n"/>
      <c r="W377" s="19" t="n"/>
      <c r="X377" s="19" t="n"/>
      <c r="Y377" s="19" t="n"/>
      <c r="Z377" s="21">
        <f>IF(AND($A377="",$B377=""),"",IF(OR($E377="",$H377="",$H377="Proposed",$H377="Not Reported"),0,IF(AND($P377="Y",$Q377&lt;&gt;"Y"),0,IF(AND($K377="Point",N($L377)&lt;=0),0,IF(AND(N($L377)&lt;=0,N($N377)&lt;=0,N($R377)+N($S377)&lt;=0),0,1)))))</f>
        <v/>
      </c>
      <c r="AA377" s="21">
        <f>IF(AND($A377="",$B377=""),"",IF($E377="","Site type missing",IF($H377="","STATUS missing",IF($H377="Proposed","STATUS = Proposed",IF($H377="Not Reported","STATUS = Not Reported",IF(AND($P377="Y",$Q377&lt;&gt;"Y"),"UNESCO-MAB Biosphere Reserve",IF(AND($K377="Point",N($L377)&lt;=0),"Point without REP_AREA",IF(AND(N($L377)&lt;=0,N($N377)&lt;=0,N($R377)+N($S377)&lt;=0),"No area information",""))))))))</f>
        <v/>
      </c>
      <c r="AB377" s="22">
        <f>IF(AND($A377="",$B377=""),"",IF($K377="Point",N($L377),IF(N($N377)&gt;0,N($N377),N($L377))))</f>
        <v/>
      </c>
      <c r="AC377" s="22">
        <f>IF(AND($A377="",$B377=""),"",MIN(AB377,IF(N($J377)=0,0,IF(N($J377)=2,AB377,IF(AND($K377&lt;&gt;"Point",N($O377)&gt;0),N($O377),N($M377))))))</f>
        <v/>
      </c>
      <c r="AD377" s="22">
        <f>IF(AND($A377="",$B377=""),"",MAX(0,AB377-AC377))</f>
        <v/>
      </c>
      <c r="AE377" s="21">
        <f>IF(AND($A377="",$B377=""),"",IF(OR($R377&lt;&gt;"",$S377&lt;&gt;""),1,0))</f>
        <v/>
      </c>
      <c r="AF377" s="22">
        <f>IF(AND($A377="",$B377=""),"",IF(Z377=1,IF(AE377=1,N($R377),AD377),0))</f>
        <v/>
      </c>
      <c r="AG377" s="22">
        <f>IF(AND($A377="",$B377=""),"",IF(Z377=1,IF(AE377=1,N($S377),AC377),0))</f>
        <v/>
      </c>
      <c r="AH377" s="21">
        <f>IF(AND($A377="",$B377=""),"",IF(AND(ISNUMBER($I377),N($I377)&gt;0),$I377,0))</f>
        <v/>
      </c>
      <c r="AI377" s="23">
        <f>IF(AND(NOT(AND($A377="",$B377="")),$K377="Point",N($L377)&gt;0),SQRT(N($L377)/PI()),"")</f>
        <v/>
      </c>
      <c r="AJ377" s="21">
        <f>IF(AND($A377="",$B377=""),"",IFERROR(VLOOKUP($G377,Lists!$D$4:$E$15,2,FALSE),"Not reported"))</f>
        <v/>
      </c>
      <c r="AK377" s="21">
        <f>IF(AND($A377="",$B377=""),"",IF($X377&lt;&gt;"",$X377,IF($T377&lt;&gt;"Y","Not assessed",IF(AND(ISNUMBER($V377),Setup!$B$6-$V377&gt;Setup!$B$26),"Assessment outdated",IF(NOT(ISNUMBER($W377)),"Assessed – no score",IF($W377&gt;=Setup!$B$24,"High",IF($W377&gt;=Setup!$B$25,"Moderate","Low")))))))</f>
        <v/>
      </c>
      <c r="AL377" s="21">
        <f>IF(AND($A377="",$B377=""),"",IF(Z377=0,"",IF(AND(AE377=1,N($R377)&gt;AD377*1.01+0.001),"Net terrestrial &gt; gross; ","")&amp;IF(AND(AE377=1,N($S377)&gt;AC377*1.01+0.001),"Net marine &gt; gross; ","")&amp;IF(AE377=0,"No net area – gross used, overlaps may be double-counted; ","")&amp;IF(AH377=0,"STATUS_YR missing – imputed in time series; ","")&amp;IF(AND(ISNUMBER($I377),N($I377)&gt;Setup!$B$6),"STATUS_YR after reporting year; ","")&amp;IF(OR($G377="",$G377="Not Reported"),"GOV_TYPE not reported; ","")&amp;IF(AND(N($J377)=1,$K377="Point",N($M377)&lt;=0),"Coastal point without REP_M_AREA – land/sea split unknown; ","")&amp;IF(AND(N($J377)=0,N($S377)&gt;0),"MARINE=0 but net marine &gt;0; ","")&amp;IF(AND(N($J377)=2,N($R377)&gt;0),"MARINE=2 but net terrestrial &gt;0; ","")&amp;IF($K377="Point","Buffered point – coverage approximate; ","")))</f>
        <v/>
      </c>
    </row>
    <row r="378">
      <c r="A378" s="19" t="n"/>
      <c r="B378" s="19" t="n"/>
      <c r="C378" s="19" t="n"/>
      <c r="D378" s="19" t="n"/>
      <c r="E378" s="19" t="n"/>
      <c r="F378" s="19" t="n"/>
      <c r="G378" s="19" t="n"/>
      <c r="H378" s="19" t="n"/>
      <c r="I378" s="19" t="n"/>
      <c r="J378" s="19" t="n"/>
      <c r="K378" s="19" t="n"/>
      <c r="L378" s="20" t="n"/>
      <c r="M378" s="20" t="n"/>
      <c r="N378" s="20" t="n"/>
      <c r="O378" s="20" t="n"/>
      <c r="P378" s="19" t="n"/>
      <c r="Q378" s="19" t="n"/>
      <c r="R378" s="20" t="n"/>
      <c r="S378" s="20" t="n"/>
      <c r="T378" s="19" t="n"/>
      <c r="U378" s="19" t="n"/>
      <c r="V378" s="19" t="n"/>
      <c r="W378" s="19" t="n"/>
      <c r="X378" s="19" t="n"/>
      <c r="Y378" s="19" t="n"/>
      <c r="Z378" s="21">
        <f>IF(AND($A378="",$B378=""),"",IF(OR($E378="",$H378="",$H378="Proposed",$H378="Not Reported"),0,IF(AND($P378="Y",$Q378&lt;&gt;"Y"),0,IF(AND($K378="Point",N($L378)&lt;=0),0,IF(AND(N($L378)&lt;=0,N($N378)&lt;=0,N($R378)+N($S378)&lt;=0),0,1)))))</f>
        <v/>
      </c>
      <c r="AA378" s="21">
        <f>IF(AND($A378="",$B378=""),"",IF($E378="","Site type missing",IF($H378="","STATUS missing",IF($H378="Proposed","STATUS = Proposed",IF($H378="Not Reported","STATUS = Not Reported",IF(AND($P378="Y",$Q378&lt;&gt;"Y"),"UNESCO-MAB Biosphere Reserve",IF(AND($K378="Point",N($L378)&lt;=0),"Point without REP_AREA",IF(AND(N($L378)&lt;=0,N($N378)&lt;=0,N($R378)+N($S378)&lt;=0),"No area information",""))))))))</f>
        <v/>
      </c>
      <c r="AB378" s="22">
        <f>IF(AND($A378="",$B378=""),"",IF($K378="Point",N($L378),IF(N($N378)&gt;0,N($N378),N($L378))))</f>
        <v/>
      </c>
      <c r="AC378" s="22">
        <f>IF(AND($A378="",$B378=""),"",MIN(AB378,IF(N($J378)=0,0,IF(N($J378)=2,AB378,IF(AND($K378&lt;&gt;"Point",N($O378)&gt;0),N($O378),N($M378))))))</f>
        <v/>
      </c>
      <c r="AD378" s="22">
        <f>IF(AND($A378="",$B378=""),"",MAX(0,AB378-AC378))</f>
        <v/>
      </c>
      <c r="AE378" s="21">
        <f>IF(AND($A378="",$B378=""),"",IF(OR($R378&lt;&gt;"",$S378&lt;&gt;""),1,0))</f>
        <v/>
      </c>
      <c r="AF378" s="22">
        <f>IF(AND($A378="",$B378=""),"",IF(Z378=1,IF(AE378=1,N($R378),AD378),0))</f>
        <v/>
      </c>
      <c r="AG378" s="22">
        <f>IF(AND($A378="",$B378=""),"",IF(Z378=1,IF(AE378=1,N($S378),AC378),0))</f>
        <v/>
      </c>
      <c r="AH378" s="21">
        <f>IF(AND($A378="",$B378=""),"",IF(AND(ISNUMBER($I378),N($I378)&gt;0),$I378,0))</f>
        <v/>
      </c>
      <c r="AI378" s="23">
        <f>IF(AND(NOT(AND($A378="",$B378="")),$K378="Point",N($L378)&gt;0),SQRT(N($L378)/PI()),"")</f>
        <v/>
      </c>
      <c r="AJ378" s="21">
        <f>IF(AND($A378="",$B378=""),"",IFERROR(VLOOKUP($G378,Lists!$D$4:$E$15,2,FALSE),"Not reported"))</f>
        <v/>
      </c>
      <c r="AK378" s="21">
        <f>IF(AND($A378="",$B378=""),"",IF($X378&lt;&gt;"",$X378,IF($T378&lt;&gt;"Y","Not assessed",IF(AND(ISNUMBER($V378),Setup!$B$6-$V378&gt;Setup!$B$26),"Assessment outdated",IF(NOT(ISNUMBER($W378)),"Assessed – no score",IF($W378&gt;=Setup!$B$24,"High",IF($W378&gt;=Setup!$B$25,"Moderate","Low")))))))</f>
        <v/>
      </c>
      <c r="AL378" s="21">
        <f>IF(AND($A378="",$B378=""),"",IF(Z378=0,"",IF(AND(AE378=1,N($R378)&gt;AD378*1.01+0.001),"Net terrestrial &gt; gross; ","")&amp;IF(AND(AE378=1,N($S378)&gt;AC378*1.01+0.001),"Net marine &gt; gross; ","")&amp;IF(AE378=0,"No net area – gross used, overlaps may be double-counted; ","")&amp;IF(AH378=0,"STATUS_YR missing – imputed in time series; ","")&amp;IF(AND(ISNUMBER($I378),N($I378)&gt;Setup!$B$6),"STATUS_YR after reporting year; ","")&amp;IF(OR($G378="",$G378="Not Reported"),"GOV_TYPE not reported; ","")&amp;IF(AND(N($J378)=1,$K378="Point",N($M378)&lt;=0),"Coastal point without REP_M_AREA – land/sea split unknown; ","")&amp;IF(AND(N($J378)=0,N($S378)&gt;0),"MARINE=0 but net marine &gt;0; ","")&amp;IF(AND(N($J378)=2,N($R378)&gt;0),"MARINE=2 but net terrestrial &gt;0; ","")&amp;IF($K378="Point","Buffered point – coverage approximate; ","")))</f>
        <v/>
      </c>
    </row>
    <row r="379">
      <c r="A379" s="19" t="n"/>
      <c r="B379" s="19" t="n"/>
      <c r="C379" s="19" t="n"/>
      <c r="D379" s="19" t="n"/>
      <c r="E379" s="19" t="n"/>
      <c r="F379" s="19" t="n"/>
      <c r="G379" s="19" t="n"/>
      <c r="H379" s="19" t="n"/>
      <c r="I379" s="19" t="n"/>
      <c r="J379" s="19" t="n"/>
      <c r="K379" s="19" t="n"/>
      <c r="L379" s="20" t="n"/>
      <c r="M379" s="20" t="n"/>
      <c r="N379" s="20" t="n"/>
      <c r="O379" s="20" t="n"/>
      <c r="P379" s="19" t="n"/>
      <c r="Q379" s="19" t="n"/>
      <c r="R379" s="20" t="n"/>
      <c r="S379" s="20" t="n"/>
      <c r="T379" s="19" t="n"/>
      <c r="U379" s="19" t="n"/>
      <c r="V379" s="19" t="n"/>
      <c r="W379" s="19" t="n"/>
      <c r="X379" s="19" t="n"/>
      <c r="Y379" s="19" t="n"/>
      <c r="Z379" s="21">
        <f>IF(AND($A379="",$B379=""),"",IF(OR($E379="",$H379="",$H379="Proposed",$H379="Not Reported"),0,IF(AND($P379="Y",$Q379&lt;&gt;"Y"),0,IF(AND($K379="Point",N($L379)&lt;=0),0,IF(AND(N($L379)&lt;=0,N($N379)&lt;=0,N($R379)+N($S379)&lt;=0),0,1)))))</f>
        <v/>
      </c>
      <c r="AA379" s="21">
        <f>IF(AND($A379="",$B379=""),"",IF($E379="","Site type missing",IF($H379="","STATUS missing",IF($H379="Proposed","STATUS = Proposed",IF($H379="Not Reported","STATUS = Not Reported",IF(AND($P379="Y",$Q379&lt;&gt;"Y"),"UNESCO-MAB Biosphere Reserve",IF(AND($K379="Point",N($L379)&lt;=0),"Point without REP_AREA",IF(AND(N($L379)&lt;=0,N($N379)&lt;=0,N($R379)+N($S379)&lt;=0),"No area information",""))))))))</f>
        <v/>
      </c>
      <c r="AB379" s="22">
        <f>IF(AND($A379="",$B379=""),"",IF($K379="Point",N($L379),IF(N($N379)&gt;0,N($N379),N($L379))))</f>
        <v/>
      </c>
      <c r="AC379" s="22">
        <f>IF(AND($A379="",$B379=""),"",MIN(AB379,IF(N($J379)=0,0,IF(N($J379)=2,AB379,IF(AND($K379&lt;&gt;"Point",N($O379)&gt;0),N($O379),N($M379))))))</f>
        <v/>
      </c>
      <c r="AD379" s="22">
        <f>IF(AND($A379="",$B379=""),"",MAX(0,AB379-AC379))</f>
        <v/>
      </c>
      <c r="AE379" s="21">
        <f>IF(AND($A379="",$B379=""),"",IF(OR($R379&lt;&gt;"",$S379&lt;&gt;""),1,0))</f>
        <v/>
      </c>
      <c r="AF379" s="22">
        <f>IF(AND($A379="",$B379=""),"",IF(Z379=1,IF(AE379=1,N($R379),AD379),0))</f>
        <v/>
      </c>
      <c r="AG379" s="22">
        <f>IF(AND($A379="",$B379=""),"",IF(Z379=1,IF(AE379=1,N($S379),AC379),0))</f>
        <v/>
      </c>
      <c r="AH379" s="21">
        <f>IF(AND($A379="",$B379=""),"",IF(AND(ISNUMBER($I379),N($I379)&gt;0),$I379,0))</f>
        <v/>
      </c>
      <c r="AI379" s="23">
        <f>IF(AND(NOT(AND($A379="",$B379="")),$K379="Point",N($L379)&gt;0),SQRT(N($L379)/PI()),"")</f>
        <v/>
      </c>
      <c r="AJ379" s="21">
        <f>IF(AND($A379="",$B379=""),"",IFERROR(VLOOKUP($G379,Lists!$D$4:$E$15,2,FALSE),"Not reported"))</f>
        <v/>
      </c>
      <c r="AK379" s="21">
        <f>IF(AND($A379="",$B379=""),"",IF($X379&lt;&gt;"",$X379,IF($T379&lt;&gt;"Y","Not assessed",IF(AND(ISNUMBER($V379),Setup!$B$6-$V379&gt;Setup!$B$26),"Assessment outdated",IF(NOT(ISNUMBER($W379)),"Assessed – no score",IF($W379&gt;=Setup!$B$24,"High",IF($W379&gt;=Setup!$B$25,"Moderate","Low")))))))</f>
        <v/>
      </c>
      <c r="AL379" s="21">
        <f>IF(AND($A379="",$B379=""),"",IF(Z379=0,"",IF(AND(AE379=1,N($R379)&gt;AD379*1.01+0.001),"Net terrestrial &gt; gross; ","")&amp;IF(AND(AE379=1,N($S379)&gt;AC379*1.01+0.001),"Net marine &gt; gross; ","")&amp;IF(AE379=0,"No net area – gross used, overlaps may be double-counted; ","")&amp;IF(AH379=0,"STATUS_YR missing – imputed in time series; ","")&amp;IF(AND(ISNUMBER($I379),N($I379)&gt;Setup!$B$6),"STATUS_YR after reporting year; ","")&amp;IF(OR($G379="",$G379="Not Reported"),"GOV_TYPE not reported; ","")&amp;IF(AND(N($J379)=1,$K379="Point",N($M379)&lt;=0),"Coastal point without REP_M_AREA – land/sea split unknown; ","")&amp;IF(AND(N($J379)=0,N($S379)&gt;0),"MARINE=0 but net marine &gt;0; ","")&amp;IF(AND(N($J379)=2,N($R379)&gt;0),"MARINE=2 but net terrestrial &gt;0; ","")&amp;IF($K379="Point","Buffered point – coverage approximate; ","")))</f>
        <v/>
      </c>
    </row>
    <row r="380">
      <c r="A380" s="19" t="n"/>
      <c r="B380" s="19" t="n"/>
      <c r="C380" s="19" t="n"/>
      <c r="D380" s="19" t="n"/>
      <c r="E380" s="19" t="n"/>
      <c r="F380" s="19" t="n"/>
      <c r="G380" s="19" t="n"/>
      <c r="H380" s="19" t="n"/>
      <c r="I380" s="19" t="n"/>
      <c r="J380" s="19" t="n"/>
      <c r="K380" s="19" t="n"/>
      <c r="L380" s="20" t="n"/>
      <c r="M380" s="20" t="n"/>
      <c r="N380" s="20" t="n"/>
      <c r="O380" s="20" t="n"/>
      <c r="P380" s="19" t="n"/>
      <c r="Q380" s="19" t="n"/>
      <c r="R380" s="20" t="n"/>
      <c r="S380" s="20" t="n"/>
      <c r="T380" s="19" t="n"/>
      <c r="U380" s="19" t="n"/>
      <c r="V380" s="19" t="n"/>
      <c r="W380" s="19" t="n"/>
      <c r="X380" s="19" t="n"/>
      <c r="Y380" s="19" t="n"/>
      <c r="Z380" s="21">
        <f>IF(AND($A380="",$B380=""),"",IF(OR($E380="",$H380="",$H380="Proposed",$H380="Not Reported"),0,IF(AND($P380="Y",$Q380&lt;&gt;"Y"),0,IF(AND($K380="Point",N($L380)&lt;=0),0,IF(AND(N($L380)&lt;=0,N($N380)&lt;=0,N($R380)+N($S380)&lt;=0),0,1)))))</f>
        <v/>
      </c>
      <c r="AA380" s="21">
        <f>IF(AND($A380="",$B380=""),"",IF($E380="","Site type missing",IF($H380="","STATUS missing",IF($H380="Proposed","STATUS = Proposed",IF($H380="Not Reported","STATUS = Not Reported",IF(AND($P380="Y",$Q380&lt;&gt;"Y"),"UNESCO-MAB Biosphere Reserve",IF(AND($K380="Point",N($L380)&lt;=0),"Point without REP_AREA",IF(AND(N($L380)&lt;=0,N($N380)&lt;=0,N($R380)+N($S380)&lt;=0),"No area information",""))))))))</f>
        <v/>
      </c>
      <c r="AB380" s="22">
        <f>IF(AND($A380="",$B380=""),"",IF($K380="Point",N($L380),IF(N($N380)&gt;0,N($N380),N($L380))))</f>
        <v/>
      </c>
      <c r="AC380" s="22">
        <f>IF(AND($A380="",$B380=""),"",MIN(AB380,IF(N($J380)=0,0,IF(N($J380)=2,AB380,IF(AND($K380&lt;&gt;"Point",N($O380)&gt;0),N($O380),N($M380))))))</f>
        <v/>
      </c>
      <c r="AD380" s="22">
        <f>IF(AND($A380="",$B380=""),"",MAX(0,AB380-AC380))</f>
        <v/>
      </c>
      <c r="AE380" s="21">
        <f>IF(AND($A380="",$B380=""),"",IF(OR($R380&lt;&gt;"",$S380&lt;&gt;""),1,0))</f>
        <v/>
      </c>
      <c r="AF380" s="22">
        <f>IF(AND($A380="",$B380=""),"",IF(Z380=1,IF(AE380=1,N($R380),AD380),0))</f>
        <v/>
      </c>
      <c r="AG380" s="22">
        <f>IF(AND($A380="",$B380=""),"",IF(Z380=1,IF(AE380=1,N($S380),AC380),0))</f>
        <v/>
      </c>
      <c r="AH380" s="21">
        <f>IF(AND($A380="",$B380=""),"",IF(AND(ISNUMBER($I380),N($I380)&gt;0),$I380,0))</f>
        <v/>
      </c>
      <c r="AI380" s="23">
        <f>IF(AND(NOT(AND($A380="",$B380="")),$K380="Point",N($L380)&gt;0),SQRT(N($L380)/PI()),"")</f>
        <v/>
      </c>
      <c r="AJ380" s="21">
        <f>IF(AND($A380="",$B380=""),"",IFERROR(VLOOKUP($G380,Lists!$D$4:$E$15,2,FALSE),"Not reported"))</f>
        <v/>
      </c>
      <c r="AK380" s="21">
        <f>IF(AND($A380="",$B380=""),"",IF($X380&lt;&gt;"",$X380,IF($T380&lt;&gt;"Y","Not assessed",IF(AND(ISNUMBER($V380),Setup!$B$6-$V380&gt;Setup!$B$26),"Assessment outdated",IF(NOT(ISNUMBER($W380)),"Assessed – no score",IF($W380&gt;=Setup!$B$24,"High",IF($W380&gt;=Setup!$B$25,"Moderate","Low")))))))</f>
        <v/>
      </c>
      <c r="AL380" s="21">
        <f>IF(AND($A380="",$B380=""),"",IF(Z380=0,"",IF(AND(AE380=1,N($R380)&gt;AD380*1.01+0.001),"Net terrestrial &gt; gross; ","")&amp;IF(AND(AE380=1,N($S380)&gt;AC380*1.01+0.001),"Net marine &gt; gross; ","")&amp;IF(AE380=0,"No net area – gross used, overlaps may be double-counted; ","")&amp;IF(AH380=0,"STATUS_YR missing – imputed in time series; ","")&amp;IF(AND(ISNUMBER($I380),N($I380)&gt;Setup!$B$6),"STATUS_YR after reporting year; ","")&amp;IF(OR($G380="",$G380="Not Reported"),"GOV_TYPE not reported; ","")&amp;IF(AND(N($J380)=1,$K380="Point",N($M380)&lt;=0),"Coastal point without REP_M_AREA – land/sea split unknown; ","")&amp;IF(AND(N($J380)=0,N($S380)&gt;0),"MARINE=0 but net marine &gt;0; ","")&amp;IF(AND(N($J380)=2,N($R380)&gt;0),"MARINE=2 but net terrestrial &gt;0; ","")&amp;IF($K380="Point","Buffered point – coverage approximate; ","")))</f>
        <v/>
      </c>
    </row>
    <row r="381">
      <c r="A381" s="19" t="n"/>
      <c r="B381" s="19" t="n"/>
      <c r="C381" s="19" t="n"/>
      <c r="D381" s="19" t="n"/>
      <c r="E381" s="19" t="n"/>
      <c r="F381" s="19" t="n"/>
      <c r="G381" s="19" t="n"/>
      <c r="H381" s="19" t="n"/>
      <c r="I381" s="19" t="n"/>
      <c r="J381" s="19" t="n"/>
      <c r="K381" s="19" t="n"/>
      <c r="L381" s="20" t="n"/>
      <c r="M381" s="20" t="n"/>
      <c r="N381" s="20" t="n"/>
      <c r="O381" s="20" t="n"/>
      <c r="P381" s="19" t="n"/>
      <c r="Q381" s="19" t="n"/>
      <c r="R381" s="20" t="n"/>
      <c r="S381" s="20" t="n"/>
      <c r="T381" s="19" t="n"/>
      <c r="U381" s="19" t="n"/>
      <c r="V381" s="19" t="n"/>
      <c r="W381" s="19" t="n"/>
      <c r="X381" s="19" t="n"/>
      <c r="Y381" s="19" t="n"/>
      <c r="Z381" s="21">
        <f>IF(AND($A381="",$B381=""),"",IF(OR($E381="",$H381="",$H381="Proposed",$H381="Not Reported"),0,IF(AND($P381="Y",$Q381&lt;&gt;"Y"),0,IF(AND($K381="Point",N($L381)&lt;=0),0,IF(AND(N($L381)&lt;=0,N($N381)&lt;=0,N($R381)+N($S381)&lt;=0),0,1)))))</f>
        <v/>
      </c>
      <c r="AA381" s="21">
        <f>IF(AND($A381="",$B381=""),"",IF($E381="","Site type missing",IF($H381="","STATUS missing",IF($H381="Proposed","STATUS = Proposed",IF($H381="Not Reported","STATUS = Not Reported",IF(AND($P381="Y",$Q381&lt;&gt;"Y"),"UNESCO-MAB Biosphere Reserve",IF(AND($K381="Point",N($L381)&lt;=0),"Point without REP_AREA",IF(AND(N($L381)&lt;=0,N($N381)&lt;=0,N($R381)+N($S381)&lt;=0),"No area information",""))))))))</f>
        <v/>
      </c>
      <c r="AB381" s="22">
        <f>IF(AND($A381="",$B381=""),"",IF($K381="Point",N($L381),IF(N($N381)&gt;0,N($N381),N($L381))))</f>
        <v/>
      </c>
      <c r="AC381" s="22">
        <f>IF(AND($A381="",$B381=""),"",MIN(AB381,IF(N($J381)=0,0,IF(N($J381)=2,AB381,IF(AND($K381&lt;&gt;"Point",N($O381)&gt;0),N($O381),N($M381))))))</f>
        <v/>
      </c>
      <c r="AD381" s="22">
        <f>IF(AND($A381="",$B381=""),"",MAX(0,AB381-AC381))</f>
        <v/>
      </c>
      <c r="AE381" s="21">
        <f>IF(AND($A381="",$B381=""),"",IF(OR($R381&lt;&gt;"",$S381&lt;&gt;""),1,0))</f>
        <v/>
      </c>
      <c r="AF381" s="22">
        <f>IF(AND($A381="",$B381=""),"",IF(Z381=1,IF(AE381=1,N($R381),AD381),0))</f>
        <v/>
      </c>
      <c r="AG381" s="22">
        <f>IF(AND($A381="",$B381=""),"",IF(Z381=1,IF(AE381=1,N($S381),AC381),0))</f>
        <v/>
      </c>
      <c r="AH381" s="21">
        <f>IF(AND($A381="",$B381=""),"",IF(AND(ISNUMBER($I381),N($I381)&gt;0),$I381,0))</f>
        <v/>
      </c>
      <c r="AI381" s="23">
        <f>IF(AND(NOT(AND($A381="",$B381="")),$K381="Point",N($L381)&gt;0),SQRT(N($L381)/PI()),"")</f>
        <v/>
      </c>
      <c r="AJ381" s="21">
        <f>IF(AND($A381="",$B381=""),"",IFERROR(VLOOKUP($G381,Lists!$D$4:$E$15,2,FALSE),"Not reported"))</f>
        <v/>
      </c>
      <c r="AK381" s="21">
        <f>IF(AND($A381="",$B381=""),"",IF($X381&lt;&gt;"",$X381,IF($T381&lt;&gt;"Y","Not assessed",IF(AND(ISNUMBER($V381),Setup!$B$6-$V381&gt;Setup!$B$26),"Assessment outdated",IF(NOT(ISNUMBER($W381)),"Assessed – no score",IF($W381&gt;=Setup!$B$24,"High",IF($W381&gt;=Setup!$B$25,"Moderate","Low")))))))</f>
        <v/>
      </c>
      <c r="AL381" s="21">
        <f>IF(AND($A381="",$B381=""),"",IF(Z381=0,"",IF(AND(AE381=1,N($R381)&gt;AD381*1.01+0.001),"Net terrestrial &gt; gross; ","")&amp;IF(AND(AE381=1,N($S381)&gt;AC381*1.01+0.001),"Net marine &gt; gross; ","")&amp;IF(AE381=0,"No net area – gross used, overlaps may be double-counted; ","")&amp;IF(AH381=0,"STATUS_YR missing – imputed in time series; ","")&amp;IF(AND(ISNUMBER($I381),N($I381)&gt;Setup!$B$6),"STATUS_YR after reporting year; ","")&amp;IF(OR($G381="",$G381="Not Reported"),"GOV_TYPE not reported; ","")&amp;IF(AND(N($J381)=1,$K381="Point",N($M381)&lt;=0),"Coastal point without REP_M_AREA – land/sea split unknown; ","")&amp;IF(AND(N($J381)=0,N($S381)&gt;0),"MARINE=0 but net marine &gt;0; ","")&amp;IF(AND(N($J381)=2,N($R381)&gt;0),"MARINE=2 but net terrestrial &gt;0; ","")&amp;IF($K381="Point","Buffered point – coverage approximate; ","")))</f>
        <v/>
      </c>
    </row>
    <row r="382">
      <c r="A382" s="19" t="n"/>
      <c r="B382" s="19" t="n"/>
      <c r="C382" s="19" t="n"/>
      <c r="D382" s="19" t="n"/>
      <c r="E382" s="19" t="n"/>
      <c r="F382" s="19" t="n"/>
      <c r="G382" s="19" t="n"/>
      <c r="H382" s="19" t="n"/>
      <c r="I382" s="19" t="n"/>
      <c r="J382" s="19" t="n"/>
      <c r="K382" s="19" t="n"/>
      <c r="L382" s="20" t="n"/>
      <c r="M382" s="20" t="n"/>
      <c r="N382" s="20" t="n"/>
      <c r="O382" s="20" t="n"/>
      <c r="P382" s="19" t="n"/>
      <c r="Q382" s="19" t="n"/>
      <c r="R382" s="20" t="n"/>
      <c r="S382" s="20" t="n"/>
      <c r="T382" s="19" t="n"/>
      <c r="U382" s="19" t="n"/>
      <c r="V382" s="19" t="n"/>
      <c r="W382" s="19" t="n"/>
      <c r="X382" s="19" t="n"/>
      <c r="Y382" s="19" t="n"/>
      <c r="Z382" s="21">
        <f>IF(AND($A382="",$B382=""),"",IF(OR($E382="",$H382="",$H382="Proposed",$H382="Not Reported"),0,IF(AND($P382="Y",$Q382&lt;&gt;"Y"),0,IF(AND($K382="Point",N($L382)&lt;=0),0,IF(AND(N($L382)&lt;=0,N($N382)&lt;=0,N($R382)+N($S382)&lt;=0),0,1)))))</f>
        <v/>
      </c>
      <c r="AA382" s="21">
        <f>IF(AND($A382="",$B382=""),"",IF($E382="","Site type missing",IF($H382="","STATUS missing",IF($H382="Proposed","STATUS = Proposed",IF($H382="Not Reported","STATUS = Not Reported",IF(AND($P382="Y",$Q382&lt;&gt;"Y"),"UNESCO-MAB Biosphere Reserve",IF(AND($K382="Point",N($L382)&lt;=0),"Point without REP_AREA",IF(AND(N($L382)&lt;=0,N($N382)&lt;=0,N($R382)+N($S382)&lt;=0),"No area information",""))))))))</f>
        <v/>
      </c>
      <c r="AB382" s="22">
        <f>IF(AND($A382="",$B382=""),"",IF($K382="Point",N($L382),IF(N($N382)&gt;0,N($N382),N($L382))))</f>
        <v/>
      </c>
      <c r="AC382" s="22">
        <f>IF(AND($A382="",$B382=""),"",MIN(AB382,IF(N($J382)=0,0,IF(N($J382)=2,AB382,IF(AND($K382&lt;&gt;"Point",N($O382)&gt;0),N($O382),N($M382))))))</f>
        <v/>
      </c>
      <c r="AD382" s="22">
        <f>IF(AND($A382="",$B382=""),"",MAX(0,AB382-AC382))</f>
        <v/>
      </c>
      <c r="AE382" s="21">
        <f>IF(AND($A382="",$B382=""),"",IF(OR($R382&lt;&gt;"",$S382&lt;&gt;""),1,0))</f>
        <v/>
      </c>
      <c r="AF382" s="22">
        <f>IF(AND($A382="",$B382=""),"",IF(Z382=1,IF(AE382=1,N($R382),AD382),0))</f>
        <v/>
      </c>
      <c r="AG382" s="22">
        <f>IF(AND($A382="",$B382=""),"",IF(Z382=1,IF(AE382=1,N($S382),AC382),0))</f>
        <v/>
      </c>
      <c r="AH382" s="21">
        <f>IF(AND($A382="",$B382=""),"",IF(AND(ISNUMBER($I382),N($I382)&gt;0),$I382,0))</f>
        <v/>
      </c>
      <c r="AI382" s="23">
        <f>IF(AND(NOT(AND($A382="",$B382="")),$K382="Point",N($L382)&gt;0),SQRT(N($L382)/PI()),"")</f>
        <v/>
      </c>
      <c r="AJ382" s="21">
        <f>IF(AND($A382="",$B382=""),"",IFERROR(VLOOKUP($G382,Lists!$D$4:$E$15,2,FALSE),"Not reported"))</f>
        <v/>
      </c>
      <c r="AK382" s="21">
        <f>IF(AND($A382="",$B382=""),"",IF($X382&lt;&gt;"",$X382,IF($T382&lt;&gt;"Y","Not assessed",IF(AND(ISNUMBER($V382),Setup!$B$6-$V382&gt;Setup!$B$26),"Assessment outdated",IF(NOT(ISNUMBER($W382)),"Assessed – no score",IF($W382&gt;=Setup!$B$24,"High",IF($W382&gt;=Setup!$B$25,"Moderate","Low")))))))</f>
        <v/>
      </c>
      <c r="AL382" s="21">
        <f>IF(AND($A382="",$B382=""),"",IF(Z382=0,"",IF(AND(AE382=1,N($R382)&gt;AD382*1.01+0.001),"Net terrestrial &gt; gross; ","")&amp;IF(AND(AE382=1,N($S382)&gt;AC382*1.01+0.001),"Net marine &gt; gross; ","")&amp;IF(AE382=0,"No net area – gross used, overlaps may be double-counted; ","")&amp;IF(AH382=0,"STATUS_YR missing – imputed in time series; ","")&amp;IF(AND(ISNUMBER($I382),N($I382)&gt;Setup!$B$6),"STATUS_YR after reporting year; ","")&amp;IF(OR($G382="",$G382="Not Reported"),"GOV_TYPE not reported; ","")&amp;IF(AND(N($J382)=1,$K382="Point",N($M382)&lt;=0),"Coastal point without REP_M_AREA – land/sea split unknown; ","")&amp;IF(AND(N($J382)=0,N($S382)&gt;0),"MARINE=0 but net marine &gt;0; ","")&amp;IF(AND(N($J382)=2,N($R382)&gt;0),"MARINE=2 but net terrestrial &gt;0; ","")&amp;IF($K382="Point","Buffered point – coverage approximate; ","")))</f>
        <v/>
      </c>
    </row>
    <row r="383">
      <c r="A383" s="19" t="n"/>
      <c r="B383" s="19" t="n"/>
      <c r="C383" s="19" t="n"/>
      <c r="D383" s="19" t="n"/>
      <c r="E383" s="19" t="n"/>
      <c r="F383" s="19" t="n"/>
      <c r="G383" s="19" t="n"/>
      <c r="H383" s="19" t="n"/>
      <c r="I383" s="19" t="n"/>
      <c r="J383" s="19" t="n"/>
      <c r="K383" s="19" t="n"/>
      <c r="L383" s="20" t="n"/>
      <c r="M383" s="20" t="n"/>
      <c r="N383" s="20" t="n"/>
      <c r="O383" s="20" t="n"/>
      <c r="P383" s="19" t="n"/>
      <c r="Q383" s="19" t="n"/>
      <c r="R383" s="20" t="n"/>
      <c r="S383" s="20" t="n"/>
      <c r="T383" s="19" t="n"/>
      <c r="U383" s="19" t="n"/>
      <c r="V383" s="19" t="n"/>
      <c r="W383" s="19" t="n"/>
      <c r="X383" s="19" t="n"/>
      <c r="Y383" s="19" t="n"/>
      <c r="Z383" s="21">
        <f>IF(AND($A383="",$B383=""),"",IF(OR($E383="",$H383="",$H383="Proposed",$H383="Not Reported"),0,IF(AND($P383="Y",$Q383&lt;&gt;"Y"),0,IF(AND($K383="Point",N($L383)&lt;=0),0,IF(AND(N($L383)&lt;=0,N($N383)&lt;=0,N($R383)+N($S383)&lt;=0),0,1)))))</f>
        <v/>
      </c>
      <c r="AA383" s="21">
        <f>IF(AND($A383="",$B383=""),"",IF($E383="","Site type missing",IF($H383="","STATUS missing",IF($H383="Proposed","STATUS = Proposed",IF($H383="Not Reported","STATUS = Not Reported",IF(AND($P383="Y",$Q383&lt;&gt;"Y"),"UNESCO-MAB Biosphere Reserve",IF(AND($K383="Point",N($L383)&lt;=0),"Point without REP_AREA",IF(AND(N($L383)&lt;=0,N($N383)&lt;=0,N($R383)+N($S383)&lt;=0),"No area information",""))))))))</f>
        <v/>
      </c>
      <c r="AB383" s="22">
        <f>IF(AND($A383="",$B383=""),"",IF($K383="Point",N($L383),IF(N($N383)&gt;0,N($N383),N($L383))))</f>
        <v/>
      </c>
      <c r="AC383" s="22">
        <f>IF(AND($A383="",$B383=""),"",MIN(AB383,IF(N($J383)=0,0,IF(N($J383)=2,AB383,IF(AND($K383&lt;&gt;"Point",N($O383)&gt;0),N($O383),N($M383))))))</f>
        <v/>
      </c>
      <c r="AD383" s="22">
        <f>IF(AND($A383="",$B383=""),"",MAX(0,AB383-AC383))</f>
        <v/>
      </c>
      <c r="AE383" s="21">
        <f>IF(AND($A383="",$B383=""),"",IF(OR($R383&lt;&gt;"",$S383&lt;&gt;""),1,0))</f>
        <v/>
      </c>
      <c r="AF383" s="22">
        <f>IF(AND($A383="",$B383=""),"",IF(Z383=1,IF(AE383=1,N($R383),AD383),0))</f>
        <v/>
      </c>
      <c r="AG383" s="22">
        <f>IF(AND($A383="",$B383=""),"",IF(Z383=1,IF(AE383=1,N($S383),AC383),0))</f>
        <v/>
      </c>
      <c r="AH383" s="21">
        <f>IF(AND($A383="",$B383=""),"",IF(AND(ISNUMBER($I383),N($I383)&gt;0),$I383,0))</f>
        <v/>
      </c>
      <c r="AI383" s="23">
        <f>IF(AND(NOT(AND($A383="",$B383="")),$K383="Point",N($L383)&gt;0),SQRT(N($L383)/PI()),"")</f>
        <v/>
      </c>
      <c r="AJ383" s="21">
        <f>IF(AND($A383="",$B383=""),"",IFERROR(VLOOKUP($G383,Lists!$D$4:$E$15,2,FALSE),"Not reported"))</f>
        <v/>
      </c>
      <c r="AK383" s="21">
        <f>IF(AND($A383="",$B383=""),"",IF($X383&lt;&gt;"",$X383,IF($T383&lt;&gt;"Y","Not assessed",IF(AND(ISNUMBER($V383),Setup!$B$6-$V383&gt;Setup!$B$26),"Assessment outdated",IF(NOT(ISNUMBER($W383)),"Assessed – no score",IF($W383&gt;=Setup!$B$24,"High",IF($W383&gt;=Setup!$B$25,"Moderate","Low")))))))</f>
        <v/>
      </c>
      <c r="AL383" s="21">
        <f>IF(AND($A383="",$B383=""),"",IF(Z383=0,"",IF(AND(AE383=1,N($R383)&gt;AD383*1.01+0.001),"Net terrestrial &gt; gross; ","")&amp;IF(AND(AE383=1,N($S383)&gt;AC383*1.01+0.001),"Net marine &gt; gross; ","")&amp;IF(AE383=0,"No net area – gross used, overlaps may be double-counted; ","")&amp;IF(AH383=0,"STATUS_YR missing – imputed in time series; ","")&amp;IF(AND(ISNUMBER($I383),N($I383)&gt;Setup!$B$6),"STATUS_YR after reporting year; ","")&amp;IF(OR($G383="",$G383="Not Reported"),"GOV_TYPE not reported; ","")&amp;IF(AND(N($J383)=1,$K383="Point",N($M383)&lt;=0),"Coastal point without REP_M_AREA – land/sea split unknown; ","")&amp;IF(AND(N($J383)=0,N($S383)&gt;0),"MARINE=0 but net marine &gt;0; ","")&amp;IF(AND(N($J383)=2,N($R383)&gt;0),"MARINE=2 but net terrestrial &gt;0; ","")&amp;IF($K383="Point","Buffered point – coverage approximate; ","")))</f>
        <v/>
      </c>
    </row>
    <row r="384">
      <c r="A384" s="19" t="n"/>
      <c r="B384" s="19" t="n"/>
      <c r="C384" s="19" t="n"/>
      <c r="D384" s="19" t="n"/>
      <c r="E384" s="19" t="n"/>
      <c r="F384" s="19" t="n"/>
      <c r="G384" s="19" t="n"/>
      <c r="H384" s="19" t="n"/>
      <c r="I384" s="19" t="n"/>
      <c r="J384" s="19" t="n"/>
      <c r="K384" s="19" t="n"/>
      <c r="L384" s="20" t="n"/>
      <c r="M384" s="20" t="n"/>
      <c r="N384" s="20" t="n"/>
      <c r="O384" s="20" t="n"/>
      <c r="P384" s="19" t="n"/>
      <c r="Q384" s="19" t="n"/>
      <c r="R384" s="20" t="n"/>
      <c r="S384" s="20" t="n"/>
      <c r="T384" s="19" t="n"/>
      <c r="U384" s="19" t="n"/>
      <c r="V384" s="19" t="n"/>
      <c r="W384" s="19" t="n"/>
      <c r="X384" s="19" t="n"/>
      <c r="Y384" s="19" t="n"/>
      <c r="Z384" s="21">
        <f>IF(AND($A384="",$B384=""),"",IF(OR($E384="",$H384="",$H384="Proposed",$H384="Not Reported"),0,IF(AND($P384="Y",$Q384&lt;&gt;"Y"),0,IF(AND($K384="Point",N($L384)&lt;=0),0,IF(AND(N($L384)&lt;=0,N($N384)&lt;=0,N($R384)+N($S384)&lt;=0),0,1)))))</f>
        <v/>
      </c>
      <c r="AA384" s="21">
        <f>IF(AND($A384="",$B384=""),"",IF($E384="","Site type missing",IF($H384="","STATUS missing",IF($H384="Proposed","STATUS = Proposed",IF($H384="Not Reported","STATUS = Not Reported",IF(AND($P384="Y",$Q384&lt;&gt;"Y"),"UNESCO-MAB Biosphere Reserve",IF(AND($K384="Point",N($L384)&lt;=0),"Point without REP_AREA",IF(AND(N($L384)&lt;=0,N($N384)&lt;=0,N($R384)+N($S384)&lt;=0),"No area information",""))))))))</f>
        <v/>
      </c>
      <c r="AB384" s="22">
        <f>IF(AND($A384="",$B384=""),"",IF($K384="Point",N($L384),IF(N($N384)&gt;0,N($N384),N($L384))))</f>
        <v/>
      </c>
      <c r="AC384" s="22">
        <f>IF(AND($A384="",$B384=""),"",MIN(AB384,IF(N($J384)=0,0,IF(N($J384)=2,AB384,IF(AND($K384&lt;&gt;"Point",N($O384)&gt;0),N($O384),N($M384))))))</f>
        <v/>
      </c>
      <c r="AD384" s="22">
        <f>IF(AND($A384="",$B384=""),"",MAX(0,AB384-AC384))</f>
        <v/>
      </c>
      <c r="AE384" s="21">
        <f>IF(AND($A384="",$B384=""),"",IF(OR($R384&lt;&gt;"",$S384&lt;&gt;""),1,0))</f>
        <v/>
      </c>
      <c r="AF384" s="22">
        <f>IF(AND($A384="",$B384=""),"",IF(Z384=1,IF(AE384=1,N($R384),AD384),0))</f>
        <v/>
      </c>
      <c r="AG384" s="22">
        <f>IF(AND($A384="",$B384=""),"",IF(Z384=1,IF(AE384=1,N($S384),AC384),0))</f>
        <v/>
      </c>
      <c r="AH384" s="21">
        <f>IF(AND($A384="",$B384=""),"",IF(AND(ISNUMBER($I384),N($I384)&gt;0),$I384,0))</f>
        <v/>
      </c>
      <c r="AI384" s="23">
        <f>IF(AND(NOT(AND($A384="",$B384="")),$K384="Point",N($L384)&gt;0),SQRT(N($L384)/PI()),"")</f>
        <v/>
      </c>
      <c r="AJ384" s="21">
        <f>IF(AND($A384="",$B384=""),"",IFERROR(VLOOKUP($G384,Lists!$D$4:$E$15,2,FALSE),"Not reported"))</f>
        <v/>
      </c>
      <c r="AK384" s="21">
        <f>IF(AND($A384="",$B384=""),"",IF($X384&lt;&gt;"",$X384,IF($T384&lt;&gt;"Y","Not assessed",IF(AND(ISNUMBER($V384),Setup!$B$6-$V384&gt;Setup!$B$26),"Assessment outdated",IF(NOT(ISNUMBER($W384)),"Assessed – no score",IF($W384&gt;=Setup!$B$24,"High",IF($W384&gt;=Setup!$B$25,"Moderate","Low")))))))</f>
        <v/>
      </c>
      <c r="AL384" s="21">
        <f>IF(AND($A384="",$B384=""),"",IF(Z384=0,"",IF(AND(AE384=1,N($R384)&gt;AD384*1.01+0.001),"Net terrestrial &gt; gross; ","")&amp;IF(AND(AE384=1,N($S384)&gt;AC384*1.01+0.001),"Net marine &gt; gross; ","")&amp;IF(AE384=0,"No net area – gross used, overlaps may be double-counted; ","")&amp;IF(AH384=0,"STATUS_YR missing – imputed in time series; ","")&amp;IF(AND(ISNUMBER($I384),N($I384)&gt;Setup!$B$6),"STATUS_YR after reporting year; ","")&amp;IF(OR($G384="",$G384="Not Reported"),"GOV_TYPE not reported; ","")&amp;IF(AND(N($J384)=1,$K384="Point",N($M384)&lt;=0),"Coastal point without REP_M_AREA – land/sea split unknown; ","")&amp;IF(AND(N($J384)=0,N($S384)&gt;0),"MARINE=0 but net marine &gt;0; ","")&amp;IF(AND(N($J384)=2,N($R384)&gt;0),"MARINE=2 but net terrestrial &gt;0; ","")&amp;IF($K384="Point","Buffered point – coverage approximate; ","")))</f>
        <v/>
      </c>
    </row>
    <row r="385">
      <c r="A385" s="19" t="n"/>
      <c r="B385" s="19" t="n"/>
      <c r="C385" s="19" t="n"/>
      <c r="D385" s="19" t="n"/>
      <c r="E385" s="19" t="n"/>
      <c r="F385" s="19" t="n"/>
      <c r="G385" s="19" t="n"/>
      <c r="H385" s="19" t="n"/>
      <c r="I385" s="19" t="n"/>
      <c r="J385" s="19" t="n"/>
      <c r="K385" s="19" t="n"/>
      <c r="L385" s="20" t="n"/>
      <c r="M385" s="20" t="n"/>
      <c r="N385" s="20" t="n"/>
      <c r="O385" s="20" t="n"/>
      <c r="P385" s="19" t="n"/>
      <c r="Q385" s="19" t="n"/>
      <c r="R385" s="20" t="n"/>
      <c r="S385" s="20" t="n"/>
      <c r="T385" s="19" t="n"/>
      <c r="U385" s="19" t="n"/>
      <c r="V385" s="19" t="n"/>
      <c r="W385" s="19" t="n"/>
      <c r="X385" s="19" t="n"/>
      <c r="Y385" s="19" t="n"/>
      <c r="Z385" s="21">
        <f>IF(AND($A385="",$B385=""),"",IF(OR($E385="",$H385="",$H385="Proposed",$H385="Not Reported"),0,IF(AND($P385="Y",$Q385&lt;&gt;"Y"),0,IF(AND($K385="Point",N($L385)&lt;=0),0,IF(AND(N($L385)&lt;=0,N($N385)&lt;=0,N($R385)+N($S385)&lt;=0),0,1)))))</f>
        <v/>
      </c>
      <c r="AA385" s="21">
        <f>IF(AND($A385="",$B385=""),"",IF($E385="","Site type missing",IF($H385="","STATUS missing",IF($H385="Proposed","STATUS = Proposed",IF($H385="Not Reported","STATUS = Not Reported",IF(AND($P385="Y",$Q385&lt;&gt;"Y"),"UNESCO-MAB Biosphere Reserve",IF(AND($K385="Point",N($L385)&lt;=0),"Point without REP_AREA",IF(AND(N($L385)&lt;=0,N($N385)&lt;=0,N($R385)+N($S385)&lt;=0),"No area information",""))))))))</f>
        <v/>
      </c>
      <c r="AB385" s="22">
        <f>IF(AND($A385="",$B385=""),"",IF($K385="Point",N($L385),IF(N($N385)&gt;0,N($N385),N($L385))))</f>
        <v/>
      </c>
      <c r="AC385" s="22">
        <f>IF(AND($A385="",$B385=""),"",MIN(AB385,IF(N($J385)=0,0,IF(N($J385)=2,AB385,IF(AND($K385&lt;&gt;"Point",N($O385)&gt;0),N($O385),N($M385))))))</f>
        <v/>
      </c>
      <c r="AD385" s="22">
        <f>IF(AND($A385="",$B385=""),"",MAX(0,AB385-AC385))</f>
        <v/>
      </c>
      <c r="AE385" s="21">
        <f>IF(AND($A385="",$B385=""),"",IF(OR($R385&lt;&gt;"",$S385&lt;&gt;""),1,0))</f>
        <v/>
      </c>
      <c r="AF385" s="22">
        <f>IF(AND($A385="",$B385=""),"",IF(Z385=1,IF(AE385=1,N($R385),AD385),0))</f>
        <v/>
      </c>
      <c r="AG385" s="22">
        <f>IF(AND($A385="",$B385=""),"",IF(Z385=1,IF(AE385=1,N($S385),AC385),0))</f>
        <v/>
      </c>
      <c r="AH385" s="21">
        <f>IF(AND($A385="",$B385=""),"",IF(AND(ISNUMBER($I385),N($I385)&gt;0),$I385,0))</f>
        <v/>
      </c>
      <c r="AI385" s="23">
        <f>IF(AND(NOT(AND($A385="",$B385="")),$K385="Point",N($L385)&gt;0),SQRT(N($L385)/PI()),"")</f>
        <v/>
      </c>
      <c r="AJ385" s="21">
        <f>IF(AND($A385="",$B385=""),"",IFERROR(VLOOKUP($G385,Lists!$D$4:$E$15,2,FALSE),"Not reported"))</f>
        <v/>
      </c>
      <c r="AK385" s="21">
        <f>IF(AND($A385="",$B385=""),"",IF($X385&lt;&gt;"",$X385,IF($T385&lt;&gt;"Y","Not assessed",IF(AND(ISNUMBER($V385),Setup!$B$6-$V385&gt;Setup!$B$26),"Assessment outdated",IF(NOT(ISNUMBER($W385)),"Assessed – no score",IF($W385&gt;=Setup!$B$24,"High",IF($W385&gt;=Setup!$B$25,"Moderate","Low")))))))</f>
        <v/>
      </c>
      <c r="AL385" s="21">
        <f>IF(AND($A385="",$B385=""),"",IF(Z385=0,"",IF(AND(AE385=1,N($R385)&gt;AD385*1.01+0.001),"Net terrestrial &gt; gross; ","")&amp;IF(AND(AE385=1,N($S385)&gt;AC385*1.01+0.001),"Net marine &gt; gross; ","")&amp;IF(AE385=0,"No net area – gross used, overlaps may be double-counted; ","")&amp;IF(AH385=0,"STATUS_YR missing – imputed in time series; ","")&amp;IF(AND(ISNUMBER($I385),N($I385)&gt;Setup!$B$6),"STATUS_YR after reporting year; ","")&amp;IF(OR($G385="",$G385="Not Reported"),"GOV_TYPE not reported; ","")&amp;IF(AND(N($J385)=1,$K385="Point",N($M385)&lt;=0),"Coastal point without REP_M_AREA – land/sea split unknown; ","")&amp;IF(AND(N($J385)=0,N($S385)&gt;0),"MARINE=0 but net marine &gt;0; ","")&amp;IF(AND(N($J385)=2,N($R385)&gt;0),"MARINE=2 but net terrestrial &gt;0; ","")&amp;IF($K385="Point","Buffered point – coverage approximate; ","")))</f>
        <v/>
      </c>
    </row>
    <row r="386">
      <c r="A386" s="19" t="n"/>
      <c r="B386" s="19" t="n"/>
      <c r="C386" s="19" t="n"/>
      <c r="D386" s="19" t="n"/>
      <c r="E386" s="19" t="n"/>
      <c r="F386" s="19" t="n"/>
      <c r="G386" s="19" t="n"/>
      <c r="H386" s="19" t="n"/>
      <c r="I386" s="19" t="n"/>
      <c r="J386" s="19" t="n"/>
      <c r="K386" s="19" t="n"/>
      <c r="L386" s="20" t="n"/>
      <c r="M386" s="20" t="n"/>
      <c r="N386" s="20" t="n"/>
      <c r="O386" s="20" t="n"/>
      <c r="P386" s="19" t="n"/>
      <c r="Q386" s="19" t="n"/>
      <c r="R386" s="20" t="n"/>
      <c r="S386" s="20" t="n"/>
      <c r="T386" s="19" t="n"/>
      <c r="U386" s="19" t="n"/>
      <c r="V386" s="19" t="n"/>
      <c r="W386" s="19" t="n"/>
      <c r="X386" s="19" t="n"/>
      <c r="Y386" s="19" t="n"/>
      <c r="Z386" s="21">
        <f>IF(AND($A386="",$B386=""),"",IF(OR($E386="",$H386="",$H386="Proposed",$H386="Not Reported"),0,IF(AND($P386="Y",$Q386&lt;&gt;"Y"),0,IF(AND($K386="Point",N($L386)&lt;=0),0,IF(AND(N($L386)&lt;=0,N($N386)&lt;=0,N($R386)+N($S386)&lt;=0),0,1)))))</f>
        <v/>
      </c>
      <c r="AA386" s="21">
        <f>IF(AND($A386="",$B386=""),"",IF($E386="","Site type missing",IF($H386="","STATUS missing",IF($H386="Proposed","STATUS = Proposed",IF($H386="Not Reported","STATUS = Not Reported",IF(AND($P386="Y",$Q386&lt;&gt;"Y"),"UNESCO-MAB Biosphere Reserve",IF(AND($K386="Point",N($L386)&lt;=0),"Point without REP_AREA",IF(AND(N($L386)&lt;=0,N($N386)&lt;=0,N($R386)+N($S386)&lt;=0),"No area information",""))))))))</f>
        <v/>
      </c>
      <c r="AB386" s="22">
        <f>IF(AND($A386="",$B386=""),"",IF($K386="Point",N($L386),IF(N($N386)&gt;0,N($N386),N($L386))))</f>
        <v/>
      </c>
      <c r="AC386" s="22">
        <f>IF(AND($A386="",$B386=""),"",MIN(AB386,IF(N($J386)=0,0,IF(N($J386)=2,AB386,IF(AND($K386&lt;&gt;"Point",N($O386)&gt;0),N($O386),N($M386))))))</f>
        <v/>
      </c>
      <c r="AD386" s="22">
        <f>IF(AND($A386="",$B386=""),"",MAX(0,AB386-AC386))</f>
        <v/>
      </c>
      <c r="AE386" s="21">
        <f>IF(AND($A386="",$B386=""),"",IF(OR($R386&lt;&gt;"",$S386&lt;&gt;""),1,0))</f>
        <v/>
      </c>
      <c r="AF386" s="22">
        <f>IF(AND($A386="",$B386=""),"",IF(Z386=1,IF(AE386=1,N($R386),AD386),0))</f>
        <v/>
      </c>
      <c r="AG386" s="22">
        <f>IF(AND($A386="",$B386=""),"",IF(Z386=1,IF(AE386=1,N($S386),AC386),0))</f>
        <v/>
      </c>
      <c r="AH386" s="21">
        <f>IF(AND($A386="",$B386=""),"",IF(AND(ISNUMBER($I386),N($I386)&gt;0),$I386,0))</f>
        <v/>
      </c>
      <c r="AI386" s="23">
        <f>IF(AND(NOT(AND($A386="",$B386="")),$K386="Point",N($L386)&gt;0),SQRT(N($L386)/PI()),"")</f>
        <v/>
      </c>
      <c r="AJ386" s="21">
        <f>IF(AND($A386="",$B386=""),"",IFERROR(VLOOKUP($G386,Lists!$D$4:$E$15,2,FALSE),"Not reported"))</f>
        <v/>
      </c>
      <c r="AK386" s="21">
        <f>IF(AND($A386="",$B386=""),"",IF($X386&lt;&gt;"",$X386,IF($T386&lt;&gt;"Y","Not assessed",IF(AND(ISNUMBER($V386),Setup!$B$6-$V386&gt;Setup!$B$26),"Assessment outdated",IF(NOT(ISNUMBER($W386)),"Assessed – no score",IF($W386&gt;=Setup!$B$24,"High",IF($W386&gt;=Setup!$B$25,"Moderate","Low")))))))</f>
        <v/>
      </c>
      <c r="AL386" s="21">
        <f>IF(AND($A386="",$B386=""),"",IF(Z386=0,"",IF(AND(AE386=1,N($R386)&gt;AD386*1.01+0.001),"Net terrestrial &gt; gross; ","")&amp;IF(AND(AE386=1,N($S386)&gt;AC386*1.01+0.001),"Net marine &gt; gross; ","")&amp;IF(AE386=0,"No net area – gross used, overlaps may be double-counted; ","")&amp;IF(AH386=0,"STATUS_YR missing – imputed in time series; ","")&amp;IF(AND(ISNUMBER($I386),N($I386)&gt;Setup!$B$6),"STATUS_YR after reporting year; ","")&amp;IF(OR($G386="",$G386="Not Reported"),"GOV_TYPE not reported; ","")&amp;IF(AND(N($J386)=1,$K386="Point",N($M386)&lt;=0),"Coastal point without REP_M_AREA – land/sea split unknown; ","")&amp;IF(AND(N($J386)=0,N($S386)&gt;0),"MARINE=0 but net marine &gt;0; ","")&amp;IF(AND(N($J386)=2,N($R386)&gt;0),"MARINE=2 but net terrestrial &gt;0; ","")&amp;IF($K386="Point","Buffered point – coverage approximate; ","")))</f>
        <v/>
      </c>
    </row>
    <row r="387">
      <c r="A387" s="19" t="n"/>
      <c r="B387" s="19" t="n"/>
      <c r="C387" s="19" t="n"/>
      <c r="D387" s="19" t="n"/>
      <c r="E387" s="19" t="n"/>
      <c r="F387" s="19" t="n"/>
      <c r="G387" s="19" t="n"/>
      <c r="H387" s="19" t="n"/>
      <c r="I387" s="19" t="n"/>
      <c r="J387" s="19" t="n"/>
      <c r="K387" s="19" t="n"/>
      <c r="L387" s="20" t="n"/>
      <c r="M387" s="20" t="n"/>
      <c r="N387" s="20" t="n"/>
      <c r="O387" s="20" t="n"/>
      <c r="P387" s="19" t="n"/>
      <c r="Q387" s="19" t="n"/>
      <c r="R387" s="20" t="n"/>
      <c r="S387" s="20" t="n"/>
      <c r="T387" s="19" t="n"/>
      <c r="U387" s="19" t="n"/>
      <c r="V387" s="19" t="n"/>
      <c r="W387" s="19" t="n"/>
      <c r="X387" s="19" t="n"/>
      <c r="Y387" s="19" t="n"/>
      <c r="Z387" s="21">
        <f>IF(AND($A387="",$B387=""),"",IF(OR($E387="",$H387="",$H387="Proposed",$H387="Not Reported"),0,IF(AND($P387="Y",$Q387&lt;&gt;"Y"),0,IF(AND($K387="Point",N($L387)&lt;=0),0,IF(AND(N($L387)&lt;=0,N($N387)&lt;=0,N($R387)+N($S387)&lt;=0),0,1)))))</f>
        <v/>
      </c>
      <c r="AA387" s="21">
        <f>IF(AND($A387="",$B387=""),"",IF($E387="","Site type missing",IF($H387="","STATUS missing",IF($H387="Proposed","STATUS = Proposed",IF($H387="Not Reported","STATUS = Not Reported",IF(AND($P387="Y",$Q387&lt;&gt;"Y"),"UNESCO-MAB Biosphere Reserve",IF(AND($K387="Point",N($L387)&lt;=0),"Point without REP_AREA",IF(AND(N($L387)&lt;=0,N($N387)&lt;=0,N($R387)+N($S387)&lt;=0),"No area information",""))))))))</f>
        <v/>
      </c>
      <c r="AB387" s="22">
        <f>IF(AND($A387="",$B387=""),"",IF($K387="Point",N($L387),IF(N($N387)&gt;0,N($N387),N($L387))))</f>
        <v/>
      </c>
      <c r="AC387" s="22">
        <f>IF(AND($A387="",$B387=""),"",MIN(AB387,IF(N($J387)=0,0,IF(N($J387)=2,AB387,IF(AND($K387&lt;&gt;"Point",N($O387)&gt;0),N($O387),N($M387))))))</f>
        <v/>
      </c>
      <c r="AD387" s="22">
        <f>IF(AND($A387="",$B387=""),"",MAX(0,AB387-AC387))</f>
        <v/>
      </c>
      <c r="AE387" s="21">
        <f>IF(AND($A387="",$B387=""),"",IF(OR($R387&lt;&gt;"",$S387&lt;&gt;""),1,0))</f>
        <v/>
      </c>
      <c r="AF387" s="22">
        <f>IF(AND($A387="",$B387=""),"",IF(Z387=1,IF(AE387=1,N($R387),AD387),0))</f>
        <v/>
      </c>
      <c r="AG387" s="22">
        <f>IF(AND($A387="",$B387=""),"",IF(Z387=1,IF(AE387=1,N($S387),AC387),0))</f>
        <v/>
      </c>
      <c r="AH387" s="21">
        <f>IF(AND($A387="",$B387=""),"",IF(AND(ISNUMBER($I387),N($I387)&gt;0),$I387,0))</f>
        <v/>
      </c>
      <c r="AI387" s="23">
        <f>IF(AND(NOT(AND($A387="",$B387="")),$K387="Point",N($L387)&gt;0),SQRT(N($L387)/PI()),"")</f>
        <v/>
      </c>
      <c r="AJ387" s="21">
        <f>IF(AND($A387="",$B387=""),"",IFERROR(VLOOKUP($G387,Lists!$D$4:$E$15,2,FALSE),"Not reported"))</f>
        <v/>
      </c>
      <c r="AK387" s="21">
        <f>IF(AND($A387="",$B387=""),"",IF($X387&lt;&gt;"",$X387,IF($T387&lt;&gt;"Y","Not assessed",IF(AND(ISNUMBER($V387),Setup!$B$6-$V387&gt;Setup!$B$26),"Assessment outdated",IF(NOT(ISNUMBER($W387)),"Assessed – no score",IF($W387&gt;=Setup!$B$24,"High",IF($W387&gt;=Setup!$B$25,"Moderate","Low")))))))</f>
        <v/>
      </c>
      <c r="AL387" s="21">
        <f>IF(AND($A387="",$B387=""),"",IF(Z387=0,"",IF(AND(AE387=1,N($R387)&gt;AD387*1.01+0.001),"Net terrestrial &gt; gross; ","")&amp;IF(AND(AE387=1,N($S387)&gt;AC387*1.01+0.001),"Net marine &gt; gross; ","")&amp;IF(AE387=0,"No net area – gross used, overlaps may be double-counted; ","")&amp;IF(AH387=0,"STATUS_YR missing – imputed in time series; ","")&amp;IF(AND(ISNUMBER($I387),N($I387)&gt;Setup!$B$6),"STATUS_YR after reporting year; ","")&amp;IF(OR($G387="",$G387="Not Reported"),"GOV_TYPE not reported; ","")&amp;IF(AND(N($J387)=1,$K387="Point",N($M387)&lt;=0),"Coastal point without REP_M_AREA – land/sea split unknown; ","")&amp;IF(AND(N($J387)=0,N($S387)&gt;0),"MARINE=0 but net marine &gt;0; ","")&amp;IF(AND(N($J387)=2,N($R387)&gt;0),"MARINE=2 but net terrestrial &gt;0; ","")&amp;IF($K387="Point","Buffered point – coverage approximate; ","")))</f>
        <v/>
      </c>
    </row>
    <row r="388">
      <c r="A388" s="19" t="n"/>
      <c r="B388" s="19" t="n"/>
      <c r="C388" s="19" t="n"/>
      <c r="D388" s="19" t="n"/>
      <c r="E388" s="19" t="n"/>
      <c r="F388" s="19" t="n"/>
      <c r="G388" s="19" t="n"/>
      <c r="H388" s="19" t="n"/>
      <c r="I388" s="19" t="n"/>
      <c r="J388" s="19" t="n"/>
      <c r="K388" s="19" t="n"/>
      <c r="L388" s="20" t="n"/>
      <c r="M388" s="20" t="n"/>
      <c r="N388" s="20" t="n"/>
      <c r="O388" s="20" t="n"/>
      <c r="P388" s="19" t="n"/>
      <c r="Q388" s="19" t="n"/>
      <c r="R388" s="20" t="n"/>
      <c r="S388" s="20" t="n"/>
      <c r="T388" s="19" t="n"/>
      <c r="U388" s="19" t="n"/>
      <c r="V388" s="19" t="n"/>
      <c r="W388" s="19" t="n"/>
      <c r="X388" s="19" t="n"/>
      <c r="Y388" s="19" t="n"/>
      <c r="Z388" s="21">
        <f>IF(AND($A388="",$B388=""),"",IF(OR($E388="",$H388="",$H388="Proposed",$H388="Not Reported"),0,IF(AND($P388="Y",$Q388&lt;&gt;"Y"),0,IF(AND($K388="Point",N($L388)&lt;=0),0,IF(AND(N($L388)&lt;=0,N($N388)&lt;=0,N($R388)+N($S388)&lt;=0),0,1)))))</f>
        <v/>
      </c>
      <c r="AA388" s="21">
        <f>IF(AND($A388="",$B388=""),"",IF($E388="","Site type missing",IF($H388="","STATUS missing",IF($H388="Proposed","STATUS = Proposed",IF($H388="Not Reported","STATUS = Not Reported",IF(AND($P388="Y",$Q388&lt;&gt;"Y"),"UNESCO-MAB Biosphere Reserve",IF(AND($K388="Point",N($L388)&lt;=0),"Point without REP_AREA",IF(AND(N($L388)&lt;=0,N($N388)&lt;=0,N($R388)+N($S388)&lt;=0),"No area information",""))))))))</f>
        <v/>
      </c>
      <c r="AB388" s="22">
        <f>IF(AND($A388="",$B388=""),"",IF($K388="Point",N($L388),IF(N($N388)&gt;0,N($N388),N($L388))))</f>
        <v/>
      </c>
      <c r="AC388" s="22">
        <f>IF(AND($A388="",$B388=""),"",MIN(AB388,IF(N($J388)=0,0,IF(N($J388)=2,AB388,IF(AND($K388&lt;&gt;"Point",N($O388)&gt;0),N($O388),N($M388))))))</f>
        <v/>
      </c>
      <c r="AD388" s="22">
        <f>IF(AND($A388="",$B388=""),"",MAX(0,AB388-AC388))</f>
        <v/>
      </c>
      <c r="AE388" s="21">
        <f>IF(AND($A388="",$B388=""),"",IF(OR($R388&lt;&gt;"",$S388&lt;&gt;""),1,0))</f>
        <v/>
      </c>
      <c r="AF388" s="22">
        <f>IF(AND($A388="",$B388=""),"",IF(Z388=1,IF(AE388=1,N($R388),AD388),0))</f>
        <v/>
      </c>
      <c r="AG388" s="22">
        <f>IF(AND($A388="",$B388=""),"",IF(Z388=1,IF(AE388=1,N($S388),AC388),0))</f>
        <v/>
      </c>
      <c r="AH388" s="21">
        <f>IF(AND($A388="",$B388=""),"",IF(AND(ISNUMBER($I388),N($I388)&gt;0),$I388,0))</f>
        <v/>
      </c>
      <c r="AI388" s="23">
        <f>IF(AND(NOT(AND($A388="",$B388="")),$K388="Point",N($L388)&gt;0),SQRT(N($L388)/PI()),"")</f>
        <v/>
      </c>
      <c r="AJ388" s="21">
        <f>IF(AND($A388="",$B388=""),"",IFERROR(VLOOKUP($G388,Lists!$D$4:$E$15,2,FALSE),"Not reported"))</f>
        <v/>
      </c>
      <c r="AK388" s="21">
        <f>IF(AND($A388="",$B388=""),"",IF($X388&lt;&gt;"",$X388,IF($T388&lt;&gt;"Y","Not assessed",IF(AND(ISNUMBER($V388),Setup!$B$6-$V388&gt;Setup!$B$26),"Assessment outdated",IF(NOT(ISNUMBER($W388)),"Assessed – no score",IF($W388&gt;=Setup!$B$24,"High",IF($W388&gt;=Setup!$B$25,"Moderate","Low")))))))</f>
        <v/>
      </c>
      <c r="AL388" s="21">
        <f>IF(AND($A388="",$B388=""),"",IF(Z388=0,"",IF(AND(AE388=1,N($R388)&gt;AD388*1.01+0.001),"Net terrestrial &gt; gross; ","")&amp;IF(AND(AE388=1,N($S388)&gt;AC388*1.01+0.001),"Net marine &gt; gross; ","")&amp;IF(AE388=0,"No net area – gross used, overlaps may be double-counted; ","")&amp;IF(AH388=0,"STATUS_YR missing – imputed in time series; ","")&amp;IF(AND(ISNUMBER($I388),N($I388)&gt;Setup!$B$6),"STATUS_YR after reporting year; ","")&amp;IF(OR($G388="",$G388="Not Reported"),"GOV_TYPE not reported; ","")&amp;IF(AND(N($J388)=1,$K388="Point",N($M388)&lt;=0),"Coastal point without REP_M_AREA – land/sea split unknown; ","")&amp;IF(AND(N($J388)=0,N($S388)&gt;0),"MARINE=0 but net marine &gt;0; ","")&amp;IF(AND(N($J388)=2,N($R388)&gt;0),"MARINE=2 but net terrestrial &gt;0; ","")&amp;IF($K388="Point","Buffered point – coverage approximate; ","")))</f>
        <v/>
      </c>
    </row>
    <row r="389">
      <c r="A389" s="19" t="n"/>
      <c r="B389" s="19" t="n"/>
      <c r="C389" s="19" t="n"/>
      <c r="D389" s="19" t="n"/>
      <c r="E389" s="19" t="n"/>
      <c r="F389" s="19" t="n"/>
      <c r="G389" s="19" t="n"/>
      <c r="H389" s="19" t="n"/>
      <c r="I389" s="19" t="n"/>
      <c r="J389" s="19" t="n"/>
      <c r="K389" s="19" t="n"/>
      <c r="L389" s="20" t="n"/>
      <c r="M389" s="20" t="n"/>
      <c r="N389" s="20" t="n"/>
      <c r="O389" s="20" t="n"/>
      <c r="P389" s="19" t="n"/>
      <c r="Q389" s="19" t="n"/>
      <c r="R389" s="20" t="n"/>
      <c r="S389" s="20" t="n"/>
      <c r="T389" s="19" t="n"/>
      <c r="U389" s="19" t="n"/>
      <c r="V389" s="19" t="n"/>
      <c r="W389" s="19" t="n"/>
      <c r="X389" s="19" t="n"/>
      <c r="Y389" s="19" t="n"/>
      <c r="Z389" s="21">
        <f>IF(AND($A389="",$B389=""),"",IF(OR($E389="",$H389="",$H389="Proposed",$H389="Not Reported"),0,IF(AND($P389="Y",$Q389&lt;&gt;"Y"),0,IF(AND($K389="Point",N($L389)&lt;=0),0,IF(AND(N($L389)&lt;=0,N($N389)&lt;=0,N($R389)+N($S389)&lt;=0),0,1)))))</f>
        <v/>
      </c>
      <c r="AA389" s="21">
        <f>IF(AND($A389="",$B389=""),"",IF($E389="","Site type missing",IF($H389="","STATUS missing",IF($H389="Proposed","STATUS = Proposed",IF($H389="Not Reported","STATUS = Not Reported",IF(AND($P389="Y",$Q389&lt;&gt;"Y"),"UNESCO-MAB Biosphere Reserve",IF(AND($K389="Point",N($L389)&lt;=0),"Point without REP_AREA",IF(AND(N($L389)&lt;=0,N($N389)&lt;=0,N($R389)+N($S389)&lt;=0),"No area information",""))))))))</f>
        <v/>
      </c>
      <c r="AB389" s="22">
        <f>IF(AND($A389="",$B389=""),"",IF($K389="Point",N($L389),IF(N($N389)&gt;0,N($N389),N($L389))))</f>
        <v/>
      </c>
      <c r="AC389" s="22">
        <f>IF(AND($A389="",$B389=""),"",MIN(AB389,IF(N($J389)=0,0,IF(N($J389)=2,AB389,IF(AND($K389&lt;&gt;"Point",N($O389)&gt;0),N($O389),N($M389))))))</f>
        <v/>
      </c>
      <c r="AD389" s="22">
        <f>IF(AND($A389="",$B389=""),"",MAX(0,AB389-AC389))</f>
        <v/>
      </c>
      <c r="AE389" s="21">
        <f>IF(AND($A389="",$B389=""),"",IF(OR($R389&lt;&gt;"",$S389&lt;&gt;""),1,0))</f>
        <v/>
      </c>
      <c r="AF389" s="22">
        <f>IF(AND($A389="",$B389=""),"",IF(Z389=1,IF(AE389=1,N($R389),AD389),0))</f>
        <v/>
      </c>
      <c r="AG389" s="22">
        <f>IF(AND($A389="",$B389=""),"",IF(Z389=1,IF(AE389=1,N($S389),AC389),0))</f>
        <v/>
      </c>
      <c r="AH389" s="21">
        <f>IF(AND($A389="",$B389=""),"",IF(AND(ISNUMBER($I389),N($I389)&gt;0),$I389,0))</f>
        <v/>
      </c>
      <c r="AI389" s="23">
        <f>IF(AND(NOT(AND($A389="",$B389="")),$K389="Point",N($L389)&gt;0),SQRT(N($L389)/PI()),"")</f>
        <v/>
      </c>
      <c r="AJ389" s="21">
        <f>IF(AND($A389="",$B389=""),"",IFERROR(VLOOKUP($G389,Lists!$D$4:$E$15,2,FALSE),"Not reported"))</f>
        <v/>
      </c>
      <c r="AK389" s="21">
        <f>IF(AND($A389="",$B389=""),"",IF($X389&lt;&gt;"",$X389,IF($T389&lt;&gt;"Y","Not assessed",IF(AND(ISNUMBER($V389),Setup!$B$6-$V389&gt;Setup!$B$26),"Assessment outdated",IF(NOT(ISNUMBER($W389)),"Assessed – no score",IF($W389&gt;=Setup!$B$24,"High",IF($W389&gt;=Setup!$B$25,"Moderate","Low")))))))</f>
        <v/>
      </c>
      <c r="AL389" s="21">
        <f>IF(AND($A389="",$B389=""),"",IF(Z389=0,"",IF(AND(AE389=1,N($R389)&gt;AD389*1.01+0.001),"Net terrestrial &gt; gross; ","")&amp;IF(AND(AE389=1,N($S389)&gt;AC389*1.01+0.001),"Net marine &gt; gross; ","")&amp;IF(AE389=0,"No net area – gross used, overlaps may be double-counted; ","")&amp;IF(AH389=0,"STATUS_YR missing – imputed in time series; ","")&amp;IF(AND(ISNUMBER($I389),N($I389)&gt;Setup!$B$6),"STATUS_YR after reporting year; ","")&amp;IF(OR($G389="",$G389="Not Reported"),"GOV_TYPE not reported; ","")&amp;IF(AND(N($J389)=1,$K389="Point",N($M389)&lt;=0),"Coastal point without REP_M_AREA – land/sea split unknown; ","")&amp;IF(AND(N($J389)=0,N($S389)&gt;0),"MARINE=0 but net marine &gt;0; ","")&amp;IF(AND(N($J389)=2,N($R389)&gt;0),"MARINE=2 but net terrestrial &gt;0; ","")&amp;IF($K389="Point","Buffered point – coverage approximate; ","")))</f>
        <v/>
      </c>
    </row>
    <row r="390">
      <c r="A390" s="19" t="n"/>
      <c r="B390" s="19" t="n"/>
      <c r="C390" s="19" t="n"/>
      <c r="D390" s="19" t="n"/>
      <c r="E390" s="19" t="n"/>
      <c r="F390" s="19" t="n"/>
      <c r="G390" s="19" t="n"/>
      <c r="H390" s="19" t="n"/>
      <c r="I390" s="19" t="n"/>
      <c r="J390" s="19" t="n"/>
      <c r="K390" s="19" t="n"/>
      <c r="L390" s="20" t="n"/>
      <c r="M390" s="20" t="n"/>
      <c r="N390" s="20" t="n"/>
      <c r="O390" s="20" t="n"/>
      <c r="P390" s="19" t="n"/>
      <c r="Q390" s="19" t="n"/>
      <c r="R390" s="20" t="n"/>
      <c r="S390" s="20" t="n"/>
      <c r="T390" s="19" t="n"/>
      <c r="U390" s="19" t="n"/>
      <c r="V390" s="19" t="n"/>
      <c r="W390" s="19" t="n"/>
      <c r="X390" s="19" t="n"/>
      <c r="Y390" s="19" t="n"/>
      <c r="Z390" s="21">
        <f>IF(AND($A390="",$B390=""),"",IF(OR($E390="",$H390="",$H390="Proposed",$H390="Not Reported"),0,IF(AND($P390="Y",$Q390&lt;&gt;"Y"),0,IF(AND($K390="Point",N($L390)&lt;=0),0,IF(AND(N($L390)&lt;=0,N($N390)&lt;=0,N($R390)+N($S390)&lt;=0),0,1)))))</f>
        <v/>
      </c>
      <c r="AA390" s="21">
        <f>IF(AND($A390="",$B390=""),"",IF($E390="","Site type missing",IF($H390="","STATUS missing",IF($H390="Proposed","STATUS = Proposed",IF($H390="Not Reported","STATUS = Not Reported",IF(AND($P390="Y",$Q390&lt;&gt;"Y"),"UNESCO-MAB Biosphere Reserve",IF(AND($K390="Point",N($L390)&lt;=0),"Point without REP_AREA",IF(AND(N($L390)&lt;=0,N($N390)&lt;=0,N($R390)+N($S390)&lt;=0),"No area information",""))))))))</f>
        <v/>
      </c>
      <c r="AB390" s="22">
        <f>IF(AND($A390="",$B390=""),"",IF($K390="Point",N($L390),IF(N($N390)&gt;0,N($N390),N($L390))))</f>
        <v/>
      </c>
      <c r="AC390" s="22">
        <f>IF(AND($A390="",$B390=""),"",MIN(AB390,IF(N($J390)=0,0,IF(N($J390)=2,AB390,IF(AND($K390&lt;&gt;"Point",N($O390)&gt;0),N($O390),N($M390))))))</f>
        <v/>
      </c>
      <c r="AD390" s="22">
        <f>IF(AND($A390="",$B390=""),"",MAX(0,AB390-AC390))</f>
        <v/>
      </c>
      <c r="AE390" s="21">
        <f>IF(AND($A390="",$B390=""),"",IF(OR($R390&lt;&gt;"",$S390&lt;&gt;""),1,0))</f>
        <v/>
      </c>
      <c r="AF390" s="22">
        <f>IF(AND($A390="",$B390=""),"",IF(Z390=1,IF(AE390=1,N($R390),AD390),0))</f>
        <v/>
      </c>
      <c r="AG390" s="22">
        <f>IF(AND($A390="",$B390=""),"",IF(Z390=1,IF(AE390=1,N($S390),AC390),0))</f>
        <v/>
      </c>
      <c r="AH390" s="21">
        <f>IF(AND($A390="",$B390=""),"",IF(AND(ISNUMBER($I390),N($I390)&gt;0),$I390,0))</f>
        <v/>
      </c>
      <c r="AI390" s="23">
        <f>IF(AND(NOT(AND($A390="",$B390="")),$K390="Point",N($L390)&gt;0),SQRT(N($L390)/PI()),"")</f>
        <v/>
      </c>
      <c r="AJ390" s="21">
        <f>IF(AND($A390="",$B390=""),"",IFERROR(VLOOKUP($G390,Lists!$D$4:$E$15,2,FALSE),"Not reported"))</f>
        <v/>
      </c>
      <c r="AK390" s="21">
        <f>IF(AND($A390="",$B390=""),"",IF($X390&lt;&gt;"",$X390,IF($T390&lt;&gt;"Y","Not assessed",IF(AND(ISNUMBER($V390),Setup!$B$6-$V390&gt;Setup!$B$26),"Assessment outdated",IF(NOT(ISNUMBER($W390)),"Assessed – no score",IF($W390&gt;=Setup!$B$24,"High",IF($W390&gt;=Setup!$B$25,"Moderate","Low")))))))</f>
        <v/>
      </c>
      <c r="AL390" s="21">
        <f>IF(AND($A390="",$B390=""),"",IF(Z390=0,"",IF(AND(AE390=1,N($R390)&gt;AD390*1.01+0.001),"Net terrestrial &gt; gross; ","")&amp;IF(AND(AE390=1,N($S390)&gt;AC390*1.01+0.001),"Net marine &gt; gross; ","")&amp;IF(AE390=0,"No net area – gross used, overlaps may be double-counted; ","")&amp;IF(AH390=0,"STATUS_YR missing – imputed in time series; ","")&amp;IF(AND(ISNUMBER($I390),N($I390)&gt;Setup!$B$6),"STATUS_YR after reporting year; ","")&amp;IF(OR($G390="",$G390="Not Reported"),"GOV_TYPE not reported; ","")&amp;IF(AND(N($J390)=1,$K390="Point",N($M390)&lt;=0),"Coastal point without REP_M_AREA – land/sea split unknown; ","")&amp;IF(AND(N($J390)=0,N($S390)&gt;0),"MARINE=0 but net marine &gt;0; ","")&amp;IF(AND(N($J390)=2,N($R390)&gt;0),"MARINE=2 but net terrestrial &gt;0; ","")&amp;IF($K390="Point","Buffered point – coverage approximate; ","")))</f>
        <v/>
      </c>
    </row>
    <row r="391">
      <c r="A391" s="19" t="n"/>
      <c r="B391" s="19" t="n"/>
      <c r="C391" s="19" t="n"/>
      <c r="D391" s="19" t="n"/>
      <c r="E391" s="19" t="n"/>
      <c r="F391" s="19" t="n"/>
      <c r="G391" s="19" t="n"/>
      <c r="H391" s="19" t="n"/>
      <c r="I391" s="19" t="n"/>
      <c r="J391" s="19" t="n"/>
      <c r="K391" s="19" t="n"/>
      <c r="L391" s="20" t="n"/>
      <c r="M391" s="20" t="n"/>
      <c r="N391" s="20" t="n"/>
      <c r="O391" s="20" t="n"/>
      <c r="P391" s="19" t="n"/>
      <c r="Q391" s="19" t="n"/>
      <c r="R391" s="20" t="n"/>
      <c r="S391" s="20" t="n"/>
      <c r="T391" s="19" t="n"/>
      <c r="U391" s="19" t="n"/>
      <c r="V391" s="19" t="n"/>
      <c r="W391" s="19" t="n"/>
      <c r="X391" s="19" t="n"/>
      <c r="Y391" s="19" t="n"/>
      <c r="Z391" s="21">
        <f>IF(AND($A391="",$B391=""),"",IF(OR($E391="",$H391="",$H391="Proposed",$H391="Not Reported"),0,IF(AND($P391="Y",$Q391&lt;&gt;"Y"),0,IF(AND($K391="Point",N($L391)&lt;=0),0,IF(AND(N($L391)&lt;=0,N($N391)&lt;=0,N($R391)+N($S391)&lt;=0),0,1)))))</f>
        <v/>
      </c>
      <c r="AA391" s="21">
        <f>IF(AND($A391="",$B391=""),"",IF($E391="","Site type missing",IF($H391="","STATUS missing",IF($H391="Proposed","STATUS = Proposed",IF($H391="Not Reported","STATUS = Not Reported",IF(AND($P391="Y",$Q391&lt;&gt;"Y"),"UNESCO-MAB Biosphere Reserve",IF(AND($K391="Point",N($L391)&lt;=0),"Point without REP_AREA",IF(AND(N($L391)&lt;=0,N($N391)&lt;=0,N($R391)+N($S391)&lt;=0),"No area information",""))))))))</f>
        <v/>
      </c>
      <c r="AB391" s="22">
        <f>IF(AND($A391="",$B391=""),"",IF($K391="Point",N($L391),IF(N($N391)&gt;0,N($N391),N($L391))))</f>
        <v/>
      </c>
      <c r="AC391" s="22">
        <f>IF(AND($A391="",$B391=""),"",MIN(AB391,IF(N($J391)=0,0,IF(N($J391)=2,AB391,IF(AND($K391&lt;&gt;"Point",N($O391)&gt;0),N($O391),N($M391))))))</f>
        <v/>
      </c>
      <c r="AD391" s="22">
        <f>IF(AND($A391="",$B391=""),"",MAX(0,AB391-AC391))</f>
        <v/>
      </c>
      <c r="AE391" s="21">
        <f>IF(AND($A391="",$B391=""),"",IF(OR($R391&lt;&gt;"",$S391&lt;&gt;""),1,0))</f>
        <v/>
      </c>
      <c r="AF391" s="22">
        <f>IF(AND($A391="",$B391=""),"",IF(Z391=1,IF(AE391=1,N($R391),AD391),0))</f>
        <v/>
      </c>
      <c r="AG391" s="22">
        <f>IF(AND($A391="",$B391=""),"",IF(Z391=1,IF(AE391=1,N($S391),AC391),0))</f>
        <v/>
      </c>
      <c r="AH391" s="21">
        <f>IF(AND($A391="",$B391=""),"",IF(AND(ISNUMBER($I391),N($I391)&gt;0),$I391,0))</f>
        <v/>
      </c>
      <c r="AI391" s="23">
        <f>IF(AND(NOT(AND($A391="",$B391="")),$K391="Point",N($L391)&gt;0),SQRT(N($L391)/PI()),"")</f>
        <v/>
      </c>
      <c r="AJ391" s="21">
        <f>IF(AND($A391="",$B391=""),"",IFERROR(VLOOKUP($G391,Lists!$D$4:$E$15,2,FALSE),"Not reported"))</f>
        <v/>
      </c>
      <c r="AK391" s="21">
        <f>IF(AND($A391="",$B391=""),"",IF($X391&lt;&gt;"",$X391,IF($T391&lt;&gt;"Y","Not assessed",IF(AND(ISNUMBER($V391),Setup!$B$6-$V391&gt;Setup!$B$26),"Assessment outdated",IF(NOT(ISNUMBER($W391)),"Assessed – no score",IF($W391&gt;=Setup!$B$24,"High",IF($W391&gt;=Setup!$B$25,"Moderate","Low")))))))</f>
        <v/>
      </c>
      <c r="AL391" s="21">
        <f>IF(AND($A391="",$B391=""),"",IF(Z391=0,"",IF(AND(AE391=1,N($R391)&gt;AD391*1.01+0.001),"Net terrestrial &gt; gross; ","")&amp;IF(AND(AE391=1,N($S391)&gt;AC391*1.01+0.001),"Net marine &gt; gross; ","")&amp;IF(AE391=0,"No net area – gross used, overlaps may be double-counted; ","")&amp;IF(AH391=0,"STATUS_YR missing – imputed in time series; ","")&amp;IF(AND(ISNUMBER($I391),N($I391)&gt;Setup!$B$6),"STATUS_YR after reporting year; ","")&amp;IF(OR($G391="",$G391="Not Reported"),"GOV_TYPE not reported; ","")&amp;IF(AND(N($J391)=1,$K391="Point",N($M391)&lt;=0),"Coastal point without REP_M_AREA – land/sea split unknown; ","")&amp;IF(AND(N($J391)=0,N($S391)&gt;0),"MARINE=0 but net marine &gt;0; ","")&amp;IF(AND(N($J391)=2,N($R391)&gt;0),"MARINE=2 but net terrestrial &gt;0; ","")&amp;IF($K391="Point","Buffered point – coverage approximate; ","")))</f>
        <v/>
      </c>
    </row>
    <row r="392">
      <c r="A392" s="19" t="n"/>
      <c r="B392" s="19" t="n"/>
      <c r="C392" s="19" t="n"/>
      <c r="D392" s="19" t="n"/>
      <c r="E392" s="19" t="n"/>
      <c r="F392" s="19" t="n"/>
      <c r="G392" s="19" t="n"/>
      <c r="H392" s="19" t="n"/>
      <c r="I392" s="19" t="n"/>
      <c r="J392" s="19" t="n"/>
      <c r="K392" s="19" t="n"/>
      <c r="L392" s="20" t="n"/>
      <c r="M392" s="20" t="n"/>
      <c r="N392" s="20" t="n"/>
      <c r="O392" s="20" t="n"/>
      <c r="P392" s="19" t="n"/>
      <c r="Q392" s="19" t="n"/>
      <c r="R392" s="20" t="n"/>
      <c r="S392" s="20" t="n"/>
      <c r="T392" s="19" t="n"/>
      <c r="U392" s="19" t="n"/>
      <c r="V392" s="19" t="n"/>
      <c r="W392" s="19" t="n"/>
      <c r="X392" s="19" t="n"/>
      <c r="Y392" s="19" t="n"/>
      <c r="Z392" s="21">
        <f>IF(AND($A392="",$B392=""),"",IF(OR($E392="",$H392="",$H392="Proposed",$H392="Not Reported"),0,IF(AND($P392="Y",$Q392&lt;&gt;"Y"),0,IF(AND($K392="Point",N($L392)&lt;=0),0,IF(AND(N($L392)&lt;=0,N($N392)&lt;=0,N($R392)+N($S392)&lt;=0),0,1)))))</f>
        <v/>
      </c>
      <c r="AA392" s="21">
        <f>IF(AND($A392="",$B392=""),"",IF($E392="","Site type missing",IF($H392="","STATUS missing",IF($H392="Proposed","STATUS = Proposed",IF($H392="Not Reported","STATUS = Not Reported",IF(AND($P392="Y",$Q392&lt;&gt;"Y"),"UNESCO-MAB Biosphere Reserve",IF(AND($K392="Point",N($L392)&lt;=0),"Point without REP_AREA",IF(AND(N($L392)&lt;=0,N($N392)&lt;=0,N($R392)+N($S392)&lt;=0),"No area information",""))))))))</f>
        <v/>
      </c>
      <c r="AB392" s="22">
        <f>IF(AND($A392="",$B392=""),"",IF($K392="Point",N($L392),IF(N($N392)&gt;0,N($N392),N($L392))))</f>
        <v/>
      </c>
      <c r="AC392" s="22">
        <f>IF(AND($A392="",$B392=""),"",MIN(AB392,IF(N($J392)=0,0,IF(N($J392)=2,AB392,IF(AND($K392&lt;&gt;"Point",N($O392)&gt;0),N($O392),N($M392))))))</f>
        <v/>
      </c>
      <c r="AD392" s="22">
        <f>IF(AND($A392="",$B392=""),"",MAX(0,AB392-AC392))</f>
        <v/>
      </c>
      <c r="AE392" s="21">
        <f>IF(AND($A392="",$B392=""),"",IF(OR($R392&lt;&gt;"",$S392&lt;&gt;""),1,0))</f>
        <v/>
      </c>
      <c r="AF392" s="22">
        <f>IF(AND($A392="",$B392=""),"",IF(Z392=1,IF(AE392=1,N($R392),AD392),0))</f>
        <v/>
      </c>
      <c r="AG392" s="22">
        <f>IF(AND($A392="",$B392=""),"",IF(Z392=1,IF(AE392=1,N($S392),AC392),0))</f>
        <v/>
      </c>
      <c r="AH392" s="21">
        <f>IF(AND($A392="",$B392=""),"",IF(AND(ISNUMBER($I392),N($I392)&gt;0),$I392,0))</f>
        <v/>
      </c>
      <c r="AI392" s="23">
        <f>IF(AND(NOT(AND($A392="",$B392="")),$K392="Point",N($L392)&gt;0),SQRT(N($L392)/PI()),"")</f>
        <v/>
      </c>
      <c r="AJ392" s="21">
        <f>IF(AND($A392="",$B392=""),"",IFERROR(VLOOKUP($G392,Lists!$D$4:$E$15,2,FALSE),"Not reported"))</f>
        <v/>
      </c>
      <c r="AK392" s="21">
        <f>IF(AND($A392="",$B392=""),"",IF($X392&lt;&gt;"",$X392,IF($T392&lt;&gt;"Y","Not assessed",IF(AND(ISNUMBER($V392),Setup!$B$6-$V392&gt;Setup!$B$26),"Assessment outdated",IF(NOT(ISNUMBER($W392)),"Assessed – no score",IF($W392&gt;=Setup!$B$24,"High",IF($W392&gt;=Setup!$B$25,"Moderate","Low")))))))</f>
        <v/>
      </c>
      <c r="AL392" s="21">
        <f>IF(AND($A392="",$B392=""),"",IF(Z392=0,"",IF(AND(AE392=1,N($R392)&gt;AD392*1.01+0.001),"Net terrestrial &gt; gross; ","")&amp;IF(AND(AE392=1,N($S392)&gt;AC392*1.01+0.001),"Net marine &gt; gross; ","")&amp;IF(AE392=0,"No net area – gross used, overlaps may be double-counted; ","")&amp;IF(AH392=0,"STATUS_YR missing – imputed in time series; ","")&amp;IF(AND(ISNUMBER($I392),N($I392)&gt;Setup!$B$6),"STATUS_YR after reporting year; ","")&amp;IF(OR($G392="",$G392="Not Reported"),"GOV_TYPE not reported; ","")&amp;IF(AND(N($J392)=1,$K392="Point",N($M392)&lt;=0),"Coastal point without REP_M_AREA – land/sea split unknown; ","")&amp;IF(AND(N($J392)=0,N($S392)&gt;0),"MARINE=0 but net marine &gt;0; ","")&amp;IF(AND(N($J392)=2,N($R392)&gt;0),"MARINE=2 but net terrestrial &gt;0; ","")&amp;IF($K392="Point","Buffered point – coverage approximate; ","")))</f>
        <v/>
      </c>
    </row>
    <row r="393">
      <c r="A393" s="19" t="n"/>
      <c r="B393" s="19" t="n"/>
      <c r="C393" s="19" t="n"/>
      <c r="D393" s="19" t="n"/>
      <c r="E393" s="19" t="n"/>
      <c r="F393" s="19" t="n"/>
      <c r="G393" s="19" t="n"/>
      <c r="H393" s="19" t="n"/>
      <c r="I393" s="19" t="n"/>
      <c r="J393" s="19" t="n"/>
      <c r="K393" s="19" t="n"/>
      <c r="L393" s="20" t="n"/>
      <c r="M393" s="20" t="n"/>
      <c r="N393" s="20" t="n"/>
      <c r="O393" s="20" t="n"/>
      <c r="P393" s="19" t="n"/>
      <c r="Q393" s="19" t="n"/>
      <c r="R393" s="20" t="n"/>
      <c r="S393" s="20" t="n"/>
      <c r="T393" s="19" t="n"/>
      <c r="U393" s="19" t="n"/>
      <c r="V393" s="19" t="n"/>
      <c r="W393" s="19" t="n"/>
      <c r="X393" s="19" t="n"/>
      <c r="Y393" s="19" t="n"/>
      <c r="Z393" s="21">
        <f>IF(AND($A393="",$B393=""),"",IF(OR($E393="",$H393="",$H393="Proposed",$H393="Not Reported"),0,IF(AND($P393="Y",$Q393&lt;&gt;"Y"),0,IF(AND($K393="Point",N($L393)&lt;=0),0,IF(AND(N($L393)&lt;=0,N($N393)&lt;=0,N($R393)+N($S393)&lt;=0),0,1)))))</f>
        <v/>
      </c>
      <c r="AA393" s="21">
        <f>IF(AND($A393="",$B393=""),"",IF($E393="","Site type missing",IF($H393="","STATUS missing",IF($H393="Proposed","STATUS = Proposed",IF($H393="Not Reported","STATUS = Not Reported",IF(AND($P393="Y",$Q393&lt;&gt;"Y"),"UNESCO-MAB Biosphere Reserve",IF(AND($K393="Point",N($L393)&lt;=0),"Point without REP_AREA",IF(AND(N($L393)&lt;=0,N($N393)&lt;=0,N($R393)+N($S393)&lt;=0),"No area information",""))))))))</f>
        <v/>
      </c>
      <c r="AB393" s="22">
        <f>IF(AND($A393="",$B393=""),"",IF($K393="Point",N($L393),IF(N($N393)&gt;0,N($N393),N($L393))))</f>
        <v/>
      </c>
      <c r="AC393" s="22">
        <f>IF(AND($A393="",$B393=""),"",MIN(AB393,IF(N($J393)=0,0,IF(N($J393)=2,AB393,IF(AND($K393&lt;&gt;"Point",N($O393)&gt;0),N($O393),N($M393))))))</f>
        <v/>
      </c>
      <c r="AD393" s="22">
        <f>IF(AND($A393="",$B393=""),"",MAX(0,AB393-AC393))</f>
        <v/>
      </c>
      <c r="AE393" s="21">
        <f>IF(AND($A393="",$B393=""),"",IF(OR($R393&lt;&gt;"",$S393&lt;&gt;""),1,0))</f>
        <v/>
      </c>
      <c r="AF393" s="22">
        <f>IF(AND($A393="",$B393=""),"",IF(Z393=1,IF(AE393=1,N($R393),AD393),0))</f>
        <v/>
      </c>
      <c r="AG393" s="22">
        <f>IF(AND($A393="",$B393=""),"",IF(Z393=1,IF(AE393=1,N($S393),AC393),0))</f>
        <v/>
      </c>
      <c r="AH393" s="21">
        <f>IF(AND($A393="",$B393=""),"",IF(AND(ISNUMBER($I393),N($I393)&gt;0),$I393,0))</f>
        <v/>
      </c>
      <c r="AI393" s="23">
        <f>IF(AND(NOT(AND($A393="",$B393="")),$K393="Point",N($L393)&gt;0),SQRT(N($L393)/PI()),"")</f>
        <v/>
      </c>
      <c r="AJ393" s="21">
        <f>IF(AND($A393="",$B393=""),"",IFERROR(VLOOKUP($G393,Lists!$D$4:$E$15,2,FALSE),"Not reported"))</f>
        <v/>
      </c>
      <c r="AK393" s="21">
        <f>IF(AND($A393="",$B393=""),"",IF($X393&lt;&gt;"",$X393,IF($T393&lt;&gt;"Y","Not assessed",IF(AND(ISNUMBER($V393),Setup!$B$6-$V393&gt;Setup!$B$26),"Assessment outdated",IF(NOT(ISNUMBER($W393)),"Assessed – no score",IF($W393&gt;=Setup!$B$24,"High",IF($W393&gt;=Setup!$B$25,"Moderate","Low")))))))</f>
        <v/>
      </c>
      <c r="AL393" s="21">
        <f>IF(AND($A393="",$B393=""),"",IF(Z393=0,"",IF(AND(AE393=1,N($R393)&gt;AD393*1.01+0.001),"Net terrestrial &gt; gross; ","")&amp;IF(AND(AE393=1,N($S393)&gt;AC393*1.01+0.001),"Net marine &gt; gross; ","")&amp;IF(AE393=0,"No net area – gross used, overlaps may be double-counted; ","")&amp;IF(AH393=0,"STATUS_YR missing – imputed in time series; ","")&amp;IF(AND(ISNUMBER($I393),N($I393)&gt;Setup!$B$6),"STATUS_YR after reporting year; ","")&amp;IF(OR($G393="",$G393="Not Reported"),"GOV_TYPE not reported; ","")&amp;IF(AND(N($J393)=1,$K393="Point",N($M393)&lt;=0),"Coastal point without REP_M_AREA – land/sea split unknown; ","")&amp;IF(AND(N($J393)=0,N($S393)&gt;0),"MARINE=0 but net marine &gt;0; ","")&amp;IF(AND(N($J393)=2,N($R393)&gt;0),"MARINE=2 but net terrestrial &gt;0; ","")&amp;IF($K393="Point","Buffered point – coverage approximate; ","")))</f>
        <v/>
      </c>
    </row>
    <row r="394">
      <c r="A394" s="19" t="n"/>
      <c r="B394" s="19" t="n"/>
      <c r="C394" s="19" t="n"/>
      <c r="D394" s="19" t="n"/>
      <c r="E394" s="19" t="n"/>
      <c r="F394" s="19" t="n"/>
      <c r="G394" s="19" t="n"/>
      <c r="H394" s="19" t="n"/>
      <c r="I394" s="19" t="n"/>
      <c r="J394" s="19" t="n"/>
      <c r="K394" s="19" t="n"/>
      <c r="L394" s="20" t="n"/>
      <c r="M394" s="20" t="n"/>
      <c r="N394" s="20" t="n"/>
      <c r="O394" s="20" t="n"/>
      <c r="P394" s="19" t="n"/>
      <c r="Q394" s="19" t="n"/>
      <c r="R394" s="20" t="n"/>
      <c r="S394" s="20" t="n"/>
      <c r="T394" s="19" t="n"/>
      <c r="U394" s="19" t="n"/>
      <c r="V394" s="19" t="n"/>
      <c r="W394" s="19" t="n"/>
      <c r="X394" s="19" t="n"/>
      <c r="Y394" s="19" t="n"/>
      <c r="Z394" s="21">
        <f>IF(AND($A394="",$B394=""),"",IF(OR($E394="",$H394="",$H394="Proposed",$H394="Not Reported"),0,IF(AND($P394="Y",$Q394&lt;&gt;"Y"),0,IF(AND($K394="Point",N($L394)&lt;=0),0,IF(AND(N($L394)&lt;=0,N($N394)&lt;=0,N($R394)+N($S394)&lt;=0),0,1)))))</f>
        <v/>
      </c>
      <c r="AA394" s="21">
        <f>IF(AND($A394="",$B394=""),"",IF($E394="","Site type missing",IF($H394="","STATUS missing",IF($H394="Proposed","STATUS = Proposed",IF($H394="Not Reported","STATUS = Not Reported",IF(AND($P394="Y",$Q394&lt;&gt;"Y"),"UNESCO-MAB Biosphere Reserve",IF(AND($K394="Point",N($L394)&lt;=0),"Point without REP_AREA",IF(AND(N($L394)&lt;=0,N($N394)&lt;=0,N($R394)+N($S394)&lt;=0),"No area information",""))))))))</f>
        <v/>
      </c>
      <c r="AB394" s="22">
        <f>IF(AND($A394="",$B394=""),"",IF($K394="Point",N($L394),IF(N($N394)&gt;0,N($N394),N($L394))))</f>
        <v/>
      </c>
      <c r="AC394" s="22">
        <f>IF(AND($A394="",$B394=""),"",MIN(AB394,IF(N($J394)=0,0,IF(N($J394)=2,AB394,IF(AND($K394&lt;&gt;"Point",N($O394)&gt;0),N($O394),N($M394))))))</f>
        <v/>
      </c>
      <c r="AD394" s="22">
        <f>IF(AND($A394="",$B394=""),"",MAX(0,AB394-AC394))</f>
        <v/>
      </c>
      <c r="AE394" s="21">
        <f>IF(AND($A394="",$B394=""),"",IF(OR($R394&lt;&gt;"",$S394&lt;&gt;""),1,0))</f>
        <v/>
      </c>
      <c r="AF394" s="22">
        <f>IF(AND($A394="",$B394=""),"",IF(Z394=1,IF(AE394=1,N($R394),AD394),0))</f>
        <v/>
      </c>
      <c r="AG394" s="22">
        <f>IF(AND($A394="",$B394=""),"",IF(Z394=1,IF(AE394=1,N($S394),AC394),0))</f>
        <v/>
      </c>
      <c r="AH394" s="21">
        <f>IF(AND($A394="",$B394=""),"",IF(AND(ISNUMBER($I394),N($I394)&gt;0),$I394,0))</f>
        <v/>
      </c>
      <c r="AI394" s="23">
        <f>IF(AND(NOT(AND($A394="",$B394="")),$K394="Point",N($L394)&gt;0),SQRT(N($L394)/PI()),"")</f>
        <v/>
      </c>
      <c r="AJ394" s="21">
        <f>IF(AND($A394="",$B394=""),"",IFERROR(VLOOKUP($G394,Lists!$D$4:$E$15,2,FALSE),"Not reported"))</f>
        <v/>
      </c>
      <c r="AK394" s="21">
        <f>IF(AND($A394="",$B394=""),"",IF($X394&lt;&gt;"",$X394,IF($T394&lt;&gt;"Y","Not assessed",IF(AND(ISNUMBER($V394),Setup!$B$6-$V394&gt;Setup!$B$26),"Assessment outdated",IF(NOT(ISNUMBER($W394)),"Assessed – no score",IF($W394&gt;=Setup!$B$24,"High",IF($W394&gt;=Setup!$B$25,"Moderate","Low")))))))</f>
        <v/>
      </c>
      <c r="AL394" s="21">
        <f>IF(AND($A394="",$B394=""),"",IF(Z394=0,"",IF(AND(AE394=1,N($R394)&gt;AD394*1.01+0.001),"Net terrestrial &gt; gross; ","")&amp;IF(AND(AE394=1,N($S394)&gt;AC394*1.01+0.001),"Net marine &gt; gross; ","")&amp;IF(AE394=0,"No net area – gross used, overlaps may be double-counted; ","")&amp;IF(AH394=0,"STATUS_YR missing – imputed in time series; ","")&amp;IF(AND(ISNUMBER($I394),N($I394)&gt;Setup!$B$6),"STATUS_YR after reporting year; ","")&amp;IF(OR($G394="",$G394="Not Reported"),"GOV_TYPE not reported; ","")&amp;IF(AND(N($J394)=1,$K394="Point",N($M394)&lt;=0),"Coastal point without REP_M_AREA – land/sea split unknown; ","")&amp;IF(AND(N($J394)=0,N($S394)&gt;0),"MARINE=0 but net marine &gt;0; ","")&amp;IF(AND(N($J394)=2,N($R394)&gt;0),"MARINE=2 but net terrestrial &gt;0; ","")&amp;IF($K394="Point","Buffered point – coverage approximate; ","")))</f>
        <v/>
      </c>
    </row>
    <row r="395">
      <c r="A395" s="19" t="n"/>
      <c r="B395" s="19" t="n"/>
      <c r="C395" s="19" t="n"/>
      <c r="D395" s="19" t="n"/>
      <c r="E395" s="19" t="n"/>
      <c r="F395" s="19" t="n"/>
      <c r="G395" s="19" t="n"/>
      <c r="H395" s="19" t="n"/>
      <c r="I395" s="19" t="n"/>
      <c r="J395" s="19" t="n"/>
      <c r="K395" s="19" t="n"/>
      <c r="L395" s="20" t="n"/>
      <c r="M395" s="20" t="n"/>
      <c r="N395" s="20" t="n"/>
      <c r="O395" s="20" t="n"/>
      <c r="P395" s="19" t="n"/>
      <c r="Q395" s="19" t="n"/>
      <c r="R395" s="20" t="n"/>
      <c r="S395" s="20" t="n"/>
      <c r="T395" s="19" t="n"/>
      <c r="U395" s="19" t="n"/>
      <c r="V395" s="19" t="n"/>
      <c r="W395" s="19" t="n"/>
      <c r="X395" s="19" t="n"/>
      <c r="Y395" s="19" t="n"/>
      <c r="Z395" s="21">
        <f>IF(AND($A395="",$B395=""),"",IF(OR($E395="",$H395="",$H395="Proposed",$H395="Not Reported"),0,IF(AND($P395="Y",$Q395&lt;&gt;"Y"),0,IF(AND($K395="Point",N($L395)&lt;=0),0,IF(AND(N($L395)&lt;=0,N($N395)&lt;=0,N($R395)+N($S395)&lt;=0),0,1)))))</f>
        <v/>
      </c>
      <c r="AA395" s="21">
        <f>IF(AND($A395="",$B395=""),"",IF($E395="","Site type missing",IF($H395="","STATUS missing",IF($H395="Proposed","STATUS = Proposed",IF($H395="Not Reported","STATUS = Not Reported",IF(AND($P395="Y",$Q395&lt;&gt;"Y"),"UNESCO-MAB Biosphere Reserve",IF(AND($K395="Point",N($L395)&lt;=0),"Point without REP_AREA",IF(AND(N($L395)&lt;=0,N($N395)&lt;=0,N($R395)+N($S395)&lt;=0),"No area information",""))))))))</f>
        <v/>
      </c>
      <c r="AB395" s="22">
        <f>IF(AND($A395="",$B395=""),"",IF($K395="Point",N($L395),IF(N($N395)&gt;0,N($N395),N($L395))))</f>
        <v/>
      </c>
      <c r="AC395" s="22">
        <f>IF(AND($A395="",$B395=""),"",MIN(AB395,IF(N($J395)=0,0,IF(N($J395)=2,AB395,IF(AND($K395&lt;&gt;"Point",N($O395)&gt;0),N($O395),N($M395))))))</f>
        <v/>
      </c>
      <c r="AD395" s="22">
        <f>IF(AND($A395="",$B395=""),"",MAX(0,AB395-AC395))</f>
        <v/>
      </c>
      <c r="AE395" s="21">
        <f>IF(AND($A395="",$B395=""),"",IF(OR($R395&lt;&gt;"",$S395&lt;&gt;""),1,0))</f>
        <v/>
      </c>
      <c r="AF395" s="22">
        <f>IF(AND($A395="",$B395=""),"",IF(Z395=1,IF(AE395=1,N($R395),AD395),0))</f>
        <v/>
      </c>
      <c r="AG395" s="22">
        <f>IF(AND($A395="",$B395=""),"",IF(Z395=1,IF(AE395=1,N($S395),AC395),0))</f>
        <v/>
      </c>
      <c r="AH395" s="21">
        <f>IF(AND($A395="",$B395=""),"",IF(AND(ISNUMBER($I395),N($I395)&gt;0),$I395,0))</f>
        <v/>
      </c>
      <c r="AI395" s="23">
        <f>IF(AND(NOT(AND($A395="",$B395="")),$K395="Point",N($L395)&gt;0),SQRT(N($L395)/PI()),"")</f>
        <v/>
      </c>
      <c r="AJ395" s="21">
        <f>IF(AND($A395="",$B395=""),"",IFERROR(VLOOKUP($G395,Lists!$D$4:$E$15,2,FALSE),"Not reported"))</f>
        <v/>
      </c>
      <c r="AK395" s="21">
        <f>IF(AND($A395="",$B395=""),"",IF($X395&lt;&gt;"",$X395,IF($T395&lt;&gt;"Y","Not assessed",IF(AND(ISNUMBER($V395),Setup!$B$6-$V395&gt;Setup!$B$26),"Assessment outdated",IF(NOT(ISNUMBER($W395)),"Assessed – no score",IF($W395&gt;=Setup!$B$24,"High",IF($W395&gt;=Setup!$B$25,"Moderate","Low")))))))</f>
        <v/>
      </c>
      <c r="AL395" s="21">
        <f>IF(AND($A395="",$B395=""),"",IF(Z395=0,"",IF(AND(AE395=1,N($R395)&gt;AD395*1.01+0.001),"Net terrestrial &gt; gross; ","")&amp;IF(AND(AE395=1,N($S395)&gt;AC395*1.01+0.001),"Net marine &gt; gross; ","")&amp;IF(AE395=0,"No net area – gross used, overlaps may be double-counted; ","")&amp;IF(AH395=0,"STATUS_YR missing – imputed in time series; ","")&amp;IF(AND(ISNUMBER($I395),N($I395)&gt;Setup!$B$6),"STATUS_YR after reporting year; ","")&amp;IF(OR($G395="",$G395="Not Reported"),"GOV_TYPE not reported; ","")&amp;IF(AND(N($J395)=1,$K395="Point",N($M395)&lt;=0),"Coastal point without REP_M_AREA – land/sea split unknown; ","")&amp;IF(AND(N($J395)=0,N($S395)&gt;0),"MARINE=0 but net marine &gt;0; ","")&amp;IF(AND(N($J395)=2,N($R395)&gt;0),"MARINE=2 but net terrestrial &gt;0; ","")&amp;IF($K395="Point","Buffered point – coverage approximate; ","")))</f>
        <v/>
      </c>
    </row>
    <row r="396">
      <c r="A396" s="19" t="n"/>
      <c r="B396" s="19" t="n"/>
      <c r="C396" s="19" t="n"/>
      <c r="D396" s="19" t="n"/>
      <c r="E396" s="19" t="n"/>
      <c r="F396" s="19" t="n"/>
      <c r="G396" s="19" t="n"/>
      <c r="H396" s="19" t="n"/>
      <c r="I396" s="19" t="n"/>
      <c r="J396" s="19" t="n"/>
      <c r="K396" s="19" t="n"/>
      <c r="L396" s="20" t="n"/>
      <c r="M396" s="20" t="n"/>
      <c r="N396" s="20" t="n"/>
      <c r="O396" s="20" t="n"/>
      <c r="P396" s="19" t="n"/>
      <c r="Q396" s="19" t="n"/>
      <c r="R396" s="20" t="n"/>
      <c r="S396" s="20" t="n"/>
      <c r="T396" s="19" t="n"/>
      <c r="U396" s="19" t="n"/>
      <c r="V396" s="19" t="n"/>
      <c r="W396" s="19" t="n"/>
      <c r="X396" s="19" t="n"/>
      <c r="Y396" s="19" t="n"/>
      <c r="Z396" s="21">
        <f>IF(AND($A396="",$B396=""),"",IF(OR($E396="",$H396="",$H396="Proposed",$H396="Not Reported"),0,IF(AND($P396="Y",$Q396&lt;&gt;"Y"),0,IF(AND($K396="Point",N($L396)&lt;=0),0,IF(AND(N($L396)&lt;=0,N($N396)&lt;=0,N($R396)+N($S396)&lt;=0),0,1)))))</f>
        <v/>
      </c>
      <c r="AA396" s="21">
        <f>IF(AND($A396="",$B396=""),"",IF($E396="","Site type missing",IF($H396="","STATUS missing",IF($H396="Proposed","STATUS = Proposed",IF($H396="Not Reported","STATUS = Not Reported",IF(AND($P396="Y",$Q396&lt;&gt;"Y"),"UNESCO-MAB Biosphere Reserve",IF(AND($K396="Point",N($L396)&lt;=0),"Point without REP_AREA",IF(AND(N($L396)&lt;=0,N($N396)&lt;=0,N($R396)+N($S396)&lt;=0),"No area information",""))))))))</f>
        <v/>
      </c>
      <c r="AB396" s="22">
        <f>IF(AND($A396="",$B396=""),"",IF($K396="Point",N($L396),IF(N($N396)&gt;0,N($N396),N($L396))))</f>
        <v/>
      </c>
      <c r="AC396" s="22">
        <f>IF(AND($A396="",$B396=""),"",MIN(AB396,IF(N($J396)=0,0,IF(N($J396)=2,AB396,IF(AND($K396&lt;&gt;"Point",N($O396)&gt;0),N($O396),N($M396))))))</f>
        <v/>
      </c>
      <c r="AD396" s="22">
        <f>IF(AND($A396="",$B396=""),"",MAX(0,AB396-AC396))</f>
        <v/>
      </c>
      <c r="AE396" s="21">
        <f>IF(AND($A396="",$B396=""),"",IF(OR($R396&lt;&gt;"",$S396&lt;&gt;""),1,0))</f>
        <v/>
      </c>
      <c r="AF396" s="22">
        <f>IF(AND($A396="",$B396=""),"",IF(Z396=1,IF(AE396=1,N($R396),AD396),0))</f>
        <v/>
      </c>
      <c r="AG396" s="22">
        <f>IF(AND($A396="",$B396=""),"",IF(Z396=1,IF(AE396=1,N($S396),AC396),0))</f>
        <v/>
      </c>
      <c r="AH396" s="21">
        <f>IF(AND($A396="",$B396=""),"",IF(AND(ISNUMBER($I396),N($I396)&gt;0),$I396,0))</f>
        <v/>
      </c>
      <c r="AI396" s="23">
        <f>IF(AND(NOT(AND($A396="",$B396="")),$K396="Point",N($L396)&gt;0),SQRT(N($L396)/PI()),"")</f>
        <v/>
      </c>
      <c r="AJ396" s="21">
        <f>IF(AND($A396="",$B396=""),"",IFERROR(VLOOKUP($G396,Lists!$D$4:$E$15,2,FALSE),"Not reported"))</f>
        <v/>
      </c>
      <c r="AK396" s="21">
        <f>IF(AND($A396="",$B396=""),"",IF($X396&lt;&gt;"",$X396,IF($T396&lt;&gt;"Y","Not assessed",IF(AND(ISNUMBER($V396),Setup!$B$6-$V396&gt;Setup!$B$26),"Assessment outdated",IF(NOT(ISNUMBER($W396)),"Assessed – no score",IF($W396&gt;=Setup!$B$24,"High",IF($W396&gt;=Setup!$B$25,"Moderate","Low")))))))</f>
        <v/>
      </c>
      <c r="AL396" s="21">
        <f>IF(AND($A396="",$B396=""),"",IF(Z396=0,"",IF(AND(AE396=1,N($R396)&gt;AD396*1.01+0.001),"Net terrestrial &gt; gross; ","")&amp;IF(AND(AE396=1,N($S396)&gt;AC396*1.01+0.001),"Net marine &gt; gross; ","")&amp;IF(AE396=0,"No net area – gross used, overlaps may be double-counted; ","")&amp;IF(AH396=0,"STATUS_YR missing – imputed in time series; ","")&amp;IF(AND(ISNUMBER($I396),N($I396)&gt;Setup!$B$6),"STATUS_YR after reporting year; ","")&amp;IF(OR($G396="",$G396="Not Reported"),"GOV_TYPE not reported; ","")&amp;IF(AND(N($J396)=1,$K396="Point",N($M396)&lt;=0),"Coastal point without REP_M_AREA – land/sea split unknown; ","")&amp;IF(AND(N($J396)=0,N($S396)&gt;0),"MARINE=0 but net marine &gt;0; ","")&amp;IF(AND(N($J396)=2,N($R396)&gt;0),"MARINE=2 but net terrestrial &gt;0; ","")&amp;IF($K396="Point","Buffered point – coverage approximate; ","")))</f>
        <v/>
      </c>
    </row>
    <row r="397">
      <c r="A397" s="19" t="n"/>
      <c r="B397" s="19" t="n"/>
      <c r="C397" s="19" t="n"/>
      <c r="D397" s="19" t="n"/>
      <c r="E397" s="19" t="n"/>
      <c r="F397" s="19" t="n"/>
      <c r="G397" s="19" t="n"/>
      <c r="H397" s="19" t="n"/>
      <c r="I397" s="19" t="n"/>
      <c r="J397" s="19" t="n"/>
      <c r="K397" s="19" t="n"/>
      <c r="L397" s="20" t="n"/>
      <c r="M397" s="20" t="n"/>
      <c r="N397" s="20" t="n"/>
      <c r="O397" s="20" t="n"/>
      <c r="P397" s="19" t="n"/>
      <c r="Q397" s="19" t="n"/>
      <c r="R397" s="20" t="n"/>
      <c r="S397" s="20" t="n"/>
      <c r="T397" s="19" t="n"/>
      <c r="U397" s="19" t="n"/>
      <c r="V397" s="19" t="n"/>
      <c r="W397" s="19" t="n"/>
      <c r="X397" s="19" t="n"/>
      <c r="Y397" s="19" t="n"/>
      <c r="Z397" s="21">
        <f>IF(AND($A397="",$B397=""),"",IF(OR($E397="",$H397="",$H397="Proposed",$H397="Not Reported"),0,IF(AND($P397="Y",$Q397&lt;&gt;"Y"),0,IF(AND($K397="Point",N($L397)&lt;=0),0,IF(AND(N($L397)&lt;=0,N($N397)&lt;=0,N($R397)+N($S397)&lt;=0),0,1)))))</f>
        <v/>
      </c>
      <c r="AA397" s="21">
        <f>IF(AND($A397="",$B397=""),"",IF($E397="","Site type missing",IF($H397="","STATUS missing",IF($H397="Proposed","STATUS = Proposed",IF($H397="Not Reported","STATUS = Not Reported",IF(AND($P397="Y",$Q397&lt;&gt;"Y"),"UNESCO-MAB Biosphere Reserve",IF(AND($K397="Point",N($L397)&lt;=0),"Point without REP_AREA",IF(AND(N($L397)&lt;=0,N($N397)&lt;=0,N($R397)+N($S397)&lt;=0),"No area information",""))))))))</f>
        <v/>
      </c>
      <c r="AB397" s="22">
        <f>IF(AND($A397="",$B397=""),"",IF($K397="Point",N($L397),IF(N($N397)&gt;0,N($N397),N($L397))))</f>
        <v/>
      </c>
      <c r="AC397" s="22">
        <f>IF(AND($A397="",$B397=""),"",MIN(AB397,IF(N($J397)=0,0,IF(N($J397)=2,AB397,IF(AND($K397&lt;&gt;"Point",N($O397)&gt;0),N($O397),N($M397))))))</f>
        <v/>
      </c>
      <c r="AD397" s="22">
        <f>IF(AND($A397="",$B397=""),"",MAX(0,AB397-AC397))</f>
        <v/>
      </c>
      <c r="AE397" s="21">
        <f>IF(AND($A397="",$B397=""),"",IF(OR($R397&lt;&gt;"",$S397&lt;&gt;""),1,0))</f>
        <v/>
      </c>
      <c r="AF397" s="22">
        <f>IF(AND($A397="",$B397=""),"",IF(Z397=1,IF(AE397=1,N($R397),AD397),0))</f>
        <v/>
      </c>
      <c r="AG397" s="22">
        <f>IF(AND($A397="",$B397=""),"",IF(Z397=1,IF(AE397=1,N($S397),AC397),0))</f>
        <v/>
      </c>
      <c r="AH397" s="21">
        <f>IF(AND($A397="",$B397=""),"",IF(AND(ISNUMBER($I397),N($I397)&gt;0),$I397,0))</f>
        <v/>
      </c>
      <c r="AI397" s="23">
        <f>IF(AND(NOT(AND($A397="",$B397="")),$K397="Point",N($L397)&gt;0),SQRT(N($L397)/PI()),"")</f>
        <v/>
      </c>
      <c r="AJ397" s="21">
        <f>IF(AND($A397="",$B397=""),"",IFERROR(VLOOKUP($G397,Lists!$D$4:$E$15,2,FALSE),"Not reported"))</f>
        <v/>
      </c>
      <c r="AK397" s="21">
        <f>IF(AND($A397="",$B397=""),"",IF($X397&lt;&gt;"",$X397,IF($T397&lt;&gt;"Y","Not assessed",IF(AND(ISNUMBER($V397),Setup!$B$6-$V397&gt;Setup!$B$26),"Assessment outdated",IF(NOT(ISNUMBER($W397)),"Assessed – no score",IF($W397&gt;=Setup!$B$24,"High",IF($W397&gt;=Setup!$B$25,"Moderate","Low")))))))</f>
        <v/>
      </c>
      <c r="AL397" s="21">
        <f>IF(AND($A397="",$B397=""),"",IF(Z397=0,"",IF(AND(AE397=1,N($R397)&gt;AD397*1.01+0.001),"Net terrestrial &gt; gross; ","")&amp;IF(AND(AE397=1,N($S397)&gt;AC397*1.01+0.001),"Net marine &gt; gross; ","")&amp;IF(AE397=0,"No net area – gross used, overlaps may be double-counted; ","")&amp;IF(AH397=0,"STATUS_YR missing – imputed in time series; ","")&amp;IF(AND(ISNUMBER($I397),N($I397)&gt;Setup!$B$6),"STATUS_YR after reporting year; ","")&amp;IF(OR($G397="",$G397="Not Reported"),"GOV_TYPE not reported; ","")&amp;IF(AND(N($J397)=1,$K397="Point",N($M397)&lt;=0),"Coastal point without REP_M_AREA – land/sea split unknown; ","")&amp;IF(AND(N($J397)=0,N($S397)&gt;0),"MARINE=0 but net marine &gt;0; ","")&amp;IF(AND(N($J397)=2,N($R397)&gt;0),"MARINE=2 but net terrestrial &gt;0; ","")&amp;IF($K397="Point","Buffered point – coverage approximate; ","")))</f>
        <v/>
      </c>
    </row>
    <row r="398">
      <c r="A398" s="19" t="n"/>
      <c r="B398" s="19" t="n"/>
      <c r="C398" s="19" t="n"/>
      <c r="D398" s="19" t="n"/>
      <c r="E398" s="19" t="n"/>
      <c r="F398" s="19" t="n"/>
      <c r="G398" s="19" t="n"/>
      <c r="H398" s="19" t="n"/>
      <c r="I398" s="19" t="n"/>
      <c r="J398" s="19" t="n"/>
      <c r="K398" s="19" t="n"/>
      <c r="L398" s="20" t="n"/>
      <c r="M398" s="20" t="n"/>
      <c r="N398" s="20" t="n"/>
      <c r="O398" s="20" t="n"/>
      <c r="P398" s="19" t="n"/>
      <c r="Q398" s="19" t="n"/>
      <c r="R398" s="20" t="n"/>
      <c r="S398" s="20" t="n"/>
      <c r="T398" s="19" t="n"/>
      <c r="U398" s="19" t="n"/>
      <c r="V398" s="19" t="n"/>
      <c r="W398" s="19" t="n"/>
      <c r="X398" s="19" t="n"/>
      <c r="Y398" s="19" t="n"/>
      <c r="Z398" s="21">
        <f>IF(AND($A398="",$B398=""),"",IF(OR($E398="",$H398="",$H398="Proposed",$H398="Not Reported"),0,IF(AND($P398="Y",$Q398&lt;&gt;"Y"),0,IF(AND($K398="Point",N($L398)&lt;=0),0,IF(AND(N($L398)&lt;=0,N($N398)&lt;=0,N($R398)+N($S398)&lt;=0),0,1)))))</f>
        <v/>
      </c>
      <c r="AA398" s="21">
        <f>IF(AND($A398="",$B398=""),"",IF($E398="","Site type missing",IF($H398="","STATUS missing",IF($H398="Proposed","STATUS = Proposed",IF($H398="Not Reported","STATUS = Not Reported",IF(AND($P398="Y",$Q398&lt;&gt;"Y"),"UNESCO-MAB Biosphere Reserve",IF(AND($K398="Point",N($L398)&lt;=0),"Point without REP_AREA",IF(AND(N($L398)&lt;=0,N($N398)&lt;=0,N($R398)+N($S398)&lt;=0),"No area information",""))))))))</f>
        <v/>
      </c>
      <c r="AB398" s="22">
        <f>IF(AND($A398="",$B398=""),"",IF($K398="Point",N($L398),IF(N($N398)&gt;0,N($N398),N($L398))))</f>
        <v/>
      </c>
      <c r="AC398" s="22">
        <f>IF(AND($A398="",$B398=""),"",MIN(AB398,IF(N($J398)=0,0,IF(N($J398)=2,AB398,IF(AND($K398&lt;&gt;"Point",N($O398)&gt;0),N($O398),N($M398))))))</f>
        <v/>
      </c>
      <c r="AD398" s="22">
        <f>IF(AND($A398="",$B398=""),"",MAX(0,AB398-AC398))</f>
        <v/>
      </c>
      <c r="AE398" s="21">
        <f>IF(AND($A398="",$B398=""),"",IF(OR($R398&lt;&gt;"",$S398&lt;&gt;""),1,0))</f>
        <v/>
      </c>
      <c r="AF398" s="22">
        <f>IF(AND($A398="",$B398=""),"",IF(Z398=1,IF(AE398=1,N($R398),AD398),0))</f>
        <v/>
      </c>
      <c r="AG398" s="22">
        <f>IF(AND($A398="",$B398=""),"",IF(Z398=1,IF(AE398=1,N($S398),AC398),0))</f>
        <v/>
      </c>
      <c r="AH398" s="21">
        <f>IF(AND($A398="",$B398=""),"",IF(AND(ISNUMBER($I398),N($I398)&gt;0),$I398,0))</f>
        <v/>
      </c>
      <c r="AI398" s="23">
        <f>IF(AND(NOT(AND($A398="",$B398="")),$K398="Point",N($L398)&gt;0),SQRT(N($L398)/PI()),"")</f>
        <v/>
      </c>
      <c r="AJ398" s="21">
        <f>IF(AND($A398="",$B398=""),"",IFERROR(VLOOKUP($G398,Lists!$D$4:$E$15,2,FALSE),"Not reported"))</f>
        <v/>
      </c>
      <c r="AK398" s="21">
        <f>IF(AND($A398="",$B398=""),"",IF($X398&lt;&gt;"",$X398,IF($T398&lt;&gt;"Y","Not assessed",IF(AND(ISNUMBER($V398),Setup!$B$6-$V398&gt;Setup!$B$26),"Assessment outdated",IF(NOT(ISNUMBER($W398)),"Assessed – no score",IF($W398&gt;=Setup!$B$24,"High",IF($W398&gt;=Setup!$B$25,"Moderate","Low")))))))</f>
        <v/>
      </c>
      <c r="AL398" s="21">
        <f>IF(AND($A398="",$B398=""),"",IF(Z398=0,"",IF(AND(AE398=1,N($R398)&gt;AD398*1.01+0.001),"Net terrestrial &gt; gross; ","")&amp;IF(AND(AE398=1,N($S398)&gt;AC398*1.01+0.001),"Net marine &gt; gross; ","")&amp;IF(AE398=0,"No net area – gross used, overlaps may be double-counted; ","")&amp;IF(AH398=0,"STATUS_YR missing – imputed in time series; ","")&amp;IF(AND(ISNUMBER($I398),N($I398)&gt;Setup!$B$6),"STATUS_YR after reporting year; ","")&amp;IF(OR($G398="",$G398="Not Reported"),"GOV_TYPE not reported; ","")&amp;IF(AND(N($J398)=1,$K398="Point",N($M398)&lt;=0),"Coastal point without REP_M_AREA – land/sea split unknown; ","")&amp;IF(AND(N($J398)=0,N($S398)&gt;0),"MARINE=0 but net marine &gt;0; ","")&amp;IF(AND(N($J398)=2,N($R398)&gt;0),"MARINE=2 but net terrestrial &gt;0; ","")&amp;IF($K398="Point","Buffered point – coverage approximate; ","")))</f>
        <v/>
      </c>
    </row>
    <row r="399">
      <c r="A399" s="19" t="n"/>
      <c r="B399" s="19" t="n"/>
      <c r="C399" s="19" t="n"/>
      <c r="D399" s="19" t="n"/>
      <c r="E399" s="19" t="n"/>
      <c r="F399" s="19" t="n"/>
      <c r="G399" s="19" t="n"/>
      <c r="H399" s="19" t="n"/>
      <c r="I399" s="19" t="n"/>
      <c r="J399" s="19" t="n"/>
      <c r="K399" s="19" t="n"/>
      <c r="L399" s="20" t="n"/>
      <c r="M399" s="20" t="n"/>
      <c r="N399" s="20" t="n"/>
      <c r="O399" s="20" t="n"/>
      <c r="P399" s="19" t="n"/>
      <c r="Q399" s="19" t="n"/>
      <c r="R399" s="20" t="n"/>
      <c r="S399" s="20" t="n"/>
      <c r="T399" s="19" t="n"/>
      <c r="U399" s="19" t="n"/>
      <c r="V399" s="19" t="n"/>
      <c r="W399" s="19" t="n"/>
      <c r="X399" s="19" t="n"/>
      <c r="Y399" s="19" t="n"/>
      <c r="Z399" s="21">
        <f>IF(AND($A399="",$B399=""),"",IF(OR($E399="",$H399="",$H399="Proposed",$H399="Not Reported"),0,IF(AND($P399="Y",$Q399&lt;&gt;"Y"),0,IF(AND($K399="Point",N($L399)&lt;=0),0,IF(AND(N($L399)&lt;=0,N($N399)&lt;=0,N($R399)+N($S399)&lt;=0),0,1)))))</f>
        <v/>
      </c>
      <c r="AA399" s="21">
        <f>IF(AND($A399="",$B399=""),"",IF($E399="","Site type missing",IF($H399="","STATUS missing",IF($H399="Proposed","STATUS = Proposed",IF($H399="Not Reported","STATUS = Not Reported",IF(AND($P399="Y",$Q399&lt;&gt;"Y"),"UNESCO-MAB Biosphere Reserve",IF(AND($K399="Point",N($L399)&lt;=0),"Point without REP_AREA",IF(AND(N($L399)&lt;=0,N($N399)&lt;=0,N($R399)+N($S399)&lt;=0),"No area information",""))))))))</f>
        <v/>
      </c>
      <c r="AB399" s="22">
        <f>IF(AND($A399="",$B399=""),"",IF($K399="Point",N($L399),IF(N($N399)&gt;0,N($N399),N($L399))))</f>
        <v/>
      </c>
      <c r="AC399" s="22">
        <f>IF(AND($A399="",$B399=""),"",MIN(AB399,IF(N($J399)=0,0,IF(N($J399)=2,AB399,IF(AND($K399&lt;&gt;"Point",N($O399)&gt;0),N($O399),N($M399))))))</f>
        <v/>
      </c>
      <c r="AD399" s="22">
        <f>IF(AND($A399="",$B399=""),"",MAX(0,AB399-AC399))</f>
        <v/>
      </c>
      <c r="AE399" s="21">
        <f>IF(AND($A399="",$B399=""),"",IF(OR($R399&lt;&gt;"",$S399&lt;&gt;""),1,0))</f>
        <v/>
      </c>
      <c r="AF399" s="22">
        <f>IF(AND($A399="",$B399=""),"",IF(Z399=1,IF(AE399=1,N($R399),AD399),0))</f>
        <v/>
      </c>
      <c r="AG399" s="22">
        <f>IF(AND($A399="",$B399=""),"",IF(Z399=1,IF(AE399=1,N($S399),AC399),0))</f>
        <v/>
      </c>
      <c r="AH399" s="21">
        <f>IF(AND($A399="",$B399=""),"",IF(AND(ISNUMBER($I399),N($I399)&gt;0),$I399,0))</f>
        <v/>
      </c>
      <c r="AI399" s="23">
        <f>IF(AND(NOT(AND($A399="",$B399="")),$K399="Point",N($L399)&gt;0),SQRT(N($L399)/PI()),"")</f>
        <v/>
      </c>
      <c r="AJ399" s="21">
        <f>IF(AND($A399="",$B399=""),"",IFERROR(VLOOKUP($G399,Lists!$D$4:$E$15,2,FALSE),"Not reported"))</f>
        <v/>
      </c>
      <c r="AK399" s="21">
        <f>IF(AND($A399="",$B399=""),"",IF($X399&lt;&gt;"",$X399,IF($T399&lt;&gt;"Y","Not assessed",IF(AND(ISNUMBER($V399),Setup!$B$6-$V399&gt;Setup!$B$26),"Assessment outdated",IF(NOT(ISNUMBER($W399)),"Assessed – no score",IF($W399&gt;=Setup!$B$24,"High",IF($W399&gt;=Setup!$B$25,"Moderate","Low")))))))</f>
        <v/>
      </c>
      <c r="AL399" s="21">
        <f>IF(AND($A399="",$B399=""),"",IF(Z399=0,"",IF(AND(AE399=1,N($R399)&gt;AD399*1.01+0.001),"Net terrestrial &gt; gross; ","")&amp;IF(AND(AE399=1,N($S399)&gt;AC399*1.01+0.001),"Net marine &gt; gross; ","")&amp;IF(AE399=0,"No net area – gross used, overlaps may be double-counted; ","")&amp;IF(AH399=0,"STATUS_YR missing – imputed in time series; ","")&amp;IF(AND(ISNUMBER($I399),N($I399)&gt;Setup!$B$6),"STATUS_YR after reporting year; ","")&amp;IF(OR($G399="",$G399="Not Reported"),"GOV_TYPE not reported; ","")&amp;IF(AND(N($J399)=1,$K399="Point",N($M399)&lt;=0),"Coastal point without REP_M_AREA – land/sea split unknown; ","")&amp;IF(AND(N($J399)=0,N($S399)&gt;0),"MARINE=0 but net marine &gt;0; ","")&amp;IF(AND(N($J399)=2,N($R399)&gt;0),"MARINE=2 but net terrestrial &gt;0; ","")&amp;IF($K399="Point","Buffered point – coverage approximate; ","")))</f>
        <v/>
      </c>
    </row>
    <row r="400">
      <c r="A400" s="19" t="n"/>
      <c r="B400" s="19" t="n"/>
      <c r="C400" s="19" t="n"/>
      <c r="D400" s="19" t="n"/>
      <c r="E400" s="19" t="n"/>
      <c r="F400" s="19" t="n"/>
      <c r="G400" s="19" t="n"/>
      <c r="H400" s="19" t="n"/>
      <c r="I400" s="19" t="n"/>
      <c r="J400" s="19" t="n"/>
      <c r="K400" s="19" t="n"/>
      <c r="L400" s="20" t="n"/>
      <c r="M400" s="20" t="n"/>
      <c r="N400" s="20" t="n"/>
      <c r="O400" s="20" t="n"/>
      <c r="P400" s="19" t="n"/>
      <c r="Q400" s="19" t="n"/>
      <c r="R400" s="20" t="n"/>
      <c r="S400" s="20" t="n"/>
      <c r="T400" s="19" t="n"/>
      <c r="U400" s="19" t="n"/>
      <c r="V400" s="19" t="n"/>
      <c r="W400" s="19" t="n"/>
      <c r="X400" s="19" t="n"/>
      <c r="Y400" s="19" t="n"/>
      <c r="Z400" s="21">
        <f>IF(AND($A400="",$B400=""),"",IF(OR($E400="",$H400="",$H400="Proposed",$H400="Not Reported"),0,IF(AND($P400="Y",$Q400&lt;&gt;"Y"),0,IF(AND($K400="Point",N($L400)&lt;=0),0,IF(AND(N($L400)&lt;=0,N($N400)&lt;=0,N($R400)+N($S400)&lt;=0),0,1)))))</f>
        <v/>
      </c>
      <c r="AA400" s="21">
        <f>IF(AND($A400="",$B400=""),"",IF($E400="","Site type missing",IF($H400="","STATUS missing",IF($H400="Proposed","STATUS = Proposed",IF($H400="Not Reported","STATUS = Not Reported",IF(AND($P400="Y",$Q400&lt;&gt;"Y"),"UNESCO-MAB Biosphere Reserve",IF(AND($K400="Point",N($L400)&lt;=0),"Point without REP_AREA",IF(AND(N($L400)&lt;=0,N($N400)&lt;=0,N($R400)+N($S400)&lt;=0),"No area information",""))))))))</f>
        <v/>
      </c>
      <c r="AB400" s="22">
        <f>IF(AND($A400="",$B400=""),"",IF($K400="Point",N($L400),IF(N($N400)&gt;0,N($N400),N($L400))))</f>
        <v/>
      </c>
      <c r="AC400" s="22">
        <f>IF(AND($A400="",$B400=""),"",MIN(AB400,IF(N($J400)=0,0,IF(N($J400)=2,AB400,IF(AND($K400&lt;&gt;"Point",N($O400)&gt;0),N($O400),N($M400))))))</f>
        <v/>
      </c>
      <c r="AD400" s="22">
        <f>IF(AND($A400="",$B400=""),"",MAX(0,AB400-AC400))</f>
        <v/>
      </c>
      <c r="AE400" s="21">
        <f>IF(AND($A400="",$B400=""),"",IF(OR($R400&lt;&gt;"",$S400&lt;&gt;""),1,0))</f>
        <v/>
      </c>
      <c r="AF400" s="22">
        <f>IF(AND($A400="",$B400=""),"",IF(Z400=1,IF(AE400=1,N($R400),AD400),0))</f>
        <v/>
      </c>
      <c r="AG400" s="22">
        <f>IF(AND($A400="",$B400=""),"",IF(Z400=1,IF(AE400=1,N($S400),AC400),0))</f>
        <v/>
      </c>
      <c r="AH400" s="21">
        <f>IF(AND($A400="",$B400=""),"",IF(AND(ISNUMBER($I400),N($I400)&gt;0),$I400,0))</f>
        <v/>
      </c>
      <c r="AI400" s="23">
        <f>IF(AND(NOT(AND($A400="",$B400="")),$K400="Point",N($L400)&gt;0),SQRT(N($L400)/PI()),"")</f>
        <v/>
      </c>
      <c r="AJ400" s="21">
        <f>IF(AND($A400="",$B400=""),"",IFERROR(VLOOKUP($G400,Lists!$D$4:$E$15,2,FALSE),"Not reported"))</f>
        <v/>
      </c>
      <c r="AK400" s="21">
        <f>IF(AND($A400="",$B400=""),"",IF($X400&lt;&gt;"",$X400,IF($T400&lt;&gt;"Y","Not assessed",IF(AND(ISNUMBER($V400),Setup!$B$6-$V400&gt;Setup!$B$26),"Assessment outdated",IF(NOT(ISNUMBER($W400)),"Assessed – no score",IF($W400&gt;=Setup!$B$24,"High",IF($W400&gt;=Setup!$B$25,"Moderate","Low")))))))</f>
        <v/>
      </c>
      <c r="AL400" s="21">
        <f>IF(AND($A400="",$B400=""),"",IF(Z400=0,"",IF(AND(AE400=1,N($R400)&gt;AD400*1.01+0.001),"Net terrestrial &gt; gross; ","")&amp;IF(AND(AE400=1,N($S400)&gt;AC400*1.01+0.001),"Net marine &gt; gross; ","")&amp;IF(AE400=0,"No net area – gross used, overlaps may be double-counted; ","")&amp;IF(AH400=0,"STATUS_YR missing – imputed in time series; ","")&amp;IF(AND(ISNUMBER($I400),N($I400)&gt;Setup!$B$6),"STATUS_YR after reporting year; ","")&amp;IF(OR($G400="",$G400="Not Reported"),"GOV_TYPE not reported; ","")&amp;IF(AND(N($J400)=1,$K400="Point",N($M400)&lt;=0),"Coastal point without REP_M_AREA – land/sea split unknown; ","")&amp;IF(AND(N($J400)=0,N($S400)&gt;0),"MARINE=0 but net marine &gt;0; ","")&amp;IF(AND(N($J400)=2,N($R400)&gt;0),"MARINE=2 but net terrestrial &gt;0; ","")&amp;IF($K400="Point","Buffered point – coverage approximate; ","")))</f>
        <v/>
      </c>
    </row>
    <row r="401">
      <c r="A401" s="19" t="n"/>
      <c r="B401" s="19" t="n"/>
      <c r="C401" s="19" t="n"/>
      <c r="D401" s="19" t="n"/>
      <c r="E401" s="19" t="n"/>
      <c r="F401" s="19" t="n"/>
      <c r="G401" s="19" t="n"/>
      <c r="H401" s="19" t="n"/>
      <c r="I401" s="19" t="n"/>
      <c r="J401" s="19" t="n"/>
      <c r="K401" s="19" t="n"/>
      <c r="L401" s="20" t="n"/>
      <c r="M401" s="20" t="n"/>
      <c r="N401" s="20" t="n"/>
      <c r="O401" s="20" t="n"/>
      <c r="P401" s="19" t="n"/>
      <c r="Q401" s="19" t="n"/>
      <c r="R401" s="20" t="n"/>
      <c r="S401" s="20" t="n"/>
      <c r="T401" s="19" t="n"/>
      <c r="U401" s="19" t="n"/>
      <c r="V401" s="19" t="n"/>
      <c r="W401" s="19" t="n"/>
      <c r="X401" s="19" t="n"/>
      <c r="Y401" s="19" t="n"/>
      <c r="Z401" s="21">
        <f>IF(AND($A401="",$B401=""),"",IF(OR($E401="",$H401="",$H401="Proposed",$H401="Not Reported"),0,IF(AND($P401="Y",$Q401&lt;&gt;"Y"),0,IF(AND($K401="Point",N($L401)&lt;=0),0,IF(AND(N($L401)&lt;=0,N($N401)&lt;=0,N($R401)+N($S401)&lt;=0),0,1)))))</f>
        <v/>
      </c>
      <c r="AA401" s="21">
        <f>IF(AND($A401="",$B401=""),"",IF($E401="","Site type missing",IF($H401="","STATUS missing",IF($H401="Proposed","STATUS = Proposed",IF($H401="Not Reported","STATUS = Not Reported",IF(AND($P401="Y",$Q401&lt;&gt;"Y"),"UNESCO-MAB Biosphere Reserve",IF(AND($K401="Point",N($L401)&lt;=0),"Point without REP_AREA",IF(AND(N($L401)&lt;=0,N($N401)&lt;=0,N($R401)+N($S401)&lt;=0),"No area information",""))))))))</f>
        <v/>
      </c>
      <c r="AB401" s="22">
        <f>IF(AND($A401="",$B401=""),"",IF($K401="Point",N($L401),IF(N($N401)&gt;0,N($N401),N($L401))))</f>
        <v/>
      </c>
      <c r="AC401" s="22">
        <f>IF(AND($A401="",$B401=""),"",MIN(AB401,IF(N($J401)=0,0,IF(N($J401)=2,AB401,IF(AND($K401&lt;&gt;"Point",N($O401)&gt;0),N($O401),N($M401))))))</f>
        <v/>
      </c>
      <c r="AD401" s="22">
        <f>IF(AND($A401="",$B401=""),"",MAX(0,AB401-AC401))</f>
        <v/>
      </c>
      <c r="AE401" s="21">
        <f>IF(AND($A401="",$B401=""),"",IF(OR($R401&lt;&gt;"",$S401&lt;&gt;""),1,0))</f>
        <v/>
      </c>
      <c r="AF401" s="22">
        <f>IF(AND($A401="",$B401=""),"",IF(Z401=1,IF(AE401=1,N($R401),AD401),0))</f>
        <v/>
      </c>
      <c r="AG401" s="22">
        <f>IF(AND($A401="",$B401=""),"",IF(Z401=1,IF(AE401=1,N($S401),AC401),0))</f>
        <v/>
      </c>
      <c r="AH401" s="21">
        <f>IF(AND($A401="",$B401=""),"",IF(AND(ISNUMBER($I401),N($I401)&gt;0),$I401,0))</f>
        <v/>
      </c>
      <c r="AI401" s="23">
        <f>IF(AND(NOT(AND($A401="",$B401="")),$K401="Point",N($L401)&gt;0),SQRT(N($L401)/PI()),"")</f>
        <v/>
      </c>
      <c r="AJ401" s="21">
        <f>IF(AND($A401="",$B401=""),"",IFERROR(VLOOKUP($G401,Lists!$D$4:$E$15,2,FALSE),"Not reported"))</f>
        <v/>
      </c>
      <c r="AK401" s="21">
        <f>IF(AND($A401="",$B401=""),"",IF($X401&lt;&gt;"",$X401,IF($T401&lt;&gt;"Y","Not assessed",IF(AND(ISNUMBER($V401),Setup!$B$6-$V401&gt;Setup!$B$26),"Assessment outdated",IF(NOT(ISNUMBER($W401)),"Assessed – no score",IF($W401&gt;=Setup!$B$24,"High",IF($W401&gt;=Setup!$B$25,"Moderate","Low")))))))</f>
        <v/>
      </c>
      <c r="AL401" s="21">
        <f>IF(AND($A401="",$B401=""),"",IF(Z401=0,"",IF(AND(AE401=1,N($R401)&gt;AD401*1.01+0.001),"Net terrestrial &gt; gross; ","")&amp;IF(AND(AE401=1,N($S401)&gt;AC401*1.01+0.001),"Net marine &gt; gross; ","")&amp;IF(AE401=0,"No net area – gross used, overlaps may be double-counted; ","")&amp;IF(AH401=0,"STATUS_YR missing – imputed in time series; ","")&amp;IF(AND(ISNUMBER($I401),N($I401)&gt;Setup!$B$6),"STATUS_YR after reporting year; ","")&amp;IF(OR($G401="",$G401="Not Reported"),"GOV_TYPE not reported; ","")&amp;IF(AND(N($J401)=1,$K401="Point",N($M401)&lt;=0),"Coastal point without REP_M_AREA – land/sea split unknown; ","")&amp;IF(AND(N($J401)=0,N($S401)&gt;0),"MARINE=0 but net marine &gt;0; ","")&amp;IF(AND(N($J401)=2,N($R401)&gt;0),"MARINE=2 but net terrestrial &gt;0; ","")&amp;IF($K401="Point","Buffered point – coverage approximate; ","")))</f>
        <v/>
      </c>
    </row>
    <row r="402">
      <c r="A402" s="19" t="n"/>
      <c r="B402" s="19" t="n"/>
      <c r="C402" s="19" t="n"/>
      <c r="D402" s="19" t="n"/>
      <c r="E402" s="19" t="n"/>
      <c r="F402" s="19" t="n"/>
      <c r="G402" s="19" t="n"/>
      <c r="H402" s="19" t="n"/>
      <c r="I402" s="19" t="n"/>
      <c r="J402" s="19" t="n"/>
      <c r="K402" s="19" t="n"/>
      <c r="L402" s="20" t="n"/>
      <c r="M402" s="20" t="n"/>
      <c r="N402" s="20" t="n"/>
      <c r="O402" s="20" t="n"/>
      <c r="P402" s="19" t="n"/>
      <c r="Q402" s="19" t="n"/>
      <c r="R402" s="20" t="n"/>
      <c r="S402" s="20" t="n"/>
      <c r="T402" s="19" t="n"/>
      <c r="U402" s="19" t="n"/>
      <c r="V402" s="19" t="n"/>
      <c r="W402" s="19" t="n"/>
      <c r="X402" s="19" t="n"/>
      <c r="Y402" s="19" t="n"/>
      <c r="Z402" s="21">
        <f>IF(AND($A402="",$B402=""),"",IF(OR($E402="",$H402="",$H402="Proposed",$H402="Not Reported"),0,IF(AND($P402="Y",$Q402&lt;&gt;"Y"),0,IF(AND($K402="Point",N($L402)&lt;=0),0,IF(AND(N($L402)&lt;=0,N($N402)&lt;=0,N($R402)+N($S402)&lt;=0),0,1)))))</f>
        <v/>
      </c>
      <c r="AA402" s="21">
        <f>IF(AND($A402="",$B402=""),"",IF($E402="","Site type missing",IF($H402="","STATUS missing",IF($H402="Proposed","STATUS = Proposed",IF($H402="Not Reported","STATUS = Not Reported",IF(AND($P402="Y",$Q402&lt;&gt;"Y"),"UNESCO-MAB Biosphere Reserve",IF(AND($K402="Point",N($L402)&lt;=0),"Point without REP_AREA",IF(AND(N($L402)&lt;=0,N($N402)&lt;=0,N($R402)+N($S402)&lt;=0),"No area information",""))))))))</f>
        <v/>
      </c>
      <c r="AB402" s="22">
        <f>IF(AND($A402="",$B402=""),"",IF($K402="Point",N($L402),IF(N($N402)&gt;0,N($N402),N($L402))))</f>
        <v/>
      </c>
      <c r="AC402" s="22">
        <f>IF(AND($A402="",$B402=""),"",MIN(AB402,IF(N($J402)=0,0,IF(N($J402)=2,AB402,IF(AND($K402&lt;&gt;"Point",N($O402)&gt;0),N($O402),N($M402))))))</f>
        <v/>
      </c>
      <c r="AD402" s="22">
        <f>IF(AND($A402="",$B402=""),"",MAX(0,AB402-AC402))</f>
        <v/>
      </c>
      <c r="AE402" s="21">
        <f>IF(AND($A402="",$B402=""),"",IF(OR($R402&lt;&gt;"",$S402&lt;&gt;""),1,0))</f>
        <v/>
      </c>
      <c r="AF402" s="22">
        <f>IF(AND($A402="",$B402=""),"",IF(Z402=1,IF(AE402=1,N($R402),AD402),0))</f>
        <v/>
      </c>
      <c r="AG402" s="22">
        <f>IF(AND($A402="",$B402=""),"",IF(Z402=1,IF(AE402=1,N($S402),AC402),0))</f>
        <v/>
      </c>
      <c r="AH402" s="21">
        <f>IF(AND($A402="",$B402=""),"",IF(AND(ISNUMBER($I402),N($I402)&gt;0),$I402,0))</f>
        <v/>
      </c>
      <c r="AI402" s="23">
        <f>IF(AND(NOT(AND($A402="",$B402="")),$K402="Point",N($L402)&gt;0),SQRT(N($L402)/PI()),"")</f>
        <v/>
      </c>
      <c r="AJ402" s="21">
        <f>IF(AND($A402="",$B402=""),"",IFERROR(VLOOKUP($G402,Lists!$D$4:$E$15,2,FALSE),"Not reported"))</f>
        <v/>
      </c>
      <c r="AK402" s="21">
        <f>IF(AND($A402="",$B402=""),"",IF($X402&lt;&gt;"",$X402,IF($T402&lt;&gt;"Y","Not assessed",IF(AND(ISNUMBER($V402),Setup!$B$6-$V402&gt;Setup!$B$26),"Assessment outdated",IF(NOT(ISNUMBER($W402)),"Assessed – no score",IF($W402&gt;=Setup!$B$24,"High",IF($W402&gt;=Setup!$B$25,"Moderate","Low")))))))</f>
        <v/>
      </c>
      <c r="AL402" s="21">
        <f>IF(AND($A402="",$B402=""),"",IF(Z402=0,"",IF(AND(AE402=1,N($R402)&gt;AD402*1.01+0.001),"Net terrestrial &gt; gross; ","")&amp;IF(AND(AE402=1,N($S402)&gt;AC402*1.01+0.001),"Net marine &gt; gross; ","")&amp;IF(AE402=0,"No net area – gross used, overlaps may be double-counted; ","")&amp;IF(AH402=0,"STATUS_YR missing – imputed in time series; ","")&amp;IF(AND(ISNUMBER($I402),N($I402)&gt;Setup!$B$6),"STATUS_YR after reporting year; ","")&amp;IF(OR($G402="",$G402="Not Reported"),"GOV_TYPE not reported; ","")&amp;IF(AND(N($J402)=1,$K402="Point",N($M402)&lt;=0),"Coastal point without REP_M_AREA – land/sea split unknown; ","")&amp;IF(AND(N($J402)=0,N($S402)&gt;0),"MARINE=0 but net marine &gt;0; ","")&amp;IF(AND(N($J402)=2,N($R402)&gt;0),"MARINE=2 but net terrestrial &gt;0; ","")&amp;IF($K402="Point","Buffered point – coverage approximate; ","")))</f>
        <v/>
      </c>
    </row>
    <row r="403">
      <c r="A403" s="19" t="n"/>
      <c r="B403" s="19" t="n"/>
      <c r="C403" s="19" t="n"/>
      <c r="D403" s="19" t="n"/>
      <c r="E403" s="19" t="n"/>
      <c r="F403" s="19" t="n"/>
      <c r="G403" s="19" t="n"/>
      <c r="H403" s="19" t="n"/>
      <c r="I403" s="19" t="n"/>
      <c r="J403" s="19" t="n"/>
      <c r="K403" s="19" t="n"/>
      <c r="L403" s="20" t="n"/>
      <c r="M403" s="20" t="n"/>
      <c r="N403" s="20" t="n"/>
      <c r="O403" s="20" t="n"/>
      <c r="P403" s="19" t="n"/>
      <c r="Q403" s="19" t="n"/>
      <c r="R403" s="20" t="n"/>
      <c r="S403" s="20" t="n"/>
      <c r="T403" s="19" t="n"/>
      <c r="U403" s="19" t="n"/>
      <c r="V403" s="19" t="n"/>
      <c r="W403" s="19" t="n"/>
      <c r="X403" s="19" t="n"/>
      <c r="Y403" s="19" t="n"/>
      <c r="Z403" s="21">
        <f>IF(AND($A403="",$B403=""),"",IF(OR($E403="",$H403="",$H403="Proposed",$H403="Not Reported"),0,IF(AND($P403="Y",$Q403&lt;&gt;"Y"),0,IF(AND($K403="Point",N($L403)&lt;=0),0,IF(AND(N($L403)&lt;=0,N($N403)&lt;=0,N($R403)+N($S403)&lt;=0),0,1)))))</f>
        <v/>
      </c>
      <c r="AA403" s="21">
        <f>IF(AND($A403="",$B403=""),"",IF($E403="","Site type missing",IF($H403="","STATUS missing",IF($H403="Proposed","STATUS = Proposed",IF($H403="Not Reported","STATUS = Not Reported",IF(AND($P403="Y",$Q403&lt;&gt;"Y"),"UNESCO-MAB Biosphere Reserve",IF(AND($K403="Point",N($L403)&lt;=0),"Point without REP_AREA",IF(AND(N($L403)&lt;=0,N($N403)&lt;=0,N($R403)+N($S403)&lt;=0),"No area information",""))))))))</f>
        <v/>
      </c>
      <c r="AB403" s="22">
        <f>IF(AND($A403="",$B403=""),"",IF($K403="Point",N($L403),IF(N($N403)&gt;0,N($N403),N($L403))))</f>
        <v/>
      </c>
      <c r="AC403" s="22">
        <f>IF(AND($A403="",$B403=""),"",MIN(AB403,IF(N($J403)=0,0,IF(N($J403)=2,AB403,IF(AND($K403&lt;&gt;"Point",N($O403)&gt;0),N($O403),N($M403))))))</f>
        <v/>
      </c>
      <c r="AD403" s="22">
        <f>IF(AND($A403="",$B403=""),"",MAX(0,AB403-AC403))</f>
        <v/>
      </c>
      <c r="AE403" s="21">
        <f>IF(AND($A403="",$B403=""),"",IF(OR($R403&lt;&gt;"",$S403&lt;&gt;""),1,0))</f>
        <v/>
      </c>
      <c r="AF403" s="22">
        <f>IF(AND($A403="",$B403=""),"",IF(Z403=1,IF(AE403=1,N($R403),AD403),0))</f>
        <v/>
      </c>
      <c r="AG403" s="22">
        <f>IF(AND($A403="",$B403=""),"",IF(Z403=1,IF(AE403=1,N($S403),AC403),0))</f>
        <v/>
      </c>
      <c r="AH403" s="21">
        <f>IF(AND($A403="",$B403=""),"",IF(AND(ISNUMBER($I403),N($I403)&gt;0),$I403,0))</f>
        <v/>
      </c>
      <c r="AI403" s="23">
        <f>IF(AND(NOT(AND($A403="",$B403="")),$K403="Point",N($L403)&gt;0),SQRT(N($L403)/PI()),"")</f>
        <v/>
      </c>
      <c r="AJ403" s="21">
        <f>IF(AND($A403="",$B403=""),"",IFERROR(VLOOKUP($G403,Lists!$D$4:$E$15,2,FALSE),"Not reported"))</f>
        <v/>
      </c>
      <c r="AK403" s="21">
        <f>IF(AND($A403="",$B403=""),"",IF($X403&lt;&gt;"",$X403,IF($T403&lt;&gt;"Y","Not assessed",IF(AND(ISNUMBER($V403),Setup!$B$6-$V403&gt;Setup!$B$26),"Assessment outdated",IF(NOT(ISNUMBER($W403)),"Assessed – no score",IF($W403&gt;=Setup!$B$24,"High",IF($W403&gt;=Setup!$B$25,"Moderate","Low")))))))</f>
        <v/>
      </c>
      <c r="AL403" s="21">
        <f>IF(AND($A403="",$B403=""),"",IF(Z403=0,"",IF(AND(AE403=1,N($R403)&gt;AD403*1.01+0.001),"Net terrestrial &gt; gross; ","")&amp;IF(AND(AE403=1,N($S403)&gt;AC403*1.01+0.001),"Net marine &gt; gross; ","")&amp;IF(AE403=0,"No net area – gross used, overlaps may be double-counted; ","")&amp;IF(AH403=0,"STATUS_YR missing – imputed in time series; ","")&amp;IF(AND(ISNUMBER($I403),N($I403)&gt;Setup!$B$6),"STATUS_YR after reporting year; ","")&amp;IF(OR($G403="",$G403="Not Reported"),"GOV_TYPE not reported; ","")&amp;IF(AND(N($J403)=1,$K403="Point",N($M403)&lt;=0),"Coastal point without REP_M_AREA – land/sea split unknown; ","")&amp;IF(AND(N($J403)=0,N($S403)&gt;0),"MARINE=0 but net marine &gt;0; ","")&amp;IF(AND(N($J403)=2,N($R403)&gt;0),"MARINE=2 but net terrestrial &gt;0; ","")&amp;IF($K403="Point","Buffered point – coverage approximate; ","")))</f>
        <v/>
      </c>
    </row>
    <row r="404">
      <c r="A404" s="19" t="n"/>
      <c r="B404" s="19" t="n"/>
      <c r="C404" s="19" t="n"/>
      <c r="D404" s="19" t="n"/>
      <c r="E404" s="19" t="n"/>
      <c r="F404" s="19" t="n"/>
      <c r="G404" s="19" t="n"/>
      <c r="H404" s="19" t="n"/>
      <c r="I404" s="19" t="n"/>
      <c r="J404" s="19" t="n"/>
      <c r="K404" s="19" t="n"/>
      <c r="L404" s="20" t="n"/>
      <c r="M404" s="20" t="n"/>
      <c r="N404" s="20" t="n"/>
      <c r="O404" s="20" t="n"/>
      <c r="P404" s="19" t="n"/>
      <c r="Q404" s="19" t="n"/>
      <c r="R404" s="20" t="n"/>
      <c r="S404" s="20" t="n"/>
      <c r="T404" s="19" t="n"/>
      <c r="U404" s="19" t="n"/>
      <c r="V404" s="19" t="n"/>
      <c r="W404" s="19" t="n"/>
      <c r="X404" s="19" t="n"/>
      <c r="Y404" s="19" t="n"/>
      <c r="Z404" s="21">
        <f>IF(AND($A404="",$B404=""),"",IF(OR($E404="",$H404="",$H404="Proposed",$H404="Not Reported"),0,IF(AND($P404="Y",$Q404&lt;&gt;"Y"),0,IF(AND($K404="Point",N($L404)&lt;=0),0,IF(AND(N($L404)&lt;=0,N($N404)&lt;=0,N($R404)+N($S404)&lt;=0),0,1)))))</f>
        <v/>
      </c>
      <c r="AA404" s="21">
        <f>IF(AND($A404="",$B404=""),"",IF($E404="","Site type missing",IF($H404="","STATUS missing",IF($H404="Proposed","STATUS = Proposed",IF($H404="Not Reported","STATUS = Not Reported",IF(AND($P404="Y",$Q404&lt;&gt;"Y"),"UNESCO-MAB Biosphere Reserve",IF(AND($K404="Point",N($L404)&lt;=0),"Point without REP_AREA",IF(AND(N($L404)&lt;=0,N($N404)&lt;=0,N($R404)+N($S404)&lt;=0),"No area information",""))))))))</f>
        <v/>
      </c>
      <c r="AB404" s="22">
        <f>IF(AND($A404="",$B404=""),"",IF($K404="Point",N($L404),IF(N($N404)&gt;0,N($N404),N($L404))))</f>
        <v/>
      </c>
      <c r="AC404" s="22">
        <f>IF(AND($A404="",$B404=""),"",MIN(AB404,IF(N($J404)=0,0,IF(N($J404)=2,AB404,IF(AND($K404&lt;&gt;"Point",N($O404)&gt;0),N($O404),N($M404))))))</f>
        <v/>
      </c>
      <c r="AD404" s="22">
        <f>IF(AND($A404="",$B404=""),"",MAX(0,AB404-AC404))</f>
        <v/>
      </c>
      <c r="AE404" s="21">
        <f>IF(AND($A404="",$B404=""),"",IF(OR($R404&lt;&gt;"",$S404&lt;&gt;""),1,0))</f>
        <v/>
      </c>
      <c r="AF404" s="22">
        <f>IF(AND($A404="",$B404=""),"",IF(Z404=1,IF(AE404=1,N($R404),AD404),0))</f>
        <v/>
      </c>
      <c r="AG404" s="22">
        <f>IF(AND($A404="",$B404=""),"",IF(Z404=1,IF(AE404=1,N($S404),AC404),0))</f>
        <v/>
      </c>
      <c r="AH404" s="21">
        <f>IF(AND($A404="",$B404=""),"",IF(AND(ISNUMBER($I404),N($I404)&gt;0),$I404,0))</f>
        <v/>
      </c>
      <c r="AI404" s="23">
        <f>IF(AND(NOT(AND($A404="",$B404="")),$K404="Point",N($L404)&gt;0),SQRT(N($L404)/PI()),"")</f>
        <v/>
      </c>
      <c r="AJ404" s="21">
        <f>IF(AND($A404="",$B404=""),"",IFERROR(VLOOKUP($G404,Lists!$D$4:$E$15,2,FALSE),"Not reported"))</f>
        <v/>
      </c>
      <c r="AK404" s="21">
        <f>IF(AND($A404="",$B404=""),"",IF($X404&lt;&gt;"",$X404,IF($T404&lt;&gt;"Y","Not assessed",IF(AND(ISNUMBER($V404),Setup!$B$6-$V404&gt;Setup!$B$26),"Assessment outdated",IF(NOT(ISNUMBER($W404)),"Assessed – no score",IF($W404&gt;=Setup!$B$24,"High",IF($W404&gt;=Setup!$B$25,"Moderate","Low")))))))</f>
        <v/>
      </c>
      <c r="AL404" s="21">
        <f>IF(AND($A404="",$B404=""),"",IF(Z404=0,"",IF(AND(AE404=1,N($R404)&gt;AD404*1.01+0.001),"Net terrestrial &gt; gross; ","")&amp;IF(AND(AE404=1,N($S404)&gt;AC404*1.01+0.001),"Net marine &gt; gross; ","")&amp;IF(AE404=0,"No net area – gross used, overlaps may be double-counted; ","")&amp;IF(AH404=0,"STATUS_YR missing – imputed in time series; ","")&amp;IF(AND(ISNUMBER($I404),N($I404)&gt;Setup!$B$6),"STATUS_YR after reporting year; ","")&amp;IF(OR($G404="",$G404="Not Reported"),"GOV_TYPE not reported; ","")&amp;IF(AND(N($J404)=1,$K404="Point",N($M404)&lt;=0),"Coastal point without REP_M_AREA – land/sea split unknown; ","")&amp;IF(AND(N($J404)=0,N($S404)&gt;0),"MARINE=0 but net marine &gt;0; ","")&amp;IF(AND(N($J404)=2,N($R404)&gt;0),"MARINE=2 but net terrestrial &gt;0; ","")&amp;IF($K404="Point","Buffered point – coverage approximate; ","")))</f>
        <v/>
      </c>
    </row>
    <row r="405">
      <c r="A405" s="19" t="n"/>
      <c r="B405" s="19" t="n"/>
      <c r="C405" s="19" t="n"/>
      <c r="D405" s="19" t="n"/>
      <c r="E405" s="19" t="n"/>
      <c r="F405" s="19" t="n"/>
      <c r="G405" s="19" t="n"/>
      <c r="H405" s="19" t="n"/>
      <c r="I405" s="19" t="n"/>
      <c r="J405" s="19" t="n"/>
      <c r="K405" s="19" t="n"/>
      <c r="L405" s="20" t="n"/>
      <c r="M405" s="20" t="n"/>
      <c r="N405" s="20" t="n"/>
      <c r="O405" s="20" t="n"/>
      <c r="P405" s="19" t="n"/>
      <c r="Q405" s="19" t="n"/>
      <c r="R405" s="20" t="n"/>
      <c r="S405" s="20" t="n"/>
      <c r="T405" s="19" t="n"/>
      <c r="U405" s="19" t="n"/>
      <c r="V405" s="19" t="n"/>
      <c r="W405" s="19" t="n"/>
      <c r="X405" s="19" t="n"/>
      <c r="Y405" s="19" t="n"/>
      <c r="Z405" s="21">
        <f>IF(AND($A405="",$B405=""),"",IF(OR($E405="",$H405="",$H405="Proposed",$H405="Not Reported"),0,IF(AND($P405="Y",$Q405&lt;&gt;"Y"),0,IF(AND($K405="Point",N($L405)&lt;=0),0,IF(AND(N($L405)&lt;=0,N($N405)&lt;=0,N($R405)+N($S405)&lt;=0),0,1)))))</f>
        <v/>
      </c>
      <c r="AA405" s="21">
        <f>IF(AND($A405="",$B405=""),"",IF($E405="","Site type missing",IF($H405="","STATUS missing",IF($H405="Proposed","STATUS = Proposed",IF($H405="Not Reported","STATUS = Not Reported",IF(AND($P405="Y",$Q405&lt;&gt;"Y"),"UNESCO-MAB Biosphere Reserve",IF(AND($K405="Point",N($L405)&lt;=0),"Point without REP_AREA",IF(AND(N($L405)&lt;=0,N($N405)&lt;=0,N($R405)+N($S405)&lt;=0),"No area information",""))))))))</f>
        <v/>
      </c>
      <c r="AB405" s="22">
        <f>IF(AND($A405="",$B405=""),"",IF($K405="Point",N($L405),IF(N($N405)&gt;0,N($N405),N($L405))))</f>
        <v/>
      </c>
      <c r="AC405" s="22">
        <f>IF(AND($A405="",$B405=""),"",MIN(AB405,IF(N($J405)=0,0,IF(N($J405)=2,AB405,IF(AND($K405&lt;&gt;"Point",N($O405)&gt;0),N($O405),N($M405))))))</f>
        <v/>
      </c>
      <c r="AD405" s="22">
        <f>IF(AND($A405="",$B405=""),"",MAX(0,AB405-AC405))</f>
        <v/>
      </c>
      <c r="AE405" s="21">
        <f>IF(AND($A405="",$B405=""),"",IF(OR($R405&lt;&gt;"",$S405&lt;&gt;""),1,0))</f>
        <v/>
      </c>
      <c r="AF405" s="22">
        <f>IF(AND($A405="",$B405=""),"",IF(Z405=1,IF(AE405=1,N($R405),AD405),0))</f>
        <v/>
      </c>
      <c r="AG405" s="22">
        <f>IF(AND($A405="",$B405=""),"",IF(Z405=1,IF(AE405=1,N($S405),AC405),0))</f>
        <v/>
      </c>
      <c r="AH405" s="21">
        <f>IF(AND($A405="",$B405=""),"",IF(AND(ISNUMBER($I405),N($I405)&gt;0),$I405,0))</f>
        <v/>
      </c>
      <c r="AI405" s="23">
        <f>IF(AND(NOT(AND($A405="",$B405="")),$K405="Point",N($L405)&gt;0),SQRT(N($L405)/PI()),"")</f>
        <v/>
      </c>
      <c r="AJ405" s="21">
        <f>IF(AND($A405="",$B405=""),"",IFERROR(VLOOKUP($G405,Lists!$D$4:$E$15,2,FALSE),"Not reported"))</f>
        <v/>
      </c>
      <c r="AK405" s="21">
        <f>IF(AND($A405="",$B405=""),"",IF($X405&lt;&gt;"",$X405,IF($T405&lt;&gt;"Y","Not assessed",IF(AND(ISNUMBER($V405),Setup!$B$6-$V405&gt;Setup!$B$26),"Assessment outdated",IF(NOT(ISNUMBER($W405)),"Assessed – no score",IF($W405&gt;=Setup!$B$24,"High",IF($W405&gt;=Setup!$B$25,"Moderate","Low")))))))</f>
        <v/>
      </c>
      <c r="AL405" s="21">
        <f>IF(AND($A405="",$B405=""),"",IF(Z405=0,"",IF(AND(AE405=1,N($R405)&gt;AD405*1.01+0.001),"Net terrestrial &gt; gross; ","")&amp;IF(AND(AE405=1,N($S405)&gt;AC405*1.01+0.001),"Net marine &gt; gross; ","")&amp;IF(AE405=0,"No net area – gross used, overlaps may be double-counted; ","")&amp;IF(AH405=0,"STATUS_YR missing – imputed in time series; ","")&amp;IF(AND(ISNUMBER($I405),N($I405)&gt;Setup!$B$6),"STATUS_YR after reporting year; ","")&amp;IF(OR($G405="",$G405="Not Reported"),"GOV_TYPE not reported; ","")&amp;IF(AND(N($J405)=1,$K405="Point",N($M405)&lt;=0),"Coastal point without REP_M_AREA – land/sea split unknown; ","")&amp;IF(AND(N($J405)=0,N($S405)&gt;0),"MARINE=0 but net marine &gt;0; ","")&amp;IF(AND(N($J405)=2,N($R405)&gt;0),"MARINE=2 but net terrestrial &gt;0; ","")&amp;IF($K405="Point","Buffered point – coverage approximate; ","")))</f>
        <v/>
      </c>
    </row>
    <row r="406">
      <c r="A406" s="19" t="n"/>
      <c r="B406" s="19" t="n"/>
      <c r="C406" s="19" t="n"/>
      <c r="D406" s="19" t="n"/>
      <c r="E406" s="19" t="n"/>
      <c r="F406" s="19" t="n"/>
      <c r="G406" s="19" t="n"/>
      <c r="H406" s="19" t="n"/>
      <c r="I406" s="19" t="n"/>
      <c r="J406" s="19" t="n"/>
      <c r="K406" s="19" t="n"/>
      <c r="L406" s="20" t="n"/>
      <c r="M406" s="20" t="n"/>
      <c r="N406" s="20" t="n"/>
      <c r="O406" s="20" t="n"/>
      <c r="P406" s="19" t="n"/>
      <c r="Q406" s="19" t="n"/>
      <c r="R406" s="20" t="n"/>
      <c r="S406" s="20" t="n"/>
      <c r="T406" s="19" t="n"/>
      <c r="U406" s="19" t="n"/>
      <c r="V406" s="19" t="n"/>
      <c r="W406" s="19" t="n"/>
      <c r="X406" s="19" t="n"/>
      <c r="Y406" s="19" t="n"/>
      <c r="Z406" s="21">
        <f>IF(AND($A406="",$B406=""),"",IF(OR($E406="",$H406="",$H406="Proposed",$H406="Not Reported"),0,IF(AND($P406="Y",$Q406&lt;&gt;"Y"),0,IF(AND($K406="Point",N($L406)&lt;=0),0,IF(AND(N($L406)&lt;=0,N($N406)&lt;=0,N($R406)+N($S406)&lt;=0),0,1)))))</f>
        <v/>
      </c>
      <c r="AA406" s="21">
        <f>IF(AND($A406="",$B406=""),"",IF($E406="","Site type missing",IF($H406="","STATUS missing",IF($H406="Proposed","STATUS = Proposed",IF($H406="Not Reported","STATUS = Not Reported",IF(AND($P406="Y",$Q406&lt;&gt;"Y"),"UNESCO-MAB Biosphere Reserve",IF(AND($K406="Point",N($L406)&lt;=0),"Point without REP_AREA",IF(AND(N($L406)&lt;=0,N($N406)&lt;=0,N($R406)+N($S406)&lt;=0),"No area information",""))))))))</f>
        <v/>
      </c>
      <c r="AB406" s="22">
        <f>IF(AND($A406="",$B406=""),"",IF($K406="Point",N($L406),IF(N($N406)&gt;0,N($N406),N($L406))))</f>
        <v/>
      </c>
      <c r="AC406" s="22">
        <f>IF(AND($A406="",$B406=""),"",MIN(AB406,IF(N($J406)=0,0,IF(N($J406)=2,AB406,IF(AND($K406&lt;&gt;"Point",N($O406)&gt;0),N($O406),N($M406))))))</f>
        <v/>
      </c>
      <c r="AD406" s="22">
        <f>IF(AND($A406="",$B406=""),"",MAX(0,AB406-AC406))</f>
        <v/>
      </c>
      <c r="AE406" s="21">
        <f>IF(AND($A406="",$B406=""),"",IF(OR($R406&lt;&gt;"",$S406&lt;&gt;""),1,0))</f>
        <v/>
      </c>
      <c r="AF406" s="22">
        <f>IF(AND($A406="",$B406=""),"",IF(Z406=1,IF(AE406=1,N($R406),AD406),0))</f>
        <v/>
      </c>
      <c r="AG406" s="22">
        <f>IF(AND($A406="",$B406=""),"",IF(Z406=1,IF(AE406=1,N($S406),AC406),0))</f>
        <v/>
      </c>
      <c r="AH406" s="21">
        <f>IF(AND($A406="",$B406=""),"",IF(AND(ISNUMBER($I406),N($I406)&gt;0),$I406,0))</f>
        <v/>
      </c>
      <c r="AI406" s="23">
        <f>IF(AND(NOT(AND($A406="",$B406="")),$K406="Point",N($L406)&gt;0),SQRT(N($L406)/PI()),"")</f>
        <v/>
      </c>
      <c r="AJ406" s="21">
        <f>IF(AND($A406="",$B406=""),"",IFERROR(VLOOKUP($G406,Lists!$D$4:$E$15,2,FALSE),"Not reported"))</f>
        <v/>
      </c>
      <c r="AK406" s="21">
        <f>IF(AND($A406="",$B406=""),"",IF($X406&lt;&gt;"",$X406,IF($T406&lt;&gt;"Y","Not assessed",IF(AND(ISNUMBER($V406),Setup!$B$6-$V406&gt;Setup!$B$26),"Assessment outdated",IF(NOT(ISNUMBER($W406)),"Assessed – no score",IF($W406&gt;=Setup!$B$24,"High",IF($W406&gt;=Setup!$B$25,"Moderate","Low")))))))</f>
        <v/>
      </c>
      <c r="AL406" s="21">
        <f>IF(AND($A406="",$B406=""),"",IF(Z406=0,"",IF(AND(AE406=1,N($R406)&gt;AD406*1.01+0.001),"Net terrestrial &gt; gross; ","")&amp;IF(AND(AE406=1,N($S406)&gt;AC406*1.01+0.001),"Net marine &gt; gross; ","")&amp;IF(AE406=0,"No net area – gross used, overlaps may be double-counted; ","")&amp;IF(AH406=0,"STATUS_YR missing – imputed in time series; ","")&amp;IF(AND(ISNUMBER($I406),N($I406)&gt;Setup!$B$6),"STATUS_YR after reporting year; ","")&amp;IF(OR($G406="",$G406="Not Reported"),"GOV_TYPE not reported; ","")&amp;IF(AND(N($J406)=1,$K406="Point",N($M406)&lt;=0),"Coastal point without REP_M_AREA – land/sea split unknown; ","")&amp;IF(AND(N($J406)=0,N($S406)&gt;0),"MARINE=0 but net marine &gt;0; ","")&amp;IF(AND(N($J406)=2,N($R406)&gt;0),"MARINE=2 but net terrestrial &gt;0; ","")&amp;IF($K406="Point","Buffered point – coverage approximate; ","")))</f>
        <v/>
      </c>
    </row>
    <row r="407">
      <c r="A407" s="19" t="n"/>
      <c r="B407" s="19" t="n"/>
      <c r="C407" s="19" t="n"/>
      <c r="D407" s="19" t="n"/>
      <c r="E407" s="19" t="n"/>
      <c r="F407" s="19" t="n"/>
      <c r="G407" s="19" t="n"/>
      <c r="H407" s="19" t="n"/>
      <c r="I407" s="19" t="n"/>
      <c r="J407" s="19" t="n"/>
      <c r="K407" s="19" t="n"/>
      <c r="L407" s="20" t="n"/>
      <c r="M407" s="20" t="n"/>
      <c r="N407" s="20" t="n"/>
      <c r="O407" s="20" t="n"/>
      <c r="P407" s="19" t="n"/>
      <c r="Q407" s="19" t="n"/>
      <c r="R407" s="20" t="n"/>
      <c r="S407" s="20" t="n"/>
      <c r="T407" s="19" t="n"/>
      <c r="U407" s="19" t="n"/>
      <c r="V407" s="19" t="n"/>
      <c r="W407" s="19" t="n"/>
      <c r="X407" s="19" t="n"/>
      <c r="Y407" s="19" t="n"/>
      <c r="Z407" s="21">
        <f>IF(AND($A407="",$B407=""),"",IF(OR($E407="",$H407="",$H407="Proposed",$H407="Not Reported"),0,IF(AND($P407="Y",$Q407&lt;&gt;"Y"),0,IF(AND($K407="Point",N($L407)&lt;=0),0,IF(AND(N($L407)&lt;=0,N($N407)&lt;=0,N($R407)+N($S407)&lt;=0),0,1)))))</f>
        <v/>
      </c>
      <c r="AA407" s="21">
        <f>IF(AND($A407="",$B407=""),"",IF($E407="","Site type missing",IF($H407="","STATUS missing",IF($H407="Proposed","STATUS = Proposed",IF($H407="Not Reported","STATUS = Not Reported",IF(AND($P407="Y",$Q407&lt;&gt;"Y"),"UNESCO-MAB Biosphere Reserve",IF(AND($K407="Point",N($L407)&lt;=0),"Point without REP_AREA",IF(AND(N($L407)&lt;=0,N($N407)&lt;=0,N($R407)+N($S407)&lt;=0),"No area information",""))))))))</f>
        <v/>
      </c>
      <c r="AB407" s="22">
        <f>IF(AND($A407="",$B407=""),"",IF($K407="Point",N($L407),IF(N($N407)&gt;0,N($N407),N($L407))))</f>
        <v/>
      </c>
      <c r="AC407" s="22">
        <f>IF(AND($A407="",$B407=""),"",MIN(AB407,IF(N($J407)=0,0,IF(N($J407)=2,AB407,IF(AND($K407&lt;&gt;"Point",N($O407)&gt;0),N($O407),N($M407))))))</f>
        <v/>
      </c>
      <c r="AD407" s="22">
        <f>IF(AND($A407="",$B407=""),"",MAX(0,AB407-AC407))</f>
        <v/>
      </c>
      <c r="AE407" s="21">
        <f>IF(AND($A407="",$B407=""),"",IF(OR($R407&lt;&gt;"",$S407&lt;&gt;""),1,0))</f>
        <v/>
      </c>
      <c r="AF407" s="22">
        <f>IF(AND($A407="",$B407=""),"",IF(Z407=1,IF(AE407=1,N($R407),AD407),0))</f>
        <v/>
      </c>
      <c r="AG407" s="22">
        <f>IF(AND($A407="",$B407=""),"",IF(Z407=1,IF(AE407=1,N($S407),AC407),0))</f>
        <v/>
      </c>
      <c r="AH407" s="21">
        <f>IF(AND($A407="",$B407=""),"",IF(AND(ISNUMBER($I407),N($I407)&gt;0),$I407,0))</f>
        <v/>
      </c>
      <c r="AI407" s="23">
        <f>IF(AND(NOT(AND($A407="",$B407="")),$K407="Point",N($L407)&gt;0),SQRT(N($L407)/PI()),"")</f>
        <v/>
      </c>
      <c r="AJ407" s="21">
        <f>IF(AND($A407="",$B407=""),"",IFERROR(VLOOKUP($G407,Lists!$D$4:$E$15,2,FALSE),"Not reported"))</f>
        <v/>
      </c>
      <c r="AK407" s="21">
        <f>IF(AND($A407="",$B407=""),"",IF($X407&lt;&gt;"",$X407,IF($T407&lt;&gt;"Y","Not assessed",IF(AND(ISNUMBER($V407),Setup!$B$6-$V407&gt;Setup!$B$26),"Assessment outdated",IF(NOT(ISNUMBER($W407)),"Assessed – no score",IF($W407&gt;=Setup!$B$24,"High",IF($W407&gt;=Setup!$B$25,"Moderate","Low")))))))</f>
        <v/>
      </c>
      <c r="AL407" s="21">
        <f>IF(AND($A407="",$B407=""),"",IF(Z407=0,"",IF(AND(AE407=1,N($R407)&gt;AD407*1.01+0.001),"Net terrestrial &gt; gross; ","")&amp;IF(AND(AE407=1,N($S407)&gt;AC407*1.01+0.001),"Net marine &gt; gross; ","")&amp;IF(AE407=0,"No net area – gross used, overlaps may be double-counted; ","")&amp;IF(AH407=0,"STATUS_YR missing – imputed in time series; ","")&amp;IF(AND(ISNUMBER($I407),N($I407)&gt;Setup!$B$6),"STATUS_YR after reporting year; ","")&amp;IF(OR($G407="",$G407="Not Reported"),"GOV_TYPE not reported; ","")&amp;IF(AND(N($J407)=1,$K407="Point",N($M407)&lt;=0),"Coastal point without REP_M_AREA – land/sea split unknown; ","")&amp;IF(AND(N($J407)=0,N($S407)&gt;0),"MARINE=0 but net marine &gt;0; ","")&amp;IF(AND(N($J407)=2,N($R407)&gt;0),"MARINE=2 but net terrestrial &gt;0; ","")&amp;IF($K407="Point","Buffered point – coverage approximate; ","")))</f>
        <v/>
      </c>
    </row>
    <row r="408">
      <c r="A408" s="19" t="n"/>
      <c r="B408" s="19" t="n"/>
      <c r="C408" s="19" t="n"/>
      <c r="D408" s="19" t="n"/>
      <c r="E408" s="19" t="n"/>
      <c r="F408" s="19" t="n"/>
      <c r="G408" s="19" t="n"/>
      <c r="H408" s="19" t="n"/>
      <c r="I408" s="19" t="n"/>
      <c r="J408" s="19" t="n"/>
      <c r="K408" s="19" t="n"/>
      <c r="L408" s="20" t="n"/>
      <c r="M408" s="20" t="n"/>
      <c r="N408" s="20" t="n"/>
      <c r="O408" s="20" t="n"/>
      <c r="P408" s="19" t="n"/>
      <c r="Q408" s="19" t="n"/>
      <c r="R408" s="20" t="n"/>
      <c r="S408" s="20" t="n"/>
      <c r="T408" s="19" t="n"/>
      <c r="U408" s="19" t="n"/>
      <c r="V408" s="19" t="n"/>
      <c r="W408" s="19" t="n"/>
      <c r="X408" s="19" t="n"/>
      <c r="Y408" s="19" t="n"/>
      <c r="Z408" s="21">
        <f>IF(AND($A408="",$B408=""),"",IF(OR($E408="",$H408="",$H408="Proposed",$H408="Not Reported"),0,IF(AND($P408="Y",$Q408&lt;&gt;"Y"),0,IF(AND($K408="Point",N($L408)&lt;=0),0,IF(AND(N($L408)&lt;=0,N($N408)&lt;=0,N($R408)+N($S408)&lt;=0),0,1)))))</f>
        <v/>
      </c>
      <c r="AA408" s="21">
        <f>IF(AND($A408="",$B408=""),"",IF($E408="","Site type missing",IF($H408="","STATUS missing",IF($H408="Proposed","STATUS = Proposed",IF($H408="Not Reported","STATUS = Not Reported",IF(AND($P408="Y",$Q408&lt;&gt;"Y"),"UNESCO-MAB Biosphere Reserve",IF(AND($K408="Point",N($L408)&lt;=0),"Point without REP_AREA",IF(AND(N($L408)&lt;=0,N($N408)&lt;=0,N($R408)+N($S408)&lt;=0),"No area information",""))))))))</f>
        <v/>
      </c>
      <c r="AB408" s="22">
        <f>IF(AND($A408="",$B408=""),"",IF($K408="Point",N($L408),IF(N($N408)&gt;0,N($N408),N($L408))))</f>
        <v/>
      </c>
      <c r="AC408" s="22">
        <f>IF(AND($A408="",$B408=""),"",MIN(AB408,IF(N($J408)=0,0,IF(N($J408)=2,AB408,IF(AND($K408&lt;&gt;"Point",N($O408)&gt;0),N($O408),N($M408))))))</f>
        <v/>
      </c>
      <c r="AD408" s="22">
        <f>IF(AND($A408="",$B408=""),"",MAX(0,AB408-AC408))</f>
        <v/>
      </c>
      <c r="AE408" s="21">
        <f>IF(AND($A408="",$B408=""),"",IF(OR($R408&lt;&gt;"",$S408&lt;&gt;""),1,0))</f>
        <v/>
      </c>
      <c r="AF408" s="22">
        <f>IF(AND($A408="",$B408=""),"",IF(Z408=1,IF(AE408=1,N($R408),AD408),0))</f>
        <v/>
      </c>
      <c r="AG408" s="22">
        <f>IF(AND($A408="",$B408=""),"",IF(Z408=1,IF(AE408=1,N($S408),AC408),0))</f>
        <v/>
      </c>
      <c r="AH408" s="21">
        <f>IF(AND($A408="",$B408=""),"",IF(AND(ISNUMBER($I408),N($I408)&gt;0),$I408,0))</f>
        <v/>
      </c>
      <c r="AI408" s="23">
        <f>IF(AND(NOT(AND($A408="",$B408="")),$K408="Point",N($L408)&gt;0),SQRT(N($L408)/PI()),"")</f>
        <v/>
      </c>
      <c r="AJ408" s="21">
        <f>IF(AND($A408="",$B408=""),"",IFERROR(VLOOKUP($G408,Lists!$D$4:$E$15,2,FALSE),"Not reported"))</f>
        <v/>
      </c>
      <c r="AK408" s="21">
        <f>IF(AND($A408="",$B408=""),"",IF($X408&lt;&gt;"",$X408,IF($T408&lt;&gt;"Y","Not assessed",IF(AND(ISNUMBER($V408),Setup!$B$6-$V408&gt;Setup!$B$26),"Assessment outdated",IF(NOT(ISNUMBER($W408)),"Assessed – no score",IF($W408&gt;=Setup!$B$24,"High",IF($W408&gt;=Setup!$B$25,"Moderate","Low")))))))</f>
        <v/>
      </c>
      <c r="AL408" s="21">
        <f>IF(AND($A408="",$B408=""),"",IF(Z408=0,"",IF(AND(AE408=1,N($R408)&gt;AD408*1.01+0.001),"Net terrestrial &gt; gross; ","")&amp;IF(AND(AE408=1,N($S408)&gt;AC408*1.01+0.001),"Net marine &gt; gross; ","")&amp;IF(AE408=0,"No net area – gross used, overlaps may be double-counted; ","")&amp;IF(AH408=0,"STATUS_YR missing – imputed in time series; ","")&amp;IF(AND(ISNUMBER($I408),N($I408)&gt;Setup!$B$6),"STATUS_YR after reporting year; ","")&amp;IF(OR($G408="",$G408="Not Reported"),"GOV_TYPE not reported; ","")&amp;IF(AND(N($J408)=1,$K408="Point",N($M408)&lt;=0),"Coastal point without REP_M_AREA – land/sea split unknown; ","")&amp;IF(AND(N($J408)=0,N($S408)&gt;0),"MARINE=0 but net marine &gt;0; ","")&amp;IF(AND(N($J408)=2,N($R408)&gt;0),"MARINE=2 but net terrestrial &gt;0; ","")&amp;IF($K408="Point","Buffered point – coverage approximate; ","")))</f>
        <v/>
      </c>
    </row>
    <row r="409">
      <c r="A409" s="19" t="n"/>
      <c r="B409" s="19" t="n"/>
      <c r="C409" s="19" t="n"/>
      <c r="D409" s="19" t="n"/>
      <c r="E409" s="19" t="n"/>
      <c r="F409" s="19" t="n"/>
      <c r="G409" s="19" t="n"/>
      <c r="H409" s="19" t="n"/>
      <c r="I409" s="19" t="n"/>
      <c r="J409" s="19" t="n"/>
      <c r="K409" s="19" t="n"/>
      <c r="L409" s="20" t="n"/>
      <c r="M409" s="20" t="n"/>
      <c r="N409" s="20" t="n"/>
      <c r="O409" s="20" t="n"/>
      <c r="P409" s="19" t="n"/>
      <c r="Q409" s="19" t="n"/>
      <c r="R409" s="20" t="n"/>
      <c r="S409" s="20" t="n"/>
      <c r="T409" s="19" t="n"/>
      <c r="U409" s="19" t="n"/>
      <c r="V409" s="19" t="n"/>
      <c r="W409" s="19" t="n"/>
      <c r="X409" s="19" t="n"/>
      <c r="Y409" s="19" t="n"/>
      <c r="Z409" s="21">
        <f>IF(AND($A409="",$B409=""),"",IF(OR($E409="",$H409="",$H409="Proposed",$H409="Not Reported"),0,IF(AND($P409="Y",$Q409&lt;&gt;"Y"),0,IF(AND($K409="Point",N($L409)&lt;=0),0,IF(AND(N($L409)&lt;=0,N($N409)&lt;=0,N($R409)+N($S409)&lt;=0),0,1)))))</f>
        <v/>
      </c>
      <c r="AA409" s="21">
        <f>IF(AND($A409="",$B409=""),"",IF($E409="","Site type missing",IF($H409="","STATUS missing",IF($H409="Proposed","STATUS = Proposed",IF($H409="Not Reported","STATUS = Not Reported",IF(AND($P409="Y",$Q409&lt;&gt;"Y"),"UNESCO-MAB Biosphere Reserve",IF(AND($K409="Point",N($L409)&lt;=0),"Point without REP_AREA",IF(AND(N($L409)&lt;=0,N($N409)&lt;=0,N($R409)+N($S409)&lt;=0),"No area information",""))))))))</f>
        <v/>
      </c>
      <c r="AB409" s="22">
        <f>IF(AND($A409="",$B409=""),"",IF($K409="Point",N($L409),IF(N($N409)&gt;0,N($N409),N($L409))))</f>
        <v/>
      </c>
      <c r="AC409" s="22">
        <f>IF(AND($A409="",$B409=""),"",MIN(AB409,IF(N($J409)=0,0,IF(N($J409)=2,AB409,IF(AND($K409&lt;&gt;"Point",N($O409)&gt;0),N($O409),N($M409))))))</f>
        <v/>
      </c>
      <c r="AD409" s="22">
        <f>IF(AND($A409="",$B409=""),"",MAX(0,AB409-AC409))</f>
        <v/>
      </c>
      <c r="AE409" s="21">
        <f>IF(AND($A409="",$B409=""),"",IF(OR($R409&lt;&gt;"",$S409&lt;&gt;""),1,0))</f>
        <v/>
      </c>
      <c r="AF409" s="22">
        <f>IF(AND($A409="",$B409=""),"",IF(Z409=1,IF(AE409=1,N($R409),AD409),0))</f>
        <v/>
      </c>
      <c r="AG409" s="22">
        <f>IF(AND($A409="",$B409=""),"",IF(Z409=1,IF(AE409=1,N($S409),AC409),0))</f>
        <v/>
      </c>
      <c r="AH409" s="21">
        <f>IF(AND($A409="",$B409=""),"",IF(AND(ISNUMBER($I409),N($I409)&gt;0),$I409,0))</f>
        <v/>
      </c>
      <c r="AI409" s="23">
        <f>IF(AND(NOT(AND($A409="",$B409="")),$K409="Point",N($L409)&gt;0),SQRT(N($L409)/PI()),"")</f>
        <v/>
      </c>
      <c r="AJ409" s="21">
        <f>IF(AND($A409="",$B409=""),"",IFERROR(VLOOKUP($G409,Lists!$D$4:$E$15,2,FALSE),"Not reported"))</f>
        <v/>
      </c>
      <c r="AK409" s="21">
        <f>IF(AND($A409="",$B409=""),"",IF($X409&lt;&gt;"",$X409,IF($T409&lt;&gt;"Y","Not assessed",IF(AND(ISNUMBER($V409),Setup!$B$6-$V409&gt;Setup!$B$26),"Assessment outdated",IF(NOT(ISNUMBER($W409)),"Assessed – no score",IF($W409&gt;=Setup!$B$24,"High",IF($W409&gt;=Setup!$B$25,"Moderate","Low")))))))</f>
        <v/>
      </c>
      <c r="AL409" s="21">
        <f>IF(AND($A409="",$B409=""),"",IF(Z409=0,"",IF(AND(AE409=1,N($R409)&gt;AD409*1.01+0.001),"Net terrestrial &gt; gross; ","")&amp;IF(AND(AE409=1,N($S409)&gt;AC409*1.01+0.001),"Net marine &gt; gross; ","")&amp;IF(AE409=0,"No net area – gross used, overlaps may be double-counted; ","")&amp;IF(AH409=0,"STATUS_YR missing – imputed in time series; ","")&amp;IF(AND(ISNUMBER($I409),N($I409)&gt;Setup!$B$6),"STATUS_YR after reporting year; ","")&amp;IF(OR($G409="",$G409="Not Reported"),"GOV_TYPE not reported; ","")&amp;IF(AND(N($J409)=1,$K409="Point",N($M409)&lt;=0),"Coastal point without REP_M_AREA – land/sea split unknown; ","")&amp;IF(AND(N($J409)=0,N($S409)&gt;0),"MARINE=0 but net marine &gt;0; ","")&amp;IF(AND(N($J409)=2,N($R409)&gt;0),"MARINE=2 but net terrestrial &gt;0; ","")&amp;IF($K409="Point","Buffered point – coverage approximate; ","")))</f>
        <v/>
      </c>
    </row>
    <row r="410">
      <c r="A410" s="19" t="n"/>
      <c r="B410" s="19" t="n"/>
      <c r="C410" s="19" t="n"/>
      <c r="D410" s="19" t="n"/>
      <c r="E410" s="19" t="n"/>
      <c r="F410" s="19" t="n"/>
      <c r="G410" s="19" t="n"/>
      <c r="H410" s="19" t="n"/>
      <c r="I410" s="19" t="n"/>
      <c r="J410" s="19" t="n"/>
      <c r="K410" s="19" t="n"/>
      <c r="L410" s="20" t="n"/>
      <c r="M410" s="20" t="n"/>
      <c r="N410" s="20" t="n"/>
      <c r="O410" s="20" t="n"/>
      <c r="P410" s="19" t="n"/>
      <c r="Q410" s="19" t="n"/>
      <c r="R410" s="20" t="n"/>
      <c r="S410" s="20" t="n"/>
      <c r="T410" s="19" t="n"/>
      <c r="U410" s="19" t="n"/>
      <c r="V410" s="19" t="n"/>
      <c r="W410" s="19" t="n"/>
      <c r="X410" s="19" t="n"/>
      <c r="Y410" s="19" t="n"/>
      <c r="Z410" s="21">
        <f>IF(AND($A410="",$B410=""),"",IF(OR($E410="",$H410="",$H410="Proposed",$H410="Not Reported"),0,IF(AND($P410="Y",$Q410&lt;&gt;"Y"),0,IF(AND($K410="Point",N($L410)&lt;=0),0,IF(AND(N($L410)&lt;=0,N($N410)&lt;=0,N($R410)+N($S410)&lt;=0),0,1)))))</f>
        <v/>
      </c>
      <c r="AA410" s="21">
        <f>IF(AND($A410="",$B410=""),"",IF($E410="","Site type missing",IF($H410="","STATUS missing",IF($H410="Proposed","STATUS = Proposed",IF($H410="Not Reported","STATUS = Not Reported",IF(AND($P410="Y",$Q410&lt;&gt;"Y"),"UNESCO-MAB Biosphere Reserve",IF(AND($K410="Point",N($L410)&lt;=0),"Point without REP_AREA",IF(AND(N($L410)&lt;=0,N($N410)&lt;=0,N($R410)+N($S410)&lt;=0),"No area information",""))))))))</f>
        <v/>
      </c>
      <c r="AB410" s="22">
        <f>IF(AND($A410="",$B410=""),"",IF($K410="Point",N($L410),IF(N($N410)&gt;0,N($N410),N($L410))))</f>
        <v/>
      </c>
      <c r="AC410" s="22">
        <f>IF(AND($A410="",$B410=""),"",MIN(AB410,IF(N($J410)=0,0,IF(N($J410)=2,AB410,IF(AND($K410&lt;&gt;"Point",N($O410)&gt;0),N($O410),N($M410))))))</f>
        <v/>
      </c>
      <c r="AD410" s="22">
        <f>IF(AND($A410="",$B410=""),"",MAX(0,AB410-AC410))</f>
        <v/>
      </c>
      <c r="AE410" s="21">
        <f>IF(AND($A410="",$B410=""),"",IF(OR($R410&lt;&gt;"",$S410&lt;&gt;""),1,0))</f>
        <v/>
      </c>
      <c r="AF410" s="22">
        <f>IF(AND($A410="",$B410=""),"",IF(Z410=1,IF(AE410=1,N($R410),AD410),0))</f>
        <v/>
      </c>
      <c r="AG410" s="22">
        <f>IF(AND($A410="",$B410=""),"",IF(Z410=1,IF(AE410=1,N($S410),AC410),0))</f>
        <v/>
      </c>
      <c r="AH410" s="21">
        <f>IF(AND($A410="",$B410=""),"",IF(AND(ISNUMBER($I410),N($I410)&gt;0),$I410,0))</f>
        <v/>
      </c>
      <c r="AI410" s="23">
        <f>IF(AND(NOT(AND($A410="",$B410="")),$K410="Point",N($L410)&gt;0),SQRT(N($L410)/PI()),"")</f>
        <v/>
      </c>
      <c r="AJ410" s="21">
        <f>IF(AND($A410="",$B410=""),"",IFERROR(VLOOKUP($G410,Lists!$D$4:$E$15,2,FALSE),"Not reported"))</f>
        <v/>
      </c>
      <c r="AK410" s="21">
        <f>IF(AND($A410="",$B410=""),"",IF($X410&lt;&gt;"",$X410,IF($T410&lt;&gt;"Y","Not assessed",IF(AND(ISNUMBER($V410),Setup!$B$6-$V410&gt;Setup!$B$26),"Assessment outdated",IF(NOT(ISNUMBER($W410)),"Assessed – no score",IF($W410&gt;=Setup!$B$24,"High",IF($W410&gt;=Setup!$B$25,"Moderate","Low")))))))</f>
        <v/>
      </c>
      <c r="AL410" s="21">
        <f>IF(AND($A410="",$B410=""),"",IF(Z410=0,"",IF(AND(AE410=1,N($R410)&gt;AD410*1.01+0.001),"Net terrestrial &gt; gross; ","")&amp;IF(AND(AE410=1,N($S410)&gt;AC410*1.01+0.001),"Net marine &gt; gross; ","")&amp;IF(AE410=0,"No net area – gross used, overlaps may be double-counted; ","")&amp;IF(AH410=0,"STATUS_YR missing – imputed in time series; ","")&amp;IF(AND(ISNUMBER($I410),N($I410)&gt;Setup!$B$6),"STATUS_YR after reporting year; ","")&amp;IF(OR($G410="",$G410="Not Reported"),"GOV_TYPE not reported; ","")&amp;IF(AND(N($J410)=1,$K410="Point",N($M410)&lt;=0),"Coastal point without REP_M_AREA – land/sea split unknown; ","")&amp;IF(AND(N($J410)=0,N($S410)&gt;0),"MARINE=0 but net marine &gt;0; ","")&amp;IF(AND(N($J410)=2,N($R410)&gt;0),"MARINE=2 but net terrestrial &gt;0; ","")&amp;IF($K410="Point","Buffered point – coverage approximate; ","")))</f>
        <v/>
      </c>
    </row>
    <row r="411">
      <c r="A411" s="19" t="n"/>
      <c r="B411" s="19" t="n"/>
      <c r="C411" s="19" t="n"/>
      <c r="D411" s="19" t="n"/>
      <c r="E411" s="19" t="n"/>
      <c r="F411" s="19" t="n"/>
      <c r="G411" s="19" t="n"/>
      <c r="H411" s="19" t="n"/>
      <c r="I411" s="19" t="n"/>
      <c r="J411" s="19" t="n"/>
      <c r="K411" s="19" t="n"/>
      <c r="L411" s="20" t="n"/>
      <c r="M411" s="20" t="n"/>
      <c r="N411" s="20" t="n"/>
      <c r="O411" s="20" t="n"/>
      <c r="P411" s="19" t="n"/>
      <c r="Q411" s="19" t="n"/>
      <c r="R411" s="20" t="n"/>
      <c r="S411" s="20" t="n"/>
      <c r="T411" s="19" t="n"/>
      <c r="U411" s="19" t="n"/>
      <c r="V411" s="19" t="n"/>
      <c r="W411" s="19" t="n"/>
      <c r="X411" s="19" t="n"/>
      <c r="Y411" s="19" t="n"/>
      <c r="Z411" s="21">
        <f>IF(AND($A411="",$B411=""),"",IF(OR($E411="",$H411="",$H411="Proposed",$H411="Not Reported"),0,IF(AND($P411="Y",$Q411&lt;&gt;"Y"),0,IF(AND($K411="Point",N($L411)&lt;=0),0,IF(AND(N($L411)&lt;=0,N($N411)&lt;=0,N($R411)+N($S411)&lt;=0),0,1)))))</f>
        <v/>
      </c>
      <c r="AA411" s="21">
        <f>IF(AND($A411="",$B411=""),"",IF($E411="","Site type missing",IF($H411="","STATUS missing",IF($H411="Proposed","STATUS = Proposed",IF($H411="Not Reported","STATUS = Not Reported",IF(AND($P411="Y",$Q411&lt;&gt;"Y"),"UNESCO-MAB Biosphere Reserve",IF(AND($K411="Point",N($L411)&lt;=0),"Point without REP_AREA",IF(AND(N($L411)&lt;=0,N($N411)&lt;=0,N($R411)+N($S411)&lt;=0),"No area information",""))))))))</f>
        <v/>
      </c>
      <c r="AB411" s="22">
        <f>IF(AND($A411="",$B411=""),"",IF($K411="Point",N($L411),IF(N($N411)&gt;0,N($N411),N($L411))))</f>
        <v/>
      </c>
      <c r="AC411" s="22">
        <f>IF(AND($A411="",$B411=""),"",MIN(AB411,IF(N($J411)=0,0,IF(N($J411)=2,AB411,IF(AND($K411&lt;&gt;"Point",N($O411)&gt;0),N($O411),N($M411))))))</f>
        <v/>
      </c>
      <c r="AD411" s="22">
        <f>IF(AND($A411="",$B411=""),"",MAX(0,AB411-AC411))</f>
        <v/>
      </c>
      <c r="AE411" s="21">
        <f>IF(AND($A411="",$B411=""),"",IF(OR($R411&lt;&gt;"",$S411&lt;&gt;""),1,0))</f>
        <v/>
      </c>
      <c r="AF411" s="22">
        <f>IF(AND($A411="",$B411=""),"",IF(Z411=1,IF(AE411=1,N($R411),AD411),0))</f>
        <v/>
      </c>
      <c r="AG411" s="22">
        <f>IF(AND($A411="",$B411=""),"",IF(Z411=1,IF(AE411=1,N($S411),AC411),0))</f>
        <v/>
      </c>
      <c r="AH411" s="21">
        <f>IF(AND($A411="",$B411=""),"",IF(AND(ISNUMBER($I411),N($I411)&gt;0),$I411,0))</f>
        <v/>
      </c>
      <c r="AI411" s="23">
        <f>IF(AND(NOT(AND($A411="",$B411="")),$K411="Point",N($L411)&gt;0),SQRT(N($L411)/PI()),"")</f>
        <v/>
      </c>
      <c r="AJ411" s="21">
        <f>IF(AND($A411="",$B411=""),"",IFERROR(VLOOKUP($G411,Lists!$D$4:$E$15,2,FALSE),"Not reported"))</f>
        <v/>
      </c>
      <c r="AK411" s="21">
        <f>IF(AND($A411="",$B411=""),"",IF($X411&lt;&gt;"",$X411,IF($T411&lt;&gt;"Y","Not assessed",IF(AND(ISNUMBER($V411),Setup!$B$6-$V411&gt;Setup!$B$26),"Assessment outdated",IF(NOT(ISNUMBER($W411)),"Assessed – no score",IF($W411&gt;=Setup!$B$24,"High",IF($W411&gt;=Setup!$B$25,"Moderate","Low")))))))</f>
        <v/>
      </c>
      <c r="AL411" s="21">
        <f>IF(AND($A411="",$B411=""),"",IF(Z411=0,"",IF(AND(AE411=1,N($R411)&gt;AD411*1.01+0.001),"Net terrestrial &gt; gross; ","")&amp;IF(AND(AE411=1,N($S411)&gt;AC411*1.01+0.001),"Net marine &gt; gross; ","")&amp;IF(AE411=0,"No net area – gross used, overlaps may be double-counted; ","")&amp;IF(AH411=0,"STATUS_YR missing – imputed in time series; ","")&amp;IF(AND(ISNUMBER($I411),N($I411)&gt;Setup!$B$6),"STATUS_YR after reporting year; ","")&amp;IF(OR($G411="",$G411="Not Reported"),"GOV_TYPE not reported; ","")&amp;IF(AND(N($J411)=1,$K411="Point",N($M411)&lt;=0),"Coastal point without REP_M_AREA – land/sea split unknown; ","")&amp;IF(AND(N($J411)=0,N($S411)&gt;0),"MARINE=0 but net marine &gt;0; ","")&amp;IF(AND(N($J411)=2,N($R411)&gt;0),"MARINE=2 but net terrestrial &gt;0; ","")&amp;IF($K411="Point","Buffered point – coverage approximate; ","")))</f>
        <v/>
      </c>
    </row>
    <row r="412">
      <c r="A412" s="19" t="n"/>
      <c r="B412" s="19" t="n"/>
      <c r="C412" s="19" t="n"/>
      <c r="D412" s="19" t="n"/>
      <c r="E412" s="19" t="n"/>
      <c r="F412" s="19" t="n"/>
      <c r="G412" s="19" t="n"/>
      <c r="H412" s="19" t="n"/>
      <c r="I412" s="19" t="n"/>
      <c r="J412" s="19" t="n"/>
      <c r="K412" s="19" t="n"/>
      <c r="L412" s="20" t="n"/>
      <c r="M412" s="20" t="n"/>
      <c r="N412" s="20" t="n"/>
      <c r="O412" s="20" t="n"/>
      <c r="P412" s="19" t="n"/>
      <c r="Q412" s="19" t="n"/>
      <c r="R412" s="20" t="n"/>
      <c r="S412" s="20" t="n"/>
      <c r="T412" s="19" t="n"/>
      <c r="U412" s="19" t="n"/>
      <c r="V412" s="19" t="n"/>
      <c r="W412" s="19" t="n"/>
      <c r="X412" s="19" t="n"/>
      <c r="Y412" s="19" t="n"/>
      <c r="Z412" s="21">
        <f>IF(AND($A412="",$B412=""),"",IF(OR($E412="",$H412="",$H412="Proposed",$H412="Not Reported"),0,IF(AND($P412="Y",$Q412&lt;&gt;"Y"),0,IF(AND($K412="Point",N($L412)&lt;=0),0,IF(AND(N($L412)&lt;=0,N($N412)&lt;=0,N($R412)+N($S412)&lt;=0),0,1)))))</f>
        <v/>
      </c>
      <c r="AA412" s="21">
        <f>IF(AND($A412="",$B412=""),"",IF($E412="","Site type missing",IF($H412="","STATUS missing",IF($H412="Proposed","STATUS = Proposed",IF($H412="Not Reported","STATUS = Not Reported",IF(AND($P412="Y",$Q412&lt;&gt;"Y"),"UNESCO-MAB Biosphere Reserve",IF(AND($K412="Point",N($L412)&lt;=0),"Point without REP_AREA",IF(AND(N($L412)&lt;=0,N($N412)&lt;=0,N($R412)+N($S412)&lt;=0),"No area information",""))))))))</f>
        <v/>
      </c>
      <c r="AB412" s="22">
        <f>IF(AND($A412="",$B412=""),"",IF($K412="Point",N($L412),IF(N($N412)&gt;0,N($N412),N($L412))))</f>
        <v/>
      </c>
      <c r="AC412" s="22">
        <f>IF(AND($A412="",$B412=""),"",MIN(AB412,IF(N($J412)=0,0,IF(N($J412)=2,AB412,IF(AND($K412&lt;&gt;"Point",N($O412)&gt;0),N($O412),N($M412))))))</f>
        <v/>
      </c>
      <c r="AD412" s="22">
        <f>IF(AND($A412="",$B412=""),"",MAX(0,AB412-AC412))</f>
        <v/>
      </c>
      <c r="AE412" s="21">
        <f>IF(AND($A412="",$B412=""),"",IF(OR($R412&lt;&gt;"",$S412&lt;&gt;""),1,0))</f>
        <v/>
      </c>
      <c r="AF412" s="22">
        <f>IF(AND($A412="",$B412=""),"",IF(Z412=1,IF(AE412=1,N($R412),AD412),0))</f>
        <v/>
      </c>
      <c r="AG412" s="22">
        <f>IF(AND($A412="",$B412=""),"",IF(Z412=1,IF(AE412=1,N($S412),AC412),0))</f>
        <v/>
      </c>
      <c r="AH412" s="21">
        <f>IF(AND($A412="",$B412=""),"",IF(AND(ISNUMBER($I412),N($I412)&gt;0),$I412,0))</f>
        <v/>
      </c>
      <c r="AI412" s="23">
        <f>IF(AND(NOT(AND($A412="",$B412="")),$K412="Point",N($L412)&gt;0),SQRT(N($L412)/PI()),"")</f>
        <v/>
      </c>
      <c r="AJ412" s="21">
        <f>IF(AND($A412="",$B412=""),"",IFERROR(VLOOKUP($G412,Lists!$D$4:$E$15,2,FALSE),"Not reported"))</f>
        <v/>
      </c>
      <c r="AK412" s="21">
        <f>IF(AND($A412="",$B412=""),"",IF($X412&lt;&gt;"",$X412,IF($T412&lt;&gt;"Y","Not assessed",IF(AND(ISNUMBER($V412),Setup!$B$6-$V412&gt;Setup!$B$26),"Assessment outdated",IF(NOT(ISNUMBER($W412)),"Assessed – no score",IF($W412&gt;=Setup!$B$24,"High",IF($W412&gt;=Setup!$B$25,"Moderate","Low")))))))</f>
        <v/>
      </c>
      <c r="AL412" s="21">
        <f>IF(AND($A412="",$B412=""),"",IF(Z412=0,"",IF(AND(AE412=1,N($R412)&gt;AD412*1.01+0.001),"Net terrestrial &gt; gross; ","")&amp;IF(AND(AE412=1,N($S412)&gt;AC412*1.01+0.001),"Net marine &gt; gross; ","")&amp;IF(AE412=0,"No net area – gross used, overlaps may be double-counted; ","")&amp;IF(AH412=0,"STATUS_YR missing – imputed in time series; ","")&amp;IF(AND(ISNUMBER($I412),N($I412)&gt;Setup!$B$6),"STATUS_YR after reporting year; ","")&amp;IF(OR($G412="",$G412="Not Reported"),"GOV_TYPE not reported; ","")&amp;IF(AND(N($J412)=1,$K412="Point",N($M412)&lt;=0),"Coastal point without REP_M_AREA – land/sea split unknown; ","")&amp;IF(AND(N($J412)=0,N($S412)&gt;0),"MARINE=0 but net marine &gt;0; ","")&amp;IF(AND(N($J412)=2,N($R412)&gt;0),"MARINE=2 but net terrestrial &gt;0; ","")&amp;IF($K412="Point","Buffered point – coverage approximate; ","")))</f>
        <v/>
      </c>
    </row>
    <row r="413">
      <c r="A413" s="19" t="n"/>
      <c r="B413" s="19" t="n"/>
      <c r="C413" s="19" t="n"/>
      <c r="D413" s="19" t="n"/>
      <c r="E413" s="19" t="n"/>
      <c r="F413" s="19" t="n"/>
      <c r="G413" s="19" t="n"/>
      <c r="H413" s="19" t="n"/>
      <c r="I413" s="19" t="n"/>
      <c r="J413" s="19" t="n"/>
      <c r="K413" s="19" t="n"/>
      <c r="L413" s="20" t="n"/>
      <c r="M413" s="20" t="n"/>
      <c r="N413" s="20" t="n"/>
      <c r="O413" s="20" t="n"/>
      <c r="P413" s="19" t="n"/>
      <c r="Q413" s="19" t="n"/>
      <c r="R413" s="20" t="n"/>
      <c r="S413" s="20" t="n"/>
      <c r="T413" s="19" t="n"/>
      <c r="U413" s="19" t="n"/>
      <c r="V413" s="19" t="n"/>
      <c r="W413" s="19" t="n"/>
      <c r="X413" s="19" t="n"/>
      <c r="Y413" s="19" t="n"/>
      <c r="Z413" s="21">
        <f>IF(AND($A413="",$B413=""),"",IF(OR($E413="",$H413="",$H413="Proposed",$H413="Not Reported"),0,IF(AND($P413="Y",$Q413&lt;&gt;"Y"),0,IF(AND($K413="Point",N($L413)&lt;=0),0,IF(AND(N($L413)&lt;=0,N($N413)&lt;=0,N($R413)+N($S413)&lt;=0),0,1)))))</f>
        <v/>
      </c>
      <c r="AA413" s="21">
        <f>IF(AND($A413="",$B413=""),"",IF($E413="","Site type missing",IF($H413="","STATUS missing",IF($H413="Proposed","STATUS = Proposed",IF($H413="Not Reported","STATUS = Not Reported",IF(AND($P413="Y",$Q413&lt;&gt;"Y"),"UNESCO-MAB Biosphere Reserve",IF(AND($K413="Point",N($L413)&lt;=0),"Point without REP_AREA",IF(AND(N($L413)&lt;=0,N($N413)&lt;=0,N($R413)+N($S413)&lt;=0),"No area information",""))))))))</f>
        <v/>
      </c>
      <c r="AB413" s="22">
        <f>IF(AND($A413="",$B413=""),"",IF($K413="Point",N($L413),IF(N($N413)&gt;0,N($N413),N($L413))))</f>
        <v/>
      </c>
      <c r="AC413" s="22">
        <f>IF(AND($A413="",$B413=""),"",MIN(AB413,IF(N($J413)=0,0,IF(N($J413)=2,AB413,IF(AND($K413&lt;&gt;"Point",N($O413)&gt;0),N($O413),N($M413))))))</f>
        <v/>
      </c>
      <c r="AD413" s="22">
        <f>IF(AND($A413="",$B413=""),"",MAX(0,AB413-AC413))</f>
        <v/>
      </c>
      <c r="AE413" s="21">
        <f>IF(AND($A413="",$B413=""),"",IF(OR($R413&lt;&gt;"",$S413&lt;&gt;""),1,0))</f>
        <v/>
      </c>
      <c r="AF413" s="22">
        <f>IF(AND($A413="",$B413=""),"",IF(Z413=1,IF(AE413=1,N($R413),AD413),0))</f>
        <v/>
      </c>
      <c r="AG413" s="22">
        <f>IF(AND($A413="",$B413=""),"",IF(Z413=1,IF(AE413=1,N($S413),AC413),0))</f>
        <v/>
      </c>
      <c r="AH413" s="21">
        <f>IF(AND($A413="",$B413=""),"",IF(AND(ISNUMBER($I413),N($I413)&gt;0),$I413,0))</f>
        <v/>
      </c>
      <c r="AI413" s="23">
        <f>IF(AND(NOT(AND($A413="",$B413="")),$K413="Point",N($L413)&gt;0),SQRT(N($L413)/PI()),"")</f>
        <v/>
      </c>
      <c r="AJ413" s="21">
        <f>IF(AND($A413="",$B413=""),"",IFERROR(VLOOKUP($G413,Lists!$D$4:$E$15,2,FALSE),"Not reported"))</f>
        <v/>
      </c>
      <c r="AK413" s="21">
        <f>IF(AND($A413="",$B413=""),"",IF($X413&lt;&gt;"",$X413,IF($T413&lt;&gt;"Y","Not assessed",IF(AND(ISNUMBER($V413),Setup!$B$6-$V413&gt;Setup!$B$26),"Assessment outdated",IF(NOT(ISNUMBER($W413)),"Assessed – no score",IF($W413&gt;=Setup!$B$24,"High",IF($W413&gt;=Setup!$B$25,"Moderate","Low")))))))</f>
        <v/>
      </c>
      <c r="AL413" s="21">
        <f>IF(AND($A413="",$B413=""),"",IF(Z413=0,"",IF(AND(AE413=1,N($R413)&gt;AD413*1.01+0.001),"Net terrestrial &gt; gross; ","")&amp;IF(AND(AE413=1,N($S413)&gt;AC413*1.01+0.001),"Net marine &gt; gross; ","")&amp;IF(AE413=0,"No net area – gross used, overlaps may be double-counted; ","")&amp;IF(AH413=0,"STATUS_YR missing – imputed in time series; ","")&amp;IF(AND(ISNUMBER($I413),N($I413)&gt;Setup!$B$6),"STATUS_YR after reporting year; ","")&amp;IF(OR($G413="",$G413="Not Reported"),"GOV_TYPE not reported; ","")&amp;IF(AND(N($J413)=1,$K413="Point",N($M413)&lt;=0),"Coastal point without REP_M_AREA – land/sea split unknown; ","")&amp;IF(AND(N($J413)=0,N($S413)&gt;0),"MARINE=0 but net marine &gt;0; ","")&amp;IF(AND(N($J413)=2,N($R413)&gt;0),"MARINE=2 but net terrestrial &gt;0; ","")&amp;IF($K413="Point","Buffered point – coverage approximate; ","")))</f>
        <v/>
      </c>
    </row>
    <row r="414">
      <c r="A414" s="19" t="n"/>
      <c r="B414" s="19" t="n"/>
      <c r="C414" s="19" t="n"/>
      <c r="D414" s="19" t="n"/>
      <c r="E414" s="19" t="n"/>
      <c r="F414" s="19" t="n"/>
      <c r="G414" s="19" t="n"/>
      <c r="H414" s="19" t="n"/>
      <c r="I414" s="19" t="n"/>
      <c r="J414" s="19" t="n"/>
      <c r="K414" s="19" t="n"/>
      <c r="L414" s="20" t="n"/>
      <c r="M414" s="20" t="n"/>
      <c r="N414" s="20" t="n"/>
      <c r="O414" s="20" t="n"/>
      <c r="P414" s="19" t="n"/>
      <c r="Q414" s="19" t="n"/>
      <c r="R414" s="20" t="n"/>
      <c r="S414" s="20" t="n"/>
      <c r="T414" s="19" t="n"/>
      <c r="U414" s="19" t="n"/>
      <c r="V414" s="19" t="n"/>
      <c r="W414" s="19" t="n"/>
      <c r="X414" s="19" t="n"/>
      <c r="Y414" s="19" t="n"/>
      <c r="Z414" s="21">
        <f>IF(AND($A414="",$B414=""),"",IF(OR($E414="",$H414="",$H414="Proposed",$H414="Not Reported"),0,IF(AND($P414="Y",$Q414&lt;&gt;"Y"),0,IF(AND($K414="Point",N($L414)&lt;=0),0,IF(AND(N($L414)&lt;=0,N($N414)&lt;=0,N($R414)+N($S414)&lt;=0),0,1)))))</f>
        <v/>
      </c>
      <c r="AA414" s="21">
        <f>IF(AND($A414="",$B414=""),"",IF($E414="","Site type missing",IF($H414="","STATUS missing",IF($H414="Proposed","STATUS = Proposed",IF($H414="Not Reported","STATUS = Not Reported",IF(AND($P414="Y",$Q414&lt;&gt;"Y"),"UNESCO-MAB Biosphere Reserve",IF(AND($K414="Point",N($L414)&lt;=0),"Point without REP_AREA",IF(AND(N($L414)&lt;=0,N($N414)&lt;=0,N($R414)+N($S414)&lt;=0),"No area information",""))))))))</f>
        <v/>
      </c>
      <c r="AB414" s="22">
        <f>IF(AND($A414="",$B414=""),"",IF($K414="Point",N($L414),IF(N($N414)&gt;0,N($N414),N($L414))))</f>
        <v/>
      </c>
      <c r="AC414" s="22">
        <f>IF(AND($A414="",$B414=""),"",MIN(AB414,IF(N($J414)=0,0,IF(N($J414)=2,AB414,IF(AND($K414&lt;&gt;"Point",N($O414)&gt;0),N($O414),N($M414))))))</f>
        <v/>
      </c>
      <c r="AD414" s="22">
        <f>IF(AND($A414="",$B414=""),"",MAX(0,AB414-AC414))</f>
        <v/>
      </c>
      <c r="AE414" s="21">
        <f>IF(AND($A414="",$B414=""),"",IF(OR($R414&lt;&gt;"",$S414&lt;&gt;""),1,0))</f>
        <v/>
      </c>
      <c r="AF414" s="22">
        <f>IF(AND($A414="",$B414=""),"",IF(Z414=1,IF(AE414=1,N($R414),AD414),0))</f>
        <v/>
      </c>
      <c r="AG414" s="22">
        <f>IF(AND($A414="",$B414=""),"",IF(Z414=1,IF(AE414=1,N($S414),AC414),0))</f>
        <v/>
      </c>
      <c r="AH414" s="21">
        <f>IF(AND($A414="",$B414=""),"",IF(AND(ISNUMBER($I414),N($I414)&gt;0),$I414,0))</f>
        <v/>
      </c>
      <c r="AI414" s="23">
        <f>IF(AND(NOT(AND($A414="",$B414="")),$K414="Point",N($L414)&gt;0),SQRT(N($L414)/PI()),"")</f>
        <v/>
      </c>
      <c r="AJ414" s="21">
        <f>IF(AND($A414="",$B414=""),"",IFERROR(VLOOKUP($G414,Lists!$D$4:$E$15,2,FALSE),"Not reported"))</f>
        <v/>
      </c>
      <c r="AK414" s="21">
        <f>IF(AND($A414="",$B414=""),"",IF($X414&lt;&gt;"",$X414,IF($T414&lt;&gt;"Y","Not assessed",IF(AND(ISNUMBER($V414),Setup!$B$6-$V414&gt;Setup!$B$26),"Assessment outdated",IF(NOT(ISNUMBER($W414)),"Assessed – no score",IF($W414&gt;=Setup!$B$24,"High",IF($W414&gt;=Setup!$B$25,"Moderate","Low")))))))</f>
        <v/>
      </c>
      <c r="AL414" s="21">
        <f>IF(AND($A414="",$B414=""),"",IF(Z414=0,"",IF(AND(AE414=1,N($R414)&gt;AD414*1.01+0.001),"Net terrestrial &gt; gross; ","")&amp;IF(AND(AE414=1,N($S414)&gt;AC414*1.01+0.001),"Net marine &gt; gross; ","")&amp;IF(AE414=0,"No net area – gross used, overlaps may be double-counted; ","")&amp;IF(AH414=0,"STATUS_YR missing – imputed in time series; ","")&amp;IF(AND(ISNUMBER($I414),N($I414)&gt;Setup!$B$6),"STATUS_YR after reporting year; ","")&amp;IF(OR($G414="",$G414="Not Reported"),"GOV_TYPE not reported; ","")&amp;IF(AND(N($J414)=1,$K414="Point",N($M414)&lt;=0),"Coastal point without REP_M_AREA – land/sea split unknown; ","")&amp;IF(AND(N($J414)=0,N($S414)&gt;0),"MARINE=0 but net marine &gt;0; ","")&amp;IF(AND(N($J414)=2,N($R414)&gt;0),"MARINE=2 but net terrestrial &gt;0; ","")&amp;IF($K414="Point","Buffered point – coverage approximate; ","")))</f>
        <v/>
      </c>
    </row>
    <row r="415">
      <c r="A415" s="19" t="n"/>
      <c r="B415" s="19" t="n"/>
      <c r="C415" s="19" t="n"/>
      <c r="D415" s="19" t="n"/>
      <c r="E415" s="19" t="n"/>
      <c r="F415" s="19" t="n"/>
      <c r="G415" s="19" t="n"/>
      <c r="H415" s="19" t="n"/>
      <c r="I415" s="19" t="n"/>
      <c r="J415" s="19" t="n"/>
      <c r="K415" s="19" t="n"/>
      <c r="L415" s="20" t="n"/>
      <c r="M415" s="20" t="n"/>
      <c r="N415" s="20" t="n"/>
      <c r="O415" s="20" t="n"/>
      <c r="P415" s="19" t="n"/>
      <c r="Q415" s="19" t="n"/>
      <c r="R415" s="20" t="n"/>
      <c r="S415" s="20" t="n"/>
      <c r="T415" s="19" t="n"/>
      <c r="U415" s="19" t="n"/>
      <c r="V415" s="19" t="n"/>
      <c r="W415" s="19" t="n"/>
      <c r="X415" s="19" t="n"/>
      <c r="Y415" s="19" t="n"/>
      <c r="Z415" s="21">
        <f>IF(AND($A415="",$B415=""),"",IF(OR($E415="",$H415="",$H415="Proposed",$H415="Not Reported"),0,IF(AND($P415="Y",$Q415&lt;&gt;"Y"),0,IF(AND($K415="Point",N($L415)&lt;=0),0,IF(AND(N($L415)&lt;=0,N($N415)&lt;=0,N($R415)+N($S415)&lt;=0),0,1)))))</f>
        <v/>
      </c>
      <c r="AA415" s="21">
        <f>IF(AND($A415="",$B415=""),"",IF($E415="","Site type missing",IF($H415="","STATUS missing",IF($H415="Proposed","STATUS = Proposed",IF($H415="Not Reported","STATUS = Not Reported",IF(AND($P415="Y",$Q415&lt;&gt;"Y"),"UNESCO-MAB Biosphere Reserve",IF(AND($K415="Point",N($L415)&lt;=0),"Point without REP_AREA",IF(AND(N($L415)&lt;=0,N($N415)&lt;=0,N($R415)+N($S415)&lt;=0),"No area information",""))))))))</f>
        <v/>
      </c>
      <c r="AB415" s="22">
        <f>IF(AND($A415="",$B415=""),"",IF($K415="Point",N($L415),IF(N($N415)&gt;0,N($N415),N($L415))))</f>
        <v/>
      </c>
      <c r="AC415" s="22">
        <f>IF(AND($A415="",$B415=""),"",MIN(AB415,IF(N($J415)=0,0,IF(N($J415)=2,AB415,IF(AND($K415&lt;&gt;"Point",N($O415)&gt;0),N($O415),N($M415))))))</f>
        <v/>
      </c>
      <c r="AD415" s="22">
        <f>IF(AND($A415="",$B415=""),"",MAX(0,AB415-AC415))</f>
        <v/>
      </c>
      <c r="AE415" s="21">
        <f>IF(AND($A415="",$B415=""),"",IF(OR($R415&lt;&gt;"",$S415&lt;&gt;""),1,0))</f>
        <v/>
      </c>
      <c r="AF415" s="22">
        <f>IF(AND($A415="",$B415=""),"",IF(Z415=1,IF(AE415=1,N($R415),AD415),0))</f>
        <v/>
      </c>
      <c r="AG415" s="22">
        <f>IF(AND($A415="",$B415=""),"",IF(Z415=1,IF(AE415=1,N($S415),AC415),0))</f>
        <v/>
      </c>
      <c r="AH415" s="21">
        <f>IF(AND($A415="",$B415=""),"",IF(AND(ISNUMBER($I415),N($I415)&gt;0),$I415,0))</f>
        <v/>
      </c>
      <c r="AI415" s="23">
        <f>IF(AND(NOT(AND($A415="",$B415="")),$K415="Point",N($L415)&gt;0),SQRT(N($L415)/PI()),"")</f>
        <v/>
      </c>
      <c r="AJ415" s="21">
        <f>IF(AND($A415="",$B415=""),"",IFERROR(VLOOKUP($G415,Lists!$D$4:$E$15,2,FALSE),"Not reported"))</f>
        <v/>
      </c>
      <c r="AK415" s="21">
        <f>IF(AND($A415="",$B415=""),"",IF($X415&lt;&gt;"",$X415,IF($T415&lt;&gt;"Y","Not assessed",IF(AND(ISNUMBER($V415),Setup!$B$6-$V415&gt;Setup!$B$26),"Assessment outdated",IF(NOT(ISNUMBER($W415)),"Assessed – no score",IF($W415&gt;=Setup!$B$24,"High",IF($W415&gt;=Setup!$B$25,"Moderate","Low")))))))</f>
        <v/>
      </c>
      <c r="AL415" s="21">
        <f>IF(AND($A415="",$B415=""),"",IF(Z415=0,"",IF(AND(AE415=1,N($R415)&gt;AD415*1.01+0.001),"Net terrestrial &gt; gross; ","")&amp;IF(AND(AE415=1,N($S415)&gt;AC415*1.01+0.001),"Net marine &gt; gross; ","")&amp;IF(AE415=0,"No net area – gross used, overlaps may be double-counted; ","")&amp;IF(AH415=0,"STATUS_YR missing – imputed in time series; ","")&amp;IF(AND(ISNUMBER($I415),N($I415)&gt;Setup!$B$6),"STATUS_YR after reporting year; ","")&amp;IF(OR($G415="",$G415="Not Reported"),"GOV_TYPE not reported; ","")&amp;IF(AND(N($J415)=1,$K415="Point",N($M415)&lt;=0),"Coastal point without REP_M_AREA – land/sea split unknown; ","")&amp;IF(AND(N($J415)=0,N($S415)&gt;0),"MARINE=0 but net marine &gt;0; ","")&amp;IF(AND(N($J415)=2,N($R415)&gt;0),"MARINE=2 but net terrestrial &gt;0; ","")&amp;IF($K415="Point","Buffered point – coverage approximate; ","")))</f>
        <v/>
      </c>
    </row>
    <row r="416">
      <c r="A416" s="19" t="n"/>
      <c r="B416" s="19" t="n"/>
      <c r="C416" s="19" t="n"/>
      <c r="D416" s="19" t="n"/>
      <c r="E416" s="19" t="n"/>
      <c r="F416" s="19" t="n"/>
      <c r="G416" s="19" t="n"/>
      <c r="H416" s="19" t="n"/>
      <c r="I416" s="19" t="n"/>
      <c r="J416" s="19" t="n"/>
      <c r="K416" s="19" t="n"/>
      <c r="L416" s="20" t="n"/>
      <c r="M416" s="20" t="n"/>
      <c r="N416" s="20" t="n"/>
      <c r="O416" s="20" t="n"/>
      <c r="P416" s="19" t="n"/>
      <c r="Q416" s="19" t="n"/>
      <c r="R416" s="20" t="n"/>
      <c r="S416" s="20" t="n"/>
      <c r="T416" s="19" t="n"/>
      <c r="U416" s="19" t="n"/>
      <c r="V416" s="19" t="n"/>
      <c r="W416" s="19" t="n"/>
      <c r="X416" s="19" t="n"/>
      <c r="Y416" s="19" t="n"/>
      <c r="Z416" s="21">
        <f>IF(AND($A416="",$B416=""),"",IF(OR($E416="",$H416="",$H416="Proposed",$H416="Not Reported"),0,IF(AND($P416="Y",$Q416&lt;&gt;"Y"),0,IF(AND($K416="Point",N($L416)&lt;=0),0,IF(AND(N($L416)&lt;=0,N($N416)&lt;=0,N($R416)+N($S416)&lt;=0),0,1)))))</f>
        <v/>
      </c>
      <c r="AA416" s="21">
        <f>IF(AND($A416="",$B416=""),"",IF($E416="","Site type missing",IF($H416="","STATUS missing",IF($H416="Proposed","STATUS = Proposed",IF($H416="Not Reported","STATUS = Not Reported",IF(AND($P416="Y",$Q416&lt;&gt;"Y"),"UNESCO-MAB Biosphere Reserve",IF(AND($K416="Point",N($L416)&lt;=0),"Point without REP_AREA",IF(AND(N($L416)&lt;=0,N($N416)&lt;=0,N($R416)+N($S416)&lt;=0),"No area information",""))))))))</f>
        <v/>
      </c>
      <c r="AB416" s="22">
        <f>IF(AND($A416="",$B416=""),"",IF($K416="Point",N($L416),IF(N($N416)&gt;0,N($N416),N($L416))))</f>
        <v/>
      </c>
      <c r="AC416" s="22">
        <f>IF(AND($A416="",$B416=""),"",MIN(AB416,IF(N($J416)=0,0,IF(N($J416)=2,AB416,IF(AND($K416&lt;&gt;"Point",N($O416)&gt;0),N($O416),N($M416))))))</f>
        <v/>
      </c>
      <c r="AD416" s="22">
        <f>IF(AND($A416="",$B416=""),"",MAX(0,AB416-AC416))</f>
        <v/>
      </c>
      <c r="AE416" s="21">
        <f>IF(AND($A416="",$B416=""),"",IF(OR($R416&lt;&gt;"",$S416&lt;&gt;""),1,0))</f>
        <v/>
      </c>
      <c r="AF416" s="22">
        <f>IF(AND($A416="",$B416=""),"",IF(Z416=1,IF(AE416=1,N($R416),AD416),0))</f>
        <v/>
      </c>
      <c r="AG416" s="22">
        <f>IF(AND($A416="",$B416=""),"",IF(Z416=1,IF(AE416=1,N($S416),AC416),0))</f>
        <v/>
      </c>
      <c r="AH416" s="21">
        <f>IF(AND($A416="",$B416=""),"",IF(AND(ISNUMBER($I416),N($I416)&gt;0),$I416,0))</f>
        <v/>
      </c>
      <c r="AI416" s="23">
        <f>IF(AND(NOT(AND($A416="",$B416="")),$K416="Point",N($L416)&gt;0),SQRT(N($L416)/PI()),"")</f>
        <v/>
      </c>
      <c r="AJ416" s="21">
        <f>IF(AND($A416="",$B416=""),"",IFERROR(VLOOKUP($G416,Lists!$D$4:$E$15,2,FALSE),"Not reported"))</f>
        <v/>
      </c>
      <c r="AK416" s="21">
        <f>IF(AND($A416="",$B416=""),"",IF($X416&lt;&gt;"",$X416,IF($T416&lt;&gt;"Y","Not assessed",IF(AND(ISNUMBER($V416),Setup!$B$6-$V416&gt;Setup!$B$26),"Assessment outdated",IF(NOT(ISNUMBER($W416)),"Assessed – no score",IF($W416&gt;=Setup!$B$24,"High",IF($W416&gt;=Setup!$B$25,"Moderate","Low")))))))</f>
        <v/>
      </c>
      <c r="AL416" s="21">
        <f>IF(AND($A416="",$B416=""),"",IF(Z416=0,"",IF(AND(AE416=1,N($R416)&gt;AD416*1.01+0.001),"Net terrestrial &gt; gross; ","")&amp;IF(AND(AE416=1,N($S416)&gt;AC416*1.01+0.001),"Net marine &gt; gross; ","")&amp;IF(AE416=0,"No net area – gross used, overlaps may be double-counted; ","")&amp;IF(AH416=0,"STATUS_YR missing – imputed in time series; ","")&amp;IF(AND(ISNUMBER($I416),N($I416)&gt;Setup!$B$6),"STATUS_YR after reporting year; ","")&amp;IF(OR($G416="",$G416="Not Reported"),"GOV_TYPE not reported; ","")&amp;IF(AND(N($J416)=1,$K416="Point",N($M416)&lt;=0),"Coastal point without REP_M_AREA – land/sea split unknown; ","")&amp;IF(AND(N($J416)=0,N($S416)&gt;0),"MARINE=0 but net marine &gt;0; ","")&amp;IF(AND(N($J416)=2,N($R416)&gt;0),"MARINE=2 but net terrestrial &gt;0; ","")&amp;IF($K416="Point","Buffered point – coverage approximate; ","")))</f>
        <v/>
      </c>
    </row>
    <row r="417">
      <c r="A417" s="19" t="n"/>
      <c r="B417" s="19" t="n"/>
      <c r="C417" s="19" t="n"/>
      <c r="D417" s="19" t="n"/>
      <c r="E417" s="19" t="n"/>
      <c r="F417" s="19" t="n"/>
      <c r="G417" s="19" t="n"/>
      <c r="H417" s="19" t="n"/>
      <c r="I417" s="19" t="n"/>
      <c r="J417" s="19" t="n"/>
      <c r="K417" s="19" t="n"/>
      <c r="L417" s="20" t="n"/>
      <c r="M417" s="20" t="n"/>
      <c r="N417" s="20" t="n"/>
      <c r="O417" s="20" t="n"/>
      <c r="P417" s="19" t="n"/>
      <c r="Q417" s="19" t="n"/>
      <c r="R417" s="20" t="n"/>
      <c r="S417" s="20" t="n"/>
      <c r="T417" s="19" t="n"/>
      <c r="U417" s="19" t="n"/>
      <c r="V417" s="19" t="n"/>
      <c r="W417" s="19" t="n"/>
      <c r="X417" s="19" t="n"/>
      <c r="Y417" s="19" t="n"/>
      <c r="Z417" s="21">
        <f>IF(AND($A417="",$B417=""),"",IF(OR($E417="",$H417="",$H417="Proposed",$H417="Not Reported"),0,IF(AND($P417="Y",$Q417&lt;&gt;"Y"),0,IF(AND($K417="Point",N($L417)&lt;=0),0,IF(AND(N($L417)&lt;=0,N($N417)&lt;=0,N($R417)+N($S417)&lt;=0),0,1)))))</f>
        <v/>
      </c>
      <c r="AA417" s="21">
        <f>IF(AND($A417="",$B417=""),"",IF($E417="","Site type missing",IF($H417="","STATUS missing",IF($H417="Proposed","STATUS = Proposed",IF($H417="Not Reported","STATUS = Not Reported",IF(AND($P417="Y",$Q417&lt;&gt;"Y"),"UNESCO-MAB Biosphere Reserve",IF(AND($K417="Point",N($L417)&lt;=0),"Point without REP_AREA",IF(AND(N($L417)&lt;=0,N($N417)&lt;=0,N($R417)+N($S417)&lt;=0),"No area information",""))))))))</f>
        <v/>
      </c>
      <c r="AB417" s="22">
        <f>IF(AND($A417="",$B417=""),"",IF($K417="Point",N($L417),IF(N($N417)&gt;0,N($N417),N($L417))))</f>
        <v/>
      </c>
      <c r="AC417" s="22">
        <f>IF(AND($A417="",$B417=""),"",MIN(AB417,IF(N($J417)=0,0,IF(N($J417)=2,AB417,IF(AND($K417&lt;&gt;"Point",N($O417)&gt;0),N($O417),N($M417))))))</f>
        <v/>
      </c>
      <c r="AD417" s="22">
        <f>IF(AND($A417="",$B417=""),"",MAX(0,AB417-AC417))</f>
        <v/>
      </c>
      <c r="AE417" s="21">
        <f>IF(AND($A417="",$B417=""),"",IF(OR($R417&lt;&gt;"",$S417&lt;&gt;""),1,0))</f>
        <v/>
      </c>
      <c r="AF417" s="22">
        <f>IF(AND($A417="",$B417=""),"",IF(Z417=1,IF(AE417=1,N($R417),AD417),0))</f>
        <v/>
      </c>
      <c r="AG417" s="22">
        <f>IF(AND($A417="",$B417=""),"",IF(Z417=1,IF(AE417=1,N($S417),AC417),0))</f>
        <v/>
      </c>
      <c r="AH417" s="21">
        <f>IF(AND($A417="",$B417=""),"",IF(AND(ISNUMBER($I417),N($I417)&gt;0),$I417,0))</f>
        <v/>
      </c>
      <c r="AI417" s="23">
        <f>IF(AND(NOT(AND($A417="",$B417="")),$K417="Point",N($L417)&gt;0),SQRT(N($L417)/PI()),"")</f>
        <v/>
      </c>
      <c r="AJ417" s="21">
        <f>IF(AND($A417="",$B417=""),"",IFERROR(VLOOKUP($G417,Lists!$D$4:$E$15,2,FALSE),"Not reported"))</f>
        <v/>
      </c>
      <c r="AK417" s="21">
        <f>IF(AND($A417="",$B417=""),"",IF($X417&lt;&gt;"",$X417,IF($T417&lt;&gt;"Y","Not assessed",IF(AND(ISNUMBER($V417),Setup!$B$6-$V417&gt;Setup!$B$26),"Assessment outdated",IF(NOT(ISNUMBER($W417)),"Assessed – no score",IF($W417&gt;=Setup!$B$24,"High",IF($W417&gt;=Setup!$B$25,"Moderate","Low")))))))</f>
        <v/>
      </c>
      <c r="AL417" s="21">
        <f>IF(AND($A417="",$B417=""),"",IF(Z417=0,"",IF(AND(AE417=1,N($R417)&gt;AD417*1.01+0.001),"Net terrestrial &gt; gross; ","")&amp;IF(AND(AE417=1,N($S417)&gt;AC417*1.01+0.001),"Net marine &gt; gross; ","")&amp;IF(AE417=0,"No net area – gross used, overlaps may be double-counted; ","")&amp;IF(AH417=0,"STATUS_YR missing – imputed in time series; ","")&amp;IF(AND(ISNUMBER($I417),N($I417)&gt;Setup!$B$6),"STATUS_YR after reporting year; ","")&amp;IF(OR($G417="",$G417="Not Reported"),"GOV_TYPE not reported; ","")&amp;IF(AND(N($J417)=1,$K417="Point",N($M417)&lt;=0),"Coastal point without REP_M_AREA – land/sea split unknown; ","")&amp;IF(AND(N($J417)=0,N($S417)&gt;0),"MARINE=0 but net marine &gt;0; ","")&amp;IF(AND(N($J417)=2,N($R417)&gt;0),"MARINE=2 but net terrestrial &gt;0; ","")&amp;IF($K417="Point","Buffered point – coverage approximate; ","")))</f>
        <v/>
      </c>
    </row>
    <row r="418">
      <c r="A418" s="19" t="n"/>
      <c r="B418" s="19" t="n"/>
      <c r="C418" s="19" t="n"/>
      <c r="D418" s="19" t="n"/>
      <c r="E418" s="19" t="n"/>
      <c r="F418" s="19" t="n"/>
      <c r="G418" s="19" t="n"/>
      <c r="H418" s="19" t="n"/>
      <c r="I418" s="19" t="n"/>
      <c r="J418" s="19" t="n"/>
      <c r="K418" s="19" t="n"/>
      <c r="L418" s="20" t="n"/>
      <c r="M418" s="20" t="n"/>
      <c r="N418" s="20" t="n"/>
      <c r="O418" s="20" t="n"/>
      <c r="P418" s="19" t="n"/>
      <c r="Q418" s="19" t="n"/>
      <c r="R418" s="20" t="n"/>
      <c r="S418" s="20" t="n"/>
      <c r="T418" s="19" t="n"/>
      <c r="U418" s="19" t="n"/>
      <c r="V418" s="19" t="n"/>
      <c r="W418" s="19" t="n"/>
      <c r="X418" s="19" t="n"/>
      <c r="Y418" s="19" t="n"/>
      <c r="Z418" s="21">
        <f>IF(AND($A418="",$B418=""),"",IF(OR($E418="",$H418="",$H418="Proposed",$H418="Not Reported"),0,IF(AND($P418="Y",$Q418&lt;&gt;"Y"),0,IF(AND($K418="Point",N($L418)&lt;=0),0,IF(AND(N($L418)&lt;=0,N($N418)&lt;=0,N($R418)+N($S418)&lt;=0),0,1)))))</f>
        <v/>
      </c>
      <c r="AA418" s="21">
        <f>IF(AND($A418="",$B418=""),"",IF($E418="","Site type missing",IF($H418="","STATUS missing",IF($H418="Proposed","STATUS = Proposed",IF($H418="Not Reported","STATUS = Not Reported",IF(AND($P418="Y",$Q418&lt;&gt;"Y"),"UNESCO-MAB Biosphere Reserve",IF(AND($K418="Point",N($L418)&lt;=0),"Point without REP_AREA",IF(AND(N($L418)&lt;=0,N($N418)&lt;=0,N($R418)+N($S418)&lt;=0),"No area information",""))))))))</f>
        <v/>
      </c>
      <c r="AB418" s="22">
        <f>IF(AND($A418="",$B418=""),"",IF($K418="Point",N($L418),IF(N($N418)&gt;0,N($N418),N($L418))))</f>
        <v/>
      </c>
      <c r="AC418" s="22">
        <f>IF(AND($A418="",$B418=""),"",MIN(AB418,IF(N($J418)=0,0,IF(N($J418)=2,AB418,IF(AND($K418&lt;&gt;"Point",N($O418)&gt;0),N($O418),N($M418))))))</f>
        <v/>
      </c>
      <c r="AD418" s="22">
        <f>IF(AND($A418="",$B418=""),"",MAX(0,AB418-AC418))</f>
        <v/>
      </c>
      <c r="AE418" s="21">
        <f>IF(AND($A418="",$B418=""),"",IF(OR($R418&lt;&gt;"",$S418&lt;&gt;""),1,0))</f>
        <v/>
      </c>
      <c r="AF418" s="22">
        <f>IF(AND($A418="",$B418=""),"",IF(Z418=1,IF(AE418=1,N($R418),AD418),0))</f>
        <v/>
      </c>
      <c r="AG418" s="22">
        <f>IF(AND($A418="",$B418=""),"",IF(Z418=1,IF(AE418=1,N($S418),AC418),0))</f>
        <v/>
      </c>
      <c r="AH418" s="21">
        <f>IF(AND($A418="",$B418=""),"",IF(AND(ISNUMBER($I418),N($I418)&gt;0),$I418,0))</f>
        <v/>
      </c>
      <c r="AI418" s="23">
        <f>IF(AND(NOT(AND($A418="",$B418="")),$K418="Point",N($L418)&gt;0),SQRT(N($L418)/PI()),"")</f>
        <v/>
      </c>
      <c r="AJ418" s="21">
        <f>IF(AND($A418="",$B418=""),"",IFERROR(VLOOKUP($G418,Lists!$D$4:$E$15,2,FALSE),"Not reported"))</f>
        <v/>
      </c>
      <c r="AK418" s="21">
        <f>IF(AND($A418="",$B418=""),"",IF($X418&lt;&gt;"",$X418,IF($T418&lt;&gt;"Y","Not assessed",IF(AND(ISNUMBER($V418),Setup!$B$6-$V418&gt;Setup!$B$26),"Assessment outdated",IF(NOT(ISNUMBER($W418)),"Assessed – no score",IF($W418&gt;=Setup!$B$24,"High",IF($W418&gt;=Setup!$B$25,"Moderate","Low")))))))</f>
        <v/>
      </c>
      <c r="AL418" s="21">
        <f>IF(AND($A418="",$B418=""),"",IF(Z418=0,"",IF(AND(AE418=1,N($R418)&gt;AD418*1.01+0.001),"Net terrestrial &gt; gross; ","")&amp;IF(AND(AE418=1,N($S418)&gt;AC418*1.01+0.001),"Net marine &gt; gross; ","")&amp;IF(AE418=0,"No net area – gross used, overlaps may be double-counted; ","")&amp;IF(AH418=0,"STATUS_YR missing – imputed in time series; ","")&amp;IF(AND(ISNUMBER($I418),N($I418)&gt;Setup!$B$6),"STATUS_YR after reporting year; ","")&amp;IF(OR($G418="",$G418="Not Reported"),"GOV_TYPE not reported; ","")&amp;IF(AND(N($J418)=1,$K418="Point",N($M418)&lt;=0),"Coastal point without REP_M_AREA – land/sea split unknown; ","")&amp;IF(AND(N($J418)=0,N($S418)&gt;0),"MARINE=0 but net marine &gt;0; ","")&amp;IF(AND(N($J418)=2,N($R418)&gt;0),"MARINE=2 but net terrestrial &gt;0; ","")&amp;IF($K418="Point","Buffered point – coverage approximate; ","")))</f>
        <v/>
      </c>
    </row>
    <row r="419">
      <c r="A419" s="19" t="n"/>
      <c r="B419" s="19" t="n"/>
      <c r="C419" s="19" t="n"/>
      <c r="D419" s="19" t="n"/>
      <c r="E419" s="19" t="n"/>
      <c r="F419" s="19" t="n"/>
      <c r="G419" s="19" t="n"/>
      <c r="H419" s="19" t="n"/>
      <c r="I419" s="19" t="n"/>
      <c r="J419" s="19" t="n"/>
      <c r="K419" s="19" t="n"/>
      <c r="L419" s="20" t="n"/>
      <c r="M419" s="20" t="n"/>
      <c r="N419" s="20" t="n"/>
      <c r="O419" s="20" t="n"/>
      <c r="P419" s="19" t="n"/>
      <c r="Q419" s="19" t="n"/>
      <c r="R419" s="20" t="n"/>
      <c r="S419" s="20" t="n"/>
      <c r="T419" s="19" t="n"/>
      <c r="U419" s="19" t="n"/>
      <c r="V419" s="19" t="n"/>
      <c r="W419" s="19" t="n"/>
      <c r="X419" s="19" t="n"/>
      <c r="Y419" s="19" t="n"/>
      <c r="Z419" s="21">
        <f>IF(AND($A419="",$B419=""),"",IF(OR($E419="",$H419="",$H419="Proposed",$H419="Not Reported"),0,IF(AND($P419="Y",$Q419&lt;&gt;"Y"),0,IF(AND($K419="Point",N($L419)&lt;=0),0,IF(AND(N($L419)&lt;=0,N($N419)&lt;=0,N($R419)+N($S419)&lt;=0),0,1)))))</f>
        <v/>
      </c>
      <c r="AA419" s="21">
        <f>IF(AND($A419="",$B419=""),"",IF($E419="","Site type missing",IF($H419="","STATUS missing",IF($H419="Proposed","STATUS = Proposed",IF($H419="Not Reported","STATUS = Not Reported",IF(AND($P419="Y",$Q419&lt;&gt;"Y"),"UNESCO-MAB Biosphere Reserve",IF(AND($K419="Point",N($L419)&lt;=0),"Point without REP_AREA",IF(AND(N($L419)&lt;=0,N($N419)&lt;=0,N($R419)+N($S419)&lt;=0),"No area information",""))))))))</f>
        <v/>
      </c>
      <c r="AB419" s="22">
        <f>IF(AND($A419="",$B419=""),"",IF($K419="Point",N($L419),IF(N($N419)&gt;0,N($N419),N($L419))))</f>
        <v/>
      </c>
      <c r="AC419" s="22">
        <f>IF(AND($A419="",$B419=""),"",MIN(AB419,IF(N($J419)=0,0,IF(N($J419)=2,AB419,IF(AND($K419&lt;&gt;"Point",N($O419)&gt;0),N($O419),N($M419))))))</f>
        <v/>
      </c>
      <c r="AD419" s="22">
        <f>IF(AND($A419="",$B419=""),"",MAX(0,AB419-AC419))</f>
        <v/>
      </c>
      <c r="AE419" s="21">
        <f>IF(AND($A419="",$B419=""),"",IF(OR($R419&lt;&gt;"",$S419&lt;&gt;""),1,0))</f>
        <v/>
      </c>
      <c r="AF419" s="22">
        <f>IF(AND($A419="",$B419=""),"",IF(Z419=1,IF(AE419=1,N($R419),AD419),0))</f>
        <v/>
      </c>
      <c r="AG419" s="22">
        <f>IF(AND($A419="",$B419=""),"",IF(Z419=1,IF(AE419=1,N($S419),AC419),0))</f>
        <v/>
      </c>
      <c r="AH419" s="21">
        <f>IF(AND($A419="",$B419=""),"",IF(AND(ISNUMBER($I419),N($I419)&gt;0),$I419,0))</f>
        <v/>
      </c>
      <c r="AI419" s="23">
        <f>IF(AND(NOT(AND($A419="",$B419="")),$K419="Point",N($L419)&gt;0),SQRT(N($L419)/PI()),"")</f>
        <v/>
      </c>
      <c r="AJ419" s="21">
        <f>IF(AND($A419="",$B419=""),"",IFERROR(VLOOKUP($G419,Lists!$D$4:$E$15,2,FALSE),"Not reported"))</f>
        <v/>
      </c>
      <c r="AK419" s="21">
        <f>IF(AND($A419="",$B419=""),"",IF($X419&lt;&gt;"",$X419,IF($T419&lt;&gt;"Y","Not assessed",IF(AND(ISNUMBER($V419),Setup!$B$6-$V419&gt;Setup!$B$26),"Assessment outdated",IF(NOT(ISNUMBER($W419)),"Assessed – no score",IF($W419&gt;=Setup!$B$24,"High",IF($W419&gt;=Setup!$B$25,"Moderate","Low")))))))</f>
        <v/>
      </c>
      <c r="AL419" s="21">
        <f>IF(AND($A419="",$B419=""),"",IF(Z419=0,"",IF(AND(AE419=1,N($R419)&gt;AD419*1.01+0.001),"Net terrestrial &gt; gross; ","")&amp;IF(AND(AE419=1,N($S419)&gt;AC419*1.01+0.001),"Net marine &gt; gross; ","")&amp;IF(AE419=0,"No net area – gross used, overlaps may be double-counted; ","")&amp;IF(AH419=0,"STATUS_YR missing – imputed in time series; ","")&amp;IF(AND(ISNUMBER($I419),N($I419)&gt;Setup!$B$6),"STATUS_YR after reporting year; ","")&amp;IF(OR($G419="",$G419="Not Reported"),"GOV_TYPE not reported; ","")&amp;IF(AND(N($J419)=1,$K419="Point",N($M419)&lt;=0),"Coastal point without REP_M_AREA – land/sea split unknown; ","")&amp;IF(AND(N($J419)=0,N($S419)&gt;0),"MARINE=0 but net marine &gt;0; ","")&amp;IF(AND(N($J419)=2,N($R419)&gt;0),"MARINE=2 but net terrestrial &gt;0; ","")&amp;IF($K419="Point","Buffered point – coverage approximate; ","")))</f>
        <v/>
      </c>
    </row>
    <row r="420">
      <c r="A420" s="19" t="n"/>
      <c r="B420" s="19" t="n"/>
      <c r="C420" s="19" t="n"/>
      <c r="D420" s="19" t="n"/>
      <c r="E420" s="19" t="n"/>
      <c r="F420" s="19" t="n"/>
      <c r="G420" s="19" t="n"/>
      <c r="H420" s="19" t="n"/>
      <c r="I420" s="19" t="n"/>
      <c r="J420" s="19" t="n"/>
      <c r="K420" s="19" t="n"/>
      <c r="L420" s="20" t="n"/>
      <c r="M420" s="20" t="n"/>
      <c r="N420" s="20" t="n"/>
      <c r="O420" s="20" t="n"/>
      <c r="P420" s="19" t="n"/>
      <c r="Q420" s="19" t="n"/>
      <c r="R420" s="20" t="n"/>
      <c r="S420" s="20" t="n"/>
      <c r="T420" s="19" t="n"/>
      <c r="U420" s="19" t="n"/>
      <c r="V420" s="19" t="n"/>
      <c r="W420" s="19" t="n"/>
      <c r="X420" s="19" t="n"/>
      <c r="Y420" s="19" t="n"/>
      <c r="Z420" s="21">
        <f>IF(AND($A420="",$B420=""),"",IF(OR($E420="",$H420="",$H420="Proposed",$H420="Not Reported"),0,IF(AND($P420="Y",$Q420&lt;&gt;"Y"),0,IF(AND($K420="Point",N($L420)&lt;=0),0,IF(AND(N($L420)&lt;=0,N($N420)&lt;=0,N($R420)+N($S420)&lt;=0),0,1)))))</f>
        <v/>
      </c>
      <c r="AA420" s="21">
        <f>IF(AND($A420="",$B420=""),"",IF($E420="","Site type missing",IF($H420="","STATUS missing",IF($H420="Proposed","STATUS = Proposed",IF($H420="Not Reported","STATUS = Not Reported",IF(AND($P420="Y",$Q420&lt;&gt;"Y"),"UNESCO-MAB Biosphere Reserve",IF(AND($K420="Point",N($L420)&lt;=0),"Point without REP_AREA",IF(AND(N($L420)&lt;=0,N($N420)&lt;=0,N($R420)+N($S420)&lt;=0),"No area information",""))))))))</f>
        <v/>
      </c>
      <c r="AB420" s="22">
        <f>IF(AND($A420="",$B420=""),"",IF($K420="Point",N($L420),IF(N($N420)&gt;0,N($N420),N($L420))))</f>
        <v/>
      </c>
      <c r="AC420" s="22">
        <f>IF(AND($A420="",$B420=""),"",MIN(AB420,IF(N($J420)=0,0,IF(N($J420)=2,AB420,IF(AND($K420&lt;&gt;"Point",N($O420)&gt;0),N($O420),N($M420))))))</f>
        <v/>
      </c>
      <c r="AD420" s="22">
        <f>IF(AND($A420="",$B420=""),"",MAX(0,AB420-AC420))</f>
        <v/>
      </c>
      <c r="AE420" s="21">
        <f>IF(AND($A420="",$B420=""),"",IF(OR($R420&lt;&gt;"",$S420&lt;&gt;""),1,0))</f>
        <v/>
      </c>
      <c r="AF420" s="22">
        <f>IF(AND($A420="",$B420=""),"",IF(Z420=1,IF(AE420=1,N($R420),AD420),0))</f>
        <v/>
      </c>
      <c r="AG420" s="22">
        <f>IF(AND($A420="",$B420=""),"",IF(Z420=1,IF(AE420=1,N($S420),AC420),0))</f>
        <v/>
      </c>
      <c r="AH420" s="21">
        <f>IF(AND($A420="",$B420=""),"",IF(AND(ISNUMBER($I420),N($I420)&gt;0),$I420,0))</f>
        <v/>
      </c>
      <c r="AI420" s="23">
        <f>IF(AND(NOT(AND($A420="",$B420="")),$K420="Point",N($L420)&gt;0),SQRT(N($L420)/PI()),"")</f>
        <v/>
      </c>
      <c r="AJ420" s="21">
        <f>IF(AND($A420="",$B420=""),"",IFERROR(VLOOKUP($G420,Lists!$D$4:$E$15,2,FALSE),"Not reported"))</f>
        <v/>
      </c>
      <c r="AK420" s="21">
        <f>IF(AND($A420="",$B420=""),"",IF($X420&lt;&gt;"",$X420,IF($T420&lt;&gt;"Y","Not assessed",IF(AND(ISNUMBER($V420),Setup!$B$6-$V420&gt;Setup!$B$26),"Assessment outdated",IF(NOT(ISNUMBER($W420)),"Assessed – no score",IF($W420&gt;=Setup!$B$24,"High",IF($W420&gt;=Setup!$B$25,"Moderate","Low")))))))</f>
        <v/>
      </c>
      <c r="AL420" s="21">
        <f>IF(AND($A420="",$B420=""),"",IF(Z420=0,"",IF(AND(AE420=1,N($R420)&gt;AD420*1.01+0.001),"Net terrestrial &gt; gross; ","")&amp;IF(AND(AE420=1,N($S420)&gt;AC420*1.01+0.001),"Net marine &gt; gross; ","")&amp;IF(AE420=0,"No net area – gross used, overlaps may be double-counted; ","")&amp;IF(AH420=0,"STATUS_YR missing – imputed in time series; ","")&amp;IF(AND(ISNUMBER($I420),N($I420)&gt;Setup!$B$6),"STATUS_YR after reporting year; ","")&amp;IF(OR($G420="",$G420="Not Reported"),"GOV_TYPE not reported; ","")&amp;IF(AND(N($J420)=1,$K420="Point",N($M420)&lt;=0),"Coastal point without REP_M_AREA – land/sea split unknown; ","")&amp;IF(AND(N($J420)=0,N($S420)&gt;0),"MARINE=0 but net marine &gt;0; ","")&amp;IF(AND(N($J420)=2,N($R420)&gt;0),"MARINE=2 but net terrestrial &gt;0; ","")&amp;IF($K420="Point","Buffered point – coverage approximate; ","")))</f>
        <v/>
      </c>
    </row>
    <row r="421">
      <c r="A421" s="19" t="n"/>
      <c r="B421" s="19" t="n"/>
      <c r="C421" s="19" t="n"/>
      <c r="D421" s="19" t="n"/>
      <c r="E421" s="19" t="n"/>
      <c r="F421" s="19" t="n"/>
      <c r="G421" s="19" t="n"/>
      <c r="H421" s="19" t="n"/>
      <c r="I421" s="19" t="n"/>
      <c r="J421" s="19" t="n"/>
      <c r="K421" s="19" t="n"/>
      <c r="L421" s="20" t="n"/>
      <c r="M421" s="20" t="n"/>
      <c r="N421" s="20" t="n"/>
      <c r="O421" s="20" t="n"/>
      <c r="P421" s="19" t="n"/>
      <c r="Q421" s="19" t="n"/>
      <c r="R421" s="20" t="n"/>
      <c r="S421" s="20" t="n"/>
      <c r="T421" s="19" t="n"/>
      <c r="U421" s="19" t="n"/>
      <c r="V421" s="19" t="n"/>
      <c r="W421" s="19" t="n"/>
      <c r="X421" s="19" t="n"/>
      <c r="Y421" s="19" t="n"/>
      <c r="Z421" s="21">
        <f>IF(AND($A421="",$B421=""),"",IF(OR($E421="",$H421="",$H421="Proposed",$H421="Not Reported"),0,IF(AND($P421="Y",$Q421&lt;&gt;"Y"),0,IF(AND($K421="Point",N($L421)&lt;=0),0,IF(AND(N($L421)&lt;=0,N($N421)&lt;=0,N($R421)+N($S421)&lt;=0),0,1)))))</f>
        <v/>
      </c>
      <c r="AA421" s="21">
        <f>IF(AND($A421="",$B421=""),"",IF($E421="","Site type missing",IF($H421="","STATUS missing",IF($H421="Proposed","STATUS = Proposed",IF($H421="Not Reported","STATUS = Not Reported",IF(AND($P421="Y",$Q421&lt;&gt;"Y"),"UNESCO-MAB Biosphere Reserve",IF(AND($K421="Point",N($L421)&lt;=0),"Point without REP_AREA",IF(AND(N($L421)&lt;=0,N($N421)&lt;=0,N($R421)+N($S421)&lt;=0),"No area information",""))))))))</f>
        <v/>
      </c>
      <c r="AB421" s="22">
        <f>IF(AND($A421="",$B421=""),"",IF($K421="Point",N($L421),IF(N($N421)&gt;0,N($N421),N($L421))))</f>
        <v/>
      </c>
      <c r="AC421" s="22">
        <f>IF(AND($A421="",$B421=""),"",MIN(AB421,IF(N($J421)=0,0,IF(N($J421)=2,AB421,IF(AND($K421&lt;&gt;"Point",N($O421)&gt;0),N($O421),N($M421))))))</f>
        <v/>
      </c>
      <c r="AD421" s="22">
        <f>IF(AND($A421="",$B421=""),"",MAX(0,AB421-AC421))</f>
        <v/>
      </c>
      <c r="AE421" s="21">
        <f>IF(AND($A421="",$B421=""),"",IF(OR($R421&lt;&gt;"",$S421&lt;&gt;""),1,0))</f>
        <v/>
      </c>
      <c r="AF421" s="22">
        <f>IF(AND($A421="",$B421=""),"",IF(Z421=1,IF(AE421=1,N($R421),AD421),0))</f>
        <v/>
      </c>
      <c r="AG421" s="22">
        <f>IF(AND($A421="",$B421=""),"",IF(Z421=1,IF(AE421=1,N($S421),AC421),0))</f>
        <v/>
      </c>
      <c r="AH421" s="21">
        <f>IF(AND($A421="",$B421=""),"",IF(AND(ISNUMBER($I421),N($I421)&gt;0),$I421,0))</f>
        <v/>
      </c>
      <c r="AI421" s="23">
        <f>IF(AND(NOT(AND($A421="",$B421="")),$K421="Point",N($L421)&gt;0),SQRT(N($L421)/PI()),"")</f>
        <v/>
      </c>
      <c r="AJ421" s="21">
        <f>IF(AND($A421="",$B421=""),"",IFERROR(VLOOKUP($G421,Lists!$D$4:$E$15,2,FALSE),"Not reported"))</f>
        <v/>
      </c>
      <c r="AK421" s="21">
        <f>IF(AND($A421="",$B421=""),"",IF($X421&lt;&gt;"",$X421,IF($T421&lt;&gt;"Y","Not assessed",IF(AND(ISNUMBER($V421),Setup!$B$6-$V421&gt;Setup!$B$26),"Assessment outdated",IF(NOT(ISNUMBER($W421)),"Assessed – no score",IF($W421&gt;=Setup!$B$24,"High",IF($W421&gt;=Setup!$B$25,"Moderate","Low")))))))</f>
        <v/>
      </c>
      <c r="AL421" s="21">
        <f>IF(AND($A421="",$B421=""),"",IF(Z421=0,"",IF(AND(AE421=1,N($R421)&gt;AD421*1.01+0.001),"Net terrestrial &gt; gross; ","")&amp;IF(AND(AE421=1,N($S421)&gt;AC421*1.01+0.001),"Net marine &gt; gross; ","")&amp;IF(AE421=0,"No net area – gross used, overlaps may be double-counted; ","")&amp;IF(AH421=0,"STATUS_YR missing – imputed in time series; ","")&amp;IF(AND(ISNUMBER($I421),N($I421)&gt;Setup!$B$6),"STATUS_YR after reporting year; ","")&amp;IF(OR($G421="",$G421="Not Reported"),"GOV_TYPE not reported; ","")&amp;IF(AND(N($J421)=1,$K421="Point",N($M421)&lt;=0),"Coastal point without REP_M_AREA – land/sea split unknown; ","")&amp;IF(AND(N($J421)=0,N($S421)&gt;0),"MARINE=0 but net marine &gt;0; ","")&amp;IF(AND(N($J421)=2,N($R421)&gt;0),"MARINE=2 but net terrestrial &gt;0; ","")&amp;IF($K421="Point","Buffered point – coverage approximate; ","")))</f>
        <v/>
      </c>
    </row>
    <row r="422">
      <c r="A422" s="19" t="n"/>
      <c r="B422" s="19" t="n"/>
      <c r="C422" s="19" t="n"/>
      <c r="D422" s="19" t="n"/>
      <c r="E422" s="19" t="n"/>
      <c r="F422" s="19" t="n"/>
      <c r="G422" s="19" t="n"/>
      <c r="H422" s="19" t="n"/>
      <c r="I422" s="19" t="n"/>
      <c r="J422" s="19" t="n"/>
      <c r="K422" s="19" t="n"/>
      <c r="L422" s="20" t="n"/>
      <c r="M422" s="20" t="n"/>
      <c r="N422" s="20" t="n"/>
      <c r="O422" s="20" t="n"/>
      <c r="P422" s="19" t="n"/>
      <c r="Q422" s="19" t="n"/>
      <c r="R422" s="20" t="n"/>
      <c r="S422" s="20" t="n"/>
      <c r="T422" s="19" t="n"/>
      <c r="U422" s="19" t="n"/>
      <c r="V422" s="19" t="n"/>
      <c r="W422" s="19" t="n"/>
      <c r="X422" s="19" t="n"/>
      <c r="Y422" s="19" t="n"/>
      <c r="Z422" s="21">
        <f>IF(AND($A422="",$B422=""),"",IF(OR($E422="",$H422="",$H422="Proposed",$H422="Not Reported"),0,IF(AND($P422="Y",$Q422&lt;&gt;"Y"),0,IF(AND($K422="Point",N($L422)&lt;=0),0,IF(AND(N($L422)&lt;=0,N($N422)&lt;=0,N($R422)+N($S422)&lt;=0),0,1)))))</f>
        <v/>
      </c>
      <c r="AA422" s="21">
        <f>IF(AND($A422="",$B422=""),"",IF($E422="","Site type missing",IF($H422="","STATUS missing",IF($H422="Proposed","STATUS = Proposed",IF($H422="Not Reported","STATUS = Not Reported",IF(AND($P422="Y",$Q422&lt;&gt;"Y"),"UNESCO-MAB Biosphere Reserve",IF(AND($K422="Point",N($L422)&lt;=0),"Point without REP_AREA",IF(AND(N($L422)&lt;=0,N($N422)&lt;=0,N($R422)+N($S422)&lt;=0),"No area information",""))))))))</f>
        <v/>
      </c>
      <c r="AB422" s="22">
        <f>IF(AND($A422="",$B422=""),"",IF($K422="Point",N($L422),IF(N($N422)&gt;0,N($N422),N($L422))))</f>
        <v/>
      </c>
      <c r="AC422" s="22">
        <f>IF(AND($A422="",$B422=""),"",MIN(AB422,IF(N($J422)=0,0,IF(N($J422)=2,AB422,IF(AND($K422&lt;&gt;"Point",N($O422)&gt;0),N($O422),N($M422))))))</f>
        <v/>
      </c>
      <c r="AD422" s="22">
        <f>IF(AND($A422="",$B422=""),"",MAX(0,AB422-AC422))</f>
        <v/>
      </c>
      <c r="AE422" s="21">
        <f>IF(AND($A422="",$B422=""),"",IF(OR($R422&lt;&gt;"",$S422&lt;&gt;""),1,0))</f>
        <v/>
      </c>
      <c r="AF422" s="22">
        <f>IF(AND($A422="",$B422=""),"",IF(Z422=1,IF(AE422=1,N($R422),AD422),0))</f>
        <v/>
      </c>
      <c r="AG422" s="22">
        <f>IF(AND($A422="",$B422=""),"",IF(Z422=1,IF(AE422=1,N($S422),AC422),0))</f>
        <v/>
      </c>
      <c r="AH422" s="21">
        <f>IF(AND($A422="",$B422=""),"",IF(AND(ISNUMBER($I422),N($I422)&gt;0),$I422,0))</f>
        <v/>
      </c>
      <c r="AI422" s="23">
        <f>IF(AND(NOT(AND($A422="",$B422="")),$K422="Point",N($L422)&gt;0),SQRT(N($L422)/PI()),"")</f>
        <v/>
      </c>
      <c r="AJ422" s="21">
        <f>IF(AND($A422="",$B422=""),"",IFERROR(VLOOKUP($G422,Lists!$D$4:$E$15,2,FALSE),"Not reported"))</f>
        <v/>
      </c>
      <c r="AK422" s="21">
        <f>IF(AND($A422="",$B422=""),"",IF($X422&lt;&gt;"",$X422,IF($T422&lt;&gt;"Y","Not assessed",IF(AND(ISNUMBER($V422),Setup!$B$6-$V422&gt;Setup!$B$26),"Assessment outdated",IF(NOT(ISNUMBER($W422)),"Assessed – no score",IF($W422&gt;=Setup!$B$24,"High",IF($W422&gt;=Setup!$B$25,"Moderate","Low")))))))</f>
        <v/>
      </c>
      <c r="AL422" s="21">
        <f>IF(AND($A422="",$B422=""),"",IF(Z422=0,"",IF(AND(AE422=1,N($R422)&gt;AD422*1.01+0.001),"Net terrestrial &gt; gross; ","")&amp;IF(AND(AE422=1,N($S422)&gt;AC422*1.01+0.001),"Net marine &gt; gross; ","")&amp;IF(AE422=0,"No net area – gross used, overlaps may be double-counted; ","")&amp;IF(AH422=0,"STATUS_YR missing – imputed in time series; ","")&amp;IF(AND(ISNUMBER($I422),N($I422)&gt;Setup!$B$6),"STATUS_YR after reporting year; ","")&amp;IF(OR($G422="",$G422="Not Reported"),"GOV_TYPE not reported; ","")&amp;IF(AND(N($J422)=1,$K422="Point",N($M422)&lt;=0),"Coastal point without REP_M_AREA – land/sea split unknown; ","")&amp;IF(AND(N($J422)=0,N($S422)&gt;0),"MARINE=0 but net marine &gt;0; ","")&amp;IF(AND(N($J422)=2,N($R422)&gt;0),"MARINE=2 but net terrestrial &gt;0; ","")&amp;IF($K422="Point","Buffered point – coverage approximate; ","")))</f>
        <v/>
      </c>
    </row>
    <row r="423">
      <c r="A423" s="19" t="n"/>
      <c r="B423" s="19" t="n"/>
      <c r="C423" s="19" t="n"/>
      <c r="D423" s="19" t="n"/>
      <c r="E423" s="19" t="n"/>
      <c r="F423" s="19" t="n"/>
      <c r="G423" s="19" t="n"/>
      <c r="H423" s="19" t="n"/>
      <c r="I423" s="19" t="n"/>
      <c r="J423" s="19" t="n"/>
      <c r="K423" s="19" t="n"/>
      <c r="L423" s="20" t="n"/>
      <c r="M423" s="20" t="n"/>
      <c r="N423" s="20" t="n"/>
      <c r="O423" s="20" t="n"/>
      <c r="P423" s="19" t="n"/>
      <c r="Q423" s="19" t="n"/>
      <c r="R423" s="20" t="n"/>
      <c r="S423" s="20" t="n"/>
      <c r="T423" s="19" t="n"/>
      <c r="U423" s="19" t="n"/>
      <c r="V423" s="19" t="n"/>
      <c r="W423" s="19" t="n"/>
      <c r="X423" s="19" t="n"/>
      <c r="Y423" s="19" t="n"/>
      <c r="Z423" s="21">
        <f>IF(AND($A423="",$B423=""),"",IF(OR($E423="",$H423="",$H423="Proposed",$H423="Not Reported"),0,IF(AND($P423="Y",$Q423&lt;&gt;"Y"),0,IF(AND($K423="Point",N($L423)&lt;=0),0,IF(AND(N($L423)&lt;=0,N($N423)&lt;=0,N($R423)+N($S423)&lt;=0),0,1)))))</f>
        <v/>
      </c>
      <c r="AA423" s="21">
        <f>IF(AND($A423="",$B423=""),"",IF($E423="","Site type missing",IF($H423="","STATUS missing",IF($H423="Proposed","STATUS = Proposed",IF($H423="Not Reported","STATUS = Not Reported",IF(AND($P423="Y",$Q423&lt;&gt;"Y"),"UNESCO-MAB Biosphere Reserve",IF(AND($K423="Point",N($L423)&lt;=0),"Point without REP_AREA",IF(AND(N($L423)&lt;=0,N($N423)&lt;=0,N($R423)+N($S423)&lt;=0),"No area information",""))))))))</f>
        <v/>
      </c>
      <c r="AB423" s="22">
        <f>IF(AND($A423="",$B423=""),"",IF($K423="Point",N($L423),IF(N($N423)&gt;0,N($N423),N($L423))))</f>
        <v/>
      </c>
      <c r="AC423" s="22">
        <f>IF(AND($A423="",$B423=""),"",MIN(AB423,IF(N($J423)=0,0,IF(N($J423)=2,AB423,IF(AND($K423&lt;&gt;"Point",N($O423)&gt;0),N($O423),N($M423))))))</f>
        <v/>
      </c>
      <c r="AD423" s="22">
        <f>IF(AND($A423="",$B423=""),"",MAX(0,AB423-AC423))</f>
        <v/>
      </c>
      <c r="AE423" s="21">
        <f>IF(AND($A423="",$B423=""),"",IF(OR($R423&lt;&gt;"",$S423&lt;&gt;""),1,0))</f>
        <v/>
      </c>
      <c r="AF423" s="22">
        <f>IF(AND($A423="",$B423=""),"",IF(Z423=1,IF(AE423=1,N($R423),AD423),0))</f>
        <v/>
      </c>
      <c r="AG423" s="22">
        <f>IF(AND($A423="",$B423=""),"",IF(Z423=1,IF(AE423=1,N($S423),AC423),0))</f>
        <v/>
      </c>
      <c r="AH423" s="21">
        <f>IF(AND($A423="",$B423=""),"",IF(AND(ISNUMBER($I423),N($I423)&gt;0),$I423,0))</f>
        <v/>
      </c>
      <c r="AI423" s="23">
        <f>IF(AND(NOT(AND($A423="",$B423="")),$K423="Point",N($L423)&gt;0),SQRT(N($L423)/PI()),"")</f>
        <v/>
      </c>
      <c r="AJ423" s="21">
        <f>IF(AND($A423="",$B423=""),"",IFERROR(VLOOKUP($G423,Lists!$D$4:$E$15,2,FALSE),"Not reported"))</f>
        <v/>
      </c>
      <c r="AK423" s="21">
        <f>IF(AND($A423="",$B423=""),"",IF($X423&lt;&gt;"",$X423,IF($T423&lt;&gt;"Y","Not assessed",IF(AND(ISNUMBER($V423),Setup!$B$6-$V423&gt;Setup!$B$26),"Assessment outdated",IF(NOT(ISNUMBER($W423)),"Assessed – no score",IF($W423&gt;=Setup!$B$24,"High",IF($W423&gt;=Setup!$B$25,"Moderate","Low")))))))</f>
        <v/>
      </c>
      <c r="AL423" s="21">
        <f>IF(AND($A423="",$B423=""),"",IF(Z423=0,"",IF(AND(AE423=1,N($R423)&gt;AD423*1.01+0.001),"Net terrestrial &gt; gross; ","")&amp;IF(AND(AE423=1,N($S423)&gt;AC423*1.01+0.001),"Net marine &gt; gross; ","")&amp;IF(AE423=0,"No net area – gross used, overlaps may be double-counted; ","")&amp;IF(AH423=0,"STATUS_YR missing – imputed in time series; ","")&amp;IF(AND(ISNUMBER($I423),N($I423)&gt;Setup!$B$6),"STATUS_YR after reporting year; ","")&amp;IF(OR($G423="",$G423="Not Reported"),"GOV_TYPE not reported; ","")&amp;IF(AND(N($J423)=1,$K423="Point",N($M423)&lt;=0),"Coastal point without REP_M_AREA – land/sea split unknown; ","")&amp;IF(AND(N($J423)=0,N($S423)&gt;0),"MARINE=0 but net marine &gt;0; ","")&amp;IF(AND(N($J423)=2,N($R423)&gt;0),"MARINE=2 but net terrestrial &gt;0; ","")&amp;IF($K423="Point","Buffered point – coverage approximate; ","")))</f>
        <v/>
      </c>
    </row>
    <row r="424">
      <c r="A424" s="19" t="n"/>
      <c r="B424" s="19" t="n"/>
      <c r="C424" s="19" t="n"/>
      <c r="D424" s="19" t="n"/>
      <c r="E424" s="19" t="n"/>
      <c r="F424" s="19" t="n"/>
      <c r="G424" s="19" t="n"/>
      <c r="H424" s="19" t="n"/>
      <c r="I424" s="19" t="n"/>
      <c r="J424" s="19" t="n"/>
      <c r="K424" s="19" t="n"/>
      <c r="L424" s="20" t="n"/>
      <c r="M424" s="20" t="n"/>
      <c r="N424" s="20" t="n"/>
      <c r="O424" s="20" t="n"/>
      <c r="P424" s="19" t="n"/>
      <c r="Q424" s="19" t="n"/>
      <c r="R424" s="20" t="n"/>
      <c r="S424" s="20" t="n"/>
      <c r="T424" s="19" t="n"/>
      <c r="U424" s="19" t="n"/>
      <c r="V424" s="19" t="n"/>
      <c r="W424" s="19" t="n"/>
      <c r="X424" s="19" t="n"/>
      <c r="Y424" s="19" t="n"/>
      <c r="Z424" s="21">
        <f>IF(AND($A424="",$B424=""),"",IF(OR($E424="",$H424="",$H424="Proposed",$H424="Not Reported"),0,IF(AND($P424="Y",$Q424&lt;&gt;"Y"),0,IF(AND($K424="Point",N($L424)&lt;=0),0,IF(AND(N($L424)&lt;=0,N($N424)&lt;=0,N($R424)+N($S424)&lt;=0),0,1)))))</f>
        <v/>
      </c>
      <c r="AA424" s="21">
        <f>IF(AND($A424="",$B424=""),"",IF($E424="","Site type missing",IF($H424="","STATUS missing",IF($H424="Proposed","STATUS = Proposed",IF($H424="Not Reported","STATUS = Not Reported",IF(AND($P424="Y",$Q424&lt;&gt;"Y"),"UNESCO-MAB Biosphere Reserve",IF(AND($K424="Point",N($L424)&lt;=0),"Point without REP_AREA",IF(AND(N($L424)&lt;=0,N($N424)&lt;=0,N($R424)+N($S424)&lt;=0),"No area information",""))))))))</f>
        <v/>
      </c>
      <c r="AB424" s="22">
        <f>IF(AND($A424="",$B424=""),"",IF($K424="Point",N($L424),IF(N($N424)&gt;0,N($N424),N($L424))))</f>
        <v/>
      </c>
      <c r="AC424" s="22">
        <f>IF(AND($A424="",$B424=""),"",MIN(AB424,IF(N($J424)=0,0,IF(N($J424)=2,AB424,IF(AND($K424&lt;&gt;"Point",N($O424)&gt;0),N($O424),N($M424))))))</f>
        <v/>
      </c>
      <c r="AD424" s="22">
        <f>IF(AND($A424="",$B424=""),"",MAX(0,AB424-AC424))</f>
        <v/>
      </c>
      <c r="AE424" s="21">
        <f>IF(AND($A424="",$B424=""),"",IF(OR($R424&lt;&gt;"",$S424&lt;&gt;""),1,0))</f>
        <v/>
      </c>
      <c r="AF424" s="22">
        <f>IF(AND($A424="",$B424=""),"",IF(Z424=1,IF(AE424=1,N($R424),AD424),0))</f>
        <v/>
      </c>
      <c r="AG424" s="22">
        <f>IF(AND($A424="",$B424=""),"",IF(Z424=1,IF(AE424=1,N($S424),AC424),0))</f>
        <v/>
      </c>
      <c r="AH424" s="21">
        <f>IF(AND($A424="",$B424=""),"",IF(AND(ISNUMBER($I424),N($I424)&gt;0),$I424,0))</f>
        <v/>
      </c>
      <c r="AI424" s="23">
        <f>IF(AND(NOT(AND($A424="",$B424="")),$K424="Point",N($L424)&gt;0),SQRT(N($L424)/PI()),"")</f>
        <v/>
      </c>
      <c r="AJ424" s="21">
        <f>IF(AND($A424="",$B424=""),"",IFERROR(VLOOKUP($G424,Lists!$D$4:$E$15,2,FALSE),"Not reported"))</f>
        <v/>
      </c>
      <c r="AK424" s="21">
        <f>IF(AND($A424="",$B424=""),"",IF($X424&lt;&gt;"",$X424,IF($T424&lt;&gt;"Y","Not assessed",IF(AND(ISNUMBER($V424),Setup!$B$6-$V424&gt;Setup!$B$26),"Assessment outdated",IF(NOT(ISNUMBER($W424)),"Assessed – no score",IF($W424&gt;=Setup!$B$24,"High",IF($W424&gt;=Setup!$B$25,"Moderate","Low")))))))</f>
        <v/>
      </c>
      <c r="AL424" s="21">
        <f>IF(AND($A424="",$B424=""),"",IF(Z424=0,"",IF(AND(AE424=1,N($R424)&gt;AD424*1.01+0.001),"Net terrestrial &gt; gross; ","")&amp;IF(AND(AE424=1,N($S424)&gt;AC424*1.01+0.001),"Net marine &gt; gross; ","")&amp;IF(AE424=0,"No net area – gross used, overlaps may be double-counted; ","")&amp;IF(AH424=0,"STATUS_YR missing – imputed in time series; ","")&amp;IF(AND(ISNUMBER($I424),N($I424)&gt;Setup!$B$6),"STATUS_YR after reporting year; ","")&amp;IF(OR($G424="",$G424="Not Reported"),"GOV_TYPE not reported; ","")&amp;IF(AND(N($J424)=1,$K424="Point",N($M424)&lt;=0),"Coastal point without REP_M_AREA – land/sea split unknown; ","")&amp;IF(AND(N($J424)=0,N($S424)&gt;0),"MARINE=0 but net marine &gt;0; ","")&amp;IF(AND(N($J424)=2,N($R424)&gt;0),"MARINE=2 but net terrestrial &gt;0; ","")&amp;IF($K424="Point","Buffered point – coverage approximate; ","")))</f>
        <v/>
      </c>
    </row>
    <row r="425">
      <c r="A425" s="19" t="n"/>
      <c r="B425" s="19" t="n"/>
      <c r="C425" s="19" t="n"/>
      <c r="D425" s="19" t="n"/>
      <c r="E425" s="19" t="n"/>
      <c r="F425" s="19" t="n"/>
      <c r="G425" s="19" t="n"/>
      <c r="H425" s="19" t="n"/>
      <c r="I425" s="19" t="n"/>
      <c r="J425" s="19" t="n"/>
      <c r="K425" s="19" t="n"/>
      <c r="L425" s="20" t="n"/>
      <c r="M425" s="20" t="n"/>
      <c r="N425" s="20" t="n"/>
      <c r="O425" s="20" t="n"/>
      <c r="P425" s="19" t="n"/>
      <c r="Q425" s="19" t="n"/>
      <c r="R425" s="20" t="n"/>
      <c r="S425" s="20" t="n"/>
      <c r="T425" s="19" t="n"/>
      <c r="U425" s="19" t="n"/>
      <c r="V425" s="19" t="n"/>
      <c r="W425" s="19" t="n"/>
      <c r="X425" s="19" t="n"/>
      <c r="Y425" s="19" t="n"/>
      <c r="Z425" s="21">
        <f>IF(AND($A425="",$B425=""),"",IF(OR($E425="",$H425="",$H425="Proposed",$H425="Not Reported"),0,IF(AND($P425="Y",$Q425&lt;&gt;"Y"),0,IF(AND($K425="Point",N($L425)&lt;=0),0,IF(AND(N($L425)&lt;=0,N($N425)&lt;=0,N($R425)+N($S425)&lt;=0),0,1)))))</f>
        <v/>
      </c>
      <c r="AA425" s="21">
        <f>IF(AND($A425="",$B425=""),"",IF($E425="","Site type missing",IF($H425="","STATUS missing",IF($H425="Proposed","STATUS = Proposed",IF($H425="Not Reported","STATUS = Not Reported",IF(AND($P425="Y",$Q425&lt;&gt;"Y"),"UNESCO-MAB Biosphere Reserve",IF(AND($K425="Point",N($L425)&lt;=0),"Point without REP_AREA",IF(AND(N($L425)&lt;=0,N($N425)&lt;=0,N($R425)+N($S425)&lt;=0),"No area information",""))))))))</f>
        <v/>
      </c>
      <c r="AB425" s="22">
        <f>IF(AND($A425="",$B425=""),"",IF($K425="Point",N($L425),IF(N($N425)&gt;0,N($N425),N($L425))))</f>
        <v/>
      </c>
      <c r="AC425" s="22">
        <f>IF(AND($A425="",$B425=""),"",MIN(AB425,IF(N($J425)=0,0,IF(N($J425)=2,AB425,IF(AND($K425&lt;&gt;"Point",N($O425)&gt;0),N($O425),N($M425))))))</f>
        <v/>
      </c>
      <c r="AD425" s="22">
        <f>IF(AND($A425="",$B425=""),"",MAX(0,AB425-AC425))</f>
        <v/>
      </c>
      <c r="AE425" s="21">
        <f>IF(AND($A425="",$B425=""),"",IF(OR($R425&lt;&gt;"",$S425&lt;&gt;""),1,0))</f>
        <v/>
      </c>
      <c r="AF425" s="22">
        <f>IF(AND($A425="",$B425=""),"",IF(Z425=1,IF(AE425=1,N($R425),AD425),0))</f>
        <v/>
      </c>
      <c r="AG425" s="22">
        <f>IF(AND($A425="",$B425=""),"",IF(Z425=1,IF(AE425=1,N($S425),AC425),0))</f>
        <v/>
      </c>
      <c r="AH425" s="21">
        <f>IF(AND($A425="",$B425=""),"",IF(AND(ISNUMBER($I425),N($I425)&gt;0),$I425,0))</f>
        <v/>
      </c>
      <c r="AI425" s="23">
        <f>IF(AND(NOT(AND($A425="",$B425="")),$K425="Point",N($L425)&gt;0),SQRT(N($L425)/PI()),"")</f>
        <v/>
      </c>
      <c r="AJ425" s="21">
        <f>IF(AND($A425="",$B425=""),"",IFERROR(VLOOKUP($G425,Lists!$D$4:$E$15,2,FALSE),"Not reported"))</f>
        <v/>
      </c>
      <c r="AK425" s="21">
        <f>IF(AND($A425="",$B425=""),"",IF($X425&lt;&gt;"",$X425,IF($T425&lt;&gt;"Y","Not assessed",IF(AND(ISNUMBER($V425),Setup!$B$6-$V425&gt;Setup!$B$26),"Assessment outdated",IF(NOT(ISNUMBER($W425)),"Assessed – no score",IF($W425&gt;=Setup!$B$24,"High",IF($W425&gt;=Setup!$B$25,"Moderate","Low")))))))</f>
        <v/>
      </c>
      <c r="AL425" s="21">
        <f>IF(AND($A425="",$B425=""),"",IF(Z425=0,"",IF(AND(AE425=1,N($R425)&gt;AD425*1.01+0.001),"Net terrestrial &gt; gross; ","")&amp;IF(AND(AE425=1,N($S425)&gt;AC425*1.01+0.001),"Net marine &gt; gross; ","")&amp;IF(AE425=0,"No net area – gross used, overlaps may be double-counted; ","")&amp;IF(AH425=0,"STATUS_YR missing – imputed in time series; ","")&amp;IF(AND(ISNUMBER($I425),N($I425)&gt;Setup!$B$6),"STATUS_YR after reporting year; ","")&amp;IF(OR($G425="",$G425="Not Reported"),"GOV_TYPE not reported; ","")&amp;IF(AND(N($J425)=1,$K425="Point",N($M425)&lt;=0),"Coastal point without REP_M_AREA – land/sea split unknown; ","")&amp;IF(AND(N($J425)=0,N($S425)&gt;0),"MARINE=0 but net marine &gt;0; ","")&amp;IF(AND(N($J425)=2,N($R425)&gt;0),"MARINE=2 but net terrestrial &gt;0; ","")&amp;IF($K425="Point","Buffered point – coverage approximate; ","")))</f>
        <v/>
      </c>
    </row>
    <row r="426">
      <c r="A426" s="19" t="n"/>
      <c r="B426" s="19" t="n"/>
      <c r="C426" s="19" t="n"/>
      <c r="D426" s="19" t="n"/>
      <c r="E426" s="19" t="n"/>
      <c r="F426" s="19" t="n"/>
      <c r="G426" s="19" t="n"/>
      <c r="H426" s="19" t="n"/>
      <c r="I426" s="19" t="n"/>
      <c r="J426" s="19" t="n"/>
      <c r="K426" s="19" t="n"/>
      <c r="L426" s="20" t="n"/>
      <c r="M426" s="20" t="n"/>
      <c r="N426" s="20" t="n"/>
      <c r="O426" s="20" t="n"/>
      <c r="P426" s="19" t="n"/>
      <c r="Q426" s="19" t="n"/>
      <c r="R426" s="20" t="n"/>
      <c r="S426" s="20" t="n"/>
      <c r="T426" s="19" t="n"/>
      <c r="U426" s="19" t="n"/>
      <c r="V426" s="19" t="n"/>
      <c r="W426" s="19" t="n"/>
      <c r="X426" s="19" t="n"/>
      <c r="Y426" s="19" t="n"/>
      <c r="Z426" s="21">
        <f>IF(AND($A426="",$B426=""),"",IF(OR($E426="",$H426="",$H426="Proposed",$H426="Not Reported"),0,IF(AND($P426="Y",$Q426&lt;&gt;"Y"),0,IF(AND($K426="Point",N($L426)&lt;=0),0,IF(AND(N($L426)&lt;=0,N($N426)&lt;=0,N($R426)+N($S426)&lt;=0),0,1)))))</f>
        <v/>
      </c>
      <c r="AA426" s="21">
        <f>IF(AND($A426="",$B426=""),"",IF($E426="","Site type missing",IF($H426="","STATUS missing",IF($H426="Proposed","STATUS = Proposed",IF($H426="Not Reported","STATUS = Not Reported",IF(AND($P426="Y",$Q426&lt;&gt;"Y"),"UNESCO-MAB Biosphere Reserve",IF(AND($K426="Point",N($L426)&lt;=0),"Point without REP_AREA",IF(AND(N($L426)&lt;=0,N($N426)&lt;=0,N($R426)+N($S426)&lt;=0),"No area information",""))))))))</f>
        <v/>
      </c>
      <c r="AB426" s="22">
        <f>IF(AND($A426="",$B426=""),"",IF($K426="Point",N($L426),IF(N($N426)&gt;0,N($N426),N($L426))))</f>
        <v/>
      </c>
      <c r="AC426" s="22">
        <f>IF(AND($A426="",$B426=""),"",MIN(AB426,IF(N($J426)=0,0,IF(N($J426)=2,AB426,IF(AND($K426&lt;&gt;"Point",N($O426)&gt;0),N($O426),N($M426))))))</f>
        <v/>
      </c>
      <c r="AD426" s="22">
        <f>IF(AND($A426="",$B426=""),"",MAX(0,AB426-AC426))</f>
        <v/>
      </c>
      <c r="AE426" s="21">
        <f>IF(AND($A426="",$B426=""),"",IF(OR($R426&lt;&gt;"",$S426&lt;&gt;""),1,0))</f>
        <v/>
      </c>
      <c r="AF426" s="22">
        <f>IF(AND($A426="",$B426=""),"",IF(Z426=1,IF(AE426=1,N($R426),AD426),0))</f>
        <v/>
      </c>
      <c r="AG426" s="22">
        <f>IF(AND($A426="",$B426=""),"",IF(Z426=1,IF(AE426=1,N($S426),AC426),0))</f>
        <v/>
      </c>
      <c r="AH426" s="21">
        <f>IF(AND($A426="",$B426=""),"",IF(AND(ISNUMBER($I426),N($I426)&gt;0),$I426,0))</f>
        <v/>
      </c>
      <c r="AI426" s="23">
        <f>IF(AND(NOT(AND($A426="",$B426="")),$K426="Point",N($L426)&gt;0),SQRT(N($L426)/PI()),"")</f>
        <v/>
      </c>
      <c r="AJ426" s="21">
        <f>IF(AND($A426="",$B426=""),"",IFERROR(VLOOKUP($G426,Lists!$D$4:$E$15,2,FALSE),"Not reported"))</f>
        <v/>
      </c>
      <c r="AK426" s="21">
        <f>IF(AND($A426="",$B426=""),"",IF($X426&lt;&gt;"",$X426,IF($T426&lt;&gt;"Y","Not assessed",IF(AND(ISNUMBER($V426),Setup!$B$6-$V426&gt;Setup!$B$26),"Assessment outdated",IF(NOT(ISNUMBER($W426)),"Assessed – no score",IF($W426&gt;=Setup!$B$24,"High",IF($W426&gt;=Setup!$B$25,"Moderate","Low")))))))</f>
        <v/>
      </c>
      <c r="AL426" s="21">
        <f>IF(AND($A426="",$B426=""),"",IF(Z426=0,"",IF(AND(AE426=1,N($R426)&gt;AD426*1.01+0.001),"Net terrestrial &gt; gross; ","")&amp;IF(AND(AE426=1,N($S426)&gt;AC426*1.01+0.001),"Net marine &gt; gross; ","")&amp;IF(AE426=0,"No net area – gross used, overlaps may be double-counted; ","")&amp;IF(AH426=0,"STATUS_YR missing – imputed in time series; ","")&amp;IF(AND(ISNUMBER($I426),N($I426)&gt;Setup!$B$6),"STATUS_YR after reporting year; ","")&amp;IF(OR($G426="",$G426="Not Reported"),"GOV_TYPE not reported; ","")&amp;IF(AND(N($J426)=1,$K426="Point",N($M426)&lt;=0),"Coastal point without REP_M_AREA – land/sea split unknown; ","")&amp;IF(AND(N($J426)=0,N($S426)&gt;0),"MARINE=0 but net marine &gt;0; ","")&amp;IF(AND(N($J426)=2,N($R426)&gt;0),"MARINE=2 but net terrestrial &gt;0; ","")&amp;IF($K426="Point","Buffered point – coverage approximate; ","")))</f>
        <v/>
      </c>
    </row>
    <row r="427">
      <c r="A427" s="19" t="n"/>
      <c r="B427" s="19" t="n"/>
      <c r="C427" s="19" t="n"/>
      <c r="D427" s="19" t="n"/>
      <c r="E427" s="19" t="n"/>
      <c r="F427" s="19" t="n"/>
      <c r="G427" s="19" t="n"/>
      <c r="H427" s="19" t="n"/>
      <c r="I427" s="19" t="n"/>
      <c r="J427" s="19" t="n"/>
      <c r="K427" s="19" t="n"/>
      <c r="L427" s="20" t="n"/>
      <c r="M427" s="20" t="n"/>
      <c r="N427" s="20" t="n"/>
      <c r="O427" s="20" t="n"/>
      <c r="P427" s="19" t="n"/>
      <c r="Q427" s="19" t="n"/>
      <c r="R427" s="20" t="n"/>
      <c r="S427" s="20" t="n"/>
      <c r="T427" s="19" t="n"/>
      <c r="U427" s="19" t="n"/>
      <c r="V427" s="19" t="n"/>
      <c r="W427" s="19" t="n"/>
      <c r="X427" s="19" t="n"/>
      <c r="Y427" s="19" t="n"/>
      <c r="Z427" s="21">
        <f>IF(AND($A427="",$B427=""),"",IF(OR($E427="",$H427="",$H427="Proposed",$H427="Not Reported"),0,IF(AND($P427="Y",$Q427&lt;&gt;"Y"),0,IF(AND($K427="Point",N($L427)&lt;=0),0,IF(AND(N($L427)&lt;=0,N($N427)&lt;=0,N($R427)+N($S427)&lt;=0),0,1)))))</f>
        <v/>
      </c>
      <c r="AA427" s="21">
        <f>IF(AND($A427="",$B427=""),"",IF($E427="","Site type missing",IF($H427="","STATUS missing",IF($H427="Proposed","STATUS = Proposed",IF($H427="Not Reported","STATUS = Not Reported",IF(AND($P427="Y",$Q427&lt;&gt;"Y"),"UNESCO-MAB Biosphere Reserve",IF(AND($K427="Point",N($L427)&lt;=0),"Point without REP_AREA",IF(AND(N($L427)&lt;=0,N($N427)&lt;=0,N($R427)+N($S427)&lt;=0),"No area information",""))))))))</f>
        <v/>
      </c>
      <c r="AB427" s="22">
        <f>IF(AND($A427="",$B427=""),"",IF($K427="Point",N($L427),IF(N($N427)&gt;0,N($N427),N($L427))))</f>
        <v/>
      </c>
      <c r="AC427" s="22">
        <f>IF(AND($A427="",$B427=""),"",MIN(AB427,IF(N($J427)=0,0,IF(N($J427)=2,AB427,IF(AND($K427&lt;&gt;"Point",N($O427)&gt;0),N($O427),N($M427))))))</f>
        <v/>
      </c>
      <c r="AD427" s="22">
        <f>IF(AND($A427="",$B427=""),"",MAX(0,AB427-AC427))</f>
        <v/>
      </c>
      <c r="AE427" s="21">
        <f>IF(AND($A427="",$B427=""),"",IF(OR($R427&lt;&gt;"",$S427&lt;&gt;""),1,0))</f>
        <v/>
      </c>
      <c r="AF427" s="22">
        <f>IF(AND($A427="",$B427=""),"",IF(Z427=1,IF(AE427=1,N($R427),AD427),0))</f>
        <v/>
      </c>
      <c r="AG427" s="22">
        <f>IF(AND($A427="",$B427=""),"",IF(Z427=1,IF(AE427=1,N($S427),AC427),0))</f>
        <v/>
      </c>
      <c r="AH427" s="21">
        <f>IF(AND($A427="",$B427=""),"",IF(AND(ISNUMBER($I427),N($I427)&gt;0),$I427,0))</f>
        <v/>
      </c>
      <c r="AI427" s="23">
        <f>IF(AND(NOT(AND($A427="",$B427="")),$K427="Point",N($L427)&gt;0),SQRT(N($L427)/PI()),"")</f>
        <v/>
      </c>
      <c r="AJ427" s="21">
        <f>IF(AND($A427="",$B427=""),"",IFERROR(VLOOKUP($G427,Lists!$D$4:$E$15,2,FALSE),"Not reported"))</f>
        <v/>
      </c>
      <c r="AK427" s="21">
        <f>IF(AND($A427="",$B427=""),"",IF($X427&lt;&gt;"",$X427,IF($T427&lt;&gt;"Y","Not assessed",IF(AND(ISNUMBER($V427),Setup!$B$6-$V427&gt;Setup!$B$26),"Assessment outdated",IF(NOT(ISNUMBER($W427)),"Assessed – no score",IF($W427&gt;=Setup!$B$24,"High",IF($W427&gt;=Setup!$B$25,"Moderate","Low")))))))</f>
        <v/>
      </c>
      <c r="AL427" s="21">
        <f>IF(AND($A427="",$B427=""),"",IF(Z427=0,"",IF(AND(AE427=1,N($R427)&gt;AD427*1.01+0.001),"Net terrestrial &gt; gross; ","")&amp;IF(AND(AE427=1,N($S427)&gt;AC427*1.01+0.001),"Net marine &gt; gross; ","")&amp;IF(AE427=0,"No net area – gross used, overlaps may be double-counted; ","")&amp;IF(AH427=0,"STATUS_YR missing – imputed in time series; ","")&amp;IF(AND(ISNUMBER($I427),N($I427)&gt;Setup!$B$6),"STATUS_YR after reporting year; ","")&amp;IF(OR($G427="",$G427="Not Reported"),"GOV_TYPE not reported; ","")&amp;IF(AND(N($J427)=1,$K427="Point",N($M427)&lt;=0),"Coastal point without REP_M_AREA – land/sea split unknown; ","")&amp;IF(AND(N($J427)=0,N($S427)&gt;0),"MARINE=0 but net marine &gt;0; ","")&amp;IF(AND(N($J427)=2,N($R427)&gt;0),"MARINE=2 but net terrestrial &gt;0; ","")&amp;IF($K427="Point","Buffered point – coverage approximate; ","")))</f>
        <v/>
      </c>
    </row>
    <row r="428">
      <c r="A428" s="19" t="n"/>
      <c r="B428" s="19" t="n"/>
      <c r="C428" s="19" t="n"/>
      <c r="D428" s="19" t="n"/>
      <c r="E428" s="19" t="n"/>
      <c r="F428" s="19" t="n"/>
      <c r="G428" s="19" t="n"/>
      <c r="H428" s="19" t="n"/>
      <c r="I428" s="19" t="n"/>
      <c r="J428" s="19" t="n"/>
      <c r="K428" s="19" t="n"/>
      <c r="L428" s="20" t="n"/>
      <c r="M428" s="20" t="n"/>
      <c r="N428" s="20" t="n"/>
      <c r="O428" s="20" t="n"/>
      <c r="P428" s="19" t="n"/>
      <c r="Q428" s="19" t="n"/>
      <c r="R428" s="20" t="n"/>
      <c r="S428" s="20" t="n"/>
      <c r="T428" s="19" t="n"/>
      <c r="U428" s="19" t="n"/>
      <c r="V428" s="19" t="n"/>
      <c r="W428" s="19" t="n"/>
      <c r="X428" s="19" t="n"/>
      <c r="Y428" s="19" t="n"/>
      <c r="Z428" s="21">
        <f>IF(AND($A428="",$B428=""),"",IF(OR($E428="",$H428="",$H428="Proposed",$H428="Not Reported"),0,IF(AND($P428="Y",$Q428&lt;&gt;"Y"),0,IF(AND($K428="Point",N($L428)&lt;=0),0,IF(AND(N($L428)&lt;=0,N($N428)&lt;=0,N($R428)+N($S428)&lt;=0),0,1)))))</f>
        <v/>
      </c>
      <c r="AA428" s="21">
        <f>IF(AND($A428="",$B428=""),"",IF($E428="","Site type missing",IF($H428="","STATUS missing",IF($H428="Proposed","STATUS = Proposed",IF($H428="Not Reported","STATUS = Not Reported",IF(AND($P428="Y",$Q428&lt;&gt;"Y"),"UNESCO-MAB Biosphere Reserve",IF(AND($K428="Point",N($L428)&lt;=0),"Point without REP_AREA",IF(AND(N($L428)&lt;=0,N($N428)&lt;=0,N($R428)+N($S428)&lt;=0),"No area information",""))))))))</f>
        <v/>
      </c>
      <c r="AB428" s="22">
        <f>IF(AND($A428="",$B428=""),"",IF($K428="Point",N($L428),IF(N($N428)&gt;0,N($N428),N($L428))))</f>
        <v/>
      </c>
      <c r="AC428" s="22">
        <f>IF(AND($A428="",$B428=""),"",MIN(AB428,IF(N($J428)=0,0,IF(N($J428)=2,AB428,IF(AND($K428&lt;&gt;"Point",N($O428)&gt;0),N($O428),N($M428))))))</f>
        <v/>
      </c>
      <c r="AD428" s="22">
        <f>IF(AND($A428="",$B428=""),"",MAX(0,AB428-AC428))</f>
        <v/>
      </c>
      <c r="AE428" s="21">
        <f>IF(AND($A428="",$B428=""),"",IF(OR($R428&lt;&gt;"",$S428&lt;&gt;""),1,0))</f>
        <v/>
      </c>
      <c r="AF428" s="22">
        <f>IF(AND($A428="",$B428=""),"",IF(Z428=1,IF(AE428=1,N($R428),AD428),0))</f>
        <v/>
      </c>
      <c r="AG428" s="22">
        <f>IF(AND($A428="",$B428=""),"",IF(Z428=1,IF(AE428=1,N($S428),AC428),0))</f>
        <v/>
      </c>
      <c r="AH428" s="21">
        <f>IF(AND($A428="",$B428=""),"",IF(AND(ISNUMBER($I428),N($I428)&gt;0),$I428,0))</f>
        <v/>
      </c>
      <c r="AI428" s="23">
        <f>IF(AND(NOT(AND($A428="",$B428="")),$K428="Point",N($L428)&gt;0),SQRT(N($L428)/PI()),"")</f>
        <v/>
      </c>
      <c r="AJ428" s="21">
        <f>IF(AND($A428="",$B428=""),"",IFERROR(VLOOKUP($G428,Lists!$D$4:$E$15,2,FALSE),"Not reported"))</f>
        <v/>
      </c>
      <c r="AK428" s="21">
        <f>IF(AND($A428="",$B428=""),"",IF($X428&lt;&gt;"",$X428,IF($T428&lt;&gt;"Y","Not assessed",IF(AND(ISNUMBER($V428),Setup!$B$6-$V428&gt;Setup!$B$26),"Assessment outdated",IF(NOT(ISNUMBER($W428)),"Assessed – no score",IF($W428&gt;=Setup!$B$24,"High",IF($W428&gt;=Setup!$B$25,"Moderate","Low")))))))</f>
        <v/>
      </c>
      <c r="AL428" s="21">
        <f>IF(AND($A428="",$B428=""),"",IF(Z428=0,"",IF(AND(AE428=1,N($R428)&gt;AD428*1.01+0.001),"Net terrestrial &gt; gross; ","")&amp;IF(AND(AE428=1,N($S428)&gt;AC428*1.01+0.001),"Net marine &gt; gross; ","")&amp;IF(AE428=0,"No net area – gross used, overlaps may be double-counted; ","")&amp;IF(AH428=0,"STATUS_YR missing – imputed in time series; ","")&amp;IF(AND(ISNUMBER($I428),N($I428)&gt;Setup!$B$6),"STATUS_YR after reporting year; ","")&amp;IF(OR($G428="",$G428="Not Reported"),"GOV_TYPE not reported; ","")&amp;IF(AND(N($J428)=1,$K428="Point",N($M428)&lt;=0),"Coastal point without REP_M_AREA – land/sea split unknown; ","")&amp;IF(AND(N($J428)=0,N($S428)&gt;0),"MARINE=0 but net marine &gt;0; ","")&amp;IF(AND(N($J428)=2,N($R428)&gt;0),"MARINE=2 but net terrestrial &gt;0; ","")&amp;IF($K428="Point","Buffered point – coverage approximate; ","")))</f>
        <v/>
      </c>
    </row>
    <row r="429">
      <c r="A429" s="19" t="n"/>
      <c r="B429" s="19" t="n"/>
      <c r="C429" s="19" t="n"/>
      <c r="D429" s="19" t="n"/>
      <c r="E429" s="19" t="n"/>
      <c r="F429" s="19" t="n"/>
      <c r="G429" s="19" t="n"/>
      <c r="H429" s="19" t="n"/>
      <c r="I429" s="19" t="n"/>
      <c r="J429" s="19" t="n"/>
      <c r="K429" s="19" t="n"/>
      <c r="L429" s="20" t="n"/>
      <c r="M429" s="20" t="n"/>
      <c r="N429" s="20" t="n"/>
      <c r="O429" s="20" t="n"/>
      <c r="P429" s="19" t="n"/>
      <c r="Q429" s="19" t="n"/>
      <c r="R429" s="20" t="n"/>
      <c r="S429" s="20" t="n"/>
      <c r="T429" s="19" t="n"/>
      <c r="U429" s="19" t="n"/>
      <c r="V429" s="19" t="n"/>
      <c r="W429" s="19" t="n"/>
      <c r="X429" s="19" t="n"/>
      <c r="Y429" s="19" t="n"/>
      <c r="Z429" s="21">
        <f>IF(AND($A429="",$B429=""),"",IF(OR($E429="",$H429="",$H429="Proposed",$H429="Not Reported"),0,IF(AND($P429="Y",$Q429&lt;&gt;"Y"),0,IF(AND($K429="Point",N($L429)&lt;=0),0,IF(AND(N($L429)&lt;=0,N($N429)&lt;=0,N($R429)+N($S429)&lt;=0),0,1)))))</f>
        <v/>
      </c>
      <c r="AA429" s="21">
        <f>IF(AND($A429="",$B429=""),"",IF($E429="","Site type missing",IF($H429="","STATUS missing",IF($H429="Proposed","STATUS = Proposed",IF($H429="Not Reported","STATUS = Not Reported",IF(AND($P429="Y",$Q429&lt;&gt;"Y"),"UNESCO-MAB Biosphere Reserve",IF(AND($K429="Point",N($L429)&lt;=0),"Point without REP_AREA",IF(AND(N($L429)&lt;=0,N($N429)&lt;=0,N($R429)+N($S429)&lt;=0),"No area information",""))))))))</f>
        <v/>
      </c>
      <c r="AB429" s="22">
        <f>IF(AND($A429="",$B429=""),"",IF($K429="Point",N($L429),IF(N($N429)&gt;0,N($N429),N($L429))))</f>
        <v/>
      </c>
      <c r="AC429" s="22">
        <f>IF(AND($A429="",$B429=""),"",MIN(AB429,IF(N($J429)=0,0,IF(N($J429)=2,AB429,IF(AND($K429&lt;&gt;"Point",N($O429)&gt;0),N($O429),N($M429))))))</f>
        <v/>
      </c>
      <c r="AD429" s="22">
        <f>IF(AND($A429="",$B429=""),"",MAX(0,AB429-AC429))</f>
        <v/>
      </c>
      <c r="AE429" s="21">
        <f>IF(AND($A429="",$B429=""),"",IF(OR($R429&lt;&gt;"",$S429&lt;&gt;""),1,0))</f>
        <v/>
      </c>
      <c r="AF429" s="22">
        <f>IF(AND($A429="",$B429=""),"",IF(Z429=1,IF(AE429=1,N($R429),AD429),0))</f>
        <v/>
      </c>
      <c r="AG429" s="22">
        <f>IF(AND($A429="",$B429=""),"",IF(Z429=1,IF(AE429=1,N($S429),AC429),0))</f>
        <v/>
      </c>
      <c r="AH429" s="21">
        <f>IF(AND($A429="",$B429=""),"",IF(AND(ISNUMBER($I429),N($I429)&gt;0),$I429,0))</f>
        <v/>
      </c>
      <c r="AI429" s="23">
        <f>IF(AND(NOT(AND($A429="",$B429="")),$K429="Point",N($L429)&gt;0),SQRT(N($L429)/PI()),"")</f>
        <v/>
      </c>
      <c r="AJ429" s="21">
        <f>IF(AND($A429="",$B429=""),"",IFERROR(VLOOKUP($G429,Lists!$D$4:$E$15,2,FALSE),"Not reported"))</f>
        <v/>
      </c>
      <c r="AK429" s="21">
        <f>IF(AND($A429="",$B429=""),"",IF($X429&lt;&gt;"",$X429,IF($T429&lt;&gt;"Y","Not assessed",IF(AND(ISNUMBER($V429),Setup!$B$6-$V429&gt;Setup!$B$26),"Assessment outdated",IF(NOT(ISNUMBER($W429)),"Assessed – no score",IF($W429&gt;=Setup!$B$24,"High",IF($W429&gt;=Setup!$B$25,"Moderate","Low")))))))</f>
        <v/>
      </c>
      <c r="AL429" s="21">
        <f>IF(AND($A429="",$B429=""),"",IF(Z429=0,"",IF(AND(AE429=1,N($R429)&gt;AD429*1.01+0.001),"Net terrestrial &gt; gross; ","")&amp;IF(AND(AE429=1,N($S429)&gt;AC429*1.01+0.001),"Net marine &gt; gross; ","")&amp;IF(AE429=0,"No net area – gross used, overlaps may be double-counted; ","")&amp;IF(AH429=0,"STATUS_YR missing – imputed in time series; ","")&amp;IF(AND(ISNUMBER($I429),N($I429)&gt;Setup!$B$6),"STATUS_YR after reporting year; ","")&amp;IF(OR($G429="",$G429="Not Reported"),"GOV_TYPE not reported; ","")&amp;IF(AND(N($J429)=1,$K429="Point",N($M429)&lt;=0),"Coastal point without REP_M_AREA – land/sea split unknown; ","")&amp;IF(AND(N($J429)=0,N($S429)&gt;0),"MARINE=0 but net marine &gt;0; ","")&amp;IF(AND(N($J429)=2,N($R429)&gt;0),"MARINE=2 but net terrestrial &gt;0; ","")&amp;IF($K429="Point","Buffered point – coverage approximate; ","")))</f>
        <v/>
      </c>
    </row>
    <row r="430">
      <c r="A430" s="19" t="n"/>
      <c r="B430" s="19" t="n"/>
      <c r="C430" s="19" t="n"/>
      <c r="D430" s="19" t="n"/>
      <c r="E430" s="19" t="n"/>
      <c r="F430" s="19" t="n"/>
      <c r="G430" s="19" t="n"/>
      <c r="H430" s="19" t="n"/>
      <c r="I430" s="19" t="n"/>
      <c r="J430" s="19" t="n"/>
      <c r="K430" s="19" t="n"/>
      <c r="L430" s="20" t="n"/>
      <c r="M430" s="20" t="n"/>
      <c r="N430" s="20" t="n"/>
      <c r="O430" s="20" t="n"/>
      <c r="P430" s="19" t="n"/>
      <c r="Q430" s="19" t="n"/>
      <c r="R430" s="20" t="n"/>
      <c r="S430" s="20" t="n"/>
      <c r="T430" s="19" t="n"/>
      <c r="U430" s="19" t="n"/>
      <c r="V430" s="19" t="n"/>
      <c r="W430" s="19" t="n"/>
      <c r="X430" s="19" t="n"/>
      <c r="Y430" s="19" t="n"/>
      <c r="Z430" s="21">
        <f>IF(AND($A430="",$B430=""),"",IF(OR($E430="",$H430="",$H430="Proposed",$H430="Not Reported"),0,IF(AND($P430="Y",$Q430&lt;&gt;"Y"),0,IF(AND($K430="Point",N($L430)&lt;=0),0,IF(AND(N($L430)&lt;=0,N($N430)&lt;=0,N($R430)+N($S430)&lt;=0),0,1)))))</f>
        <v/>
      </c>
      <c r="AA430" s="21">
        <f>IF(AND($A430="",$B430=""),"",IF($E430="","Site type missing",IF($H430="","STATUS missing",IF($H430="Proposed","STATUS = Proposed",IF($H430="Not Reported","STATUS = Not Reported",IF(AND($P430="Y",$Q430&lt;&gt;"Y"),"UNESCO-MAB Biosphere Reserve",IF(AND($K430="Point",N($L430)&lt;=0),"Point without REP_AREA",IF(AND(N($L430)&lt;=0,N($N430)&lt;=0,N($R430)+N($S430)&lt;=0),"No area information",""))))))))</f>
        <v/>
      </c>
      <c r="AB430" s="22">
        <f>IF(AND($A430="",$B430=""),"",IF($K430="Point",N($L430),IF(N($N430)&gt;0,N($N430),N($L430))))</f>
        <v/>
      </c>
      <c r="AC430" s="22">
        <f>IF(AND($A430="",$B430=""),"",MIN(AB430,IF(N($J430)=0,0,IF(N($J430)=2,AB430,IF(AND($K430&lt;&gt;"Point",N($O430)&gt;0),N($O430),N($M430))))))</f>
        <v/>
      </c>
      <c r="AD430" s="22">
        <f>IF(AND($A430="",$B430=""),"",MAX(0,AB430-AC430))</f>
        <v/>
      </c>
      <c r="AE430" s="21">
        <f>IF(AND($A430="",$B430=""),"",IF(OR($R430&lt;&gt;"",$S430&lt;&gt;""),1,0))</f>
        <v/>
      </c>
      <c r="AF430" s="22">
        <f>IF(AND($A430="",$B430=""),"",IF(Z430=1,IF(AE430=1,N($R430),AD430),0))</f>
        <v/>
      </c>
      <c r="AG430" s="22">
        <f>IF(AND($A430="",$B430=""),"",IF(Z430=1,IF(AE430=1,N($S430),AC430),0))</f>
        <v/>
      </c>
      <c r="AH430" s="21">
        <f>IF(AND($A430="",$B430=""),"",IF(AND(ISNUMBER($I430),N($I430)&gt;0),$I430,0))</f>
        <v/>
      </c>
      <c r="AI430" s="23">
        <f>IF(AND(NOT(AND($A430="",$B430="")),$K430="Point",N($L430)&gt;0),SQRT(N($L430)/PI()),"")</f>
        <v/>
      </c>
      <c r="AJ430" s="21">
        <f>IF(AND($A430="",$B430=""),"",IFERROR(VLOOKUP($G430,Lists!$D$4:$E$15,2,FALSE),"Not reported"))</f>
        <v/>
      </c>
      <c r="AK430" s="21">
        <f>IF(AND($A430="",$B430=""),"",IF($X430&lt;&gt;"",$X430,IF($T430&lt;&gt;"Y","Not assessed",IF(AND(ISNUMBER($V430),Setup!$B$6-$V430&gt;Setup!$B$26),"Assessment outdated",IF(NOT(ISNUMBER($W430)),"Assessed – no score",IF($W430&gt;=Setup!$B$24,"High",IF($W430&gt;=Setup!$B$25,"Moderate","Low")))))))</f>
        <v/>
      </c>
      <c r="AL430" s="21">
        <f>IF(AND($A430="",$B430=""),"",IF(Z430=0,"",IF(AND(AE430=1,N($R430)&gt;AD430*1.01+0.001),"Net terrestrial &gt; gross; ","")&amp;IF(AND(AE430=1,N($S430)&gt;AC430*1.01+0.001),"Net marine &gt; gross; ","")&amp;IF(AE430=0,"No net area – gross used, overlaps may be double-counted; ","")&amp;IF(AH430=0,"STATUS_YR missing – imputed in time series; ","")&amp;IF(AND(ISNUMBER($I430),N($I430)&gt;Setup!$B$6),"STATUS_YR after reporting year; ","")&amp;IF(OR($G430="",$G430="Not Reported"),"GOV_TYPE not reported; ","")&amp;IF(AND(N($J430)=1,$K430="Point",N($M430)&lt;=0),"Coastal point without REP_M_AREA – land/sea split unknown; ","")&amp;IF(AND(N($J430)=0,N($S430)&gt;0),"MARINE=0 but net marine &gt;0; ","")&amp;IF(AND(N($J430)=2,N($R430)&gt;0),"MARINE=2 but net terrestrial &gt;0; ","")&amp;IF($K430="Point","Buffered point – coverage approximate; ","")))</f>
        <v/>
      </c>
    </row>
    <row r="431">
      <c r="A431" s="19" t="n"/>
      <c r="B431" s="19" t="n"/>
      <c r="C431" s="19" t="n"/>
      <c r="D431" s="19" t="n"/>
      <c r="E431" s="19" t="n"/>
      <c r="F431" s="19" t="n"/>
      <c r="G431" s="19" t="n"/>
      <c r="H431" s="19" t="n"/>
      <c r="I431" s="19" t="n"/>
      <c r="J431" s="19" t="n"/>
      <c r="K431" s="19" t="n"/>
      <c r="L431" s="20" t="n"/>
      <c r="M431" s="20" t="n"/>
      <c r="N431" s="20" t="n"/>
      <c r="O431" s="20" t="n"/>
      <c r="P431" s="19" t="n"/>
      <c r="Q431" s="19" t="n"/>
      <c r="R431" s="20" t="n"/>
      <c r="S431" s="20" t="n"/>
      <c r="T431" s="19" t="n"/>
      <c r="U431" s="19" t="n"/>
      <c r="V431" s="19" t="n"/>
      <c r="W431" s="19" t="n"/>
      <c r="X431" s="19" t="n"/>
      <c r="Y431" s="19" t="n"/>
      <c r="Z431" s="21">
        <f>IF(AND($A431="",$B431=""),"",IF(OR($E431="",$H431="",$H431="Proposed",$H431="Not Reported"),0,IF(AND($P431="Y",$Q431&lt;&gt;"Y"),0,IF(AND($K431="Point",N($L431)&lt;=0),0,IF(AND(N($L431)&lt;=0,N($N431)&lt;=0,N($R431)+N($S431)&lt;=0),0,1)))))</f>
        <v/>
      </c>
      <c r="AA431" s="21">
        <f>IF(AND($A431="",$B431=""),"",IF($E431="","Site type missing",IF($H431="","STATUS missing",IF($H431="Proposed","STATUS = Proposed",IF($H431="Not Reported","STATUS = Not Reported",IF(AND($P431="Y",$Q431&lt;&gt;"Y"),"UNESCO-MAB Biosphere Reserve",IF(AND($K431="Point",N($L431)&lt;=0),"Point without REP_AREA",IF(AND(N($L431)&lt;=0,N($N431)&lt;=0,N($R431)+N($S431)&lt;=0),"No area information",""))))))))</f>
        <v/>
      </c>
      <c r="AB431" s="22">
        <f>IF(AND($A431="",$B431=""),"",IF($K431="Point",N($L431),IF(N($N431)&gt;0,N($N431),N($L431))))</f>
        <v/>
      </c>
      <c r="AC431" s="22">
        <f>IF(AND($A431="",$B431=""),"",MIN(AB431,IF(N($J431)=0,0,IF(N($J431)=2,AB431,IF(AND($K431&lt;&gt;"Point",N($O431)&gt;0),N($O431),N($M431))))))</f>
        <v/>
      </c>
      <c r="AD431" s="22">
        <f>IF(AND($A431="",$B431=""),"",MAX(0,AB431-AC431))</f>
        <v/>
      </c>
      <c r="AE431" s="21">
        <f>IF(AND($A431="",$B431=""),"",IF(OR($R431&lt;&gt;"",$S431&lt;&gt;""),1,0))</f>
        <v/>
      </c>
      <c r="AF431" s="22">
        <f>IF(AND($A431="",$B431=""),"",IF(Z431=1,IF(AE431=1,N($R431),AD431),0))</f>
        <v/>
      </c>
      <c r="AG431" s="22">
        <f>IF(AND($A431="",$B431=""),"",IF(Z431=1,IF(AE431=1,N($S431),AC431),0))</f>
        <v/>
      </c>
      <c r="AH431" s="21">
        <f>IF(AND($A431="",$B431=""),"",IF(AND(ISNUMBER($I431),N($I431)&gt;0),$I431,0))</f>
        <v/>
      </c>
      <c r="AI431" s="23">
        <f>IF(AND(NOT(AND($A431="",$B431="")),$K431="Point",N($L431)&gt;0),SQRT(N($L431)/PI()),"")</f>
        <v/>
      </c>
      <c r="AJ431" s="21">
        <f>IF(AND($A431="",$B431=""),"",IFERROR(VLOOKUP($G431,Lists!$D$4:$E$15,2,FALSE),"Not reported"))</f>
        <v/>
      </c>
      <c r="AK431" s="21">
        <f>IF(AND($A431="",$B431=""),"",IF($X431&lt;&gt;"",$X431,IF($T431&lt;&gt;"Y","Not assessed",IF(AND(ISNUMBER($V431),Setup!$B$6-$V431&gt;Setup!$B$26),"Assessment outdated",IF(NOT(ISNUMBER($W431)),"Assessed – no score",IF($W431&gt;=Setup!$B$24,"High",IF($W431&gt;=Setup!$B$25,"Moderate","Low")))))))</f>
        <v/>
      </c>
      <c r="AL431" s="21">
        <f>IF(AND($A431="",$B431=""),"",IF(Z431=0,"",IF(AND(AE431=1,N($R431)&gt;AD431*1.01+0.001),"Net terrestrial &gt; gross; ","")&amp;IF(AND(AE431=1,N($S431)&gt;AC431*1.01+0.001),"Net marine &gt; gross; ","")&amp;IF(AE431=0,"No net area – gross used, overlaps may be double-counted; ","")&amp;IF(AH431=0,"STATUS_YR missing – imputed in time series; ","")&amp;IF(AND(ISNUMBER($I431),N($I431)&gt;Setup!$B$6),"STATUS_YR after reporting year; ","")&amp;IF(OR($G431="",$G431="Not Reported"),"GOV_TYPE not reported; ","")&amp;IF(AND(N($J431)=1,$K431="Point",N($M431)&lt;=0),"Coastal point without REP_M_AREA – land/sea split unknown; ","")&amp;IF(AND(N($J431)=0,N($S431)&gt;0),"MARINE=0 but net marine &gt;0; ","")&amp;IF(AND(N($J431)=2,N($R431)&gt;0),"MARINE=2 but net terrestrial &gt;0; ","")&amp;IF($K431="Point","Buffered point – coverage approximate; ","")))</f>
        <v/>
      </c>
    </row>
    <row r="432">
      <c r="A432" s="19" t="n"/>
      <c r="B432" s="19" t="n"/>
      <c r="C432" s="19" t="n"/>
      <c r="D432" s="19" t="n"/>
      <c r="E432" s="19" t="n"/>
      <c r="F432" s="19" t="n"/>
      <c r="G432" s="19" t="n"/>
      <c r="H432" s="19" t="n"/>
      <c r="I432" s="19" t="n"/>
      <c r="J432" s="19" t="n"/>
      <c r="K432" s="19" t="n"/>
      <c r="L432" s="20" t="n"/>
      <c r="M432" s="20" t="n"/>
      <c r="N432" s="20" t="n"/>
      <c r="O432" s="20" t="n"/>
      <c r="P432" s="19" t="n"/>
      <c r="Q432" s="19" t="n"/>
      <c r="R432" s="20" t="n"/>
      <c r="S432" s="20" t="n"/>
      <c r="T432" s="19" t="n"/>
      <c r="U432" s="19" t="n"/>
      <c r="V432" s="19" t="n"/>
      <c r="W432" s="19" t="n"/>
      <c r="X432" s="19" t="n"/>
      <c r="Y432" s="19" t="n"/>
      <c r="Z432" s="21">
        <f>IF(AND($A432="",$B432=""),"",IF(OR($E432="",$H432="",$H432="Proposed",$H432="Not Reported"),0,IF(AND($P432="Y",$Q432&lt;&gt;"Y"),0,IF(AND($K432="Point",N($L432)&lt;=0),0,IF(AND(N($L432)&lt;=0,N($N432)&lt;=0,N($R432)+N($S432)&lt;=0),0,1)))))</f>
        <v/>
      </c>
      <c r="AA432" s="21">
        <f>IF(AND($A432="",$B432=""),"",IF($E432="","Site type missing",IF($H432="","STATUS missing",IF($H432="Proposed","STATUS = Proposed",IF($H432="Not Reported","STATUS = Not Reported",IF(AND($P432="Y",$Q432&lt;&gt;"Y"),"UNESCO-MAB Biosphere Reserve",IF(AND($K432="Point",N($L432)&lt;=0),"Point without REP_AREA",IF(AND(N($L432)&lt;=0,N($N432)&lt;=0,N($R432)+N($S432)&lt;=0),"No area information",""))))))))</f>
        <v/>
      </c>
      <c r="AB432" s="22">
        <f>IF(AND($A432="",$B432=""),"",IF($K432="Point",N($L432),IF(N($N432)&gt;0,N($N432),N($L432))))</f>
        <v/>
      </c>
      <c r="AC432" s="22">
        <f>IF(AND($A432="",$B432=""),"",MIN(AB432,IF(N($J432)=0,0,IF(N($J432)=2,AB432,IF(AND($K432&lt;&gt;"Point",N($O432)&gt;0),N($O432),N($M432))))))</f>
        <v/>
      </c>
      <c r="AD432" s="22">
        <f>IF(AND($A432="",$B432=""),"",MAX(0,AB432-AC432))</f>
        <v/>
      </c>
      <c r="AE432" s="21">
        <f>IF(AND($A432="",$B432=""),"",IF(OR($R432&lt;&gt;"",$S432&lt;&gt;""),1,0))</f>
        <v/>
      </c>
      <c r="AF432" s="22">
        <f>IF(AND($A432="",$B432=""),"",IF(Z432=1,IF(AE432=1,N($R432),AD432),0))</f>
        <v/>
      </c>
      <c r="AG432" s="22">
        <f>IF(AND($A432="",$B432=""),"",IF(Z432=1,IF(AE432=1,N($S432),AC432),0))</f>
        <v/>
      </c>
      <c r="AH432" s="21">
        <f>IF(AND($A432="",$B432=""),"",IF(AND(ISNUMBER($I432),N($I432)&gt;0),$I432,0))</f>
        <v/>
      </c>
      <c r="AI432" s="23">
        <f>IF(AND(NOT(AND($A432="",$B432="")),$K432="Point",N($L432)&gt;0),SQRT(N($L432)/PI()),"")</f>
        <v/>
      </c>
      <c r="AJ432" s="21">
        <f>IF(AND($A432="",$B432=""),"",IFERROR(VLOOKUP($G432,Lists!$D$4:$E$15,2,FALSE),"Not reported"))</f>
        <v/>
      </c>
      <c r="AK432" s="21">
        <f>IF(AND($A432="",$B432=""),"",IF($X432&lt;&gt;"",$X432,IF($T432&lt;&gt;"Y","Not assessed",IF(AND(ISNUMBER($V432),Setup!$B$6-$V432&gt;Setup!$B$26),"Assessment outdated",IF(NOT(ISNUMBER($W432)),"Assessed – no score",IF($W432&gt;=Setup!$B$24,"High",IF($W432&gt;=Setup!$B$25,"Moderate","Low")))))))</f>
        <v/>
      </c>
      <c r="AL432" s="21">
        <f>IF(AND($A432="",$B432=""),"",IF(Z432=0,"",IF(AND(AE432=1,N($R432)&gt;AD432*1.01+0.001),"Net terrestrial &gt; gross; ","")&amp;IF(AND(AE432=1,N($S432)&gt;AC432*1.01+0.001),"Net marine &gt; gross; ","")&amp;IF(AE432=0,"No net area – gross used, overlaps may be double-counted; ","")&amp;IF(AH432=0,"STATUS_YR missing – imputed in time series; ","")&amp;IF(AND(ISNUMBER($I432),N($I432)&gt;Setup!$B$6),"STATUS_YR after reporting year; ","")&amp;IF(OR($G432="",$G432="Not Reported"),"GOV_TYPE not reported; ","")&amp;IF(AND(N($J432)=1,$K432="Point",N($M432)&lt;=0),"Coastal point without REP_M_AREA – land/sea split unknown; ","")&amp;IF(AND(N($J432)=0,N($S432)&gt;0),"MARINE=0 but net marine &gt;0; ","")&amp;IF(AND(N($J432)=2,N($R432)&gt;0),"MARINE=2 but net terrestrial &gt;0; ","")&amp;IF($K432="Point","Buffered point – coverage approximate; ","")))</f>
        <v/>
      </c>
    </row>
    <row r="433">
      <c r="A433" s="19" t="n"/>
      <c r="B433" s="19" t="n"/>
      <c r="C433" s="19" t="n"/>
      <c r="D433" s="19" t="n"/>
      <c r="E433" s="19" t="n"/>
      <c r="F433" s="19" t="n"/>
      <c r="G433" s="19" t="n"/>
      <c r="H433" s="19" t="n"/>
      <c r="I433" s="19" t="n"/>
      <c r="J433" s="19" t="n"/>
      <c r="K433" s="19" t="n"/>
      <c r="L433" s="20" t="n"/>
      <c r="M433" s="20" t="n"/>
      <c r="N433" s="20" t="n"/>
      <c r="O433" s="20" t="n"/>
      <c r="P433" s="19" t="n"/>
      <c r="Q433" s="19" t="n"/>
      <c r="R433" s="20" t="n"/>
      <c r="S433" s="20" t="n"/>
      <c r="T433" s="19" t="n"/>
      <c r="U433" s="19" t="n"/>
      <c r="V433" s="19" t="n"/>
      <c r="W433" s="19" t="n"/>
      <c r="X433" s="19" t="n"/>
      <c r="Y433" s="19" t="n"/>
      <c r="Z433" s="21">
        <f>IF(AND($A433="",$B433=""),"",IF(OR($E433="",$H433="",$H433="Proposed",$H433="Not Reported"),0,IF(AND($P433="Y",$Q433&lt;&gt;"Y"),0,IF(AND($K433="Point",N($L433)&lt;=0),0,IF(AND(N($L433)&lt;=0,N($N433)&lt;=0,N($R433)+N($S433)&lt;=0),0,1)))))</f>
        <v/>
      </c>
      <c r="AA433" s="21">
        <f>IF(AND($A433="",$B433=""),"",IF($E433="","Site type missing",IF($H433="","STATUS missing",IF($H433="Proposed","STATUS = Proposed",IF($H433="Not Reported","STATUS = Not Reported",IF(AND($P433="Y",$Q433&lt;&gt;"Y"),"UNESCO-MAB Biosphere Reserve",IF(AND($K433="Point",N($L433)&lt;=0),"Point without REP_AREA",IF(AND(N($L433)&lt;=0,N($N433)&lt;=0,N($R433)+N($S433)&lt;=0),"No area information",""))))))))</f>
        <v/>
      </c>
      <c r="AB433" s="22">
        <f>IF(AND($A433="",$B433=""),"",IF($K433="Point",N($L433),IF(N($N433)&gt;0,N($N433),N($L433))))</f>
        <v/>
      </c>
      <c r="AC433" s="22">
        <f>IF(AND($A433="",$B433=""),"",MIN(AB433,IF(N($J433)=0,0,IF(N($J433)=2,AB433,IF(AND($K433&lt;&gt;"Point",N($O433)&gt;0),N($O433),N($M433))))))</f>
        <v/>
      </c>
      <c r="AD433" s="22">
        <f>IF(AND($A433="",$B433=""),"",MAX(0,AB433-AC433))</f>
        <v/>
      </c>
      <c r="AE433" s="21">
        <f>IF(AND($A433="",$B433=""),"",IF(OR($R433&lt;&gt;"",$S433&lt;&gt;""),1,0))</f>
        <v/>
      </c>
      <c r="AF433" s="22">
        <f>IF(AND($A433="",$B433=""),"",IF(Z433=1,IF(AE433=1,N($R433),AD433),0))</f>
        <v/>
      </c>
      <c r="AG433" s="22">
        <f>IF(AND($A433="",$B433=""),"",IF(Z433=1,IF(AE433=1,N($S433),AC433),0))</f>
        <v/>
      </c>
      <c r="AH433" s="21">
        <f>IF(AND($A433="",$B433=""),"",IF(AND(ISNUMBER($I433),N($I433)&gt;0),$I433,0))</f>
        <v/>
      </c>
      <c r="AI433" s="23">
        <f>IF(AND(NOT(AND($A433="",$B433="")),$K433="Point",N($L433)&gt;0),SQRT(N($L433)/PI()),"")</f>
        <v/>
      </c>
      <c r="AJ433" s="21">
        <f>IF(AND($A433="",$B433=""),"",IFERROR(VLOOKUP($G433,Lists!$D$4:$E$15,2,FALSE),"Not reported"))</f>
        <v/>
      </c>
      <c r="AK433" s="21">
        <f>IF(AND($A433="",$B433=""),"",IF($X433&lt;&gt;"",$X433,IF($T433&lt;&gt;"Y","Not assessed",IF(AND(ISNUMBER($V433),Setup!$B$6-$V433&gt;Setup!$B$26),"Assessment outdated",IF(NOT(ISNUMBER($W433)),"Assessed – no score",IF($W433&gt;=Setup!$B$24,"High",IF($W433&gt;=Setup!$B$25,"Moderate","Low")))))))</f>
        <v/>
      </c>
      <c r="AL433" s="21">
        <f>IF(AND($A433="",$B433=""),"",IF(Z433=0,"",IF(AND(AE433=1,N($R433)&gt;AD433*1.01+0.001),"Net terrestrial &gt; gross; ","")&amp;IF(AND(AE433=1,N($S433)&gt;AC433*1.01+0.001),"Net marine &gt; gross; ","")&amp;IF(AE433=0,"No net area – gross used, overlaps may be double-counted; ","")&amp;IF(AH433=0,"STATUS_YR missing – imputed in time series; ","")&amp;IF(AND(ISNUMBER($I433),N($I433)&gt;Setup!$B$6),"STATUS_YR after reporting year; ","")&amp;IF(OR($G433="",$G433="Not Reported"),"GOV_TYPE not reported; ","")&amp;IF(AND(N($J433)=1,$K433="Point",N($M433)&lt;=0),"Coastal point without REP_M_AREA – land/sea split unknown; ","")&amp;IF(AND(N($J433)=0,N($S433)&gt;0),"MARINE=0 but net marine &gt;0; ","")&amp;IF(AND(N($J433)=2,N($R433)&gt;0),"MARINE=2 but net terrestrial &gt;0; ","")&amp;IF($K433="Point","Buffered point – coverage approximate; ","")))</f>
        <v/>
      </c>
    </row>
    <row r="434">
      <c r="A434" s="19" t="n"/>
      <c r="B434" s="19" t="n"/>
      <c r="C434" s="19" t="n"/>
      <c r="D434" s="19" t="n"/>
      <c r="E434" s="19" t="n"/>
      <c r="F434" s="19" t="n"/>
      <c r="G434" s="19" t="n"/>
      <c r="H434" s="19" t="n"/>
      <c r="I434" s="19" t="n"/>
      <c r="J434" s="19" t="n"/>
      <c r="K434" s="19" t="n"/>
      <c r="L434" s="20" t="n"/>
      <c r="M434" s="20" t="n"/>
      <c r="N434" s="20" t="n"/>
      <c r="O434" s="20" t="n"/>
      <c r="P434" s="19" t="n"/>
      <c r="Q434" s="19" t="n"/>
      <c r="R434" s="20" t="n"/>
      <c r="S434" s="20" t="n"/>
      <c r="T434" s="19" t="n"/>
      <c r="U434" s="19" t="n"/>
      <c r="V434" s="19" t="n"/>
      <c r="W434" s="19" t="n"/>
      <c r="X434" s="19" t="n"/>
      <c r="Y434" s="19" t="n"/>
      <c r="Z434" s="21">
        <f>IF(AND($A434="",$B434=""),"",IF(OR($E434="",$H434="",$H434="Proposed",$H434="Not Reported"),0,IF(AND($P434="Y",$Q434&lt;&gt;"Y"),0,IF(AND($K434="Point",N($L434)&lt;=0),0,IF(AND(N($L434)&lt;=0,N($N434)&lt;=0,N($R434)+N($S434)&lt;=0),0,1)))))</f>
        <v/>
      </c>
      <c r="AA434" s="21">
        <f>IF(AND($A434="",$B434=""),"",IF($E434="","Site type missing",IF($H434="","STATUS missing",IF($H434="Proposed","STATUS = Proposed",IF($H434="Not Reported","STATUS = Not Reported",IF(AND($P434="Y",$Q434&lt;&gt;"Y"),"UNESCO-MAB Biosphere Reserve",IF(AND($K434="Point",N($L434)&lt;=0),"Point without REP_AREA",IF(AND(N($L434)&lt;=0,N($N434)&lt;=0,N($R434)+N($S434)&lt;=0),"No area information",""))))))))</f>
        <v/>
      </c>
      <c r="AB434" s="22">
        <f>IF(AND($A434="",$B434=""),"",IF($K434="Point",N($L434),IF(N($N434)&gt;0,N($N434),N($L434))))</f>
        <v/>
      </c>
      <c r="AC434" s="22">
        <f>IF(AND($A434="",$B434=""),"",MIN(AB434,IF(N($J434)=0,0,IF(N($J434)=2,AB434,IF(AND($K434&lt;&gt;"Point",N($O434)&gt;0),N($O434),N($M434))))))</f>
        <v/>
      </c>
      <c r="AD434" s="22">
        <f>IF(AND($A434="",$B434=""),"",MAX(0,AB434-AC434))</f>
        <v/>
      </c>
      <c r="AE434" s="21">
        <f>IF(AND($A434="",$B434=""),"",IF(OR($R434&lt;&gt;"",$S434&lt;&gt;""),1,0))</f>
        <v/>
      </c>
      <c r="AF434" s="22">
        <f>IF(AND($A434="",$B434=""),"",IF(Z434=1,IF(AE434=1,N($R434),AD434),0))</f>
        <v/>
      </c>
      <c r="AG434" s="22">
        <f>IF(AND($A434="",$B434=""),"",IF(Z434=1,IF(AE434=1,N($S434),AC434),0))</f>
        <v/>
      </c>
      <c r="AH434" s="21">
        <f>IF(AND($A434="",$B434=""),"",IF(AND(ISNUMBER($I434),N($I434)&gt;0),$I434,0))</f>
        <v/>
      </c>
      <c r="AI434" s="23">
        <f>IF(AND(NOT(AND($A434="",$B434="")),$K434="Point",N($L434)&gt;0),SQRT(N($L434)/PI()),"")</f>
        <v/>
      </c>
      <c r="AJ434" s="21">
        <f>IF(AND($A434="",$B434=""),"",IFERROR(VLOOKUP($G434,Lists!$D$4:$E$15,2,FALSE),"Not reported"))</f>
        <v/>
      </c>
      <c r="AK434" s="21">
        <f>IF(AND($A434="",$B434=""),"",IF($X434&lt;&gt;"",$X434,IF($T434&lt;&gt;"Y","Not assessed",IF(AND(ISNUMBER($V434),Setup!$B$6-$V434&gt;Setup!$B$26),"Assessment outdated",IF(NOT(ISNUMBER($W434)),"Assessed – no score",IF($W434&gt;=Setup!$B$24,"High",IF($W434&gt;=Setup!$B$25,"Moderate","Low")))))))</f>
        <v/>
      </c>
      <c r="AL434" s="21">
        <f>IF(AND($A434="",$B434=""),"",IF(Z434=0,"",IF(AND(AE434=1,N($R434)&gt;AD434*1.01+0.001),"Net terrestrial &gt; gross; ","")&amp;IF(AND(AE434=1,N($S434)&gt;AC434*1.01+0.001),"Net marine &gt; gross; ","")&amp;IF(AE434=0,"No net area – gross used, overlaps may be double-counted; ","")&amp;IF(AH434=0,"STATUS_YR missing – imputed in time series; ","")&amp;IF(AND(ISNUMBER($I434),N($I434)&gt;Setup!$B$6),"STATUS_YR after reporting year; ","")&amp;IF(OR($G434="",$G434="Not Reported"),"GOV_TYPE not reported; ","")&amp;IF(AND(N($J434)=1,$K434="Point",N($M434)&lt;=0),"Coastal point without REP_M_AREA – land/sea split unknown; ","")&amp;IF(AND(N($J434)=0,N($S434)&gt;0),"MARINE=0 but net marine &gt;0; ","")&amp;IF(AND(N($J434)=2,N($R434)&gt;0),"MARINE=2 but net terrestrial &gt;0; ","")&amp;IF($K434="Point","Buffered point – coverage approximate; ","")))</f>
        <v/>
      </c>
    </row>
    <row r="435">
      <c r="A435" s="19" t="n"/>
      <c r="B435" s="19" t="n"/>
      <c r="C435" s="19" t="n"/>
      <c r="D435" s="19" t="n"/>
      <c r="E435" s="19" t="n"/>
      <c r="F435" s="19" t="n"/>
      <c r="G435" s="19" t="n"/>
      <c r="H435" s="19" t="n"/>
      <c r="I435" s="19" t="n"/>
      <c r="J435" s="19" t="n"/>
      <c r="K435" s="19" t="n"/>
      <c r="L435" s="20" t="n"/>
      <c r="M435" s="20" t="n"/>
      <c r="N435" s="20" t="n"/>
      <c r="O435" s="20" t="n"/>
      <c r="P435" s="19" t="n"/>
      <c r="Q435" s="19" t="n"/>
      <c r="R435" s="20" t="n"/>
      <c r="S435" s="20" t="n"/>
      <c r="T435" s="19" t="n"/>
      <c r="U435" s="19" t="n"/>
      <c r="V435" s="19" t="n"/>
      <c r="W435" s="19" t="n"/>
      <c r="X435" s="19" t="n"/>
      <c r="Y435" s="19" t="n"/>
      <c r="Z435" s="21">
        <f>IF(AND($A435="",$B435=""),"",IF(OR($E435="",$H435="",$H435="Proposed",$H435="Not Reported"),0,IF(AND($P435="Y",$Q435&lt;&gt;"Y"),0,IF(AND($K435="Point",N($L435)&lt;=0),0,IF(AND(N($L435)&lt;=0,N($N435)&lt;=0,N($R435)+N($S435)&lt;=0),0,1)))))</f>
        <v/>
      </c>
      <c r="AA435" s="21">
        <f>IF(AND($A435="",$B435=""),"",IF($E435="","Site type missing",IF($H435="","STATUS missing",IF($H435="Proposed","STATUS = Proposed",IF($H435="Not Reported","STATUS = Not Reported",IF(AND($P435="Y",$Q435&lt;&gt;"Y"),"UNESCO-MAB Biosphere Reserve",IF(AND($K435="Point",N($L435)&lt;=0),"Point without REP_AREA",IF(AND(N($L435)&lt;=0,N($N435)&lt;=0,N($R435)+N($S435)&lt;=0),"No area information",""))))))))</f>
        <v/>
      </c>
      <c r="AB435" s="22">
        <f>IF(AND($A435="",$B435=""),"",IF($K435="Point",N($L435),IF(N($N435)&gt;0,N($N435),N($L435))))</f>
        <v/>
      </c>
      <c r="AC435" s="22">
        <f>IF(AND($A435="",$B435=""),"",MIN(AB435,IF(N($J435)=0,0,IF(N($J435)=2,AB435,IF(AND($K435&lt;&gt;"Point",N($O435)&gt;0),N($O435),N($M435))))))</f>
        <v/>
      </c>
      <c r="AD435" s="22">
        <f>IF(AND($A435="",$B435=""),"",MAX(0,AB435-AC435))</f>
        <v/>
      </c>
      <c r="AE435" s="21">
        <f>IF(AND($A435="",$B435=""),"",IF(OR($R435&lt;&gt;"",$S435&lt;&gt;""),1,0))</f>
        <v/>
      </c>
      <c r="AF435" s="22">
        <f>IF(AND($A435="",$B435=""),"",IF(Z435=1,IF(AE435=1,N($R435),AD435),0))</f>
        <v/>
      </c>
      <c r="AG435" s="22">
        <f>IF(AND($A435="",$B435=""),"",IF(Z435=1,IF(AE435=1,N($S435),AC435),0))</f>
        <v/>
      </c>
      <c r="AH435" s="21">
        <f>IF(AND($A435="",$B435=""),"",IF(AND(ISNUMBER($I435),N($I435)&gt;0),$I435,0))</f>
        <v/>
      </c>
      <c r="AI435" s="23">
        <f>IF(AND(NOT(AND($A435="",$B435="")),$K435="Point",N($L435)&gt;0),SQRT(N($L435)/PI()),"")</f>
        <v/>
      </c>
      <c r="AJ435" s="21">
        <f>IF(AND($A435="",$B435=""),"",IFERROR(VLOOKUP($G435,Lists!$D$4:$E$15,2,FALSE),"Not reported"))</f>
        <v/>
      </c>
      <c r="AK435" s="21">
        <f>IF(AND($A435="",$B435=""),"",IF($X435&lt;&gt;"",$X435,IF($T435&lt;&gt;"Y","Not assessed",IF(AND(ISNUMBER($V435),Setup!$B$6-$V435&gt;Setup!$B$26),"Assessment outdated",IF(NOT(ISNUMBER($W435)),"Assessed – no score",IF($W435&gt;=Setup!$B$24,"High",IF($W435&gt;=Setup!$B$25,"Moderate","Low")))))))</f>
        <v/>
      </c>
      <c r="AL435" s="21">
        <f>IF(AND($A435="",$B435=""),"",IF(Z435=0,"",IF(AND(AE435=1,N($R435)&gt;AD435*1.01+0.001),"Net terrestrial &gt; gross; ","")&amp;IF(AND(AE435=1,N($S435)&gt;AC435*1.01+0.001),"Net marine &gt; gross; ","")&amp;IF(AE435=0,"No net area – gross used, overlaps may be double-counted; ","")&amp;IF(AH435=0,"STATUS_YR missing – imputed in time series; ","")&amp;IF(AND(ISNUMBER($I435),N($I435)&gt;Setup!$B$6),"STATUS_YR after reporting year; ","")&amp;IF(OR($G435="",$G435="Not Reported"),"GOV_TYPE not reported; ","")&amp;IF(AND(N($J435)=1,$K435="Point",N($M435)&lt;=0),"Coastal point without REP_M_AREA – land/sea split unknown; ","")&amp;IF(AND(N($J435)=0,N($S435)&gt;0),"MARINE=0 but net marine &gt;0; ","")&amp;IF(AND(N($J435)=2,N($R435)&gt;0),"MARINE=2 but net terrestrial &gt;0; ","")&amp;IF($K435="Point","Buffered point – coverage approximate; ","")))</f>
        <v/>
      </c>
    </row>
    <row r="436">
      <c r="A436" s="19" t="n"/>
      <c r="B436" s="19" t="n"/>
      <c r="C436" s="19" t="n"/>
      <c r="D436" s="19" t="n"/>
      <c r="E436" s="19" t="n"/>
      <c r="F436" s="19" t="n"/>
      <c r="G436" s="19" t="n"/>
      <c r="H436" s="19" t="n"/>
      <c r="I436" s="19" t="n"/>
      <c r="J436" s="19" t="n"/>
      <c r="K436" s="19" t="n"/>
      <c r="L436" s="20" t="n"/>
      <c r="M436" s="20" t="n"/>
      <c r="N436" s="20" t="n"/>
      <c r="O436" s="20" t="n"/>
      <c r="P436" s="19" t="n"/>
      <c r="Q436" s="19" t="n"/>
      <c r="R436" s="20" t="n"/>
      <c r="S436" s="20" t="n"/>
      <c r="T436" s="19" t="n"/>
      <c r="U436" s="19" t="n"/>
      <c r="V436" s="19" t="n"/>
      <c r="W436" s="19" t="n"/>
      <c r="X436" s="19" t="n"/>
      <c r="Y436" s="19" t="n"/>
      <c r="Z436" s="21">
        <f>IF(AND($A436="",$B436=""),"",IF(OR($E436="",$H436="",$H436="Proposed",$H436="Not Reported"),0,IF(AND($P436="Y",$Q436&lt;&gt;"Y"),0,IF(AND($K436="Point",N($L436)&lt;=0),0,IF(AND(N($L436)&lt;=0,N($N436)&lt;=0,N($R436)+N($S436)&lt;=0),0,1)))))</f>
        <v/>
      </c>
      <c r="AA436" s="21">
        <f>IF(AND($A436="",$B436=""),"",IF($E436="","Site type missing",IF($H436="","STATUS missing",IF($H436="Proposed","STATUS = Proposed",IF($H436="Not Reported","STATUS = Not Reported",IF(AND($P436="Y",$Q436&lt;&gt;"Y"),"UNESCO-MAB Biosphere Reserve",IF(AND($K436="Point",N($L436)&lt;=0),"Point without REP_AREA",IF(AND(N($L436)&lt;=0,N($N436)&lt;=0,N($R436)+N($S436)&lt;=0),"No area information",""))))))))</f>
        <v/>
      </c>
      <c r="AB436" s="22">
        <f>IF(AND($A436="",$B436=""),"",IF($K436="Point",N($L436),IF(N($N436)&gt;0,N($N436),N($L436))))</f>
        <v/>
      </c>
      <c r="AC436" s="22">
        <f>IF(AND($A436="",$B436=""),"",MIN(AB436,IF(N($J436)=0,0,IF(N($J436)=2,AB436,IF(AND($K436&lt;&gt;"Point",N($O436)&gt;0),N($O436),N($M436))))))</f>
        <v/>
      </c>
      <c r="AD436" s="22">
        <f>IF(AND($A436="",$B436=""),"",MAX(0,AB436-AC436))</f>
        <v/>
      </c>
      <c r="AE436" s="21">
        <f>IF(AND($A436="",$B436=""),"",IF(OR($R436&lt;&gt;"",$S436&lt;&gt;""),1,0))</f>
        <v/>
      </c>
      <c r="AF436" s="22">
        <f>IF(AND($A436="",$B436=""),"",IF(Z436=1,IF(AE436=1,N($R436),AD436),0))</f>
        <v/>
      </c>
      <c r="AG436" s="22">
        <f>IF(AND($A436="",$B436=""),"",IF(Z436=1,IF(AE436=1,N($S436),AC436),0))</f>
        <v/>
      </c>
      <c r="AH436" s="21">
        <f>IF(AND($A436="",$B436=""),"",IF(AND(ISNUMBER($I436),N($I436)&gt;0),$I436,0))</f>
        <v/>
      </c>
      <c r="AI436" s="23">
        <f>IF(AND(NOT(AND($A436="",$B436="")),$K436="Point",N($L436)&gt;0),SQRT(N($L436)/PI()),"")</f>
        <v/>
      </c>
      <c r="AJ436" s="21">
        <f>IF(AND($A436="",$B436=""),"",IFERROR(VLOOKUP($G436,Lists!$D$4:$E$15,2,FALSE),"Not reported"))</f>
        <v/>
      </c>
      <c r="AK436" s="21">
        <f>IF(AND($A436="",$B436=""),"",IF($X436&lt;&gt;"",$X436,IF($T436&lt;&gt;"Y","Not assessed",IF(AND(ISNUMBER($V436),Setup!$B$6-$V436&gt;Setup!$B$26),"Assessment outdated",IF(NOT(ISNUMBER($W436)),"Assessed – no score",IF($W436&gt;=Setup!$B$24,"High",IF($W436&gt;=Setup!$B$25,"Moderate","Low")))))))</f>
        <v/>
      </c>
      <c r="AL436" s="21">
        <f>IF(AND($A436="",$B436=""),"",IF(Z436=0,"",IF(AND(AE436=1,N($R436)&gt;AD436*1.01+0.001),"Net terrestrial &gt; gross; ","")&amp;IF(AND(AE436=1,N($S436)&gt;AC436*1.01+0.001),"Net marine &gt; gross; ","")&amp;IF(AE436=0,"No net area – gross used, overlaps may be double-counted; ","")&amp;IF(AH436=0,"STATUS_YR missing – imputed in time series; ","")&amp;IF(AND(ISNUMBER($I436),N($I436)&gt;Setup!$B$6),"STATUS_YR after reporting year; ","")&amp;IF(OR($G436="",$G436="Not Reported"),"GOV_TYPE not reported; ","")&amp;IF(AND(N($J436)=1,$K436="Point",N($M436)&lt;=0),"Coastal point without REP_M_AREA – land/sea split unknown; ","")&amp;IF(AND(N($J436)=0,N($S436)&gt;0),"MARINE=0 but net marine &gt;0; ","")&amp;IF(AND(N($J436)=2,N($R436)&gt;0),"MARINE=2 but net terrestrial &gt;0; ","")&amp;IF($K436="Point","Buffered point – coverage approximate; ","")))</f>
        <v/>
      </c>
    </row>
    <row r="437">
      <c r="A437" s="19" t="n"/>
      <c r="B437" s="19" t="n"/>
      <c r="C437" s="19" t="n"/>
      <c r="D437" s="19" t="n"/>
      <c r="E437" s="19" t="n"/>
      <c r="F437" s="19" t="n"/>
      <c r="G437" s="19" t="n"/>
      <c r="H437" s="19" t="n"/>
      <c r="I437" s="19" t="n"/>
      <c r="J437" s="19" t="n"/>
      <c r="K437" s="19" t="n"/>
      <c r="L437" s="20" t="n"/>
      <c r="M437" s="20" t="n"/>
      <c r="N437" s="20" t="n"/>
      <c r="O437" s="20" t="n"/>
      <c r="P437" s="19" t="n"/>
      <c r="Q437" s="19" t="n"/>
      <c r="R437" s="20" t="n"/>
      <c r="S437" s="20" t="n"/>
      <c r="T437" s="19" t="n"/>
      <c r="U437" s="19" t="n"/>
      <c r="V437" s="19" t="n"/>
      <c r="W437" s="19" t="n"/>
      <c r="X437" s="19" t="n"/>
      <c r="Y437" s="19" t="n"/>
      <c r="Z437" s="21">
        <f>IF(AND($A437="",$B437=""),"",IF(OR($E437="",$H437="",$H437="Proposed",$H437="Not Reported"),0,IF(AND($P437="Y",$Q437&lt;&gt;"Y"),0,IF(AND($K437="Point",N($L437)&lt;=0),0,IF(AND(N($L437)&lt;=0,N($N437)&lt;=0,N($R437)+N($S437)&lt;=0),0,1)))))</f>
        <v/>
      </c>
      <c r="AA437" s="21">
        <f>IF(AND($A437="",$B437=""),"",IF($E437="","Site type missing",IF($H437="","STATUS missing",IF($H437="Proposed","STATUS = Proposed",IF($H437="Not Reported","STATUS = Not Reported",IF(AND($P437="Y",$Q437&lt;&gt;"Y"),"UNESCO-MAB Biosphere Reserve",IF(AND($K437="Point",N($L437)&lt;=0),"Point without REP_AREA",IF(AND(N($L437)&lt;=0,N($N437)&lt;=0,N($R437)+N($S437)&lt;=0),"No area information",""))))))))</f>
        <v/>
      </c>
      <c r="AB437" s="22">
        <f>IF(AND($A437="",$B437=""),"",IF($K437="Point",N($L437),IF(N($N437)&gt;0,N($N437),N($L437))))</f>
        <v/>
      </c>
      <c r="AC437" s="22">
        <f>IF(AND($A437="",$B437=""),"",MIN(AB437,IF(N($J437)=0,0,IF(N($J437)=2,AB437,IF(AND($K437&lt;&gt;"Point",N($O437)&gt;0),N($O437),N($M437))))))</f>
        <v/>
      </c>
      <c r="AD437" s="22">
        <f>IF(AND($A437="",$B437=""),"",MAX(0,AB437-AC437))</f>
        <v/>
      </c>
      <c r="AE437" s="21">
        <f>IF(AND($A437="",$B437=""),"",IF(OR($R437&lt;&gt;"",$S437&lt;&gt;""),1,0))</f>
        <v/>
      </c>
      <c r="AF437" s="22">
        <f>IF(AND($A437="",$B437=""),"",IF(Z437=1,IF(AE437=1,N($R437),AD437),0))</f>
        <v/>
      </c>
      <c r="AG437" s="22">
        <f>IF(AND($A437="",$B437=""),"",IF(Z437=1,IF(AE437=1,N($S437),AC437),0))</f>
        <v/>
      </c>
      <c r="AH437" s="21">
        <f>IF(AND($A437="",$B437=""),"",IF(AND(ISNUMBER($I437),N($I437)&gt;0),$I437,0))</f>
        <v/>
      </c>
      <c r="AI437" s="23">
        <f>IF(AND(NOT(AND($A437="",$B437="")),$K437="Point",N($L437)&gt;0),SQRT(N($L437)/PI()),"")</f>
        <v/>
      </c>
      <c r="AJ437" s="21">
        <f>IF(AND($A437="",$B437=""),"",IFERROR(VLOOKUP($G437,Lists!$D$4:$E$15,2,FALSE),"Not reported"))</f>
        <v/>
      </c>
      <c r="AK437" s="21">
        <f>IF(AND($A437="",$B437=""),"",IF($X437&lt;&gt;"",$X437,IF($T437&lt;&gt;"Y","Not assessed",IF(AND(ISNUMBER($V437),Setup!$B$6-$V437&gt;Setup!$B$26),"Assessment outdated",IF(NOT(ISNUMBER($W437)),"Assessed – no score",IF($W437&gt;=Setup!$B$24,"High",IF($W437&gt;=Setup!$B$25,"Moderate","Low")))))))</f>
        <v/>
      </c>
      <c r="AL437" s="21">
        <f>IF(AND($A437="",$B437=""),"",IF(Z437=0,"",IF(AND(AE437=1,N($R437)&gt;AD437*1.01+0.001),"Net terrestrial &gt; gross; ","")&amp;IF(AND(AE437=1,N($S437)&gt;AC437*1.01+0.001),"Net marine &gt; gross; ","")&amp;IF(AE437=0,"No net area – gross used, overlaps may be double-counted; ","")&amp;IF(AH437=0,"STATUS_YR missing – imputed in time series; ","")&amp;IF(AND(ISNUMBER($I437),N($I437)&gt;Setup!$B$6),"STATUS_YR after reporting year; ","")&amp;IF(OR($G437="",$G437="Not Reported"),"GOV_TYPE not reported; ","")&amp;IF(AND(N($J437)=1,$K437="Point",N($M437)&lt;=0),"Coastal point without REP_M_AREA – land/sea split unknown; ","")&amp;IF(AND(N($J437)=0,N($S437)&gt;0),"MARINE=0 but net marine &gt;0; ","")&amp;IF(AND(N($J437)=2,N($R437)&gt;0),"MARINE=2 but net terrestrial &gt;0; ","")&amp;IF($K437="Point","Buffered point – coverage approximate; ","")))</f>
        <v/>
      </c>
    </row>
    <row r="438">
      <c r="A438" s="19" t="n"/>
      <c r="B438" s="19" t="n"/>
      <c r="C438" s="19" t="n"/>
      <c r="D438" s="19" t="n"/>
      <c r="E438" s="19" t="n"/>
      <c r="F438" s="19" t="n"/>
      <c r="G438" s="19" t="n"/>
      <c r="H438" s="19" t="n"/>
      <c r="I438" s="19" t="n"/>
      <c r="J438" s="19" t="n"/>
      <c r="K438" s="19" t="n"/>
      <c r="L438" s="20" t="n"/>
      <c r="M438" s="20" t="n"/>
      <c r="N438" s="20" t="n"/>
      <c r="O438" s="20" t="n"/>
      <c r="P438" s="19" t="n"/>
      <c r="Q438" s="19" t="n"/>
      <c r="R438" s="20" t="n"/>
      <c r="S438" s="20" t="n"/>
      <c r="T438" s="19" t="n"/>
      <c r="U438" s="19" t="n"/>
      <c r="V438" s="19" t="n"/>
      <c r="W438" s="19" t="n"/>
      <c r="X438" s="19" t="n"/>
      <c r="Y438" s="19" t="n"/>
      <c r="Z438" s="21">
        <f>IF(AND($A438="",$B438=""),"",IF(OR($E438="",$H438="",$H438="Proposed",$H438="Not Reported"),0,IF(AND($P438="Y",$Q438&lt;&gt;"Y"),0,IF(AND($K438="Point",N($L438)&lt;=0),0,IF(AND(N($L438)&lt;=0,N($N438)&lt;=0,N($R438)+N($S438)&lt;=0),0,1)))))</f>
        <v/>
      </c>
      <c r="AA438" s="21">
        <f>IF(AND($A438="",$B438=""),"",IF($E438="","Site type missing",IF($H438="","STATUS missing",IF($H438="Proposed","STATUS = Proposed",IF($H438="Not Reported","STATUS = Not Reported",IF(AND($P438="Y",$Q438&lt;&gt;"Y"),"UNESCO-MAB Biosphere Reserve",IF(AND($K438="Point",N($L438)&lt;=0),"Point without REP_AREA",IF(AND(N($L438)&lt;=0,N($N438)&lt;=0,N($R438)+N($S438)&lt;=0),"No area information",""))))))))</f>
        <v/>
      </c>
      <c r="AB438" s="22">
        <f>IF(AND($A438="",$B438=""),"",IF($K438="Point",N($L438),IF(N($N438)&gt;0,N($N438),N($L438))))</f>
        <v/>
      </c>
      <c r="AC438" s="22">
        <f>IF(AND($A438="",$B438=""),"",MIN(AB438,IF(N($J438)=0,0,IF(N($J438)=2,AB438,IF(AND($K438&lt;&gt;"Point",N($O438)&gt;0),N($O438),N($M438))))))</f>
        <v/>
      </c>
      <c r="AD438" s="22">
        <f>IF(AND($A438="",$B438=""),"",MAX(0,AB438-AC438))</f>
        <v/>
      </c>
      <c r="AE438" s="21">
        <f>IF(AND($A438="",$B438=""),"",IF(OR($R438&lt;&gt;"",$S438&lt;&gt;""),1,0))</f>
        <v/>
      </c>
      <c r="AF438" s="22">
        <f>IF(AND($A438="",$B438=""),"",IF(Z438=1,IF(AE438=1,N($R438),AD438),0))</f>
        <v/>
      </c>
      <c r="AG438" s="22">
        <f>IF(AND($A438="",$B438=""),"",IF(Z438=1,IF(AE438=1,N($S438),AC438),0))</f>
        <v/>
      </c>
      <c r="AH438" s="21">
        <f>IF(AND($A438="",$B438=""),"",IF(AND(ISNUMBER($I438),N($I438)&gt;0),$I438,0))</f>
        <v/>
      </c>
      <c r="AI438" s="23">
        <f>IF(AND(NOT(AND($A438="",$B438="")),$K438="Point",N($L438)&gt;0),SQRT(N($L438)/PI()),"")</f>
        <v/>
      </c>
      <c r="AJ438" s="21">
        <f>IF(AND($A438="",$B438=""),"",IFERROR(VLOOKUP($G438,Lists!$D$4:$E$15,2,FALSE),"Not reported"))</f>
        <v/>
      </c>
      <c r="AK438" s="21">
        <f>IF(AND($A438="",$B438=""),"",IF($X438&lt;&gt;"",$X438,IF($T438&lt;&gt;"Y","Not assessed",IF(AND(ISNUMBER($V438),Setup!$B$6-$V438&gt;Setup!$B$26),"Assessment outdated",IF(NOT(ISNUMBER($W438)),"Assessed – no score",IF($W438&gt;=Setup!$B$24,"High",IF($W438&gt;=Setup!$B$25,"Moderate","Low")))))))</f>
        <v/>
      </c>
      <c r="AL438" s="21">
        <f>IF(AND($A438="",$B438=""),"",IF(Z438=0,"",IF(AND(AE438=1,N($R438)&gt;AD438*1.01+0.001),"Net terrestrial &gt; gross; ","")&amp;IF(AND(AE438=1,N($S438)&gt;AC438*1.01+0.001),"Net marine &gt; gross; ","")&amp;IF(AE438=0,"No net area – gross used, overlaps may be double-counted; ","")&amp;IF(AH438=0,"STATUS_YR missing – imputed in time series; ","")&amp;IF(AND(ISNUMBER($I438),N($I438)&gt;Setup!$B$6),"STATUS_YR after reporting year; ","")&amp;IF(OR($G438="",$G438="Not Reported"),"GOV_TYPE not reported; ","")&amp;IF(AND(N($J438)=1,$K438="Point",N($M438)&lt;=0),"Coastal point without REP_M_AREA – land/sea split unknown; ","")&amp;IF(AND(N($J438)=0,N($S438)&gt;0),"MARINE=0 but net marine &gt;0; ","")&amp;IF(AND(N($J438)=2,N($R438)&gt;0),"MARINE=2 but net terrestrial &gt;0; ","")&amp;IF($K438="Point","Buffered point – coverage approximate; ","")))</f>
        <v/>
      </c>
    </row>
    <row r="439">
      <c r="A439" s="19" t="n"/>
      <c r="B439" s="19" t="n"/>
      <c r="C439" s="19" t="n"/>
      <c r="D439" s="19" t="n"/>
      <c r="E439" s="19" t="n"/>
      <c r="F439" s="19" t="n"/>
      <c r="G439" s="19" t="n"/>
      <c r="H439" s="19" t="n"/>
      <c r="I439" s="19" t="n"/>
      <c r="J439" s="19" t="n"/>
      <c r="K439" s="19" t="n"/>
      <c r="L439" s="20" t="n"/>
      <c r="M439" s="20" t="n"/>
      <c r="N439" s="20" t="n"/>
      <c r="O439" s="20" t="n"/>
      <c r="P439" s="19" t="n"/>
      <c r="Q439" s="19" t="n"/>
      <c r="R439" s="20" t="n"/>
      <c r="S439" s="20" t="n"/>
      <c r="T439" s="19" t="n"/>
      <c r="U439" s="19" t="n"/>
      <c r="V439" s="19" t="n"/>
      <c r="W439" s="19" t="n"/>
      <c r="X439" s="19" t="n"/>
      <c r="Y439" s="19" t="n"/>
      <c r="Z439" s="21">
        <f>IF(AND($A439="",$B439=""),"",IF(OR($E439="",$H439="",$H439="Proposed",$H439="Not Reported"),0,IF(AND($P439="Y",$Q439&lt;&gt;"Y"),0,IF(AND($K439="Point",N($L439)&lt;=0),0,IF(AND(N($L439)&lt;=0,N($N439)&lt;=0,N($R439)+N($S439)&lt;=0),0,1)))))</f>
        <v/>
      </c>
      <c r="AA439" s="21">
        <f>IF(AND($A439="",$B439=""),"",IF($E439="","Site type missing",IF($H439="","STATUS missing",IF($H439="Proposed","STATUS = Proposed",IF($H439="Not Reported","STATUS = Not Reported",IF(AND($P439="Y",$Q439&lt;&gt;"Y"),"UNESCO-MAB Biosphere Reserve",IF(AND($K439="Point",N($L439)&lt;=0),"Point without REP_AREA",IF(AND(N($L439)&lt;=0,N($N439)&lt;=0,N($R439)+N($S439)&lt;=0),"No area information",""))))))))</f>
        <v/>
      </c>
      <c r="AB439" s="22">
        <f>IF(AND($A439="",$B439=""),"",IF($K439="Point",N($L439),IF(N($N439)&gt;0,N($N439),N($L439))))</f>
        <v/>
      </c>
      <c r="AC439" s="22">
        <f>IF(AND($A439="",$B439=""),"",MIN(AB439,IF(N($J439)=0,0,IF(N($J439)=2,AB439,IF(AND($K439&lt;&gt;"Point",N($O439)&gt;0),N($O439),N($M439))))))</f>
        <v/>
      </c>
      <c r="AD439" s="22">
        <f>IF(AND($A439="",$B439=""),"",MAX(0,AB439-AC439))</f>
        <v/>
      </c>
      <c r="AE439" s="21">
        <f>IF(AND($A439="",$B439=""),"",IF(OR($R439&lt;&gt;"",$S439&lt;&gt;""),1,0))</f>
        <v/>
      </c>
      <c r="AF439" s="22">
        <f>IF(AND($A439="",$B439=""),"",IF(Z439=1,IF(AE439=1,N($R439),AD439),0))</f>
        <v/>
      </c>
      <c r="AG439" s="22">
        <f>IF(AND($A439="",$B439=""),"",IF(Z439=1,IF(AE439=1,N($S439),AC439),0))</f>
        <v/>
      </c>
      <c r="AH439" s="21">
        <f>IF(AND($A439="",$B439=""),"",IF(AND(ISNUMBER($I439),N($I439)&gt;0),$I439,0))</f>
        <v/>
      </c>
      <c r="AI439" s="23">
        <f>IF(AND(NOT(AND($A439="",$B439="")),$K439="Point",N($L439)&gt;0),SQRT(N($L439)/PI()),"")</f>
        <v/>
      </c>
      <c r="AJ439" s="21">
        <f>IF(AND($A439="",$B439=""),"",IFERROR(VLOOKUP($G439,Lists!$D$4:$E$15,2,FALSE),"Not reported"))</f>
        <v/>
      </c>
      <c r="AK439" s="21">
        <f>IF(AND($A439="",$B439=""),"",IF($X439&lt;&gt;"",$X439,IF($T439&lt;&gt;"Y","Not assessed",IF(AND(ISNUMBER($V439),Setup!$B$6-$V439&gt;Setup!$B$26),"Assessment outdated",IF(NOT(ISNUMBER($W439)),"Assessed – no score",IF($W439&gt;=Setup!$B$24,"High",IF($W439&gt;=Setup!$B$25,"Moderate","Low")))))))</f>
        <v/>
      </c>
      <c r="AL439" s="21">
        <f>IF(AND($A439="",$B439=""),"",IF(Z439=0,"",IF(AND(AE439=1,N($R439)&gt;AD439*1.01+0.001),"Net terrestrial &gt; gross; ","")&amp;IF(AND(AE439=1,N($S439)&gt;AC439*1.01+0.001),"Net marine &gt; gross; ","")&amp;IF(AE439=0,"No net area – gross used, overlaps may be double-counted; ","")&amp;IF(AH439=0,"STATUS_YR missing – imputed in time series; ","")&amp;IF(AND(ISNUMBER($I439),N($I439)&gt;Setup!$B$6),"STATUS_YR after reporting year; ","")&amp;IF(OR($G439="",$G439="Not Reported"),"GOV_TYPE not reported; ","")&amp;IF(AND(N($J439)=1,$K439="Point",N($M439)&lt;=0),"Coastal point without REP_M_AREA – land/sea split unknown; ","")&amp;IF(AND(N($J439)=0,N($S439)&gt;0),"MARINE=0 but net marine &gt;0; ","")&amp;IF(AND(N($J439)=2,N($R439)&gt;0),"MARINE=2 but net terrestrial &gt;0; ","")&amp;IF($K439="Point","Buffered point – coverage approximate; ","")))</f>
        <v/>
      </c>
    </row>
    <row r="440">
      <c r="A440" s="19" t="n"/>
      <c r="B440" s="19" t="n"/>
      <c r="C440" s="19" t="n"/>
      <c r="D440" s="19" t="n"/>
      <c r="E440" s="19" t="n"/>
      <c r="F440" s="19" t="n"/>
      <c r="G440" s="19" t="n"/>
      <c r="H440" s="19" t="n"/>
      <c r="I440" s="19" t="n"/>
      <c r="J440" s="19" t="n"/>
      <c r="K440" s="19" t="n"/>
      <c r="L440" s="20" t="n"/>
      <c r="M440" s="20" t="n"/>
      <c r="N440" s="20" t="n"/>
      <c r="O440" s="20" t="n"/>
      <c r="P440" s="19" t="n"/>
      <c r="Q440" s="19" t="n"/>
      <c r="R440" s="20" t="n"/>
      <c r="S440" s="20" t="n"/>
      <c r="T440" s="19" t="n"/>
      <c r="U440" s="19" t="n"/>
      <c r="V440" s="19" t="n"/>
      <c r="W440" s="19" t="n"/>
      <c r="X440" s="19" t="n"/>
      <c r="Y440" s="19" t="n"/>
      <c r="Z440" s="21">
        <f>IF(AND($A440="",$B440=""),"",IF(OR($E440="",$H440="",$H440="Proposed",$H440="Not Reported"),0,IF(AND($P440="Y",$Q440&lt;&gt;"Y"),0,IF(AND($K440="Point",N($L440)&lt;=0),0,IF(AND(N($L440)&lt;=0,N($N440)&lt;=0,N($R440)+N($S440)&lt;=0),0,1)))))</f>
        <v/>
      </c>
      <c r="AA440" s="21">
        <f>IF(AND($A440="",$B440=""),"",IF($E440="","Site type missing",IF($H440="","STATUS missing",IF($H440="Proposed","STATUS = Proposed",IF($H440="Not Reported","STATUS = Not Reported",IF(AND($P440="Y",$Q440&lt;&gt;"Y"),"UNESCO-MAB Biosphere Reserve",IF(AND($K440="Point",N($L440)&lt;=0),"Point without REP_AREA",IF(AND(N($L440)&lt;=0,N($N440)&lt;=0,N($R440)+N($S440)&lt;=0),"No area information",""))))))))</f>
        <v/>
      </c>
      <c r="AB440" s="22">
        <f>IF(AND($A440="",$B440=""),"",IF($K440="Point",N($L440),IF(N($N440)&gt;0,N($N440),N($L440))))</f>
        <v/>
      </c>
      <c r="AC440" s="22">
        <f>IF(AND($A440="",$B440=""),"",MIN(AB440,IF(N($J440)=0,0,IF(N($J440)=2,AB440,IF(AND($K440&lt;&gt;"Point",N($O440)&gt;0),N($O440),N($M440))))))</f>
        <v/>
      </c>
      <c r="AD440" s="22">
        <f>IF(AND($A440="",$B440=""),"",MAX(0,AB440-AC440))</f>
        <v/>
      </c>
      <c r="AE440" s="21">
        <f>IF(AND($A440="",$B440=""),"",IF(OR($R440&lt;&gt;"",$S440&lt;&gt;""),1,0))</f>
        <v/>
      </c>
      <c r="AF440" s="22">
        <f>IF(AND($A440="",$B440=""),"",IF(Z440=1,IF(AE440=1,N($R440),AD440),0))</f>
        <v/>
      </c>
      <c r="AG440" s="22">
        <f>IF(AND($A440="",$B440=""),"",IF(Z440=1,IF(AE440=1,N($S440),AC440),0))</f>
        <v/>
      </c>
      <c r="AH440" s="21">
        <f>IF(AND($A440="",$B440=""),"",IF(AND(ISNUMBER($I440),N($I440)&gt;0),$I440,0))</f>
        <v/>
      </c>
      <c r="AI440" s="23">
        <f>IF(AND(NOT(AND($A440="",$B440="")),$K440="Point",N($L440)&gt;0),SQRT(N($L440)/PI()),"")</f>
        <v/>
      </c>
      <c r="AJ440" s="21">
        <f>IF(AND($A440="",$B440=""),"",IFERROR(VLOOKUP($G440,Lists!$D$4:$E$15,2,FALSE),"Not reported"))</f>
        <v/>
      </c>
      <c r="AK440" s="21">
        <f>IF(AND($A440="",$B440=""),"",IF($X440&lt;&gt;"",$X440,IF($T440&lt;&gt;"Y","Not assessed",IF(AND(ISNUMBER($V440),Setup!$B$6-$V440&gt;Setup!$B$26),"Assessment outdated",IF(NOT(ISNUMBER($W440)),"Assessed – no score",IF($W440&gt;=Setup!$B$24,"High",IF($W440&gt;=Setup!$B$25,"Moderate","Low")))))))</f>
        <v/>
      </c>
      <c r="AL440" s="21">
        <f>IF(AND($A440="",$B440=""),"",IF(Z440=0,"",IF(AND(AE440=1,N($R440)&gt;AD440*1.01+0.001),"Net terrestrial &gt; gross; ","")&amp;IF(AND(AE440=1,N($S440)&gt;AC440*1.01+0.001),"Net marine &gt; gross; ","")&amp;IF(AE440=0,"No net area – gross used, overlaps may be double-counted; ","")&amp;IF(AH440=0,"STATUS_YR missing – imputed in time series; ","")&amp;IF(AND(ISNUMBER($I440),N($I440)&gt;Setup!$B$6),"STATUS_YR after reporting year; ","")&amp;IF(OR($G440="",$G440="Not Reported"),"GOV_TYPE not reported; ","")&amp;IF(AND(N($J440)=1,$K440="Point",N($M440)&lt;=0),"Coastal point without REP_M_AREA – land/sea split unknown; ","")&amp;IF(AND(N($J440)=0,N($S440)&gt;0),"MARINE=0 but net marine &gt;0; ","")&amp;IF(AND(N($J440)=2,N($R440)&gt;0),"MARINE=2 but net terrestrial &gt;0; ","")&amp;IF($K440="Point","Buffered point – coverage approximate; ","")))</f>
        <v/>
      </c>
    </row>
    <row r="441">
      <c r="A441" s="19" t="n"/>
      <c r="B441" s="19" t="n"/>
      <c r="C441" s="19" t="n"/>
      <c r="D441" s="19" t="n"/>
      <c r="E441" s="19" t="n"/>
      <c r="F441" s="19" t="n"/>
      <c r="G441" s="19" t="n"/>
      <c r="H441" s="19" t="n"/>
      <c r="I441" s="19" t="n"/>
      <c r="J441" s="19" t="n"/>
      <c r="K441" s="19" t="n"/>
      <c r="L441" s="20" t="n"/>
      <c r="M441" s="20" t="n"/>
      <c r="N441" s="20" t="n"/>
      <c r="O441" s="20" t="n"/>
      <c r="P441" s="19" t="n"/>
      <c r="Q441" s="19" t="n"/>
      <c r="R441" s="20" t="n"/>
      <c r="S441" s="20" t="n"/>
      <c r="T441" s="19" t="n"/>
      <c r="U441" s="19" t="n"/>
      <c r="V441" s="19" t="n"/>
      <c r="W441" s="19" t="n"/>
      <c r="X441" s="19" t="n"/>
      <c r="Y441" s="19" t="n"/>
      <c r="Z441" s="21">
        <f>IF(AND($A441="",$B441=""),"",IF(OR($E441="",$H441="",$H441="Proposed",$H441="Not Reported"),0,IF(AND($P441="Y",$Q441&lt;&gt;"Y"),0,IF(AND($K441="Point",N($L441)&lt;=0),0,IF(AND(N($L441)&lt;=0,N($N441)&lt;=0,N($R441)+N($S441)&lt;=0),0,1)))))</f>
        <v/>
      </c>
      <c r="AA441" s="21">
        <f>IF(AND($A441="",$B441=""),"",IF($E441="","Site type missing",IF($H441="","STATUS missing",IF($H441="Proposed","STATUS = Proposed",IF($H441="Not Reported","STATUS = Not Reported",IF(AND($P441="Y",$Q441&lt;&gt;"Y"),"UNESCO-MAB Biosphere Reserve",IF(AND($K441="Point",N($L441)&lt;=0),"Point without REP_AREA",IF(AND(N($L441)&lt;=0,N($N441)&lt;=0,N($R441)+N($S441)&lt;=0),"No area information",""))))))))</f>
        <v/>
      </c>
      <c r="AB441" s="22">
        <f>IF(AND($A441="",$B441=""),"",IF($K441="Point",N($L441),IF(N($N441)&gt;0,N($N441),N($L441))))</f>
        <v/>
      </c>
      <c r="AC441" s="22">
        <f>IF(AND($A441="",$B441=""),"",MIN(AB441,IF(N($J441)=0,0,IF(N($J441)=2,AB441,IF(AND($K441&lt;&gt;"Point",N($O441)&gt;0),N($O441),N($M441))))))</f>
        <v/>
      </c>
      <c r="AD441" s="22">
        <f>IF(AND($A441="",$B441=""),"",MAX(0,AB441-AC441))</f>
        <v/>
      </c>
      <c r="AE441" s="21">
        <f>IF(AND($A441="",$B441=""),"",IF(OR($R441&lt;&gt;"",$S441&lt;&gt;""),1,0))</f>
        <v/>
      </c>
      <c r="AF441" s="22">
        <f>IF(AND($A441="",$B441=""),"",IF(Z441=1,IF(AE441=1,N($R441),AD441),0))</f>
        <v/>
      </c>
      <c r="AG441" s="22">
        <f>IF(AND($A441="",$B441=""),"",IF(Z441=1,IF(AE441=1,N($S441),AC441),0))</f>
        <v/>
      </c>
      <c r="AH441" s="21">
        <f>IF(AND($A441="",$B441=""),"",IF(AND(ISNUMBER($I441),N($I441)&gt;0),$I441,0))</f>
        <v/>
      </c>
      <c r="AI441" s="23">
        <f>IF(AND(NOT(AND($A441="",$B441="")),$K441="Point",N($L441)&gt;0),SQRT(N($L441)/PI()),"")</f>
        <v/>
      </c>
      <c r="AJ441" s="21">
        <f>IF(AND($A441="",$B441=""),"",IFERROR(VLOOKUP($G441,Lists!$D$4:$E$15,2,FALSE),"Not reported"))</f>
        <v/>
      </c>
      <c r="AK441" s="21">
        <f>IF(AND($A441="",$B441=""),"",IF($X441&lt;&gt;"",$X441,IF($T441&lt;&gt;"Y","Not assessed",IF(AND(ISNUMBER($V441),Setup!$B$6-$V441&gt;Setup!$B$26),"Assessment outdated",IF(NOT(ISNUMBER($W441)),"Assessed – no score",IF($W441&gt;=Setup!$B$24,"High",IF($W441&gt;=Setup!$B$25,"Moderate","Low")))))))</f>
        <v/>
      </c>
      <c r="AL441" s="21">
        <f>IF(AND($A441="",$B441=""),"",IF(Z441=0,"",IF(AND(AE441=1,N($R441)&gt;AD441*1.01+0.001),"Net terrestrial &gt; gross; ","")&amp;IF(AND(AE441=1,N($S441)&gt;AC441*1.01+0.001),"Net marine &gt; gross; ","")&amp;IF(AE441=0,"No net area – gross used, overlaps may be double-counted; ","")&amp;IF(AH441=0,"STATUS_YR missing – imputed in time series; ","")&amp;IF(AND(ISNUMBER($I441),N($I441)&gt;Setup!$B$6),"STATUS_YR after reporting year; ","")&amp;IF(OR($G441="",$G441="Not Reported"),"GOV_TYPE not reported; ","")&amp;IF(AND(N($J441)=1,$K441="Point",N($M441)&lt;=0),"Coastal point without REP_M_AREA – land/sea split unknown; ","")&amp;IF(AND(N($J441)=0,N($S441)&gt;0),"MARINE=0 but net marine &gt;0; ","")&amp;IF(AND(N($J441)=2,N($R441)&gt;0),"MARINE=2 but net terrestrial &gt;0; ","")&amp;IF($K441="Point","Buffered point – coverage approximate; ","")))</f>
        <v/>
      </c>
    </row>
    <row r="442">
      <c r="A442" s="19" t="n"/>
      <c r="B442" s="19" t="n"/>
      <c r="C442" s="19" t="n"/>
      <c r="D442" s="19" t="n"/>
      <c r="E442" s="19" t="n"/>
      <c r="F442" s="19" t="n"/>
      <c r="G442" s="19" t="n"/>
      <c r="H442" s="19" t="n"/>
      <c r="I442" s="19" t="n"/>
      <c r="J442" s="19" t="n"/>
      <c r="K442" s="19" t="n"/>
      <c r="L442" s="20" t="n"/>
      <c r="M442" s="20" t="n"/>
      <c r="N442" s="20" t="n"/>
      <c r="O442" s="20" t="n"/>
      <c r="P442" s="19" t="n"/>
      <c r="Q442" s="19" t="n"/>
      <c r="R442" s="20" t="n"/>
      <c r="S442" s="20" t="n"/>
      <c r="T442" s="19" t="n"/>
      <c r="U442" s="19" t="n"/>
      <c r="V442" s="19" t="n"/>
      <c r="W442" s="19" t="n"/>
      <c r="X442" s="19" t="n"/>
      <c r="Y442" s="19" t="n"/>
      <c r="Z442" s="21">
        <f>IF(AND($A442="",$B442=""),"",IF(OR($E442="",$H442="",$H442="Proposed",$H442="Not Reported"),0,IF(AND($P442="Y",$Q442&lt;&gt;"Y"),0,IF(AND($K442="Point",N($L442)&lt;=0),0,IF(AND(N($L442)&lt;=0,N($N442)&lt;=0,N($R442)+N($S442)&lt;=0),0,1)))))</f>
        <v/>
      </c>
      <c r="AA442" s="21">
        <f>IF(AND($A442="",$B442=""),"",IF($E442="","Site type missing",IF($H442="","STATUS missing",IF($H442="Proposed","STATUS = Proposed",IF($H442="Not Reported","STATUS = Not Reported",IF(AND($P442="Y",$Q442&lt;&gt;"Y"),"UNESCO-MAB Biosphere Reserve",IF(AND($K442="Point",N($L442)&lt;=0),"Point without REP_AREA",IF(AND(N($L442)&lt;=0,N($N442)&lt;=0,N($R442)+N($S442)&lt;=0),"No area information",""))))))))</f>
        <v/>
      </c>
      <c r="AB442" s="22">
        <f>IF(AND($A442="",$B442=""),"",IF($K442="Point",N($L442),IF(N($N442)&gt;0,N($N442),N($L442))))</f>
        <v/>
      </c>
      <c r="AC442" s="22">
        <f>IF(AND($A442="",$B442=""),"",MIN(AB442,IF(N($J442)=0,0,IF(N($J442)=2,AB442,IF(AND($K442&lt;&gt;"Point",N($O442)&gt;0),N($O442),N($M442))))))</f>
        <v/>
      </c>
      <c r="AD442" s="22">
        <f>IF(AND($A442="",$B442=""),"",MAX(0,AB442-AC442))</f>
        <v/>
      </c>
      <c r="AE442" s="21">
        <f>IF(AND($A442="",$B442=""),"",IF(OR($R442&lt;&gt;"",$S442&lt;&gt;""),1,0))</f>
        <v/>
      </c>
      <c r="AF442" s="22">
        <f>IF(AND($A442="",$B442=""),"",IF(Z442=1,IF(AE442=1,N($R442),AD442),0))</f>
        <v/>
      </c>
      <c r="AG442" s="22">
        <f>IF(AND($A442="",$B442=""),"",IF(Z442=1,IF(AE442=1,N($S442),AC442),0))</f>
        <v/>
      </c>
      <c r="AH442" s="21">
        <f>IF(AND($A442="",$B442=""),"",IF(AND(ISNUMBER($I442),N($I442)&gt;0),$I442,0))</f>
        <v/>
      </c>
      <c r="AI442" s="23">
        <f>IF(AND(NOT(AND($A442="",$B442="")),$K442="Point",N($L442)&gt;0),SQRT(N($L442)/PI()),"")</f>
        <v/>
      </c>
      <c r="AJ442" s="21">
        <f>IF(AND($A442="",$B442=""),"",IFERROR(VLOOKUP($G442,Lists!$D$4:$E$15,2,FALSE),"Not reported"))</f>
        <v/>
      </c>
      <c r="AK442" s="21">
        <f>IF(AND($A442="",$B442=""),"",IF($X442&lt;&gt;"",$X442,IF($T442&lt;&gt;"Y","Not assessed",IF(AND(ISNUMBER($V442),Setup!$B$6-$V442&gt;Setup!$B$26),"Assessment outdated",IF(NOT(ISNUMBER($W442)),"Assessed – no score",IF($W442&gt;=Setup!$B$24,"High",IF($W442&gt;=Setup!$B$25,"Moderate","Low")))))))</f>
        <v/>
      </c>
      <c r="AL442" s="21">
        <f>IF(AND($A442="",$B442=""),"",IF(Z442=0,"",IF(AND(AE442=1,N($R442)&gt;AD442*1.01+0.001),"Net terrestrial &gt; gross; ","")&amp;IF(AND(AE442=1,N($S442)&gt;AC442*1.01+0.001),"Net marine &gt; gross; ","")&amp;IF(AE442=0,"No net area – gross used, overlaps may be double-counted; ","")&amp;IF(AH442=0,"STATUS_YR missing – imputed in time series; ","")&amp;IF(AND(ISNUMBER($I442),N($I442)&gt;Setup!$B$6),"STATUS_YR after reporting year; ","")&amp;IF(OR($G442="",$G442="Not Reported"),"GOV_TYPE not reported; ","")&amp;IF(AND(N($J442)=1,$K442="Point",N($M442)&lt;=0),"Coastal point without REP_M_AREA – land/sea split unknown; ","")&amp;IF(AND(N($J442)=0,N($S442)&gt;0),"MARINE=0 but net marine &gt;0; ","")&amp;IF(AND(N($J442)=2,N($R442)&gt;0),"MARINE=2 but net terrestrial &gt;0; ","")&amp;IF($K442="Point","Buffered point – coverage approximate; ","")))</f>
        <v/>
      </c>
    </row>
    <row r="443">
      <c r="A443" s="19" t="n"/>
      <c r="B443" s="19" t="n"/>
      <c r="C443" s="19" t="n"/>
      <c r="D443" s="19" t="n"/>
      <c r="E443" s="19" t="n"/>
      <c r="F443" s="19" t="n"/>
      <c r="G443" s="19" t="n"/>
      <c r="H443" s="19" t="n"/>
      <c r="I443" s="19" t="n"/>
      <c r="J443" s="19" t="n"/>
      <c r="K443" s="19" t="n"/>
      <c r="L443" s="20" t="n"/>
      <c r="M443" s="20" t="n"/>
      <c r="N443" s="20" t="n"/>
      <c r="O443" s="20" t="n"/>
      <c r="P443" s="19" t="n"/>
      <c r="Q443" s="19" t="n"/>
      <c r="R443" s="20" t="n"/>
      <c r="S443" s="20" t="n"/>
      <c r="T443" s="19" t="n"/>
      <c r="U443" s="19" t="n"/>
      <c r="V443" s="19" t="n"/>
      <c r="W443" s="19" t="n"/>
      <c r="X443" s="19" t="n"/>
      <c r="Y443" s="19" t="n"/>
      <c r="Z443" s="21">
        <f>IF(AND($A443="",$B443=""),"",IF(OR($E443="",$H443="",$H443="Proposed",$H443="Not Reported"),0,IF(AND($P443="Y",$Q443&lt;&gt;"Y"),0,IF(AND($K443="Point",N($L443)&lt;=0),0,IF(AND(N($L443)&lt;=0,N($N443)&lt;=0,N($R443)+N($S443)&lt;=0),0,1)))))</f>
        <v/>
      </c>
      <c r="AA443" s="21">
        <f>IF(AND($A443="",$B443=""),"",IF($E443="","Site type missing",IF($H443="","STATUS missing",IF($H443="Proposed","STATUS = Proposed",IF($H443="Not Reported","STATUS = Not Reported",IF(AND($P443="Y",$Q443&lt;&gt;"Y"),"UNESCO-MAB Biosphere Reserve",IF(AND($K443="Point",N($L443)&lt;=0),"Point without REP_AREA",IF(AND(N($L443)&lt;=0,N($N443)&lt;=0,N($R443)+N($S443)&lt;=0),"No area information",""))))))))</f>
        <v/>
      </c>
      <c r="AB443" s="22">
        <f>IF(AND($A443="",$B443=""),"",IF($K443="Point",N($L443),IF(N($N443)&gt;0,N($N443),N($L443))))</f>
        <v/>
      </c>
      <c r="AC443" s="22">
        <f>IF(AND($A443="",$B443=""),"",MIN(AB443,IF(N($J443)=0,0,IF(N($J443)=2,AB443,IF(AND($K443&lt;&gt;"Point",N($O443)&gt;0),N($O443),N($M443))))))</f>
        <v/>
      </c>
      <c r="AD443" s="22">
        <f>IF(AND($A443="",$B443=""),"",MAX(0,AB443-AC443))</f>
        <v/>
      </c>
      <c r="AE443" s="21">
        <f>IF(AND($A443="",$B443=""),"",IF(OR($R443&lt;&gt;"",$S443&lt;&gt;""),1,0))</f>
        <v/>
      </c>
      <c r="AF443" s="22">
        <f>IF(AND($A443="",$B443=""),"",IF(Z443=1,IF(AE443=1,N($R443),AD443),0))</f>
        <v/>
      </c>
      <c r="AG443" s="22">
        <f>IF(AND($A443="",$B443=""),"",IF(Z443=1,IF(AE443=1,N($S443),AC443),0))</f>
        <v/>
      </c>
      <c r="AH443" s="21">
        <f>IF(AND($A443="",$B443=""),"",IF(AND(ISNUMBER($I443),N($I443)&gt;0),$I443,0))</f>
        <v/>
      </c>
      <c r="AI443" s="23">
        <f>IF(AND(NOT(AND($A443="",$B443="")),$K443="Point",N($L443)&gt;0),SQRT(N($L443)/PI()),"")</f>
        <v/>
      </c>
      <c r="AJ443" s="21">
        <f>IF(AND($A443="",$B443=""),"",IFERROR(VLOOKUP($G443,Lists!$D$4:$E$15,2,FALSE),"Not reported"))</f>
        <v/>
      </c>
      <c r="AK443" s="21">
        <f>IF(AND($A443="",$B443=""),"",IF($X443&lt;&gt;"",$X443,IF($T443&lt;&gt;"Y","Not assessed",IF(AND(ISNUMBER($V443),Setup!$B$6-$V443&gt;Setup!$B$26),"Assessment outdated",IF(NOT(ISNUMBER($W443)),"Assessed – no score",IF($W443&gt;=Setup!$B$24,"High",IF($W443&gt;=Setup!$B$25,"Moderate","Low")))))))</f>
        <v/>
      </c>
      <c r="AL443" s="21">
        <f>IF(AND($A443="",$B443=""),"",IF(Z443=0,"",IF(AND(AE443=1,N($R443)&gt;AD443*1.01+0.001),"Net terrestrial &gt; gross; ","")&amp;IF(AND(AE443=1,N($S443)&gt;AC443*1.01+0.001),"Net marine &gt; gross; ","")&amp;IF(AE443=0,"No net area – gross used, overlaps may be double-counted; ","")&amp;IF(AH443=0,"STATUS_YR missing – imputed in time series; ","")&amp;IF(AND(ISNUMBER($I443),N($I443)&gt;Setup!$B$6),"STATUS_YR after reporting year; ","")&amp;IF(OR($G443="",$G443="Not Reported"),"GOV_TYPE not reported; ","")&amp;IF(AND(N($J443)=1,$K443="Point",N($M443)&lt;=0),"Coastal point without REP_M_AREA – land/sea split unknown; ","")&amp;IF(AND(N($J443)=0,N($S443)&gt;0),"MARINE=0 but net marine &gt;0; ","")&amp;IF(AND(N($J443)=2,N($R443)&gt;0),"MARINE=2 but net terrestrial &gt;0; ","")&amp;IF($K443="Point","Buffered point – coverage approximate; ","")))</f>
        <v/>
      </c>
    </row>
    <row r="444">
      <c r="A444" s="19" t="n"/>
      <c r="B444" s="19" t="n"/>
      <c r="C444" s="19" t="n"/>
      <c r="D444" s="19" t="n"/>
      <c r="E444" s="19" t="n"/>
      <c r="F444" s="19" t="n"/>
      <c r="G444" s="19" t="n"/>
      <c r="H444" s="19" t="n"/>
      <c r="I444" s="19" t="n"/>
      <c r="J444" s="19" t="n"/>
      <c r="K444" s="19" t="n"/>
      <c r="L444" s="20" t="n"/>
      <c r="M444" s="20" t="n"/>
      <c r="N444" s="20" t="n"/>
      <c r="O444" s="20" t="n"/>
      <c r="P444" s="19" t="n"/>
      <c r="Q444" s="19" t="n"/>
      <c r="R444" s="20" t="n"/>
      <c r="S444" s="20" t="n"/>
      <c r="T444" s="19" t="n"/>
      <c r="U444" s="19" t="n"/>
      <c r="V444" s="19" t="n"/>
      <c r="W444" s="19" t="n"/>
      <c r="X444" s="19" t="n"/>
      <c r="Y444" s="19" t="n"/>
      <c r="Z444" s="21">
        <f>IF(AND($A444="",$B444=""),"",IF(OR($E444="",$H444="",$H444="Proposed",$H444="Not Reported"),0,IF(AND($P444="Y",$Q444&lt;&gt;"Y"),0,IF(AND($K444="Point",N($L444)&lt;=0),0,IF(AND(N($L444)&lt;=0,N($N444)&lt;=0,N($R444)+N($S444)&lt;=0),0,1)))))</f>
        <v/>
      </c>
      <c r="AA444" s="21">
        <f>IF(AND($A444="",$B444=""),"",IF($E444="","Site type missing",IF($H444="","STATUS missing",IF($H444="Proposed","STATUS = Proposed",IF($H444="Not Reported","STATUS = Not Reported",IF(AND($P444="Y",$Q444&lt;&gt;"Y"),"UNESCO-MAB Biosphere Reserve",IF(AND($K444="Point",N($L444)&lt;=0),"Point without REP_AREA",IF(AND(N($L444)&lt;=0,N($N444)&lt;=0,N($R444)+N($S444)&lt;=0),"No area information",""))))))))</f>
        <v/>
      </c>
      <c r="AB444" s="22">
        <f>IF(AND($A444="",$B444=""),"",IF($K444="Point",N($L444),IF(N($N444)&gt;0,N($N444),N($L444))))</f>
        <v/>
      </c>
      <c r="AC444" s="22">
        <f>IF(AND($A444="",$B444=""),"",MIN(AB444,IF(N($J444)=0,0,IF(N($J444)=2,AB444,IF(AND($K444&lt;&gt;"Point",N($O444)&gt;0),N($O444),N($M444))))))</f>
        <v/>
      </c>
      <c r="AD444" s="22">
        <f>IF(AND($A444="",$B444=""),"",MAX(0,AB444-AC444))</f>
        <v/>
      </c>
      <c r="AE444" s="21">
        <f>IF(AND($A444="",$B444=""),"",IF(OR($R444&lt;&gt;"",$S444&lt;&gt;""),1,0))</f>
        <v/>
      </c>
      <c r="AF444" s="22">
        <f>IF(AND($A444="",$B444=""),"",IF(Z444=1,IF(AE444=1,N($R444),AD444),0))</f>
        <v/>
      </c>
      <c r="AG444" s="22">
        <f>IF(AND($A444="",$B444=""),"",IF(Z444=1,IF(AE444=1,N($S444),AC444),0))</f>
        <v/>
      </c>
      <c r="AH444" s="21">
        <f>IF(AND($A444="",$B444=""),"",IF(AND(ISNUMBER($I444),N($I444)&gt;0),$I444,0))</f>
        <v/>
      </c>
      <c r="AI444" s="23">
        <f>IF(AND(NOT(AND($A444="",$B444="")),$K444="Point",N($L444)&gt;0),SQRT(N($L444)/PI()),"")</f>
        <v/>
      </c>
      <c r="AJ444" s="21">
        <f>IF(AND($A444="",$B444=""),"",IFERROR(VLOOKUP($G444,Lists!$D$4:$E$15,2,FALSE),"Not reported"))</f>
        <v/>
      </c>
      <c r="AK444" s="21">
        <f>IF(AND($A444="",$B444=""),"",IF($X444&lt;&gt;"",$X444,IF($T444&lt;&gt;"Y","Not assessed",IF(AND(ISNUMBER($V444),Setup!$B$6-$V444&gt;Setup!$B$26),"Assessment outdated",IF(NOT(ISNUMBER($W444)),"Assessed – no score",IF($W444&gt;=Setup!$B$24,"High",IF($W444&gt;=Setup!$B$25,"Moderate","Low")))))))</f>
        <v/>
      </c>
      <c r="AL444" s="21">
        <f>IF(AND($A444="",$B444=""),"",IF(Z444=0,"",IF(AND(AE444=1,N($R444)&gt;AD444*1.01+0.001),"Net terrestrial &gt; gross; ","")&amp;IF(AND(AE444=1,N($S444)&gt;AC444*1.01+0.001),"Net marine &gt; gross; ","")&amp;IF(AE444=0,"No net area – gross used, overlaps may be double-counted; ","")&amp;IF(AH444=0,"STATUS_YR missing – imputed in time series; ","")&amp;IF(AND(ISNUMBER($I444),N($I444)&gt;Setup!$B$6),"STATUS_YR after reporting year; ","")&amp;IF(OR($G444="",$G444="Not Reported"),"GOV_TYPE not reported; ","")&amp;IF(AND(N($J444)=1,$K444="Point",N($M444)&lt;=0),"Coastal point without REP_M_AREA – land/sea split unknown; ","")&amp;IF(AND(N($J444)=0,N($S444)&gt;0),"MARINE=0 but net marine &gt;0; ","")&amp;IF(AND(N($J444)=2,N($R444)&gt;0),"MARINE=2 but net terrestrial &gt;0; ","")&amp;IF($K444="Point","Buffered point – coverage approximate; ","")))</f>
        <v/>
      </c>
    </row>
    <row r="445">
      <c r="A445" s="19" t="n"/>
      <c r="B445" s="19" t="n"/>
      <c r="C445" s="19" t="n"/>
      <c r="D445" s="19" t="n"/>
      <c r="E445" s="19" t="n"/>
      <c r="F445" s="19" t="n"/>
      <c r="G445" s="19" t="n"/>
      <c r="H445" s="19" t="n"/>
      <c r="I445" s="19" t="n"/>
      <c r="J445" s="19" t="n"/>
      <c r="K445" s="19" t="n"/>
      <c r="L445" s="20" t="n"/>
      <c r="M445" s="20" t="n"/>
      <c r="N445" s="20" t="n"/>
      <c r="O445" s="20" t="n"/>
      <c r="P445" s="19" t="n"/>
      <c r="Q445" s="19" t="n"/>
      <c r="R445" s="20" t="n"/>
      <c r="S445" s="20" t="n"/>
      <c r="T445" s="19" t="n"/>
      <c r="U445" s="19" t="n"/>
      <c r="V445" s="19" t="n"/>
      <c r="W445" s="19" t="n"/>
      <c r="X445" s="19" t="n"/>
      <c r="Y445" s="19" t="n"/>
      <c r="Z445" s="21">
        <f>IF(AND($A445="",$B445=""),"",IF(OR($E445="",$H445="",$H445="Proposed",$H445="Not Reported"),0,IF(AND($P445="Y",$Q445&lt;&gt;"Y"),0,IF(AND($K445="Point",N($L445)&lt;=0),0,IF(AND(N($L445)&lt;=0,N($N445)&lt;=0,N($R445)+N($S445)&lt;=0),0,1)))))</f>
        <v/>
      </c>
      <c r="AA445" s="21">
        <f>IF(AND($A445="",$B445=""),"",IF($E445="","Site type missing",IF($H445="","STATUS missing",IF($H445="Proposed","STATUS = Proposed",IF($H445="Not Reported","STATUS = Not Reported",IF(AND($P445="Y",$Q445&lt;&gt;"Y"),"UNESCO-MAB Biosphere Reserve",IF(AND($K445="Point",N($L445)&lt;=0),"Point without REP_AREA",IF(AND(N($L445)&lt;=0,N($N445)&lt;=0,N($R445)+N($S445)&lt;=0),"No area information",""))))))))</f>
        <v/>
      </c>
      <c r="AB445" s="22">
        <f>IF(AND($A445="",$B445=""),"",IF($K445="Point",N($L445),IF(N($N445)&gt;0,N($N445),N($L445))))</f>
        <v/>
      </c>
      <c r="AC445" s="22">
        <f>IF(AND($A445="",$B445=""),"",MIN(AB445,IF(N($J445)=0,0,IF(N($J445)=2,AB445,IF(AND($K445&lt;&gt;"Point",N($O445)&gt;0),N($O445),N($M445))))))</f>
        <v/>
      </c>
      <c r="AD445" s="22">
        <f>IF(AND($A445="",$B445=""),"",MAX(0,AB445-AC445))</f>
        <v/>
      </c>
      <c r="AE445" s="21">
        <f>IF(AND($A445="",$B445=""),"",IF(OR($R445&lt;&gt;"",$S445&lt;&gt;""),1,0))</f>
        <v/>
      </c>
      <c r="AF445" s="22">
        <f>IF(AND($A445="",$B445=""),"",IF(Z445=1,IF(AE445=1,N($R445),AD445),0))</f>
        <v/>
      </c>
      <c r="AG445" s="22">
        <f>IF(AND($A445="",$B445=""),"",IF(Z445=1,IF(AE445=1,N($S445),AC445),0))</f>
        <v/>
      </c>
      <c r="AH445" s="21">
        <f>IF(AND($A445="",$B445=""),"",IF(AND(ISNUMBER($I445),N($I445)&gt;0),$I445,0))</f>
        <v/>
      </c>
      <c r="AI445" s="23">
        <f>IF(AND(NOT(AND($A445="",$B445="")),$K445="Point",N($L445)&gt;0),SQRT(N($L445)/PI()),"")</f>
        <v/>
      </c>
      <c r="AJ445" s="21">
        <f>IF(AND($A445="",$B445=""),"",IFERROR(VLOOKUP($G445,Lists!$D$4:$E$15,2,FALSE),"Not reported"))</f>
        <v/>
      </c>
      <c r="AK445" s="21">
        <f>IF(AND($A445="",$B445=""),"",IF($X445&lt;&gt;"",$X445,IF($T445&lt;&gt;"Y","Not assessed",IF(AND(ISNUMBER($V445),Setup!$B$6-$V445&gt;Setup!$B$26),"Assessment outdated",IF(NOT(ISNUMBER($W445)),"Assessed – no score",IF($W445&gt;=Setup!$B$24,"High",IF($W445&gt;=Setup!$B$25,"Moderate","Low")))))))</f>
        <v/>
      </c>
      <c r="AL445" s="21">
        <f>IF(AND($A445="",$B445=""),"",IF(Z445=0,"",IF(AND(AE445=1,N($R445)&gt;AD445*1.01+0.001),"Net terrestrial &gt; gross; ","")&amp;IF(AND(AE445=1,N($S445)&gt;AC445*1.01+0.001),"Net marine &gt; gross; ","")&amp;IF(AE445=0,"No net area – gross used, overlaps may be double-counted; ","")&amp;IF(AH445=0,"STATUS_YR missing – imputed in time series; ","")&amp;IF(AND(ISNUMBER($I445),N($I445)&gt;Setup!$B$6),"STATUS_YR after reporting year; ","")&amp;IF(OR($G445="",$G445="Not Reported"),"GOV_TYPE not reported; ","")&amp;IF(AND(N($J445)=1,$K445="Point",N($M445)&lt;=0),"Coastal point without REP_M_AREA – land/sea split unknown; ","")&amp;IF(AND(N($J445)=0,N($S445)&gt;0),"MARINE=0 but net marine &gt;0; ","")&amp;IF(AND(N($J445)=2,N($R445)&gt;0),"MARINE=2 but net terrestrial &gt;0; ","")&amp;IF($K445="Point","Buffered point – coverage approximate; ","")))</f>
        <v/>
      </c>
    </row>
    <row r="446">
      <c r="A446" s="19" t="n"/>
      <c r="B446" s="19" t="n"/>
      <c r="C446" s="19" t="n"/>
      <c r="D446" s="19" t="n"/>
      <c r="E446" s="19" t="n"/>
      <c r="F446" s="19" t="n"/>
      <c r="G446" s="19" t="n"/>
      <c r="H446" s="19" t="n"/>
      <c r="I446" s="19" t="n"/>
      <c r="J446" s="19" t="n"/>
      <c r="K446" s="19" t="n"/>
      <c r="L446" s="20" t="n"/>
      <c r="M446" s="20" t="n"/>
      <c r="N446" s="20" t="n"/>
      <c r="O446" s="20" t="n"/>
      <c r="P446" s="19" t="n"/>
      <c r="Q446" s="19" t="n"/>
      <c r="R446" s="20" t="n"/>
      <c r="S446" s="20" t="n"/>
      <c r="T446" s="19" t="n"/>
      <c r="U446" s="19" t="n"/>
      <c r="V446" s="19" t="n"/>
      <c r="W446" s="19" t="n"/>
      <c r="X446" s="19" t="n"/>
      <c r="Y446" s="19" t="n"/>
      <c r="Z446" s="21">
        <f>IF(AND($A446="",$B446=""),"",IF(OR($E446="",$H446="",$H446="Proposed",$H446="Not Reported"),0,IF(AND($P446="Y",$Q446&lt;&gt;"Y"),0,IF(AND($K446="Point",N($L446)&lt;=0),0,IF(AND(N($L446)&lt;=0,N($N446)&lt;=0,N($R446)+N($S446)&lt;=0),0,1)))))</f>
        <v/>
      </c>
      <c r="AA446" s="21">
        <f>IF(AND($A446="",$B446=""),"",IF($E446="","Site type missing",IF($H446="","STATUS missing",IF($H446="Proposed","STATUS = Proposed",IF($H446="Not Reported","STATUS = Not Reported",IF(AND($P446="Y",$Q446&lt;&gt;"Y"),"UNESCO-MAB Biosphere Reserve",IF(AND($K446="Point",N($L446)&lt;=0),"Point without REP_AREA",IF(AND(N($L446)&lt;=0,N($N446)&lt;=0,N($R446)+N($S446)&lt;=0),"No area information",""))))))))</f>
        <v/>
      </c>
      <c r="AB446" s="22">
        <f>IF(AND($A446="",$B446=""),"",IF($K446="Point",N($L446),IF(N($N446)&gt;0,N($N446),N($L446))))</f>
        <v/>
      </c>
      <c r="AC446" s="22">
        <f>IF(AND($A446="",$B446=""),"",MIN(AB446,IF(N($J446)=0,0,IF(N($J446)=2,AB446,IF(AND($K446&lt;&gt;"Point",N($O446)&gt;0),N($O446),N($M446))))))</f>
        <v/>
      </c>
      <c r="AD446" s="22">
        <f>IF(AND($A446="",$B446=""),"",MAX(0,AB446-AC446))</f>
        <v/>
      </c>
      <c r="AE446" s="21">
        <f>IF(AND($A446="",$B446=""),"",IF(OR($R446&lt;&gt;"",$S446&lt;&gt;""),1,0))</f>
        <v/>
      </c>
      <c r="AF446" s="22">
        <f>IF(AND($A446="",$B446=""),"",IF(Z446=1,IF(AE446=1,N($R446),AD446),0))</f>
        <v/>
      </c>
      <c r="AG446" s="22">
        <f>IF(AND($A446="",$B446=""),"",IF(Z446=1,IF(AE446=1,N($S446),AC446),0))</f>
        <v/>
      </c>
      <c r="AH446" s="21">
        <f>IF(AND($A446="",$B446=""),"",IF(AND(ISNUMBER($I446),N($I446)&gt;0),$I446,0))</f>
        <v/>
      </c>
      <c r="AI446" s="23">
        <f>IF(AND(NOT(AND($A446="",$B446="")),$K446="Point",N($L446)&gt;0),SQRT(N($L446)/PI()),"")</f>
        <v/>
      </c>
      <c r="AJ446" s="21">
        <f>IF(AND($A446="",$B446=""),"",IFERROR(VLOOKUP($G446,Lists!$D$4:$E$15,2,FALSE),"Not reported"))</f>
        <v/>
      </c>
      <c r="AK446" s="21">
        <f>IF(AND($A446="",$B446=""),"",IF($X446&lt;&gt;"",$X446,IF($T446&lt;&gt;"Y","Not assessed",IF(AND(ISNUMBER($V446),Setup!$B$6-$V446&gt;Setup!$B$26),"Assessment outdated",IF(NOT(ISNUMBER($W446)),"Assessed – no score",IF($W446&gt;=Setup!$B$24,"High",IF($W446&gt;=Setup!$B$25,"Moderate","Low")))))))</f>
        <v/>
      </c>
      <c r="AL446" s="21">
        <f>IF(AND($A446="",$B446=""),"",IF(Z446=0,"",IF(AND(AE446=1,N($R446)&gt;AD446*1.01+0.001),"Net terrestrial &gt; gross; ","")&amp;IF(AND(AE446=1,N($S446)&gt;AC446*1.01+0.001),"Net marine &gt; gross; ","")&amp;IF(AE446=0,"No net area – gross used, overlaps may be double-counted; ","")&amp;IF(AH446=0,"STATUS_YR missing – imputed in time series; ","")&amp;IF(AND(ISNUMBER($I446),N($I446)&gt;Setup!$B$6),"STATUS_YR after reporting year; ","")&amp;IF(OR($G446="",$G446="Not Reported"),"GOV_TYPE not reported; ","")&amp;IF(AND(N($J446)=1,$K446="Point",N($M446)&lt;=0),"Coastal point without REP_M_AREA – land/sea split unknown; ","")&amp;IF(AND(N($J446)=0,N($S446)&gt;0),"MARINE=0 but net marine &gt;0; ","")&amp;IF(AND(N($J446)=2,N($R446)&gt;0),"MARINE=2 but net terrestrial &gt;0; ","")&amp;IF($K446="Point","Buffered point – coverage approximate; ","")))</f>
        <v/>
      </c>
    </row>
    <row r="447">
      <c r="A447" s="19" t="n"/>
      <c r="B447" s="19" t="n"/>
      <c r="C447" s="19" t="n"/>
      <c r="D447" s="19" t="n"/>
      <c r="E447" s="19" t="n"/>
      <c r="F447" s="19" t="n"/>
      <c r="G447" s="19" t="n"/>
      <c r="H447" s="19" t="n"/>
      <c r="I447" s="19" t="n"/>
      <c r="J447" s="19" t="n"/>
      <c r="K447" s="19" t="n"/>
      <c r="L447" s="20" t="n"/>
      <c r="M447" s="20" t="n"/>
      <c r="N447" s="20" t="n"/>
      <c r="O447" s="20" t="n"/>
      <c r="P447" s="19" t="n"/>
      <c r="Q447" s="19" t="n"/>
      <c r="R447" s="20" t="n"/>
      <c r="S447" s="20" t="n"/>
      <c r="T447" s="19" t="n"/>
      <c r="U447" s="19" t="n"/>
      <c r="V447" s="19" t="n"/>
      <c r="W447" s="19" t="n"/>
      <c r="X447" s="19" t="n"/>
      <c r="Y447" s="19" t="n"/>
      <c r="Z447" s="21">
        <f>IF(AND($A447="",$B447=""),"",IF(OR($E447="",$H447="",$H447="Proposed",$H447="Not Reported"),0,IF(AND($P447="Y",$Q447&lt;&gt;"Y"),0,IF(AND($K447="Point",N($L447)&lt;=0),0,IF(AND(N($L447)&lt;=0,N($N447)&lt;=0,N($R447)+N($S447)&lt;=0),0,1)))))</f>
        <v/>
      </c>
      <c r="AA447" s="21">
        <f>IF(AND($A447="",$B447=""),"",IF($E447="","Site type missing",IF($H447="","STATUS missing",IF($H447="Proposed","STATUS = Proposed",IF($H447="Not Reported","STATUS = Not Reported",IF(AND($P447="Y",$Q447&lt;&gt;"Y"),"UNESCO-MAB Biosphere Reserve",IF(AND($K447="Point",N($L447)&lt;=0),"Point without REP_AREA",IF(AND(N($L447)&lt;=0,N($N447)&lt;=0,N($R447)+N($S447)&lt;=0),"No area information",""))))))))</f>
        <v/>
      </c>
      <c r="AB447" s="22">
        <f>IF(AND($A447="",$B447=""),"",IF($K447="Point",N($L447),IF(N($N447)&gt;0,N($N447),N($L447))))</f>
        <v/>
      </c>
      <c r="AC447" s="22">
        <f>IF(AND($A447="",$B447=""),"",MIN(AB447,IF(N($J447)=0,0,IF(N($J447)=2,AB447,IF(AND($K447&lt;&gt;"Point",N($O447)&gt;0),N($O447),N($M447))))))</f>
        <v/>
      </c>
      <c r="AD447" s="22">
        <f>IF(AND($A447="",$B447=""),"",MAX(0,AB447-AC447))</f>
        <v/>
      </c>
      <c r="AE447" s="21">
        <f>IF(AND($A447="",$B447=""),"",IF(OR($R447&lt;&gt;"",$S447&lt;&gt;""),1,0))</f>
        <v/>
      </c>
      <c r="AF447" s="22">
        <f>IF(AND($A447="",$B447=""),"",IF(Z447=1,IF(AE447=1,N($R447),AD447),0))</f>
        <v/>
      </c>
      <c r="AG447" s="22">
        <f>IF(AND($A447="",$B447=""),"",IF(Z447=1,IF(AE447=1,N($S447),AC447),0))</f>
        <v/>
      </c>
      <c r="AH447" s="21">
        <f>IF(AND($A447="",$B447=""),"",IF(AND(ISNUMBER($I447),N($I447)&gt;0),$I447,0))</f>
        <v/>
      </c>
      <c r="AI447" s="23">
        <f>IF(AND(NOT(AND($A447="",$B447="")),$K447="Point",N($L447)&gt;0),SQRT(N($L447)/PI()),"")</f>
        <v/>
      </c>
      <c r="AJ447" s="21">
        <f>IF(AND($A447="",$B447=""),"",IFERROR(VLOOKUP($G447,Lists!$D$4:$E$15,2,FALSE),"Not reported"))</f>
        <v/>
      </c>
      <c r="AK447" s="21">
        <f>IF(AND($A447="",$B447=""),"",IF($X447&lt;&gt;"",$X447,IF($T447&lt;&gt;"Y","Not assessed",IF(AND(ISNUMBER($V447),Setup!$B$6-$V447&gt;Setup!$B$26),"Assessment outdated",IF(NOT(ISNUMBER($W447)),"Assessed – no score",IF($W447&gt;=Setup!$B$24,"High",IF($W447&gt;=Setup!$B$25,"Moderate","Low")))))))</f>
        <v/>
      </c>
      <c r="AL447" s="21">
        <f>IF(AND($A447="",$B447=""),"",IF(Z447=0,"",IF(AND(AE447=1,N($R447)&gt;AD447*1.01+0.001),"Net terrestrial &gt; gross; ","")&amp;IF(AND(AE447=1,N($S447)&gt;AC447*1.01+0.001),"Net marine &gt; gross; ","")&amp;IF(AE447=0,"No net area – gross used, overlaps may be double-counted; ","")&amp;IF(AH447=0,"STATUS_YR missing – imputed in time series; ","")&amp;IF(AND(ISNUMBER($I447),N($I447)&gt;Setup!$B$6),"STATUS_YR after reporting year; ","")&amp;IF(OR($G447="",$G447="Not Reported"),"GOV_TYPE not reported; ","")&amp;IF(AND(N($J447)=1,$K447="Point",N($M447)&lt;=0),"Coastal point without REP_M_AREA – land/sea split unknown; ","")&amp;IF(AND(N($J447)=0,N($S447)&gt;0),"MARINE=0 but net marine &gt;0; ","")&amp;IF(AND(N($J447)=2,N($R447)&gt;0),"MARINE=2 but net terrestrial &gt;0; ","")&amp;IF($K447="Point","Buffered point – coverage approximate; ","")))</f>
        <v/>
      </c>
    </row>
    <row r="448">
      <c r="A448" s="19" t="n"/>
      <c r="B448" s="19" t="n"/>
      <c r="C448" s="19" t="n"/>
      <c r="D448" s="19" t="n"/>
      <c r="E448" s="19" t="n"/>
      <c r="F448" s="19" t="n"/>
      <c r="G448" s="19" t="n"/>
      <c r="H448" s="19" t="n"/>
      <c r="I448" s="19" t="n"/>
      <c r="J448" s="19" t="n"/>
      <c r="K448" s="19" t="n"/>
      <c r="L448" s="20" t="n"/>
      <c r="M448" s="20" t="n"/>
      <c r="N448" s="20" t="n"/>
      <c r="O448" s="20" t="n"/>
      <c r="P448" s="19" t="n"/>
      <c r="Q448" s="19" t="n"/>
      <c r="R448" s="20" t="n"/>
      <c r="S448" s="20" t="n"/>
      <c r="T448" s="19" t="n"/>
      <c r="U448" s="19" t="n"/>
      <c r="V448" s="19" t="n"/>
      <c r="W448" s="19" t="n"/>
      <c r="X448" s="19" t="n"/>
      <c r="Y448" s="19" t="n"/>
      <c r="Z448" s="21">
        <f>IF(AND($A448="",$B448=""),"",IF(OR($E448="",$H448="",$H448="Proposed",$H448="Not Reported"),0,IF(AND($P448="Y",$Q448&lt;&gt;"Y"),0,IF(AND($K448="Point",N($L448)&lt;=0),0,IF(AND(N($L448)&lt;=0,N($N448)&lt;=0,N($R448)+N($S448)&lt;=0),0,1)))))</f>
        <v/>
      </c>
      <c r="AA448" s="21">
        <f>IF(AND($A448="",$B448=""),"",IF($E448="","Site type missing",IF($H448="","STATUS missing",IF($H448="Proposed","STATUS = Proposed",IF($H448="Not Reported","STATUS = Not Reported",IF(AND($P448="Y",$Q448&lt;&gt;"Y"),"UNESCO-MAB Biosphere Reserve",IF(AND($K448="Point",N($L448)&lt;=0),"Point without REP_AREA",IF(AND(N($L448)&lt;=0,N($N448)&lt;=0,N($R448)+N($S448)&lt;=0),"No area information",""))))))))</f>
        <v/>
      </c>
      <c r="AB448" s="22">
        <f>IF(AND($A448="",$B448=""),"",IF($K448="Point",N($L448),IF(N($N448)&gt;0,N($N448),N($L448))))</f>
        <v/>
      </c>
      <c r="AC448" s="22">
        <f>IF(AND($A448="",$B448=""),"",MIN(AB448,IF(N($J448)=0,0,IF(N($J448)=2,AB448,IF(AND($K448&lt;&gt;"Point",N($O448)&gt;0),N($O448),N($M448))))))</f>
        <v/>
      </c>
      <c r="AD448" s="22">
        <f>IF(AND($A448="",$B448=""),"",MAX(0,AB448-AC448))</f>
        <v/>
      </c>
      <c r="AE448" s="21">
        <f>IF(AND($A448="",$B448=""),"",IF(OR($R448&lt;&gt;"",$S448&lt;&gt;""),1,0))</f>
        <v/>
      </c>
      <c r="AF448" s="22">
        <f>IF(AND($A448="",$B448=""),"",IF(Z448=1,IF(AE448=1,N($R448),AD448),0))</f>
        <v/>
      </c>
      <c r="AG448" s="22">
        <f>IF(AND($A448="",$B448=""),"",IF(Z448=1,IF(AE448=1,N($S448),AC448),0))</f>
        <v/>
      </c>
      <c r="AH448" s="21">
        <f>IF(AND($A448="",$B448=""),"",IF(AND(ISNUMBER($I448),N($I448)&gt;0),$I448,0))</f>
        <v/>
      </c>
      <c r="AI448" s="23">
        <f>IF(AND(NOT(AND($A448="",$B448="")),$K448="Point",N($L448)&gt;0),SQRT(N($L448)/PI()),"")</f>
        <v/>
      </c>
      <c r="AJ448" s="21">
        <f>IF(AND($A448="",$B448=""),"",IFERROR(VLOOKUP($G448,Lists!$D$4:$E$15,2,FALSE),"Not reported"))</f>
        <v/>
      </c>
      <c r="AK448" s="21">
        <f>IF(AND($A448="",$B448=""),"",IF($X448&lt;&gt;"",$X448,IF($T448&lt;&gt;"Y","Not assessed",IF(AND(ISNUMBER($V448),Setup!$B$6-$V448&gt;Setup!$B$26),"Assessment outdated",IF(NOT(ISNUMBER($W448)),"Assessed – no score",IF($W448&gt;=Setup!$B$24,"High",IF($W448&gt;=Setup!$B$25,"Moderate","Low")))))))</f>
        <v/>
      </c>
      <c r="AL448" s="21">
        <f>IF(AND($A448="",$B448=""),"",IF(Z448=0,"",IF(AND(AE448=1,N($R448)&gt;AD448*1.01+0.001),"Net terrestrial &gt; gross; ","")&amp;IF(AND(AE448=1,N($S448)&gt;AC448*1.01+0.001),"Net marine &gt; gross; ","")&amp;IF(AE448=0,"No net area – gross used, overlaps may be double-counted; ","")&amp;IF(AH448=0,"STATUS_YR missing – imputed in time series; ","")&amp;IF(AND(ISNUMBER($I448),N($I448)&gt;Setup!$B$6),"STATUS_YR after reporting year; ","")&amp;IF(OR($G448="",$G448="Not Reported"),"GOV_TYPE not reported; ","")&amp;IF(AND(N($J448)=1,$K448="Point",N($M448)&lt;=0),"Coastal point without REP_M_AREA – land/sea split unknown; ","")&amp;IF(AND(N($J448)=0,N($S448)&gt;0),"MARINE=0 but net marine &gt;0; ","")&amp;IF(AND(N($J448)=2,N($R448)&gt;0),"MARINE=2 but net terrestrial &gt;0; ","")&amp;IF($K448="Point","Buffered point – coverage approximate; ","")))</f>
        <v/>
      </c>
    </row>
    <row r="449">
      <c r="A449" s="19" t="n"/>
      <c r="B449" s="19" t="n"/>
      <c r="C449" s="19" t="n"/>
      <c r="D449" s="19" t="n"/>
      <c r="E449" s="19" t="n"/>
      <c r="F449" s="19" t="n"/>
      <c r="G449" s="19" t="n"/>
      <c r="H449" s="19" t="n"/>
      <c r="I449" s="19" t="n"/>
      <c r="J449" s="19" t="n"/>
      <c r="K449" s="19" t="n"/>
      <c r="L449" s="20" t="n"/>
      <c r="M449" s="20" t="n"/>
      <c r="N449" s="20" t="n"/>
      <c r="O449" s="20" t="n"/>
      <c r="P449" s="19" t="n"/>
      <c r="Q449" s="19" t="n"/>
      <c r="R449" s="20" t="n"/>
      <c r="S449" s="20" t="n"/>
      <c r="T449" s="19" t="n"/>
      <c r="U449" s="19" t="n"/>
      <c r="V449" s="19" t="n"/>
      <c r="W449" s="19" t="n"/>
      <c r="X449" s="19" t="n"/>
      <c r="Y449" s="19" t="n"/>
      <c r="Z449" s="21">
        <f>IF(AND($A449="",$B449=""),"",IF(OR($E449="",$H449="",$H449="Proposed",$H449="Not Reported"),0,IF(AND($P449="Y",$Q449&lt;&gt;"Y"),0,IF(AND($K449="Point",N($L449)&lt;=0),0,IF(AND(N($L449)&lt;=0,N($N449)&lt;=0,N($R449)+N($S449)&lt;=0),0,1)))))</f>
        <v/>
      </c>
      <c r="AA449" s="21">
        <f>IF(AND($A449="",$B449=""),"",IF($E449="","Site type missing",IF($H449="","STATUS missing",IF($H449="Proposed","STATUS = Proposed",IF($H449="Not Reported","STATUS = Not Reported",IF(AND($P449="Y",$Q449&lt;&gt;"Y"),"UNESCO-MAB Biosphere Reserve",IF(AND($K449="Point",N($L449)&lt;=0),"Point without REP_AREA",IF(AND(N($L449)&lt;=0,N($N449)&lt;=0,N($R449)+N($S449)&lt;=0),"No area information",""))))))))</f>
        <v/>
      </c>
      <c r="AB449" s="22">
        <f>IF(AND($A449="",$B449=""),"",IF($K449="Point",N($L449),IF(N($N449)&gt;0,N($N449),N($L449))))</f>
        <v/>
      </c>
      <c r="AC449" s="22">
        <f>IF(AND($A449="",$B449=""),"",MIN(AB449,IF(N($J449)=0,0,IF(N($J449)=2,AB449,IF(AND($K449&lt;&gt;"Point",N($O449)&gt;0),N($O449),N($M449))))))</f>
        <v/>
      </c>
      <c r="AD449" s="22">
        <f>IF(AND($A449="",$B449=""),"",MAX(0,AB449-AC449))</f>
        <v/>
      </c>
      <c r="AE449" s="21">
        <f>IF(AND($A449="",$B449=""),"",IF(OR($R449&lt;&gt;"",$S449&lt;&gt;""),1,0))</f>
        <v/>
      </c>
      <c r="AF449" s="22">
        <f>IF(AND($A449="",$B449=""),"",IF(Z449=1,IF(AE449=1,N($R449),AD449),0))</f>
        <v/>
      </c>
      <c r="AG449" s="22">
        <f>IF(AND($A449="",$B449=""),"",IF(Z449=1,IF(AE449=1,N($S449),AC449),0))</f>
        <v/>
      </c>
      <c r="AH449" s="21">
        <f>IF(AND($A449="",$B449=""),"",IF(AND(ISNUMBER($I449),N($I449)&gt;0),$I449,0))</f>
        <v/>
      </c>
      <c r="AI449" s="23">
        <f>IF(AND(NOT(AND($A449="",$B449="")),$K449="Point",N($L449)&gt;0),SQRT(N($L449)/PI()),"")</f>
        <v/>
      </c>
      <c r="AJ449" s="21">
        <f>IF(AND($A449="",$B449=""),"",IFERROR(VLOOKUP($G449,Lists!$D$4:$E$15,2,FALSE),"Not reported"))</f>
        <v/>
      </c>
      <c r="AK449" s="21">
        <f>IF(AND($A449="",$B449=""),"",IF($X449&lt;&gt;"",$X449,IF($T449&lt;&gt;"Y","Not assessed",IF(AND(ISNUMBER($V449),Setup!$B$6-$V449&gt;Setup!$B$26),"Assessment outdated",IF(NOT(ISNUMBER($W449)),"Assessed – no score",IF($W449&gt;=Setup!$B$24,"High",IF($W449&gt;=Setup!$B$25,"Moderate","Low")))))))</f>
        <v/>
      </c>
      <c r="AL449" s="21">
        <f>IF(AND($A449="",$B449=""),"",IF(Z449=0,"",IF(AND(AE449=1,N($R449)&gt;AD449*1.01+0.001),"Net terrestrial &gt; gross; ","")&amp;IF(AND(AE449=1,N($S449)&gt;AC449*1.01+0.001),"Net marine &gt; gross; ","")&amp;IF(AE449=0,"No net area – gross used, overlaps may be double-counted; ","")&amp;IF(AH449=0,"STATUS_YR missing – imputed in time series; ","")&amp;IF(AND(ISNUMBER($I449),N($I449)&gt;Setup!$B$6),"STATUS_YR after reporting year; ","")&amp;IF(OR($G449="",$G449="Not Reported"),"GOV_TYPE not reported; ","")&amp;IF(AND(N($J449)=1,$K449="Point",N($M449)&lt;=0),"Coastal point without REP_M_AREA – land/sea split unknown; ","")&amp;IF(AND(N($J449)=0,N($S449)&gt;0),"MARINE=0 but net marine &gt;0; ","")&amp;IF(AND(N($J449)=2,N($R449)&gt;0),"MARINE=2 but net terrestrial &gt;0; ","")&amp;IF($K449="Point","Buffered point – coverage approximate; ","")))</f>
        <v/>
      </c>
    </row>
    <row r="450">
      <c r="A450" s="19" t="n"/>
      <c r="B450" s="19" t="n"/>
      <c r="C450" s="19" t="n"/>
      <c r="D450" s="19" t="n"/>
      <c r="E450" s="19" t="n"/>
      <c r="F450" s="19" t="n"/>
      <c r="G450" s="19" t="n"/>
      <c r="H450" s="19" t="n"/>
      <c r="I450" s="19" t="n"/>
      <c r="J450" s="19" t="n"/>
      <c r="K450" s="19" t="n"/>
      <c r="L450" s="20" t="n"/>
      <c r="M450" s="20" t="n"/>
      <c r="N450" s="20" t="n"/>
      <c r="O450" s="20" t="n"/>
      <c r="P450" s="19" t="n"/>
      <c r="Q450" s="19" t="n"/>
      <c r="R450" s="20" t="n"/>
      <c r="S450" s="20" t="n"/>
      <c r="T450" s="19" t="n"/>
      <c r="U450" s="19" t="n"/>
      <c r="V450" s="19" t="n"/>
      <c r="W450" s="19" t="n"/>
      <c r="X450" s="19" t="n"/>
      <c r="Y450" s="19" t="n"/>
      <c r="Z450" s="21">
        <f>IF(AND($A450="",$B450=""),"",IF(OR($E450="",$H450="",$H450="Proposed",$H450="Not Reported"),0,IF(AND($P450="Y",$Q450&lt;&gt;"Y"),0,IF(AND($K450="Point",N($L450)&lt;=0),0,IF(AND(N($L450)&lt;=0,N($N450)&lt;=0,N($R450)+N($S450)&lt;=0),0,1)))))</f>
        <v/>
      </c>
      <c r="AA450" s="21">
        <f>IF(AND($A450="",$B450=""),"",IF($E450="","Site type missing",IF($H450="","STATUS missing",IF($H450="Proposed","STATUS = Proposed",IF($H450="Not Reported","STATUS = Not Reported",IF(AND($P450="Y",$Q450&lt;&gt;"Y"),"UNESCO-MAB Biosphere Reserve",IF(AND($K450="Point",N($L450)&lt;=0),"Point without REP_AREA",IF(AND(N($L450)&lt;=0,N($N450)&lt;=0,N($R450)+N($S450)&lt;=0),"No area information",""))))))))</f>
        <v/>
      </c>
      <c r="AB450" s="22">
        <f>IF(AND($A450="",$B450=""),"",IF($K450="Point",N($L450),IF(N($N450)&gt;0,N($N450),N($L450))))</f>
        <v/>
      </c>
      <c r="AC450" s="22">
        <f>IF(AND($A450="",$B450=""),"",MIN(AB450,IF(N($J450)=0,0,IF(N($J450)=2,AB450,IF(AND($K450&lt;&gt;"Point",N($O450)&gt;0),N($O450),N($M450))))))</f>
        <v/>
      </c>
      <c r="AD450" s="22">
        <f>IF(AND($A450="",$B450=""),"",MAX(0,AB450-AC450))</f>
        <v/>
      </c>
      <c r="AE450" s="21">
        <f>IF(AND($A450="",$B450=""),"",IF(OR($R450&lt;&gt;"",$S450&lt;&gt;""),1,0))</f>
        <v/>
      </c>
      <c r="AF450" s="22">
        <f>IF(AND($A450="",$B450=""),"",IF(Z450=1,IF(AE450=1,N($R450),AD450),0))</f>
        <v/>
      </c>
      <c r="AG450" s="22">
        <f>IF(AND($A450="",$B450=""),"",IF(Z450=1,IF(AE450=1,N($S450),AC450),0))</f>
        <v/>
      </c>
      <c r="AH450" s="21">
        <f>IF(AND($A450="",$B450=""),"",IF(AND(ISNUMBER($I450),N($I450)&gt;0),$I450,0))</f>
        <v/>
      </c>
      <c r="AI450" s="23">
        <f>IF(AND(NOT(AND($A450="",$B450="")),$K450="Point",N($L450)&gt;0),SQRT(N($L450)/PI()),"")</f>
        <v/>
      </c>
      <c r="AJ450" s="21">
        <f>IF(AND($A450="",$B450=""),"",IFERROR(VLOOKUP($G450,Lists!$D$4:$E$15,2,FALSE),"Not reported"))</f>
        <v/>
      </c>
      <c r="AK450" s="21">
        <f>IF(AND($A450="",$B450=""),"",IF($X450&lt;&gt;"",$X450,IF($T450&lt;&gt;"Y","Not assessed",IF(AND(ISNUMBER($V450),Setup!$B$6-$V450&gt;Setup!$B$26),"Assessment outdated",IF(NOT(ISNUMBER($W450)),"Assessed – no score",IF($W450&gt;=Setup!$B$24,"High",IF($W450&gt;=Setup!$B$25,"Moderate","Low")))))))</f>
        <v/>
      </c>
      <c r="AL450" s="21">
        <f>IF(AND($A450="",$B450=""),"",IF(Z450=0,"",IF(AND(AE450=1,N($R450)&gt;AD450*1.01+0.001),"Net terrestrial &gt; gross; ","")&amp;IF(AND(AE450=1,N($S450)&gt;AC450*1.01+0.001),"Net marine &gt; gross; ","")&amp;IF(AE450=0,"No net area – gross used, overlaps may be double-counted; ","")&amp;IF(AH450=0,"STATUS_YR missing – imputed in time series; ","")&amp;IF(AND(ISNUMBER($I450),N($I450)&gt;Setup!$B$6),"STATUS_YR after reporting year; ","")&amp;IF(OR($G450="",$G450="Not Reported"),"GOV_TYPE not reported; ","")&amp;IF(AND(N($J450)=1,$K450="Point",N($M450)&lt;=0),"Coastal point without REP_M_AREA – land/sea split unknown; ","")&amp;IF(AND(N($J450)=0,N($S450)&gt;0),"MARINE=0 but net marine &gt;0; ","")&amp;IF(AND(N($J450)=2,N($R450)&gt;0),"MARINE=2 but net terrestrial &gt;0; ","")&amp;IF($K450="Point","Buffered point – coverage approximate; ","")))</f>
        <v/>
      </c>
    </row>
    <row r="451">
      <c r="A451" s="19" t="n"/>
      <c r="B451" s="19" t="n"/>
      <c r="C451" s="19" t="n"/>
      <c r="D451" s="19" t="n"/>
      <c r="E451" s="19" t="n"/>
      <c r="F451" s="19" t="n"/>
      <c r="G451" s="19" t="n"/>
      <c r="H451" s="19" t="n"/>
      <c r="I451" s="19" t="n"/>
      <c r="J451" s="19" t="n"/>
      <c r="K451" s="19" t="n"/>
      <c r="L451" s="20" t="n"/>
      <c r="M451" s="20" t="n"/>
      <c r="N451" s="20" t="n"/>
      <c r="O451" s="20" t="n"/>
      <c r="P451" s="19" t="n"/>
      <c r="Q451" s="19" t="n"/>
      <c r="R451" s="20" t="n"/>
      <c r="S451" s="20" t="n"/>
      <c r="T451" s="19" t="n"/>
      <c r="U451" s="19" t="n"/>
      <c r="V451" s="19" t="n"/>
      <c r="W451" s="19" t="n"/>
      <c r="X451" s="19" t="n"/>
      <c r="Y451" s="19" t="n"/>
      <c r="Z451" s="21">
        <f>IF(AND($A451="",$B451=""),"",IF(OR($E451="",$H451="",$H451="Proposed",$H451="Not Reported"),0,IF(AND($P451="Y",$Q451&lt;&gt;"Y"),0,IF(AND($K451="Point",N($L451)&lt;=0),0,IF(AND(N($L451)&lt;=0,N($N451)&lt;=0,N($R451)+N($S451)&lt;=0),0,1)))))</f>
        <v/>
      </c>
      <c r="AA451" s="21">
        <f>IF(AND($A451="",$B451=""),"",IF($E451="","Site type missing",IF($H451="","STATUS missing",IF($H451="Proposed","STATUS = Proposed",IF($H451="Not Reported","STATUS = Not Reported",IF(AND($P451="Y",$Q451&lt;&gt;"Y"),"UNESCO-MAB Biosphere Reserve",IF(AND($K451="Point",N($L451)&lt;=0),"Point without REP_AREA",IF(AND(N($L451)&lt;=0,N($N451)&lt;=0,N($R451)+N($S451)&lt;=0),"No area information",""))))))))</f>
        <v/>
      </c>
      <c r="AB451" s="22">
        <f>IF(AND($A451="",$B451=""),"",IF($K451="Point",N($L451),IF(N($N451)&gt;0,N($N451),N($L451))))</f>
        <v/>
      </c>
      <c r="AC451" s="22">
        <f>IF(AND($A451="",$B451=""),"",MIN(AB451,IF(N($J451)=0,0,IF(N($J451)=2,AB451,IF(AND($K451&lt;&gt;"Point",N($O451)&gt;0),N($O451),N($M451))))))</f>
        <v/>
      </c>
      <c r="AD451" s="22">
        <f>IF(AND($A451="",$B451=""),"",MAX(0,AB451-AC451))</f>
        <v/>
      </c>
      <c r="AE451" s="21">
        <f>IF(AND($A451="",$B451=""),"",IF(OR($R451&lt;&gt;"",$S451&lt;&gt;""),1,0))</f>
        <v/>
      </c>
      <c r="AF451" s="22">
        <f>IF(AND($A451="",$B451=""),"",IF(Z451=1,IF(AE451=1,N($R451),AD451),0))</f>
        <v/>
      </c>
      <c r="AG451" s="22">
        <f>IF(AND($A451="",$B451=""),"",IF(Z451=1,IF(AE451=1,N($S451),AC451),0))</f>
        <v/>
      </c>
      <c r="AH451" s="21">
        <f>IF(AND($A451="",$B451=""),"",IF(AND(ISNUMBER($I451),N($I451)&gt;0),$I451,0))</f>
        <v/>
      </c>
      <c r="AI451" s="23">
        <f>IF(AND(NOT(AND($A451="",$B451="")),$K451="Point",N($L451)&gt;0),SQRT(N($L451)/PI()),"")</f>
        <v/>
      </c>
      <c r="AJ451" s="21">
        <f>IF(AND($A451="",$B451=""),"",IFERROR(VLOOKUP($G451,Lists!$D$4:$E$15,2,FALSE),"Not reported"))</f>
        <v/>
      </c>
      <c r="AK451" s="21">
        <f>IF(AND($A451="",$B451=""),"",IF($X451&lt;&gt;"",$X451,IF($T451&lt;&gt;"Y","Not assessed",IF(AND(ISNUMBER($V451),Setup!$B$6-$V451&gt;Setup!$B$26),"Assessment outdated",IF(NOT(ISNUMBER($W451)),"Assessed – no score",IF($W451&gt;=Setup!$B$24,"High",IF($W451&gt;=Setup!$B$25,"Moderate","Low")))))))</f>
        <v/>
      </c>
      <c r="AL451" s="21">
        <f>IF(AND($A451="",$B451=""),"",IF(Z451=0,"",IF(AND(AE451=1,N($R451)&gt;AD451*1.01+0.001),"Net terrestrial &gt; gross; ","")&amp;IF(AND(AE451=1,N($S451)&gt;AC451*1.01+0.001),"Net marine &gt; gross; ","")&amp;IF(AE451=0,"No net area – gross used, overlaps may be double-counted; ","")&amp;IF(AH451=0,"STATUS_YR missing – imputed in time series; ","")&amp;IF(AND(ISNUMBER($I451),N($I451)&gt;Setup!$B$6),"STATUS_YR after reporting year; ","")&amp;IF(OR($G451="",$G451="Not Reported"),"GOV_TYPE not reported; ","")&amp;IF(AND(N($J451)=1,$K451="Point",N($M451)&lt;=0),"Coastal point without REP_M_AREA – land/sea split unknown; ","")&amp;IF(AND(N($J451)=0,N($S451)&gt;0),"MARINE=0 but net marine &gt;0; ","")&amp;IF(AND(N($J451)=2,N($R451)&gt;0),"MARINE=2 but net terrestrial &gt;0; ","")&amp;IF($K451="Point","Buffered point – coverage approximate; ","")))</f>
        <v/>
      </c>
    </row>
    <row r="452">
      <c r="A452" s="19" t="n"/>
      <c r="B452" s="19" t="n"/>
      <c r="C452" s="19" t="n"/>
      <c r="D452" s="19" t="n"/>
      <c r="E452" s="19" t="n"/>
      <c r="F452" s="19" t="n"/>
      <c r="G452" s="19" t="n"/>
      <c r="H452" s="19" t="n"/>
      <c r="I452" s="19" t="n"/>
      <c r="J452" s="19" t="n"/>
      <c r="K452" s="19" t="n"/>
      <c r="L452" s="20" t="n"/>
      <c r="M452" s="20" t="n"/>
      <c r="N452" s="20" t="n"/>
      <c r="O452" s="20" t="n"/>
      <c r="P452" s="19" t="n"/>
      <c r="Q452" s="19" t="n"/>
      <c r="R452" s="20" t="n"/>
      <c r="S452" s="20" t="n"/>
      <c r="T452" s="19" t="n"/>
      <c r="U452" s="19" t="n"/>
      <c r="V452" s="19" t="n"/>
      <c r="W452" s="19" t="n"/>
      <c r="X452" s="19" t="n"/>
      <c r="Y452" s="19" t="n"/>
      <c r="Z452" s="21">
        <f>IF(AND($A452="",$B452=""),"",IF(OR($E452="",$H452="",$H452="Proposed",$H452="Not Reported"),0,IF(AND($P452="Y",$Q452&lt;&gt;"Y"),0,IF(AND($K452="Point",N($L452)&lt;=0),0,IF(AND(N($L452)&lt;=0,N($N452)&lt;=0,N($R452)+N($S452)&lt;=0),0,1)))))</f>
        <v/>
      </c>
      <c r="AA452" s="21">
        <f>IF(AND($A452="",$B452=""),"",IF($E452="","Site type missing",IF($H452="","STATUS missing",IF($H452="Proposed","STATUS = Proposed",IF($H452="Not Reported","STATUS = Not Reported",IF(AND($P452="Y",$Q452&lt;&gt;"Y"),"UNESCO-MAB Biosphere Reserve",IF(AND($K452="Point",N($L452)&lt;=0),"Point without REP_AREA",IF(AND(N($L452)&lt;=0,N($N452)&lt;=0,N($R452)+N($S452)&lt;=0),"No area information",""))))))))</f>
        <v/>
      </c>
      <c r="AB452" s="22">
        <f>IF(AND($A452="",$B452=""),"",IF($K452="Point",N($L452),IF(N($N452)&gt;0,N($N452),N($L452))))</f>
        <v/>
      </c>
      <c r="AC452" s="22">
        <f>IF(AND($A452="",$B452=""),"",MIN(AB452,IF(N($J452)=0,0,IF(N($J452)=2,AB452,IF(AND($K452&lt;&gt;"Point",N($O452)&gt;0),N($O452),N($M452))))))</f>
        <v/>
      </c>
      <c r="AD452" s="22">
        <f>IF(AND($A452="",$B452=""),"",MAX(0,AB452-AC452))</f>
        <v/>
      </c>
      <c r="AE452" s="21">
        <f>IF(AND($A452="",$B452=""),"",IF(OR($R452&lt;&gt;"",$S452&lt;&gt;""),1,0))</f>
        <v/>
      </c>
      <c r="AF452" s="22">
        <f>IF(AND($A452="",$B452=""),"",IF(Z452=1,IF(AE452=1,N($R452),AD452),0))</f>
        <v/>
      </c>
      <c r="AG452" s="22">
        <f>IF(AND($A452="",$B452=""),"",IF(Z452=1,IF(AE452=1,N($S452),AC452),0))</f>
        <v/>
      </c>
      <c r="AH452" s="21">
        <f>IF(AND($A452="",$B452=""),"",IF(AND(ISNUMBER($I452),N($I452)&gt;0),$I452,0))</f>
        <v/>
      </c>
      <c r="AI452" s="23">
        <f>IF(AND(NOT(AND($A452="",$B452="")),$K452="Point",N($L452)&gt;0),SQRT(N($L452)/PI()),"")</f>
        <v/>
      </c>
      <c r="AJ452" s="21">
        <f>IF(AND($A452="",$B452=""),"",IFERROR(VLOOKUP($G452,Lists!$D$4:$E$15,2,FALSE),"Not reported"))</f>
        <v/>
      </c>
      <c r="AK452" s="21">
        <f>IF(AND($A452="",$B452=""),"",IF($X452&lt;&gt;"",$X452,IF($T452&lt;&gt;"Y","Not assessed",IF(AND(ISNUMBER($V452),Setup!$B$6-$V452&gt;Setup!$B$26),"Assessment outdated",IF(NOT(ISNUMBER($W452)),"Assessed – no score",IF($W452&gt;=Setup!$B$24,"High",IF($W452&gt;=Setup!$B$25,"Moderate","Low")))))))</f>
        <v/>
      </c>
      <c r="AL452" s="21">
        <f>IF(AND($A452="",$B452=""),"",IF(Z452=0,"",IF(AND(AE452=1,N($R452)&gt;AD452*1.01+0.001),"Net terrestrial &gt; gross; ","")&amp;IF(AND(AE452=1,N($S452)&gt;AC452*1.01+0.001),"Net marine &gt; gross; ","")&amp;IF(AE452=0,"No net area – gross used, overlaps may be double-counted; ","")&amp;IF(AH452=0,"STATUS_YR missing – imputed in time series; ","")&amp;IF(AND(ISNUMBER($I452),N($I452)&gt;Setup!$B$6),"STATUS_YR after reporting year; ","")&amp;IF(OR($G452="",$G452="Not Reported"),"GOV_TYPE not reported; ","")&amp;IF(AND(N($J452)=1,$K452="Point",N($M452)&lt;=0),"Coastal point without REP_M_AREA – land/sea split unknown; ","")&amp;IF(AND(N($J452)=0,N($S452)&gt;0),"MARINE=0 but net marine &gt;0; ","")&amp;IF(AND(N($J452)=2,N($R452)&gt;0),"MARINE=2 but net terrestrial &gt;0; ","")&amp;IF($K452="Point","Buffered point – coverage approximate; ","")))</f>
        <v/>
      </c>
    </row>
    <row r="453">
      <c r="A453" s="19" t="n"/>
      <c r="B453" s="19" t="n"/>
      <c r="C453" s="19" t="n"/>
      <c r="D453" s="19" t="n"/>
      <c r="E453" s="19" t="n"/>
      <c r="F453" s="19" t="n"/>
      <c r="G453" s="19" t="n"/>
      <c r="H453" s="19" t="n"/>
      <c r="I453" s="19" t="n"/>
      <c r="J453" s="19" t="n"/>
      <c r="K453" s="19" t="n"/>
      <c r="L453" s="20" t="n"/>
      <c r="M453" s="20" t="n"/>
      <c r="N453" s="20" t="n"/>
      <c r="O453" s="20" t="n"/>
      <c r="P453" s="19" t="n"/>
      <c r="Q453" s="19" t="n"/>
      <c r="R453" s="20" t="n"/>
      <c r="S453" s="20" t="n"/>
      <c r="T453" s="19" t="n"/>
      <c r="U453" s="19" t="n"/>
      <c r="V453" s="19" t="n"/>
      <c r="W453" s="19" t="n"/>
      <c r="X453" s="19" t="n"/>
      <c r="Y453" s="19" t="n"/>
      <c r="Z453" s="21">
        <f>IF(AND($A453="",$B453=""),"",IF(OR($E453="",$H453="",$H453="Proposed",$H453="Not Reported"),0,IF(AND($P453="Y",$Q453&lt;&gt;"Y"),0,IF(AND($K453="Point",N($L453)&lt;=0),0,IF(AND(N($L453)&lt;=0,N($N453)&lt;=0,N($R453)+N($S453)&lt;=0),0,1)))))</f>
        <v/>
      </c>
      <c r="AA453" s="21">
        <f>IF(AND($A453="",$B453=""),"",IF($E453="","Site type missing",IF($H453="","STATUS missing",IF($H453="Proposed","STATUS = Proposed",IF($H453="Not Reported","STATUS = Not Reported",IF(AND($P453="Y",$Q453&lt;&gt;"Y"),"UNESCO-MAB Biosphere Reserve",IF(AND($K453="Point",N($L453)&lt;=0),"Point without REP_AREA",IF(AND(N($L453)&lt;=0,N($N453)&lt;=0,N($R453)+N($S453)&lt;=0),"No area information",""))))))))</f>
        <v/>
      </c>
      <c r="AB453" s="22">
        <f>IF(AND($A453="",$B453=""),"",IF($K453="Point",N($L453),IF(N($N453)&gt;0,N($N453),N($L453))))</f>
        <v/>
      </c>
      <c r="AC453" s="22">
        <f>IF(AND($A453="",$B453=""),"",MIN(AB453,IF(N($J453)=0,0,IF(N($J453)=2,AB453,IF(AND($K453&lt;&gt;"Point",N($O453)&gt;0),N($O453),N($M453))))))</f>
        <v/>
      </c>
      <c r="AD453" s="22">
        <f>IF(AND($A453="",$B453=""),"",MAX(0,AB453-AC453))</f>
        <v/>
      </c>
      <c r="AE453" s="21">
        <f>IF(AND($A453="",$B453=""),"",IF(OR($R453&lt;&gt;"",$S453&lt;&gt;""),1,0))</f>
        <v/>
      </c>
      <c r="AF453" s="22">
        <f>IF(AND($A453="",$B453=""),"",IF(Z453=1,IF(AE453=1,N($R453),AD453),0))</f>
        <v/>
      </c>
      <c r="AG453" s="22">
        <f>IF(AND($A453="",$B453=""),"",IF(Z453=1,IF(AE453=1,N($S453),AC453),0))</f>
        <v/>
      </c>
      <c r="AH453" s="21">
        <f>IF(AND($A453="",$B453=""),"",IF(AND(ISNUMBER($I453),N($I453)&gt;0),$I453,0))</f>
        <v/>
      </c>
      <c r="AI453" s="23">
        <f>IF(AND(NOT(AND($A453="",$B453="")),$K453="Point",N($L453)&gt;0),SQRT(N($L453)/PI()),"")</f>
        <v/>
      </c>
      <c r="AJ453" s="21">
        <f>IF(AND($A453="",$B453=""),"",IFERROR(VLOOKUP($G453,Lists!$D$4:$E$15,2,FALSE),"Not reported"))</f>
        <v/>
      </c>
      <c r="AK453" s="21">
        <f>IF(AND($A453="",$B453=""),"",IF($X453&lt;&gt;"",$X453,IF($T453&lt;&gt;"Y","Not assessed",IF(AND(ISNUMBER($V453),Setup!$B$6-$V453&gt;Setup!$B$26),"Assessment outdated",IF(NOT(ISNUMBER($W453)),"Assessed – no score",IF($W453&gt;=Setup!$B$24,"High",IF($W453&gt;=Setup!$B$25,"Moderate","Low")))))))</f>
        <v/>
      </c>
      <c r="AL453" s="21">
        <f>IF(AND($A453="",$B453=""),"",IF(Z453=0,"",IF(AND(AE453=1,N($R453)&gt;AD453*1.01+0.001),"Net terrestrial &gt; gross; ","")&amp;IF(AND(AE453=1,N($S453)&gt;AC453*1.01+0.001),"Net marine &gt; gross; ","")&amp;IF(AE453=0,"No net area – gross used, overlaps may be double-counted; ","")&amp;IF(AH453=0,"STATUS_YR missing – imputed in time series; ","")&amp;IF(AND(ISNUMBER($I453),N($I453)&gt;Setup!$B$6),"STATUS_YR after reporting year; ","")&amp;IF(OR($G453="",$G453="Not Reported"),"GOV_TYPE not reported; ","")&amp;IF(AND(N($J453)=1,$K453="Point",N($M453)&lt;=0),"Coastal point without REP_M_AREA – land/sea split unknown; ","")&amp;IF(AND(N($J453)=0,N($S453)&gt;0),"MARINE=0 but net marine &gt;0; ","")&amp;IF(AND(N($J453)=2,N($R453)&gt;0),"MARINE=2 but net terrestrial &gt;0; ","")&amp;IF($K453="Point","Buffered point – coverage approximate; ","")))</f>
        <v/>
      </c>
    </row>
    <row r="454">
      <c r="A454" s="19" t="n"/>
      <c r="B454" s="19" t="n"/>
      <c r="C454" s="19" t="n"/>
      <c r="D454" s="19" t="n"/>
      <c r="E454" s="19" t="n"/>
      <c r="F454" s="19" t="n"/>
      <c r="G454" s="19" t="n"/>
      <c r="H454" s="19" t="n"/>
      <c r="I454" s="19" t="n"/>
      <c r="J454" s="19" t="n"/>
      <c r="K454" s="19" t="n"/>
      <c r="L454" s="20" t="n"/>
      <c r="M454" s="20" t="n"/>
      <c r="N454" s="20" t="n"/>
      <c r="O454" s="20" t="n"/>
      <c r="P454" s="19" t="n"/>
      <c r="Q454" s="19" t="n"/>
      <c r="R454" s="20" t="n"/>
      <c r="S454" s="20" t="n"/>
      <c r="T454" s="19" t="n"/>
      <c r="U454" s="19" t="n"/>
      <c r="V454" s="19" t="n"/>
      <c r="W454" s="19" t="n"/>
      <c r="X454" s="19" t="n"/>
      <c r="Y454" s="19" t="n"/>
      <c r="Z454" s="21">
        <f>IF(AND($A454="",$B454=""),"",IF(OR($E454="",$H454="",$H454="Proposed",$H454="Not Reported"),0,IF(AND($P454="Y",$Q454&lt;&gt;"Y"),0,IF(AND($K454="Point",N($L454)&lt;=0),0,IF(AND(N($L454)&lt;=0,N($N454)&lt;=0,N($R454)+N($S454)&lt;=0),0,1)))))</f>
        <v/>
      </c>
      <c r="AA454" s="21">
        <f>IF(AND($A454="",$B454=""),"",IF($E454="","Site type missing",IF($H454="","STATUS missing",IF($H454="Proposed","STATUS = Proposed",IF($H454="Not Reported","STATUS = Not Reported",IF(AND($P454="Y",$Q454&lt;&gt;"Y"),"UNESCO-MAB Biosphere Reserve",IF(AND($K454="Point",N($L454)&lt;=0),"Point without REP_AREA",IF(AND(N($L454)&lt;=0,N($N454)&lt;=0,N($R454)+N($S454)&lt;=0),"No area information",""))))))))</f>
        <v/>
      </c>
      <c r="AB454" s="22">
        <f>IF(AND($A454="",$B454=""),"",IF($K454="Point",N($L454),IF(N($N454)&gt;0,N($N454),N($L454))))</f>
        <v/>
      </c>
      <c r="AC454" s="22">
        <f>IF(AND($A454="",$B454=""),"",MIN(AB454,IF(N($J454)=0,0,IF(N($J454)=2,AB454,IF(AND($K454&lt;&gt;"Point",N($O454)&gt;0),N($O454),N($M454))))))</f>
        <v/>
      </c>
      <c r="AD454" s="22">
        <f>IF(AND($A454="",$B454=""),"",MAX(0,AB454-AC454))</f>
        <v/>
      </c>
      <c r="AE454" s="21">
        <f>IF(AND($A454="",$B454=""),"",IF(OR($R454&lt;&gt;"",$S454&lt;&gt;""),1,0))</f>
        <v/>
      </c>
      <c r="AF454" s="22">
        <f>IF(AND($A454="",$B454=""),"",IF(Z454=1,IF(AE454=1,N($R454),AD454),0))</f>
        <v/>
      </c>
      <c r="AG454" s="22">
        <f>IF(AND($A454="",$B454=""),"",IF(Z454=1,IF(AE454=1,N($S454),AC454),0))</f>
        <v/>
      </c>
      <c r="AH454" s="21">
        <f>IF(AND($A454="",$B454=""),"",IF(AND(ISNUMBER($I454),N($I454)&gt;0),$I454,0))</f>
        <v/>
      </c>
      <c r="AI454" s="23">
        <f>IF(AND(NOT(AND($A454="",$B454="")),$K454="Point",N($L454)&gt;0),SQRT(N($L454)/PI()),"")</f>
        <v/>
      </c>
      <c r="AJ454" s="21">
        <f>IF(AND($A454="",$B454=""),"",IFERROR(VLOOKUP($G454,Lists!$D$4:$E$15,2,FALSE),"Not reported"))</f>
        <v/>
      </c>
      <c r="AK454" s="21">
        <f>IF(AND($A454="",$B454=""),"",IF($X454&lt;&gt;"",$X454,IF($T454&lt;&gt;"Y","Not assessed",IF(AND(ISNUMBER($V454),Setup!$B$6-$V454&gt;Setup!$B$26),"Assessment outdated",IF(NOT(ISNUMBER($W454)),"Assessed – no score",IF($W454&gt;=Setup!$B$24,"High",IF($W454&gt;=Setup!$B$25,"Moderate","Low")))))))</f>
        <v/>
      </c>
      <c r="AL454" s="21">
        <f>IF(AND($A454="",$B454=""),"",IF(Z454=0,"",IF(AND(AE454=1,N($R454)&gt;AD454*1.01+0.001),"Net terrestrial &gt; gross; ","")&amp;IF(AND(AE454=1,N($S454)&gt;AC454*1.01+0.001),"Net marine &gt; gross; ","")&amp;IF(AE454=0,"No net area – gross used, overlaps may be double-counted; ","")&amp;IF(AH454=0,"STATUS_YR missing – imputed in time series; ","")&amp;IF(AND(ISNUMBER($I454),N($I454)&gt;Setup!$B$6),"STATUS_YR after reporting year; ","")&amp;IF(OR($G454="",$G454="Not Reported"),"GOV_TYPE not reported; ","")&amp;IF(AND(N($J454)=1,$K454="Point",N($M454)&lt;=0),"Coastal point without REP_M_AREA – land/sea split unknown; ","")&amp;IF(AND(N($J454)=0,N($S454)&gt;0),"MARINE=0 but net marine &gt;0; ","")&amp;IF(AND(N($J454)=2,N($R454)&gt;0),"MARINE=2 but net terrestrial &gt;0; ","")&amp;IF($K454="Point","Buffered point – coverage approximate; ","")))</f>
        <v/>
      </c>
    </row>
    <row r="455">
      <c r="A455" s="19" t="n"/>
      <c r="B455" s="19" t="n"/>
      <c r="C455" s="19" t="n"/>
      <c r="D455" s="19" t="n"/>
      <c r="E455" s="19" t="n"/>
      <c r="F455" s="19" t="n"/>
      <c r="G455" s="19" t="n"/>
      <c r="H455" s="19" t="n"/>
      <c r="I455" s="19" t="n"/>
      <c r="J455" s="19" t="n"/>
      <c r="K455" s="19" t="n"/>
      <c r="L455" s="20" t="n"/>
      <c r="M455" s="20" t="n"/>
      <c r="N455" s="20" t="n"/>
      <c r="O455" s="20" t="n"/>
      <c r="P455" s="19" t="n"/>
      <c r="Q455" s="19" t="n"/>
      <c r="R455" s="20" t="n"/>
      <c r="S455" s="20" t="n"/>
      <c r="T455" s="19" t="n"/>
      <c r="U455" s="19" t="n"/>
      <c r="V455" s="19" t="n"/>
      <c r="W455" s="19" t="n"/>
      <c r="X455" s="19" t="n"/>
      <c r="Y455" s="19" t="n"/>
      <c r="Z455" s="21">
        <f>IF(AND($A455="",$B455=""),"",IF(OR($E455="",$H455="",$H455="Proposed",$H455="Not Reported"),0,IF(AND($P455="Y",$Q455&lt;&gt;"Y"),0,IF(AND($K455="Point",N($L455)&lt;=0),0,IF(AND(N($L455)&lt;=0,N($N455)&lt;=0,N($R455)+N($S455)&lt;=0),0,1)))))</f>
        <v/>
      </c>
      <c r="AA455" s="21">
        <f>IF(AND($A455="",$B455=""),"",IF($E455="","Site type missing",IF($H455="","STATUS missing",IF($H455="Proposed","STATUS = Proposed",IF($H455="Not Reported","STATUS = Not Reported",IF(AND($P455="Y",$Q455&lt;&gt;"Y"),"UNESCO-MAB Biosphere Reserve",IF(AND($K455="Point",N($L455)&lt;=0),"Point without REP_AREA",IF(AND(N($L455)&lt;=0,N($N455)&lt;=0,N($R455)+N($S455)&lt;=0),"No area information",""))))))))</f>
        <v/>
      </c>
      <c r="AB455" s="22">
        <f>IF(AND($A455="",$B455=""),"",IF($K455="Point",N($L455),IF(N($N455)&gt;0,N($N455),N($L455))))</f>
        <v/>
      </c>
      <c r="AC455" s="22">
        <f>IF(AND($A455="",$B455=""),"",MIN(AB455,IF(N($J455)=0,0,IF(N($J455)=2,AB455,IF(AND($K455&lt;&gt;"Point",N($O455)&gt;0),N($O455),N($M455))))))</f>
        <v/>
      </c>
      <c r="AD455" s="22">
        <f>IF(AND($A455="",$B455=""),"",MAX(0,AB455-AC455))</f>
        <v/>
      </c>
      <c r="AE455" s="21">
        <f>IF(AND($A455="",$B455=""),"",IF(OR($R455&lt;&gt;"",$S455&lt;&gt;""),1,0))</f>
        <v/>
      </c>
      <c r="AF455" s="22">
        <f>IF(AND($A455="",$B455=""),"",IF(Z455=1,IF(AE455=1,N($R455),AD455),0))</f>
        <v/>
      </c>
      <c r="AG455" s="22">
        <f>IF(AND($A455="",$B455=""),"",IF(Z455=1,IF(AE455=1,N($S455),AC455),0))</f>
        <v/>
      </c>
      <c r="AH455" s="21">
        <f>IF(AND($A455="",$B455=""),"",IF(AND(ISNUMBER($I455),N($I455)&gt;0),$I455,0))</f>
        <v/>
      </c>
      <c r="AI455" s="23">
        <f>IF(AND(NOT(AND($A455="",$B455="")),$K455="Point",N($L455)&gt;0),SQRT(N($L455)/PI()),"")</f>
        <v/>
      </c>
      <c r="AJ455" s="21">
        <f>IF(AND($A455="",$B455=""),"",IFERROR(VLOOKUP($G455,Lists!$D$4:$E$15,2,FALSE),"Not reported"))</f>
        <v/>
      </c>
      <c r="AK455" s="21">
        <f>IF(AND($A455="",$B455=""),"",IF($X455&lt;&gt;"",$X455,IF($T455&lt;&gt;"Y","Not assessed",IF(AND(ISNUMBER($V455),Setup!$B$6-$V455&gt;Setup!$B$26),"Assessment outdated",IF(NOT(ISNUMBER($W455)),"Assessed – no score",IF($W455&gt;=Setup!$B$24,"High",IF($W455&gt;=Setup!$B$25,"Moderate","Low")))))))</f>
        <v/>
      </c>
      <c r="AL455" s="21">
        <f>IF(AND($A455="",$B455=""),"",IF(Z455=0,"",IF(AND(AE455=1,N($R455)&gt;AD455*1.01+0.001),"Net terrestrial &gt; gross; ","")&amp;IF(AND(AE455=1,N($S455)&gt;AC455*1.01+0.001),"Net marine &gt; gross; ","")&amp;IF(AE455=0,"No net area – gross used, overlaps may be double-counted; ","")&amp;IF(AH455=0,"STATUS_YR missing – imputed in time series; ","")&amp;IF(AND(ISNUMBER($I455),N($I455)&gt;Setup!$B$6),"STATUS_YR after reporting year; ","")&amp;IF(OR($G455="",$G455="Not Reported"),"GOV_TYPE not reported; ","")&amp;IF(AND(N($J455)=1,$K455="Point",N($M455)&lt;=0),"Coastal point without REP_M_AREA – land/sea split unknown; ","")&amp;IF(AND(N($J455)=0,N($S455)&gt;0),"MARINE=0 but net marine &gt;0; ","")&amp;IF(AND(N($J455)=2,N($R455)&gt;0),"MARINE=2 but net terrestrial &gt;0; ","")&amp;IF($K455="Point","Buffered point – coverage approximate; ","")))</f>
        <v/>
      </c>
    </row>
    <row r="456">
      <c r="A456" s="19" t="n"/>
      <c r="B456" s="19" t="n"/>
      <c r="C456" s="19" t="n"/>
      <c r="D456" s="19" t="n"/>
      <c r="E456" s="19" t="n"/>
      <c r="F456" s="19" t="n"/>
      <c r="G456" s="19" t="n"/>
      <c r="H456" s="19" t="n"/>
      <c r="I456" s="19" t="n"/>
      <c r="J456" s="19" t="n"/>
      <c r="K456" s="19" t="n"/>
      <c r="L456" s="20" t="n"/>
      <c r="M456" s="20" t="n"/>
      <c r="N456" s="20" t="n"/>
      <c r="O456" s="20" t="n"/>
      <c r="P456" s="19" t="n"/>
      <c r="Q456" s="19" t="n"/>
      <c r="R456" s="20" t="n"/>
      <c r="S456" s="20" t="n"/>
      <c r="T456" s="19" t="n"/>
      <c r="U456" s="19" t="n"/>
      <c r="V456" s="19" t="n"/>
      <c r="W456" s="19" t="n"/>
      <c r="X456" s="19" t="n"/>
      <c r="Y456" s="19" t="n"/>
      <c r="Z456" s="21">
        <f>IF(AND($A456="",$B456=""),"",IF(OR($E456="",$H456="",$H456="Proposed",$H456="Not Reported"),0,IF(AND($P456="Y",$Q456&lt;&gt;"Y"),0,IF(AND($K456="Point",N($L456)&lt;=0),0,IF(AND(N($L456)&lt;=0,N($N456)&lt;=0,N($R456)+N($S456)&lt;=0),0,1)))))</f>
        <v/>
      </c>
      <c r="AA456" s="21">
        <f>IF(AND($A456="",$B456=""),"",IF($E456="","Site type missing",IF($H456="","STATUS missing",IF($H456="Proposed","STATUS = Proposed",IF($H456="Not Reported","STATUS = Not Reported",IF(AND($P456="Y",$Q456&lt;&gt;"Y"),"UNESCO-MAB Biosphere Reserve",IF(AND($K456="Point",N($L456)&lt;=0),"Point without REP_AREA",IF(AND(N($L456)&lt;=0,N($N456)&lt;=0,N($R456)+N($S456)&lt;=0),"No area information",""))))))))</f>
        <v/>
      </c>
      <c r="AB456" s="22">
        <f>IF(AND($A456="",$B456=""),"",IF($K456="Point",N($L456),IF(N($N456)&gt;0,N($N456),N($L456))))</f>
        <v/>
      </c>
      <c r="AC456" s="22">
        <f>IF(AND($A456="",$B456=""),"",MIN(AB456,IF(N($J456)=0,0,IF(N($J456)=2,AB456,IF(AND($K456&lt;&gt;"Point",N($O456)&gt;0),N($O456),N($M456))))))</f>
        <v/>
      </c>
      <c r="AD456" s="22">
        <f>IF(AND($A456="",$B456=""),"",MAX(0,AB456-AC456))</f>
        <v/>
      </c>
      <c r="AE456" s="21">
        <f>IF(AND($A456="",$B456=""),"",IF(OR($R456&lt;&gt;"",$S456&lt;&gt;""),1,0))</f>
        <v/>
      </c>
      <c r="AF456" s="22">
        <f>IF(AND($A456="",$B456=""),"",IF(Z456=1,IF(AE456=1,N($R456),AD456),0))</f>
        <v/>
      </c>
      <c r="AG456" s="22">
        <f>IF(AND($A456="",$B456=""),"",IF(Z456=1,IF(AE456=1,N($S456),AC456),0))</f>
        <v/>
      </c>
      <c r="AH456" s="21">
        <f>IF(AND($A456="",$B456=""),"",IF(AND(ISNUMBER($I456),N($I456)&gt;0),$I456,0))</f>
        <v/>
      </c>
      <c r="AI456" s="23">
        <f>IF(AND(NOT(AND($A456="",$B456="")),$K456="Point",N($L456)&gt;0),SQRT(N($L456)/PI()),"")</f>
        <v/>
      </c>
      <c r="AJ456" s="21">
        <f>IF(AND($A456="",$B456=""),"",IFERROR(VLOOKUP($G456,Lists!$D$4:$E$15,2,FALSE),"Not reported"))</f>
        <v/>
      </c>
      <c r="AK456" s="21">
        <f>IF(AND($A456="",$B456=""),"",IF($X456&lt;&gt;"",$X456,IF($T456&lt;&gt;"Y","Not assessed",IF(AND(ISNUMBER($V456),Setup!$B$6-$V456&gt;Setup!$B$26),"Assessment outdated",IF(NOT(ISNUMBER($W456)),"Assessed – no score",IF($W456&gt;=Setup!$B$24,"High",IF($W456&gt;=Setup!$B$25,"Moderate","Low")))))))</f>
        <v/>
      </c>
      <c r="AL456" s="21">
        <f>IF(AND($A456="",$B456=""),"",IF(Z456=0,"",IF(AND(AE456=1,N($R456)&gt;AD456*1.01+0.001),"Net terrestrial &gt; gross; ","")&amp;IF(AND(AE456=1,N($S456)&gt;AC456*1.01+0.001),"Net marine &gt; gross; ","")&amp;IF(AE456=0,"No net area – gross used, overlaps may be double-counted; ","")&amp;IF(AH456=0,"STATUS_YR missing – imputed in time series; ","")&amp;IF(AND(ISNUMBER($I456),N($I456)&gt;Setup!$B$6),"STATUS_YR after reporting year; ","")&amp;IF(OR($G456="",$G456="Not Reported"),"GOV_TYPE not reported; ","")&amp;IF(AND(N($J456)=1,$K456="Point",N($M456)&lt;=0),"Coastal point without REP_M_AREA – land/sea split unknown; ","")&amp;IF(AND(N($J456)=0,N($S456)&gt;0),"MARINE=0 but net marine &gt;0; ","")&amp;IF(AND(N($J456)=2,N($R456)&gt;0),"MARINE=2 but net terrestrial &gt;0; ","")&amp;IF($K456="Point","Buffered point – coverage approximate; ","")))</f>
        <v/>
      </c>
    </row>
    <row r="457">
      <c r="A457" s="19" t="n"/>
      <c r="B457" s="19" t="n"/>
      <c r="C457" s="19" t="n"/>
      <c r="D457" s="19" t="n"/>
      <c r="E457" s="19" t="n"/>
      <c r="F457" s="19" t="n"/>
      <c r="G457" s="19" t="n"/>
      <c r="H457" s="19" t="n"/>
      <c r="I457" s="19" t="n"/>
      <c r="J457" s="19" t="n"/>
      <c r="K457" s="19" t="n"/>
      <c r="L457" s="20" t="n"/>
      <c r="M457" s="20" t="n"/>
      <c r="N457" s="20" t="n"/>
      <c r="O457" s="20" t="n"/>
      <c r="P457" s="19" t="n"/>
      <c r="Q457" s="19" t="n"/>
      <c r="R457" s="20" t="n"/>
      <c r="S457" s="20" t="n"/>
      <c r="T457" s="19" t="n"/>
      <c r="U457" s="19" t="n"/>
      <c r="V457" s="19" t="n"/>
      <c r="W457" s="19" t="n"/>
      <c r="X457" s="19" t="n"/>
      <c r="Y457" s="19" t="n"/>
      <c r="Z457" s="21">
        <f>IF(AND($A457="",$B457=""),"",IF(OR($E457="",$H457="",$H457="Proposed",$H457="Not Reported"),0,IF(AND($P457="Y",$Q457&lt;&gt;"Y"),0,IF(AND($K457="Point",N($L457)&lt;=0),0,IF(AND(N($L457)&lt;=0,N($N457)&lt;=0,N($R457)+N($S457)&lt;=0),0,1)))))</f>
        <v/>
      </c>
      <c r="AA457" s="21">
        <f>IF(AND($A457="",$B457=""),"",IF($E457="","Site type missing",IF($H457="","STATUS missing",IF($H457="Proposed","STATUS = Proposed",IF($H457="Not Reported","STATUS = Not Reported",IF(AND($P457="Y",$Q457&lt;&gt;"Y"),"UNESCO-MAB Biosphere Reserve",IF(AND($K457="Point",N($L457)&lt;=0),"Point without REP_AREA",IF(AND(N($L457)&lt;=0,N($N457)&lt;=0,N($R457)+N($S457)&lt;=0),"No area information",""))))))))</f>
        <v/>
      </c>
      <c r="AB457" s="22">
        <f>IF(AND($A457="",$B457=""),"",IF($K457="Point",N($L457),IF(N($N457)&gt;0,N($N457),N($L457))))</f>
        <v/>
      </c>
      <c r="AC457" s="22">
        <f>IF(AND($A457="",$B457=""),"",MIN(AB457,IF(N($J457)=0,0,IF(N($J457)=2,AB457,IF(AND($K457&lt;&gt;"Point",N($O457)&gt;0),N($O457),N($M457))))))</f>
        <v/>
      </c>
      <c r="AD457" s="22">
        <f>IF(AND($A457="",$B457=""),"",MAX(0,AB457-AC457))</f>
        <v/>
      </c>
      <c r="AE457" s="21">
        <f>IF(AND($A457="",$B457=""),"",IF(OR($R457&lt;&gt;"",$S457&lt;&gt;""),1,0))</f>
        <v/>
      </c>
      <c r="AF457" s="22">
        <f>IF(AND($A457="",$B457=""),"",IF(Z457=1,IF(AE457=1,N($R457),AD457),0))</f>
        <v/>
      </c>
      <c r="AG457" s="22">
        <f>IF(AND($A457="",$B457=""),"",IF(Z457=1,IF(AE457=1,N($S457),AC457),0))</f>
        <v/>
      </c>
      <c r="AH457" s="21">
        <f>IF(AND($A457="",$B457=""),"",IF(AND(ISNUMBER($I457),N($I457)&gt;0),$I457,0))</f>
        <v/>
      </c>
      <c r="AI457" s="23">
        <f>IF(AND(NOT(AND($A457="",$B457="")),$K457="Point",N($L457)&gt;0),SQRT(N($L457)/PI()),"")</f>
        <v/>
      </c>
      <c r="AJ457" s="21">
        <f>IF(AND($A457="",$B457=""),"",IFERROR(VLOOKUP($G457,Lists!$D$4:$E$15,2,FALSE),"Not reported"))</f>
        <v/>
      </c>
      <c r="AK457" s="21">
        <f>IF(AND($A457="",$B457=""),"",IF($X457&lt;&gt;"",$X457,IF($T457&lt;&gt;"Y","Not assessed",IF(AND(ISNUMBER($V457),Setup!$B$6-$V457&gt;Setup!$B$26),"Assessment outdated",IF(NOT(ISNUMBER($W457)),"Assessed – no score",IF($W457&gt;=Setup!$B$24,"High",IF($W457&gt;=Setup!$B$25,"Moderate","Low")))))))</f>
        <v/>
      </c>
      <c r="AL457" s="21">
        <f>IF(AND($A457="",$B457=""),"",IF(Z457=0,"",IF(AND(AE457=1,N($R457)&gt;AD457*1.01+0.001),"Net terrestrial &gt; gross; ","")&amp;IF(AND(AE457=1,N($S457)&gt;AC457*1.01+0.001),"Net marine &gt; gross; ","")&amp;IF(AE457=0,"No net area – gross used, overlaps may be double-counted; ","")&amp;IF(AH457=0,"STATUS_YR missing – imputed in time series; ","")&amp;IF(AND(ISNUMBER($I457),N($I457)&gt;Setup!$B$6),"STATUS_YR after reporting year; ","")&amp;IF(OR($G457="",$G457="Not Reported"),"GOV_TYPE not reported; ","")&amp;IF(AND(N($J457)=1,$K457="Point",N($M457)&lt;=0),"Coastal point without REP_M_AREA – land/sea split unknown; ","")&amp;IF(AND(N($J457)=0,N($S457)&gt;0),"MARINE=0 but net marine &gt;0; ","")&amp;IF(AND(N($J457)=2,N($R457)&gt;0),"MARINE=2 but net terrestrial &gt;0; ","")&amp;IF($K457="Point","Buffered point – coverage approximate; ","")))</f>
        <v/>
      </c>
    </row>
    <row r="458">
      <c r="A458" s="19" t="n"/>
      <c r="B458" s="19" t="n"/>
      <c r="C458" s="19" t="n"/>
      <c r="D458" s="19" t="n"/>
      <c r="E458" s="19" t="n"/>
      <c r="F458" s="19" t="n"/>
      <c r="G458" s="19" t="n"/>
      <c r="H458" s="19" t="n"/>
      <c r="I458" s="19" t="n"/>
      <c r="J458" s="19" t="n"/>
      <c r="K458" s="19" t="n"/>
      <c r="L458" s="20" t="n"/>
      <c r="M458" s="20" t="n"/>
      <c r="N458" s="20" t="n"/>
      <c r="O458" s="20" t="n"/>
      <c r="P458" s="19" t="n"/>
      <c r="Q458" s="19" t="n"/>
      <c r="R458" s="20" t="n"/>
      <c r="S458" s="20" t="n"/>
      <c r="T458" s="19" t="n"/>
      <c r="U458" s="19" t="n"/>
      <c r="V458" s="19" t="n"/>
      <c r="W458" s="19" t="n"/>
      <c r="X458" s="19" t="n"/>
      <c r="Y458" s="19" t="n"/>
      <c r="Z458" s="21">
        <f>IF(AND($A458="",$B458=""),"",IF(OR($E458="",$H458="",$H458="Proposed",$H458="Not Reported"),0,IF(AND($P458="Y",$Q458&lt;&gt;"Y"),0,IF(AND($K458="Point",N($L458)&lt;=0),0,IF(AND(N($L458)&lt;=0,N($N458)&lt;=0,N($R458)+N($S458)&lt;=0),0,1)))))</f>
        <v/>
      </c>
      <c r="AA458" s="21">
        <f>IF(AND($A458="",$B458=""),"",IF($E458="","Site type missing",IF($H458="","STATUS missing",IF($H458="Proposed","STATUS = Proposed",IF($H458="Not Reported","STATUS = Not Reported",IF(AND($P458="Y",$Q458&lt;&gt;"Y"),"UNESCO-MAB Biosphere Reserve",IF(AND($K458="Point",N($L458)&lt;=0),"Point without REP_AREA",IF(AND(N($L458)&lt;=0,N($N458)&lt;=0,N($R458)+N($S458)&lt;=0),"No area information",""))))))))</f>
        <v/>
      </c>
      <c r="AB458" s="22">
        <f>IF(AND($A458="",$B458=""),"",IF($K458="Point",N($L458),IF(N($N458)&gt;0,N($N458),N($L458))))</f>
        <v/>
      </c>
      <c r="AC458" s="22">
        <f>IF(AND($A458="",$B458=""),"",MIN(AB458,IF(N($J458)=0,0,IF(N($J458)=2,AB458,IF(AND($K458&lt;&gt;"Point",N($O458)&gt;0),N($O458),N($M458))))))</f>
        <v/>
      </c>
      <c r="AD458" s="22">
        <f>IF(AND($A458="",$B458=""),"",MAX(0,AB458-AC458))</f>
        <v/>
      </c>
      <c r="AE458" s="21">
        <f>IF(AND($A458="",$B458=""),"",IF(OR($R458&lt;&gt;"",$S458&lt;&gt;""),1,0))</f>
        <v/>
      </c>
      <c r="AF458" s="22">
        <f>IF(AND($A458="",$B458=""),"",IF(Z458=1,IF(AE458=1,N($R458),AD458),0))</f>
        <v/>
      </c>
      <c r="AG458" s="22">
        <f>IF(AND($A458="",$B458=""),"",IF(Z458=1,IF(AE458=1,N($S458),AC458),0))</f>
        <v/>
      </c>
      <c r="AH458" s="21">
        <f>IF(AND($A458="",$B458=""),"",IF(AND(ISNUMBER($I458),N($I458)&gt;0),$I458,0))</f>
        <v/>
      </c>
      <c r="AI458" s="23">
        <f>IF(AND(NOT(AND($A458="",$B458="")),$K458="Point",N($L458)&gt;0),SQRT(N($L458)/PI()),"")</f>
        <v/>
      </c>
      <c r="AJ458" s="21">
        <f>IF(AND($A458="",$B458=""),"",IFERROR(VLOOKUP($G458,Lists!$D$4:$E$15,2,FALSE),"Not reported"))</f>
        <v/>
      </c>
      <c r="AK458" s="21">
        <f>IF(AND($A458="",$B458=""),"",IF($X458&lt;&gt;"",$X458,IF($T458&lt;&gt;"Y","Not assessed",IF(AND(ISNUMBER($V458),Setup!$B$6-$V458&gt;Setup!$B$26),"Assessment outdated",IF(NOT(ISNUMBER($W458)),"Assessed – no score",IF($W458&gt;=Setup!$B$24,"High",IF($W458&gt;=Setup!$B$25,"Moderate","Low")))))))</f>
        <v/>
      </c>
      <c r="AL458" s="21">
        <f>IF(AND($A458="",$B458=""),"",IF(Z458=0,"",IF(AND(AE458=1,N($R458)&gt;AD458*1.01+0.001),"Net terrestrial &gt; gross; ","")&amp;IF(AND(AE458=1,N($S458)&gt;AC458*1.01+0.001),"Net marine &gt; gross; ","")&amp;IF(AE458=0,"No net area – gross used, overlaps may be double-counted; ","")&amp;IF(AH458=0,"STATUS_YR missing – imputed in time series; ","")&amp;IF(AND(ISNUMBER($I458),N($I458)&gt;Setup!$B$6),"STATUS_YR after reporting year; ","")&amp;IF(OR($G458="",$G458="Not Reported"),"GOV_TYPE not reported; ","")&amp;IF(AND(N($J458)=1,$K458="Point",N($M458)&lt;=0),"Coastal point without REP_M_AREA – land/sea split unknown; ","")&amp;IF(AND(N($J458)=0,N($S458)&gt;0),"MARINE=0 but net marine &gt;0; ","")&amp;IF(AND(N($J458)=2,N($R458)&gt;0),"MARINE=2 but net terrestrial &gt;0; ","")&amp;IF($K458="Point","Buffered point – coverage approximate; ","")))</f>
        <v/>
      </c>
    </row>
    <row r="459">
      <c r="A459" s="19" t="n"/>
      <c r="B459" s="19" t="n"/>
      <c r="C459" s="19" t="n"/>
      <c r="D459" s="19" t="n"/>
      <c r="E459" s="19" t="n"/>
      <c r="F459" s="19" t="n"/>
      <c r="G459" s="19" t="n"/>
      <c r="H459" s="19" t="n"/>
      <c r="I459" s="19" t="n"/>
      <c r="J459" s="19" t="n"/>
      <c r="K459" s="19" t="n"/>
      <c r="L459" s="20" t="n"/>
      <c r="M459" s="20" t="n"/>
      <c r="N459" s="20" t="n"/>
      <c r="O459" s="20" t="n"/>
      <c r="P459" s="19" t="n"/>
      <c r="Q459" s="19" t="n"/>
      <c r="R459" s="20" t="n"/>
      <c r="S459" s="20" t="n"/>
      <c r="T459" s="19" t="n"/>
      <c r="U459" s="19" t="n"/>
      <c r="V459" s="19" t="n"/>
      <c r="W459" s="19" t="n"/>
      <c r="X459" s="19" t="n"/>
      <c r="Y459" s="19" t="n"/>
      <c r="Z459" s="21">
        <f>IF(AND($A459="",$B459=""),"",IF(OR($E459="",$H459="",$H459="Proposed",$H459="Not Reported"),0,IF(AND($P459="Y",$Q459&lt;&gt;"Y"),0,IF(AND($K459="Point",N($L459)&lt;=0),0,IF(AND(N($L459)&lt;=0,N($N459)&lt;=0,N($R459)+N($S459)&lt;=0),0,1)))))</f>
        <v/>
      </c>
      <c r="AA459" s="21">
        <f>IF(AND($A459="",$B459=""),"",IF($E459="","Site type missing",IF($H459="","STATUS missing",IF($H459="Proposed","STATUS = Proposed",IF($H459="Not Reported","STATUS = Not Reported",IF(AND($P459="Y",$Q459&lt;&gt;"Y"),"UNESCO-MAB Biosphere Reserve",IF(AND($K459="Point",N($L459)&lt;=0),"Point without REP_AREA",IF(AND(N($L459)&lt;=0,N($N459)&lt;=0,N($R459)+N($S459)&lt;=0),"No area information",""))))))))</f>
        <v/>
      </c>
      <c r="AB459" s="22">
        <f>IF(AND($A459="",$B459=""),"",IF($K459="Point",N($L459),IF(N($N459)&gt;0,N($N459),N($L459))))</f>
        <v/>
      </c>
      <c r="AC459" s="22">
        <f>IF(AND($A459="",$B459=""),"",MIN(AB459,IF(N($J459)=0,0,IF(N($J459)=2,AB459,IF(AND($K459&lt;&gt;"Point",N($O459)&gt;0),N($O459),N($M459))))))</f>
        <v/>
      </c>
      <c r="AD459" s="22">
        <f>IF(AND($A459="",$B459=""),"",MAX(0,AB459-AC459))</f>
        <v/>
      </c>
      <c r="AE459" s="21">
        <f>IF(AND($A459="",$B459=""),"",IF(OR($R459&lt;&gt;"",$S459&lt;&gt;""),1,0))</f>
        <v/>
      </c>
      <c r="AF459" s="22">
        <f>IF(AND($A459="",$B459=""),"",IF(Z459=1,IF(AE459=1,N($R459),AD459),0))</f>
        <v/>
      </c>
      <c r="AG459" s="22">
        <f>IF(AND($A459="",$B459=""),"",IF(Z459=1,IF(AE459=1,N($S459),AC459),0))</f>
        <v/>
      </c>
      <c r="AH459" s="21">
        <f>IF(AND($A459="",$B459=""),"",IF(AND(ISNUMBER($I459),N($I459)&gt;0),$I459,0))</f>
        <v/>
      </c>
      <c r="AI459" s="23">
        <f>IF(AND(NOT(AND($A459="",$B459="")),$K459="Point",N($L459)&gt;0),SQRT(N($L459)/PI()),"")</f>
        <v/>
      </c>
      <c r="AJ459" s="21">
        <f>IF(AND($A459="",$B459=""),"",IFERROR(VLOOKUP($G459,Lists!$D$4:$E$15,2,FALSE),"Not reported"))</f>
        <v/>
      </c>
      <c r="AK459" s="21">
        <f>IF(AND($A459="",$B459=""),"",IF($X459&lt;&gt;"",$X459,IF($T459&lt;&gt;"Y","Not assessed",IF(AND(ISNUMBER($V459),Setup!$B$6-$V459&gt;Setup!$B$26),"Assessment outdated",IF(NOT(ISNUMBER($W459)),"Assessed – no score",IF($W459&gt;=Setup!$B$24,"High",IF($W459&gt;=Setup!$B$25,"Moderate","Low")))))))</f>
        <v/>
      </c>
      <c r="AL459" s="21">
        <f>IF(AND($A459="",$B459=""),"",IF(Z459=0,"",IF(AND(AE459=1,N($R459)&gt;AD459*1.01+0.001),"Net terrestrial &gt; gross; ","")&amp;IF(AND(AE459=1,N($S459)&gt;AC459*1.01+0.001),"Net marine &gt; gross; ","")&amp;IF(AE459=0,"No net area – gross used, overlaps may be double-counted; ","")&amp;IF(AH459=0,"STATUS_YR missing – imputed in time series; ","")&amp;IF(AND(ISNUMBER($I459),N($I459)&gt;Setup!$B$6),"STATUS_YR after reporting year; ","")&amp;IF(OR($G459="",$G459="Not Reported"),"GOV_TYPE not reported; ","")&amp;IF(AND(N($J459)=1,$K459="Point",N($M459)&lt;=0),"Coastal point without REP_M_AREA – land/sea split unknown; ","")&amp;IF(AND(N($J459)=0,N($S459)&gt;0),"MARINE=0 but net marine &gt;0; ","")&amp;IF(AND(N($J459)=2,N($R459)&gt;0),"MARINE=2 but net terrestrial &gt;0; ","")&amp;IF($K459="Point","Buffered point – coverage approximate; ","")))</f>
        <v/>
      </c>
    </row>
    <row r="460">
      <c r="A460" s="19" t="n"/>
      <c r="B460" s="19" t="n"/>
      <c r="C460" s="19" t="n"/>
      <c r="D460" s="19" t="n"/>
      <c r="E460" s="19" t="n"/>
      <c r="F460" s="19" t="n"/>
      <c r="G460" s="19" t="n"/>
      <c r="H460" s="19" t="n"/>
      <c r="I460" s="19" t="n"/>
      <c r="J460" s="19" t="n"/>
      <c r="K460" s="19" t="n"/>
      <c r="L460" s="20" t="n"/>
      <c r="M460" s="20" t="n"/>
      <c r="N460" s="20" t="n"/>
      <c r="O460" s="20" t="n"/>
      <c r="P460" s="19" t="n"/>
      <c r="Q460" s="19" t="n"/>
      <c r="R460" s="20" t="n"/>
      <c r="S460" s="20" t="n"/>
      <c r="T460" s="19" t="n"/>
      <c r="U460" s="19" t="n"/>
      <c r="V460" s="19" t="n"/>
      <c r="W460" s="19" t="n"/>
      <c r="X460" s="19" t="n"/>
      <c r="Y460" s="19" t="n"/>
      <c r="Z460" s="21">
        <f>IF(AND($A460="",$B460=""),"",IF(OR($E460="",$H460="",$H460="Proposed",$H460="Not Reported"),0,IF(AND($P460="Y",$Q460&lt;&gt;"Y"),0,IF(AND($K460="Point",N($L460)&lt;=0),0,IF(AND(N($L460)&lt;=0,N($N460)&lt;=0,N($R460)+N($S460)&lt;=0),0,1)))))</f>
        <v/>
      </c>
      <c r="AA460" s="21">
        <f>IF(AND($A460="",$B460=""),"",IF($E460="","Site type missing",IF($H460="","STATUS missing",IF($H460="Proposed","STATUS = Proposed",IF($H460="Not Reported","STATUS = Not Reported",IF(AND($P460="Y",$Q460&lt;&gt;"Y"),"UNESCO-MAB Biosphere Reserve",IF(AND($K460="Point",N($L460)&lt;=0),"Point without REP_AREA",IF(AND(N($L460)&lt;=0,N($N460)&lt;=0,N($R460)+N($S460)&lt;=0),"No area information",""))))))))</f>
        <v/>
      </c>
      <c r="AB460" s="22">
        <f>IF(AND($A460="",$B460=""),"",IF($K460="Point",N($L460),IF(N($N460)&gt;0,N($N460),N($L460))))</f>
        <v/>
      </c>
      <c r="AC460" s="22">
        <f>IF(AND($A460="",$B460=""),"",MIN(AB460,IF(N($J460)=0,0,IF(N($J460)=2,AB460,IF(AND($K460&lt;&gt;"Point",N($O460)&gt;0),N($O460),N($M460))))))</f>
        <v/>
      </c>
      <c r="AD460" s="22">
        <f>IF(AND($A460="",$B460=""),"",MAX(0,AB460-AC460))</f>
        <v/>
      </c>
      <c r="AE460" s="21">
        <f>IF(AND($A460="",$B460=""),"",IF(OR($R460&lt;&gt;"",$S460&lt;&gt;""),1,0))</f>
        <v/>
      </c>
      <c r="AF460" s="22">
        <f>IF(AND($A460="",$B460=""),"",IF(Z460=1,IF(AE460=1,N($R460),AD460),0))</f>
        <v/>
      </c>
      <c r="AG460" s="22">
        <f>IF(AND($A460="",$B460=""),"",IF(Z460=1,IF(AE460=1,N($S460),AC460),0))</f>
        <v/>
      </c>
      <c r="AH460" s="21">
        <f>IF(AND($A460="",$B460=""),"",IF(AND(ISNUMBER($I460),N($I460)&gt;0),$I460,0))</f>
        <v/>
      </c>
      <c r="AI460" s="23">
        <f>IF(AND(NOT(AND($A460="",$B460="")),$K460="Point",N($L460)&gt;0),SQRT(N($L460)/PI()),"")</f>
        <v/>
      </c>
      <c r="AJ460" s="21">
        <f>IF(AND($A460="",$B460=""),"",IFERROR(VLOOKUP($G460,Lists!$D$4:$E$15,2,FALSE),"Not reported"))</f>
        <v/>
      </c>
      <c r="AK460" s="21">
        <f>IF(AND($A460="",$B460=""),"",IF($X460&lt;&gt;"",$X460,IF($T460&lt;&gt;"Y","Not assessed",IF(AND(ISNUMBER($V460),Setup!$B$6-$V460&gt;Setup!$B$26),"Assessment outdated",IF(NOT(ISNUMBER($W460)),"Assessed – no score",IF($W460&gt;=Setup!$B$24,"High",IF($W460&gt;=Setup!$B$25,"Moderate","Low")))))))</f>
        <v/>
      </c>
      <c r="AL460" s="21">
        <f>IF(AND($A460="",$B460=""),"",IF(Z460=0,"",IF(AND(AE460=1,N($R460)&gt;AD460*1.01+0.001),"Net terrestrial &gt; gross; ","")&amp;IF(AND(AE460=1,N($S460)&gt;AC460*1.01+0.001),"Net marine &gt; gross; ","")&amp;IF(AE460=0,"No net area – gross used, overlaps may be double-counted; ","")&amp;IF(AH460=0,"STATUS_YR missing – imputed in time series; ","")&amp;IF(AND(ISNUMBER($I460),N($I460)&gt;Setup!$B$6),"STATUS_YR after reporting year; ","")&amp;IF(OR($G460="",$G460="Not Reported"),"GOV_TYPE not reported; ","")&amp;IF(AND(N($J460)=1,$K460="Point",N($M460)&lt;=0),"Coastal point without REP_M_AREA – land/sea split unknown; ","")&amp;IF(AND(N($J460)=0,N($S460)&gt;0),"MARINE=0 but net marine &gt;0; ","")&amp;IF(AND(N($J460)=2,N($R460)&gt;0),"MARINE=2 but net terrestrial &gt;0; ","")&amp;IF($K460="Point","Buffered point – coverage approximate; ","")))</f>
        <v/>
      </c>
    </row>
    <row r="461">
      <c r="A461" s="19" t="n"/>
      <c r="B461" s="19" t="n"/>
      <c r="C461" s="19" t="n"/>
      <c r="D461" s="19" t="n"/>
      <c r="E461" s="19" t="n"/>
      <c r="F461" s="19" t="n"/>
      <c r="G461" s="19" t="n"/>
      <c r="H461" s="19" t="n"/>
      <c r="I461" s="19" t="n"/>
      <c r="J461" s="19" t="n"/>
      <c r="K461" s="19" t="n"/>
      <c r="L461" s="20" t="n"/>
      <c r="M461" s="20" t="n"/>
      <c r="N461" s="20" t="n"/>
      <c r="O461" s="20" t="n"/>
      <c r="P461" s="19" t="n"/>
      <c r="Q461" s="19" t="n"/>
      <c r="R461" s="20" t="n"/>
      <c r="S461" s="20" t="n"/>
      <c r="T461" s="19" t="n"/>
      <c r="U461" s="19" t="n"/>
      <c r="V461" s="19" t="n"/>
      <c r="W461" s="19" t="n"/>
      <c r="X461" s="19" t="n"/>
      <c r="Y461" s="19" t="n"/>
      <c r="Z461" s="21">
        <f>IF(AND($A461="",$B461=""),"",IF(OR($E461="",$H461="",$H461="Proposed",$H461="Not Reported"),0,IF(AND($P461="Y",$Q461&lt;&gt;"Y"),0,IF(AND($K461="Point",N($L461)&lt;=0),0,IF(AND(N($L461)&lt;=0,N($N461)&lt;=0,N($R461)+N($S461)&lt;=0),0,1)))))</f>
        <v/>
      </c>
      <c r="AA461" s="21">
        <f>IF(AND($A461="",$B461=""),"",IF($E461="","Site type missing",IF($H461="","STATUS missing",IF($H461="Proposed","STATUS = Proposed",IF($H461="Not Reported","STATUS = Not Reported",IF(AND($P461="Y",$Q461&lt;&gt;"Y"),"UNESCO-MAB Biosphere Reserve",IF(AND($K461="Point",N($L461)&lt;=0),"Point without REP_AREA",IF(AND(N($L461)&lt;=0,N($N461)&lt;=0,N($R461)+N($S461)&lt;=0),"No area information",""))))))))</f>
        <v/>
      </c>
      <c r="AB461" s="22">
        <f>IF(AND($A461="",$B461=""),"",IF($K461="Point",N($L461),IF(N($N461)&gt;0,N($N461),N($L461))))</f>
        <v/>
      </c>
      <c r="AC461" s="22">
        <f>IF(AND($A461="",$B461=""),"",MIN(AB461,IF(N($J461)=0,0,IF(N($J461)=2,AB461,IF(AND($K461&lt;&gt;"Point",N($O461)&gt;0),N($O461),N($M461))))))</f>
        <v/>
      </c>
      <c r="AD461" s="22">
        <f>IF(AND($A461="",$B461=""),"",MAX(0,AB461-AC461))</f>
        <v/>
      </c>
      <c r="AE461" s="21">
        <f>IF(AND($A461="",$B461=""),"",IF(OR($R461&lt;&gt;"",$S461&lt;&gt;""),1,0))</f>
        <v/>
      </c>
      <c r="AF461" s="22">
        <f>IF(AND($A461="",$B461=""),"",IF(Z461=1,IF(AE461=1,N($R461),AD461),0))</f>
        <v/>
      </c>
      <c r="AG461" s="22">
        <f>IF(AND($A461="",$B461=""),"",IF(Z461=1,IF(AE461=1,N($S461),AC461),0))</f>
        <v/>
      </c>
      <c r="AH461" s="21">
        <f>IF(AND($A461="",$B461=""),"",IF(AND(ISNUMBER($I461),N($I461)&gt;0),$I461,0))</f>
        <v/>
      </c>
      <c r="AI461" s="23">
        <f>IF(AND(NOT(AND($A461="",$B461="")),$K461="Point",N($L461)&gt;0),SQRT(N($L461)/PI()),"")</f>
        <v/>
      </c>
      <c r="AJ461" s="21">
        <f>IF(AND($A461="",$B461=""),"",IFERROR(VLOOKUP($G461,Lists!$D$4:$E$15,2,FALSE),"Not reported"))</f>
        <v/>
      </c>
      <c r="AK461" s="21">
        <f>IF(AND($A461="",$B461=""),"",IF($X461&lt;&gt;"",$X461,IF($T461&lt;&gt;"Y","Not assessed",IF(AND(ISNUMBER($V461),Setup!$B$6-$V461&gt;Setup!$B$26),"Assessment outdated",IF(NOT(ISNUMBER($W461)),"Assessed – no score",IF($W461&gt;=Setup!$B$24,"High",IF($W461&gt;=Setup!$B$25,"Moderate","Low")))))))</f>
        <v/>
      </c>
      <c r="AL461" s="21">
        <f>IF(AND($A461="",$B461=""),"",IF(Z461=0,"",IF(AND(AE461=1,N($R461)&gt;AD461*1.01+0.001),"Net terrestrial &gt; gross; ","")&amp;IF(AND(AE461=1,N($S461)&gt;AC461*1.01+0.001),"Net marine &gt; gross; ","")&amp;IF(AE461=0,"No net area – gross used, overlaps may be double-counted; ","")&amp;IF(AH461=0,"STATUS_YR missing – imputed in time series; ","")&amp;IF(AND(ISNUMBER($I461),N($I461)&gt;Setup!$B$6),"STATUS_YR after reporting year; ","")&amp;IF(OR($G461="",$G461="Not Reported"),"GOV_TYPE not reported; ","")&amp;IF(AND(N($J461)=1,$K461="Point",N($M461)&lt;=0),"Coastal point without REP_M_AREA – land/sea split unknown; ","")&amp;IF(AND(N($J461)=0,N($S461)&gt;0),"MARINE=0 but net marine &gt;0; ","")&amp;IF(AND(N($J461)=2,N($R461)&gt;0),"MARINE=2 but net terrestrial &gt;0; ","")&amp;IF($K461="Point","Buffered point – coverage approximate; ","")))</f>
        <v/>
      </c>
    </row>
    <row r="462">
      <c r="A462" s="19" t="n"/>
      <c r="B462" s="19" t="n"/>
      <c r="C462" s="19" t="n"/>
      <c r="D462" s="19" t="n"/>
      <c r="E462" s="19" t="n"/>
      <c r="F462" s="19" t="n"/>
      <c r="G462" s="19" t="n"/>
      <c r="H462" s="19" t="n"/>
      <c r="I462" s="19" t="n"/>
      <c r="J462" s="19" t="n"/>
      <c r="K462" s="19" t="n"/>
      <c r="L462" s="20" t="n"/>
      <c r="M462" s="20" t="n"/>
      <c r="N462" s="20" t="n"/>
      <c r="O462" s="20" t="n"/>
      <c r="P462" s="19" t="n"/>
      <c r="Q462" s="19" t="n"/>
      <c r="R462" s="20" t="n"/>
      <c r="S462" s="20" t="n"/>
      <c r="T462" s="19" t="n"/>
      <c r="U462" s="19" t="n"/>
      <c r="V462" s="19" t="n"/>
      <c r="W462" s="19" t="n"/>
      <c r="X462" s="19" t="n"/>
      <c r="Y462" s="19" t="n"/>
      <c r="Z462" s="21">
        <f>IF(AND($A462="",$B462=""),"",IF(OR($E462="",$H462="",$H462="Proposed",$H462="Not Reported"),0,IF(AND($P462="Y",$Q462&lt;&gt;"Y"),0,IF(AND($K462="Point",N($L462)&lt;=0),0,IF(AND(N($L462)&lt;=0,N($N462)&lt;=0,N($R462)+N($S462)&lt;=0),0,1)))))</f>
        <v/>
      </c>
      <c r="AA462" s="21">
        <f>IF(AND($A462="",$B462=""),"",IF($E462="","Site type missing",IF($H462="","STATUS missing",IF($H462="Proposed","STATUS = Proposed",IF($H462="Not Reported","STATUS = Not Reported",IF(AND($P462="Y",$Q462&lt;&gt;"Y"),"UNESCO-MAB Biosphere Reserve",IF(AND($K462="Point",N($L462)&lt;=0),"Point without REP_AREA",IF(AND(N($L462)&lt;=0,N($N462)&lt;=0,N($R462)+N($S462)&lt;=0),"No area information",""))))))))</f>
        <v/>
      </c>
      <c r="AB462" s="22">
        <f>IF(AND($A462="",$B462=""),"",IF($K462="Point",N($L462),IF(N($N462)&gt;0,N($N462),N($L462))))</f>
        <v/>
      </c>
      <c r="AC462" s="22">
        <f>IF(AND($A462="",$B462=""),"",MIN(AB462,IF(N($J462)=0,0,IF(N($J462)=2,AB462,IF(AND($K462&lt;&gt;"Point",N($O462)&gt;0),N($O462),N($M462))))))</f>
        <v/>
      </c>
      <c r="AD462" s="22">
        <f>IF(AND($A462="",$B462=""),"",MAX(0,AB462-AC462))</f>
        <v/>
      </c>
      <c r="AE462" s="21">
        <f>IF(AND($A462="",$B462=""),"",IF(OR($R462&lt;&gt;"",$S462&lt;&gt;""),1,0))</f>
        <v/>
      </c>
      <c r="AF462" s="22">
        <f>IF(AND($A462="",$B462=""),"",IF(Z462=1,IF(AE462=1,N($R462),AD462),0))</f>
        <v/>
      </c>
      <c r="AG462" s="22">
        <f>IF(AND($A462="",$B462=""),"",IF(Z462=1,IF(AE462=1,N($S462),AC462),0))</f>
        <v/>
      </c>
      <c r="AH462" s="21">
        <f>IF(AND($A462="",$B462=""),"",IF(AND(ISNUMBER($I462),N($I462)&gt;0),$I462,0))</f>
        <v/>
      </c>
      <c r="AI462" s="23">
        <f>IF(AND(NOT(AND($A462="",$B462="")),$K462="Point",N($L462)&gt;0),SQRT(N($L462)/PI()),"")</f>
        <v/>
      </c>
      <c r="AJ462" s="21">
        <f>IF(AND($A462="",$B462=""),"",IFERROR(VLOOKUP($G462,Lists!$D$4:$E$15,2,FALSE),"Not reported"))</f>
        <v/>
      </c>
      <c r="AK462" s="21">
        <f>IF(AND($A462="",$B462=""),"",IF($X462&lt;&gt;"",$X462,IF($T462&lt;&gt;"Y","Not assessed",IF(AND(ISNUMBER($V462),Setup!$B$6-$V462&gt;Setup!$B$26),"Assessment outdated",IF(NOT(ISNUMBER($W462)),"Assessed – no score",IF($W462&gt;=Setup!$B$24,"High",IF($W462&gt;=Setup!$B$25,"Moderate","Low")))))))</f>
        <v/>
      </c>
      <c r="AL462" s="21">
        <f>IF(AND($A462="",$B462=""),"",IF(Z462=0,"",IF(AND(AE462=1,N($R462)&gt;AD462*1.01+0.001),"Net terrestrial &gt; gross; ","")&amp;IF(AND(AE462=1,N($S462)&gt;AC462*1.01+0.001),"Net marine &gt; gross; ","")&amp;IF(AE462=0,"No net area – gross used, overlaps may be double-counted; ","")&amp;IF(AH462=0,"STATUS_YR missing – imputed in time series; ","")&amp;IF(AND(ISNUMBER($I462),N($I462)&gt;Setup!$B$6),"STATUS_YR after reporting year; ","")&amp;IF(OR($G462="",$G462="Not Reported"),"GOV_TYPE not reported; ","")&amp;IF(AND(N($J462)=1,$K462="Point",N($M462)&lt;=0),"Coastal point without REP_M_AREA – land/sea split unknown; ","")&amp;IF(AND(N($J462)=0,N($S462)&gt;0),"MARINE=0 but net marine &gt;0; ","")&amp;IF(AND(N($J462)=2,N($R462)&gt;0),"MARINE=2 but net terrestrial &gt;0; ","")&amp;IF($K462="Point","Buffered point – coverage approximate; ","")))</f>
        <v/>
      </c>
    </row>
    <row r="463">
      <c r="A463" s="19" t="n"/>
      <c r="B463" s="19" t="n"/>
      <c r="C463" s="19" t="n"/>
      <c r="D463" s="19" t="n"/>
      <c r="E463" s="19" t="n"/>
      <c r="F463" s="19" t="n"/>
      <c r="G463" s="19" t="n"/>
      <c r="H463" s="19" t="n"/>
      <c r="I463" s="19" t="n"/>
      <c r="J463" s="19" t="n"/>
      <c r="K463" s="19" t="n"/>
      <c r="L463" s="20" t="n"/>
      <c r="M463" s="20" t="n"/>
      <c r="N463" s="20" t="n"/>
      <c r="O463" s="20" t="n"/>
      <c r="P463" s="19" t="n"/>
      <c r="Q463" s="19" t="n"/>
      <c r="R463" s="20" t="n"/>
      <c r="S463" s="20" t="n"/>
      <c r="T463" s="19" t="n"/>
      <c r="U463" s="19" t="n"/>
      <c r="V463" s="19" t="n"/>
      <c r="W463" s="19" t="n"/>
      <c r="X463" s="19" t="n"/>
      <c r="Y463" s="19" t="n"/>
      <c r="Z463" s="21">
        <f>IF(AND($A463="",$B463=""),"",IF(OR($E463="",$H463="",$H463="Proposed",$H463="Not Reported"),0,IF(AND($P463="Y",$Q463&lt;&gt;"Y"),0,IF(AND($K463="Point",N($L463)&lt;=0),0,IF(AND(N($L463)&lt;=0,N($N463)&lt;=0,N($R463)+N($S463)&lt;=0),0,1)))))</f>
        <v/>
      </c>
      <c r="AA463" s="21">
        <f>IF(AND($A463="",$B463=""),"",IF($E463="","Site type missing",IF($H463="","STATUS missing",IF($H463="Proposed","STATUS = Proposed",IF($H463="Not Reported","STATUS = Not Reported",IF(AND($P463="Y",$Q463&lt;&gt;"Y"),"UNESCO-MAB Biosphere Reserve",IF(AND($K463="Point",N($L463)&lt;=0),"Point without REP_AREA",IF(AND(N($L463)&lt;=0,N($N463)&lt;=0,N($R463)+N($S463)&lt;=0),"No area information",""))))))))</f>
        <v/>
      </c>
      <c r="AB463" s="22">
        <f>IF(AND($A463="",$B463=""),"",IF($K463="Point",N($L463),IF(N($N463)&gt;0,N($N463),N($L463))))</f>
        <v/>
      </c>
      <c r="AC463" s="22">
        <f>IF(AND($A463="",$B463=""),"",MIN(AB463,IF(N($J463)=0,0,IF(N($J463)=2,AB463,IF(AND($K463&lt;&gt;"Point",N($O463)&gt;0),N($O463),N($M463))))))</f>
        <v/>
      </c>
      <c r="AD463" s="22">
        <f>IF(AND($A463="",$B463=""),"",MAX(0,AB463-AC463))</f>
        <v/>
      </c>
      <c r="AE463" s="21">
        <f>IF(AND($A463="",$B463=""),"",IF(OR($R463&lt;&gt;"",$S463&lt;&gt;""),1,0))</f>
        <v/>
      </c>
      <c r="AF463" s="22">
        <f>IF(AND($A463="",$B463=""),"",IF(Z463=1,IF(AE463=1,N($R463),AD463),0))</f>
        <v/>
      </c>
      <c r="AG463" s="22">
        <f>IF(AND($A463="",$B463=""),"",IF(Z463=1,IF(AE463=1,N($S463),AC463),0))</f>
        <v/>
      </c>
      <c r="AH463" s="21">
        <f>IF(AND($A463="",$B463=""),"",IF(AND(ISNUMBER($I463),N($I463)&gt;0),$I463,0))</f>
        <v/>
      </c>
      <c r="AI463" s="23">
        <f>IF(AND(NOT(AND($A463="",$B463="")),$K463="Point",N($L463)&gt;0),SQRT(N($L463)/PI()),"")</f>
        <v/>
      </c>
      <c r="AJ463" s="21">
        <f>IF(AND($A463="",$B463=""),"",IFERROR(VLOOKUP($G463,Lists!$D$4:$E$15,2,FALSE),"Not reported"))</f>
        <v/>
      </c>
      <c r="AK463" s="21">
        <f>IF(AND($A463="",$B463=""),"",IF($X463&lt;&gt;"",$X463,IF($T463&lt;&gt;"Y","Not assessed",IF(AND(ISNUMBER($V463),Setup!$B$6-$V463&gt;Setup!$B$26),"Assessment outdated",IF(NOT(ISNUMBER($W463)),"Assessed – no score",IF($W463&gt;=Setup!$B$24,"High",IF($W463&gt;=Setup!$B$25,"Moderate","Low")))))))</f>
        <v/>
      </c>
      <c r="AL463" s="21">
        <f>IF(AND($A463="",$B463=""),"",IF(Z463=0,"",IF(AND(AE463=1,N($R463)&gt;AD463*1.01+0.001),"Net terrestrial &gt; gross; ","")&amp;IF(AND(AE463=1,N($S463)&gt;AC463*1.01+0.001),"Net marine &gt; gross; ","")&amp;IF(AE463=0,"No net area – gross used, overlaps may be double-counted; ","")&amp;IF(AH463=0,"STATUS_YR missing – imputed in time series; ","")&amp;IF(AND(ISNUMBER($I463),N($I463)&gt;Setup!$B$6),"STATUS_YR after reporting year; ","")&amp;IF(OR($G463="",$G463="Not Reported"),"GOV_TYPE not reported; ","")&amp;IF(AND(N($J463)=1,$K463="Point",N($M463)&lt;=0),"Coastal point without REP_M_AREA – land/sea split unknown; ","")&amp;IF(AND(N($J463)=0,N($S463)&gt;0),"MARINE=0 but net marine &gt;0; ","")&amp;IF(AND(N($J463)=2,N($R463)&gt;0),"MARINE=2 but net terrestrial &gt;0; ","")&amp;IF($K463="Point","Buffered point – coverage approximate; ","")))</f>
        <v/>
      </c>
    </row>
    <row r="464">
      <c r="A464" s="19" t="n"/>
      <c r="B464" s="19" t="n"/>
      <c r="C464" s="19" t="n"/>
      <c r="D464" s="19" t="n"/>
      <c r="E464" s="19" t="n"/>
      <c r="F464" s="19" t="n"/>
      <c r="G464" s="19" t="n"/>
      <c r="H464" s="19" t="n"/>
      <c r="I464" s="19" t="n"/>
      <c r="J464" s="19" t="n"/>
      <c r="K464" s="19" t="n"/>
      <c r="L464" s="20" t="n"/>
      <c r="M464" s="20" t="n"/>
      <c r="N464" s="20" t="n"/>
      <c r="O464" s="20" t="n"/>
      <c r="P464" s="19" t="n"/>
      <c r="Q464" s="19" t="n"/>
      <c r="R464" s="20" t="n"/>
      <c r="S464" s="20" t="n"/>
      <c r="T464" s="19" t="n"/>
      <c r="U464" s="19" t="n"/>
      <c r="V464" s="19" t="n"/>
      <c r="W464" s="19" t="n"/>
      <c r="X464" s="19" t="n"/>
      <c r="Y464" s="19" t="n"/>
      <c r="Z464" s="21">
        <f>IF(AND($A464="",$B464=""),"",IF(OR($E464="",$H464="",$H464="Proposed",$H464="Not Reported"),0,IF(AND($P464="Y",$Q464&lt;&gt;"Y"),0,IF(AND($K464="Point",N($L464)&lt;=0),0,IF(AND(N($L464)&lt;=0,N($N464)&lt;=0,N($R464)+N($S464)&lt;=0),0,1)))))</f>
        <v/>
      </c>
      <c r="AA464" s="21">
        <f>IF(AND($A464="",$B464=""),"",IF($E464="","Site type missing",IF($H464="","STATUS missing",IF($H464="Proposed","STATUS = Proposed",IF($H464="Not Reported","STATUS = Not Reported",IF(AND($P464="Y",$Q464&lt;&gt;"Y"),"UNESCO-MAB Biosphere Reserve",IF(AND($K464="Point",N($L464)&lt;=0),"Point without REP_AREA",IF(AND(N($L464)&lt;=0,N($N464)&lt;=0,N($R464)+N($S464)&lt;=0),"No area information",""))))))))</f>
        <v/>
      </c>
      <c r="AB464" s="22">
        <f>IF(AND($A464="",$B464=""),"",IF($K464="Point",N($L464),IF(N($N464)&gt;0,N($N464),N($L464))))</f>
        <v/>
      </c>
      <c r="AC464" s="22">
        <f>IF(AND($A464="",$B464=""),"",MIN(AB464,IF(N($J464)=0,0,IF(N($J464)=2,AB464,IF(AND($K464&lt;&gt;"Point",N($O464)&gt;0),N($O464),N($M464))))))</f>
        <v/>
      </c>
      <c r="AD464" s="22">
        <f>IF(AND($A464="",$B464=""),"",MAX(0,AB464-AC464))</f>
        <v/>
      </c>
      <c r="AE464" s="21">
        <f>IF(AND($A464="",$B464=""),"",IF(OR($R464&lt;&gt;"",$S464&lt;&gt;""),1,0))</f>
        <v/>
      </c>
      <c r="AF464" s="22">
        <f>IF(AND($A464="",$B464=""),"",IF(Z464=1,IF(AE464=1,N($R464),AD464),0))</f>
        <v/>
      </c>
      <c r="AG464" s="22">
        <f>IF(AND($A464="",$B464=""),"",IF(Z464=1,IF(AE464=1,N($S464),AC464),0))</f>
        <v/>
      </c>
      <c r="AH464" s="21">
        <f>IF(AND($A464="",$B464=""),"",IF(AND(ISNUMBER($I464),N($I464)&gt;0),$I464,0))</f>
        <v/>
      </c>
      <c r="AI464" s="23">
        <f>IF(AND(NOT(AND($A464="",$B464="")),$K464="Point",N($L464)&gt;0),SQRT(N($L464)/PI()),"")</f>
        <v/>
      </c>
      <c r="AJ464" s="21">
        <f>IF(AND($A464="",$B464=""),"",IFERROR(VLOOKUP($G464,Lists!$D$4:$E$15,2,FALSE),"Not reported"))</f>
        <v/>
      </c>
      <c r="AK464" s="21">
        <f>IF(AND($A464="",$B464=""),"",IF($X464&lt;&gt;"",$X464,IF($T464&lt;&gt;"Y","Not assessed",IF(AND(ISNUMBER($V464),Setup!$B$6-$V464&gt;Setup!$B$26),"Assessment outdated",IF(NOT(ISNUMBER($W464)),"Assessed – no score",IF($W464&gt;=Setup!$B$24,"High",IF($W464&gt;=Setup!$B$25,"Moderate","Low")))))))</f>
        <v/>
      </c>
      <c r="AL464" s="21">
        <f>IF(AND($A464="",$B464=""),"",IF(Z464=0,"",IF(AND(AE464=1,N($R464)&gt;AD464*1.01+0.001),"Net terrestrial &gt; gross; ","")&amp;IF(AND(AE464=1,N($S464)&gt;AC464*1.01+0.001),"Net marine &gt; gross; ","")&amp;IF(AE464=0,"No net area – gross used, overlaps may be double-counted; ","")&amp;IF(AH464=0,"STATUS_YR missing – imputed in time series; ","")&amp;IF(AND(ISNUMBER($I464),N($I464)&gt;Setup!$B$6),"STATUS_YR after reporting year; ","")&amp;IF(OR($G464="",$G464="Not Reported"),"GOV_TYPE not reported; ","")&amp;IF(AND(N($J464)=1,$K464="Point",N($M464)&lt;=0),"Coastal point without REP_M_AREA – land/sea split unknown; ","")&amp;IF(AND(N($J464)=0,N($S464)&gt;0),"MARINE=0 but net marine &gt;0; ","")&amp;IF(AND(N($J464)=2,N($R464)&gt;0),"MARINE=2 but net terrestrial &gt;0; ","")&amp;IF($K464="Point","Buffered point – coverage approximate; ","")))</f>
        <v/>
      </c>
    </row>
    <row r="465">
      <c r="A465" s="19" t="n"/>
      <c r="B465" s="19" t="n"/>
      <c r="C465" s="19" t="n"/>
      <c r="D465" s="19" t="n"/>
      <c r="E465" s="19" t="n"/>
      <c r="F465" s="19" t="n"/>
      <c r="G465" s="19" t="n"/>
      <c r="H465" s="19" t="n"/>
      <c r="I465" s="19" t="n"/>
      <c r="J465" s="19" t="n"/>
      <c r="K465" s="19" t="n"/>
      <c r="L465" s="20" t="n"/>
      <c r="M465" s="20" t="n"/>
      <c r="N465" s="20" t="n"/>
      <c r="O465" s="20" t="n"/>
      <c r="P465" s="19" t="n"/>
      <c r="Q465" s="19" t="n"/>
      <c r="R465" s="20" t="n"/>
      <c r="S465" s="20" t="n"/>
      <c r="T465" s="19" t="n"/>
      <c r="U465" s="19" t="n"/>
      <c r="V465" s="19" t="n"/>
      <c r="W465" s="19" t="n"/>
      <c r="X465" s="19" t="n"/>
      <c r="Y465" s="19" t="n"/>
      <c r="Z465" s="21">
        <f>IF(AND($A465="",$B465=""),"",IF(OR($E465="",$H465="",$H465="Proposed",$H465="Not Reported"),0,IF(AND($P465="Y",$Q465&lt;&gt;"Y"),0,IF(AND($K465="Point",N($L465)&lt;=0),0,IF(AND(N($L465)&lt;=0,N($N465)&lt;=0,N($R465)+N($S465)&lt;=0),0,1)))))</f>
        <v/>
      </c>
      <c r="AA465" s="21">
        <f>IF(AND($A465="",$B465=""),"",IF($E465="","Site type missing",IF($H465="","STATUS missing",IF($H465="Proposed","STATUS = Proposed",IF($H465="Not Reported","STATUS = Not Reported",IF(AND($P465="Y",$Q465&lt;&gt;"Y"),"UNESCO-MAB Biosphere Reserve",IF(AND($K465="Point",N($L465)&lt;=0),"Point without REP_AREA",IF(AND(N($L465)&lt;=0,N($N465)&lt;=0,N($R465)+N($S465)&lt;=0),"No area information",""))))))))</f>
        <v/>
      </c>
      <c r="AB465" s="22">
        <f>IF(AND($A465="",$B465=""),"",IF($K465="Point",N($L465),IF(N($N465)&gt;0,N($N465),N($L465))))</f>
        <v/>
      </c>
      <c r="AC465" s="22">
        <f>IF(AND($A465="",$B465=""),"",MIN(AB465,IF(N($J465)=0,0,IF(N($J465)=2,AB465,IF(AND($K465&lt;&gt;"Point",N($O465)&gt;0),N($O465),N($M465))))))</f>
        <v/>
      </c>
      <c r="AD465" s="22">
        <f>IF(AND($A465="",$B465=""),"",MAX(0,AB465-AC465))</f>
        <v/>
      </c>
      <c r="AE465" s="21">
        <f>IF(AND($A465="",$B465=""),"",IF(OR($R465&lt;&gt;"",$S465&lt;&gt;""),1,0))</f>
        <v/>
      </c>
      <c r="AF465" s="22">
        <f>IF(AND($A465="",$B465=""),"",IF(Z465=1,IF(AE465=1,N($R465),AD465),0))</f>
        <v/>
      </c>
      <c r="AG465" s="22">
        <f>IF(AND($A465="",$B465=""),"",IF(Z465=1,IF(AE465=1,N($S465),AC465),0))</f>
        <v/>
      </c>
      <c r="AH465" s="21">
        <f>IF(AND($A465="",$B465=""),"",IF(AND(ISNUMBER($I465),N($I465)&gt;0),$I465,0))</f>
        <v/>
      </c>
      <c r="AI465" s="23">
        <f>IF(AND(NOT(AND($A465="",$B465="")),$K465="Point",N($L465)&gt;0),SQRT(N($L465)/PI()),"")</f>
        <v/>
      </c>
      <c r="AJ465" s="21">
        <f>IF(AND($A465="",$B465=""),"",IFERROR(VLOOKUP($G465,Lists!$D$4:$E$15,2,FALSE),"Not reported"))</f>
        <v/>
      </c>
      <c r="AK465" s="21">
        <f>IF(AND($A465="",$B465=""),"",IF($X465&lt;&gt;"",$X465,IF($T465&lt;&gt;"Y","Not assessed",IF(AND(ISNUMBER($V465),Setup!$B$6-$V465&gt;Setup!$B$26),"Assessment outdated",IF(NOT(ISNUMBER($W465)),"Assessed – no score",IF($W465&gt;=Setup!$B$24,"High",IF($W465&gt;=Setup!$B$25,"Moderate","Low")))))))</f>
        <v/>
      </c>
      <c r="AL465" s="21">
        <f>IF(AND($A465="",$B465=""),"",IF(Z465=0,"",IF(AND(AE465=1,N($R465)&gt;AD465*1.01+0.001),"Net terrestrial &gt; gross; ","")&amp;IF(AND(AE465=1,N($S465)&gt;AC465*1.01+0.001),"Net marine &gt; gross; ","")&amp;IF(AE465=0,"No net area – gross used, overlaps may be double-counted; ","")&amp;IF(AH465=0,"STATUS_YR missing – imputed in time series; ","")&amp;IF(AND(ISNUMBER($I465),N($I465)&gt;Setup!$B$6),"STATUS_YR after reporting year; ","")&amp;IF(OR($G465="",$G465="Not Reported"),"GOV_TYPE not reported; ","")&amp;IF(AND(N($J465)=1,$K465="Point",N($M465)&lt;=0),"Coastal point without REP_M_AREA – land/sea split unknown; ","")&amp;IF(AND(N($J465)=0,N($S465)&gt;0),"MARINE=0 but net marine &gt;0; ","")&amp;IF(AND(N($J465)=2,N($R465)&gt;0),"MARINE=2 but net terrestrial &gt;0; ","")&amp;IF($K465="Point","Buffered point – coverage approximate; ","")))</f>
        <v/>
      </c>
    </row>
    <row r="466">
      <c r="A466" s="19" t="n"/>
      <c r="B466" s="19" t="n"/>
      <c r="C466" s="19" t="n"/>
      <c r="D466" s="19" t="n"/>
      <c r="E466" s="19" t="n"/>
      <c r="F466" s="19" t="n"/>
      <c r="G466" s="19" t="n"/>
      <c r="H466" s="19" t="n"/>
      <c r="I466" s="19" t="n"/>
      <c r="J466" s="19" t="n"/>
      <c r="K466" s="19" t="n"/>
      <c r="L466" s="20" t="n"/>
      <c r="M466" s="20" t="n"/>
      <c r="N466" s="20" t="n"/>
      <c r="O466" s="20" t="n"/>
      <c r="P466" s="19" t="n"/>
      <c r="Q466" s="19" t="n"/>
      <c r="R466" s="20" t="n"/>
      <c r="S466" s="20" t="n"/>
      <c r="T466" s="19" t="n"/>
      <c r="U466" s="19" t="n"/>
      <c r="V466" s="19" t="n"/>
      <c r="W466" s="19" t="n"/>
      <c r="X466" s="19" t="n"/>
      <c r="Y466" s="19" t="n"/>
      <c r="Z466" s="21">
        <f>IF(AND($A466="",$B466=""),"",IF(OR($E466="",$H466="",$H466="Proposed",$H466="Not Reported"),0,IF(AND($P466="Y",$Q466&lt;&gt;"Y"),0,IF(AND($K466="Point",N($L466)&lt;=0),0,IF(AND(N($L466)&lt;=0,N($N466)&lt;=0,N($R466)+N($S466)&lt;=0),0,1)))))</f>
        <v/>
      </c>
      <c r="AA466" s="21">
        <f>IF(AND($A466="",$B466=""),"",IF($E466="","Site type missing",IF($H466="","STATUS missing",IF($H466="Proposed","STATUS = Proposed",IF($H466="Not Reported","STATUS = Not Reported",IF(AND($P466="Y",$Q466&lt;&gt;"Y"),"UNESCO-MAB Biosphere Reserve",IF(AND($K466="Point",N($L466)&lt;=0),"Point without REP_AREA",IF(AND(N($L466)&lt;=0,N($N466)&lt;=0,N($R466)+N($S466)&lt;=0),"No area information",""))))))))</f>
        <v/>
      </c>
      <c r="AB466" s="22">
        <f>IF(AND($A466="",$B466=""),"",IF($K466="Point",N($L466),IF(N($N466)&gt;0,N($N466),N($L466))))</f>
        <v/>
      </c>
      <c r="AC466" s="22">
        <f>IF(AND($A466="",$B466=""),"",MIN(AB466,IF(N($J466)=0,0,IF(N($J466)=2,AB466,IF(AND($K466&lt;&gt;"Point",N($O466)&gt;0),N($O466),N($M466))))))</f>
        <v/>
      </c>
      <c r="AD466" s="22">
        <f>IF(AND($A466="",$B466=""),"",MAX(0,AB466-AC466))</f>
        <v/>
      </c>
      <c r="AE466" s="21">
        <f>IF(AND($A466="",$B466=""),"",IF(OR($R466&lt;&gt;"",$S466&lt;&gt;""),1,0))</f>
        <v/>
      </c>
      <c r="AF466" s="22">
        <f>IF(AND($A466="",$B466=""),"",IF(Z466=1,IF(AE466=1,N($R466),AD466),0))</f>
        <v/>
      </c>
      <c r="AG466" s="22">
        <f>IF(AND($A466="",$B466=""),"",IF(Z466=1,IF(AE466=1,N($S466),AC466),0))</f>
        <v/>
      </c>
      <c r="AH466" s="21">
        <f>IF(AND($A466="",$B466=""),"",IF(AND(ISNUMBER($I466),N($I466)&gt;0),$I466,0))</f>
        <v/>
      </c>
      <c r="AI466" s="23">
        <f>IF(AND(NOT(AND($A466="",$B466="")),$K466="Point",N($L466)&gt;0),SQRT(N($L466)/PI()),"")</f>
        <v/>
      </c>
      <c r="AJ466" s="21">
        <f>IF(AND($A466="",$B466=""),"",IFERROR(VLOOKUP($G466,Lists!$D$4:$E$15,2,FALSE),"Not reported"))</f>
        <v/>
      </c>
      <c r="AK466" s="21">
        <f>IF(AND($A466="",$B466=""),"",IF($X466&lt;&gt;"",$X466,IF($T466&lt;&gt;"Y","Not assessed",IF(AND(ISNUMBER($V466),Setup!$B$6-$V466&gt;Setup!$B$26),"Assessment outdated",IF(NOT(ISNUMBER($W466)),"Assessed – no score",IF($W466&gt;=Setup!$B$24,"High",IF($W466&gt;=Setup!$B$25,"Moderate","Low")))))))</f>
        <v/>
      </c>
      <c r="AL466" s="21">
        <f>IF(AND($A466="",$B466=""),"",IF(Z466=0,"",IF(AND(AE466=1,N($R466)&gt;AD466*1.01+0.001),"Net terrestrial &gt; gross; ","")&amp;IF(AND(AE466=1,N($S466)&gt;AC466*1.01+0.001),"Net marine &gt; gross; ","")&amp;IF(AE466=0,"No net area – gross used, overlaps may be double-counted; ","")&amp;IF(AH466=0,"STATUS_YR missing – imputed in time series; ","")&amp;IF(AND(ISNUMBER($I466),N($I466)&gt;Setup!$B$6),"STATUS_YR after reporting year; ","")&amp;IF(OR($G466="",$G466="Not Reported"),"GOV_TYPE not reported; ","")&amp;IF(AND(N($J466)=1,$K466="Point",N($M466)&lt;=0),"Coastal point without REP_M_AREA – land/sea split unknown; ","")&amp;IF(AND(N($J466)=0,N($S466)&gt;0),"MARINE=0 but net marine &gt;0; ","")&amp;IF(AND(N($J466)=2,N($R466)&gt;0),"MARINE=2 but net terrestrial &gt;0; ","")&amp;IF($K466="Point","Buffered point – coverage approximate; ","")))</f>
        <v/>
      </c>
    </row>
    <row r="467">
      <c r="A467" s="19" t="n"/>
      <c r="B467" s="19" t="n"/>
      <c r="C467" s="19" t="n"/>
      <c r="D467" s="19" t="n"/>
      <c r="E467" s="19" t="n"/>
      <c r="F467" s="19" t="n"/>
      <c r="G467" s="19" t="n"/>
      <c r="H467" s="19" t="n"/>
      <c r="I467" s="19" t="n"/>
      <c r="J467" s="19" t="n"/>
      <c r="K467" s="19" t="n"/>
      <c r="L467" s="20" t="n"/>
      <c r="M467" s="20" t="n"/>
      <c r="N467" s="20" t="n"/>
      <c r="O467" s="20" t="n"/>
      <c r="P467" s="19" t="n"/>
      <c r="Q467" s="19" t="n"/>
      <c r="R467" s="20" t="n"/>
      <c r="S467" s="20" t="n"/>
      <c r="T467" s="19" t="n"/>
      <c r="U467" s="19" t="n"/>
      <c r="V467" s="19" t="n"/>
      <c r="W467" s="19" t="n"/>
      <c r="X467" s="19" t="n"/>
      <c r="Y467" s="19" t="n"/>
      <c r="Z467" s="21">
        <f>IF(AND($A467="",$B467=""),"",IF(OR($E467="",$H467="",$H467="Proposed",$H467="Not Reported"),0,IF(AND($P467="Y",$Q467&lt;&gt;"Y"),0,IF(AND($K467="Point",N($L467)&lt;=0),0,IF(AND(N($L467)&lt;=0,N($N467)&lt;=0,N($R467)+N($S467)&lt;=0),0,1)))))</f>
        <v/>
      </c>
      <c r="AA467" s="21">
        <f>IF(AND($A467="",$B467=""),"",IF($E467="","Site type missing",IF($H467="","STATUS missing",IF($H467="Proposed","STATUS = Proposed",IF($H467="Not Reported","STATUS = Not Reported",IF(AND($P467="Y",$Q467&lt;&gt;"Y"),"UNESCO-MAB Biosphere Reserve",IF(AND($K467="Point",N($L467)&lt;=0),"Point without REP_AREA",IF(AND(N($L467)&lt;=0,N($N467)&lt;=0,N($R467)+N($S467)&lt;=0),"No area information",""))))))))</f>
        <v/>
      </c>
      <c r="AB467" s="22">
        <f>IF(AND($A467="",$B467=""),"",IF($K467="Point",N($L467),IF(N($N467)&gt;0,N($N467),N($L467))))</f>
        <v/>
      </c>
      <c r="AC467" s="22">
        <f>IF(AND($A467="",$B467=""),"",MIN(AB467,IF(N($J467)=0,0,IF(N($J467)=2,AB467,IF(AND($K467&lt;&gt;"Point",N($O467)&gt;0),N($O467),N($M467))))))</f>
        <v/>
      </c>
      <c r="AD467" s="22">
        <f>IF(AND($A467="",$B467=""),"",MAX(0,AB467-AC467))</f>
        <v/>
      </c>
      <c r="AE467" s="21">
        <f>IF(AND($A467="",$B467=""),"",IF(OR($R467&lt;&gt;"",$S467&lt;&gt;""),1,0))</f>
        <v/>
      </c>
      <c r="AF467" s="22">
        <f>IF(AND($A467="",$B467=""),"",IF(Z467=1,IF(AE467=1,N($R467),AD467),0))</f>
        <v/>
      </c>
      <c r="AG467" s="22">
        <f>IF(AND($A467="",$B467=""),"",IF(Z467=1,IF(AE467=1,N($S467),AC467),0))</f>
        <v/>
      </c>
      <c r="AH467" s="21">
        <f>IF(AND($A467="",$B467=""),"",IF(AND(ISNUMBER($I467),N($I467)&gt;0),$I467,0))</f>
        <v/>
      </c>
      <c r="AI467" s="23">
        <f>IF(AND(NOT(AND($A467="",$B467="")),$K467="Point",N($L467)&gt;0),SQRT(N($L467)/PI()),"")</f>
        <v/>
      </c>
      <c r="AJ467" s="21">
        <f>IF(AND($A467="",$B467=""),"",IFERROR(VLOOKUP($G467,Lists!$D$4:$E$15,2,FALSE),"Not reported"))</f>
        <v/>
      </c>
      <c r="AK467" s="21">
        <f>IF(AND($A467="",$B467=""),"",IF($X467&lt;&gt;"",$X467,IF($T467&lt;&gt;"Y","Not assessed",IF(AND(ISNUMBER($V467),Setup!$B$6-$V467&gt;Setup!$B$26),"Assessment outdated",IF(NOT(ISNUMBER($W467)),"Assessed – no score",IF($W467&gt;=Setup!$B$24,"High",IF($W467&gt;=Setup!$B$25,"Moderate","Low")))))))</f>
        <v/>
      </c>
      <c r="AL467" s="21">
        <f>IF(AND($A467="",$B467=""),"",IF(Z467=0,"",IF(AND(AE467=1,N($R467)&gt;AD467*1.01+0.001),"Net terrestrial &gt; gross; ","")&amp;IF(AND(AE467=1,N($S467)&gt;AC467*1.01+0.001),"Net marine &gt; gross; ","")&amp;IF(AE467=0,"No net area – gross used, overlaps may be double-counted; ","")&amp;IF(AH467=0,"STATUS_YR missing – imputed in time series; ","")&amp;IF(AND(ISNUMBER($I467),N($I467)&gt;Setup!$B$6),"STATUS_YR after reporting year; ","")&amp;IF(OR($G467="",$G467="Not Reported"),"GOV_TYPE not reported; ","")&amp;IF(AND(N($J467)=1,$K467="Point",N($M467)&lt;=0),"Coastal point without REP_M_AREA – land/sea split unknown; ","")&amp;IF(AND(N($J467)=0,N($S467)&gt;0),"MARINE=0 but net marine &gt;0; ","")&amp;IF(AND(N($J467)=2,N($R467)&gt;0),"MARINE=2 but net terrestrial &gt;0; ","")&amp;IF($K467="Point","Buffered point – coverage approximate; ","")))</f>
        <v/>
      </c>
    </row>
    <row r="468">
      <c r="A468" s="19" t="n"/>
      <c r="B468" s="19" t="n"/>
      <c r="C468" s="19" t="n"/>
      <c r="D468" s="19" t="n"/>
      <c r="E468" s="19" t="n"/>
      <c r="F468" s="19" t="n"/>
      <c r="G468" s="19" t="n"/>
      <c r="H468" s="19" t="n"/>
      <c r="I468" s="19" t="n"/>
      <c r="J468" s="19" t="n"/>
      <c r="K468" s="19" t="n"/>
      <c r="L468" s="20" t="n"/>
      <c r="M468" s="20" t="n"/>
      <c r="N468" s="20" t="n"/>
      <c r="O468" s="20" t="n"/>
      <c r="P468" s="19" t="n"/>
      <c r="Q468" s="19" t="n"/>
      <c r="R468" s="20" t="n"/>
      <c r="S468" s="20" t="n"/>
      <c r="T468" s="19" t="n"/>
      <c r="U468" s="19" t="n"/>
      <c r="V468" s="19" t="n"/>
      <c r="W468" s="19" t="n"/>
      <c r="X468" s="19" t="n"/>
      <c r="Y468" s="19" t="n"/>
      <c r="Z468" s="21">
        <f>IF(AND($A468="",$B468=""),"",IF(OR($E468="",$H468="",$H468="Proposed",$H468="Not Reported"),0,IF(AND($P468="Y",$Q468&lt;&gt;"Y"),0,IF(AND($K468="Point",N($L468)&lt;=0),0,IF(AND(N($L468)&lt;=0,N($N468)&lt;=0,N($R468)+N($S468)&lt;=0),0,1)))))</f>
        <v/>
      </c>
      <c r="AA468" s="21">
        <f>IF(AND($A468="",$B468=""),"",IF($E468="","Site type missing",IF($H468="","STATUS missing",IF($H468="Proposed","STATUS = Proposed",IF($H468="Not Reported","STATUS = Not Reported",IF(AND($P468="Y",$Q468&lt;&gt;"Y"),"UNESCO-MAB Biosphere Reserve",IF(AND($K468="Point",N($L468)&lt;=0),"Point without REP_AREA",IF(AND(N($L468)&lt;=0,N($N468)&lt;=0,N($R468)+N($S468)&lt;=0),"No area information",""))))))))</f>
        <v/>
      </c>
      <c r="AB468" s="22">
        <f>IF(AND($A468="",$B468=""),"",IF($K468="Point",N($L468),IF(N($N468)&gt;0,N($N468),N($L468))))</f>
        <v/>
      </c>
      <c r="AC468" s="22">
        <f>IF(AND($A468="",$B468=""),"",MIN(AB468,IF(N($J468)=0,0,IF(N($J468)=2,AB468,IF(AND($K468&lt;&gt;"Point",N($O468)&gt;0),N($O468),N($M468))))))</f>
        <v/>
      </c>
      <c r="AD468" s="22">
        <f>IF(AND($A468="",$B468=""),"",MAX(0,AB468-AC468))</f>
        <v/>
      </c>
      <c r="AE468" s="21">
        <f>IF(AND($A468="",$B468=""),"",IF(OR($R468&lt;&gt;"",$S468&lt;&gt;""),1,0))</f>
        <v/>
      </c>
      <c r="AF468" s="22">
        <f>IF(AND($A468="",$B468=""),"",IF(Z468=1,IF(AE468=1,N($R468),AD468),0))</f>
        <v/>
      </c>
      <c r="AG468" s="22">
        <f>IF(AND($A468="",$B468=""),"",IF(Z468=1,IF(AE468=1,N($S468),AC468),0))</f>
        <v/>
      </c>
      <c r="AH468" s="21">
        <f>IF(AND($A468="",$B468=""),"",IF(AND(ISNUMBER($I468),N($I468)&gt;0),$I468,0))</f>
        <v/>
      </c>
      <c r="AI468" s="23">
        <f>IF(AND(NOT(AND($A468="",$B468="")),$K468="Point",N($L468)&gt;0),SQRT(N($L468)/PI()),"")</f>
        <v/>
      </c>
      <c r="AJ468" s="21">
        <f>IF(AND($A468="",$B468=""),"",IFERROR(VLOOKUP($G468,Lists!$D$4:$E$15,2,FALSE),"Not reported"))</f>
        <v/>
      </c>
      <c r="AK468" s="21">
        <f>IF(AND($A468="",$B468=""),"",IF($X468&lt;&gt;"",$X468,IF($T468&lt;&gt;"Y","Not assessed",IF(AND(ISNUMBER($V468),Setup!$B$6-$V468&gt;Setup!$B$26),"Assessment outdated",IF(NOT(ISNUMBER($W468)),"Assessed – no score",IF($W468&gt;=Setup!$B$24,"High",IF($W468&gt;=Setup!$B$25,"Moderate","Low")))))))</f>
        <v/>
      </c>
      <c r="AL468" s="21">
        <f>IF(AND($A468="",$B468=""),"",IF(Z468=0,"",IF(AND(AE468=1,N($R468)&gt;AD468*1.01+0.001),"Net terrestrial &gt; gross; ","")&amp;IF(AND(AE468=1,N($S468)&gt;AC468*1.01+0.001),"Net marine &gt; gross; ","")&amp;IF(AE468=0,"No net area – gross used, overlaps may be double-counted; ","")&amp;IF(AH468=0,"STATUS_YR missing – imputed in time series; ","")&amp;IF(AND(ISNUMBER($I468),N($I468)&gt;Setup!$B$6),"STATUS_YR after reporting year; ","")&amp;IF(OR($G468="",$G468="Not Reported"),"GOV_TYPE not reported; ","")&amp;IF(AND(N($J468)=1,$K468="Point",N($M468)&lt;=0),"Coastal point without REP_M_AREA – land/sea split unknown; ","")&amp;IF(AND(N($J468)=0,N($S468)&gt;0),"MARINE=0 but net marine &gt;0; ","")&amp;IF(AND(N($J468)=2,N($R468)&gt;0),"MARINE=2 but net terrestrial &gt;0; ","")&amp;IF($K468="Point","Buffered point – coverage approximate; ","")))</f>
        <v/>
      </c>
    </row>
    <row r="469">
      <c r="A469" s="19" t="n"/>
      <c r="B469" s="19" t="n"/>
      <c r="C469" s="19" t="n"/>
      <c r="D469" s="19" t="n"/>
      <c r="E469" s="19" t="n"/>
      <c r="F469" s="19" t="n"/>
      <c r="G469" s="19" t="n"/>
      <c r="H469" s="19" t="n"/>
      <c r="I469" s="19" t="n"/>
      <c r="J469" s="19" t="n"/>
      <c r="K469" s="19" t="n"/>
      <c r="L469" s="20" t="n"/>
      <c r="M469" s="20" t="n"/>
      <c r="N469" s="20" t="n"/>
      <c r="O469" s="20" t="n"/>
      <c r="P469" s="19" t="n"/>
      <c r="Q469" s="19" t="n"/>
      <c r="R469" s="20" t="n"/>
      <c r="S469" s="20" t="n"/>
      <c r="T469" s="19" t="n"/>
      <c r="U469" s="19" t="n"/>
      <c r="V469" s="19" t="n"/>
      <c r="W469" s="19" t="n"/>
      <c r="X469" s="19" t="n"/>
      <c r="Y469" s="19" t="n"/>
      <c r="Z469" s="21">
        <f>IF(AND($A469="",$B469=""),"",IF(OR($E469="",$H469="",$H469="Proposed",$H469="Not Reported"),0,IF(AND($P469="Y",$Q469&lt;&gt;"Y"),0,IF(AND($K469="Point",N($L469)&lt;=0),0,IF(AND(N($L469)&lt;=0,N($N469)&lt;=0,N($R469)+N($S469)&lt;=0),0,1)))))</f>
        <v/>
      </c>
      <c r="AA469" s="21">
        <f>IF(AND($A469="",$B469=""),"",IF($E469="","Site type missing",IF($H469="","STATUS missing",IF($H469="Proposed","STATUS = Proposed",IF($H469="Not Reported","STATUS = Not Reported",IF(AND($P469="Y",$Q469&lt;&gt;"Y"),"UNESCO-MAB Biosphere Reserve",IF(AND($K469="Point",N($L469)&lt;=0),"Point without REP_AREA",IF(AND(N($L469)&lt;=0,N($N469)&lt;=0,N($R469)+N($S469)&lt;=0),"No area information",""))))))))</f>
        <v/>
      </c>
      <c r="AB469" s="22">
        <f>IF(AND($A469="",$B469=""),"",IF($K469="Point",N($L469),IF(N($N469)&gt;0,N($N469),N($L469))))</f>
        <v/>
      </c>
      <c r="AC469" s="22">
        <f>IF(AND($A469="",$B469=""),"",MIN(AB469,IF(N($J469)=0,0,IF(N($J469)=2,AB469,IF(AND($K469&lt;&gt;"Point",N($O469)&gt;0),N($O469),N($M469))))))</f>
        <v/>
      </c>
      <c r="AD469" s="22">
        <f>IF(AND($A469="",$B469=""),"",MAX(0,AB469-AC469))</f>
        <v/>
      </c>
      <c r="AE469" s="21">
        <f>IF(AND($A469="",$B469=""),"",IF(OR($R469&lt;&gt;"",$S469&lt;&gt;""),1,0))</f>
        <v/>
      </c>
      <c r="AF469" s="22">
        <f>IF(AND($A469="",$B469=""),"",IF(Z469=1,IF(AE469=1,N($R469),AD469),0))</f>
        <v/>
      </c>
      <c r="AG469" s="22">
        <f>IF(AND($A469="",$B469=""),"",IF(Z469=1,IF(AE469=1,N($S469),AC469),0))</f>
        <v/>
      </c>
      <c r="AH469" s="21">
        <f>IF(AND($A469="",$B469=""),"",IF(AND(ISNUMBER($I469),N($I469)&gt;0),$I469,0))</f>
        <v/>
      </c>
      <c r="AI469" s="23">
        <f>IF(AND(NOT(AND($A469="",$B469="")),$K469="Point",N($L469)&gt;0),SQRT(N($L469)/PI()),"")</f>
        <v/>
      </c>
      <c r="AJ469" s="21">
        <f>IF(AND($A469="",$B469=""),"",IFERROR(VLOOKUP($G469,Lists!$D$4:$E$15,2,FALSE),"Not reported"))</f>
        <v/>
      </c>
      <c r="AK469" s="21">
        <f>IF(AND($A469="",$B469=""),"",IF($X469&lt;&gt;"",$X469,IF($T469&lt;&gt;"Y","Not assessed",IF(AND(ISNUMBER($V469),Setup!$B$6-$V469&gt;Setup!$B$26),"Assessment outdated",IF(NOT(ISNUMBER($W469)),"Assessed – no score",IF($W469&gt;=Setup!$B$24,"High",IF($W469&gt;=Setup!$B$25,"Moderate","Low")))))))</f>
        <v/>
      </c>
      <c r="AL469" s="21">
        <f>IF(AND($A469="",$B469=""),"",IF(Z469=0,"",IF(AND(AE469=1,N($R469)&gt;AD469*1.01+0.001),"Net terrestrial &gt; gross; ","")&amp;IF(AND(AE469=1,N($S469)&gt;AC469*1.01+0.001),"Net marine &gt; gross; ","")&amp;IF(AE469=0,"No net area – gross used, overlaps may be double-counted; ","")&amp;IF(AH469=0,"STATUS_YR missing – imputed in time series; ","")&amp;IF(AND(ISNUMBER($I469),N($I469)&gt;Setup!$B$6),"STATUS_YR after reporting year; ","")&amp;IF(OR($G469="",$G469="Not Reported"),"GOV_TYPE not reported; ","")&amp;IF(AND(N($J469)=1,$K469="Point",N($M469)&lt;=0),"Coastal point without REP_M_AREA – land/sea split unknown; ","")&amp;IF(AND(N($J469)=0,N($S469)&gt;0),"MARINE=0 but net marine &gt;0; ","")&amp;IF(AND(N($J469)=2,N($R469)&gt;0),"MARINE=2 but net terrestrial &gt;0; ","")&amp;IF($K469="Point","Buffered point – coverage approximate; ","")))</f>
        <v/>
      </c>
    </row>
    <row r="470">
      <c r="A470" s="19" t="n"/>
      <c r="B470" s="19" t="n"/>
      <c r="C470" s="19" t="n"/>
      <c r="D470" s="19" t="n"/>
      <c r="E470" s="19" t="n"/>
      <c r="F470" s="19" t="n"/>
      <c r="G470" s="19" t="n"/>
      <c r="H470" s="19" t="n"/>
      <c r="I470" s="19" t="n"/>
      <c r="J470" s="19" t="n"/>
      <c r="K470" s="19" t="n"/>
      <c r="L470" s="20" t="n"/>
      <c r="M470" s="20" t="n"/>
      <c r="N470" s="20" t="n"/>
      <c r="O470" s="20" t="n"/>
      <c r="P470" s="19" t="n"/>
      <c r="Q470" s="19" t="n"/>
      <c r="R470" s="20" t="n"/>
      <c r="S470" s="20" t="n"/>
      <c r="T470" s="19" t="n"/>
      <c r="U470" s="19" t="n"/>
      <c r="V470" s="19" t="n"/>
      <c r="W470" s="19" t="n"/>
      <c r="X470" s="19" t="n"/>
      <c r="Y470" s="19" t="n"/>
      <c r="Z470" s="21">
        <f>IF(AND($A470="",$B470=""),"",IF(OR($E470="",$H470="",$H470="Proposed",$H470="Not Reported"),0,IF(AND($P470="Y",$Q470&lt;&gt;"Y"),0,IF(AND($K470="Point",N($L470)&lt;=0),0,IF(AND(N($L470)&lt;=0,N($N470)&lt;=0,N($R470)+N($S470)&lt;=0),0,1)))))</f>
        <v/>
      </c>
      <c r="AA470" s="21">
        <f>IF(AND($A470="",$B470=""),"",IF($E470="","Site type missing",IF($H470="","STATUS missing",IF($H470="Proposed","STATUS = Proposed",IF($H470="Not Reported","STATUS = Not Reported",IF(AND($P470="Y",$Q470&lt;&gt;"Y"),"UNESCO-MAB Biosphere Reserve",IF(AND($K470="Point",N($L470)&lt;=0),"Point without REP_AREA",IF(AND(N($L470)&lt;=0,N($N470)&lt;=0,N($R470)+N($S470)&lt;=0),"No area information",""))))))))</f>
        <v/>
      </c>
      <c r="AB470" s="22">
        <f>IF(AND($A470="",$B470=""),"",IF($K470="Point",N($L470),IF(N($N470)&gt;0,N($N470),N($L470))))</f>
        <v/>
      </c>
      <c r="AC470" s="22">
        <f>IF(AND($A470="",$B470=""),"",MIN(AB470,IF(N($J470)=0,0,IF(N($J470)=2,AB470,IF(AND($K470&lt;&gt;"Point",N($O470)&gt;0),N($O470),N($M470))))))</f>
        <v/>
      </c>
      <c r="AD470" s="22">
        <f>IF(AND($A470="",$B470=""),"",MAX(0,AB470-AC470))</f>
        <v/>
      </c>
      <c r="AE470" s="21">
        <f>IF(AND($A470="",$B470=""),"",IF(OR($R470&lt;&gt;"",$S470&lt;&gt;""),1,0))</f>
        <v/>
      </c>
      <c r="AF470" s="22">
        <f>IF(AND($A470="",$B470=""),"",IF(Z470=1,IF(AE470=1,N($R470),AD470),0))</f>
        <v/>
      </c>
      <c r="AG470" s="22">
        <f>IF(AND($A470="",$B470=""),"",IF(Z470=1,IF(AE470=1,N($S470),AC470),0))</f>
        <v/>
      </c>
      <c r="AH470" s="21">
        <f>IF(AND($A470="",$B470=""),"",IF(AND(ISNUMBER($I470),N($I470)&gt;0),$I470,0))</f>
        <v/>
      </c>
      <c r="AI470" s="23">
        <f>IF(AND(NOT(AND($A470="",$B470="")),$K470="Point",N($L470)&gt;0),SQRT(N($L470)/PI()),"")</f>
        <v/>
      </c>
      <c r="AJ470" s="21">
        <f>IF(AND($A470="",$B470=""),"",IFERROR(VLOOKUP($G470,Lists!$D$4:$E$15,2,FALSE),"Not reported"))</f>
        <v/>
      </c>
      <c r="AK470" s="21">
        <f>IF(AND($A470="",$B470=""),"",IF($X470&lt;&gt;"",$X470,IF($T470&lt;&gt;"Y","Not assessed",IF(AND(ISNUMBER($V470),Setup!$B$6-$V470&gt;Setup!$B$26),"Assessment outdated",IF(NOT(ISNUMBER($W470)),"Assessed – no score",IF($W470&gt;=Setup!$B$24,"High",IF($W470&gt;=Setup!$B$25,"Moderate","Low")))))))</f>
        <v/>
      </c>
      <c r="AL470" s="21">
        <f>IF(AND($A470="",$B470=""),"",IF(Z470=0,"",IF(AND(AE470=1,N($R470)&gt;AD470*1.01+0.001),"Net terrestrial &gt; gross; ","")&amp;IF(AND(AE470=1,N($S470)&gt;AC470*1.01+0.001),"Net marine &gt; gross; ","")&amp;IF(AE470=0,"No net area – gross used, overlaps may be double-counted; ","")&amp;IF(AH470=0,"STATUS_YR missing – imputed in time series; ","")&amp;IF(AND(ISNUMBER($I470),N($I470)&gt;Setup!$B$6),"STATUS_YR after reporting year; ","")&amp;IF(OR($G470="",$G470="Not Reported"),"GOV_TYPE not reported; ","")&amp;IF(AND(N($J470)=1,$K470="Point",N($M470)&lt;=0),"Coastal point without REP_M_AREA – land/sea split unknown; ","")&amp;IF(AND(N($J470)=0,N($S470)&gt;0),"MARINE=0 but net marine &gt;0; ","")&amp;IF(AND(N($J470)=2,N($R470)&gt;0),"MARINE=2 but net terrestrial &gt;0; ","")&amp;IF($K470="Point","Buffered point – coverage approximate; ","")))</f>
        <v/>
      </c>
    </row>
    <row r="471">
      <c r="A471" s="19" t="n"/>
      <c r="B471" s="19" t="n"/>
      <c r="C471" s="19" t="n"/>
      <c r="D471" s="19" t="n"/>
      <c r="E471" s="19" t="n"/>
      <c r="F471" s="19" t="n"/>
      <c r="G471" s="19" t="n"/>
      <c r="H471" s="19" t="n"/>
      <c r="I471" s="19" t="n"/>
      <c r="J471" s="19" t="n"/>
      <c r="K471" s="19" t="n"/>
      <c r="L471" s="20" t="n"/>
      <c r="M471" s="20" t="n"/>
      <c r="N471" s="20" t="n"/>
      <c r="O471" s="20" t="n"/>
      <c r="P471" s="19" t="n"/>
      <c r="Q471" s="19" t="n"/>
      <c r="R471" s="20" t="n"/>
      <c r="S471" s="20" t="n"/>
      <c r="T471" s="19" t="n"/>
      <c r="U471" s="19" t="n"/>
      <c r="V471" s="19" t="n"/>
      <c r="W471" s="19" t="n"/>
      <c r="X471" s="19" t="n"/>
      <c r="Y471" s="19" t="n"/>
      <c r="Z471" s="21">
        <f>IF(AND($A471="",$B471=""),"",IF(OR($E471="",$H471="",$H471="Proposed",$H471="Not Reported"),0,IF(AND($P471="Y",$Q471&lt;&gt;"Y"),0,IF(AND($K471="Point",N($L471)&lt;=0),0,IF(AND(N($L471)&lt;=0,N($N471)&lt;=0,N($R471)+N($S471)&lt;=0),0,1)))))</f>
        <v/>
      </c>
      <c r="AA471" s="21">
        <f>IF(AND($A471="",$B471=""),"",IF($E471="","Site type missing",IF($H471="","STATUS missing",IF($H471="Proposed","STATUS = Proposed",IF($H471="Not Reported","STATUS = Not Reported",IF(AND($P471="Y",$Q471&lt;&gt;"Y"),"UNESCO-MAB Biosphere Reserve",IF(AND($K471="Point",N($L471)&lt;=0),"Point without REP_AREA",IF(AND(N($L471)&lt;=0,N($N471)&lt;=0,N($R471)+N($S471)&lt;=0),"No area information",""))))))))</f>
        <v/>
      </c>
      <c r="AB471" s="22">
        <f>IF(AND($A471="",$B471=""),"",IF($K471="Point",N($L471),IF(N($N471)&gt;0,N($N471),N($L471))))</f>
        <v/>
      </c>
      <c r="AC471" s="22">
        <f>IF(AND($A471="",$B471=""),"",MIN(AB471,IF(N($J471)=0,0,IF(N($J471)=2,AB471,IF(AND($K471&lt;&gt;"Point",N($O471)&gt;0),N($O471),N($M471))))))</f>
        <v/>
      </c>
      <c r="AD471" s="22">
        <f>IF(AND($A471="",$B471=""),"",MAX(0,AB471-AC471))</f>
        <v/>
      </c>
      <c r="AE471" s="21">
        <f>IF(AND($A471="",$B471=""),"",IF(OR($R471&lt;&gt;"",$S471&lt;&gt;""),1,0))</f>
        <v/>
      </c>
      <c r="AF471" s="22">
        <f>IF(AND($A471="",$B471=""),"",IF(Z471=1,IF(AE471=1,N($R471),AD471),0))</f>
        <v/>
      </c>
      <c r="AG471" s="22">
        <f>IF(AND($A471="",$B471=""),"",IF(Z471=1,IF(AE471=1,N($S471),AC471),0))</f>
        <v/>
      </c>
      <c r="AH471" s="21">
        <f>IF(AND($A471="",$B471=""),"",IF(AND(ISNUMBER($I471),N($I471)&gt;0),$I471,0))</f>
        <v/>
      </c>
      <c r="AI471" s="23">
        <f>IF(AND(NOT(AND($A471="",$B471="")),$K471="Point",N($L471)&gt;0),SQRT(N($L471)/PI()),"")</f>
        <v/>
      </c>
      <c r="AJ471" s="21">
        <f>IF(AND($A471="",$B471=""),"",IFERROR(VLOOKUP($G471,Lists!$D$4:$E$15,2,FALSE),"Not reported"))</f>
        <v/>
      </c>
      <c r="AK471" s="21">
        <f>IF(AND($A471="",$B471=""),"",IF($X471&lt;&gt;"",$X471,IF($T471&lt;&gt;"Y","Not assessed",IF(AND(ISNUMBER($V471),Setup!$B$6-$V471&gt;Setup!$B$26),"Assessment outdated",IF(NOT(ISNUMBER($W471)),"Assessed – no score",IF($W471&gt;=Setup!$B$24,"High",IF($W471&gt;=Setup!$B$25,"Moderate","Low")))))))</f>
        <v/>
      </c>
      <c r="AL471" s="21">
        <f>IF(AND($A471="",$B471=""),"",IF(Z471=0,"",IF(AND(AE471=1,N($R471)&gt;AD471*1.01+0.001),"Net terrestrial &gt; gross; ","")&amp;IF(AND(AE471=1,N($S471)&gt;AC471*1.01+0.001),"Net marine &gt; gross; ","")&amp;IF(AE471=0,"No net area – gross used, overlaps may be double-counted; ","")&amp;IF(AH471=0,"STATUS_YR missing – imputed in time series; ","")&amp;IF(AND(ISNUMBER($I471),N($I471)&gt;Setup!$B$6),"STATUS_YR after reporting year; ","")&amp;IF(OR($G471="",$G471="Not Reported"),"GOV_TYPE not reported; ","")&amp;IF(AND(N($J471)=1,$K471="Point",N($M471)&lt;=0),"Coastal point without REP_M_AREA – land/sea split unknown; ","")&amp;IF(AND(N($J471)=0,N($S471)&gt;0),"MARINE=0 but net marine &gt;0; ","")&amp;IF(AND(N($J471)=2,N($R471)&gt;0),"MARINE=2 but net terrestrial &gt;0; ","")&amp;IF($K471="Point","Buffered point – coverage approximate; ","")))</f>
        <v/>
      </c>
    </row>
    <row r="472">
      <c r="A472" s="19" t="n"/>
      <c r="B472" s="19" t="n"/>
      <c r="C472" s="19" t="n"/>
      <c r="D472" s="19" t="n"/>
      <c r="E472" s="19" t="n"/>
      <c r="F472" s="19" t="n"/>
      <c r="G472" s="19" t="n"/>
      <c r="H472" s="19" t="n"/>
      <c r="I472" s="19" t="n"/>
      <c r="J472" s="19" t="n"/>
      <c r="K472" s="19" t="n"/>
      <c r="L472" s="20" t="n"/>
      <c r="M472" s="20" t="n"/>
      <c r="N472" s="20" t="n"/>
      <c r="O472" s="20" t="n"/>
      <c r="P472" s="19" t="n"/>
      <c r="Q472" s="19" t="n"/>
      <c r="R472" s="20" t="n"/>
      <c r="S472" s="20" t="n"/>
      <c r="T472" s="19" t="n"/>
      <c r="U472" s="19" t="n"/>
      <c r="V472" s="19" t="n"/>
      <c r="W472" s="19" t="n"/>
      <c r="X472" s="19" t="n"/>
      <c r="Y472" s="19" t="n"/>
      <c r="Z472" s="21">
        <f>IF(AND($A472="",$B472=""),"",IF(OR($E472="",$H472="",$H472="Proposed",$H472="Not Reported"),0,IF(AND($P472="Y",$Q472&lt;&gt;"Y"),0,IF(AND($K472="Point",N($L472)&lt;=0),0,IF(AND(N($L472)&lt;=0,N($N472)&lt;=0,N($R472)+N($S472)&lt;=0),0,1)))))</f>
        <v/>
      </c>
      <c r="AA472" s="21">
        <f>IF(AND($A472="",$B472=""),"",IF($E472="","Site type missing",IF($H472="","STATUS missing",IF($H472="Proposed","STATUS = Proposed",IF($H472="Not Reported","STATUS = Not Reported",IF(AND($P472="Y",$Q472&lt;&gt;"Y"),"UNESCO-MAB Biosphere Reserve",IF(AND($K472="Point",N($L472)&lt;=0),"Point without REP_AREA",IF(AND(N($L472)&lt;=0,N($N472)&lt;=0,N($R472)+N($S472)&lt;=0),"No area information",""))))))))</f>
        <v/>
      </c>
      <c r="AB472" s="22">
        <f>IF(AND($A472="",$B472=""),"",IF($K472="Point",N($L472),IF(N($N472)&gt;0,N($N472),N($L472))))</f>
        <v/>
      </c>
      <c r="AC472" s="22">
        <f>IF(AND($A472="",$B472=""),"",MIN(AB472,IF(N($J472)=0,0,IF(N($J472)=2,AB472,IF(AND($K472&lt;&gt;"Point",N($O472)&gt;0),N($O472),N($M472))))))</f>
        <v/>
      </c>
      <c r="AD472" s="22">
        <f>IF(AND($A472="",$B472=""),"",MAX(0,AB472-AC472))</f>
        <v/>
      </c>
      <c r="AE472" s="21">
        <f>IF(AND($A472="",$B472=""),"",IF(OR($R472&lt;&gt;"",$S472&lt;&gt;""),1,0))</f>
        <v/>
      </c>
      <c r="AF472" s="22">
        <f>IF(AND($A472="",$B472=""),"",IF(Z472=1,IF(AE472=1,N($R472),AD472),0))</f>
        <v/>
      </c>
      <c r="AG472" s="22">
        <f>IF(AND($A472="",$B472=""),"",IF(Z472=1,IF(AE472=1,N($S472),AC472),0))</f>
        <v/>
      </c>
      <c r="AH472" s="21">
        <f>IF(AND($A472="",$B472=""),"",IF(AND(ISNUMBER($I472),N($I472)&gt;0),$I472,0))</f>
        <v/>
      </c>
      <c r="AI472" s="23">
        <f>IF(AND(NOT(AND($A472="",$B472="")),$K472="Point",N($L472)&gt;0),SQRT(N($L472)/PI()),"")</f>
        <v/>
      </c>
      <c r="AJ472" s="21">
        <f>IF(AND($A472="",$B472=""),"",IFERROR(VLOOKUP($G472,Lists!$D$4:$E$15,2,FALSE),"Not reported"))</f>
        <v/>
      </c>
      <c r="AK472" s="21">
        <f>IF(AND($A472="",$B472=""),"",IF($X472&lt;&gt;"",$X472,IF($T472&lt;&gt;"Y","Not assessed",IF(AND(ISNUMBER($V472),Setup!$B$6-$V472&gt;Setup!$B$26),"Assessment outdated",IF(NOT(ISNUMBER($W472)),"Assessed – no score",IF($W472&gt;=Setup!$B$24,"High",IF($W472&gt;=Setup!$B$25,"Moderate","Low")))))))</f>
        <v/>
      </c>
      <c r="AL472" s="21">
        <f>IF(AND($A472="",$B472=""),"",IF(Z472=0,"",IF(AND(AE472=1,N($R472)&gt;AD472*1.01+0.001),"Net terrestrial &gt; gross; ","")&amp;IF(AND(AE472=1,N($S472)&gt;AC472*1.01+0.001),"Net marine &gt; gross; ","")&amp;IF(AE472=0,"No net area – gross used, overlaps may be double-counted; ","")&amp;IF(AH472=0,"STATUS_YR missing – imputed in time series; ","")&amp;IF(AND(ISNUMBER($I472),N($I472)&gt;Setup!$B$6),"STATUS_YR after reporting year; ","")&amp;IF(OR($G472="",$G472="Not Reported"),"GOV_TYPE not reported; ","")&amp;IF(AND(N($J472)=1,$K472="Point",N($M472)&lt;=0),"Coastal point without REP_M_AREA – land/sea split unknown; ","")&amp;IF(AND(N($J472)=0,N($S472)&gt;0),"MARINE=0 but net marine &gt;0; ","")&amp;IF(AND(N($J472)=2,N($R472)&gt;0),"MARINE=2 but net terrestrial &gt;0; ","")&amp;IF($K472="Point","Buffered point – coverage approximate; ","")))</f>
        <v/>
      </c>
    </row>
    <row r="473">
      <c r="A473" s="19" t="n"/>
      <c r="B473" s="19" t="n"/>
      <c r="C473" s="19" t="n"/>
      <c r="D473" s="19" t="n"/>
      <c r="E473" s="19" t="n"/>
      <c r="F473" s="19" t="n"/>
      <c r="G473" s="19" t="n"/>
      <c r="H473" s="19" t="n"/>
      <c r="I473" s="19" t="n"/>
      <c r="J473" s="19" t="n"/>
      <c r="K473" s="19" t="n"/>
      <c r="L473" s="20" t="n"/>
      <c r="M473" s="20" t="n"/>
      <c r="N473" s="20" t="n"/>
      <c r="O473" s="20" t="n"/>
      <c r="P473" s="19" t="n"/>
      <c r="Q473" s="19" t="n"/>
      <c r="R473" s="20" t="n"/>
      <c r="S473" s="20" t="n"/>
      <c r="T473" s="19" t="n"/>
      <c r="U473" s="19" t="n"/>
      <c r="V473" s="19" t="n"/>
      <c r="W473" s="19" t="n"/>
      <c r="X473" s="19" t="n"/>
      <c r="Y473" s="19" t="n"/>
      <c r="Z473" s="21">
        <f>IF(AND($A473="",$B473=""),"",IF(OR($E473="",$H473="",$H473="Proposed",$H473="Not Reported"),0,IF(AND($P473="Y",$Q473&lt;&gt;"Y"),0,IF(AND($K473="Point",N($L473)&lt;=0),0,IF(AND(N($L473)&lt;=0,N($N473)&lt;=0,N($R473)+N($S473)&lt;=0),0,1)))))</f>
        <v/>
      </c>
      <c r="AA473" s="21">
        <f>IF(AND($A473="",$B473=""),"",IF($E473="","Site type missing",IF($H473="","STATUS missing",IF($H473="Proposed","STATUS = Proposed",IF($H473="Not Reported","STATUS = Not Reported",IF(AND($P473="Y",$Q473&lt;&gt;"Y"),"UNESCO-MAB Biosphere Reserve",IF(AND($K473="Point",N($L473)&lt;=0),"Point without REP_AREA",IF(AND(N($L473)&lt;=0,N($N473)&lt;=0,N($R473)+N($S473)&lt;=0),"No area information",""))))))))</f>
        <v/>
      </c>
      <c r="AB473" s="22">
        <f>IF(AND($A473="",$B473=""),"",IF($K473="Point",N($L473),IF(N($N473)&gt;0,N($N473),N($L473))))</f>
        <v/>
      </c>
      <c r="AC473" s="22">
        <f>IF(AND($A473="",$B473=""),"",MIN(AB473,IF(N($J473)=0,0,IF(N($J473)=2,AB473,IF(AND($K473&lt;&gt;"Point",N($O473)&gt;0),N($O473),N($M473))))))</f>
        <v/>
      </c>
      <c r="AD473" s="22">
        <f>IF(AND($A473="",$B473=""),"",MAX(0,AB473-AC473))</f>
        <v/>
      </c>
      <c r="AE473" s="21">
        <f>IF(AND($A473="",$B473=""),"",IF(OR($R473&lt;&gt;"",$S473&lt;&gt;""),1,0))</f>
        <v/>
      </c>
      <c r="AF473" s="22">
        <f>IF(AND($A473="",$B473=""),"",IF(Z473=1,IF(AE473=1,N($R473),AD473),0))</f>
        <v/>
      </c>
      <c r="AG473" s="22">
        <f>IF(AND($A473="",$B473=""),"",IF(Z473=1,IF(AE473=1,N($S473),AC473),0))</f>
        <v/>
      </c>
      <c r="AH473" s="21">
        <f>IF(AND($A473="",$B473=""),"",IF(AND(ISNUMBER($I473),N($I473)&gt;0),$I473,0))</f>
        <v/>
      </c>
      <c r="AI473" s="23">
        <f>IF(AND(NOT(AND($A473="",$B473="")),$K473="Point",N($L473)&gt;0),SQRT(N($L473)/PI()),"")</f>
        <v/>
      </c>
      <c r="AJ473" s="21">
        <f>IF(AND($A473="",$B473=""),"",IFERROR(VLOOKUP($G473,Lists!$D$4:$E$15,2,FALSE),"Not reported"))</f>
        <v/>
      </c>
      <c r="AK473" s="21">
        <f>IF(AND($A473="",$B473=""),"",IF($X473&lt;&gt;"",$X473,IF($T473&lt;&gt;"Y","Not assessed",IF(AND(ISNUMBER($V473),Setup!$B$6-$V473&gt;Setup!$B$26),"Assessment outdated",IF(NOT(ISNUMBER($W473)),"Assessed – no score",IF($W473&gt;=Setup!$B$24,"High",IF($W473&gt;=Setup!$B$25,"Moderate","Low")))))))</f>
        <v/>
      </c>
      <c r="AL473" s="21">
        <f>IF(AND($A473="",$B473=""),"",IF(Z473=0,"",IF(AND(AE473=1,N($R473)&gt;AD473*1.01+0.001),"Net terrestrial &gt; gross; ","")&amp;IF(AND(AE473=1,N($S473)&gt;AC473*1.01+0.001),"Net marine &gt; gross; ","")&amp;IF(AE473=0,"No net area – gross used, overlaps may be double-counted; ","")&amp;IF(AH473=0,"STATUS_YR missing – imputed in time series; ","")&amp;IF(AND(ISNUMBER($I473),N($I473)&gt;Setup!$B$6),"STATUS_YR after reporting year; ","")&amp;IF(OR($G473="",$G473="Not Reported"),"GOV_TYPE not reported; ","")&amp;IF(AND(N($J473)=1,$K473="Point",N($M473)&lt;=0),"Coastal point without REP_M_AREA – land/sea split unknown; ","")&amp;IF(AND(N($J473)=0,N($S473)&gt;0),"MARINE=0 but net marine &gt;0; ","")&amp;IF(AND(N($J473)=2,N($R473)&gt;0),"MARINE=2 but net terrestrial &gt;0; ","")&amp;IF($K473="Point","Buffered point – coverage approximate; ","")))</f>
        <v/>
      </c>
    </row>
    <row r="474">
      <c r="A474" s="19" t="n"/>
      <c r="B474" s="19" t="n"/>
      <c r="C474" s="19" t="n"/>
      <c r="D474" s="19" t="n"/>
      <c r="E474" s="19" t="n"/>
      <c r="F474" s="19" t="n"/>
      <c r="G474" s="19" t="n"/>
      <c r="H474" s="19" t="n"/>
      <c r="I474" s="19" t="n"/>
      <c r="J474" s="19" t="n"/>
      <c r="K474" s="19" t="n"/>
      <c r="L474" s="20" t="n"/>
      <c r="M474" s="20" t="n"/>
      <c r="N474" s="20" t="n"/>
      <c r="O474" s="20" t="n"/>
      <c r="P474" s="19" t="n"/>
      <c r="Q474" s="19" t="n"/>
      <c r="R474" s="20" t="n"/>
      <c r="S474" s="20" t="n"/>
      <c r="T474" s="19" t="n"/>
      <c r="U474" s="19" t="n"/>
      <c r="V474" s="19" t="n"/>
      <c r="W474" s="19" t="n"/>
      <c r="X474" s="19" t="n"/>
      <c r="Y474" s="19" t="n"/>
      <c r="Z474" s="21">
        <f>IF(AND($A474="",$B474=""),"",IF(OR($E474="",$H474="",$H474="Proposed",$H474="Not Reported"),0,IF(AND($P474="Y",$Q474&lt;&gt;"Y"),0,IF(AND($K474="Point",N($L474)&lt;=0),0,IF(AND(N($L474)&lt;=0,N($N474)&lt;=0,N($R474)+N($S474)&lt;=0),0,1)))))</f>
        <v/>
      </c>
      <c r="AA474" s="21">
        <f>IF(AND($A474="",$B474=""),"",IF($E474="","Site type missing",IF($H474="","STATUS missing",IF($H474="Proposed","STATUS = Proposed",IF($H474="Not Reported","STATUS = Not Reported",IF(AND($P474="Y",$Q474&lt;&gt;"Y"),"UNESCO-MAB Biosphere Reserve",IF(AND($K474="Point",N($L474)&lt;=0),"Point without REP_AREA",IF(AND(N($L474)&lt;=0,N($N474)&lt;=0,N($R474)+N($S474)&lt;=0),"No area information",""))))))))</f>
        <v/>
      </c>
      <c r="AB474" s="22">
        <f>IF(AND($A474="",$B474=""),"",IF($K474="Point",N($L474),IF(N($N474)&gt;0,N($N474),N($L474))))</f>
        <v/>
      </c>
      <c r="AC474" s="22">
        <f>IF(AND($A474="",$B474=""),"",MIN(AB474,IF(N($J474)=0,0,IF(N($J474)=2,AB474,IF(AND($K474&lt;&gt;"Point",N($O474)&gt;0),N($O474),N($M474))))))</f>
        <v/>
      </c>
      <c r="AD474" s="22">
        <f>IF(AND($A474="",$B474=""),"",MAX(0,AB474-AC474))</f>
        <v/>
      </c>
      <c r="AE474" s="21">
        <f>IF(AND($A474="",$B474=""),"",IF(OR($R474&lt;&gt;"",$S474&lt;&gt;""),1,0))</f>
        <v/>
      </c>
      <c r="AF474" s="22">
        <f>IF(AND($A474="",$B474=""),"",IF(Z474=1,IF(AE474=1,N($R474),AD474),0))</f>
        <v/>
      </c>
      <c r="AG474" s="22">
        <f>IF(AND($A474="",$B474=""),"",IF(Z474=1,IF(AE474=1,N($S474),AC474),0))</f>
        <v/>
      </c>
      <c r="AH474" s="21">
        <f>IF(AND($A474="",$B474=""),"",IF(AND(ISNUMBER($I474),N($I474)&gt;0),$I474,0))</f>
        <v/>
      </c>
      <c r="AI474" s="23">
        <f>IF(AND(NOT(AND($A474="",$B474="")),$K474="Point",N($L474)&gt;0),SQRT(N($L474)/PI()),"")</f>
        <v/>
      </c>
      <c r="AJ474" s="21">
        <f>IF(AND($A474="",$B474=""),"",IFERROR(VLOOKUP($G474,Lists!$D$4:$E$15,2,FALSE),"Not reported"))</f>
        <v/>
      </c>
      <c r="AK474" s="21">
        <f>IF(AND($A474="",$B474=""),"",IF($X474&lt;&gt;"",$X474,IF($T474&lt;&gt;"Y","Not assessed",IF(AND(ISNUMBER($V474),Setup!$B$6-$V474&gt;Setup!$B$26),"Assessment outdated",IF(NOT(ISNUMBER($W474)),"Assessed – no score",IF($W474&gt;=Setup!$B$24,"High",IF($W474&gt;=Setup!$B$25,"Moderate","Low")))))))</f>
        <v/>
      </c>
      <c r="AL474" s="21">
        <f>IF(AND($A474="",$B474=""),"",IF(Z474=0,"",IF(AND(AE474=1,N($R474)&gt;AD474*1.01+0.001),"Net terrestrial &gt; gross; ","")&amp;IF(AND(AE474=1,N($S474)&gt;AC474*1.01+0.001),"Net marine &gt; gross; ","")&amp;IF(AE474=0,"No net area – gross used, overlaps may be double-counted; ","")&amp;IF(AH474=0,"STATUS_YR missing – imputed in time series; ","")&amp;IF(AND(ISNUMBER($I474),N($I474)&gt;Setup!$B$6),"STATUS_YR after reporting year; ","")&amp;IF(OR($G474="",$G474="Not Reported"),"GOV_TYPE not reported; ","")&amp;IF(AND(N($J474)=1,$K474="Point",N($M474)&lt;=0),"Coastal point without REP_M_AREA – land/sea split unknown; ","")&amp;IF(AND(N($J474)=0,N($S474)&gt;0),"MARINE=0 but net marine &gt;0; ","")&amp;IF(AND(N($J474)=2,N($R474)&gt;0),"MARINE=2 but net terrestrial &gt;0; ","")&amp;IF($K474="Point","Buffered point – coverage approximate; ","")))</f>
        <v/>
      </c>
    </row>
    <row r="475">
      <c r="A475" s="19" t="n"/>
      <c r="B475" s="19" t="n"/>
      <c r="C475" s="19" t="n"/>
      <c r="D475" s="19" t="n"/>
      <c r="E475" s="19" t="n"/>
      <c r="F475" s="19" t="n"/>
      <c r="G475" s="19" t="n"/>
      <c r="H475" s="19" t="n"/>
      <c r="I475" s="19" t="n"/>
      <c r="J475" s="19" t="n"/>
      <c r="K475" s="19" t="n"/>
      <c r="L475" s="20" t="n"/>
      <c r="M475" s="20" t="n"/>
      <c r="N475" s="20" t="n"/>
      <c r="O475" s="20" t="n"/>
      <c r="P475" s="19" t="n"/>
      <c r="Q475" s="19" t="n"/>
      <c r="R475" s="20" t="n"/>
      <c r="S475" s="20" t="n"/>
      <c r="T475" s="19" t="n"/>
      <c r="U475" s="19" t="n"/>
      <c r="V475" s="19" t="n"/>
      <c r="W475" s="19" t="n"/>
      <c r="X475" s="19" t="n"/>
      <c r="Y475" s="19" t="n"/>
      <c r="Z475" s="21">
        <f>IF(AND($A475="",$B475=""),"",IF(OR($E475="",$H475="",$H475="Proposed",$H475="Not Reported"),0,IF(AND($P475="Y",$Q475&lt;&gt;"Y"),0,IF(AND($K475="Point",N($L475)&lt;=0),0,IF(AND(N($L475)&lt;=0,N($N475)&lt;=0,N($R475)+N($S475)&lt;=0),0,1)))))</f>
        <v/>
      </c>
      <c r="AA475" s="21">
        <f>IF(AND($A475="",$B475=""),"",IF($E475="","Site type missing",IF($H475="","STATUS missing",IF($H475="Proposed","STATUS = Proposed",IF($H475="Not Reported","STATUS = Not Reported",IF(AND($P475="Y",$Q475&lt;&gt;"Y"),"UNESCO-MAB Biosphere Reserve",IF(AND($K475="Point",N($L475)&lt;=0),"Point without REP_AREA",IF(AND(N($L475)&lt;=0,N($N475)&lt;=0,N($R475)+N($S475)&lt;=0),"No area information",""))))))))</f>
        <v/>
      </c>
      <c r="AB475" s="22">
        <f>IF(AND($A475="",$B475=""),"",IF($K475="Point",N($L475),IF(N($N475)&gt;0,N($N475),N($L475))))</f>
        <v/>
      </c>
      <c r="AC475" s="22">
        <f>IF(AND($A475="",$B475=""),"",MIN(AB475,IF(N($J475)=0,0,IF(N($J475)=2,AB475,IF(AND($K475&lt;&gt;"Point",N($O475)&gt;0),N($O475),N($M475))))))</f>
        <v/>
      </c>
      <c r="AD475" s="22">
        <f>IF(AND($A475="",$B475=""),"",MAX(0,AB475-AC475))</f>
        <v/>
      </c>
      <c r="AE475" s="21">
        <f>IF(AND($A475="",$B475=""),"",IF(OR($R475&lt;&gt;"",$S475&lt;&gt;""),1,0))</f>
        <v/>
      </c>
      <c r="AF475" s="22">
        <f>IF(AND($A475="",$B475=""),"",IF(Z475=1,IF(AE475=1,N($R475),AD475),0))</f>
        <v/>
      </c>
      <c r="AG475" s="22">
        <f>IF(AND($A475="",$B475=""),"",IF(Z475=1,IF(AE475=1,N($S475),AC475),0))</f>
        <v/>
      </c>
      <c r="AH475" s="21">
        <f>IF(AND($A475="",$B475=""),"",IF(AND(ISNUMBER($I475),N($I475)&gt;0),$I475,0))</f>
        <v/>
      </c>
      <c r="AI475" s="23">
        <f>IF(AND(NOT(AND($A475="",$B475="")),$K475="Point",N($L475)&gt;0),SQRT(N($L475)/PI()),"")</f>
        <v/>
      </c>
      <c r="AJ475" s="21">
        <f>IF(AND($A475="",$B475=""),"",IFERROR(VLOOKUP($G475,Lists!$D$4:$E$15,2,FALSE),"Not reported"))</f>
        <v/>
      </c>
      <c r="AK475" s="21">
        <f>IF(AND($A475="",$B475=""),"",IF($X475&lt;&gt;"",$X475,IF($T475&lt;&gt;"Y","Not assessed",IF(AND(ISNUMBER($V475),Setup!$B$6-$V475&gt;Setup!$B$26),"Assessment outdated",IF(NOT(ISNUMBER($W475)),"Assessed – no score",IF($W475&gt;=Setup!$B$24,"High",IF($W475&gt;=Setup!$B$25,"Moderate","Low")))))))</f>
        <v/>
      </c>
      <c r="AL475" s="21">
        <f>IF(AND($A475="",$B475=""),"",IF(Z475=0,"",IF(AND(AE475=1,N($R475)&gt;AD475*1.01+0.001),"Net terrestrial &gt; gross; ","")&amp;IF(AND(AE475=1,N($S475)&gt;AC475*1.01+0.001),"Net marine &gt; gross; ","")&amp;IF(AE475=0,"No net area – gross used, overlaps may be double-counted; ","")&amp;IF(AH475=0,"STATUS_YR missing – imputed in time series; ","")&amp;IF(AND(ISNUMBER($I475),N($I475)&gt;Setup!$B$6),"STATUS_YR after reporting year; ","")&amp;IF(OR($G475="",$G475="Not Reported"),"GOV_TYPE not reported; ","")&amp;IF(AND(N($J475)=1,$K475="Point",N($M475)&lt;=0),"Coastal point without REP_M_AREA – land/sea split unknown; ","")&amp;IF(AND(N($J475)=0,N($S475)&gt;0),"MARINE=0 but net marine &gt;0; ","")&amp;IF(AND(N($J475)=2,N($R475)&gt;0),"MARINE=2 but net terrestrial &gt;0; ","")&amp;IF($K475="Point","Buffered point – coverage approximate; ","")))</f>
        <v/>
      </c>
    </row>
    <row r="476">
      <c r="A476" s="19" t="n"/>
      <c r="B476" s="19" t="n"/>
      <c r="C476" s="19" t="n"/>
      <c r="D476" s="19" t="n"/>
      <c r="E476" s="19" t="n"/>
      <c r="F476" s="19" t="n"/>
      <c r="G476" s="19" t="n"/>
      <c r="H476" s="19" t="n"/>
      <c r="I476" s="19" t="n"/>
      <c r="J476" s="19" t="n"/>
      <c r="K476" s="19" t="n"/>
      <c r="L476" s="20" t="n"/>
      <c r="M476" s="20" t="n"/>
      <c r="N476" s="20" t="n"/>
      <c r="O476" s="20" t="n"/>
      <c r="P476" s="19" t="n"/>
      <c r="Q476" s="19" t="n"/>
      <c r="R476" s="20" t="n"/>
      <c r="S476" s="20" t="n"/>
      <c r="T476" s="19" t="n"/>
      <c r="U476" s="19" t="n"/>
      <c r="V476" s="19" t="n"/>
      <c r="W476" s="19" t="n"/>
      <c r="X476" s="19" t="n"/>
      <c r="Y476" s="19" t="n"/>
      <c r="Z476" s="21">
        <f>IF(AND($A476="",$B476=""),"",IF(OR($E476="",$H476="",$H476="Proposed",$H476="Not Reported"),0,IF(AND($P476="Y",$Q476&lt;&gt;"Y"),0,IF(AND($K476="Point",N($L476)&lt;=0),0,IF(AND(N($L476)&lt;=0,N($N476)&lt;=0,N($R476)+N($S476)&lt;=0),0,1)))))</f>
        <v/>
      </c>
      <c r="AA476" s="21">
        <f>IF(AND($A476="",$B476=""),"",IF($E476="","Site type missing",IF($H476="","STATUS missing",IF($H476="Proposed","STATUS = Proposed",IF($H476="Not Reported","STATUS = Not Reported",IF(AND($P476="Y",$Q476&lt;&gt;"Y"),"UNESCO-MAB Biosphere Reserve",IF(AND($K476="Point",N($L476)&lt;=0),"Point without REP_AREA",IF(AND(N($L476)&lt;=0,N($N476)&lt;=0,N($R476)+N($S476)&lt;=0),"No area information",""))))))))</f>
        <v/>
      </c>
      <c r="AB476" s="22">
        <f>IF(AND($A476="",$B476=""),"",IF($K476="Point",N($L476),IF(N($N476)&gt;0,N($N476),N($L476))))</f>
        <v/>
      </c>
      <c r="AC476" s="22">
        <f>IF(AND($A476="",$B476=""),"",MIN(AB476,IF(N($J476)=0,0,IF(N($J476)=2,AB476,IF(AND($K476&lt;&gt;"Point",N($O476)&gt;0),N($O476),N($M476))))))</f>
        <v/>
      </c>
      <c r="AD476" s="22">
        <f>IF(AND($A476="",$B476=""),"",MAX(0,AB476-AC476))</f>
        <v/>
      </c>
      <c r="AE476" s="21">
        <f>IF(AND($A476="",$B476=""),"",IF(OR($R476&lt;&gt;"",$S476&lt;&gt;""),1,0))</f>
        <v/>
      </c>
      <c r="AF476" s="22">
        <f>IF(AND($A476="",$B476=""),"",IF(Z476=1,IF(AE476=1,N($R476),AD476),0))</f>
        <v/>
      </c>
      <c r="AG476" s="22">
        <f>IF(AND($A476="",$B476=""),"",IF(Z476=1,IF(AE476=1,N($S476),AC476),0))</f>
        <v/>
      </c>
      <c r="AH476" s="21">
        <f>IF(AND($A476="",$B476=""),"",IF(AND(ISNUMBER($I476),N($I476)&gt;0),$I476,0))</f>
        <v/>
      </c>
      <c r="AI476" s="23">
        <f>IF(AND(NOT(AND($A476="",$B476="")),$K476="Point",N($L476)&gt;0),SQRT(N($L476)/PI()),"")</f>
        <v/>
      </c>
      <c r="AJ476" s="21">
        <f>IF(AND($A476="",$B476=""),"",IFERROR(VLOOKUP($G476,Lists!$D$4:$E$15,2,FALSE),"Not reported"))</f>
        <v/>
      </c>
      <c r="AK476" s="21">
        <f>IF(AND($A476="",$B476=""),"",IF($X476&lt;&gt;"",$X476,IF($T476&lt;&gt;"Y","Not assessed",IF(AND(ISNUMBER($V476),Setup!$B$6-$V476&gt;Setup!$B$26),"Assessment outdated",IF(NOT(ISNUMBER($W476)),"Assessed – no score",IF($W476&gt;=Setup!$B$24,"High",IF($W476&gt;=Setup!$B$25,"Moderate","Low")))))))</f>
        <v/>
      </c>
      <c r="AL476" s="21">
        <f>IF(AND($A476="",$B476=""),"",IF(Z476=0,"",IF(AND(AE476=1,N($R476)&gt;AD476*1.01+0.001),"Net terrestrial &gt; gross; ","")&amp;IF(AND(AE476=1,N($S476)&gt;AC476*1.01+0.001),"Net marine &gt; gross; ","")&amp;IF(AE476=0,"No net area – gross used, overlaps may be double-counted; ","")&amp;IF(AH476=0,"STATUS_YR missing – imputed in time series; ","")&amp;IF(AND(ISNUMBER($I476),N($I476)&gt;Setup!$B$6),"STATUS_YR after reporting year; ","")&amp;IF(OR($G476="",$G476="Not Reported"),"GOV_TYPE not reported; ","")&amp;IF(AND(N($J476)=1,$K476="Point",N($M476)&lt;=0),"Coastal point without REP_M_AREA – land/sea split unknown; ","")&amp;IF(AND(N($J476)=0,N($S476)&gt;0),"MARINE=0 but net marine &gt;0; ","")&amp;IF(AND(N($J476)=2,N($R476)&gt;0),"MARINE=2 but net terrestrial &gt;0; ","")&amp;IF($K476="Point","Buffered point – coverage approximate; ","")))</f>
        <v/>
      </c>
    </row>
    <row r="477">
      <c r="A477" s="19" t="n"/>
      <c r="B477" s="19" t="n"/>
      <c r="C477" s="19" t="n"/>
      <c r="D477" s="19" t="n"/>
      <c r="E477" s="19" t="n"/>
      <c r="F477" s="19" t="n"/>
      <c r="G477" s="19" t="n"/>
      <c r="H477" s="19" t="n"/>
      <c r="I477" s="19" t="n"/>
      <c r="J477" s="19" t="n"/>
      <c r="K477" s="19" t="n"/>
      <c r="L477" s="20" t="n"/>
      <c r="M477" s="20" t="n"/>
      <c r="N477" s="20" t="n"/>
      <c r="O477" s="20" t="n"/>
      <c r="P477" s="19" t="n"/>
      <c r="Q477" s="19" t="n"/>
      <c r="R477" s="20" t="n"/>
      <c r="S477" s="20" t="n"/>
      <c r="T477" s="19" t="n"/>
      <c r="U477" s="19" t="n"/>
      <c r="V477" s="19" t="n"/>
      <c r="W477" s="19" t="n"/>
      <c r="X477" s="19" t="n"/>
      <c r="Y477" s="19" t="n"/>
      <c r="Z477" s="21">
        <f>IF(AND($A477="",$B477=""),"",IF(OR($E477="",$H477="",$H477="Proposed",$H477="Not Reported"),0,IF(AND($P477="Y",$Q477&lt;&gt;"Y"),0,IF(AND($K477="Point",N($L477)&lt;=0),0,IF(AND(N($L477)&lt;=0,N($N477)&lt;=0,N($R477)+N($S477)&lt;=0),0,1)))))</f>
        <v/>
      </c>
      <c r="AA477" s="21">
        <f>IF(AND($A477="",$B477=""),"",IF($E477="","Site type missing",IF($H477="","STATUS missing",IF($H477="Proposed","STATUS = Proposed",IF($H477="Not Reported","STATUS = Not Reported",IF(AND($P477="Y",$Q477&lt;&gt;"Y"),"UNESCO-MAB Biosphere Reserve",IF(AND($K477="Point",N($L477)&lt;=0),"Point without REP_AREA",IF(AND(N($L477)&lt;=0,N($N477)&lt;=0,N($R477)+N($S477)&lt;=0),"No area information",""))))))))</f>
        <v/>
      </c>
      <c r="AB477" s="22">
        <f>IF(AND($A477="",$B477=""),"",IF($K477="Point",N($L477),IF(N($N477)&gt;0,N($N477),N($L477))))</f>
        <v/>
      </c>
      <c r="AC477" s="22">
        <f>IF(AND($A477="",$B477=""),"",MIN(AB477,IF(N($J477)=0,0,IF(N($J477)=2,AB477,IF(AND($K477&lt;&gt;"Point",N($O477)&gt;0),N($O477),N($M477))))))</f>
        <v/>
      </c>
      <c r="AD477" s="22">
        <f>IF(AND($A477="",$B477=""),"",MAX(0,AB477-AC477))</f>
        <v/>
      </c>
      <c r="AE477" s="21">
        <f>IF(AND($A477="",$B477=""),"",IF(OR($R477&lt;&gt;"",$S477&lt;&gt;""),1,0))</f>
        <v/>
      </c>
      <c r="AF477" s="22">
        <f>IF(AND($A477="",$B477=""),"",IF(Z477=1,IF(AE477=1,N($R477),AD477),0))</f>
        <v/>
      </c>
      <c r="AG477" s="22">
        <f>IF(AND($A477="",$B477=""),"",IF(Z477=1,IF(AE477=1,N($S477),AC477),0))</f>
        <v/>
      </c>
      <c r="AH477" s="21">
        <f>IF(AND($A477="",$B477=""),"",IF(AND(ISNUMBER($I477),N($I477)&gt;0),$I477,0))</f>
        <v/>
      </c>
      <c r="AI477" s="23">
        <f>IF(AND(NOT(AND($A477="",$B477="")),$K477="Point",N($L477)&gt;0),SQRT(N($L477)/PI()),"")</f>
        <v/>
      </c>
      <c r="AJ477" s="21">
        <f>IF(AND($A477="",$B477=""),"",IFERROR(VLOOKUP($G477,Lists!$D$4:$E$15,2,FALSE),"Not reported"))</f>
        <v/>
      </c>
      <c r="AK477" s="21">
        <f>IF(AND($A477="",$B477=""),"",IF($X477&lt;&gt;"",$X477,IF($T477&lt;&gt;"Y","Not assessed",IF(AND(ISNUMBER($V477),Setup!$B$6-$V477&gt;Setup!$B$26),"Assessment outdated",IF(NOT(ISNUMBER($W477)),"Assessed – no score",IF($W477&gt;=Setup!$B$24,"High",IF($W477&gt;=Setup!$B$25,"Moderate","Low")))))))</f>
        <v/>
      </c>
      <c r="AL477" s="21">
        <f>IF(AND($A477="",$B477=""),"",IF(Z477=0,"",IF(AND(AE477=1,N($R477)&gt;AD477*1.01+0.001),"Net terrestrial &gt; gross; ","")&amp;IF(AND(AE477=1,N($S477)&gt;AC477*1.01+0.001),"Net marine &gt; gross; ","")&amp;IF(AE477=0,"No net area – gross used, overlaps may be double-counted; ","")&amp;IF(AH477=0,"STATUS_YR missing – imputed in time series; ","")&amp;IF(AND(ISNUMBER($I477),N($I477)&gt;Setup!$B$6),"STATUS_YR after reporting year; ","")&amp;IF(OR($G477="",$G477="Not Reported"),"GOV_TYPE not reported; ","")&amp;IF(AND(N($J477)=1,$K477="Point",N($M477)&lt;=0),"Coastal point without REP_M_AREA – land/sea split unknown; ","")&amp;IF(AND(N($J477)=0,N($S477)&gt;0),"MARINE=0 but net marine &gt;0; ","")&amp;IF(AND(N($J477)=2,N($R477)&gt;0),"MARINE=2 but net terrestrial &gt;0; ","")&amp;IF($K477="Point","Buffered point – coverage approximate; ","")))</f>
        <v/>
      </c>
    </row>
    <row r="478">
      <c r="A478" s="19" t="n"/>
      <c r="B478" s="19" t="n"/>
      <c r="C478" s="19" t="n"/>
      <c r="D478" s="19" t="n"/>
      <c r="E478" s="19" t="n"/>
      <c r="F478" s="19" t="n"/>
      <c r="G478" s="19" t="n"/>
      <c r="H478" s="19" t="n"/>
      <c r="I478" s="19" t="n"/>
      <c r="J478" s="19" t="n"/>
      <c r="K478" s="19" t="n"/>
      <c r="L478" s="20" t="n"/>
      <c r="M478" s="20" t="n"/>
      <c r="N478" s="20" t="n"/>
      <c r="O478" s="20" t="n"/>
      <c r="P478" s="19" t="n"/>
      <c r="Q478" s="19" t="n"/>
      <c r="R478" s="20" t="n"/>
      <c r="S478" s="20" t="n"/>
      <c r="T478" s="19" t="n"/>
      <c r="U478" s="19" t="n"/>
      <c r="V478" s="19" t="n"/>
      <c r="W478" s="19" t="n"/>
      <c r="X478" s="19" t="n"/>
      <c r="Y478" s="19" t="n"/>
      <c r="Z478" s="21">
        <f>IF(AND($A478="",$B478=""),"",IF(OR($E478="",$H478="",$H478="Proposed",$H478="Not Reported"),0,IF(AND($P478="Y",$Q478&lt;&gt;"Y"),0,IF(AND($K478="Point",N($L478)&lt;=0),0,IF(AND(N($L478)&lt;=0,N($N478)&lt;=0,N($R478)+N($S478)&lt;=0),0,1)))))</f>
        <v/>
      </c>
      <c r="AA478" s="21">
        <f>IF(AND($A478="",$B478=""),"",IF($E478="","Site type missing",IF($H478="","STATUS missing",IF($H478="Proposed","STATUS = Proposed",IF($H478="Not Reported","STATUS = Not Reported",IF(AND($P478="Y",$Q478&lt;&gt;"Y"),"UNESCO-MAB Biosphere Reserve",IF(AND($K478="Point",N($L478)&lt;=0),"Point without REP_AREA",IF(AND(N($L478)&lt;=0,N($N478)&lt;=0,N($R478)+N($S478)&lt;=0),"No area information",""))))))))</f>
        <v/>
      </c>
      <c r="AB478" s="22">
        <f>IF(AND($A478="",$B478=""),"",IF($K478="Point",N($L478),IF(N($N478)&gt;0,N($N478),N($L478))))</f>
        <v/>
      </c>
      <c r="AC478" s="22">
        <f>IF(AND($A478="",$B478=""),"",MIN(AB478,IF(N($J478)=0,0,IF(N($J478)=2,AB478,IF(AND($K478&lt;&gt;"Point",N($O478)&gt;0),N($O478),N($M478))))))</f>
        <v/>
      </c>
      <c r="AD478" s="22">
        <f>IF(AND($A478="",$B478=""),"",MAX(0,AB478-AC478))</f>
        <v/>
      </c>
      <c r="AE478" s="21">
        <f>IF(AND($A478="",$B478=""),"",IF(OR($R478&lt;&gt;"",$S478&lt;&gt;""),1,0))</f>
        <v/>
      </c>
      <c r="AF478" s="22">
        <f>IF(AND($A478="",$B478=""),"",IF(Z478=1,IF(AE478=1,N($R478),AD478),0))</f>
        <v/>
      </c>
      <c r="AG478" s="22">
        <f>IF(AND($A478="",$B478=""),"",IF(Z478=1,IF(AE478=1,N($S478),AC478),0))</f>
        <v/>
      </c>
      <c r="AH478" s="21">
        <f>IF(AND($A478="",$B478=""),"",IF(AND(ISNUMBER($I478),N($I478)&gt;0),$I478,0))</f>
        <v/>
      </c>
      <c r="AI478" s="23">
        <f>IF(AND(NOT(AND($A478="",$B478="")),$K478="Point",N($L478)&gt;0),SQRT(N($L478)/PI()),"")</f>
        <v/>
      </c>
      <c r="AJ478" s="21">
        <f>IF(AND($A478="",$B478=""),"",IFERROR(VLOOKUP($G478,Lists!$D$4:$E$15,2,FALSE),"Not reported"))</f>
        <v/>
      </c>
      <c r="AK478" s="21">
        <f>IF(AND($A478="",$B478=""),"",IF($X478&lt;&gt;"",$X478,IF($T478&lt;&gt;"Y","Not assessed",IF(AND(ISNUMBER($V478),Setup!$B$6-$V478&gt;Setup!$B$26),"Assessment outdated",IF(NOT(ISNUMBER($W478)),"Assessed – no score",IF($W478&gt;=Setup!$B$24,"High",IF($W478&gt;=Setup!$B$25,"Moderate","Low")))))))</f>
        <v/>
      </c>
      <c r="AL478" s="21">
        <f>IF(AND($A478="",$B478=""),"",IF(Z478=0,"",IF(AND(AE478=1,N($R478)&gt;AD478*1.01+0.001),"Net terrestrial &gt; gross; ","")&amp;IF(AND(AE478=1,N($S478)&gt;AC478*1.01+0.001),"Net marine &gt; gross; ","")&amp;IF(AE478=0,"No net area – gross used, overlaps may be double-counted; ","")&amp;IF(AH478=0,"STATUS_YR missing – imputed in time series; ","")&amp;IF(AND(ISNUMBER($I478),N($I478)&gt;Setup!$B$6),"STATUS_YR after reporting year; ","")&amp;IF(OR($G478="",$G478="Not Reported"),"GOV_TYPE not reported; ","")&amp;IF(AND(N($J478)=1,$K478="Point",N($M478)&lt;=0),"Coastal point without REP_M_AREA – land/sea split unknown; ","")&amp;IF(AND(N($J478)=0,N($S478)&gt;0),"MARINE=0 but net marine &gt;0; ","")&amp;IF(AND(N($J478)=2,N($R478)&gt;0),"MARINE=2 but net terrestrial &gt;0; ","")&amp;IF($K478="Point","Buffered point – coverage approximate; ","")))</f>
        <v/>
      </c>
    </row>
    <row r="479">
      <c r="A479" s="19" t="n"/>
      <c r="B479" s="19" t="n"/>
      <c r="C479" s="19" t="n"/>
      <c r="D479" s="19" t="n"/>
      <c r="E479" s="19" t="n"/>
      <c r="F479" s="19" t="n"/>
      <c r="G479" s="19" t="n"/>
      <c r="H479" s="19" t="n"/>
      <c r="I479" s="19" t="n"/>
      <c r="J479" s="19" t="n"/>
      <c r="K479" s="19" t="n"/>
      <c r="L479" s="20" t="n"/>
      <c r="M479" s="20" t="n"/>
      <c r="N479" s="20" t="n"/>
      <c r="O479" s="20" t="n"/>
      <c r="P479" s="19" t="n"/>
      <c r="Q479" s="19" t="n"/>
      <c r="R479" s="20" t="n"/>
      <c r="S479" s="20" t="n"/>
      <c r="T479" s="19" t="n"/>
      <c r="U479" s="19" t="n"/>
      <c r="V479" s="19" t="n"/>
      <c r="W479" s="19" t="n"/>
      <c r="X479" s="19" t="n"/>
      <c r="Y479" s="19" t="n"/>
      <c r="Z479" s="21">
        <f>IF(AND($A479="",$B479=""),"",IF(OR($E479="",$H479="",$H479="Proposed",$H479="Not Reported"),0,IF(AND($P479="Y",$Q479&lt;&gt;"Y"),0,IF(AND($K479="Point",N($L479)&lt;=0),0,IF(AND(N($L479)&lt;=0,N($N479)&lt;=0,N($R479)+N($S479)&lt;=0),0,1)))))</f>
        <v/>
      </c>
      <c r="AA479" s="21">
        <f>IF(AND($A479="",$B479=""),"",IF($E479="","Site type missing",IF($H479="","STATUS missing",IF($H479="Proposed","STATUS = Proposed",IF($H479="Not Reported","STATUS = Not Reported",IF(AND($P479="Y",$Q479&lt;&gt;"Y"),"UNESCO-MAB Biosphere Reserve",IF(AND($K479="Point",N($L479)&lt;=0),"Point without REP_AREA",IF(AND(N($L479)&lt;=0,N($N479)&lt;=0,N($R479)+N($S479)&lt;=0),"No area information",""))))))))</f>
        <v/>
      </c>
      <c r="AB479" s="22">
        <f>IF(AND($A479="",$B479=""),"",IF($K479="Point",N($L479),IF(N($N479)&gt;0,N($N479),N($L479))))</f>
        <v/>
      </c>
      <c r="AC479" s="22">
        <f>IF(AND($A479="",$B479=""),"",MIN(AB479,IF(N($J479)=0,0,IF(N($J479)=2,AB479,IF(AND($K479&lt;&gt;"Point",N($O479)&gt;0),N($O479),N($M479))))))</f>
        <v/>
      </c>
      <c r="AD479" s="22">
        <f>IF(AND($A479="",$B479=""),"",MAX(0,AB479-AC479))</f>
        <v/>
      </c>
      <c r="AE479" s="21">
        <f>IF(AND($A479="",$B479=""),"",IF(OR($R479&lt;&gt;"",$S479&lt;&gt;""),1,0))</f>
        <v/>
      </c>
      <c r="AF479" s="22">
        <f>IF(AND($A479="",$B479=""),"",IF(Z479=1,IF(AE479=1,N($R479),AD479),0))</f>
        <v/>
      </c>
      <c r="AG479" s="22">
        <f>IF(AND($A479="",$B479=""),"",IF(Z479=1,IF(AE479=1,N($S479),AC479),0))</f>
        <v/>
      </c>
      <c r="AH479" s="21">
        <f>IF(AND($A479="",$B479=""),"",IF(AND(ISNUMBER($I479),N($I479)&gt;0),$I479,0))</f>
        <v/>
      </c>
      <c r="AI479" s="23">
        <f>IF(AND(NOT(AND($A479="",$B479="")),$K479="Point",N($L479)&gt;0),SQRT(N($L479)/PI()),"")</f>
        <v/>
      </c>
      <c r="AJ479" s="21">
        <f>IF(AND($A479="",$B479=""),"",IFERROR(VLOOKUP($G479,Lists!$D$4:$E$15,2,FALSE),"Not reported"))</f>
        <v/>
      </c>
      <c r="AK479" s="21">
        <f>IF(AND($A479="",$B479=""),"",IF($X479&lt;&gt;"",$X479,IF($T479&lt;&gt;"Y","Not assessed",IF(AND(ISNUMBER($V479),Setup!$B$6-$V479&gt;Setup!$B$26),"Assessment outdated",IF(NOT(ISNUMBER($W479)),"Assessed – no score",IF($W479&gt;=Setup!$B$24,"High",IF($W479&gt;=Setup!$B$25,"Moderate","Low")))))))</f>
        <v/>
      </c>
      <c r="AL479" s="21">
        <f>IF(AND($A479="",$B479=""),"",IF(Z479=0,"",IF(AND(AE479=1,N($R479)&gt;AD479*1.01+0.001),"Net terrestrial &gt; gross; ","")&amp;IF(AND(AE479=1,N($S479)&gt;AC479*1.01+0.001),"Net marine &gt; gross; ","")&amp;IF(AE479=0,"No net area – gross used, overlaps may be double-counted; ","")&amp;IF(AH479=0,"STATUS_YR missing – imputed in time series; ","")&amp;IF(AND(ISNUMBER($I479),N($I479)&gt;Setup!$B$6),"STATUS_YR after reporting year; ","")&amp;IF(OR($G479="",$G479="Not Reported"),"GOV_TYPE not reported; ","")&amp;IF(AND(N($J479)=1,$K479="Point",N($M479)&lt;=0),"Coastal point without REP_M_AREA – land/sea split unknown; ","")&amp;IF(AND(N($J479)=0,N($S479)&gt;0),"MARINE=0 but net marine &gt;0; ","")&amp;IF(AND(N($J479)=2,N($R479)&gt;0),"MARINE=2 but net terrestrial &gt;0; ","")&amp;IF($K479="Point","Buffered point – coverage approximate; ","")))</f>
        <v/>
      </c>
    </row>
    <row r="480">
      <c r="A480" s="19" t="n"/>
      <c r="B480" s="19" t="n"/>
      <c r="C480" s="19" t="n"/>
      <c r="D480" s="19" t="n"/>
      <c r="E480" s="19" t="n"/>
      <c r="F480" s="19" t="n"/>
      <c r="G480" s="19" t="n"/>
      <c r="H480" s="19" t="n"/>
      <c r="I480" s="19" t="n"/>
      <c r="J480" s="19" t="n"/>
      <c r="K480" s="19" t="n"/>
      <c r="L480" s="20" t="n"/>
      <c r="M480" s="20" t="n"/>
      <c r="N480" s="20" t="n"/>
      <c r="O480" s="20" t="n"/>
      <c r="P480" s="19" t="n"/>
      <c r="Q480" s="19" t="n"/>
      <c r="R480" s="20" t="n"/>
      <c r="S480" s="20" t="n"/>
      <c r="T480" s="19" t="n"/>
      <c r="U480" s="19" t="n"/>
      <c r="V480" s="19" t="n"/>
      <c r="W480" s="19" t="n"/>
      <c r="X480" s="19" t="n"/>
      <c r="Y480" s="19" t="n"/>
      <c r="Z480" s="21">
        <f>IF(AND($A480="",$B480=""),"",IF(OR($E480="",$H480="",$H480="Proposed",$H480="Not Reported"),0,IF(AND($P480="Y",$Q480&lt;&gt;"Y"),0,IF(AND($K480="Point",N($L480)&lt;=0),0,IF(AND(N($L480)&lt;=0,N($N480)&lt;=0,N($R480)+N($S480)&lt;=0),0,1)))))</f>
        <v/>
      </c>
      <c r="AA480" s="21">
        <f>IF(AND($A480="",$B480=""),"",IF($E480="","Site type missing",IF($H480="","STATUS missing",IF($H480="Proposed","STATUS = Proposed",IF($H480="Not Reported","STATUS = Not Reported",IF(AND($P480="Y",$Q480&lt;&gt;"Y"),"UNESCO-MAB Biosphere Reserve",IF(AND($K480="Point",N($L480)&lt;=0),"Point without REP_AREA",IF(AND(N($L480)&lt;=0,N($N480)&lt;=0,N($R480)+N($S480)&lt;=0),"No area information",""))))))))</f>
        <v/>
      </c>
      <c r="AB480" s="22">
        <f>IF(AND($A480="",$B480=""),"",IF($K480="Point",N($L480),IF(N($N480)&gt;0,N($N480),N($L480))))</f>
        <v/>
      </c>
      <c r="AC480" s="22">
        <f>IF(AND($A480="",$B480=""),"",MIN(AB480,IF(N($J480)=0,0,IF(N($J480)=2,AB480,IF(AND($K480&lt;&gt;"Point",N($O480)&gt;0),N($O480),N($M480))))))</f>
        <v/>
      </c>
      <c r="AD480" s="22">
        <f>IF(AND($A480="",$B480=""),"",MAX(0,AB480-AC480))</f>
        <v/>
      </c>
      <c r="AE480" s="21">
        <f>IF(AND($A480="",$B480=""),"",IF(OR($R480&lt;&gt;"",$S480&lt;&gt;""),1,0))</f>
        <v/>
      </c>
      <c r="AF480" s="22">
        <f>IF(AND($A480="",$B480=""),"",IF(Z480=1,IF(AE480=1,N($R480),AD480),0))</f>
        <v/>
      </c>
      <c r="AG480" s="22">
        <f>IF(AND($A480="",$B480=""),"",IF(Z480=1,IF(AE480=1,N($S480),AC480),0))</f>
        <v/>
      </c>
      <c r="AH480" s="21">
        <f>IF(AND($A480="",$B480=""),"",IF(AND(ISNUMBER($I480),N($I480)&gt;0),$I480,0))</f>
        <v/>
      </c>
      <c r="AI480" s="23">
        <f>IF(AND(NOT(AND($A480="",$B480="")),$K480="Point",N($L480)&gt;0),SQRT(N($L480)/PI()),"")</f>
        <v/>
      </c>
      <c r="AJ480" s="21">
        <f>IF(AND($A480="",$B480=""),"",IFERROR(VLOOKUP($G480,Lists!$D$4:$E$15,2,FALSE),"Not reported"))</f>
        <v/>
      </c>
      <c r="AK480" s="21">
        <f>IF(AND($A480="",$B480=""),"",IF($X480&lt;&gt;"",$X480,IF($T480&lt;&gt;"Y","Not assessed",IF(AND(ISNUMBER($V480),Setup!$B$6-$V480&gt;Setup!$B$26),"Assessment outdated",IF(NOT(ISNUMBER($W480)),"Assessed – no score",IF($W480&gt;=Setup!$B$24,"High",IF($W480&gt;=Setup!$B$25,"Moderate","Low")))))))</f>
        <v/>
      </c>
      <c r="AL480" s="21">
        <f>IF(AND($A480="",$B480=""),"",IF(Z480=0,"",IF(AND(AE480=1,N($R480)&gt;AD480*1.01+0.001),"Net terrestrial &gt; gross; ","")&amp;IF(AND(AE480=1,N($S480)&gt;AC480*1.01+0.001),"Net marine &gt; gross; ","")&amp;IF(AE480=0,"No net area – gross used, overlaps may be double-counted; ","")&amp;IF(AH480=0,"STATUS_YR missing – imputed in time series; ","")&amp;IF(AND(ISNUMBER($I480),N($I480)&gt;Setup!$B$6),"STATUS_YR after reporting year; ","")&amp;IF(OR($G480="",$G480="Not Reported"),"GOV_TYPE not reported; ","")&amp;IF(AND(N($J480)=1,$K480="Point",N($M480)&lt;=0),"Coastal point without REP_M_AREA – land/sea split unknown; ","")&amp;IF(AND(N($J480)=0,N($S480)&gt;0),"MARINE=0 but net marine &gt;0; ","")&amp;IF(AND(N($J480)=2,N($R480)&gt;0),"MARINE=2 but net terrestrial &gt;0; ","")&amp;IF($K480="Point","Buffered point – coverage approximate; ","")))</f>
        <v/>
      </c>
    </row>
    <row r="481">
      <c r="A481" s="19" t="n"/>
      <c r="B481" s="19" t="n"/>
      <c r="C481" s="19" t="n"/>
      <c r="D481" s="19" t="n"/>
      <c r="E481" s="19" t="n"/>
      <c r="F481" s="19" t="n"/>
      <c r="G481" s="19" t="n"/>
      <c r="H481" s="19" t="n"/>
      <c r="I481" s="19" t="n"/>
      <c r="J481" s="19" t="n"/>
      <c r="K481" s="19" t="n"/>
      <c r="L481" s="20" t="n"/>
      <c r="M481" s="20" t="n"/>
      <c r="N481" s="20" t="n"/>
      <c r="O481" s="20" t="n"/>
      <c r="P481" s="19" t="n"/>
      <c r="Q481" s="19" t="n"/>
      <c r="R481" s="20" t="n"/>
      <c r="S481" s="20" t="n"/>
      <c r="T481" s="19" t="n"/>
      <c r="U481" s="19" t="n"/>
      <c r="V481" s="19" t="n"/>
      <c r="W481" s="19" t="n"/>
      <c r="X481" s="19" t="n"/>
      <c r="Y481" s="19" t="n"/>
      <c r="Z481" s="21">
        <f>IF(AND($A481="",$B481=""),"",IF(OR($E481="",$H481="",$H481="Proposed",$H481="Not Reported"),0,IF(AND($P481="Y",$Q481&lt;&gt;"Y"),0,IF(AND($K481="Point",N($L481)&lt;=0),0,IF(AND(N($L481)&lt;=0,N($N481)&lt;=0,N($R481)+N($S481)&lt;=0),0,1)))))</f>
        <v/>
      </c>
      <c r="AA481" s="21">
        <f>IF(AND($A481="",$B481=""),"",IF($E481="","Site type missing",IF($H481="","STATUS missing",IF($H481="Proposed","STATUS = Proposed",IF($H481="Not Reported","STATUS = Not Reported",IF(AND($P481="Y",$Q481&lt;&gt;"Y"),"UNESCO-MAB Biosphere Reserve",IF(AND($K481="Point",N($L481)&lt;=0),"Point without REP_AREA",IF(AND(N($L481)&lt;=0,N($N481)&lt;=0,N($R481)+N($S481)&lt;=0),"No area information",""))))))))</f>
        <v/>
      </c>
      <c r="AB481" s="22">
        <f>IF(AND($A481="",$B481=""),"",IF($K481="Point",N($L481),IF(N($N481)&gt;0,N($N481),N($L481))))</f>
        <v/>
      </c>
      <c r="AC481" s="22">
        <f>IF(AND($A481="",$B481=""),"",MIN(AB481,IF(N($J481)=0,0,IF(N($J481)=2,AB481,IF(AND($K481&lt;&gt;"Point",N($O481)&gt;0),N($O481),N($M481))))))</f>
        <v/>
      </c>
      <c r="AD481" s="22">
        <f>IF(AND($A481="",$B481=""),"",MAX(0,AB481-AC481))</f>
        <v/>
      </c>
      <c r="AE481" s="21">
        <f>IF(AND($A481="",$B481=""),"",IF(OR($R481&lt;&gt;"",$S481&lt;&gt;""),1,0))</f>
        <v/>
      </c>
      <c r="AF481" s="22">
        <f>IF(AND($A481="",$B481=""),"",IF(Z481=1,IF(AE481=1,N($R481),AD481),0))</f>
        <v/>
      </c>
      <c r="AG481" s="22">
        <f>IF(AND($A481="",$B481=""),"",IF(Z481=1,IF(AE481=1,N($S481),AC481),0))</f>
        <v/>
      </c>
      <c r="AH481" s="21">
        <f>IF(AND($A481="",$B481=""),"",IF(AND(ISNUMBER($I481),N($I481)&gt;0),$I481,0))</f>
        <v/>
      </c>
      <c r="AI481" s="23">
        <f>IF(AND(NOT(AND($A481="",$B481="")),$K481="Point",N($L481)&gt;0),SQRT(N($L481)/PI()),"")</f>
        <v/>
      </c>
      <c r="AJ481" s="21">
        <f>IF(AND($A481="",$B481=""),"",IFERROR(VLOOKUP($G481,Lists!$D$4:$E$15,2,FALSE),"Not reported"))</f>
        <v/>
      </c>
      <c r="AK481" s="21">
        <f>IF(AND($A481="",$B481=""),"",IF($X481&lt;&gt;"",$X481,IF($T481&lt;&gt;"Y","Not assessed",IF(AND(ISNUMBER($V481),Setup!$B$6-$V481&gt;Setup!$B$26),"Assessment outdated",IF(NOT(ISNUMBER($W481)),"Assessed – no score",IF($W481&gt;=Setup!$B$24,"High",IF($W481&gt;=Setup!$B$25,"Moderate","Low")))))))</f>
        <v/>
      </c>
      <c r="AL481" s="21">
        <f>IF(AND($A481="",$B481=""),"",IF(Z481=0,"",IF(AND(AE481=1,N($R481)&gt;AD481*1.01+0.001),"Net terrestrial &gt; gross; ","")&amp;IF(AND(AE481=1,N($S481)&gt;AC481*1.01+0.001),"Net marine &gt; gross; ","")&amp;IF(AE481=0,"No net area – gross used, overlaps may be double-counted; ","")&amp;IF(AH481=0,"STATUS_YR missing – imputed in time series; ","")&amp;IF(AND(ISNUMBER($I481),N($I481)&gt;Setup!$B$6),"STATUS_YR after reporting year; ","")&amp;IF(OR($G481="",$G481="Not Reported"),"GOV_TYPE not reported; ","")&amp;IF(AND(N($J481)=1,$K481="Point",N($M481)&lt;=0),"Coastal point without REP_M_AREA – land/sea split unknown; ","")&amp;IF(AND(N($J481)=0,N($S481)&gt;0),"MARINE=0 but net marine &gt;0; ","")&amp;IF(AND(N($J481)=2,N($R481)&gt;0),"MARINE=2 but net terrestrial &gt;0; ","")&amp;IF($K481="Point","Buffered point – coverage approximate; ","")))</f>
        <v/>
      </c>
    </row>
    <row r="482">
      <c r="A482" s="19" t="n"/>
      <c r="B482" s="19" t="n"/>
      <c r="C482" s="19" t="n"/>
      <c r="D482" s="19" t="n"/>
      <c r="E482" s="19" t="n"/>
      <c r="F482" s="19" t="n"/>
      <c r="G482" s="19" t="n"/>
      <c r="H482" s="19" t="n"/>
      <c r="I482" s="19" t="n"/>
      <c r="J482" s="19" t="n"/>
      <c r="K482" s="19" t="n"/>
      <c r="L482" s="20" t="n"/>
      <c r="M482" s="20" t="n"/>
      <c r="N482" s="20" t="n"/>
      <c r="O482" s="20" t="n"/>
      <c r="P482" s="19" t="n"/>
      <c r="Q482" s="19" t="n"/>
      <c r="R482" s="20" t="n"/>
      <c r="S482" s="20" t="n"/>
      <c r="T482" s="19" t="n"/>
      <c r="U482" s="19" t="n"/>
      <c r="V482" s="19" t="n"/>
      <c r="W482" s="19" t="n"/>
      <c r="X482" s="19" t="n"/>
      <c r="Y482" s="19" t="n"/>
      <c r="Z482" s="21">
        <f>IF(AND($A482="",$B482=""),"",IF(OR($E482="",$H482="",$H482="Proposed",$H482="Not Reported"),0,IF(AND($P482="Y",$Q482&lt;&gt;"Y"),0,IF(AND($K482="Point",N($L482)&lt;=0),0,IF(AND(N($L482)&lt;=0,N($N482)&lt;=0,N($R482)+N($S482)&lt;=0),0,1)))))</f>
        <v/>
      </c>
      <c r="AA482" s="21">
        <f>IF(AND($A482="",$B482=""),"",IF($E482="","Site type missing",IF($H482="","STATUS missing",IF($H482="Proposed","STATUS = Proposed",IF($H482="Not Reported","STATUS = Not Reported",IF(AND($P482="Y",$Q482&lt;&gt;"Y"),"UNESCO-MAB Biosphere Reserve",IF(AND($K482="Point",N($L482)&lt;=0),"Point without REP_AREA",IF(AND(N($L482)&lt;=0,N($N482)&lt;=0,N($R482)+N($S482)&lt;=0),"No area information",""))))))))</f>
        <v/>
      </c>
      <c r="AB482" s="22">
        <f>IF(AND($A482="",$B482=""),"",IF($K482="Point",N($L482),IF(N($N482)&gt;0,N($N482),N($L482))))</f>
        <v/>
      </c>
      <c r="AC482" s="22">
        <f>IF(AND($A482="",$B482=""),"",MIN(AB482,IF(N($J482)=0,0,IF(N($J482)=2,AB482,IF(AND($K482&lt;&gt;"Point",N($O482)&gt;0),N($O482),N($M482))))))</f>
        <v/>
      </c>
      <c r="AD482" s="22">
        <f>IF(AND($A482="",$B482=""),"",MAX(0,AB482-AC482))</f>
        <v/>
      </c>
      <c r="AE482" s="21">
        <f>IF(AND($A482="",$B482=""),"",IF(OR($R482&lt;&gt;"",$S482&lt;&gt;""),1,0))</f>
        <v/>
      </c>
      <c r="AF482" s="22">
        <f>IF(AND($A482="",$B482=""),"",IF(Z482=1,IF(AE482=1,N($R482),AD482),0))</f>
        <v/>
      </c>
      <c r="AG482" s="22">
        <f>IF(AND($A482="",$B482=""),"",IF(Z482=1,IF(AE482=1,N($S482),AC482),0))</f>
        <v/>
      </c>
      <c r="AH482" s="21">
        <f>IF(AND($A482="",$B482=""),"",IF(AND(ISNUMBER($I482),N($I482)&gt;0),$I482,0))</f>
        <v/>
      </c>
      <c r="AI482" s="23">
        <f>IF(AND(NOT(AND($A482="",$B482="")),$K482="Point",N($L482)&gt;0),SQRT(N($L482)/PI()),"")</f>
        <v/>
      </c>
      <c r="AJ482" s="21">
        <f>IF(AND($A482="",$B482=""),"",IFERROR(VLOOKUP($G482,Lists!$D$4:$E$15,2,FALSE),"Not reported"))</f>
        <v/>
      </c>
      <c r="AK482" s="21">
        <f>IF(AND($A482="",$B482=""),"",IF($X482&lt;&gt;"",$X482,IF($T482&lt;&gt;"Y","Not assessed",IF(AND(ISNUMBER($V482),Setup!$B$6-$V482&gt;Setup!$B$26),"Assessment outdated",IF(NOT(ISNUMBER($W482)),"Assessed – no score",IF($W482&gt;=Setup!$B$24,"High",IF($W482&gt;=Setup!$B$25,"Moderate","Low")))))))</f>
        <v/>
      </c>
      <c r="AL482" s="21">
        <f>IF(AND($A482="",$B482=""),"",IF(Z482=0,"",IF(AND(AE482=1,N($R482)&gt;AD482*1.01+0.001),"Net terrestrial &gt; gross; ","")&amp;IF(AND(AE482=1,N($S482)&gt;AC482*1.01+0.001),"Net marine &gt; gross; ","")&amp;IF(AE482=0,"No net area – gross used, overlaps may be double-counted; ","")&amp;IF(AH482=0,"STATUS_YR missing – imputed in time series; ","")&amp;IF(AND(ISNUMBER($I482),N($I482)&gt;Setup!$B$6),"STATUS_YR after reporting year; ","")&amp;IF(OR($G482="",$G482="Not Reported"),"GOV_TYPE not reported; ","")&amp;IF(AND(N($J482)=1,$K482="Point",N($M482)&lt;=0),"Coastal point without REP_M_AREA – land/sea split unknown; ","")&amp;IF(AND(N($J482)=0,N($S482)&gt;0),"MARINE=0 but net marine &gt;0; ","")&amp;IF(AND(N($J482)=2,N($R482)&gt;0),"MARINE=2 but net terrestrial &gt;0; ","")&amp;IF($K482="Point","Buffered point – coverage approximate; ","")))</f>
        <v/>
      </c>
    </row>
    <row r="483">
      <c r="A483" s="19" t="n"/>
      <c r="B483" s="19" t="n"/>
      <c r="C483" s="19" t="n"/>
      <c r="D483" s="19" t="n"/>
      <c r="E483" s="19" t="n"/>
      <c r="F483" s="19" t="n"/>
      <c r="G483" s="19" t="n"/>
      <c r="H483" s="19" t="n"/>
      <c r="I483" s="19" t="n"/>
      <c r="J483" s="19" t="n"/>
      <c r="K483" s="19" t="n"/>
      <c r="L483" s="20" t="n"/>
      <c r="M483" s="20" t="n"/>
      <c r="N483" s="20" t="n"/>
      <c r="O483" s="20" t="n"/>
      <c r="P483" s="19" t="n"/>
      <c r="Q483" s="19" t="n"/>
      <c r="R483" s="20" t="n"/>
      <c r="S483" s="20" t="n"/>
      <c r="T483" s="19" t="n"/>
      <c r="U483" s="19" t="n"/>
      <c r="V483" s="19" t="n"/>
      <c r="W483" s="19" t="n"/>
      <c r="X483" s="19" t="n"/>
      <c r="Y483" s="19" t="n"/>
      <c r="Z483" s="21">
        <f>IF(AND($A483="",$B483=""),"",IF(OR($E483="",$H483="",$H483="Proposed",$H483="Not Reported"),0,IF(AND($P483="Y",$Q483&lt;&gt;"Y"),0,IF(AND($K483="Point",N($L483)&lt;=0),0,IF(AND(N($L483)&lt;=0,N($N483)&lt;=0,N($R483)+N($S483)&lt;=0),0,1)))))</f>
        <v/>
      </c>
      <c r="AA483" s="21">
        <f>IF(AND($A483="",$B483=""),"",IF($E483="","Site type missing",IF($H483="","STATUS missing",IF($H483="Proposed","STATUS = Proposed",IF($H483="Not Reported","STATUS = Not Reported",IF(AND($P483="Y",$Q483&lt;&gt;"Y"),"UNESCO-MAB Biosphere Reserve",IF(AND($K483="Point",N($L483)&lt;=0),"Point without REP_AREA",IF(AND(N($L483)&lt;=0,N($N483)&lt;=0,N($R483)+N($S483)&lt;=0),"No area information",""))))))))</f>
        <v/>
      </c>
      <c r="AB483" s="22">
        <f>IF(AND($A483="",$B483=""),"",IF($K483="Point",N($L483),IF(N($N483)&gt;0,N($N483),N($L483))))</f>
        <v/>
      </c>
      <c r="AC483" s="22">
        <f>IF(AND($A483="",$B483=""),"",MIN(AB483,IF(N($J483)=0,0,IF(N($J483)=2,AB483,IF(AND($K483&lt;&gt;"Point",N($O483)&gt;0),N($O483),N($M483))))))</f>
        <v/>
      </c>
      <c r="AD483" s="22">
        <f>IF(AND($A483="",$B483=""),"",MAX(0,AB483-AC483))</f>
        <v/>
      </c>
      <c r="AE483" s="21">
        <f>IF(AND($A483="",$B483=""),"",IF(OR($R483&lt;&gt;"",$S483&lt;&gt;""),1,0))</f>
        <v/>
      </c>
      <c r="AF483" s="22">
        <f>IF(AND($A483="",$B483=""),"",IF(Z483=1,IF(AE483=1,N($R483),AD483),0))</f>
        <v/>
      </c>
      <c r="AG483" s="22">
        <f>IF(AND($A483="",$B483=""),"",IF(Z483=1,IF(AE483=1,N($S483),AC483),0))</f>
        <v/>
      </c>
      <c r="AH483" s="21">
        <f>IF(AND($A483="",$B483=""),"",IF(AND(ISNUMBER($I483),N($I483)&gt;0),$I483,0))</f>
        <v/>
      </c>
      <c r="AI483" s="23">
        <f>IF(AND(NOT(AND($A483="",$B483="")),$K483="Point",N($L483)&gt;0),SQRT(N($L483)/PI()),"")</f>
        <v/>
      </c>
      <c r="AJ483" s="21">
        <f>IF(AND($A483="",$B483=""),"",IFERROR(VLOOKUP($G483,Lists!$D$4:$E$15,2,FALSE),"Not reported"))</f>
        <v/>
      </c>
      <c r="AK483" s="21">
        <f>IF(AND($A483="",$B483=""),"",IF($X483&lt;&gt;"",$X483,IF($T483&lt;&gt;"Y","Not assessed",IF(AND(ISNUMBER($V483),Setup!$B$6-$V483&gt;Setup!$B$26),"Assessment outdated",IF(NOT(ISNUMBER($W483)),"Assessed – no score",IF($W483&gt;=Setup!$B$24,"High",IF($W483&gt;=Setup!$B$25,"Moderate","Low")))))))</f>
        <v/>
      </c>
      <c r="AL483" s="21">
        <f>IF(AND($A483="",$B483=""),"",IF(Z483=0,"",IF(AND(AE483=1,N($R483)&gt;AD483*1.01+0.001),"Net terrestrial &gt; gross; ","")&amp;IF(AND(AE483=1,N($S483)&gt;AC483*1.01+0.001),"Net marine &gt; gross; ","")&amp;IF(AE483=0,"No net area – gross used, overlaps may be double-counted; ","")&amp;IF(AH483=0,"STATUS_YR missing – imputed in time series; ","")&amp;IF(AND(ISNUMBER($I483),N($I483)&gt;Setup!$B$6),"STATUS_YR after reporting year; ","")&amp;IF(OR($G483="",$G483="Not Reported"),"GOV_TYPE not reported; ","")&amp;IF(AND(N($J483)=1,$K483="Point",N($M483)&lt;=0),"Coastal point without REP_M_AREA – land/sea split unknown; ","")&amp;IF(AND(N($J483)=0,N($S483)&gt;0),"MARINE=0 but net marine &gt;0; ","")&amp;IF(AND(N($J483)=2,N($R483)&gt;0),"MARINE=2 but net terrestrial &gt;0; ","")&amp;IF($K483="Point","Buffered point – coverage approximate; ","")))</f>
        <v/>
      </c>
    </row>
    <row r="484">
      <c r="A484" s="19" t="n"/>
      <c r="B484" s="19" t="n"/>
      <c r="C484" s="19" t="n"/>
      <c r="D484" s="19" t="n"/>
      <c r="E484" s="19" t="n"/>
      <c r="F484" s="19" t="n"/>
      <c r="G484" s="19" t="n"/>
      <c r="H484" s="19" t="n"/>
      <c r="I484" s="19" t="n"/>
      <c r="J484" s="19" t="n"/>
      <c r="K484" s="19" t="n"/>
      <c r="L484" s="20" t="n"/>
      <c r="M484" s="20" t="n"/>
      <c r="N484" s="20" t="n"/>
      <c r="O484" s="20" t="n"/>
      <c r="P484" s="19" t="n"/>
      <c r="Q484" s="19" t="n"/>
      <c r="R484" s="20" t="n"/>
      <c r="S484" s="20" t="n"/>
      <c r="T484" s="19" t="n"/>
      <c r="U484" s="19" t="n"/>
      <c r="V484" s="19" t="n"/>
      <c r="W484" s="19" t="n"/>
      <c r="X484" s="19" t="n"/>
      <c r="Y484" s="19" t="n"/>
      <c r="Z484" s="21">
        <f>IF(AND($A484="",$B484=""),"",IF(OR($E484="",$H484="",$H484="Proposed",$H484="Not Reported"),0,IF(AND($P484="Y",$Q484&lt;&gt;"Y"),0,IF(AND($K484="Point",N($L484)&lt;=0),0,IF(AND(N($L484)&lt;=0,N($N484)&lt;=0,N($R484)+N($S484)&lt;=0),0,1)))))</f>
        <v/>
      </c>
      <c r="AA484" s="21">
        <f>IF(AND($A484="",$B484=""),"",IF($E484="","Site type missing",IF($H484="","STATUS missing",IF($H484="Proposed","STATUS = Proposed",IF($H484="Not Reported","STATUS = Not Reported",IF(AND($P484="Y",$Q484&lt;&gt;"Y"),"UNESCO-MAB Biosphere Reserve",IF(AND($K484="Point",N($L484)&lt;=0),"Point without REP_AREA",IF(AND(N($L484)&lt;=0,N($N484)&lt;=0,N($R484)+N($S484)&lt;=0),"No area information",""))))))))</f>
        <v/>
      </c>
      <c r="AB484" s="22">
        <f>IF(AND($A484="",$B484=""),"",IF($K484="Point",N($L484),IF(N($N484)&gt;0,N($N484),N($L484))))</f>
        <v/>
      </c>
      <c r="AC484" s="22">
        <f>IF(AND($A484="",$B484=""),"",MIN(AB484,IF(N($J484)=0,0,IF(N($J484)=2,AB484,IF(AND($K484&lt;&gt;"Point",N($O484)&gt;0),N($O484),N($M484))))))</f>
        <v/>
      </c>
      <c r="AD484" s="22">
        <f>IF(AND($A484="",$B484=""),"",MAX(0,AB484-AC484))</f>
        <v/>
      </c>
      <c r="AE484" s="21">
        <f>IF(AND($A484="",$B484=""),"",IF(OR($R484&lt;&gt;"",$S484&lt;&gt;""),1,0))</f>
        <v/>
      </c>
      <c r="AF484" s="22">
        <f>IF(AND($A484="",$B484=""),"",IF(Z484=1,IF(AE484=1,N($R484),AD484),0))</f>
        <v/>
      </c>
      <c r="AG484" s="22">
        <f>IF(AND($A484="",$B484=""),"",IF(Z484=1,IF(AE484=1,N($S484),AC484),0))</f>
        <v/>
      </c>
      <c r="AH484" s="21">
        <f>IF(AND($A484="",$B484=""),"",IF(AND(ISNUMBER($I484),N($I484)&gt;0),$I484,0))</f>
        <v/>
      </c>
      <c r="AI484" s="23">
        <f>IF(AND(NOT(AND($A484="",$B484="")),$K484="Point",N($L484)&gt;0),SQRT(N($L484)/PI()),"")</f>
        <v/>
      </c>
      <c r="AJ484" s="21">
        <f>IF(AND($A484="",$B484=""),"",IFERROR(VLOOKUP($G484,Lists!$D$4:$E$15,2,FALSE),"Not reported"))</f>
        <v/>
      </c>
      <c r="AK484" s="21">
        <f>IF(AND($A484="",$B484=""),"",IF($X484&lt;&gt;"",$X484,IF($T484&lt;&gt;"Y","Not assessed",IF(AND(ISNUMBER($V484),Setup!$B$6-$V484&gt;Setup!$B$26),"Assessment outdated",IF(NOT(ISNUMBER($W484)),"Assessed – no score",IF($W484&gt;=Setup!$B$24,"High",IF($W484&gt;=Setup!$B$25,"Moderate","Low")))))))</f>
        <v/>
      </c>
      <c r="AL484" s="21">
        <f>IF(AND($A484="",$B484=""),"",IF(Z484=0,"",IF(AND(AE484=1,N($R484)&gt;AD484*1.01+0.001),"Net terrestrial &gt; gross; ","")&amp;IF(AND(AE484=1,N($S484)&gt;AC484*1.01+0.001),"Net marine &gt; gross; ","")&amp;IF(AE484=0,"No net area – gross used, overlaps may be double-counted; ","")&amp;IF(AH484=0,"STATUS_YR missing – imputed in time series; ","")&amp;IF(AND(ISNUMBER($I484),N($I484)&gt;Setup!$B$6),"STATUS_YR after reporting year; ","")&amp;IF(OR($G484="",$G484="Not Reported"),"GOV_TYPE not reported; ","")&amp;IF(AND(N($J484)=1,$K484="Point",N($M484)&lt;=0),"Coastal point without REP_M_AREA – land/sea split unknown; ","")&amp;IF(AND(N($J484)=0,N($S484)&gt;0),"MARINE=0 but net marine &gt;0; ","")&amp;IF(AND(N($J484)=2,N($R484)&gt;0),"MARINE=2 but net terrestrial &gt;0; ","")&amp;IF($K484="Point","Buffered point – coverage approximate; ","")))</f>
        <v/>
      </c>
    </row>
    <row r="485">
      <c r="A485" s="19" t="n"/>
      <c r="B485" s="19" t="n"/>
      <c r="C485" s="19" t="n"/>
      <c r="D485" s="19" t="n"/>
      <c r="E485" s="19" t="n"/>
      <c r="F485" s="19" t="n"/>
      <c r="G485" s="19" t="n"/>
      <c r="H485" s="19" t="n"/>
      <c r="I485" s="19" t="n"/>
      <c r="J485" s="19" t="n"/>
      <c r="K485" s="19" t="n"/>
      <c r="L485" s="20" t="n"/>
      <c r="M485" s="20" t="n"/>
      <c r="N485" s="20" t="n"/>
      <c r="O485" s="20" t="n"/>
      <c r="P485" s="19" t="n"/>
      <c r="Q485" s="19" t="n"/>
      <c r="R485" s="20" t="n"/>
      <c r="S485" s="20" t="n"/>
      <c r="T485" s="19" t="n"/>
      <c r="U485" s="19" t="n"/>
      <c r="V485" s="19" t="n"/>
      <c r="W485" s="19" t="n"/>
      <c r="X485" s="19" t="n"/>
      <c r="Y485" s="19" t="n"/>
      <c r="Z485" s="21">
        <f>IF(AND($A485="",$B485=""),"",IF(OR($E485="",$H485="",$H485="Proposed",$H485="Not Reported"),0,IF(AND($P485="Y",$Q485&lt;&gt;"Y"),0,IF(AND($K485="Point",N($L485)&lt;=0),0,IF(AND(N($L485)&lt;=0,N($N485)&lt;=0,N($R485)+N($S485)&lt;=0),0,1)))))</f>
        <v/>
      </c>
      <c r="AA485" s="21">
        <f>IF(AND($A485="",$B485=""),"",IF($E485="","Site type missing",IF($H485="","STATUS missing",IF($H485="Proposed","STATUS = Proposed",IF($H485="Not Reported","STATUS = Not Reported",IF(AND($P485="Y",$Q485&lt;&gt;"Y"),"UNESCO-MAB Biosphere Reserve",IF(AND($K485="Point",N($L485)&lt;=0),"Point without REP_AREA",IF(AND(N($L485)&lt;=0,N($N485)&lt;=0,N($R485)+N($S485)&lt;=0),"No area information",""))))))))</f>
        <v/>
      </c>
      <c r="AB485" s="22">
        <f>IF(AND($A485="",$B485=""),"",IF($K485="Point",N($L485),IF(N($N485)&gt;0,N($N485),N($L485))))</f>
        <v/>
      </c>
      <c r="AC485" s="22">
        <f>IF(AND($A485="",$B485=""),"",MIN(AB485,IF(N($J485)=0,0,IF(N($J485)=2,AB485,IF(AND($K485&lt;&gt;"Point",N($O485)&gt;0),N($O485),N($M485))))))</f>
        <v/>
      </c>
      <c r="AD485" s="22">
        <f>IF(AND($A485="",$B485=""),"",MAX(0,AB485-AC485))</f>
        <v/>
      </c>
      <c r="AE485" s="21">
        <f>IF(AND($A485="",$B485=""),"",IF(OR($R485&lt;&gt;"",$S485&lt;&gt;""),1,0))</f>
        <v/>
      </c>
      <c r="AF485" s="22">
        <f>IF(AND($A485="",$B485=""),"",IF(Z485=1,IF(AE485=1,N($R485),AD485),0))</f>
        <v/>
      </c>
      <c r="AG485" s="22">
        <f>IF(AND($A485="",$B485=""),"",IF(Z485=1,IF(AE485=1,N($S485),AC485),0))</f>
        <v/>
      </c>
      <c r="AH485" s="21">
        <f>IF(AND($A485="",$B485=""),"",IF(AND(ISNUMBER($I485),N($I485)&gt;0),$I485,0))</f>
        <v/>
      </c>
      <c r="AI485" s="23">
        <f>IF(AND(NOT(AND($A485="",$B485="")),$K485="Point",N($L485)&gt;0),SQRT(N($L485)/PI()),"")</f>
        <v/>
      </c>
      <c r="AJ485" s="21">
        <f>IF(AND($A485="",$B485=""),"",IFERROR(VLOOKUP($G485,Lists!$D$4:$E$15,2,FALSE),"Not reported"))</f>
        <v/>
      </c>
      <c r="AK485" s="21">
        <f>IF(AND($A485="",$B485=""),"",IF($X485&lt;&gt;"",$X485,IF($T485&lt;&gt;"Y","Not assessed",IF(AND(ISNUMBER($V485),Setup!$B$6-$V485&gt;Setup!$B$26),"Assessment outdated",IF(NOT(ISNUMBER($W485)),"Assessed – no score",IF($W485&gt;=Setup!$B$24,"High",IF($W485&gt;=Setup!$B$25,"Moderate","Low")))))))</f>
        <v/>
      </c>
      <c r="AL485" s="21">
        <f>IF(AND($A485="",$B485=""),"",IF(Z485=0,"",IF(AND(AE485=1,N($R485)&gt;AD485*1.01+0.001),"Net terrestrial &gt; gross; ","")&amp;IF(AND(AE485=1,N($S485)&gt;AC485*1.01+0.001),"Net marine &gt; gross; ","")&amp;IF(AE485=0,"No net area – gross used, overlaps may be double-counted; ","")&amp;IF(AH485=0,"STATUS_YR missing – imputed in time series; ","")&amp;IF(AND(ISNUMBER($I485),N($I485)&gt;Setup!$B$6),"STATUS_YR after reporting year; ","")&amp;IF(OR($G485="",$G485="Not Reported"),"GOV_TYPE not reported; ","")&amp;IF(AND(N($J485)=1,$K485="Point",N($M485)&lt;=0),"Coastal point without REP_M_AREA – land/sea split unknown; ","")&amp;IF(AND(N($J485)=0,N($S485)&gt;0),"MARINE=0 but net marine &gt;0; ","")&amp;IF(AND(N($J485)=2,N($R485)&gt;0),"MARINE=2 but net terrestrial &gt;0; ","")&amp;IF($K485="Point","Buffered point – coverage approximate; ","")))</f>
        <v/>
      </c>
    </row>
    <row r="486">
      <c r="A486" s="19" t="n"/>
      <c r="B486" s="19" t="n"/>
      <c r="C486" s="19" t="n"/>
      <c r="D486" s="19" t="n"/>
      <c r="E486" s="19" t="n"/>
      <c r="F486" s="19" t="n"/>
      <c r="G486" s="19" t="n"/>
      <c r="H486" s="19" t="n"/>
      <c r="I486" s="19" t="n"/>
      <c r="J486" s="19" t="n"/>
      <c r="K486" s="19" t="n"/>
      <c r="L486" s="20" t="n"/>
      <c r="M486" s="20" t="n"/>
      <c r="N486" s="20" t="n"/>
      <c r="O486" s="20" t="n"/>
      <c r="P486" s="19" t="n"/>
      <c r="Q486" s="19" t="n"/>
      <c r="R486" s="20" t="n"/>
      <c r="S486" s="20" t="n"/>
      <c r="T486" s="19" t="n"/>
      <c r="U486" s="19" t="n"/>
      <c r="V486" s="19" t="n"/>
      <c r="W486" s="19" t="n"/>
      <c r="X486" s="19" t="n"/>
      <c r="Y486" s="19" t="n"/>
      <c r="Z486" s="21">
        <f>IF(AND($A486="",$B486=""),"",IF(OR($E486="",$H486="",$H486="Proposed",$H486="Not Reported"),0,IF(AND($P486="Y",$Q486&lt;&gt;"Y"),0,IF(AND($K486="Point",N($L486)&lt;=0),0,IF(AND(N($L486)&lt;=0,N($N486)&lt;=0,N($R486)+N($S486)&lt;=0),0,1)))))</f>
        <v/>
      </c>
      <c r="AA486" s="21">
        <f>IF(AND($A486="",$B486=""),"",IF($E486="","Site type missing",IF($H486="","STATUS missing",IF($H486="Proposed","STATUS = Proposed",IF($H486="Not Reported","STATUS = Not Reported",IF(AND($P486="Y",$Q486&lt;&gt;"Y"),"UNESCO-MAB Biosphere Reserve",IF(AND($K486="Point",N($L486)&lt;=0),"Point without REP_AREA",IF(AND(N($L486)&lt;=0,N($N486)&lt;=0,N($R486)+N($S486)&lt;=0),"No area information",""))))))))</f>
        <v/>
      </c>
      <c r="AB486" s="22">
        <f>IF(AND($A486="",$B486=""),"",IF($K486="Point",N($L486),IF(N($N486)&gt;0,N($N486),N($L486))))</f>
        <v/>
      </c>
      <c r="AC486" s="22">
        <f>IF(AND($A486="",$B486=""),"",MIN(AB486,IF(N($J486)=0,0,IF(N($J486)=2,AB486,IF(AND($K486&lt;&gt;"Point",N($O486)&gt;0),N($O486),N($M486))))))</f>
        <v/>
      </c>
      <c r="AD486" s="22">
        <f>IF(AND($A486="",$B486=""),"",MAX(0,AB486-AC486))</f>
        <v/>
      </c>
      <c r="AE486" s="21">
        <f>IF(AND($A486="",$B486=""),"",IF(OR($R486&lt;&gt;"",$S486&lt;&gt;""),1,0))</f>
        <v/>
      </c>
      <c r="AF486" s="22">
        <f>IF(AND($A486="",$B486=""),"",IF(Z486=1,IF(AE486=1,N($R486),AD486),0))</f>
        <v/>
      </c>
      <c r="AG486" s="22">
        <f>IF(AND($A486="",$B486=""),"",IF(Z486=1,IF(AE486=1,N($S486),AC486),0))</f>
        <v/>
      </c>
      <c r="AH486" s="21">
        <f>IF(AND($A486="",$B486=""),"",IF(AND(ISNUMBER($I486),N($I486)&gt;0),$I486,0))</f>
        <v/>
      </c>
      <c r="AI486" s="23">
        <f>IF(AND(NOT(AND($A486="",$B486="")),$K486="Point",N($L486)&gt;0),SQRT(N($L486)/PI()),"")</f>
        <v/>
      </c>
      <c r="AJ486" s="21">
        <f>IF(AND($A486="",$B486=""),"",IFERROR(VLOOKUP($G486,Lists!$D$4:$E$15,2,FALSE),"Not reported"))</f>
        <v/>
      </c>
      <c r="AK486" s="21">
        <f>IF(AND($A486="",$B486=""),"",IF($X486&lt;&gt;"",$X486,IF($T486&lt;&gt;"Y","Not assessed",IF(AND(ISNUMBER($V486),Setup!$B$6-$V486&gt;Setup!$B$26),"Assessment outdated",IF(NOT(ISNUMBER($W486)),"Assessed – no score",IF($W486&gt;=Setup!$B$24,"High",IF($W486&gt;=Setup!$B$25,"Moderate","Low")))))))</f>
        <v/>
      </c>
      <c r="AL486" s="21">
        <f>IF(AND($A486="",$B486=""),"",IF(Z486=0,"",IF(AND(AE486=1,N($R486)&gt;AD486*1.01+0.001),"Net terrestrial &gt; gross; ","")&amp;IF(AND(AE486=1,N($S486)&gt;AC486*1.01+0.001),"Net marine &gt; gross; ","")&amp;IF(AE486=0,"No net area – gross used, overlaps may be double-counted; ","")&amp;IF(AH486=0,"STATUS_YR missing – imputed in time series; ","")&amp;IF(AND(ISNUMBER($I486),N($I486)&gt;Setup!$B$6),"STATUS_YR after reporting year; ","")&amp;IF(OR($G486="",$G486="Not Reported"),"GOV_TYPE not reported; ","")&amp;IF(AND(N($J486)=1,$K486="Point",N($M486)&lt;=0),"Coastal point without REP_M_AREA – land/sea split unknown; ","")&amp;IF(AND(N($J486)=0,N($S486)&gt;0),"MARINE=0 but net marine &gt;0; ","")&amp;IF(AND(N($J486)=2,N($R486)&gt;0),"MARINE=2 but net terrestrial &gt;0; ","")&amp;IF($K486="Point","Buffered point – coverage approximate; ","")))</f>
        <v/>
      </c>
    </row>
    <row r="487">
      <c r="A487" s="19" t="n"/>
      <c r="B487" s="19" t="n"/>
      <c r="C487" s="19" t="n"/>
      <c r="D487" s="19" t="n"/>
      <c r="E487" s="19" t="n"/>
      <c r="F487" s="19" t="n"/>
      <c r="G487" s="19" t="n"/>
      <c r="H487" s="19" t="n"/>
      <c r="I487" s="19" t="n"/>
      <c r="J487" s="19" t="n"/>
      <c r="K487" s="19" t="n"/>
      <c r="L487" s="20" t="n"/>
      <c r="M487" s="20" t="n"/>
      <c r="N487" s="20" t="n"/>
      <c r="O487" s="20" t="n"/>
      <c r="P487" s="19" t="n"/>
      <c r="Q487" s="19" t="n"/>
      <c r="R487" s="20" t="n"/>
      <c r="S487" s="20" t="n"/>
      <c r="T487" s="19" t="n"/>
      <c r="U487" s="19" t="n"/>
      <c r="V487" s="19" t="n"/>
      <c r="W487" s="19" t="n"/>
      <c r="X487" s="19" t="n"/>
      <c r="Y487" s="19" t="n"/>
      <c r="Z487" s="21">
        <f>IF(AND($A487="",$B487=""),"",IF(OR($E487="",$H487="",$H487="Proposed",$H487="Not Reported"),0,IF(AND($P487="Y",$Q487&lt;&gt;"Y"),0,IF(AND($K487="Point",N($L487)&lt;=0),0,IF(AND(N($L487)&lt;=0,N($N487)&lt;=0,N($R487)+N($S487)&lt;=0),0,1)))))</f>
        <v/>
      </c>
      <c r="AA487" s="21">
        <f>IF(AND($A487="",$B487=""),"",IF($E487="","Site type missing",IF($H487="","STATUS missing",IF($H487="Proposed","STATUS = Proposed",IF($H487="Not Reported","STATUS = Not Reported",IF(AND($P487="Y",$Q487&lt;&gt;"Y"),"UNESCO-MAB Biosphere Reserve",IF(AND($K487="Point",N($L487)&lt;=0),"Point without REP_AREA",IF(AND(N($L487)&lt;=0,N($N487)&lt;=0,N($R487)+N($S487)&lt;=0),"No area information",""))))))))</f>
        <v/>
      </c>
      <c r="AB487" s="22">
        <f>IF(AND($A487="",$B487=""),"",IF($K487="Point",N($L487),IF(N($N487)&gt;0,N($N487),N($L487))))</f>
        <v/>
      </c>
      <c r="AC487" s="22">
        <f>IF(AND($A487="",$B487=""),"",MIN(AB487,IF(N($J487)=0,0,IF(N($J487)=2,AB487,IF(AND($K487&lt;&gt;"Point",N($O487)&gt;0),N($O487),N($M487))))))</f>
        <v/>
      </c>
      <c r="AD487" s="22">
        <f>IF(AND($A487="",$B487=""),"",MAX(0,AB487-AC487))</f>
        <v/>
      </c>
      <c r="AE487" s="21">
        <f>IF(AND($A487="",$B487=""),"",IF(OR($R487&lt;&gt;"",$S487&lt;&gt;""),1,0))</f>
        <v/>
      </c>
      <c r="AF487" s="22">
        <f>IF(AND($A487="",$B487=""),"",IF(Z487=1,IF(AE487=1,N($R487),AD487),0))</f>
        <v/>
      </c>
      <c r="AG487" s="22">
        <f>IF(AND($A487="",$B487=""),"",IF(Z487=1,IF(AE487=1,N($S487),AC487),0))</f>
        <v/>
      </c>
      <c r="AH487" s="21">
        <f>IF(AND($A487="",$B487=""),"",IF(AND(ISNUMBER($I487),N($I487)&gt;0),$I487,0))</f>
        <v/>
      </c>
      <c r="AI487" s="23">
        <f>IF(AND(NOT(AND($A487="",$B487="")),$K487="Point",N($L487)&gt;0),SQRT(N($L487)/PI()),"")</f>
        <v/>
      </c>
      <c r="AJ487" s="21">
        <f>IF(AND($A487="",$B487=""),"",IFERROR(VLOOKUP($G487,Lists!$D$4:$E$15,2,FALSE),"Not reported"))</f>
        <v/>
      </c>
      <c r="AK487" s="21">
        <f>IF(AND($A487="",$B487=""),"",IF($X487&lt;&gt;"",$X487,IF($T487&lt;&gt;"Y","Not assessed",IF(AND(ISNUMBER($V487),Setup!$B$6-$V487&gt;Setup!$B$26),"Assessment outdated",IF(NOT(ISNUMBER($W487)),"Assessed – no score",IF($W487&gt;=Setup!$B$24,"High",IF($W487&gt;=Setup!$B$25,"Moderate","Low")))))))</f>
        <v/>
      </c>
      <c r="AL487" s="21">
        <f>IF(AND($A487="",$B487=""),"",IF(Z487=0,"",IF(AND(AE487=1,N($R487)&gt;AD487*1.01+0.001),"Net terrestrial &gt; gross; ","")&amp;IF(AND(AE487=1,N($S487)&gt;AC487*1.01+0.001),"Net marine &gt; gross; ","")&amp;IF(AE487=0,"No net area – gross used, overlaps may be double-counted; ","")&amp;IF(AH487=0,"STATUS_YR missing – imputed in time series; ","")&amp;IF(AND(ISNUMBER($I487),N($I487)&gt;Setup!$B$6),"STATUS_YR after reporting year; ","")&amp;IF(OR($G487="",$G487="Not Reported"),"GOV_TYPE not reported; ","")&amp;IF(AND(N($J487)=1,$K487="Point",N($M487)&lt;=0),"Coastal point without REP_M_AREA – land/sea split unknown; ","")&amp;IF(AND(N($J487)=0,N($S487)&gt;0),"MARINE=0 but net marine &gt;0; ","")&amp;IF(AND(N($J487)=2,N($R487)&gt;0),"MARINE=2 but net terrestrial &gt;0; ","")&amp;IF($K487="Point","Buffered point – coverage approximate; ","")))</f>
        <v/>
      </c>
    </row>
    <row r="488">
      <c r="A488" s="19" t="n"/>
      <c r="B488" s="19" t="n"/>
      <c r="C488" s="19" t="n"/>
      <c r="D488" s="19" t="n"/>
      <c r="E488" s="19" t="n"/>
      <c r="F488" s="19" t="n"/>
      <c r="G488" s="19" t="n"/>
      <c r="H488" s="19" t="n"/>
      <c r="I488" s="19" t="n"/>
      <c r="J488" s="19" t="n"/>
      <c r="K488" s="19" t="n"/>
      <c r="L488" s="20" t="n"/>
      <c r="M488" s="20" t="n"/>
      <c r="N488" s="20" t="n"/>
      <c r="O488" s="20" t="n"/>
      <c r="P488" s="19" t="n"/>
      <c r="Q488" s="19" t="n"/>
      <c r="R488" s="20" t="n"/>
      <c r="S488" s="20" t="n"/>
      <c r="T488" s="19" t="n"/>
      <c r="U488" s="19" t="n"/>
      <c r="V488" s="19" t="n"/>
      <c r="W488" s="19" t="n"/>
      <c r="X488" s="19" t="n"/>
      <c r="Y488" s="19" t="n"/>
      <c r="Z488" s="21">
        <f>IF(AND($A488="",$B488=""),"",IF(OR($E488="",$H488="",$H488="Proposed",$H488="Not Reported"),0,IF(AND($P488="Y",$Q488&lt;&gt;"Y"),0,IF(AND($K488="Point",N($L488)&lt;=0),0,IF(AND(N($L488)&lt;=0,N($N488)&lt;=0,N($R488)+N($S488)&lt;=0),0,1)))))</f>
        <v/>
      </c>
      <c r="AA488" s="21">
        <f>IF(AND($A488="",$B488=""),"",IF($E488="","Site type missing",IF($H488="","STATUS missing",IF($H488="Proposed","STATUS = Proposed",IF($H488="Not Reported","STATUS = Not Reported",IF(AND($P488="Y",$Q488&lt;&gt;"Y"),"UNESCO-MAB Biosphere Reserve",IF(AND($K488="Point",N($L488)&lt;=0),"Point without REP_AREA",IF(AND(N($L488)&lt;=0,N($N488)&lt;=0,N($R488)+N($S488)&lt;=0),"No area information",""))))))))</f>
        <v/>
      </c>
      <c r="AB488" s="22">
        <f>IF(AND($A488="",$B488=""),"",IF($K488="Point",N($L488),IF(N($N488)&gt;0,N($N488),N($L488))))</f>
        <v/>
      </c>
      <c r="AC488" s="22">
        <f>IF(AND($A488="",$B488=""),"",MIN(AB488,IF(N($J488)=0,0,IF(N($J488)=2,AB488,IF(AND($K488&lt;&gt;"Point",N($O488)&gt;0),N($O488),N($M488))))))</f>
        <v/>
      </c>
      <c r="AD488" s="22">
        <f>IF(AND($A488="",$B488=""),"",MAX(0,AB488-AC488))</f>
        <v/>
      </c>
      <c r="AE488" s="21">
        <f>IF(AND($A488="",$B488=""),"",IF(OR($R488&lt;&gt;"",$S488&lt;&gt;""),1,0))</f>
        <v/>
      </c>
      <c r="AF488" s="22">
        <f>IF(AND($A488="",$B488=""),"",IF(Z488=1,IF(AE488=1,N($R488),AD488),0))</f>
        <v/>
      </c>
      <c r="AG488" s="22">
        <f>IF(AND($A488="",$B488=""),"",IF(Z488=1,IF(AE488=1,N($S488),AC488),0))</f>
        <v/>
      </c>
      <c r="AH488" s="21">
        <f>IF(AND($A488="",$B488=""),"",IF(AND(ISNUMBER($I488),N($I488)&gt;0),$I488,0))</f>
        <v/>
      </c>
      <c r="AI488" s="23">
        <f>IF(AND(NOT(AND($A488="",$B488="")),$K488="Point",N($L488)&gt;0),SQRT(N($L488)/PI()),"")</f>
        <v/>
      </c>
      <c r="AJ488" s="21">
        <f>IF(AND($A488="",$B488=""),"",IFERROR(VLOOKUP($G488,Lists!$D$4:$E$15,2,FALSE),"Not reported"))</f>
        <v/>
      </c>
      <c r="AK488" s="21">
        <f>IF(AND($A488="",$B488=""),"",IF($X488&lt;&gt;"",$X488,IF($T488&lt;&gt;"Y","Not assessed",IF(AND(ISNUMBER($V488),Setup!$B$6-$V488&gt;Setup!$B$26),"Assessment outdated",IF(NOT(ISNUMBER($W488)),"Assessed – no score",IF($W488&gt;=Setup!$B$24,"High",IF($W488&gt;=Setup!$B$25,"Moderate","Low")))))))</f>
        <v/>
      </c>
      <c r="AL488" s="21">
        <f>IF(AND($A488="",$B488=""),"",IF(Z488=0,"",IF(AND(AE488=1,N($R488)&gt;AD488*1.01+0.001),"Net terrestrial &gt; gross; ","")&amp;IF(AND(AE488=1,N($S488)&gt;AC488*1.01+0.001),"Net marine &gt; gross; ","")&amp;IF(AE488=0,"No net area – gross used, overlaps may be double-counted; ","")&amp;IF(AH488=0,"STATUS_YR missing – imputed in time series; ","")&amp;IF(AND(ISNUMBER($I488),N($I488)&gt;Setup!$B$6),"STATUS_YR after reporting year; ","")&amp;IF(OR($G488="",$G488="Not Reported"),"GOV_TYPE not reported; ","")&amp;IF(AND(N($J488)=1,$K488="Point",N($M488)&lt;=0),"Coastal point without REP_M_AREA – land/sea split unknown; ","")&amp;IF(AND(N($J488)=0,N($S488)&gt;0),"MARINE=0 but net marine &gt;0; ","")&amp;IF(AND(N($J488)=2,N($R488)&gt;0),"MARINE=2 but net terrestrial &gt;0; ","")&amp;IF($K488="Point","Buffered point – coverage approximate; ","")))</f>
        <v/>
      </c>
    </row>
    <row r="489">
      <c r="A489" s="19" t="n"/>
      <c r="B489" s="19" t="n"/>
      <c r="C489" s="19" t="n"/>
      <c r="D489" s="19" t="n"/>
      <c r="E489" s="19" t="n"/>
      <c r="F489" s="19" t="n"/>
      <c r="G489" s="19" t="n"/>
      <c r="H489" s="19" t="n"/>
      <c r="I489" s="19" t="n"/>
      <c r="J489" s="19" t="n"/>
      <c r="K489" s="19" t="n"/>
      <c r="L489" s="20" t="n"/>
      <c r="M489" s="20" t="n"/>
      <c r="N489" s="20" t="n"/>
      <c r="O489" s="20" t="n"/>
      <c r="P489" s="19" t="n"/>
      <c r="Q489" s="19" t="n"/>
      <c r="R489" s="20" t="n"/>
      <c r="S489" s="20" t="n"/>
      <c r="T489" s="19" t="n"/>
      <c r="U489" s="19" t="n"/>
      <c r="V489" s="19" t="n"/>
      <c r="W489" s="19" t="n"/>
      <c r="X489" s="19" t="n"/>
      <c r="Y489" s="19" t="n"/>
      <c r="Z489" s="21">
        <f>IF(AND($A489="",$B489=""),"",IF(OR($E489="",$H489="",$H489="Proposed",$H489="Not Reported"),0,IF(AND($P489="Y",$Q489&lt;&gt;"Y"),0,IF(AND($K489="Point",N($L489)&lt;=0),0,IF(AND(N($L489)&lt;=0,N($N489)&lt;=0,N($R489)+N($S489)&lt;=0),0,1)))))</f>
        <v/>
      </c>
      <c r="AA489" s="21">
        <f>IF(AND($A489="",$B489=""),"",IF($E489="","Site type missing",IF($H489="","STATUS missing",IF($H489="Proposed","STATUS = Proposed",IF($H489="Not Reported","STATUS = Not Reported",IF(AND($P489="Y",$Q489&lt;&gt;"Y"),"UNESCO-MAB Biosphere Reserve",IF(AND($K489="Point",N($L489)&lt;=0),"Point without REP_AREA",IF(AND(N($L489)&lt;=0,N($N489)&lt;=0,N($R489)+N($S489)&lt;=0),"No area information",""))))))))</f>
        <v/>
      </c>
      <c r="AB489" s="22">
        <f>IF(AND($A489="",$B489=""),"",IF($K489="Point",N($L489),IF(N($N489)&gt;0,N($N489),N($L489))))</f>
        <v/>
      </c>
      <c r="AC489" s="22">
        <f>IF(AND($A489="",$B489=""),"",MIN(AB489,IF(N($J489)=0,0,IF(N($J489)=2,AB489,IF(AND($K489&lt;&gt;"Point",N($O489)&gt;0),N($O489),N($M489))))))</f>
        <v/>
      </c>
      <c r="AD489" s="22">
        <f>IF(AND($A489="",$B489=""),"",MAX(0,AB489-AC489))</f>
        <v/>
      </c>
      <c r="AE489" s="21">
        <f>IF(AND($A489="",$B489=""),"",IF(OR($R489&lt;&gt;"",$S489&lt;&gt;""),1,0))</f>
        <v/>
      </c>
      <c r="AF489" s="22">
        <f>IF(AND($A489="",$B489=""),"",IF(Z489=1,IF(AE489=1,N($R489),AD489),0))</f>
        <v/>
      </c>
      <c r="AG489" s="22">
        <f>IF(AND($A489="",$B489=""),"",IF(Z489=1,IF(AE489=1,N($S489),AC489),0))</f>
        <v/>
      </c>
      <c r="AH489" s="21">
        <f>IF(AND($A489="",$B489=""),"",IF(AND(ISNUMBER($I489),N($I489)&gt;0),$I489,0))</f>
        <v/>
      </c>
      <c r="AI489" s="23">
        <f>IF(AND(NOT(AND($A489="",$B489="")),$K489="Point",N($L489)&gt;0),SQRT(N($L489)/PI()),"")</f>
        <v/>
      </c>
      <c r="AJ489" s="21">
        <f>IF(AND($A489="",$B489=""),"",IFERROR(VLOOKUP($G489,Lists!$D$4:$E$15,2,FALSE),"Not reported"))</f>
        <v/>
      </c>
      <c r="AK489" s="21">
        <f>IF(AND($A489="",$B489=""),"",IF($X489&lt;&gt;"",$X489,IF($T489&lt;&gt;"Y","Not assessed",IF(AND(ISNUMBER($V489),Setup!$B$6-$V489&gt;Setup!$B$26),"Assessment outdated",IF(NOT(ISNUMBER($W489)),"Assessed – no score",IF($W489&gt;=Setup!$B$24,"High",IF($W489&gt;=Setup!$B$25,"Moderate","Low")))))))</f>
        <v/>
      </c>
      <c r="AL489" s="21">
        <f>IF(AND($A489="",$B489=""),"",IF(Z489=0,"",IF(AND(AE489=1,N($R489)&gt;AD489*1.01+0.001),"Net terrestrial &gt; gross; ","")&amp;IF(AND(AE489=1,N($S489)&gt;AC489*1.01+0.001),"Net marine &gt; gross; ","")&amp;IF(AE489=0,"No net area – gross used, overlaps may be double-counted; ","")&amp;IF(AH489=0,"STATUS_YR missing – imputed in time series; ","")&amp;IF(AND(ISNUMBER($I489),N($I489)&gt;Setup!$B$6),"STATUS_YR after reporting year; ","")&amp;IF(OR($G489="",$G489="Not Reported"),"GOV_TYPE not reported; ","")&amp;IF(AND(N($J489)=1,$K489="Point",N($M489)&lt;=0),"Coastal point without REP_M_AREA – land/sea split unknown; ","")&amp;IF(AND(N($J489)=0,N($S489)&gt;0),"MARINE=0 but net marine &gt;0; ","")&amp;IF(AND(N($J489)=2,N($R489)&gt;0),"MARINE=2 but net terrestrial &gt;0; ","")&amp;IF($K489="Point","Buffered point – coverage approximate; ","")))</f>
        <v/>
      </c>
    </row>
    <row r="490">
      <c r="A490" s="19" t="n"/>
      <c r="B490" s="19" t="n"/>
      <c r="C490" s="19" t="n"/>
      <c r="D490" s="19" t="n"/>
      <c r="E490" s="19" t="n"/>
      <c r="F490" s="19" t="n"/>
      <c r="G490" s="19" t="n"/>
      <c r="H490" s="19" t="n"/>
      <c r="I490" s="19" t="n"/>
      <c r="J490" s="19" t="n"/>
      <c r="K490" s="19" t="n"/>
      <c r="L490" s="20" t="n"/>
      <c r="M490" s="20" t="n"/>
      <c r="N490" s="20" t="n"/>
      <c r="O490" s="20" t="n"/>
      <c r="P490" s="19" t="n"/>
      <c r="Q490" s="19" t="n"/>
      <c r="R490" s="20" t="n"/>
      <c r="S490" s="20" t="n"/>
      <c r="T490" s="19" t="n"/>
      <c r="U490" s="19" t="n"/>
      <c r="V490" s="19" t="n"/>
      <c r="W490" s="19" t="n"/>
      <c r="X490" s="19" t="n"/>
      <c r="Y490" s="19" t="n"/>
      <c r="Z490" s="21">
        <f>IF(AND($A490="",$B490=""),"",IF(OR($E490="",$H490="",$H490="Proposed",$H490="Not Reported"),0,IF(AND($P490="Y",$Q490&lt;&gt;"Y"),0,IF(AND($K490="Point",N($L490)&lt;=0),0,IF(AND(N($L490)&lt;=0,N($N490)&lt;=0,N($R490)+N($S490)&lt;=0),0,1)))))</f>
        <v/>
      </c>
      <c r="AA490" s="21">
        <f>IF(AND($A490="",$B490=""),"",IF($E490="","Site type missing",IF($H490="","STATUS missing",IF($H490="Proposed","STATUS = Proposed",IF($H490="Not Reported","STATUS = Not Reported",IF(AND($P490="Y",$Q490&lt;&gt;"Y"),"UNESCO-MAB Biosphere Reserve",IF(AND($K490="Point",N($L490)&lt;=0),"Point without REP_AREA",IF(AND(N($L490)&lt;=0,N($N490)&lt;=0,N($R490)+N($S490)&lt;=0),"No area information",""))))))))</f>
        <v/>
      </c>
      <c r="AB490" s="22">
        <f>IF(AND($A490="",$B490=""),"",IF($K490="Point",N($L490),IF(N($N490)&gt;0,N($N490),N($L490))))</f>
        <v/>
      </c>
      <c r="AC490" s="22">
        <f>IF(AND($A490="",$B490=""),"",MIN(AB490,IF(N($J490)=0,0,IF(N($J490)=2,AB490,IF(AND($K490&lt;&gt;"Point",N($O490)&gt;0),N($O490),N($M490))))))</f>
        <v/>
      </c>
      <c r="AD490" s="22">
        <f>IF(AND($A490="",$B490=""),"",MAX(0,AB490-AC490))</f>
        <v/>
      </c>
      <c r="AE490" s="21">
        <f>IF(AND($A490="",$B490=""),"",IF(OR($R490&lt;&gt;"",$S490&lt;&gt;""),1,0))</f>
        <v/>
      </c>
      <c r="AF490" s="22">
        <f>IF(AND($A490="",$B490=""),"",IF(Z490=1,IF(AE490=1,N($R490),AD490),0))</f>
        <v/>
      </c>
      <c r="AG490" s="22">
        <f>IF(AND($A490="",$B490=""),"",IF(Z490=1,IF(AE490=1,N($S490),AC490),0))</f>
        <v/>
      </c>
      <c r="AH490" s="21">
        <f>IF(AND($A490="",$B490=""),"",IF(AND(ISNUMBER($I490),N($I490)&gt;0),$I490,0))</f>
        <v/>
      </c>
      <c r="AI490" s="23">
        <f>IF(AND(NOT(AND($A490="",$B490="")),$K490="Point",N($L490)&gt;0),SQRT(N($L490)/PI()),"")</f>
        <v/>
      </c>
      <c r="AJ490" s="21">
        <f>IF(AND($A490="",$B490=""),"",IFERROR(VLOOKUP($G490,Lists!$D$4:$E$15,2,FALSE),"Not reported"))</f>
        <v/>
      </c>
      <c r="AK490" s="21">
        <f>IF(AND($A490="",$B490=""),"",IF($X490&lt;&gt;"",$X490,IF($T490&lt;&gt;"Y","Not assessed",IF(AND(ISNUMBER($V490),Setup!$B$6-$V490&gt;Setup!$B$26),"Assessment outdated",IF(NOT(ISNUMBER($W490)),"Assessed – no score",IF($W490&gt;=Setup!$B$24,"High",IF($W490&gt;=Setup!$B$25,"Moderate","Low")))))))</f>
        <v/>
      </c>
      <c r="AL490" s="21">
        <f>IF(AND($A490="",$B490=""),"",IF(Z490=0,"",IF(AND(AE490=1,N($R490)&gt;AD490*1.01+0.001),"Net terrestrial &gt; gross; ","")&amp;IF(AND(AE490=1,N($S490)&gt;AC490*1.01+0.001),"Net marine &gt; gross; ","")&amp;IF(AE490=0,"No net area – gross used, overlaps may be double-counted; ","")&amp;IF(AH490=0,"STATUS_YR missing – imputed in time series; ","")&amp;IF(AND(ISNUMBER($I490),N($I490)&gt;Setup!$B$6),"STATUS_YR after reporting year; ","")&amp;IF(OR($G490="",$G490="Not Reported"),"GOV_TYPE not reported; ","")&amp;IF(AND(N($J490)=1,$K490="Point",N($M490)&lt;=0),"Coastal point without REP_M_AREA – land/sea split unknown; ","")&amp;IF(AND(N($J490)=0,N($S490)&gt;0),"MARINE=0 but net marine &gt;0; ","")&amp;IF(AND(N($J490)=2,N($R490)&gt;0),"MARINE=2 but net terrestrial &gt;0; ","")&amp;IF($K490="Point","Buffered point – coverage approximate; ","")))</f>
        <v/>
      </c>
    </row>
    <row r="491">
      <c r="A491" s="19" t="n"/>
      <c r="B491" s="19" t="n"/>
      <c r="C491" s="19" t="n"/>
      <c r="D491" s="19" t="n"/>
      <c r="E491" s="19" t="n"/>
      <c r="F491" s="19" t="n"/>
      <c r="G491" s="19" t="n"/>
      <c r="H491" s="19" t="n"/>
      <c r="I491" s="19" t="n"/>
      <c r="J491" s="19" t="n"/>
      <c r="K491" s="19" t="n"/>
      <c r="L491" s="20" t="n"/>
      <c r="M491" s="20" t="n"/>
      <c r="N491" s="20" t="n"/>
      <c r="O491" s="20" t="n"/>
      <c r="P491" s="19" t="n"/>
      <c r="Q491" s="19" t="n"/>
      <c r="R491" s="20" t="n"/>
      <c r="S491" s="20" t="n"/>
      <c r="T491" s="19" t="n"/>
      <c r="U491" s="19" t="n"/>
      <c r="V491" s="19" t="n"/>
      <c r="W491" s="19" t="n"/>
      <c r="X491" s="19" t="n"/>
      <c r="Y491" s="19" t="n"/>
      <c r="Z491" s="21">
        <f>IF(AND($A491="",$B491=""),"",IF(OR($E491="",$H491="",$H491="Proposed",$H491="Not Reported"),0,IF(AND($P491="Y",$Q491&lt;&gt;"Y"),0,IF(AND($K491="Point",N($L491)&lt;=0),0,IF(AND(N($L491)&lt;=0,N($N491)&lt;=0,N($R491)+N($S491)&lt;=0),0,1)))))</f>
        <v/>
      </c>
      <c r="AA491" s="21">
        <f>IF(AND($A491="",$B491=""),"",IF($E491="","Site type missing",IF($H491="","STATUS missing",IF($H491="Proposed","STATUS = Proposed",IF($H491="Not Reported","STATUS = Not Reported",IF(AND($P491="Y",$Q491&lt;&gt;"Y"),"UNESCO-MAB Biosphere Reserve",IF(AND($K491="Point",N($L491)&lt;=0),"Point without REP_AREA",IF(AND(N($L491)&lt;=0,N($N491)&lt;=0,N($R491)+N($S491)&lt;=0),"No area information",""))))))))</f>
        <v/>
      </c>
      <c r="AB491" s="22">
        <f>IF(AND($A491="",$B491=""),"",IF($K491="Point",N($L491),IF(N($N491)&gt;0,N($N491),N($L491))))</f>
        <v/>
      </c>
      <c r="AC491" s="22">
        <f>IF(AND($A491="",$B491=""),"",MIN(AB491,IF(N($J491)=0,0,IF(N($J491)=2,AB491,IF(AND($K491&lt;&gt;"Point",N($O491)&gt;0),N($O491),N($M491))))))</f>
        <v/>
      </c>
      <c r="AD491" s="22">
        <f>IF(AND($A491="",$B491=""),"",MAX(0,AB491-AC491))</f>
        <v/>
      </c>
      <c r="AE491" s="21">
        <f>IF(AND($A491="",$B491=""),"",IF(OR($R491&lt;&gt;"",$S491&lt;&gt;""),1,0))</f>
        <v/>
      </c>
      <c r="AF491" s="22">
        <f>IF(AND($A491="",$B491=""),"",IF(Z491=1,IF(AE491=1,N($R491),AD491),0))</f>
        <v/>
      </c>
      <c r="AG491" s="22">
        <f>IF(AND($A491="",$B491=""),"",IF(Z491=1,IF(AE491=1,N($S491),AC491),0))</f>
        <v/>
      </c>
      <c r="AH491" s="21">
        <f>IF(AND($A491="",$B491=""),"",IF(AND(ISNUMBER($I491),N($I491)&gt;0),$I491,0))</f>
        <v/>
      </c>
      <c r="AI491" s="23">
        <f>IF(AND(NOT(AND($A491="",$B491="")),$K491="Point",N($L491)&gt;0),SQRT(N($L491)/PI()),"")</f>
        <v/>
      </c>
      <c r="AJ491" s="21">
        <f>IF(AND($A491="",$B491=""),"",IFERROR(VLOOKUP($G491,Lists!$D$4:$E$15,2,FALSE),"Not reported"))</f>
        <v/>
      </c>
      <c r="AK491" s="21">
        <f>IF(AND($A491="",$B491=""),"",IF($X491&lt;&gt;"",$X491,IF($T491&lt;&gt;"Y","Not assessed",IF(AND(ISNUMBER($V491),Setup!$B$6-$V491&gt;Setup!$B$26),"Assessment outdated",IF(NOT(ISNUMBER($W491)),"Assessed – no score",IF($W491&gt;=Setup!$B$24,"High",IF($W491&gt;=Setup!$B$25,"Moderate","Low")))))))</f>
        <v/>
      </c>
      <c r="AL491" s="21">
        <f>IF(AND($A491="",$B491=""),"",IF(Z491=0,"",IF(AND(AE491=1,N($R491)&gt;AD491*1.01+0.001),"Net terrestrial &gt; gross; ","")&amp;IF(AND(AE491=1,N($S491)&gt;AC491*1.01+0.001),"Net marine &gt; gross; ","")&amp;IF(AE491=0,"No net area – gross used, overlaps may be double-counted; ","")&amp;IF(AH491=0,"STATUS_YR missing – imputed in time series; ","")&amp;IF(AND(ISNUMBER($I491),N($I491)&gt;Setup!$B$6),"STATUS_YR after reporting year; ","")&amp;IF(OR($G491="",$G491="Not Reported"),"GOV_TYPE not reported; ","")&amp;IF(AND(N($J491)=1,$K491="Point",N($M491)&lt;=0),"Coastal point without REP_M_AREA – land/sea split unknown; ","")&amp;IF(AND(N($J491)=0,N($S491)&gt;0),"MARINE=0 but net marine &gt;0; ","")&amp;IF(AND(N($J491)=2,N($R491)&gt;0),"MARINE=2 but net terrestrial &gt;0; ","")&amp;IF($K491="Point","Buffered point – coverage approximate; ","")))</f>
        <v/>
      </c>
    </row>
    <row r="492">
      <c r="A492" s="19" t="n"/>
      <c r="B492" s="19" t="n"/>
      <c r="C492" s="19" t="n"/>
      <c r="D492" s="19" t="n"/>
      <c r="E492" s="19" t="n"/>
      <c r="F492" s="19" t="n"/>
      <c r="G492" s="19" t="n"/>
      <c r="H492" s="19" t="n"/>
      <c r="I492" s="19" t="n"/>
      <c r="J492" s="19" t="n"/>
      <c r="K492" s="19" t="n"/>
      <c r="L492" s="20" t="n"/>
      <c r="M492" s="20" t="n"/>
      <c r="N492" s="20" t="n"/>
      <c r="O492" s="20" t="n"/>
      <c r="P492" s="19" t="n"/>
      <c r="Q492" s="19" t="n"/>
      <c r="R492" s="20" t="n"/>
      <c r="S492" s="20" t="n"/>
      <c r="T492" s="19" t="n"/>
      <c r="U492" s="19" t="n"/>
      <c r="V492" s="19" t="n"/>
      <c r="W492" s="19" t="n"/>
      <c r="X492" s="19" t="n"/>
      <c r="Y492" s="19" t="n"/>
      <c r="Z492" s="21">
        <f>IF(AND($A492="",$B492=""),"",IF(OR($E492="",$H492="",$H492="Proposed",$H492="Not Reported"),0,IF(AND($P492="Y",$Q492&lt;&gt;"Y"),0,IF(AND($K492="Point",N($L492)&lt;=0),0,IF(AND(N($L492)&lt;=0,N($N492)&lt;=0,N($R492)+N($S492)&lt;=0),0,1)))))</f>
        <v/>
      </c>
      <c r="AA492" s="21">
        <f>IF(AND($A492="",$B492=""),"",IF($E492="","Site type missing",IF($H492="","STATUS missing",IF($H492="Proposed","STATUS = Proposed",IF($H492="Not Reported","STATUS = Not Reported",IF(AND($P492="Y",$Q492&lt;&gt;"Y"),"UNESCO-MAB Biosphere Reserve",IF(AND($K492="Point",N($L492)&lt;=0),"Point without REP_AREA",IF(AND(N($L492)&lt;=0,N($N492)&lt;=0,N($R492)+N($S492)&lt;=0),"No area information",""))))))))</f>
        <v/>
      </c>
      <c r="AB492" s="22">
        <f>IF(AND($A492="",$B492=""),"",IF($K492="Point",N($L492),IF(N($N492)&gt;0,N($N492),N($L492))))</f>
        <v/>
      </c>
      <c r="AC492" s="22">
        <f>IF(AND($A492="",$B492=""),"",MIN(AB492,IF(N($J492)=0,0,IF(N($J492)=2,AB492,IF(AND($K492&lt;&gt;"Point",N($O492)&gt;0),N($O492),N($M492))))))</f>
        <v/>
      </c>
      <c r="AD492" s="22">
        <f>IF(AND($A492="",$B492=""),"",MAX(0,AB492-AC492))</f>
        <v/>
      </c>
      <c r="AE492" s="21">
        <f>IF(AND($A492="",$B492=""),"",IF(OR($R492&lt;&gt;"",$S492&lt;&gt;""),1,0))</f>
        <v/>
      </c>
      <c r="AF492" s="22">
        <f>IF(AND($A492="",$B492=""),"",IF(Z492=1,IF(AE492=1,N($R492),AD492),0))</f>
        <v/>
      </c>
      <c r="AG492" s="22">
        <f>IF(AND($A492="",$B492=""),"",IF(Z492=1,IF(AE492=1,N($S492),AC492),0))</f>
        <v/>
      </c>
      <c r="AH492" s="21">
        <f>IF(AND($A492="",$B492=""),"",IF(AND(ISNUMBER($I492),N($I492)&gt;0),$I492,0))</f>
        <v/>
      </c>
      <c r="AI492" s="23">
        <f>IF(AND(NOT(AND($A492="",$B492="")),$K492="Point",N($L492)&gt;0),SQRT(N($L492)/PI()),"")</f>
        <v/>
      </c>
      <c r="AJ492" s="21">
        <f>IF(AND($A492="",$B492=""),"",IFERROR(VLOOKUP($G492,Lists!$D$4:$E$15,2,FALSE),"Not reported"))</f>
        <v/>
      </c>
      <c r="AK492" s="21">
        <f>IF(AND($A492="",$B492=""),"",IF($X492&lt;&gt;"",$X492,IF($T492&lt;&gt;"Y","Not assessed",IF(AND(ISNUMBER($V492),Setup!$B$6-$V492&gt;Setup!$B$26),"Assessment outdated",IF(NOT(ISNUMBER($W492)),"Assessed – no score",IF($W492&gt;=Setup!$B$24,"High",IF($W492&gt;=Setup!$B$25,"Moderate","Low")))))))</f>
        <v/>
      </c>
      <c r="AL492" s="21">
        <f>IF(AND($A492="",$B492=""),"",IF(Z492=0,"",IF(AND(AE492=1,N($R492)&gt;AD492*1.01+0.001),"Net terrestrial &gt; gross; ","")&amp;IF(AND(AE492=1,N($S492)&gt;AC492*1.01+0.001),"Net marine &gt; gross; ","")&amp;IF(AE492=0,"No net area – gross used, overlaps may be double-counted; ","")&amp;IF(AH492=0,"STATUS_YR missing – imputed in time series; ","")&amp;IF(AND(ISNUMBER($I492),N($I492)&gt;Setup!$B$6),"STATUS_YR after reporting year; ","")&amp;IF(OR($G492="",$G492="Not Reported"),"GOV_TYPE not reported; ","")&amp;IF(AND(N($J492)=1,$K492="Point",N($M492)&lt;=0),"Coastal point without REP_M_AREA – land/sea split unknown; ","")&amp;IF(AND(N($J492)=0,N($S492)&gt;0),"MARINE=0 but net marine &gt;0; ","")&amp;IF(AND(N($J492)=2,N($R492)&gt;0),"MARINE=2 but net terrestrial &gt;0; ","")&amp;IF($K492="Point","Buffered point – coverage approximate; ","")))</f>
        <v/>
      </c>
    </row>
    <row r="493">
      <c r="A493" s="19" t="n"/>
      <c r="B493" s="19" t="n"/>
      <c r="C493" s="19" t="n"/>
      <c r="D493" s="19" t="n"/>
      <c r="E493" s="19" t="n"/>
      <c r="F493" s="19" t="n"/>
      <c r="G493" s="19" t="n"/>
      <c r="H493" s="19" t="n"/>
      <c r="I493" s="19" t="n"/>
      <c r="J493" s="19" t="n"/>
      <c r="K493" s="19" t="n"/>
      <c r="L493" s="20" t="n"/>
      <c r="M493" s="20" t="n"/>
      <c r="N493" s="20" t="n"/>
      <c r="O493" s="20" t="n"/>
      <c r="P493" s="19" t="n"/>
      <c r="Q493" s="19" t="n"/>
      <c r="R493" s="20" t="n"/>
      <c r="S493" s="20" t="n"/>
      <c r="T493" s="19" t="n"/>
      <c r="U493" s="19" t="n"/>
      <c r="V493" s="19" t="n"/>
      <c r="W493" s="19" t="n"/>
      <c r="X493" s="19" t="n"/>
      <c r="Y493" s="19" t="n"/>
      <c r="Z493" s="21">
        <f>IF(AND($A493="",$B493=""),"",IF(OR($E493="",$H493="",$H493="Proposed",$H493="Not Reported"),0,IF(AND($P493="Y",$Q493&lt;&gt;"Y"),0,IF(AND($K493="Point",N($L493)&lt;=0),0,IF(AND(N($L493)&lt;=0,N($N493)&lt;=0,N($R493)+N($S493)&lt;=0),0,1)))))</f>
        <v/>
      </c>
      <c r="AA493" s="21">
        <f>IF(AND($A493="",$B493=""),"",IF($E493="","Site type missing",IF($H493="","STATUS missing",IF($H493="Proposed","STATUS = Proposed",IF($H493="Not Reported","STATUS = Not Reported",IF(AND($P493="Y",$Q493&lt;&gt;"Y"),"UNESCO-MAB Biosphere Reserve",IF(AND($K493="Point",N($L493)&lt;=0),"Point without REP_AREA",IF(AND(N($L493)&lt;=0,N($N493)&lt;=0,N($R493)+N($S493)&lt;=0),"No area information",""))))))))</f>
        <v/>
      </c>
      <c r="AB493" s="22">
        <f>IF(AND($A493="",$B493=""),"",IF($K493="Point",N($L493),IF(N($N493)&gt;0,N($N493),N($L493))))</f>
        <v/>
      </c>
      <c r="AC493" s="22">
        <f>IF(AND($A493="",$B493=""),"",MIN(AB493,IF(N($J493)=0,0,IF(N($J493)=2,AB493,IF(AND($K493&lt;&gt;"Point",N($O493)&gt;0),N($O493),N($M493))))))</f>
        <v/>
      </c>
      <c r="AD493" s="22">
        <f>IF(AND($A493="",$B493=""),"",MAX(0,AB493-AC493))</f>
        <v/>
      </c>
      <c r="AE493" s="21">
        <f>IF(AND($A493="",$B493=""),"",IF(OR($R493&lt;&gt;"",$S493&lt;&gt;""),1,0))</f>
        <v/>
      </c>
      <c r="AF493" s="22">
        <f>IF(AND($A493="",$B493=""),"",IF(Z493=1,IF(AE493=1,N($R493),AD493),0))</f>
        <v/>
      </c>
      <c r="AG493" s="22">
        <f>IF(AND($A493="",$B493=""),"",IF(Z493=1,IF(AE493=1,N($S493),AC493),0))</f>
        <v/>
      </c>
      <c r="AH493" s="21">
        <f>IF(AND($A493="",$B493=""),"",IF(AND(ISNUMBER($I493),N($I493)&gt;0),$I493,0))</f>
        <v/>
      </c>
      <c r="AI493" s="23">
        <f>IF(AND(NOT(AND($A493="",$B493="")),$K493="Point",N($L493)&gt;0),SQRT(N($L493)/PI()),"")</f>
        <v/>
      </c>
      <c r="AJ493" s="21">
        <f>IF(AND($A493="",$B493=""),"",IFERROR(VLOOKUP($G493,Lists!$D$4:$E$15,2,FALSE),"Not reported"))</f>
        <v/>
      </c>
      <c r="AK493" s="21">
        <f>IF(AND($A493="",$B493=""),"",IF($X493&lt;&gt;"",$X493,IF($T493&lt;&gt;"Y","Not assessed",IF(AND(ISNUMBER($V493),Setup!$B$6-$V493&gt;Setup!$B$26),"Assessment outdated",IF(NOT(ISNUMBER($W493)),"Assessed – no score",IF($W493&gt;=Setup!$B$24,"High",IF($W493&gt;=Setup!$B$25,"Moderate","Low")))))))</f>
        <v/>
      </c>
      <c r="AL493" s="21">
        <f>IF(AND($A493="",$B493=""),"",IF(Z493=0,"",IF(AND(AE493=1,N($R493)&gt;AD493*1.01+0.001),"Net terrestrial &gt; gross; ","")&amp;IF(AND(AE493=1,N($S493)&gt;AC493*1.01+0.001),"Net marine &gt; gross; ","")&amp;IF(AE493=0,"No net area – gross used, overlaps may be double-counted; ","")&amp;IF(AH493=0,"STATUS_YR missing – imputed in time series; ","")&amp;IF(AND(ISNUMBER($I493),N($I493)&gt;Setup!$B$6),"STATUS_YR after reporting year; ","")&amp;IF(OR($G493="",$G493="Not Reported"),"GOV_TYPE not reported; ","")&amp;IF(AND(N($J493)=1,$K493="Point",N($M493)&lt;=0),"Coastal point without REP_M_AREA – land/sea split unknown; ","")&amp;IF(AND(N($J493)=0,N($S493)&gt;0),"MARINE=0 but net marine &gt;0; ","")&amp;IF(AND(N($J493)=2,N($R493)&gt;0),"MARINE=2 but net terrestrial &gt;0; ","")&amp;IF($K493="Point","Buffered point – coverage approximate; ","")))</f>
        <v/>
      </c>
    </row>
    <row r="494">
      <c r="A494" s="19" t="n"/>
      <c r="B494" s="19" t="n"/>
      <c r="C494" s="19" t="n"/>
      <c r="D494" s="19" t="n"/>
      <c r="E494" s="19" t="n"/>
      <c r="F494" s="19" t="n"/>
      <c r="G494" s="19" t="n"/>
      <c r="H494" s="19" t="n"/>
      <c r="I494" s="19" t="n"/>
      <c r="J494" s="19" t="n"/>
      <c r="K494" s="19" t="n"/>
      <c r="L494" s="20" t="n"/>
      <c r="M494" s="20" t="n"/>
      <c r="N494" s="20" t="n"/>
      <c r="O494" s="20" t="n"/>
      <c r="P494" s="19" t="n"/>
      <c r="Q494" s="19" t="n"/>
      <c r="R494" s="20" t="n"/>
      <c r="S494" s="20" t="n"/>
      <c r="T494" s="19" t="n"/>
      <c r="U494" s="19" t="n"/>
      <c r="V494" s="19" t="n"/>
      <c r="W494" s="19" t="n"/>
      <c r="X494" s="19" t="n"/>
      <c r="Y494" s="19" t="n"/>
      <c r="Z494" s="21">
        <f>IF(AND($A494="",$B494=""),"",IF(OR($E494="",$H494="",$H494="Proposed",$H494="Not Reported"),0,IF(AND($P494="Y",$Q494&lt;&gt;"Y"),0,IF(AND($K494="Point",N($L494)&lt;=0),0,IF(AND(N($L494)&lt;=0,N($N494)&lt;=0,N($R494)+N($S494)&lt;=0),0,1)))))</f>
        <v/>
      </c>
      <c r="AA494" s="21">
        <f>IF(AND($A494="",$B494=""),"",IF($E494="","Site type missing",IF($H494="","STATUS missing",IF($H494="Proposed","STATUS = Proposed",IF($H494="Not Reported","STATUS = Not Reported",IF(AND($P494="Y",$Q494&lt;&gt;"Y"),"UNESCO-MAB Biosphere Reserve",IF(AND($K494="Point",N($L494)&lt;=0),"Point without REP_AREA",IF(AND(N($L494)&lt;=0,N($N494)&lt;=0,N($R494)+N($S494)&lt;=0),"No area information",""))))))))</f>
        <v/>
      </c>
      <c r="AB494" s="22">
        <f>IF(AND($A494="",$B494=""),"",IF($K494="Point",N($L494),IF(N($N494)&gt;0,N($N494),N($L494))))</f>
        <v/>
      </c>
      <c r="AC494" s="22">
        <f>IF(AND($A494="",$B494=""),"",MIN(AB494,IF(N($J494)=0,0,IF(N($J494)=2,AB494,IF(AND($K494&lt;&gt;"Point",N($O494)&gt;0),N($O494),N($M494))))))</f>
        <v/>
      </c>
      <c r="AD494" s="22">
        <f>IF(AND($A494="",$B494=""),"",MAX(0,AB494-AC494))</f>
        <v/>
      </c>
      <c r="AE494" s="21">
        <f>IF(AND($A494="",$B494=""),"",IF(OR($R494&lt;&gt;"",$S494&lt;&gt;""),1,0))</f>
        <v/>
      </c>
      <c r="AF494" s="22">
        <f>IF(AND($A494="",$B494=""),"",IF(Z494=1,IF(AE494=1,N($R494),AD494),0))</f>
        <v/>
      </c>
      <c r="AG494" s="22">
        <f>IF(AND($A494="",$B494=""),"",IF(Z494=1,IF(AE494=1,N($S494),AC494),0))</f>
        <v/>
      </c>
      <c r="AH494" s="21">
        <f>IF(AND($A494="",$B494=""),"",IF(AND(ISNUMBER($I494),N($I494)&gt;0),$I494,0))</f>
        <v/>
      </c>
      <c r="AI494" s="23">
        <f>IF(AND(NOT(AND($A494="",$B494="")),$K494="Point",N($L494)&gt;0),SQRT(N($L494)/PI()),"")</f>
        <v/>
      </c>
      <c r="AJ494" s="21">
        <f>IF(AND($A494="",$B494=""),"",IFERROR(VLOOKUP($G494,Lists!$D$4:$E$15,2,FALSE),"Not reported"))</f>
        <v/>
      </c>
      <c r="AK494" s="21">
        <f>IF(AND($A494="",$B494=""),"",IF($X494&lt;&gt;"",$X494,IF($T494&lt;&gt;"Y","Not assessed",IF(AND(ISNUMBER($V494),Setup!$B$6-$V494&gt;Setup!$B$26),"Assessment outdated",IF(NOT(ISNUMBER($W494)),"Assessed – no score",IF($W494&gt;=Setup!$B$24,"High",IF($W494&gt;=Setup!$B$25,"Moderate","Low")))))))</f>
        <v/>
      </c>
      <c r="AL494" s="21">
        <f>IF(AND($A494="",$B494=""),"",IF(Z494=0,"",IF(AND(AE494=1,N($R494)&gt;AD494*1.01+0.001),"Net terrestrial &gt; gross; ","")&amp;IF(AND(AE494=1,N($S494)&gt;AC494*1.01+0.001),"Net marine &gt; gross; ","")&amp;IF(AE494=0,"No net area – gross used, overlaps may be double-counted; ","")&amp;IF(AH494=0,"STATUS_YR missing – imputed in time series; ","")&amp;IF(AND(ISNUMBER($I494),N($I494)&gt;Setup!$B$6),"STATUS_YR after reporting year; ","")&amp;IF(OR($G494="",$G494="Not Reported"),"GOV_TYPE not reported; ","")&amp;IF(AND(N($J494)=1,$K494="Point",N($M494)&lt;=0),"Coastal point without REP_M_AREA – land/sea split unknown; ","")&amp;IF(AND(N($J494)=0,N($S494)&gt;0),"MARINE=0 but net marine &gt;0; ","")&amp;IF(AND(N($J494)=2,N($R494)&gt;0),"MARINE=2 but net terrestrial &gt;0; ","")&amp;IF($K494="Point","Buffered point – coverage approximate; ","")))</f>
        <v/>
      </c>
    </row>
    <row r="495">
      <c r="A495" s="19" t="n"/>
      <c r="B495" s="19" t="n"/>
      <c r="C495" s="19" t="n"/>
      <c r="D495" s="19" t="n"/>
      <c r="E495" s="19" t="n"/>
      <c r="F495" s="19" t="n"/>
      <c r="G495" s="19" t="n"/>
      <c r="H495" s="19" t="n"/>
      <c r="I495" s="19" t="n"/>
      <c r="J495" s="19" t="n"/>
      <c r="K495" s="19" t="n"/>
      <c r="L495" s="20" t="n"/>
      <c r="M495" s="20" t="n"/>
      <c r="N495" s="20" t="n"/>
      <c r="O495" s="20" t="n"/>
      <c r="P495" s="19" t="n"/>
      <c r="Q495" s="19" t="n"/>
      <c r="R495" s="20" t="n"/>
      <c r="S495" s="20" t="n"/>
      <c r="T495" s="19" t="n"/>
      <c r="U495" s="19" t="n"/>
      <c r="V495" s="19" t="n"/>
      <c r="W495" s="19" t="n"/>
      <c r="X495" s="19" t="n"/>
      <c r="Y495" s="19" t="n"/>
      <c r="Z495" s="21">
        <f>IF(AND($A495="",$B495=""),"",IF(OR($E495="",$H495="",$H495="Proposed",$H495="Not Reported"),0,IF(AND($P495="Y",$Q495&lt;&gt;"Y"),0,IF(AND($K495="Point",N($L495)&lt;=0),0,IF(AND(N($L495)&lt;=0,N($N495)&lt;=0,N($R495)+N($S495)&lt;=0),0,1)))))</f>
        <v/>
      </c>
      <c r="AA495" s="21">
        <f>IF(AND($A495="",$B495=""),"",IF($E495="","Site type missing",IF($H495="","STATUS missing",IF($H495="Proposed","STATUS = Proposed",IF($H495="Not Reported","STATUS = Not Reported",IF(AND($P495="Y",$Q495&lt;&gt;"Y"),"UNESCO-MAB Biosphere Reserve",IF(AND($K495="Point",N($L495)&lt;=0),"Point without REP_AREA",IF(AND(N($L495)&lt;=0,N($N495)&lt;=0,N($R495)+N($S495)&lt;=0),"No area information",""))))))))</f>
        <v/>
      </c>
      <c r="AB495" s="22">
        <f>IF(AND($A495="",$B495=""),"",IF($K495="Point",N($L495),IF(N($N495)&gt;0,N($N495),N($L495))))</f>
        <v/>
      </c>
      <c r="AC495" s="22">
        <f>IF(AND($A495="",$B495=""),"",MIN(AB495,IF(N($J495)=0,0,IF(N($J495)=2,AB495,IF(AND($K495&lt;&gt;"Point",N($O495)&gt;0),N($O495),N($M495))))))</f>
        <v/>
      </c>
      <c r="AD495" s="22">
        <f>IF(AND($A495="",$B495=""),"",MAX(0,AB495-AC495))</f>
        <v/>
      </c>
      <c r="AE495" s="21">
        <f>IF(AND($A495="",$B495=""),"",IF(OR($R495&lt;&gt;"",$S495&lt;&gt;""),1,0))</f>
        <v/>
      </c>
      <c r="AF495" s="22">
        <f>IF(AND($A495="",$B495=""),"",IF(Z495=1,IF(AE495=1,N($R495),AD495),0))</f>
        <v/>
      </c>
      <c r="AG495" s="22">
        <f>IF(AND($A495="",$B495=""),"",IF(Z495=1,IF(AE495=1,N($S495),AC495),0))</f>
        <v/>
      </c>
      <c r="AH495" s="21">
        <f>IF(AND($A495="",$B495=""),"",IF(AND(ISNUMBER($I495),N($I495)&gt;0),$I495,0))</f>
        <v/>
      </c>
      <c r="AI495" s="23">
        <f>IF(AND(NOT(AND($A495="",$B495="")),$K495="Point",N($L495)&gt;0),SQRT(N($L495)/PI()),"")</f>
        <v/>
      </c>
      <c r="AJ495" s="21">
        <f>IF(AND($A495="",$B495=""),"",IFERROR(VLOOKUP($G495,Lists!$D$4:$E$15,2,FALSE),"Not reported"))</f>
        <v/>
      </c>
      <c r="AK495" s="21">
        <f>IF(AND($A495="",$B495=""),"",IF($X495&lt;&gt;"",$X495,IF($T495&lt;&gt;"Y","Not assessed",IF(AND(ISNUMBER($V495),Setup!$B$6-$V495&gt;Setup!$B$26),"Assessment outdated",IF(NOT(ISNUMBER($W495)),"Assessed – no score",IF($W495&gt;=Setup!$B$24,"High",IF($W495&gt;=Setup!$B$25,"Moderate","Low")))))))</f>
        <v/>
      </c>
      <c r="AL495" s="21">
        <f>IF(AND($A495="",$B495=""),"",IF(Z495=0,"",IF(AND(AE495=1,N($R495)&gt;AD495*1.01+0.001),"Net terrestrial &gt; gross; ","")&amp;IF(AND(AE495=1,N($S495)&gt;AC495*1.01+0.001),"Net marine &gt; gross; ","")&amp;IF(AE495=0,"No net area – gross used, overlaps may be double-counted; ","")&amp;IF(AH495=0,"STATUS_YR missing – imputed in time series; ","")&amp;IF(AND(ISNUMBER($I495),N($I495)&gt;Setup!$B$6),"STATUS_YR after reporting year; ","")&amp;IF(OR($G495="",$G495="Not Reported"),"GOV_TYPE not reported; ","")&amp;IF(AND(N($J495)=1,$K495="Point",N($M495)&lt;=0),"Coastal point without REP_M_AREA – land/sea split unknown; ","")&amp;IF(AND(N($J495)=0,N($S495)&gt;0),"MARINE=0 but net marine &gt;0; ","")&amp;IF(AND(N($J495)=2,N($R495)&gt;0),"MARINE=2 but net terrestrial &gt;0; ","")&amp;IF($K495="Point","Buffered point – coverage approximate; ","")))</f>
        <v/>
      </c>
    </row>
    <row r="496">
      <c r="A496" s="19" t="n"/>
      <c r="B496" s="19" t="n"/>
      <c r="C496" s="19" t="n"/>
      <c r="D496" s="19" t="n"/>
      <c r="E496" s="19" t="n"/>
      <c r="F496" s="19" t="n"/>
      <c r="G496" s="19" t="n"/>
      <c r="H496" s="19" t="n"/>
      <c r="I496" s="19" t="n"/>
      <c r="J496" s="19" t="n"/>
      <c r="K496" s="19" t="n"/>
      <c r="L496" s="20" t="n"/>
      <c r="M496" s="20" t="n"/>
      <c r="N496" s="20" t="n"/>
      <c r="O496" s="20" t="n"/>
      <c r="P496" s="19" t="n"/>
      <c r="Q496" s="19" t="n"/>
      <c r="R496" s="20" t="n"/>
      <c r="S496" s="20" t="n"/>
      <c r="T496" s="19" t="n"/>
      <c r="U496" s="19" t="n"/>
      <c r="V496" s="19" t="n"/>
      <c r="W496" s="19" t="n"/>
      <c r="X496" s="19" t="n"/>
      <c r="Y496" s="19" t="n"/>
      <c r="Z496" s="21">
        <f>IF(AND($A496="",$B496=""),"",IF(OR($E496="",$H496="",$H496="Proposed",$H496="Not Reported"),0,IF(AND($P496="Y",$Q496&lt;&gt;"Y"),0,IF(AND($K496="Point",N($L496)&lt;=0),0,IF(AND(N($L496)&lt;=0,N($N496)&lt;=0,N($R496)+N($S496)&lt;=0),0,1)))))</f>
        <v/>
      </c>
      <c r="AA496" s="21">
        <f>IF(AND($A496="",$B496=""),"",IF($E496="","Site type missing",IF($H496="","STATUS missing",IF($H496="Proposed","STATUS = Proposed",IF($H496="Not Reported","STATUS = Not Reported",IF(AND($P496="Y",$Q496&lt;&gt;"Y"),"UNESCO-MAB Biosphere Reserve",IF(AND($K496="Point",N($L496)&lt;=0),"Point without REP_AREA",IF(AND(N($L496)&lt;=0,N($N496)&lt;=0,N($R496)+N($S496)&lt;=0),"No area information",""))))))))</f>
        <v/>
      </c>
      <c r="AB496" s="22">
        <f>IF(AND($A496="",$B496=""),"",IF($K496="Point",N($L496),IF(N($N496)&gt;0,N($N496),N($L496))))</f>
        <v/>
      </c>
      <c r="AC496" s="22">
        <f>IF(AND($A496="",$B496=""),"",MIN(AB496,IF(N($J496)=0,0,IF(N($J496)=2,AB496,IF(AND($K496&lt;&gt;"Point",N($O496)&gt;0),N($O496),N($M496))))))</f>
        <v/>
      </c>
      <c r="AD496" s="22">
        <f>IF(AND($A496="",$B496=""),"",MAX(0,AB496-AC496))</f>
        <v/>
      </c>
      <c r="AE496" s="21">
        <f>IF(AND($A496="",$B496=""),"",IF(OR($R496&lt;&gt;"",$S496&lt;&gt;""),1,0))</f>
        <v/>
      </c>
      <c r="AF496" s="22">
        <f>IF(AND($A496="",$B496=""),"",IF(Z496=1,IF(AE496=1,N($R496),AD496),0))</f>
        <v/>
      </c>
      <c r="AG496" s="22">
        <f>IF(AND($A496="",$B496=""),"",IF(Z496=1,IF(AE496=1,N($S496),AC496),0))</f>
        <v/>
      </c>
      <c r="AH496" s="21">
        <f>IF(AND($A496="",$B496=""),"",IF(AND(ISNUMBER($I496),N($I496)&gt;0),$I496,0))</f>
        <v/>
      </c>
      <c r="AI496" s="23">
        <f>IF(AND(NOT(AND($A496="",$B496="")),$K496="Point",N($L496)&gt;0),SQRT(N($L496)/PI()),"")</f>
        <v/>
      </c>
      <c r="AJ496" s="21">
        <f>IF(AND($A496="",$B496=""),"",IFERROR(VLOOKUP($G496,Lists!$D$4:$E$15,2,FALSE),"Not reported"))</f>
        <v/>
      </c>
      <c r="AK496" s="21">
        <f>IF(AND($A496="",$B496=""),"",IF($X496&lt;&gt;"",$X496,IF($T496&lt;&gt;"Y","Not assessed",IF(AND(ISNUMBER($V496),Setup!$B$6-$V496&gt;Setup!$B$26),"Assessment outdated",IF(NOT(ISNUMBER($W496)),"Assessed – no score",IF($W496&gt;=Setup!$B$24,"High",IF($W496&gt;=Setup!$B$25,"Moderate","Low")))))))</f>
        <v/>
      </c>
      <c r="AL496" s="21">
        <f>IF(AND($A496="",$B496=""),"",IF(Z496=0,"",IF(AND(AE496=1,N($R496)&gt;AD496*1.01+0.001),"Net terrestrial &gt; gross; ","")&amp;IF(AND(AE496=1,N($S496)&gt;AC496*1.01+0.001),"Net marine &gt; gross; ","")&amp;IF(AE496=0,"No net area – gross used, overlaps may be double-counted; ","")&amp;IF(AH496=0,"STATUS_YR missing – imputed in time series; ","")&amp;IF(AND(ISNUMBER($I496),N($I496)&gt;Setup!$B$6),"STATUS_YR after reporting year; ","")&amp;IF(OR($G496="",$G496="Not Reported"),"GOV_TYPE not reported; ","")&amp;IF(AND(N($J496)=1,$K496="Point",N($M496)&lt;=0),"Coastal point without REP_M_AREA – land/sea split unknown; ","")&amp;IF(AND(N($J496)=0,N($S496)&gt;0),"MARINE=0 but net marine &gt;0; ","")&amp;IF(AND(N($J496)=2,N($R496)&gt;0),"MARINE=2 but net terrestrial &gt;0; ","")&amp;IF($K496="Point","Buffered point – coverage approximate; ","")))</f>
        <v/>
      </c>
    </row>
    <row r="497">
      <c r="A497" s="19" t="n"/>
      <c r="B497" s="19" t="n"/>
      <c r="C497" s="19" t="n"/>
      <c r="D497" s="19" t="n"/>
      <c r="E497" s="19" t="n"/>
      <c r="F497" s="19" t="n"/>
      <c r="G497" s="19" t="n"/>
      <c r="H497" s="19" t="n"/>
      <c r="I497" s="19" t="n"/>
      <c r="J497" s="19" t="n"/>
      <c r="K497" s="19" t="n"/>
      <c r="L497" s="20" t="n"/>
      <c r="M497" s="20" t="n"/>
      <c r="N497" s="20" t="n"/>
      <c r="O497" s="20" t="n"/>
      <c r="P497" s="19" t="n"/>
      <c r="Q497" s="19" t="n"/>
      <c r="R497" s="20" t="n"/>
      <c r="S497" s="20" t="n"/>
      <c r="T497" s="19" t="n"/>
      <c r="U497" s="19" t="n"/>
      <c r="V497" s="19" t="n"/>
      <c r="W497" s="19" t="n"/>
      <c r="X497" s="19" t="n"/>
      <c r="Y497" s="19" t="n"/>
      <c r="Z497" s="21">
        <f>IF(AND($A497="",$B497=""),"",IF(OR($E497="",$H497="",$H497="Proposed",$H497="Not Reported"),0,IF(AND($P497="Y",$Q497&lt;&gt;"Y"),0,IF(AND($K497="Point",N($L497)&lt;=0),0,IF(AND(N($L497)&lt;=0,N($N497)&lt;=0,N($R497)+N($S497)&lt;=0),0,1)))))</f>
        <v/>
      </c>
      <c r="AA497" s="21">
        <f>IF(AND($A497="",$B497=""),"",IF($E497="","Site type missing",IF($H497="","STATUS missing",IF($H497="Proposed","STATUS = Proposed",IF($H497="Not Reported","STATUS = Not Reported",IF(AND($P497="Y",$Q497&lt;&gt;"Y"),"UNESCO-MAB Biosphere Reserve",IF(AND($K497="Point",N($L497)&lt;=0),"Point without REP_AREA",IF(AND(N($L497)&lt;=0,N($N497)&lt;=0,N($R497)+N($S497)&lt;=0),"No area information",""))))))))</f>
        <v/>
      </c>
      <c r="AB497" s="22">
        <f>IF(AND($A497="",$B497=""),"",IF($K497="Point",N($L497),IF(N($N497)&gt;0,N($N497),N($L497))))</f>
        <v/>
      </c>
      <c r="AC497" s="22">
        <f>IF(AND($A497="",$B497=""),"",MIN(AB497,IF(N($J497)=0,0,IF(N($J497)=2,AB497,IF(AND($K497&lt;&gt;"Point",N($O497)&gt;0),N($O497),N($M497))))))</f>
        <v/>
      </c>
      <c r="AD497" s="22">
        <f>IF(AND($A497="",$B497=""),"",MAX(0,AB497-AC497))</f>
        <v/>
      </c>
      <c r="AE497" s="21">
        <f>IF(AND($A497="",$B497=""),"",IF(OR($R497&lt;&gt;"",$S497&lt;&gt;""),1,0))</f>
        <v/>
      </c>
      <c r="AF497" s="22">
        <f>IF(AND($A497="",$B497=""),"",IF(Z497=1,IF(AE497=1,N($R497),AD497),0))</f>
        <v/>
      </c>
      <c r="AG497" s="22">
        <f>IF(AND($A497="",$B497=""),"",IF(Z497=1,IF(AE497=1,N($S497),AC497),0))</f>
        <v/>
      </c>
      <c r="AH497" s="21">
        <f>IF(AND($A497="",$B497=""),"",IF(AND(ISNUMBER($I497),N($I497)&gt;0),$I497,0))</f>
        <v/>
      </c>
      <c r="AI497" s="23">
        <f>IF(AND(NOT(AND($A497="",$B497="")),$K497="Point",N($L497)&gt;0),SQRT(N($L497)/PI()),"")</f>
        <v/>
      </c>
      <c r="AJ497" s="21">
        <f>IF(AND($A497="",$B497=""),"",IFERROR(VLOOKUP($G497,Lists!$D$4:$E$15,2,FALSE),"Not reported"))</f>
        <v/>
      </c>
      <c r="AK497" s="21">
        <f>IF(AND($A497="",$B497=""),"",IF($X497&lt;&gt;"",$X497,IF($T497&lt;&gt;"Y","Not assessed",IF(AND(ISNUMBER($V497),Setup!$B$6-$V497&gt;Setup!$B$26),"Assessment outdated",IF(NOT(ISNUMBER($W497)),"Assessed – no score",IF($W497&gt;=Setup!$B$24,"High",IF($W497&gt;=Setup!$B$25,"Moderate","Low")))))))</f>
        <v/>
      </c>
      <c r="AL497" s="21">
        <f>IF(AND($A497="",$B497=""),"",IF(Z497=0,"",IF(AND(AE497=1,N($R497)&gt;AD497*1.01+0.001),"Net terrestrial &gt; gross; ","")&amp;IF(AND(AE497=1,N($S497)&gt;AC497*1.01+0.001),"Net marine &gt; gross; ","")&amp;IF(AE497=0,"No net area – gross used, overlaps may be double-counted; ","")&amp;IF(AH497=0,"STATUS_YR missing – imputed in time series; ","")&amp;IF(AND(ISNUMBER($I497),N($I497)&gt;Setup!$B$6),"STATUS_YR after reporting year; ","")&amp;IF(OR($G497="",$G497="Not Reported"),"GOV_TYPE not reported; ","")&amp;IF(AND(N($J497)=1,$K497="Point",N($M497)&lt;=0),"Coastal point without REP_M_AREA – land/sea split unknown; ","")&amp;IF(AND(N($J497)=0,N($S497)&gt;0),"MARINE=0 but net marine &gt;0; ","")&amp;IF(AND(N($J497)=2,N($R497)&gt;0),"MARINE=2 but net terrestrial &gt;0; ","")&amp;IF($K497="Point","Buffered point – coverage approximate; ","")))</f>
        <v/>
      </c>
    </row>
    <row r="498">
      <c r="A498" s="19" t="n"/>
      <c r="B498" s="19" t="n"/>
      <c r="C498" s="19" t="n"/>
      <c r="D498" s="19" t="n"/>
      <c r="E498" s="19" t="n"/>
      <c r="F498" s="19" t="n"/>
      <c r="G498" s="19" t="n"/>
      <c r="H498" s="19" t="n"/>
      <c r="I498" s="19" t="n"/>
      <c r="J498" s="19" t="n"/>
      <c r="K498" s="19" t="n"/>
      <c r="L498" s="20" t="n"/>
      <c r="M498" s="20" t="n"/>
      <c r="N498" s="20" t="n"/>
      <c r="O498" s="20" t="n"/>
      <c r="P498" s="19" t="n"/>
      <c r="Q498" s="19" t="n"/>
      <c r="R498" s="20" t="n"/>
      <c r="S498" s="20" t="n"/>
      <c r="T498" s="19" t="n"/>
      <c r="U498" s="19" t="n"/>
      <c r="V498" s="19" t="n"/>
      <c r="W498" s="19" t="n"/>
      <c r="X498" s="19" t="n"/>
      <c r="Y498" s="19" t="n"/>
      <c r="Z498" s="21">
        <f>IF(AND($A498="",$B498=""),"",IF(OR($E498="",$H498="",$H498="Proposed",$H498="Not Reported"),0,IF(AND($P498="Y",$Q498&lt;&gt;"Y"),0,IF(AND($K498="Point",N($L498)&lt;=0),0,IF(AND(N($L498)&lt;=0,N($N498)&lt;=0,N($R498)+N($S498)&lt;=0),0,1)))))</f>
        <v/>
      </c>
      <c r="AA498" s="21">
        <f>IF(AND($A498="",$B498=""),"",IF($E498="","Site type missing",IF($H498="","STATUS missing",IF($H498="Proposed","STATUS = Proposed",IF($H498="Not Reported","STATUS = Not Reported",IF(AND($P498="Y",$Q498&lt;&gt;"Y"),"UNESCO-MAB Biosphere Reserve",IF(AND($K498="Point",N($L498)&lt;=0),"Point without REP_AREA",IF(AND(N($L498)&lt;=0,N($N498)&lt;=0,N($R498)+N($S498)&lt;=0),"No area information",""))))))))</f>
        <v/>
      </c>
      <c r="AB498" s="22">
        <f>IF(AND($A498="",$B498=""),"",IF($K498="Point",N($L498),IF(N($N498)&gt;0,N($N498),N($L498))))</f>
        <v/>
      </c>
      <c r="AC498" s="22">
        <f>IF(AND($A498="",$B498=""),"",MIN(AB498,IF(N($J498)=0,0,IF(N($J498)=2,AB498,IF(AND($K498&lt;&gt;"Point",N($O498)&gt;0),N($O498),N($M498))))))</f>
        <v/>
      </c>
      <c r="AD498" s="22">
        <f>IF(AND($A498="",$B498=""),"",MAX(0,AB498-AC498))</f>
        <v/>
      </c>
      <c r="AE498" s="21">
        <f>IF(AND($A498="",$B498=""),"",IF(OR($R498&lt;&gt;"",$S498&lt;&gt;""),1,0))</f>
        <v/>
      </c>
      <c r="AF498" s="22">
        <f>IF(AND($A498="",$B498=""),"",IF(Z498=1,IF(AE498=1,N($R498),AD498),0))</f>
        <v/>
      </c>
      <c r="AG498" s="22">
        <f>IF(AND($A498="",$B498=""),"",IF(Z498=1,IF(AE498=1,N($S498),AC498),0))</f>
        <v/>
      </c>
      <c r="AH498" s="21">
        <f>IF(AND($A498="",$B498=""),"",IF(AND(ISNUMBER($I498),N($I498)&gt;0),$I498,0))</f>
        <v/>
      </c>
      <c r="AI498" s="23">
        <f>IF(AND(NOT(AND($A498="",$B498="")),$K498="Point",N($L498)&gt;0),SQRT(N($L498)/PI()),"")</f>
        <v/>
      </c>
      <c r="AJ498" s="21">
        <f>IF(AND($A498="",$B498=""),"",IFERROR(VLOOKUP($G498,Lists!$D$4:$E$15,2,FALSE),"Not reported"))</f>
        <v/>
      </c>
      <c r="AK498" s="21">
        <f>IF(AND($A498="",$B498=""),"",IF($X498&lt;&gt;"",$X498,IF($T498&lt;&gt;"Y","Not assessed",IF(AND(ISNUMBER($V498),Setup!$B$6-$V498&gt;Setup!$B$26),"Assessment outdated",IF(NOT(ISNUMBER($W498)),"Assessed – no score",IF($W498&gt;=Setup!$B$24,"High",IF($W498&gt;=Setup!$B$25,"Moderate","Low")))))))</f>
        <v/>
      </c>
      <c r="AL498" s="21">
        <f>IF(AND($A498="",$B498=""),"",IF(Z498=0,"",IF(AND(AE498=1,N($R498)&gt;AD498*1.01+0.001),"Net terrestrial &gt; gross; ","")&amp;IF(AND(AE498=1,N($S498)&gt;AC498*1.01+0.001),"Net marine &gt; gross; ","")&amp;IF(AE498=0,"No net area – gross used, overlaps may be double-counted; ","")&amp;IF(AH498=0,"STATUS_YR missing – imputed in time series; ","")&amp;IF(AND(ISNUMBER($I498),N($I498)&gt;Setup!$B$6),"STATUS_YR after reporting year; ","")&amp;IF(OR($G498="",$G498="Not Reported"),"GOV_TYPE not reported; ","")&amp;IF(AND(N($J498)=1,$K498="Point",N($M498)&lt;=0),"Coastal point without REP_M_AREA – land/sea split unknown; ","")&amp;IF(AND(N($J498)=0,N($S498)&gt;0),"MARINE=0 but net marine &gt;0; ","")&amp;IF(AND(N($J498)=2,N($R498)&gt;0),"MARINE=2 but net terrestrial &gt;0; ","")&amp;IF($K498="Point","Buffered point – coverage approximate; ","")))</f>
        <v/>
      </c>
    </row>
    <row r="499">
      <c r="A499" s="19" t="n"/>
      <c r="B499" s="19" t="n"/>
      <c r="C499" s="19" t="n"/>
      <c r="D499" s="19" t="n"/>
      <c r="E499" s="19" t="n"/>
      <c r="F499" s="19" t="n"/>
      <c r="G499" s="19" t="n"/>
      <c r="H499" s="19" t="n"/>
      <c r="I499" s="19" t="n"/>
      <c r="J499" s="19" t="n"/>
      <c r="K499" s="19" t="n"/>
      <c r="L499" s="20" t="n"/>
      <c r="M499" s="20" t="n"/>
      <c r="N499" s="20" t="n"/>
      <c r="O499" s="20" t="n"/>
      <c r="P499" s="19" t="n"/>
      <c r="Q499" s="19" t="n"/>
      <c r="R499" s="20" t="n"/>
      <c r="S499" s="20" t="n"/>
      <c r="T499" s="19" t="n"/>
      <c r="U499" s="19" t="n"/>
      <c r="V499" s="19" t="n"/>
      <c r="W499" s="19" t="n"/>
      <c r="X499" s="19" t="n"/>
      <c r="Y499" s="19" t="n"/>
      <c r="Z499" s="21">
        <f>IF(AND($A499="",$B499=""),"",IF(OR($E499="",$H499="",$H499="Proposed",$H499="Not Reported"),0,IF(AND($P499="Y",$Q499&lt;&gt;"Y"),0,IF(AND($K499="Point",N($L499)&lt;=0),0,IF(AND(N($L499)&lt;=0,N($N499)&lt;=0,N($R499)+N($S499)&lt;=0),0,1)))))</f>
        <v/>
      </c>
      <c r="AA499" s="21">
        <f>IF(AND($A499="",$B499=""),"",IF($E499="","Site type missing",IF($H499="","STATUS missing",IF($H499="Proposed","STATUS = Proposed",IF($H499="Not Reported","STATUS = Not Reported",IF(AND($P499="Y",$Q499&lt;&gt;"Y"),"UNESCO-MAB Biosphere Reserve",IF(AND($K499="Point",N($L499)&lt;=0),"Point without REP_AREA",IF(AND(N($L499)&lt;=0,N($N499)&lt;=0,N($R499)+N($S499)&lt;=0),"No area information",""))))))))</f>
        <v/>
      </c>
      <c r="AB499" s="22">
        <f>IF(AND($A499="",$B499=""),"",IF($K499="Point",N($L499),IF(N($N499)&gt;0,N($N499),N($L499))))</f>
        <v/>
      </c>
      <c r="AC499" s="22">
        <f>IF(AND($A499="",$B499=""),"",MIN(AB499,IF(N($J499)=0,0,IF(N($J499)=2,AB499,IF(AND($K499&lt;&gt;"Point",N($O499)&gt;0),N($O499),N($M499))))))</f>
        <v/>
      </c>
      <c r="AD499" s="22">
        <f>IF(AND($A499="",$B499=""),"",MAX(0,AB499-AC499))</f>
        <v/>
      </c>
      <c r="AE499" s="21">
        <f>IF(AND($A499="",$B499=""),"",IF(OR($R499&lt;&gt;"",$S499&lt;&gt;""),1,0))</f>
        <v/>
      </c>
      <c r="AF499" s="22">
        <f>IF(AND($A499="",$B499=""),"",IF(Z499=1,IF(AE499=1,N($R499),AD499),0))</f>
        <v/>
      </c>
      <c r="AG499" s="22">
        <f>IF(AND($A499="",$B499=""),"",IF(Z499=1,IF(AE499=1,N($S499),AC499),0))</f>
        <v/>
      </c>
      <c r="AH499" s="21">
        <f>IF(AND($A499="",$B499=""),"",IF(AND(ISNUMBER($I499),N($I499)&gt;0),$I499,0))</f>
        <v/>
      </c>
      <c r="AI499" s="23">
        <f>IF(AND(NOT(AND($A499="",$B499="")),$K499="Point",N($L499)&gt;0),SQRT(N($L499)/PI()),"")</f>
        <v/>
      </c>
      <c r="AJ499" s="21">
        <f>IF(AND($A499="",$B499=""),"",IFERROR(VLOOKUP($G499,Lists!$D$4:$E$15,2,FALSE),"Not reported"))</f>
        <v/>
      </c>
      <c r="AK499" s="21">
        <f>IF(AND($A499="",$B499=""),"",IF($X499&lt;&gt;"",$X499,IF($T499&lt;&gt;"Y","Not assessed",IF(AND(ISNUMBER($V499),Setup!$B$6-$V499&gt;Setup!$B$26),"Assessment outdated",IF(NOT(ISNUMBER($W499)),"Assessed – no score",IF($W499&gt;=Setup!$B$24,"High",IF($W499&gt;=Setup!$B$25,"Moderate","Low")))))))</f>
        <v/>
      </c>
      <c r="AL499" s="21">
        <f>IF(AND($A499="",$B499=""),"",IF(Z499=0,"",IF(AND(AE499=1,N($R499)&gt;AD499*1.01+0.001),"Net terrestrial &gt; gross; ","")&amp;IF(AND(AE499=1,N($S499)&gt;AC499*1.01+0.001),"Net marine &gt; gross; ","")&amp;IF(AE499=0,"No net area – gross used, overlaps may be double-counted; ","")&amp;IF(AH499=0,"STATUS_YR missing – imputed in time series; ","")&amp;IF(AND(ISNUMBER($I499),N($I499)&gt;Setup!$B$6),"STATUS_YR after reporting year; ","")&amp;IF(OR($G499="",$G499="Not Reported"),"GOV_TYPE not reported; ","")&amp;IF(AND(N($J499)=1,$K499="Point",N($M499)&lt;=0),"Coastal point without REP_M_AREA – land/sea split unknown; ","")&amp;IF(AND(N($J499)=0,N($S499)&gt;0),"MARINE=0 but net marine &gt;0; ","")&amp;IF(AND(N($J499)=2,N($R499)&gt;0),"MARINE=2 but net terrestrial &gt;0; ","")&amp;IF($K499="Point","Buffered point – coverage approximate; ","")))</f>
        <v/>
      </c>
    </row>
    <row r="500">
      <c r="A500" s="19" t="n"/>
      <c r="B500" s="19" t="n"/>
      <c r="C500" s="19" t="n"/>
      <c r="D500" s="19" t="n"/>
      <c r="E500" s="19" t="n"/>
      <c r="F500" s="19" t="n"/>
      <c r="G500" s="19" t="n"/>
      <c r="H500" s="19" t="n"/>
      <c r="I500" s="19" t="n"/>
      <c r="J500" s="19" t="n"/>
      <c r="K500" s="19" t="n"/>
      <c r="L500" s="20" t="n"/>
      <c r="M500" s="20" t="n"/>
      <c r="N500" s="20" t="n"/>
      <c r="O500" s="20" t="n"/>
      <c r="P500" s="19" t="n"/>
      <c r="Q500" s="19" t="n"/>
      <c r="R500" s="20" t="n"/>
      <c r="S500" s="20" t="n"/>
      <c r="T500" s="19" t="n"/>
      <c r="U500" s="19" t="n"/>
      <c r="V500" s="19" t="n"/>
      <c r="W500" s="19" t="n"/>
      <c r="X500" s="19" t="n"/>
      <c r="Y500" s="19" t="n"/>
      <c r="Z500" s="21">
        <f>IF(AND($A500="",$B500=""),"",IF(OR($E500="",$H500="",$H500="Proposed",$H500="Not Reported"),0,IF(AND($P500="Y",$Q500&lt;&gt;"Y"),0,IF(AND($K500="Point",N($L500)&lt;=0),0,IF(AND(N($L500)&lt;=0,N($N500)&lt;=0,N($R500)+N($S500)&lt;=0),0,1)))))</f>
        <v/>
      </c>
      <c r="AA500" s="21">
        <f>IF(AND($A500="",$B500=""),"",IF($E500="","Site type missing",IF($H500="","STATUS missing",IF($H500="Proposed","STATUS = Proposed",IF($H500="Not Reported","STATUS = Not Reported",IF(AND($P500="Y",$Q500&lt;&gt;"Y"),"UNESCO-MAB Biosphere Reserve",IF(AND($K500="Point",N($L500)&lt;=0),"Point without REP_AREA",IF(AND(N($L500)&lt;=0,N($N500)&lt;=0,N($R500)+N($S500)&lt;=0),"No area information",""))))))))</f>
        <v/>
      </c>
      <c r="AB500" s="22">
        <f>IF(AND($A500="",$B500=""),"",IF($K500="Point",N($L500),IF(N($N500)&gt;0,N($N500),N($L500))))</f>
        <v/>
      </c>
      <c r="AC500" s="22">
        <f>IF(AND($A500="",$B500=""),"",MIN(AB500,IF(N($J500)=0,0,IF(N($J500)=2,AB500,IF(AND($K500&lt;&gt;"Point",N($O500)&gt;0),N($O500),N($M500))))))</f>
        <v/>
      </c>
      <c r="AD500" s="22">
        <f>IF(AND($A500="",$B500=""),"",MAX(0,AB500-AC500))</f>
        <v/>
      </c>
      <c r="AE500" s="21">
        <f>IF(AND($A500="",$B500=""),"",IF(OR($R500&lt;&gt;"",$S500&lt;&gt;""),1,0))</f>
        <v/>
      </c>
      <c r="AF500" s="22">
        <f>IF(AND($A500="",$B500=""),"",IF(Z500=1,IF(AE500=1,N($R500),AD500),0))</f>
        <v/>
      </c>
      <c r="AG500" s="22">
        <f>IF(AND($A500="",$B500=""),"",IF(Z500=1,IF(AE500=1,N($S500),AC500),0))</f>
        <v/>
      </c>
      <c r="AH500" s="21">
        <f>IF(AND($A500="",$B500=""),"",IF(AND(ISNUMBER($I500),N($I500)&gt;0),$I500,0))</f>
        <v/>
      </c>
      <c r="AI500" s="23">
        <f>IF(AND(NOT(AND($A500="",$B500="")),$K500="Point",N($L500)&gt;0),SQRT(N($L500)/PI()),"")</f>
        <v/>
      </c>
      <c r="AJ500" s="21">
        <f>IF(AND($A500="",$B500=""),"",IFERROR(VLOOKUP($G500,Lists!$D$4:$E$15,2,FALSE),"Not reported"))</f>
        <v/>
      </c>
      <c r="AK500" s="21">
        <f>IF(AND($A500="",$B500=""),"",IF($X500&lt;&gt;"",$X500,IF($T500&lt;&gt;"Y","Not assessed",IF(AND(ISNUMBER($V500),Setup!$B$6-$V500&gt;Setup!$B$26),"Assessment outdated",IF(NOT(ISNUMBER($W500)),"Assessed – no score",IF($W500&gt;=Setup!$B$24,"High",IF($W500&gt;=Setup!$B$25,"Moderate","Low")))))))</f>
        <v/>
      </c>
      <c r="AL500" s="21">
        <f>IF(AND($A500="",$B500=""),"",IF(Z500=0,"",IF(AND(AE500=1,N($R500)&gt;AD500*1.01+0.001),"Net terrestrial &gt; gross; ","")&amp;IF(AND(AE500=1,N($S500)&gt;AC500*1.01+0.001),"Net marine &gt; gross; ","")&amp;IF(AE500=0,"No net area – gross used, overlaps may be double-counted; ","")&amp;IF(AH500=0,"STATUS_YR missing – imputed in time series; ","")&amp;IF(AND(ISNUMBER($I500),N($I500)&gt;Setup!$B$6),"STATUS_YR after reporting year; ","")&amp;IF(OR($G500="",$G500="Not Reported"),"GOV_TYPE not reported; ","")&amp;IF(AND(N($J500)=1,$K500="Point",N($M500)&lt;=0),"Coastal point without REP_M_AREA – land/sea split unknown; ","")&amp;IF(AND(N($J500)=0,N($S500)&gt;0),"MARINE=0 but net marine &gt;0; ","")&amp;IF(AND(N($J500)=2,N($R500)&gt;0),"MARINE=2 but net terrestrial &gt;0; ","")&amp;IF($K500="Point","Buffered point – coverage approximate; ","")))</f>
        <v/>
      </c>
    </row>
    <row r="501">
      <c r="A501" s="19" t="n"/>
      <c r="B501" s="19" t="n"/>
      <c r="C501" s="19" t="n"/>
      <c r="D501" s="19" t="n"/>
      <c r="E501" s="19" t="n"/>
      <c r="F501" s="19" t="n"/>
      <c r="G501" s="19" t="n"/>
      <c r="H501" s="19" t="n"/>
      <c r="I501" s="19" t="n"/>
      <c r="J501" s="19" t="n"/>
      <c r="K501" s="19" t="n"/>
      <c r="L501" s="20" t="n"/>
      <c r="M501" s="20" t="n"/>
      <c r="N501" s="20" t="n"/>
      <c r="O501" s="20" t="n"/>
      <c r="P501" s="19" t="n"/>
      <c r="Q501" s="19" t="n"/>
      <c r="R501" s="20" t="n"/>
      <c r="S501" s="20" t="n"/>
      <c r="T501" s="19" t="n"/>
      <c r="U501" s="19" t="n"/>
      <c r="V501" s="19" t="n"/>
      <c r="W501" s="19" t="n"/>
      <c r="X501" s="19" t="n"/>
      <c r="Y501" s="19" t="n"/>
      <c r="Z501" s="21">
        <f>IF(AND($A501="",$B501=""),"",IF(OR($E501="",$H501="",$H501="Proposed",$H501="Not Reported"),0,IF(AND($P501="Y",$Q501&lt;&gt;"Y"),0,IF(AND($K501="Point",N($L501)&lt;=0),0,IF(AND(N($L501)&lt;=0,N($N501)&lt;=0,N($R501)+N($S501)&lt;=0),0,1)))))</f>
        <v/>
      </c>
      <c r="AA501" s="21">
        <f>IF(AND($A501="",$B501=""),"",IF($E501="","Site type missing",IF($H501="","STATUS missing",IF($H501="Proposed","STATUS = Proposed",IF($H501="Not Reported","STATUS = Not Reported",IF(AND($P501="Y",$Q501&lt;&gt;"Y"),"UNESCO-MAB Biosphere Reserve",IF(AND($K501="Point",N($L501)&lt;=0),"Point without REP_AREA",IF(AND(N($L501)&lt;=0,N($N501)&lt;=0,N($R501)+N($S501)&lt;=0),"No area information",""))))))))</f>
        <v/>
      </c>
      <c r="AB501" s="22">
        <f>IF(AND($A501="",$B501=""),"",IF($K501="Point",N($L501),IF(N($N501)&gt;0,N($N501),N($L501))))</f>
        <v/>
      </c>
      <c r="AC501" s="22">
        <f>IF(AND($A501="",$B501=""),"",MIN(AB501,IF(N($J501)=0,0,IF(N($J501)=2,AB501,IF(AND($K501&lt;&gt;"Point",N($O501)&gt;0),N($O501),N($M501))))))</f>
        <v/>
      </c>
      <c r="AD501" s="22">
        <f>IF(AND($A501="",$B501=""),"",MAX(0,AB501-AC501))</f>
        <v/>
      </c>
      <c r="AE501" s="21">
        <f>IF(AND($A501="",$B501=""),"",IF(OR($R501&lt;&gt;"",$S501&lt;&gt;""),1,0))</f>
        <v/>
      </c>
      <c r="AF501" s="22">
        <f>IF(AND($A501="",$B501=""),"",IF(Z501=1,IF(AE501=1,N($R501),AD501),0))</f>
        <v/>
      </c>
      <c r="AG501" s="22">
        <f>IF(AND($A501="",$B501=""),"",IF(Z501=1,IF(AE501=1,N($S501),AC501),0))</f>
        <v/>
      </c>
      <c r="AH501" s="21">
        <f>IF(AND($A501="",$B501=""),"",IF(AND(ISNUMBER($I501),N($I501)&gt;0),$I501,0))</f>
        <v/>
      </c>
      <c r="AI501" s="23">
        <f>IF(AND(NOT(AND($A501="",$B501="")),$K501="Point",N($L501)&gt;0),SQRT(N($L501)/PI()),"")</f>
        <v/>
      </c>
      <c r="AJ501" s="21">
        <f>IF(AND($A501="",$B501=""),"",IFERROR(VLOOKUP($G501,Lists!$D$4:$E$15,2,FALSE),"Not reported"))</f>
        <v/>
      </c>
      <c r="AK501" s="21">
        <f>IF(AND($A501="",$B501=""),"",IF($X501&lt;&gt;"",$X501,IF($T501&lt;&gt;"Y","Not assessed",IF(AND(ISNUMBER($V501),Setup!$B$6-$V501&gt;Setup!$B$26),"Assessment outdated",IF(NOT(ISNUMBER($W501)),"Assessed – no score",IF($W501&gt;=Setup!$B$24,"High",IF($W501&gt;=Setup!$B$25,"Moderate","Low")))))))</f>
        <v/>
      </c>
      <c r="AL501" s="21">
        <f>IF(AND($A501="",$B501=""),"",IF(Z501=0,"",IF(AND(AE501=1,N($R501)&gt;AD501*1.01+0.001),"Net terrestrial &gt; gross; ","")&amp;IF(AND(AE501=1,N($S501)&gt;AC501*1.01+0.001),"Net marine &gt; gross; ","")&amp;IF(AE501=0,"No net area – gross used, overlaps may be double-counted; ","")&amp;IF(AH501=0,"STATUS_YR missing – imputed in time series; ","")&amp;IF(AND(ISNUMBER($I501),N($I501)&gt;Setup!$B$6),"STATUS_YR after reporting year; ","")&amp;IF(OR($G501="",$G501="Not Reported"),"GOV_TYPE not reported; ","")&amp;IF(AND(N($J501)=1,$K501="Point",N($M501)&lt;=0),"Coastal point without REP_M_AREA – land/sea split unknown; ","")&amp;IF(AND(N($J501)=0,N($S501)&gt;0),"MARINE=0 but net marine &gt;0; ","")&amp;IF(AND(N($J501)=2,N($R501)&gt;0),"MARINE=2 but net terrestrial &gt;0; ","")&amp;IF($K501="Point","Buffered point – coverage approximate; ","")))</f>
        <v/>
      </c>
    </row>
    <row r="502">
      <c r="A502" s="19" t="n"/>
      <c r="B502" s="19" t="n"/>
      <c r="C502" s="19" t="n"/>
      <c r="D502" s="19" t="n"/>
      <c r="E502" s="19" t="n"/>
      <c r="F502" s="19" t="n"/>
      <c r="G502" s="19" t="n"/>
      <c r="H502" s="19" t="n"/>
      <c r="I502" s="19" t="n"/>
      <c r="J502" s="19" t="n"/>
      <c r="K502" s="19" t="n"/>
      <c r="L502" s="20" t="n"/>
      <c r="M502" s="20" t="n"/>
      <c r="N502" s="20" t="n"/>
      <c r="O502" s="20" t="n"/>
      <c r="P502" s="19" t="n"/>
      <c r="Q502" s="19" t="n"/>
      <c r="R502" s="20" t="n"/>
      <c r="S502" s="20" t="n"/>
      <c r="T502" s="19" t="n"/>
      <c r="U502" s="19" t="n"/>
      <c r="V502" s="19" t="n"/>
      <c r="W502" s="19" t="n"/>
      <c r="X502" s="19" t="n"/>
      <c r="Y502" s="19" t="n"/>
      <c r="Z502" s="21">
        <f>IF(AND($A502="",$B502=""),"",IF(OR($E502="",$H502="",$H502="Proposed",$H502="Not Reported"),0,IF(AND($P502="Y",$Q502&lt;&gt;"Y"),0,IF(AND($K502="Point",N($L502)&lt;=0),0,IF(AND(N($L502)&lt;=0,N($N502)&lt;=0,N($R502)+N($S502)&lt;=0),0,1)))))</f>
        <v/>
      </c>
      <c r="AA502" s="21">
        <f>IF(AND($A502="",$B502=""),"",IF($E502="","Site type missing",IF($H502="","STATUS missing",IF($H502="Proposed","STATUS = Proposed",IF($H502="Not Reported","STATUS = Not Reported",IF(AND($P502="Y",$Q502&lt;&gt;"Y"),"UNESCO-MAB Biosphere Reserve",IF(AND($K502="Point",N($L502)&lt;=0),"Point without REP_AREA",IF(AND(N($L502)&lt;=0,N($N502)&lt;=0,N($R502)+N($S502)&lt;=0),"No area information",""))))))))</f>
        <v/>
      </c>
      <c r="AB502" s="22">
        <f>IF(AND($A502="",$B502=""),"",IF($K502="Point",N($L502),IF(N($N502)&gt;0,N($N502),N($L502))))</f>
        <v/>
      </c>
      <c r="AC502" s="22">
        <f>IF(AND($A502="",$B502=""),"",MIN(AB502,IF(N($J502)=0,0,IF(N($J502)=2,AB502,IF(AND($K502&lt;&gt;"Point",N($O502)&gt;0),N($O502),N($M502))))))</f>
        <v/>
      </c>
      <c r="AD502" s="22">
        <f>IF(AND($A502="",$B502=""),"",MAX(0,AB502-AC502))</f>
        <v/>
      </c>
      <c r="AE502" s="21">
        <f>IF(AND($A502="",$B502=""),"",IF(OR($R502&lt;&gt;"",$S502&lt;&gt;""),1,0))</f>
        <v/>
      </c>
      <c r="AF502" s="22">
        <f>IF(AND($A502="",$B502=""),"",IF(Z502=1,IF(AE502=1,N($R502),AD502),0))</f>
        <v/>
      </c>
      <c r="AG502" s="22">
        <f>IF(AND($A502="",$B502=""),"",IF(Z502=1,IF(AE502=1,N($S502),AC502),0))</f>
        <v/>
      </c>
      <c r="AH502" s="21">
        <f>IF(AND($A502="",$B502=""),"",IF(AND(ISNUMBER($I502),N($I502)&gt;0),$I502,0))</f>
        <v/>
      </c>
      <c r="AI502" s="23">
        <f>IF(AND(NOT(AND($A502="",$B502="")),$K502="Point",N($L502)&gt;0),SQRT(N($L502)/PI()),"")</f>
        <v/>
      </c>
      <c r="AJ502" s="21">
        <f>IF(AND($A502="",$B502=""),"",IFERROR(VLOOKUP($G502,Lists!$D$4:$E$15,2,FALSE),"Not reported"))</f>
        <v/>
      </c>
      <c r="AK502" s="21">
        <f>IF(AND($A502="",$B502=""),"",IF($X502&lt;&gt;"",$X502,IF($T502&lt;&gt;"Y","Not assessed",IF(AND(ISNUMBER($V502),Setup!$B$6-$V502&gt;Setup!$B$26),"Assessment outdated",IF(NOT(ISNUMBER($W502)),"Assessed – no score",IF($W502&gt;=Setup!$B$24,"High",IF($W502&gt;=Setup!$B$25,"Moderate","Low")))))))</f>
        <v/>
      </c>
      <c r="AL502" s="21">
        <f>IF(AND($A502="",$B502=""),"",IF(Z502=0,"",IF(AND(AE502=1,N($R502)&gt;AD502*1.01+0.001),"Net terrestrial &gt; gross; ","")&amp;IF(AND(AE502=1,N($S502)&gt;AC502*1.01+0.001),"Net marine &gt; gross; ","")&amp;IF(AE502=0,"No net area – gross used, overlaps may be double-counted; ","")&amp;IF(AH502=0,"STATUS_YR missing – imputed in time series; ","")&amp;IF(AND(ISNUMBER($I502),N($I502)&gt;Setup!$B$6),"STATUS_YR after reporting year; ","")&amp;IF(OR($G502="",$G502="Not Reported"),"GOV_TYPE not reported; ","")&amp;IF(AND(N($J502)=1,$K502="Point",N($M502)&lt;=0),"Coastal point without REP_M_AREA – land/sea split unknown; ","")&amp;IF(AND(N($J502)=0,N($S502)&gt;0),"MARINE=0 but net marine &gt;0; ","")&amp;IF(AND(N($J502)=2,N($R502)&gt;0),"MARINE=2 but net terrestrial &gt;0; ","")&amp;IF($K502="Point","Buffered point – coverage approximate; ","")))</f>
        <v/>
      </c>
    </row>
    <row r="503">
      <c r="A503" s="19" t="n"/>
      <c r="B503" s="19" t="n"/>
      <c r="C503" s="19" t="n"/>
      <c r="D503" s="19" t="n"/>
      <c r="E503" s="19" t="n"/>
      <c r="F503" s="19" t="n"/>
      <c r="G503" s="19" t="n"/>
      <c r="H503" s="19" t="n"/>
      <c r="I503" s="19" t="n"/>
      <c r="J503" s="19" t="n"/>
      <c r="K503" s="19" t="n"/>
      <c r="L503" s="20" t="n"/>
      <c r="M503" s="20" t="n"/>
      <c r="N503" s="20" t="n"/>
      <c r="O503" s="20" t="n"/>
      <c r="P503" s="19" t="n"/>
      <c r="Q503" s="19" t="n"/>
      <c r="R503" s="20" t="n"/>
      <c r="S503" s="20" t="n"/>
      <c r="T503" s="19" t="n"/>
      <c r="U503" s="19" t="n"/>
      <c r="V503" s="19" t="n"/>
      <c r="W503" s="19" t="n"/>
      <c r="X503" s="19" t="n"/>
      <c r="Y503" s="19" t="n"/>
      <c r="Z503" s="21">
        <f>IF(AND($A503="",$B503=""),"",IF(OR($E503="",$H503="",$H503="Proposed",$H503="Not Reported"),0,IF(AND($P503="Y",$Q503&lt;&gt;"Y"),0,IF(AND($K503="Point",N($L503)&lt;=0),0,IF(AND(N($L503)&lt;=0,N($N503)&lt;=0,N($R503)+N($S503)&lt;=0),0,1)))))</f>
        <v/>
      </c>
      <c r="AA503" s="21">
        <f>IF(AND($A503="",$B503=""),"",IF($E503="","Site type missing",IF($H503="","STATUS missing",IF($H503="Proposed","STATUS = Proposed",IF($H503="Not Reported","STATUS = Not Reported",IF(AND($P503="Y",$Q503&lt;&gt;"Y"),"UNESCO-MAB Biosphere Reserve",IF(AND($K503="Point",N($L503)&lt;=0),"Point without REP_AREA",IF(AND(N($L503)&lt;=0,N($N503)&lt;=0,N($R503)+N($S503)&lt;=0),"No area information",""))))))))</f>
        <v/>
      </c>
      <c r="AB503" s="22">
        <f>IF(AND($A503="",$B503=""),"",IF($K503="Point",N($L503),IF(N($N503)&gt;0,N($N503),N($L503))))</f>
        <v/>
      </c>
      <c r="AC503" s="22">
        <f>IF(AND($A503="",$B503=""),"",MIN(AB503,IF(N($J503)=0,0,IF(N($J503)=2,AB503,IF(AND($K503&lt;&gt;"Point",N($O503)&gt;0),N($O503),N($M503))))))</f>
        <v/>
      </c>
      <c r="AD503" s="22">
        <f>IF(AND($A503="",$B503=""),"",MAX(0,AB503-AC503))</f>
        <v/>
      </c>
      <c r="AE503" s="21">
        <f>IF(AND($A503="",$B503=""),"",IF(OR($R503&lt;&gt;"",$S503&lt;&gt;""),1,0))</f>
        <v/>
      </c>
      <c r="AF503" s="22">
        <f>IF(AND($A503="",$B503=""),"",IF(Z503=1,IF(AE503=1,N($R503),AD503),0))</f>
        <v/>
      </c>
      <c r="AG503" s="22">
        <f>IF(AND($A503="",$B503=""),"",IF(Z503=1,IF(AE503=1,N($S503),AC503),0))</f>
        <v/>
      </c>
      <c r="AH503" s="21">
        <f>IF(AND($A503="",$B503=""),"",IF(AND(ISNUMBER($I503),N($I503)&gt;0),$I503,0))</f>
        <v/>
      </c>
      <c r="AI503" s="23">
        <f>IF(AND(NOT(AND($A503="",$B503="")),$K503="Point",N($L503)&gt;0),SQRT(N($L503)/PI()),"")</f>
        <v/>
      </c>
      <c r="AJ503" s="21">
        <f>IF(AND($A503="",$B503=""),"",IFERROR(VLOOKUP($G503,Lists!$D$4:$E$15,2,FALSE),"Not reported"))</f>
        <v/>
      </c>
      <c r="AK503" s="21">
        <f>IF(AND($A503="",$B503=""),"",IF($X503&lt;&gt;"",$X503,IF($T503&lt;&gt;"Y","Not assessed",IF(AND(ISNUMBER($V503),Setup!$B$6-$V503&gt;Setup!$B$26),"Assessment outdated",IF(NOT(ISNUMBER($W503)),"Assessed – no score",IF($W503&gt;=Setup!$B$24,"High",IF($W503&gt;=Setup!$B$25,"Moderate","Low")))))))</f>
        <v/>
      </c>
      <c r="AL503" s="21">
        <f>IF(AND($A503="",$B503=""),"",IF(Z503=0,"",IF(AND(AE503=1,N($R503)&gt;AD503*1.01+0.001),"Net terrestrial &gt; gross; ","")&amp;IF(AND(AE503=1,N($S503)&gt;AC503*1.01+0.001),"Net marine &gt; gross; ","")&amp;IF(AE503=0,"No net area – gross used, overlaps may be double-counted; ","")&amp;IF(AH503=0,"STATUS_YR missing – imputed in time series; ","")&amp;IF(AND(ISNUMBER($I503),N($I503)&gt;Setup!$B$6),"STATUS_YR after reporting year; ","")&amp;IF(OR($G503="",$G503="Not Reported"),"GOV_TYPE not reported; ","")&amp;IF(AND(N($J503)=1,$K503="Point",N($M503)&lt;=0),"Coastal point without REP_M_AREA – land/sea split unknown; ","")&amp;IF(AND(N($J503)=0,N($S503)&gt;0),"MARINE=0 but net marine &gt;0; ","")&amp;IF(AND(N($J503)=2,N($R503)&gt;0),"MARINE=2 but net terrestrial &gt;0; ","")&amp;IF($K503="Point","Buffered point – coverage approximate; ","")))</f>
        <v/>
      </c>
    </row>
    <row r="504">
      <c r="A504" s="19" t="n"/>
      <c r="B504" s="19" t="n"/>
      <c r="C504" s="19" t="n"/>
      <c r="D504" s="19" t="n"/>
      <c r="E504" s="19" t="n"/>
      <c r="F504" s="19" t="n"/>
      <c r="G504" s="19" t="n"/>
      <c r="H504" s="19" t="n"/>
      <c r="I504" s="19" t="n"/>
      <c r="J504" s="19" t="n"/>
      <c r="K504" s="19" t="n"/>
      <c r="L504" s="20" t="n"/>
      <c r="M504" s="20" t="n"/>
      <c r="N504" s="20" t="n"/>
      <c r="O504" s="20" t="n"/>
      <c r="P504" s="19" t="n"/>
      <c r="Q504" s="19" t="n"/>
      <c r="R504" s="20" t="n"/>
      <c r="S504" s="20" t="n"/>
      <c r="T504" s="19" t="n"/>
      <c r="U504" s="19" t="n"/>
      <c r="V504" s="19" t="n"/>
      <c r="W504" s="19" t="n"/>
      <c r="X504" s="19" t="n"/>
      <c r="Y504" s="19" t="n"/>
      <c r="Z504" s="21">
        <f>IF(AND($A504="",$B504=""),"",IF(OR($E504="",$H504="",$H504="Proposed",$H504="Not Reported"),0,IF(AND($P504="Y",$Q504&lt;&gt;"Y"),0,IF(AND($K504="Point",N($L504)&lt;=0),0,IF(AND(N($L504)&lt;=0,N($N504)&lt;=0,N($R504)+N($S504)&lt;=0),0,1)))))</f>
        <v/>
      </c>
      <c r="AA504" s="21">
        <f>IF(AND($A504="",$B504=""),"",IF($E504="","Site type missing",IF($H504="","STATUS missing",IF($H504="Proposed","STATUS = Proposed",IF($H504="Not Reported","STATUS = Not Reported",IF(AND($P504="Y",$Q504&lt;&gt;"Y"),"UNESCO-MAB Biosphere Reserve",IF(AND($K504="Point",N($L504)&lt;=0),"Point without REP_AREA",IF(AND(N($L504)&lt;=0,N($N504)&lt;=0,N($R504)+N($S504)&lt;=0),"No area information",""))))))))</f>
        <v/>
      </c>
      <c r="AB504" s="22">
        <f>IF(AND($A504="",$B504=""),"",IF($K504="Point",N($L504),IF(N($N504)&gt;0,N($N504),N($L504))))</f>
        <v/>
      </c>
      <c r="AC504" s="22">
        <f>IF(AND($A504="",$B504=""),"",MIN(AB504,IF(N($J504)=0,0,IF(N($J504)=2,AB504,IF(AND($K504&lt;&gt;"Point",N($O504)&gt;0),N($O504),N($M504))))))</f>
        <v/>
      </c>
      <c r="AD504" s="22">
        <f>IF(AND($A504="",$B504=""),"",MAX(0,AB504-AC504))</f>
        <v/>
      </c>
      <c r="AE504" s="21">
        <f>IF(AND($A504="",$B504=""),"",IF(OR($R504&lt;&gt;"",$S504&lt;&gt;""),1,0))</f>
        <v/>
      </c>
      <c r="AF504" s="22">
        <f>IF(AND($A504="",$B504=""),"",IF(Z504=1,IF(AE504=1,N($R504),AD504),0))</f>
        <v/>
      </c>
      <c r="AG504" s="22">
        <f>IF(AND($A504="",$B504=""),"",IF(Z504=1,IF(AE504=1,N($S504),AC504),0))</f>
        <v/>
      </c>
      <c r="AH504" s="21">
        <f>IF(AND($A504="",$B504=""),"",IF(AND(ISNUMBER($I504),N($I504)&gt;0),$I504,0))</f>
        <v/>
      </c>
      <c r="AI504" s="23">
        <f>IF(AND(NOT(AND($A504="",$B504="")),$K504="Point",N($L504)&gt;0),SQRT(N($L504)/PI()),"")</f>
        <v/>
      </c>
      <c r="AJ504" s="21">
        <f>IF(AND($A504="",$B504=""),"",IFERROR(VLOOKUP($G504,Lists!$D$4:$E$15,2,FALSE),"Not reported"))</f>
        <v/>
      </c>
      <c r="AK504" s="21">
        <f>IF(AND($A504="",$B504=""),"",IF($X504&lt;&gt;"",$X504,IF($T504&lt;&gt;"Y","Not assessed",IF(AND(ISNUMBER($V504),Setup!$B$6-$V504&gt;Setup!$B$26),"Assessment outdated",IF(NOT(ISNUMBER($W504)),"Assessed – no score",IF($W504&gt;=Setup!$B$24,"High",IF($W504&gt;=Setup!$B$25,"Moderate","Low")))))))</f>
        <v/>
      </c>
      <c r="AL504" s="21">
        <f>IF(AND($A504="",$B504=""),"",IF(Z504=0,"",IF(AND(AE504=1,N($R504)&gt;AD504*1.01+0.001),"Net terrestrial &gt; gross; ","")&amp;IF(AND(AE504=1,N($S504)&gt;AC504*1.01+0.001),"Net marine &gt; gross; ","")&amp;IF(AE504=0,"No net area – gross used, overlaps may be double-counted; ","")&amp;IF(AH504=0,"STATUS_YR missing – imputed in time series; ","")&amp;IF(AND(ISNUMBER($I504),N($I504)&gt;Setup!$B$6),"STATUS_YR after reporting year; ","")&amp;IF(OR($G504="",$G504="Not Reported"),"GOV_TYPE not reported; ","")&amp;IF(AND(N($J504)=1,$K504="Point",N($M504)&lt;=0),"Coastal point without REP_M_AREA – land/sea split unknown; ","")&amp;IF(AND(N($J504)=0,N($S504)&gt;0),"MARINE=0 but net marine &gt;0; ","")&amp;IF(AND(N($J504)=2,N($R504)&gt;0),"MARINE=2 but net terrestrial &gt;0; ","")&amp;IF($K504="Point","Buffered point – coverage approximate; ","")))</f>
        <v/>
      </c>
    </row>
    <row r="505">
      <c r="A505" s="19" t="n"/>
      <c r="B505" s="19" t="n"/>
      <c r="C505" s="19" t="n"/>
      <c r="D505" s="19" t="n"/>
      <c r="E505" s="19" t="n"/>
      <c r="F505" s="19" t="n"/>
      <c r="G505" s="19" t="n"/>
      <c r="H505" s="19" t="n"/>
      <c r="I505" s="19" t="n"/>
      <c r="J505" s="19" t="n"/>
      <c r="K505" s="19" t="n"/>
      <c r="L505" s="20" t="n"/>
      <c r="M505" s="20" t="n"/>
      <c r="N505" s="20" t="n"/>
      <c r="O505" s="20" t="n"/>
      <c r="P505" s="19" t="n"/>
      <c r="Q505" s="19" t="n"/>
      <c r="R505" s="20" t="n"/>
      <c r="S505" s="20" t="n"/>
      <c r="T505" s="19" t="n"/>
      <c r="U505" s="19" t="n"/>
      <c r="V505" s="19" t="n"/>
      <c r="W505" s="19" t="n"/>
      <c r="X505" s="19" t="n"/>
      <c r="Y505" s="19" t="n"/>
      <c r="Z505" s="21">
        <f>IF(AND($A505="",$B505=""),"",IF(OR($E505="",$H505="",$H505="Proposed",$H505="Not Reported"),0,IF(AND($P505="Y",$Q505&lt;&gt;"Y"),0,IF(AND($K505="Point",N($L505)&lt;=0),0,IF(AND(N($L505)&lt;=0,N($N505)&lt;=0,N($R505)+N($S505)&lt;=0),0,1)))))</f>
        <v/>
      </c>
      <c r="AA505" s="21">
        <f>IF(AND($A505="",$B505=""),"",IF($E505="","Site type missing",IF($H505="","STATUS missing",IF($H505="Proposed","STATUS = Proposed",IF($H505="Not Reported","STATUS = Not Reported",IF(AND($P505="Y",$Q505&lt;&gt;"Y"),"UNESCO-MAB Biosphere Reserve",IF(AND($K505="Point",N($L505)&lt;=0),"Point without REP_AREA",IF(AND(N($L505)&lt;=0,N($N505)&lt;=0,N($R505)+N($S505)&lt;=0),"No area information",""))))))))</f>
        <v/>
      </c>
      <c r="AB505" s="22">
        <f>IF(AND($A505="",$B505=""),"",IF($K505="Point",N($L505),IF(N($N505)&gt;0,N($N505),N($L505))))</f>
        <v/>
      </c>
      <c r="AC505" s="22">
        <f>IF(AND($A505="",$B505=""),"",MIN(AB505,IF(N($J505)=0,0,IF(N($J505)=2,AB505,IF(AND($K505&lt;&gt;"Point",N($O505)&gt;0),N($O505),N($M505))))))</f>
        <v/>
      </c>
      <c r="AD505" s="22">
        <f>IF(AND($A505="",$B505=""),"",MAX(0,AB505-AC505))</f>
        <v/>
      </c>
      <c r="AE505" s="21">
        <f>IF(AND($A505="",$B505=""),"",IF(OR($R505&lt;&gt;"",$S505&lt;&gt;""),1,0))</f>
        <v/>
      </c>
      <c r="AF505" s="22">
        <f>IF(AND($A505="",$B505=""),"",IF(Z505=1,IF(AE505=1,N($R505),AD505),0))</f>
        <v/>
      </c>
      <c r="AG505" s="22">
        <f>IF(AND($A505="",$B505=""),"",IF(Z505=1,IF(AE505=1,N($S505),AC505),0))</f>
        <v/>
      </c>
      <c r="AH505" s="21">
        <f>IF(AND($A505="",$B505=""),"",IF(AND(ISNUMBER($I505),N($I505)&gt;0),$I505,0))</f>
        <v/>
      </c>
      <c r="AI505" s="23">
        <f>IF(AND(NOT(AND($A505="",$B505="")),$K505="Point",N($L505)&gt;0),SQRT(N($L505)/PI()),"")</f>
        <v/>
      </c>
      <c r="AJ505" s="21">
        <f>IF(AND($A505="",$B505=""),"",IFERROR(VLOOKUP($G505,Lists!$D$4:$E$15,2,FALSE),"Not reported"))</f>
        <v/>
      </c>
      <c r="AK505" s="21">
        <f>IF(AND($A505="",$B505=""),"",IF($X505&lt;&gt;"",$X505,IF($T505&lt;&gt;"Y","Not assessed",IF(AND(ISNUMBER($V505),Setup!$B$6-$V505&gt;Setup!$B$26),"Assessment outdated",IF(NOT(ISNUMBER($W505)),"Assessed – no score",IF($W505&gt;=Setup!$B$24,"High",IF($W505&gt;=Setup!$B$25,"Moderate","Low")))))))</f>
        <v/>
      </c>
      <c r="AL505" s="21">
        <f>IF(AND($A505="",$B505=""),"",IF(Z505=0,"",IF(AND(AE505=1,N($R505)&gt;AD505*1.01+0.001),"Net terrestrial &gt; gross; ","")&amp;IF(AND(AE505=1,N($S505)&gt;AC505*1.01+0.001),"Net marine &gt; gross; ","")&amp;IF(AE505=0,"No net area – gross used, overlaps may be double-counted; ","")&amp;IF(AH505=0,"STATUS_YR missing – imputed in time series; ","")&amp;IF(AND(ISNUMBER($I505),N($I505)&gt;Setup!$B$6),"STATUS_YR after reporting year; ","")&amp;IF(OR($G505="",$G505="Not Reported"),"GOV_TYPE not reported; ","")&amp;IF(AND(N($J505)=1,$K505="Point",N($M505)&lt;=0),"Coastal point without REP_M_AREA – land/sea split unknown; ","")&amp;IF(AND(N($J505)=0,N($S505)&gt;0),"MARINE=0 but net marine &gt;0; ","")&amp;IF(AND(N($J505)=2,N($R505)&gt;0),"MARINE=2 but net terrestrial &gt;0; ","")&amp;IF($K505="Point","Buffered point – coverage approximate; ","")))</f>
        <v/>
      </c>
    </row>
    <row r="506">
      <c r="A506" s="19" t="n"/>
      <c r="B506" s="19" t="n"/>
      <c r="C506" s="19" t="n"/>
      <c r="D506" s="19" t="n"/>
      <c r="E506" s="19" t="n"/>
      <c r="F506" s="19" t="n"/>
      <c r="G506" s="19" t="n"/>
      <c r="H506" s="19" t="n"/>
      <c r="I506" s="19" t="n"/>
      <c r="J506" s="19" t="n"/>
      <c r="K506" s="19" t="n"/>
      <c r="L506" s="20" t="n"/>
      <c r="M506" s="20" t="n"/>
      <c r="N506" s="20" t="n"/>
      <c r="O506" s="20" t="n"/>
      <c r="P506" s="19" t="n"/>
      <c r="Q506" s="19" t="n"/>
      <c r="R506" s="20" t="n"/>
      <c r="S506" s="20" t="n"/>
      <c r="T506" s="19" t="n"/>
      <c r="U506" s="19" t="n"/>
      <c r="V506" s="19" t="n"/>
      <c r="W506" s="19" t="n"/>
      <c r="X506" s="19" t="n"/>
      <c r="Y506" s="19" t="n"/>
      <c r="Z506" s="21">
        <f>IF(AND($A506="",$B506=""),"",IF(OR($E506="",$H506="",$H506="Proposed",$H506="Not Reported"),0,IF(AND($P506="Y",$Q506&lt;&gt;"Y"),0,IF(AND($K506="Point",N($L506)&lt;=0),0,IF(AND(N($L506)&lt;=0,N($N506)&lt;=0,N($R506)+N($S506)&lt;=0),0,1)))))</f>
        <v/>
      </c>
      <c r="AA506" s="21">
        <f>IF(AND($A506="",$B506=""),"",IF($E506="","Site type missing",IF($H506="","STATUS missing",IF($H506="Proposed","STATUS = Proposed",IF($H506="Not Reported","STATUS = Not Reported",IF(AND($P506="Y",$Q506&lt;&gt;"Y"),"UNESCO-MAB Biosphere Reserve",IF(AND($K506="Point",N($L506)&lt;=0),"Point without REP_AREA",IF(AND(N($L506)&lt;=0,N($N506)&lt;=0,N($R506)+N($S506)&lt;=0),"No area information",""))))))))</f>
        <v/>
      </c>
      <c r="AB506" s="22">
        <f>IF(AND($A506="",$B506=""),"",IF($K506="Point",N($L506),IF(N($N506)&gt;0,N($N506),N($L506))))</f>
        <v/>
      </c>
      <c r="AC506" s="22">
        <f>IF(AND($A506="",$B506=""),"",MIN(AB506,IF(N($J506)=0,0,IF(N($J506)=2,AB506,IF(AND($K506&lt;&gt;"Point",N($O506)&gt;0),N($O506),N($M506))))))</f>
        <v/>
      </c>
      <c r="AD506" s="22">
        <f>IF(AND($A506="",$B506=""),"",MAX(0,AB506-AC506))</f>
        <v/>
      </c>
      <c r="AE506" s="21">
        <f>IF(AND($A506="",$B506=""),"",IF(OR($R506&lt;&gt;"",$S506&lt;&gt;""),1,0))</f>
        <v/>
      </c>
      <c r="AF506" s="22">
        <f>IF(AND($A506="",$B506=""),"",IF(Z506=1,IF(AE506=1,N($R506),AD506),0))</f>
        <v/>
      </c>
      <c r="AG506" s="22">
        <f>IF(AND($A506="",$B506=""),"",IF(Z506=1,IF(AE506=1,N($S506),AC506),0))</f>
        <v/>
      </c>
      <c r="AH506" s="21">
        <f>IF(AND($A506="",$B506=""),"",IF(AND(ISNUMBER($I506),N($I506)&gt;0),$I506,0))</f>
        <v/>
      </c>
      <c r="AI506" s="23">
        <f>IF(AND(NOT(AND($A506="",$B506="")),$K506="Point",N($L506)&gt;0),SQRT(N($L506)/PI()),"")</f>
        <v/>
      </c>
      <c r="AJ506" s="21">
        <f>IF(AND($A506="",$B506=""),"",IFERROR(VLOOKUP($G506,Lists!$D$4:$E$15,2,FALSE),"Not reported"))</f>
        <v/>
      </c>
      <c r="AK506" s="21">
        <f>IF(AND($A506="",$B506=""),"",IF($X506&lt;&gt;"",$X506,IF($T506&lt;&gt;"Y","Not assessed",IF(AND(ISNUMBER($V506),Setup!$B$6-$V506&gt;Setup!$B$26),"Assessment outdated",IF(NOT(ISNUMBER($W506)),"Assessed – no score",IF($W506&gt;=Setup!$B$24,"High",IF($W506&gt;=Setup!$B$25,"Moderate","Low")))))))</f>
        <v/>
      </c>
      <c r="AL506" s="21">
        <f>IF(AND($A506="",$B506=""),"",IF(Z506=0,"",IF(AND(AE506=1,N($R506)&gt;AD506*1.01+0.001),"Net terrestrial &gt; gross; ","")&amp;IF(AND(AE506=1,N($S506)&gt;AC506*1.01+0.001),"Net marine &gt; gross; ","")&amp;IF(AE506=0,"No net area – gross used, overlaps may be double-counted; ","")&amp;IF(AH506=0,"STATUS_YR missing – imputed in time series; ","")&amp;IF(AND(ISNUMBER($I506),N($I506)&gt;Setup!$B$6),"STATUS_YR after reporting year; ","")&amp;IF(OR($G506="",$G506="Not Reported"),"GOV_TYPE not reported; ","")&amp;IF(AND(N($J506)=1,$K506="Point",N($M506)&lt;=0),"Coastal point without REP_M_AREA – land/sea split unknown; ","")&amp;IF(AND(N($J506)=0,N($S506)&gt;0),"MARINE=0 but net marine &gt;0; ","")&amp;IF(AND(N($J506)=2,N($R506)&gt;0),"MARINE=2 but net terrestrial &gt;0; ","")&amp;IF($K506="Point","Buffered point – coverage approximate; ","")))</f>
        <v/>
      </c>
    </row>
    <row r="507">
      <c r="A507" s="19" t="n"/>
      <c r="B507" s="19" t="n"/>
      <c r="C507" s="19" t="n"/>
      <c r="D507" s="19" t="n"/>
      <c r="E507" s="19" t="n"/>
      <c r="F507" s="19" t="n"/>
      <c r="G507" s="19" t="n"/>
      <c r="H507" s="19" t="n"/>
      <c r="I507" s="19" t="n"/>
      <c r="J507" s="19" t="n"/>
      <c r="K507" s="19" t="n"/>
      <c r="L507" s="20" t="n"/>
      <c r="M507" s="20" t="n"/>
      <c r="N507" s="20" t="n"/>
      <c r="O507" s="20" t="n"/>
      <c r="P507" s="19" t="n"/>
      <c r="Q507" s="19" t="n"/>
      <c r="R507" s="20" t="n"/>
      <c r="S507" s="20" t="n"/>
      <c r="T507" s="19" t="n"/>
      <c r="U507" s="19" t="n"/>
      <c r="V507" s="19" t="n"/>
      <c r="W507" s="19" t="n"/>
      <c r="X507" s="19" t="n"/>
      <c r="Y507" s="19" t="n"/>
      <c r="Z507" s="21">
        <f>IF(AND($A507="",$B507=""),"",IF(OR($E507="",$H507="",$H507="Proposed",$H507="Not Reported"),0,IF(AND($P507="Y",$Q507&lt;&gt;"Y"),0,IF(AND($K507="Point",N($L507)&lt;=0),0,IF(AND(N($L507)&lt;=0,N($N507)&lt;=0,N($R507)+N($S507)&lt;=0),0,1)))))</f>
        <v/>
      </c>
      <c r="AA507" s="21">
        <f>IF(AND($A507="",$B507=""),"",IF($E507="","Site type missing",IF($H507="","STATUS missing",IF($H507="Proposed","STATUS = Proposed",IF($H507="Not Reported","STATUS = Not Reported",IF(AND($P507="Y",$Q507&lt;&gt;"Y"),"UNESCO-MAB Biosphere Reserve",IF(AND($K507="Point",N($L507)&lt;=0),"Point without REP_AREA",IF(AND(N($L507)&lt;=0,N($N507)&lt;=0,N($R507)+N($S507)&lt;=0),"No area information",""))))))))</f>
        <v/>
      </c>
      <c r="AB507" s="22">
        <f>IF(AND($A507="",$B507=""),"",IF($K507="Point",N($L507),IF(N($N507)&gt;0,N($N507),N($L507))))</f>
        <v/>
      </c>
      <c r="AC507" s="22">
        <f>IF(AND($A507="",$B507=""),"",MIN(AB507,IF(N($J507)=0,0,IF(N($J507)=2,AB507,IF(AND($K507&lt;&gt;"Point",N($O507)&gt;0),N($O507),N($M507))))))</f>
        <v/>
      </c>
      <c r="AD507" s="22">
        <f>IF(AND($A507="",$B507=""),"",MAX(0,AB507-AC507))</f>
        <v/>
      </c>
      <c r="AE507" s="21">
        <f>IF(AND($A507="",$B507=""),"",IF(OR($R507&lt;&gt;"",$S507&lt;&gt;""),1,0))</f>
        <v/>
      </c>
      <c r="AF507" s="22">
        <f>IF(AND($A507="",$B507=""),"",IF(Z507=1,IF(AE507=1,N($R507),AD507),0))</f>
        <v/>
      </c>
      <c r="AG507" s="22">
        <f>IF(AND($A507="",$B507=""),"",IF(Z507=1,IF(AE507=1,N($S507),AC507),0))</f>
        <v/>
      </c>
      <c r="AH507" s="21">
        <f>IF(AND($A507="",$B507=""),"",IF(AND(ISNUMBER($I507),N($I507)&gt;0),$I507,0))</f>
        <v/>
      </c>
      <c r="AI507" s="23">
        <f>IF(AND(NOT(AND($A507="",$B507="")),$K507="Point",N($L507)&gt;0),SQRT(N($L507)/PI()),"")</f>
        <v/>
      </c>
      <c r="AJ507" s="21">
        <f>IF(AND($A507="",$B507=""),"",IFERROR(VLOOKUP($G507,Lists!$D$4:$E$15,2,FALSE),"Not reported"))</f>
        <v/>
      </c>
      <c r="AK507" s="21">
        <f>IF(AND($A507="",$B507=""),"",IF($X507&lt;&gt;"",$X507,IF($T507&lt;&gt;"Y","Not assessed",IF(AND(ISNUMBER($V507),Setup!$B$6-$V507&gt;Setup!$B$26),"Assessment outdated",IF(NOT(ISNUMBER($W507)),"Assessed – no score",IF($W507&gt;=Setup!$B$24,"High",IF($W507&gt;=Setup!$B$25,"Moderate","Low")))))))</f>
        <v/>
      </c>
      <c r="AL507" s="21">
        <f>IF(AND($A507="",$B507=""),"",IF(Z507=0,"",IF(AND(AE507=1,N($R507)&gt;AD507*1.01+0.001),"Net terrestrial &gt; gross; ","")&amp;IF(AND(AE507=1,N($S507)&gt;AC507*1.01+0.001),"Net marine &gt; gross; ","")&amp;IF(AE507=0,"No net area – gross used, overlaps may be double-counted; ","")&amp;IF(AH507=0,"STATUS_YR missing – imputed in time series; ","")&amp;IF(AND(ISNUMBER($I507),N($I507)&gt;Setup!$B$6),"STATUS_YR after reporting year; ","")&amp;IF(OR($G507="",$G507="Not Reported"),"GOV_TYPE not reported; ","")&amp;IF(AND(N($J507)=1,$K507="Point",N($M507)&lt;=0),"Coastal point without REP_M_AREA – land/sea split unknown; ","")&amp;IF(AND(N($J507)=0,N($S507)&gt;0),"MARINE=0 but net marine &gt;0; ","")&amp;IF(AND(N($J507)=2,N($R507)&gt;0),"MARINE=2 but net terrestrial &gt;0; ","")&amp;IF($K507="Point","Buffered point – coverage approximate; ","")))</f>
        <v/>
      </c>
    </row>
    <row r="508">
      <c r="A508" s="19" t="n"/>
      <c r="B508" s="19" t="n"/>
      <c r="C508" s="19" t="n"/>
      <c r="D508" s="19" t="n"/>
      <c r="E508" s="19" t="n"/>
      <c r="F508" s="19" t="n"/>
      <c r="G508" s="19" t="n"/>
      <c r="H508" s="19" t="n"/>
      <c r="I508" s="19" t="n"/>
      <c r="J508" s="19" t="n"/>
      <c r="K508" s="19" t="n"/>
      <c r="L508" s="20" t="n"/>
      <c r="M508" s="20" t="n"/>
      <c r="N508" s="20" t="n"/>
      <c r="O508" s="20" t="n"/>
      <c r="P508" s="19" t="n"/>
      <c r="Q508" s="19" t="n"/>
      <c r="R508" s="20" t="n"/>
      <c r="S508" s="20" t="n"/>
      <c r="T508" s="19" t="n"/>
      <c r="U508" s="19" t="n"/>
      <c r="V508" s="19" t="n"/>
      <c r="W508" s="19" t="n"/>
      <c r="X508" s="19" t="n"/>
      <c r="Y508" s="19" t="n"/>
      <c r="Z508" s="21">
        <f>IF(AND($A508="",$B508=""),"",IF(OR($E508="",$H508="",$H508="Proposed",$H508="Not Reported"),0,IF(AND($P508="Y",$Q508&lt;&gt;"Y"),0,IF(AND($K508="Point",N($L508)&lt;=0),0,IF(AND(N($L508)&lt;=0,N($N508)&lt;=0,N($R508)+N($S508)&lt;=0),0,1)))))</f>
        <v/>
      </c>
      <c r="AA508" s="21">
        <f>IF(AND($A508="",$B508=""),"",IF($E508="","Site type missing",IF($H508="","STATUS missing",IF($H508="Proposed","STATUS = Proposed",IF($H508="Not Reported","STATUS = Not Reported",IF(AND($P508="Y",$Q508&lt;&gt;"Y"),"UNESCO-MAB Biosphere Reserve",IF(AND($K508="Point",N($L508)&lt;=0),"Point without REP_AREA",IF(AND(N($L508)&lt;=0,N($N508)&lt;=0,N($R508)+N($S508)&lt;=0),"No area information",""))))))))</f>
        <v/>
      </c>
      <c r="AB508" s="22">
        <f>IF(AND($A508="",$B508=""),"",IF($K508="Point",N($L508),IF(N($N508)&gt;0,N($N508),N($L508))))</f>
        <v/>
      </c>
      <c r="AC508" s="22">
        <f>IF(AND($A508="",$B508=""),"",MIN(AB508,IF(N($J508)=0,0,IF(N($J508)=2,AB508,IF(AND($K508&lt;&gt;"Point",N($O508)&gt;0),N($O508),N($M508))))))</f>
        <v/>
      </c>
      <c r="AD508" s="22">
        <f>IF(AND($A508="",$B508=""),"",MAX(0,AB508-AC508))</f>
        <v/>
      </c>
      <c r="AE508" s="21">
        <f>IF(AND($A508="",$B508=""),"",IF(OR($R508&lt;&gt;"",$S508&lt;&gt;""),1,0))</f>
        <v/>
      </c>
      <c r="AF508" s="22">
        <f>IF(AND($A508="",$B508=""),"",IF(Z508=1,IF(AE508=1,N($R508),AD508),0))</f>
        <v/>
      </c>
      <c r="AG508" s="22">
        <f>IF(AND($A508="",$B508=""),"",IF(Z508=1,IF(AE508=1,N($S508),AC508),0))</f>
        <v/>
      </c>
      <c r="AH508" s="21">
        <f>IF(AND($A508="",$B508=""),"",IF(AND(ISNUMBER($I508),N($I508)&gt;0),$I508,0))</f>
        <v/>
      </c>
      <c r="AI508" s="23">
        <f>IF(AND(NOT(AND($A508="",$B508="")),$K508="Point",N($L508)&gt;0),SQRT(N($L508)/PI()),"")</f>
        <v/>
      </c>
      <c r="AJ508" s="21">
        <f>IF(AND($A508="",$B508=""),"",IFERROR(VLOOKUP($G508,Lists!$D$4:$E$15,2,FALSE),"Not reported"))</f>
        <v/>
      </c>
      <c r="AK508" s="21">
        <f>IF(AND($A508="",$B508=""),"",IF($X508&lt;&gt;"",$X508,IF($T508&lt;&gt;"Y","Not assessed",IF(AND(ISNUMBER($V508),Setup!$B$6-$V508&gt;Setup!$B$26),"Assessment outdated",IF(NOT(ISNUMBER($W508)),"Assessed – no score",IF($W508&gt;=Setup!$B$24,"High",IF($W508&gt;=Setup!$B$25,"Moderate","Low")))))))</f>
        <v/>
      </c>
      <c r="AL508" s="21">
        <f>IF(AND($A508="",$B508=""),"",IF(Z508=0,"",IF(AND(AE508=1,N($R508)&gt;AD508*1.01+0.001),"Net terrestrial &gt; gross; ","")&amp;IF(AND(AE508=1,N($S508)&gt;AC508*1.01+0.001),"Net marine &gt; gross; ","")&amp;IF(AE508=0,"No net area – gross used, overlaps may be double-counted; ","")&amp;IF(AH508=0,"STATUS_YR missing – imputed in time series; ","")&amp;IF(AND(ISNUMBER($I508),N($I508)&gt;Setup!$B$6),"STATUS_YR after reporting year; ","")&amp;IF(OR($G508="",$G508="Not Reported"),"GOV_TYPE not reported; ","")&amp;IF(AND(N($J508)=1,$K508="Point",N($M508)&lt;=0),"Coastal point without REP_M_AREA – land/sea split unknown; ","")&amp;IF(AND(N($J508)=0,N($S508)&gt;0),"MARINE=0 but net marine &gt;0; ","")&amp;IF(AND(N($J508)=2,N($R508)&gt;0),"MARINE=2 but net terrestrial &gt;0; ","")&amp;IF($K508="Point","Buffered point – coverage approximate; ","")))</f>
        <v/>
      </c>
    </row>
    <row r="509">
      <c r="A509" s="19" t="n"/>
      <c r="B509" s="19" t="n"/>
      <c r="C509" s="19" t="n"/>
      <c r="D509" s="19" t="n"/>
      <c r="E509" s="19" t="n"/>
      <c r="F509" s="19" t="n"/>
      <c r="G509" s="19" t="n"/>
      <c r="H509" s="19" t="n"/>
      <c r="I509" s="19" t="n"/>
      <c r="J509" s="19" t="n"/>
      <c r="K509" s="19" t="n"/>
      <c r="L509" s="20" t="n"/>
      <c r="M509" s="20" t="n"/>
      <c r="N509" s="20" t="n"/>
      <c r="O509" s="20" t="n"/>
      <c r="P509" s="19" t="n"/>
      <c r="Q509" s="19" t="n"/>
      <c r="R509" s="20" t="n"/>
      <c r="S509" s="20" t="n"/>
      <c r="T509" s="19" t="n"/>
      <c r="U509" s="19" t="n"/>
      <c r="V509" s="19" t="n"/>
      <c r="W509" s="19" t="n"/>
      <c r="X509" s="19" t="n"/>
      <c r="Y509" s="19" t="n"/>
      <c r="Z509" s="21">
        <f>IF(AND($A509="",$B509=""),"",IF(OR($E509="",$H509="",$H509="Proposed",$H509="Not Reported"),0,IF(AND($P509="Y",$Q509&lt;&gt;"Y"),0,IF(AND($K509="Point",N($L509)&lt;=0),0,IF(AND(N($L509)&lt;=0,N($N509)&lt;=0,N($R509)+N($S509)&lt;=0),0,1)))))</f>
        <v/>
      </c>
      <c r="AA509" s="21">
        <f>IF(AND($A509="",$B509=""),"",IF($E509="","Site type missing",IF($H509="","STATUS missing",IF($H509="Proposed","STATUS = Proposed",IF($H509="Not Reported","STATUS = Not Reported",IF(AND($P509="Y",$Q509&lt;&gt;"Y"),"UNESCO-MAB Biosphere Reserve",IF(AND($K509="Point",N($L509)&lt;=0),"Point without REP_AREA",IF(AND(N($L509)&lt;=0,N($N509)&lt;=0,N($R509)+N($S509)&lt;=0),"No area information",""))))))))</f>
        <v/>
      </c>
      <c r="AB509" s="22">
        <f>IF(AND($A509="",$B509=""),"",IF($K509="Point",N($L509),IF(N($N509)&gt;0,N($N509),N($L509))))</f>
        <v/>
      </c>
      <c r="AC509" s="22">
        <f>IF(AND($A509="",$B509=""),"",MIN(AB509,IF(N($J509)=0,0,IF(N($J509)=2,AB509,IF(AND($K509&lt;&gt;"Point",N($O509)&gt;0),N($O509),N($M509))))))</f>
        <v/>
      </c>
      <c r="AD509" s="22">
        <f>IF(AND($A509="",$B509=""),"",MAX(0,AB509-AC509))</f>
        <v/>
      </c>
      <c r="AE509" s="21">
        <f>IF(AND($A509="",$B509=""),"",IF(OR($R509&lt;&gt;"",$S509&lt;&gt;""),1,0))</f>
        <v/>
      </c>
      <c r="AF509" s="22">
        <f>IF(AND($A509="",$B509=""),"",IF(Z509=1,IF(AE509=1,N($R509),AD509),0))</f>
        <v/>
      </c>
      <c r="AG509" s="22">
        <f>IF(AND($A509="",$B509=""),"",IF(Z509=1,IF(AE509=1,N($S509),AC509),0))</f>
        <v/>
      </c>
      <c r="AH509" s="21">
        <f>IF(AND($A509="",$B509=""),"",IF(AND(ISNUMBER($I509),N($I509)&gt;0),$I509,0))</f>
        <v/>
      </c>
      <c r="AI509" s="23">
        <f>IF(AND(NOT(AND($A509="",$B509="")),$K509="Point",N($L509)&gt;0),SQRT(N($L509)/PI()),"")</f>
        <v/>
      </c>
      <c r="AJ509" s="21">
        <f>IF(AND($A509="",$B509=""),"",IFERROR(VLOOKUP($G509,Lists!$D$4:$E$15,2,FALSE),"Not reported"))</f>
        <v/>
      </c>
      <c r="AK509" s="21">
        <f>IF(AND($A509="",$B509=""),"",IF($X509&lt;&gt;"",$X509,IF($T509&lt;&gt;"Y","Not assessed",IF(AND(ISNUMBER($V509),Setup!$B$6-$V509&gt;Setup!$B$26),"Assessment outdated",IF(NOT(ISNUMBER($W509)),"Assessed – no score",IF($W509&gt;=Setup!$B$24,"High",IF($W509&gt;=Setup!$B$25,"Moderate","Low")))))))</f>
        <v/>
      </c>
      <c r="AL509" s="21">
        <f>IF(AND($A509="",$B509=""),"",IF(Z509=0,"",IF(AND(AE509=1,N($R509)&gt;AD509*1.01+0.001),"Net terrestrial &gt; gross; ","")&amp;IF(AND(AE509=1,N($S509)&gt;AC509*1.01+0.001),"Net marine &gt; gross; ","")&amp;IF(AE509=0,"No net area – gross used, overlaps may be double-counted; ","")&amp;IF(AH509=0,"STATUS_YR missing – imputed in time series; ","")&amp;IF(AND(ISNUMBER($I509),N($I509)&gt;Setup!$B$6),"STATUS_YR after reporting year; ","")&amp;IF(OR($G509="",$G509="Not Reported"),"GOV_TYPE not reported; ","")&amp;IF(AND(N($J509)=1,$K509="Point",N($M509)&lt;=0),"Coastal point without REP_M_AREA – land/sea split unknown; ","")&amp;IF(AND(N($J509)=0,N($S509)&gt;0),"MARINE=0 but net marine &gt;0; ","")&amp;IF(AND(N($J509)=2,N($R509)&gt;0),"MARINE=2 but net terrestrial &gt;0; ","")&amp;IF($K509="Point","Buffered point – coverage approximate; ","")))</f>
        <v/>
      </c>
    </row>
    <row r="510">
      <c r="A510" s="19" t="n"/>
      <c r="B510" s="19" t="n"/>
      <c r="C510" s="19" t="n"/>
      <c r="D510" s="19" t="n"/>
      <c r="E510" s="19" t="n"/>
      <c r="F510" s="19" t="n"/>
      <c r="G510" s="19" t="n"/>
      <c r="H510" s="19" t="n"/>
      <c r="I510" s="19" t="n"/>
      <c r="J510" s="19" t="n"/>
      <c r="K510" s="19" t="n"/>
      <c r="L510" s="20" t="n"/>
      <c r="M510" s="20" t="n"/>
      <c r="N510" s="20" t="n"/>
      <c r="O510" s="20" t="n"/>
      <c r="P510" s="19" t="n"/>
      <c r="Q510" s="19" t="n"/>
      <c r="R510" s="20" t="n"/>
      <c r="S510" s="20" t="n"/>
      <c r="T510" s="19" t="n"/>
      <c r="U510" s="19" t="n"/>
      <c r="V510" s="19" t="n"/>
      <c r="W510" s="19" t="n"/>
      <c r="X510" s="19" t="n"/>
      <c r="Y510" s="19" t="n"/>
      <c r="Z510" s="21">
        <f>IF(AND($A510="",$B510=""),"",IF(OR($E510="",$H510="",$H510="Proposed",$H510="Not Reported"),0,IF(AND($P510="Y",$Q510&lt;&gt;"Y"),0,IF(AND($K510="Point",N($L510)&lt;=0),0,IF(AND(N($L510)&lt;=0,N($N510)&lt;=0,N($R510)+N($S510)&lt;=0),0,1)))))</f>
        <v/>
      </c>
      <c r="AA510" s="21">
        <f>IF(AND($A510="",$B510=""),"",IF($E510="","Site type missing",IF($H510="","STATUS missing",IF($H510="Proposed","STATUS = Proposed",IF($H510="Not Reported","STATUS = Not Reported",IF(AND($P510="Y",$Q510&lt;&gt;"Y"),"UNESCO-MAB Biosphere Reserve",IF(AND($K510="Point",N($L510)&lt;=0),"Point without REP_AREA",IF(AND(N($L510)&lt;=0,N($N510)&lt;=0,N($R510)+N($S510)&lt;=0),"No area information",""))))))))</f>
        <v/>
      </c>
      <c r="AB510" s="22">
        <f>IF(AND($A510="",$B510=""),"",IF($K510="Point",N($L510),IF(N($N510)&gt;0,N($N510),N($L510))))</f>
        <v/>
      </c>
      <c r="AC510" s="22">
        <f>IF(AND($A510="",$B510=""),"",MIN(AB510,IF(N($J510)=0,0,IF(N($J510)=2,AB510,IF(AND($K510&lt;&gt;"Point",N($O510)&gt;0),N($O510),N($M510))))))</f>
        <v/>
      </c>
      <c r="AD510" s="22">
        <f>IF(AND($A510="",$B510=""),"",MAX(0,AB510-AC510))</f>
        <v/>
      </c>
      <c r="AE510" s="21">
        <f>IF(AND($A510="",$B510=""),"",IF(OR($R510&lt;&gt;"",$S510&lt;&gt;""),1,0))</f>
        <v/>
      </c>
      <c r="AF510" s="22">
        <f>IF(AND($A510="",$B510=""),"",IF(Z510=1,IF(AE510=1,N($R510),AD510),0))</f>
        <v/>
      </c>
      <c r="AG510" s="22">
        <f>IF(AND($A510="",$B510=""),"",IF(Z510=1,IF(AE510=1,N($S510),AC510),0))</f>
        <v/>
      </c>
      <c r="AH510" s="21">
        <f>IF(AND($A510="",$B510=""),"",IF(AND(ISNUMBER($I510),N($I510)&gt;0),$I510,0))</f>
        <v/>
      </c>
      <c r="AI510" s="23">
        <f>IF(AND(NOT(AND($A510="",$B510="")),$K510="Point",N($L510)&gt;0),SQRT(N($L510)/PI()),"")</f>
        <v/>
      </c>
      <c r="AJ510" s="21">
        <f>IF(AND($A510="",$B510=""),"",IFERROR(VLOOKUP($G510,Lists!$D$4:$E$15,2,FALSE),"Not reported"))</f>
        <v/>
      </c>
      <c r="AK510" s="21">
        <f>IF(AND($A510="",$B510=""),"",IF($X510&lt;&gt;"",$X510,IF($T510&lt;&gt;"Y","Not assessed",IF(AND(ISNUMBER($V510),Setup!$B$6-$V510&gt;Setup!$B$26),"Assessment outdated",IF(NOT(ISNUMBER($W510)),"Assessed – no score",IF($W510&gt;=Setup!$B$24,"High",IF($W510&gt;=Setup!$B$25,"Moderate","Low")))))))</f>
        <v/>
      </c>
      <c r="AL510" s="21">
        <f>IF(AND($A510="",$B510=""),"",IF(Z510=0,"",IF(AND(AE510=1,N($R510)&gt;AD510*1.01+0.001),"Net terrestrial &gt; gross; ","")&amp;IF(AND(AE510=1,N($S510)&gt;AC510*1.01+0.001),"Net marine &gt; gross; ","")&amp;IF(AE510=0,"No net area – gross used, overlaps may be double-counted; ","")&amp;IF(AH510=0,"STATUS_YR missing – imputed in time series; ","")&amp;IF(AND(ISNUMBER($I510),N($I510)&gt;Setup!$B$6),"STATUS_YR after reporting year; ","")&amp;IF(OR($G510="",$G510="Not Reported"),"GOV_TYPE not reported; ","")&amp;IF(AND(N($J510)=1,$K510="Point",N($M510)&lt;=0),"Coastal point without REP_M_AREA – land/sea split unknown; ","")&amp;IF(AND(N($J510)=0,N($S510)&gt;0),"MARINE=0 but net marine &gt;0; ","")&amp;IF(AND(N($J510)=2,N($R510)&gt;0),"MARINE=2 but net terrestrial &gt;0; ","")&amp;IF($K510="Point","Buffered point – coverage approximate; ","")))</f>
        <v/>
      </c>
    </row>
    <row r="511">
      <c r="A511" s="19" t="n"/>
      <c r="B511" s="19" t="n"/>
      <c r="C511" s="19" t="n"/>
      <c r="D511" s="19" t="n"/>
      <c r="E511" s="19" t="n"/>
      <c r="F511" s="19" t="n"/>
      <c r="G511" s="19" t="n"/>
      <c r="H511" s="19" t="n"/>
      <c r="I511" s="19" t="n"/>
      <c r="J511" s="19" t="n"/>
      <c r="K511" s="19" t="n"/>
      <c r="L511" s="20" t="n"/>
      <c r="M511" s="20" t="n"/>
      <c r="N511" s="20" t="n"/>
      <c r="O511" s="20" t="n"/>
      <c r="P511" s="19" t="n"/>
      <c r="Q511" s="19" t="n"/>
      <c r="R511" s="20" t="n"/>
      <c r="S511" s="20" t="n"/>
      <c r="T511" s="19" t="n"/>
      <c r="U511" s="19" t="n"/>
      <c r="V511" s="19" t="n"/>
      <c r="W511" s="19" t="n"/>
      <c r="X511" s="19" t="n"/>
      <c r="Y511" s="19" t="n"/>
      <c r="Z511" s="21">
        <f>IF(AND($A511="",$B511=""),"",IF(OR($E511="",$H511="",$H511="Proposed",$H511="Not Reported"),0,IF(AND($P511="Y",$Q511&lt;&gt;"Y"),0,IF(AND($K511="Point",N($L511)&lt;=0),0,IF(AND(N($L511)&lt;=0,N($N511)&lt;=0,N($R511)+N($S511)&lt;=0),0,1)))))</f>
        <v/>
      </c>
      <c r="AA511" s="21">
        <f>IF(AND($A511="",$B511=""),"",IF($E511="","Site type missing",IF($H511="","STATUS missing",IF($H511="Proposed","STATUS = Proposed",IF($H511="Not Reported","STATUS = Not Reported",IF(AND($P511="Y",$Q511&lt;&gt;"Y"),"UNESCO-MAB Biosphere Reserve",IF(AND($K511="Point",N($L511)&lt;=0),"Point without REP_AREA",IF(AND(N($L511)&lt;=0,N($N511)&lt;=0,N($R511)+N($S511)&lt;=0),"No area information",""))))))))</f>
        <v/>
      </c>
      <c r="AB511" s="22">
        <f>IF(AND($A511="",$B511=""),"",IF($K511="Point",N($L511),IF(N($N511)&gt;0,N($N511),N($L511))))</f>
        <v/>
      </c>
      <c r="AC511" s="22">
        <f>IF(AND($A511="",$B511=""),"",MIN(AB511,IF(N($J511)=0,0,IF(N($J511)=2,AB511,IF(AND($K511&lt;&gt;"Point",N($O511)&gt;0),N($O511),N($M511))))))</f>
        <v/>
      </c>
      <c r="AD511" s="22">
        <f>IF(AND($A511="",$B511=""),"",MAX(0,AB511-AC511))</f>
        <v/>
      </c>
      <c r="AE511" s="21">
        <f>IF(AND($A511="",$B511=""),"",IF(OR($R511&lt;&gt;"",$S511&lt;&gt;""),1,0))</f>
        <v/>
      </c>
      <c r="AF511" s="22">
        <f>IF(AND($A511="",$B511=""),"",IF(Z511=1,IF(AE511=1,N($R511),AD511),0))</f>
        <v/>
      </c>
      <c r="AG511" s="22">
        <f>IF(AND($A511="",$B511=""),"",IF(Z511=1,IF(AE511=1,N($S511),AC511),0))</f>
        <v/>
      </c>
      <c r="AH511" s="21">
        <f>IF(AND($A511="",$B511=""),"",IF(AND(ISNUMBER($I511),N($I511)&gt;0),$I511,0))</f>
        <v/>
      </c>
      <c r="AI511" s="23">
        <f>IF(AND(NOT(AND($A511="",$B511="")),$K511="Point",N($L511)&gt;0),SQRT(N($L511)/PI()),"")</f>
        <v/>
      </c>
      <c r="AJ511" s="21">
        <f>IF(AND($A511="",$B511=""),"",IFERROR(VLOOKUP($G511,Lists!$D$4:$E$15,2,FALSE),"Not reported"))</f>
        <v/>
      </c>
      <c r="AK511" s="21">
        <f>IF(AND($A511="",$B511=""),"",IF($X511&lt;&gt;"",$X511,IF($T511&lt;&gt;"Y","Not assessed",IF(AND(ISNUMBER($V511),Setup!$B$6-$V511&gt;Setup!$B$26),"Assessment outdated",IF(NOT(ISNUMBER($W511)),"Assessed – no score",IF($W511&gt;=Setup!$B$24,"High",IF($W511&gt;=Setup!$B$25,"Moderate","Low")))))))</f>
        <v/>
      </c>
      <c r="AL511" s="21">
        <f>IF(AND($A511="",$B511=""),"",IF(Z511=0,"",IF(AND(AE511=1,N($R511)&gt;AD511*1.01+0.001),"Net terrestrial &gt; gross; ","")&amp;IF(AND(AE511=1,N($S511)&gt;AC511*1.01+0.001),"Net marine &gt; gross; ","")&amp;IF(AE511=0,"No net area – gross used, overlaps may be double-counted; ","")&amp;IF(AH511=0,"STATUS_YR missing – imputed in time series; ","")&amp;IF(AND(ISNUMBER($I511),N($I511)&gt;Setup!$B$6),"STATUS_YR after reporting year; ","")&amp;IF(OR($G511="",$G511="Not Reported"),"GOV_TYPE not reported; ","")&amp;IF(AND(N($J511)=1,$K511="Point",N($M511)&lt;=0),"Coastal point without REP_M_AREA – land/sea split unknown; ","")&amp;IF(AND(N($J511)=0,N($S511)&gt;0),"MARINE=0 but net marine &gt;0; ","")&amp;IF(AND(N($J511)=2,N($R511)&gt;0),"MARINE=2 but net terrestrial &gt;0; ","")&amp;IF($K511="Point","Buffered point – coverage approximate; ","")))</f>
        <v/>
      </c>
    </row>
    <row r="512">
      <c r="A512" s="19" t="n"/>
      <c r="B512" s="19" t="n"/>
      <c r="C512" s="19" t="n"/>
      <c r="D512" s="19" t="n"/>
      <c r="E512" s="19" t="n"/>
      <c r="F512" s="19" t="n"/>
      <c r="G512" s="19" t="n"/>
      <c r="H512" s="19" t="n"/>
      <c r="I512" s="19" t="n"/>
      <c r="J512" s="19" t="n"/>
      <c r="K512" s="19" t="n"/>
      <c r="L512" s="20" t="n"/>
      <c r="M512" s="20" t="n"/>
      <c r="N512" s="20" t="n"/>
      <c r="O512" s="20" t="n"/>
      <c r="P512" s="19" t="n"/>
      <c r="Q512" s="19" t="n"/>
      <c r="R512" s="20" t="n"/>
      <c r="S512" s="20" t="n"/>
      <c r="T512" s="19" t="n"/>
      <c r="U512" s="19" t="n"/>
      <c r="V512" s="19" t="n"/>
      <c r="W512" s="19" t="n"/>
      <c r="X512" s="19" t="n"/>
      <c r="Y512" s="19" t="n"/>
      <c r="Z512" s="21">
        <f>IF(AND($A512="",$B512=""),"",IF(OR($E512="",$H512="",$H512="Proposed",$H512="Not Reported"),0,IF(AND($P512="Y",$Q512&lt;&gt;"Y"),0,IF(AND($K512="Point",N($L512)&lt;=0),0,IF(AND(N($L512)&lt;=0,N($N512)&lt;=0,N($R512)+N($S512)&lt;=0),0,1)))))</f>
        <v/>
      </c>
      <c r="AA512" s="21">
        <f>IF(AND($A512="",$B512=""),"",IF($E512="","Site type missing",IF($H512="","STATUS missing",IF($H512="Proposed","STATUS = Proposed",IF($H512="Not Reported","STATUS = Not Reported",IF(AND($P512="Y",$Q512&lt;&gt;"Y"),"UNESCO-MAB Biosphere Reserve",IF(AND($K512="Point",N($L512)&lt;=0),"Point without REP_AREA",IF(AND(N($L512)&lt;=0,N($N512)&lt;=0,N($R512)+N($S512)&lt;=0),"No area information",""))))))))</f>
        <v/>
      </c>
      <c r="AB512" s="22">
        <f>IF(AND($A512="",$B512=""),"",IF($K512="Point",N($L512),IF(N($N512)&gt;0,N($N512),N($L512))))</f>
        <v/>
      </c>
      <c r="AC512" s="22">
        <f>IF(AND($A512="",$B512=""),"",MIN(AB512,IF(N($J512)=0,0,IF(N($J512)=2,AB512,IF(AND($K512&lt;&gt;"Point",N($O512)&gt;0),N($O512),N($M512))))))</f>
        <v/>
      </c>
      <c r="AD512" s="22">
        <f>IF(AND($A512="",$B512=""),"",MAX(0,AB512-AC512))</f>
        <v/>
      </c>
      <c r="AE512" s="21">
        <f>IF(AND($A512="",$B512=""),"",IF(OR($R512&lt;&gt;"",$S512&lt;&gt;""),1,0))</f>
        <v/>
      </c>
      <c r="AF512" s="22">
        <f>IF(AND($A512="",$B512=""),"",IF(Z512=1,IF(AE512=1,N($R512),AD512),0))</f>
        <v/>
      </c>
      <c r="AG512" s="22">
        <f>IF(AND($A512="",$B512=""),"",IF(Z512=1,IF(AE512=1,N($S512),AC512),0))</f>
        <v/>
      </c>
      <c r="AH512" s="21">
        <f>IF(AND($A512="",$B512=""),"",IF(AND(ISNUMBER($I512),N($I512)&gt;0),$I512,0))</f>
        <v/>
      </c>
      <c r="AI512" s="23">
        <f>IF(AND(NOT(AND($A512="",$B512="")),$K512="Point",N($L512)&gt;0),SQRT(N($L512)/PI()),"")</f>
        <v/>
      </c>
      <c r="AJ512" s="21">
        <f>IF(AND($A512="",$B512=""),"",IFERROR(VLOOKUP($G512,Lists!$D$4:$E$15,2,FALSE),"Not reported"))</f>
        <v/>
      </c>
      <c r="AK512" s="21">
        <f>IF(AND($A512="",$B512=""),"",IF($X512&lt;&gt;"",$X512,IF($T512&lt;&gt;"Y","Not assessed",IF(AND(ISNUMBER($V512),Setup!$B$6-$V512&gt;Setup!$B$26),"Assessment outdated",IF(NOT(ISNUMBER($W512)),"Assessed – no score",IF($W512&gt;=Setup!$B$24,"High",IF($W512&gt;=Setup!$B$25,"Moderate","Low")))))))</f>
        <v/>
      </c>
      <c r="AL512" s="21">
        <f>IF(AND($A512="",$B512=""),"",IF(Z512=0,"",IF(AND(AE512=1,N($R512)&gt;AD512*1.01+0.001),"Net terrestrial &gt; gross; ","")&amp;IF(AND(AE512=1,N($S512)&gt;AC512*1.01+0.001),"Net marine &gt; gross; ","")&amp;IF(AE512=0,"No net area – gross used, overlaps may be double-counted; ","")&amp;IF(AH512=0,"STATUS_YR missing – imputed in time series; ","")&amp;IF(AND(ISNUMBER($I512),N($I512)&gt;Setup!$B$6),"STATUS_YR after reporting year; ","")&amp;IF(OR($G512="",$G512="Not Reported"),"GOV_TYPE not reported; ","")&amp;IF(AND(N($J512)=1,$K512="Point",N($M512)&lt;=0),"Coastal point without REP_M_AREA – land/sea split unknown; ","")&amp;IF(AND(N($J512)=0,N($S512)&gt;0),"MARINE=0 but net marine &gt;0; ","")&amp;IF(AND(N($J512)=2,N($R512)&gt;0),"MARINE=2 but net terrestrial &gt;0; ","")&amp;IF($K512="Point","Buffered point – coverage approximate; ","")))</f>
        <v/>
      </c>
    </row>
    <row r="513">
      <c r="A513" s="19" t="n"/>
      <c r="B513" s="19" t="n"/>
      <c r="C513" s="19" t="n"/>
      <c r="D513" s="19" t="n"/>
      <c r="E513" s="19" t="n"/>
      <c r="F513" s="19" t="n"/>
      <c r="G513" s="19" t="n"/>
      <c r="H513" s="19" t="n"/>
      <c r="I513" s="19" t="n"/>
      <c r="J513" s="19" t="n"/>
      <c r="K513" s="19" t="n"/>
      <c r="L513" s="20" t="n"/>
      <c r="M513" s="20" t="n"/>
      <c r="N513" s="20" t="n"/>
      <c r="O513" s="20" t="n"/>
      <c r="P513" s="19" t="n"/>
      <c r="Q513" s="19" t="n"/>
      <c r="R513" s="20" t="n"/>
      <c r="S513" s="20" t="n"/>
      <c r="T513" s="19" t="n"/>
      <c r="U513" s="19" t="n"/>
      <c r="V513" s="19" t="n"/>
      <c r="W513" s="19" t="n"/>
      <c r="X513" s="19" t="n"/>
      <c r="Y513" s="19" t="n"/>
      <c r="Z513" s="21">
        <f>IF(AND($A513="",$B513=""),"",IF(OR($E513="",$H513="",$H513="Proposed",$H513="Not Reported"),0,IF(AND($P513="Y",$Q513&lt;&gt;"Y"),0,IF(AND($K513="Point",N($L513)&lt;=0),0,IF(AND(N($L513)&lt;=0,N($N513)&lt;=0,N($R513)+N($S513)&lt;=0),0,1)))))</f>
        <v/>
      </c>
      <c r="AA513" s="21">
        <f>IF(AND($A513="",$B513=""),"",IF($E513="","Site type missing",IF($H513="","STATUS missing",IF($H513="Proposed","STATUS = Proposed",IF($H513="Not Reported","STATUS = Not Reported",IF(AND($P513="Y",$Q513&lt;&gt;"Y"),"UNESCO-MAB Biosphere Reserve",IF(AND($K513="Point",N($L513)&lt;=0),"Point without REP_AREA",IF(AND(N($L513)&lt;=0,N($N513)&lt;=0,N($R513)+N($S513)&lt;=0),"No area information",""))))))))</f>
        <v/>
      </c>
      <c r="AB513" s="22">
        <f>IF(AND($A513="",$B513=""),"",IF($K513="Point",N($L513),IF(N($N513)&gt;0,N($N513),N($L513))))</f>
        <v/>
      </c>
      <c r="AC513" s="22">
        <f>IF(AND($A513="",$B513=""),"",MIN(AB513,IF(N($J513)=0,0,IF(N($J513)=2,AB513,IF(AND($K513&lt;&gt;"Point",N($O513)&gt;0),N($O513),N($M513))))))</f>
        <v/>
      </c>
      <c r="AD513" s="22">
        <f>IF(AND($A513="",$B513=""),"",MAX(0,AB513-AC513))</f>
        <v/>
      </c>
      <c r="AE513" s="21">
        <f>IF(AND($A513="",$B513=""),"",IF(OR($R513&lt;&gt;"",$S513&lt;&gt;""),1,0))</f>
        <v/>
      </c>
      <c r="AF513" s="22">
        <f>IF(AND($A513="",$B513=""),"",IF(Z513=1,IF(AE513=1,N($R513),AD513),0))</f>
        <v/>
      </c>
      <c r="AG513" s="22">
        <f>IF(AND($A513="",$B513=""),"",IF(Z513=1,IF(AE513=1,N($S513),AC513),0))</f>
        <v/>
      </c>
      <c r="AH513" s="21">
        <f>IF(AND($A513="",$B513=""),"",IF(AND(ISNUMBER($I513),N($I513)&gt;0),$I513,0))</f>
        <v/>
      </c>
      <c r="AI513" s="23">
        <f>IF(AND(NOT(AND($A513="",$B513="")),$K513="Point",N($L513)&gt;0),SQRT(N($L513)/PI()),"")</f>
        <v/>
      </c>
      <c r="AJ513" s="21">
        <f>IF(AND($A513="",$B513=""),"",IFERROR(VLOOKUP($G513,Lists!$D$4:$E$15,2,FALSE),"Not reported"))</f>
        <v/>
      </c>
      <c r="AK513" s="21">
        <f>IF(AND($A513="",$B513=""),"",IF($X513&lt;&gt;"",$X513,IF($T513&lt;&gt;"Y","Not assessed",IF(AND(ISNUMBER($V513),Setup!$B$6-$V513&gt;Setup!$B$26),"Assessment outdated",IF(NOT(ISNUMBER($W513)),"Assessed – no score",IF($W513&gt;=Setup!$B$24,"High",IF($W513&gt;=Setup!$B$25,"Moderate","Low")))))))</f>
        <v/>
      </c>
      <c r="AL513" s="21">
        <f>IF(AND($A513="",$B513=""),"",IF(Z513=0,"",IF(AND(AE513=1,N($R513)&gt;AD513*1.01+0.001),"Net terrestrial &gt; gross; ","")&amp;IF(AND(AE513=1,N($S513)&gt;AC513*1.01+0.001),"Net marine &gt; gross; ","")&amp;IF(AE513=0,"No net area – gross used, overlaps may be double-counted; ","")&amp;IF(AH513=0,"STATUS_YR missing – imputed in time series; ","")&amp;IF(AND(ISNUMBER($I513),N($I513)&gt;Setup!$B$6),"STATUS_YR after reporting year; ","")&amp;IF(OR($G513="",$G513="Not Reported"),"GOV_TYPE not reported; ","")&amp;IF(AND(N($J513)=1,$K513="Point",N($M513)&lt;=0),"Coastal point without REP_M_AREA – land/sea split unknown; ","")&amp;IF(AND(N($J513)=0,N($S513)&gt;0),"MARINE=0 but net marine &gt;0; ","")&amp;IF(AND(N($J513)=2,N($R513)&gt;0),"MARINE=2 but net terrestrial &gt;0; ","")&amp;IF($K513="Point","Buffered point – coverage approximate; ","")))</f>
        <v/>
      </c>
    </row>
    <row r="514">
      <c r="A514" s="19" t="n"/>
      <c r="B514" s="19" t="n"/>
      <c r="C514" s="19" t="n"/>
      <c r="D514" s="19" t="n"/>
      <c r="E514" s="19" t="n"/>
      <c r="F514" s="19" t="n"/>
      <c r="G514" s="19" t="n"/>
      <c r="H514" s="19" t="n"/>
      <c r="I514" s="19" t="n"/>
      <c r="J514" s="19" t="n"/>
      <c r="K514" s="19" t="n"/>
      <c r="L514" s="20" t="n"/>
      <c r="M514" s="20" t="n"/>
      <c r="N514" s="20" t="n"/>
      <c r="O514" s="20" t="n"/>
      <c r="P514" s="19" t="n"/>
      <c r="Q514" s="19" t="n"/>
      <c r="R514" s="20" t="n"/>
      <c r="S514" s="20" t="n"/>
      <c r="T514" s="19" t="n"/>
      <c r="U514" s="19" t="n"/>
      <c r="V514" s="19" t="n"/>
      <c r="W514" s="19" t="n"/>
      <c r="X514" s="19" t="n"/>
      <c r="Y514" s="19" t="n"/>
      <c r="Z514" s="21">
        <f>IF(AND($A514="",$B514=""),"",IF(OR($E514="",$H514="",$H514="Proposed",$H514="Not Reported"),0,IF(AND($P514="Y",$Q514&lt;&gt;"Y"),0,IF(AND($K514="Point",N($L514)&lt;=0),0,IF(AND(N($L514)&lt;=0,N($N514)&lt;=0,N($R514)+N($S514)&lt;=0),0,1)))))</f>
        <v/>
      </c>
      <c r="AA514" s="21">
        <f>IF(AND($A514="",$B514=""),"",IF($E514="","Site type missing",IF($H514="","STATUS missing",IF($H514="Proposed","STATUS = Proposed",IF($H514="Not Reported","STATUS = Not Reported",IF(AND($P514="Y",$Q514&lt;&gt;"Y"),"UNESCO-MAB Biosphere Reserve",IF(AND($K514="Point",N($L514)&lt;=0),"Point without REP_AREA",IF(AND(N($L514)&lt;=0,N($N514)&lt;=0,N($R514)+N($S514)&lt;=0),"No area information",""))))))))</f>
        <v/>
      </c>
      <c r="AB514" s="22">
        <f>IF(AND($A514="",$B514=""),"",IF($K514="Point",N($L514),IF(N($N514)&gt;0,N($N514),N($L514))))</f>
        <v/>
      </c>
      <c r="AC514" s="22">
        <f>IF(AND($A514="",$B514=""),"",MIN(AB514,IF(N($J514)=0,0,IF(N($J514)=2,AB514,IF(AND($K514&lt;&gt;"Point",N($O514)&gt;0),N($O514),N($M514))))))</f>
        <v/>
      </c>
      <c r="AD514" s="22">
        <f>IF(AND($A514="",$B514=""),"",MAX(0,AB514-AC514))</f>
        <v/>
      </c>
      <c r="AE514" s="21">
        <f>IF(AND($A514="",$B514=""),"",IF(OR($R514&lt;&gt;"",$S514&lt;&gt;""),1,0))</f>
        <v/>
      </c>
      <c r="AF514" s="22">
        <f>IF(AND($A514="",$B514=""),"",IF(Z514=1,IF(AE514=1,N($R514),AD514),0))</f>
        <v/>
      </c>
      <c r="AG514" s="22">
        <f>IF(AND($A514="",$B514=""),"",IF(Z514=1,IF(AE514=1,N($S514),AC514),0))</f>
        <v/>
      </c>
      <c r="AH514" s="21">
        <f>IF(AND($A514="",$B514=""),"",IF(AND(ISNUMBER($I514),N($I514)&gt;0),$I514,0))</f>
        <v/>
      </c>
      <c r="AI514" s="23">
        <f>IF(AND(NOT(AND($A514="",$B514="")),$K514="Point",N($L514)&gt;0),SQRT(N($L514)/PI()),"")</f>
        <v/>
      </c>
      <c r="AJ514" s="21">
        <f>IF(AND($A514="",$B514=""),"",IFERROR(VLOOKUP($G514,Lists!$D$4:$E$15,2,FALSE),"Not reported"))</f>
        <v/>
      </c>
      <c r="AK514" s="21">
        <f>IF(AND($A514="",$B514=""),"",IF($X514&lt;&gt;"",$X514,IF($T514&lt;&gt;"Y","Not assessed",IF(AND(ISNUMBER($V514),Setup!$B$6-$V514&gt;Setup!$B$26),"Assessment outdated",IF(NOT(ISNUMBER($W514)),"Assessed – no score",IF($W514&gt;=Setup!$B$24,"High",IF($W514&gt;=Setup!$B$25,"Moderate","Low")))))))</f>
        <v/>
      </c>
      <c r="AL514" s="21">
        <f>IF(AND($A514="",$B514=""),"",IF(Z514=0,"",IF(AND(AE514=1,N($R514)&gt;AD514*1.01+0.001),"Net terrestrial &gt; gross; ","")&amp;IF(AND(AE514=1,N($S514)&gt;AC514*1.01+0.001),"Net marine &gt; gross; ","")&amp;IF(AE514=0,"No net area – gross used, overlaps may be double-counted; ","")&amp;IF(AH514=0,"STATUS_YR missing – imputed in time series; ","")&amp;IF(AND(ISNUMBER($I514),N($I514)&gt;Setup!$B$6),"STATUS_YR after reporting year; ","")&amp;IF(OR($G514="",$G514="Not Reported"),"GOV_TYPE not reported; ","")&amp;IF(AND(N($J514)=1,$K514="Point",N($M514)&lt;=0),"Coastal point without REP_M_AREA – land/sea split unknown; ","")&amp;IF(AND(N($J514)=0,N($S514)&gt;0),"MARINE=0 but net marine &gt;0; ","")&amp;IF(AND(N($J514)=2,N($R514)&gt;0),"MARINE=2 but net terrestrial &gt;0; ","")&amp;IF($K514="Point","Buffered point – coverage approximate; ","")))</f>
        <v/>
      </c>
    </row>
    <row r="515">
      <c r="A515" s="19" t="n"/>
      <c r="B515" s="19" t="n"/>
      <c r="C515" s="19" t="n"/>
      <c r="D515" s="19" t="n"/>
      <c r="E515" s="19" t="n"/>
      <c r="F515" s="19" t="n"/>
      <c r="G515" s="19" t="n"/>
      <c r="H515" s="19" t="n"/>
      <c r="I515" s="19" t="n"/>
      <c r="J515" s="19" t="n"/>
      <c r="K515" s="19" t="n"/>
      <c r="L515" s="20" t="n"/>
      <c r="M515" s="20" t="n"/>
      <c r="N515" s="20" t="n"/>
      <c r="O515" s="20" t="n"/>
      <c r="P515" s="19" t="n"/>
      <c r="Q515" s="19" t="n"/>
      <c r="R515" s="20" t="n"/>
      <c r="S515" s="20" t="n"/>
      <c r="T515" s="19" t="n"/>
      <c r="U515" s="19" t="n"/>
      <c r="V515" s="19" t="n"/>
      <c r="W515" s="19" t="n"/>
      <c r="X515" s="19" t="n"/>
      <c r="Y515" s="19" t="n"/>
      <c r="Z515" s="21">
        <f>IF(AND($A515="",$B515=""),"",IF(OR($E515="",$H515="",$H515="Proposed",$H515="Not Reported"),0,IF(AND($P515="Y",$Q515&lt;&gt;"Y"),0,IF(AND($K515="Point",N($L515)&lt;=0),0,IF(AND(N($L515)&lt;=0,N($N515)&lt;=0,N($R515)+N($S515)&lt;=0),0,1)))))</f>
        <v/>
      </c>
      <c r="AA515" s="21">
        <f>IF(AND($A515="",$B515=""),"",IF($E515="","Site type missing",IF($H515="","STATUS missing",IF($H515="Proposed","STATUS = Proposed",IF($H515="Not Reported","STATUS = Not Reported",IF(AND($P515="Y",$Q515&lt;&gt;"Y"),"UNESCO-MAB Biosphere Reserve",IF(AND($K515="Point",N($L515)&lt;=0),"Point without REP_AREA",IF(AND(N($L515)&lt;=0,N($N515)&lt;=0,N($R515)+N($S515)&lt;=0),"No area information",""))))))))</f>
        <v/>
      </c>
      <c r="AB515" s="22">
        <f>IF(AND($A515="",$B515=""),"",IF($K515="Point",N($L515),IF(N($N515)&gt;0,N($N515),N($L515))))</f>
        <v/>
      </c>
      <c r="AC515" s="22">
        <f>IF(AND($A515="",$B515=""),"",MIN(AB515,IF(N($J515)=0,0,IF(N($J515)=2,AB515,IF(AND($K515&lt;&gt;"Point",N($O515)&gt;0),N($O515),N($M515))))))</f>
        <v/>
      </c>
      <c r="AD515" s="22">
        <f>IF(AND($A515="",$B515=""),"",MAX(0,AB515-AC515))</f>
        <v/>
      </c>
      <c r="AE515" s="21">
        <f>IF(AND($A515="",$B515=""),"",IF(OR($R515&lt;&gt;"",$S515&lt;&gt;""),1,0))</f>
        <v/>
      </c>
      <c r="AF515" s="22">
        <f>IF(AND($A515="",$B515=""),"",IF(Z515=1,IF(AE515=1,N($R515),AD515),0))</f>
        <v/>
      </c>
      <c r="AG515" s="22">
        <f>IF(AND($A515="",$B515=""),"",IF(Z515=1,IF(AE515=1,N($S515),AC515),0))</f>
        <v/>
      </c>
      <c r="AH515" s="21">
        <f>IF(AND($A515="",$B515=""),"",IF(AND(ISNUMBER($I515),N($I515)&gt;0),$I515,0))</f>
        <v/>
      </c>
      <c r="AI515" s="23">
        <f>IF(AND(NOT(AND($A515="",$B515="")),$K515="Point",N($L515)&gt;0),SQRT(N($L515)/PI()),"")</f>
        <v/>
      </c>
      <c r="AJ515" s="21">
        <f>IF(AND($A515="",$B515=""),"",IFERROR(VLOOKUP($G515,Lists!$D$4:$E$15,2,FALSE),"Not reported"))</f>
        <v/>
      </c>
      <c r="AK515" s="21">
        <f>IF(AND($A515="",$B515=""),"",IF($X515&lt;&gt;"",$X515,IF($T515&lt;&gt;"Y","Not assessed",IF(AND(ISNUMBER($V515),Setup!$B$6-$V515&gt;Setup!$B$26),"Assessment outdated",IF(NOT(ISNUMBER($W515)),"Assessed – no score",IF($W515&gt;=Setup!$B$24,"High",IF($W515&gt;=Setup!$B$25,"Moderate","Low")))))))</f>
        <v/>
      </c>
      <c r="AL515" s="21">
        <f>IF(AND($A515="",$B515=""),"",IF(Z515=0,"",IF(AND(AE515=1,N($R515)&gt;AD515*1.01+0.001),"Net terrestrial &gt; gross; ","")&amp;IF(AND(AE515=1,N($S515)&gt;AC515*1.01+0.001),"Net marine &gt; gross; ","")&amp;IF(AE515=0,"No net area – gross used, overlaps may be double-counted; ","")&amp;IF(AH515=0,"STATUS_YR missing – imputed in time series; ","")&amp;IF(AND(ISNUMBER($I515),N($I515)&gt;Setup!$B$6),"STATUS_YR after reporting year; ","")&amp;IF(OR($G515="",$G515="Not Reported"),"GOV_TYPE not reported; ","")&amp;IF(AND(N($J515)=1,$K515="Point",N($M515)&lt;=0),"Coastal point without REP_M_AREA – land/sea split unknown; ","")&amp;IF(AND(N($J515)=0,N($S515)&gt;0),"MARINE=0 but net marine &gt;0; ","")&amp;IF(AND(N($J515)=2,N($R515)&gt;0),"MARINE=2 but net terrestrial &gt;0; ","")&amp;IF($K515="Point","Buffered point – coverage approximate; ","")))</f>
        <v/>
      </c>
    </row>
    <row r="516">
      <c r="A516" s="19" t="n"/>
      <c r="B516" s="19" t="n"/>
      <c r="C516" s="19" t="n"/>
      <c r="D516" s="19" t="n"/>
      <c r="E516" s="19" t="n"/>
      <c r="F516" s="19" t="n"/>
      <c r="G516" s="19" t="n"/>
      <c r="H516" s="19" t="n"/>
      <c r="I516" s="19" t="n"/>
      <c r="J516" s="19" t="n"/>
      <c r="K516" s="19" t="n"/>
      <c r="L516" s="20" t="n"/>
      <c r="M516" s="20" t="n"/>
      <c r="N516" s="20" t="n"/>
      <c r="O516" s="20" t="n"/>
      <c r="P516" s="19" t="n"/>
      <c r="Q516" s="19" t="n"/>
      <c r="R516" s="20" t="n"/>
      <c r="S516" s="20" t="n"/>
      <c r="T516" s="19" t="n"/>
      <c r="U516" s="19" t="n"/>
      <c r="V516" s="19" t="n"/>
      <c r="W516" s="19" t="n"/>
      <c r="X516" s="19" t="n"/>
      <c r="Y516" s="19" t="n"/>
      <c r="Z516" s="21">
        <f>IF(AND($A516="",$B516=""),"",IF(OR($E516="",$H516="",$H516="Proposed",$H516="Not Reported"),0,IF(AND($P516="Y",$Q516&lt;&gt;"Y"),0,IF(AND($K516="Point",N($L516)&lt;=0),0,IF(AND(N($L516)&lt;=0,N($N516)&lt;=0,N($R516)+N($S516)&lt;=0),0,1)))))</f>
        <v/>
      </c>
      <c r="AA516" s="21">
        <f>IF(AND($A516="",$B516=""),"",IF($E516="","Site type missing",IF($H516="","STATUS missing",IF($H516="Proposed","STATUS = Proposed",IF($H516="Not Reported","STATUS = Not Reported",IF(AND($P516="Y",$Q516&lt;&gt;"Y"),"UNESCO-MAB Biosphere Reserve",IF(AND($K516="Point",N($L516)&lt;=0),"Point without REP_AREA",IF(AND(N($L516)&lt;=0,N($N516)&lt;=0,N($R516)+N($S516)&lt;=0),"No area information",""))))))))</f>
        <v/>
      </c>
      <c r="AB516" s="22">
        <f>IF(AND($A516="",$B516=""),"",IF($K516="Point",N($L516),IF(N($N516)&gt;0,N($N516),N($L516))))</f>
        <v/>
      </c>
      <c r="AC516" s="22">
        <f>IF(AND($A516="",$B516=""),"",MIN(AB516,IF(N($J516)=0,0,IF(N($J516)=2,AB516,IF(AND($K516&lt;&gt;"Point",N($O516)&gt;0),N($O516),N($M516))))))</f>
        <v/>
      </c>
      <c r="AD516" s="22">
        <f>IF(AND($A516="",$B516=""),"",MAX(0,AB516-AC516))</f>
        <v/>
      </c>
      <c r="AE516" s="21">
        <f>IF(AND($A516="",$B516=""),"",IF(OR($R516&lt;&gt;"",$S516&lt;&gt;""),1,0))</f>
        <v/>
      </c>
      <c r="AF516" s="22">
        <f>IF(AND($A516="",$B516=""),"",IF(Z516=1,IF(AE516=1,N($R516),AD516),0))</f>
        <v/>
      </c>
      <c r="AG516" s="22">
        <f>IF(AND($A516="",$B516=""),"",IF(Z516=1,IF(AE516=1,N($S516),AC516),0))</f>
        <v/>
      </c>
      <c r="AH516" s="21">
        <f>IF(AND($A516="",$B516=""),"",IF(AND(ISNUMBER($I516),N($I516)&gt;0),$I516,0))</f>
        <v/>
      </c>
      <c r="AI516" s="23">
        <f>IF(AND(NOT(AND($A516="",$B516="")),$K516="Point",N($L516)&gt;0),SQRT(N($L516)/PI()),"")</f>
        <v/>
      </c>
      <c r="AJ516" s="21">
        <f>IF(AND($A516="",$B516=""),"",IFERROR(VLOOKUP($G516,Lists!$D$4:$E$15,2,FALSE),"Not reported"))</f>
        <v/>
      </c>
      <c r="AK516" s="21">
        <f>IF(AND($A516="",$B516=""),"",IF($X516&lt;&gt;"",$X516,IF($T516&lt;&gt;"Y","Not assessed",IF(AND(ISNUMBER($V516),Setup!$B$6-$V516&gt;Setup!$B$26),"Assessment outdated",IF(NOT(ISNUMBER($W516)),"Assessed – no score",IF($W516&gt;=Setup!$B$24,"High",IF($W516&gt;=Setup!$B$25,"Moderate","Low")))))))</f>
        <v/>
      </c>
      <c r="AL516" s="21">
        <f>IF(AND($A516="",$B516=""),"",IF(Z516=0,"",IF(AND(AE516=1,N($R516)&gt;AD516*1.01+0.001),"Net terrestrial &gt; gross; ","")&amp;IF(AND(AE516=1,N($S516)&gt;AC516*1.01+0.001),"Net marine &gt; gross; ","")&amp;IF(AE516=0,"No net area – gross used, overlaps may be double-counted; ","")&amp;IF(AH516=0,"STATUS_YR missing – imputed in time series; ","")&amp;IF(AND(ISNUMBER($I516),N($I516)&gt;Setup!$B$6),"STATUS_YR after reporting year; ","")&amp;IF(OR($G516="",$G516="Not Reported"),"GOV_TYPE not reported; ","")&amp;IF(AND(N($J516)=1,$K516="Point",N($M516)&lt;=0),"Coastal point without REP_M_AREA – land/sea split unknown; ","")&amp;IF(AND(N($J516)=0,N($S516)&gt;0),"MARINE=0 but net marine &gt;0; ","")&amp;IF(AND(N($J516)=2,N($R516)&gt;0),"MARINE=2 but net terrestrial &gt;0; ","")&amp;IF($K516="Point","Buffered point – coverage approximate; ","")))</f>
        <v/>
      </c>
    </row>
    <row r="517">
      <c r="A517" s="19" t="n"/>
      <c r="B517" s="19" t="n"/>
      <c r="C517" s="19" t="n"/>
      <c r="D517" s="19" t="n"/>
      <c r="E517" s="19" t="n"/>
      <c r="F517" s="19" t="n"/>
      <c r="G517" s="19" t="n"/>
      <c r="H517" s="19" t="n"/>
      <c r="I517" s="19" t="n"/>
      <c r="J517" s="19" t="n"/>
      <c r="K517" s="19" t="n"/>
      <c r="L517" s="20" t="n"/>
      <c r="M517" s="20" t="n"/>
      <c r="N517" s="20" t="n"/>
      <c r="O517" s="20" t="n"/>
      <c r="P517" s="19" t="n"/>
      <c r="Q517" s="19" t="n"/>
      <c r="R517" s="20" t="n"/>
      <c r="S517" s="20" t="n"/>
      <c r="T517" s="19" t="n"/>
      <c r="U517" s="19" t="n"/>
      <c r="V517" s="19" t="n"/>
      <c r="W517" s="19" t="n"/>
      <c r="X517" s="19" t="n"/>
      <c r="Y517" s="19" t="n"/>
      <c r="Z517" s="21">
        <f>IF(AND($A517="",$B517=""),"",IF(OR($E517="",$H517="",$H517="Proposed",$H517="Not Reported"),0,IF(AND($P517="Y",$Q517&lt;&gt;"Y"),0,IF(AND($K517="Point",N($L517)&lt;=0),0,IF(AND(N($L517)&lt;=0,N($N517)&lt;=0,N($R517)+N($S517)&lt;=0),0,1)))))</f>
        <v/>
      </c>
      <c r="AA517" s="21">
        <f>IF(AND($A517="",$B517=""),"",IF($E517="","Site type missing",IF($H517="","STATUS missing",IF($H517="Proposed","STATUS = Proposed",IF($H517="Not Reported","STATUS = Not Reported",IF(AND($P517="Y",$Q517&lt;&gt;"Y"),"UNESCO-MAB Biosphere Reserve",IF(AND($K517="Point",N($L517)&lt;=0),"Point without REP_AREA",IF(AND(N($L517)&lt;=0,N($N517)&lt;=0,N($R517)+N($S517)&lt;=0),"No area information",""))))))))</f>
        <v/>
      </c>
      <c r="AB517" s="22">
        <f>IF(AND($A517="",$B517=""),"",IF($K517="Point",N($L517),IF(N($N517)&gt;0,N($N517),N($L517))))</f>
        <v/>
      </c>
      <c r="AC517" s="22">
        <f>IF(AND($A517="",$B517=""),"",MIN(AB517,IF(N($J517)=0,0,IF(N($J517)=2,AB517,IF(AND($K517&lt;&gt;"Point",N($O517)&gt;0),N($O517),N($M517))))))</f>
        <v/>
      </c>
      <c r="AD517" s="22">
        <f>IF(AND($A517="",$B517=""),"",MAX(0,AB517-AC517))</f>
        <v/>
      </c>
      <c r="AE517" s="21">
        <f>IF(AND($A517="",$B517=""),"",IF(OR($R517&lt;&gt;"",$S517&lt;&gt;""),1,0))</f>
        <v/>
      </c>
      <c r="AF517" s="22">
        <f>IF(AND($A517="",$B517=""),"",IF(Z517=1,IF(AE517=1,N($R517),AD517),0))</f>
        <v/>
      </c>
      <c r="AG517" s="22">
        <f>IF(AND($A517="",$B517=""),"",IF(Z517=1,IF(AE517=1,N($S517),AC517),0))</f>
        <v/>
      </c>
      <c r="AH517" s="21">
        <f>IF(AND($A517="",$B517=""),"",IF(AND(ISNUMBER($I517),N($I517)&gt;0),$I517,0))</f>
        <v/>
      </c>
      <c r="AI517" s="23">
        <f>IF(AND(NOT(AND($A517="",$B517="")),$K517="Point",N($L517)&gt;0),SQRT(N($L517)/PI()),"")</f>
        <v/>
      </c>
      <c r="AJ517" s="21">
        <f>IF(AND($A517="",$B517=""),"",IFERROR(VLOOKUP($G517,Lists!$D$4:$E$15,2,FALSE),"Not reported"))</f>
        <v/>
      </c>
      <c r="AK517" s="21">
        <f>IF(AND($A517="",$B517=""),"",IF($X517&lt;&gt;"",$X517,IF($T517&lt;&gt;"Y","Not assessed",IF(AND(ISNUMBER($V517),Setup!$B$6-$V517&gt;Setup!$B$26),"Assessment outdated",IF(NOT(ISNUMBER($W517)),"Assessed – no score",IF($W517&gt;=Setup!$B$24,"High",IF($W517&gt;=Setup!$B$25,"Moderate","Low")))))))</f>
        <v/>
      </c>
      <c r="AL517" s="21">
        <f>IF(AND($A517="",$B517=""),"",IF(Z517=0,"",IF(AND(AE517=1,N($R517)&gt;AD517*1.01+0.001),"Net terrestrial &gt; gross; ","")&amp;IF(AND(AE517=1,N($S517)&gt;AC517*1.01+0.001),"Net marine &gt; gross; ","")&amp;IF(AE517=0,"No net area – gross used, overlaps may be double-counted; ","")&amp;IF(AH517=0,"STATUS_YR missing – imputed in time series; ","")&amp;IF(AND(ISNUMBER($I517),N($I517)&gt;Setup!$B$6),"STATUS_YR after reporting year; ","")&amp;IF(OR($G517="",$G517="Not Reported"),"GOV_TYPE not reported; ","")&amp;IF(AND(N($J517)=1,$K517="Point",N($M517)&lt;=0),"Coastal point without REP_M_AREA – land/sea split unknown; ","")&amp;IF(AND(N($J517)=0,N($S517)&gt;0),"MARINE=0 but net marine &gt;0; ","")&amp;IF(AND(N($J517)=2,N($R517)&gt;0),"MARINE=2 but net terrestrial &gt;0; ","")&amp;IF($K517="Point","Buffered point – coverage approximate; ","")))</f>
        <v/>
      </c>
    </row>
    <row r="518">
      <c r="A518" s="19" t="n"/>
      <c r="B518" s="19" t="n"/>
      <c r="C518" s="19" t="n"/>
      <c r="D518" s="19" t="n"/>
      <c r="E518" s="19" t="n"/>
      <c r="F518" s="19" t="n"/>
      <c r="G518" s="19" t="n"/>
      <c r="H518" s="19" t="n"/>
      <c r="I518" s="19" t="n"/>
      <c r="J518" s="19" t="n"/>
      <c r="K518" s="19" t="n"/>
      <c r="L518" s="20" t="n"/>
      <c r="M518" s="20" t="n"/>
      <c r="N518" s="20" t="n"/>
      <c r="O518" s="20" t="n"/>
      <c r="P518" s="19" t="n"/>
      <c r="Q518" s="19" t="n"/>
      <c r="R518" s="20" t="n"/>
      <c r="S518" s="20" t="n"/>
      <c r="T518" s="19" t="n"/>
      <c r="U518" s="19" t="n"/>
      <c r="V518" s="19" t="n"/>
      <c r="W518" s="19" t="n"/>
      <c r="X518" s="19" t="n"/>
      <c r="Y518" s="19" t="n"/>
      <c r="Z518" s="21">
        <f>IF(AND($A518="",$B518=""),"",IF(OR($E518="",$H518="",$H518="Proposed",$H518="Not Reported"),0,IF(AND($P518="Y",$Q518&lt;&gt;"Y"),0,IF(AND($K518="Point",N($L518)&lt;=0),0,IF(AND(N($L518)&lt;=0,N($N518)&lt;=0,N($R518)+N($S518)&lt;=0),0,1)))))</f>
        <v/>
      </c>
      <c r="AA518" s="21">
        <f>IF(AND($A518="",$B518=""),"",IF($E518="","Site type missing",IF($H518="","STATUS missing",IF($H518="Proposed","STATUS = Proposed",IF($H518="Not Reported","STATUS = Not Reported",IF(AND($P518="Y",$Q518&lt;&gt;"Y"),"UNESCO-MAB Biosphere Reserve",IF(AND($K518="Point",N($L518)&lt;=0),"Point without REP_AREA",IF(AND(N($L518)&lt;=0,N($N518)&lt;=0,N($R518)+N($S518)&lt;=0),"No area information",""))))))))</f>
        <v/>
      </c>
      <c r="AB518" s="22">
        <f>IF(AND($A518="",$B518=""),"",IF($K518="Point",N($L518),IF(N($N518)&gt;0,N($N518),N($L518))))</f>
        <v/>
      </c>
      <c r="AC518" s="22">
        <f>IF(AND($A518="",$B518=""),"",MIN(AB518,IF(N($J518)=0,0,IF(N($J518)=2,AB518,IF(AND($K518&lt;&gt;"Point",N($O518)&gt;0),N($O518),N($M518))))))</f>
        <v/>
      </c>
      <c r="AD518" s="22">
        <f>IF(AND($A518="",$B518=""),"",MAX(0,AB518-AC518))</f>
        <v/>
      </c>
      <c r="AE518" s="21">
        <f>IF(AND($A518="",$B518=""),"",IF(OR($R518&lt;&gt;"",$S518&lt;&gt;""),1,0))</f>
        <v/>
      </c>
      <c r="AF518" s="22">
        <f>IF(AND($A518="",$B518=""),"",IF(Z518=1,IF(AE518=1,N($R518),AD518),0))</f>
        <v/>
      </c>
      <c r="AG518" s="22">
        <f>IF(AND($A518="",$B518=""),"",IF(Z518=1,IF(AE518=1,N($S518),AC518),0))</f>
        <v/>
      </c>
      <c r="AH518" s="21">
        <f>IF(AND($A518="",$B518=""),"",IF(AND(ISNUMBER($I518),N($I518)&gt;0),$I518,0))</f>
        <v/>
      </c>
      <c r="AI518" s="23">
        <f>IF(AND(NOT(AND($A518="",$B518="")),$K518="Point",N($L518)&gt;0),SQRT(N($L518)/PI()),"")</f>
        <v/>
      </c>
      <c r="AJ518" s="21">
        <f>IF(AND($A518="",$B518=""),"",IFERROR(VLOOKUP($G518,Lists!$D$4:$E$15,2,FALSE),"Not reported"))</f>
        <v/>
      </c>
      <c r="AK518" s="21">
        <f>IF(AND($A518="",$B518=""),"",IF($X518&lt;&gt;"",$X518,IF($T518&lt;&gt;"Y","Not assessed",IF(AND(ISNUMBER($V518),Setup!$B$6-$V518&gt;Setup!$B$26),"Assessment outdated",IF(NOT(ISNUMBER($W518)),"Assessed – no score",IF($W518&gt;=Setup!$B$24,"High",IF($W518&gt;=Setup!$B$25,"Moderate","Low")))))))</f>
        <v/>
      </c>
      <c r="AL518" s="21">
        <f>IF(AND($A518="",$B518=""),"",IF(Z518=0,"",IF(AND(AE518=1,N($R518)&gt;AD518*1.01+0.001),"Net terrestrial &gt; gross; ","")&amp;IF(AND(AE518=1,N($S518)&gt;AC518*1.01+0.001),"Net marine &gt; gross; ","")&amp;IF(AE518=0,"No net area – gross used, overlaps may be double-counted; ","")&amp;IF(AH518=0,"STATUS_YR missing – imputed in time series; ","")&amp;IF(AND(ISNUMBER($I518),N($I518)&gt;Setup!$B$6),"STATUS_YR after reporting year; ","")&amp;IF(OR($G518="",$G518="Not Reported"),"GOV_TYPE not reported; ","")&amp;IF(AND(N($J518)=1,$K518="Point",N($M518)&lt;=0),"Coastal point without REP_M_AREA – land/sea split unknown; ","")&amp;IF(AND(N($J518)=0,N($S518)&gt;0),"MARINE=0 but net marine &gt;0; ","")&amp;IF(AND(N($J518)=2,N($R518)&gt;0),"MARINE=2 but net terrestrial &gt;0; ","")&amp;IF($K518="Point","Buffered point – coverage approximate; ","")))</f>
        <v/>
      </c>
    </row>
    <row r="519">
      <c r="A519" s="19" t="n"/>
      <c r="B519" s="19" t="n"/>
      <c r="C519" s="19" t="n"/>
      <c r="D519" s="19" t="n"/>
      <c r="E519" s="19" t="n"/>
      <c r="F519" s="19" t="n"/>
      <c r="G519" s="19" t="n"/>
      <c r="H519" s="19" t="n"/>
      <c r="I519" s="19" t="n"/>
      <c r="J519" s="19" t="n"/>
      <c r="K519" s="19" t="n"/>
      <c r="L519" s="20" t="n"/>
      <c r="M519" s="20" t="n"/>
      <c r="N519" s="20" t="n"/>
      <c r="O519" s="20" t="n"/>
      <c r="P519" s="19" t="n"/>
      <c r="Q519" s="19" t="n"/>
      <c r="R519" s="20" t="n"/>
      <c r="S519" s="20" t="n"/>
      <c r="T519" s="19" t="n"/>
      <c r="U519" s="19" t="n"/>
      <c r="V519" s="19" t="n"/>
      <c r="W519" s="19" t="n"/>
      <c r="X519" s="19" t="n"/>
      <c r="Y519" s="19" t="n"/>
      <c r="Z519" s="21">
        <f>IF(AND($A519="",$B519=""),"",IF(OR($E519="",$H519="",$H519="Proposed",$H519="Not Reported"),0,IF(AND($P519="Y",$Q519&lt;&gt;"Y"),0,IF(AND($K519="Point",N($L519)&lt;=0),0,IF(AND(N($L519)&lt;=0,N($N519)&lt;=0,N($R519)+N($S519)&lt;=0),0,1)))))</f>
        <v/>
      </c>
      <c r="AA519" s="21">
        <f>IF(AND($A519="",$B519=""),"",IF($E519="","Site type missing",IF($H519="","STATUS missing",IF($H519="Proposed","STATUS = Proposed",IF($H519="Not Reported","STATUS = Not Reported",IF(AND($P519="Y",$Q519&lt;&gt;"Y"),"UNESCO-MAB Biosphere Reserve",IF(AND($K519="Point",N($L519)&lt;=0),"Point without REP_AREA",IF(AND(N($L519)&lt;=0,N($N519)&lt;=0,N($R519)+N($S519)&lt;=0),"No area information",""))))))))</f>
        <v/>
      </c>
      <c r="AB519" s="22">
        <f>IF(AND($A519="",$B519=""),"",IF($K519="Point",N($L519),IF(N($N519)&gt;0,N($N519),N($L519))))</f>
        <v/>
      </c>
      <c r="AC519" s="22">
        <f>IF(AND($A519="",$B519=""),"",MIN(AB519,IF(N($J519)=0,0,IF(N($J519)=2,AB519,IF(AND($K519&lt;&gt;"Point",N($O519)&gt;0),N($O519),N($M519))))))</f>
        <v/>
      </c>
      <c r="AD519" s="22">
        <f>IF(AND($A519="",$B519=""),"",MAX(0,AB519-AC519))</f>
        <v/>
      </c>
      <c r="AE519" s="21">
        <f>IF(AND($A519="",$B519=""),"",IF(OR($R519&lt;&gt;"",$S519&lt;&gt;""),1,0))</f>
        <v/>
      </c>
      <c r="AF519" s="22">
        <f>IF(AND($A519="",$B519=""),"",IF(Z519=1,IF(AE519=1,N($R519),AD519),0))</f>
        <v/>
      </c>
      <c r="AG519" s="22">
        <f>IF(AND($A519="",$B519=""),"",IF(Z519=1,IF(AE519=1,N($S519),AC519),0))</f>
        <v/>
      </c>
      <c r="AH519" s="21">
        <f>IF(AND($A519="",$B519=""),"",IF(AND(ISNUMBER($I519),N($I519)&gt;0),$I519,0))</f>
        <v/>
      </c>
      <c r="AI519" s="23">
        <f>IF(AND(NOT(AND($A519="",$B519="")),$K519="Point",N($L519)&gt;0),SQRT(N($L519)/PI()),"")</f>
        <v/>
      </c>
      <c r="AJ519" s="21">
        <f>IF(AND($A519="",$B519=""),"",IFERROR(VLOOKUP($G519,Lists!$D$4:$E$15,2,FALSE),"Not reported"))</f>
        <v/>
      </c>
      <c r="AK519" s="21">
        <f>IF(AND($A519="",$B519=""),"",IF($X519&lt;&gt;"",$X519,IF($T519&lt;&gt;"Y","Not assessed",IF(AND(ISNUMBER($V519),Setup!$B$6-$V519&gt;Setup!$B$26),"Assessment outdated",IF(NOT(ISNUMBER($W519)),"Assessed – no score",IF($W519&gt;=Setup!$B$24,"High",IF($W519&gt;=Setup!$B$25,"Moderate","Low")))))))</f>
        <v/>
      </c>
      <c r="AL519" s="21">
        <f>IF(AND($A519="",$B519=""),"",IF(Z519=0,"",IF(AND(AE519=1,N($R519)&gt;AD519*1.01+0.001),"Net terrestrial &gt; gross; ","")&amp;IF(AND(AE519=1,N($S519)&gt;AC519*1.01+0.001),"Net marine &gt; gross; ","")&amp;IF(AE519=0,"No net area – gross used, overlaps may be double-counted; ","")&amp;IF(AH519=0,"STATUS_YR missing – imputed in time series; ","")&amp;IF(AND(ISNUMBER($I519),N($I519)&gt;Setup!$B$6),"STATUS_YR after reporting year; ","")&amp;IF(OR($G519="",$G519="Not Reported"),"GOV_TYPE not reported; ","")&amp;IF(AND(N($J519)=1,$K519="Point",N($M519)&lt;=0),"Coastal point without REP_M_AREA – land/sea split unknown; ","")&amp;IF(AND(N($J519)=0,N($S519)&gt;0),"MARINE=0 but net marine &gt;0; ","")&amp;IF(AND(N($J519)=2,N($R519)&gt;0),"MARINE=2 but net terrestrial &gt;0; ","")&amp;IF($K519="Point","Buffered point – coverage approximate; ","")))</f>
        <v/>
      </c>
    </row>
    <row r="520">
      <c r="A520" s="19" t="n"/>
      <c r="B520" s="19" t="n"/>
      <c r="C520" s="19" t="n"/>
      <c r="D520" s="19" t="n"/>
      <c r="E520" s="19" t="n"/>
      <c r="F520" s="19" t="n"/>
      <c r="G520" s="19" t="n"/>
      <c r="H520" s="19" t="n"/>
      <c r="I520" s="19" t="n"/>
      <c r="J520" s="19" t="n"/>
      <c r="K520" s="19" t="n"/>
      <c r="L520" s="20" t="n"/>
      <c r="M520" s="20" t="n"/>
      <c r="N520" s="20" t="n"/>
      <c r="O520" s="20" t="n"/>
      <c r="P520" s="19" t="n"/>
      <c r="Q520" s="19" t="n"/>
      <c r="R520" s="20" t="n"/>
      <c r="S520" s="20" t="n"/>
      <c r="T520" s="19" t="n"/>
      <c r="U520" s="19" t="n"/>
      <c r="V520" s="19" t="n"/>
      <c r="W520" s="19" t="n"/>
      <c r="X520" s="19" t="n"/>
      <c r="Y520" s="19" t="n"/>
      <c r="Z520" s="21">
        <f>IF(AND($A520="",$B520=""),"",IF(OR($E520="",$H520="",$H520="Proposed",$H520="Not Reported"),0,IF(AND($P520="Y",$Q520&lt;&gt;"Y"),0,IF(AND($K520="Point",N($L520)&lt;=0),0,IF(AND(N($L520)&lt;=0,N($N520)&lt;=0,N($R520)+N($S520)&lt;=0),0,1)))))</f>
        <v/>
      </c>
      <c r="AA520" s="21">
        <f>IF(AND($A520="",$B520=""),"",IF($E520="","Site type missing",IF($H520="","STATUS missing",IF($H520="Proposed","STATUS = Proposed",IF($H520="Not Reported","STATUS = Not Reported",IF(AND($P520="Y",$Q520&lt;&gt;"Y"),"UNESCO-MAB Biosphere Reserve",IF(AND($K520="Point",N($L520)&lt;=0),"Point without REP_AREA",IF(AND(N($L520)&lt;=0,N($N520)&lt;=0,N($R520)+N($S520)&lt;=0),"No area information",""))))))))</f>
        <v/>
      </c>
      <c r="AB520" s="22">
        <f>IF(AND($A520="",$B520=""),"",IF($K520="Point",N($L520),IF(N($N520)&gt;0,N($N520),N($L520))))</f>
        <v/>
      </c>
      <c r="AC520" s="22">
        <f>IF(AND($A520="",$B520=""),"",MIN(AB520,IF(N($J520)=0,0,IF(N($J520)=2,AB520,IF(AND($K520&lt;&gt;"Point",N($O520)&gt;0),N($O520),N($M520))))))</f>
        <v/>
      </c>
      <c r="AD520" s="22">
        <f>IF(AND($A520="",$B520=""),"",MAX(0,AB520-AC520))</f>
        <v/>
      </c>
      <c r="AE520" s="21">
        <f>IF(AND($A520="",$B520=""),"",IF(OR($R520&lt;&gt;"",$S520&lt;&gt;""),1,0))</f>
        <v/>
      </c>
      <c r="AF520" s="22">
        <f>IF(AND($A520="",$B520=""),"",IF(Z520=1,IF(AE520=1,N($R520),AD520),0))</f>
        <v/>
      </c>
      <c r="AG520" s="22">
        <f>IF(AND($A520="",$B520=""),"",IF(Z520=1,IF(AE520=1,N($S520),AC520),0))</f>
        <v/>
      </c>
      <c r="AH520" s="21">
        <f>IF(AND($A520="",$B520=""),"",IF(AND(ISNUMBER($I520),N($I520)&gt;0),$I520,0))</f>
        <v/>
      </c>
      <c r="AI520" s="23">
        <f>IF(AND(NOT(AND($A520="",$B520="")),$K520="Point",N($L520)&gt;0),SQRT(N($L520)/PI()),"")</f>
        <v/>
      </c>
      <c r="AJ520" s="21">
        <f>IF(AND($A520="",$B520=""),"",IFERROR(VLOOKUP($G520,Lists!$D$4:$E$15,2,FALSE),"Not reported"))</f>
        <v/>
      </c>
      <c r="AK520" s="21">
        <f>IF(AND($A520="",$B520=""),"",IF($X520&lt;&gt;"",$X520,IF($T520&lt;&gt;"Y","Not assessed",IF(AND(ISNUMBER($V520),Setup!$B$6-$V520&gt;Setup!$B$26),"Assessment outdated",IF(NOT(ISNUMBER($W520)),"Assessed – no score",IF($W520&gt;=Setup!$B$24,"High",IF($W520&gt;=Setup!$B$25,"Moderate","Low")))))))</f>
        <v/>
      </c>
      <c r="AL520" s="21">
        <f>IF(AND($A520="",$B520=""),"",IF(Z520=0,"",IF(AND(AE520=1,N($R520)&gt;AD520*1.01+0.001),"Net terrestrial &gt; gross; ","")&amp;IF(AND(AE520=1,N($S520)&gt;AC520*1.01+0.001),"Net marine &gt; gross; ","")&amp;IF(AE520=0,"No net area – gross used, overlaps may be double-counted; ","")&amp;IF(AH520=0,"STATUS_YR missing – imputed in time series; ","")&amp;IF(AND(ISNUMBER($I520),N($I520)&gt;Setup!$B$6),"STATUS_YR after reporting year; ","")&amp;IF(OR($G520="",$G520="Not Reported"),"GOV_TYPE not reported; ","")&amp;IF(AND(N($J520)=1,$K520="Point",N($M520)&lt;=0),"Coastal point without REP_M_AREA – land/sea split unknown; ","")&amp;IF(AND(N($J520)=0,N($S520)&gt;0),"MARINE=0 but net marine &gt;0; ","")&amp;IF(AND(N($J520)=2,N($R520)&gt;0),"MARINE=2 but net terrestrial &gt;0; ","")&amp;IF($K520="Point","Buffered point – coverage approximate; ","")))</f>
        <v/>
      </c>
    </row>
    <row r="521">
      <c r="A521" s="19" t="n"/>
      <c r="B521" s="19" t="n"/>
      <c r="C521" s="19" t="n"/>
      <c r="D521" s="19" t="n"/>
      <c r="E521" s="19" t="n"/>
      <c r="F521" s="19" t="n"/>
      <c r="G521" s="19" t="n"/>
      <c r="H521" s="19" t="n"/>
      <c r="I521" s="19" t="n"/>
      <c r="J521" s="19" t="n"/>
      <c r="K521" s="19" t="n"/>
      <c r="L521" s="20" t="n"/>
      <c r="M521" s="20" t="n"/>
      <c r="N521" s="20" t="n"/>
      <c r="O521" s="20" t="n"/>
      <c r="P521" s="19" t="n"/>
      <c r="Q521" s="19" t="n"/>
      <c r="R521" s="20" t="n"/>
      <c r="S521" s="20" t="n"/>
      <c r="T521" s="19" t="n"/>
      <c r="U521" s="19" t="n"/>
      <c r="V521" s="19" t="n"/>
      <c r="W521" s="19" t="n"/>
      <c r="X521" s="19" t="n"/>
      <c r="Y521" s="19" t="n"/>
      <c r="Z521" s="21">
        <f>IF(AND($A521="",$B521=""),"",IF(OR($E521="",$H521="",$H521="Proposed",$H521="Not Reported"),0,IF(AND($P521="Y",$Q521&lt;&gt;"Y"),0,IF(AND($K521="Point",N($L521)&lt;=0),0,IF(AND(N($L521)&lt;=0,N($N521)&lt;=0,N($R521)+N($S521)&lt;=0),0,1)))))</f>
        <v/>
      </c>
      <c r="AA521" s="21">
        <f>IF(AND($A521="",$B521=""),"",IF($E521="","Site type missing",IF($H521="","STATUS missing",IF($H521="Proposed","STATUS = Proposed",IF($H521="Not Reported","STATUS = Not Reported",IF(AND($P521="Y",$Q521&lt;&gt;"Y"),"UNESCO-MAB Biosphere Reserve",IF(AND($K521="Point",N($L521)&lt;=0),"Point without REP_AREA",IF(AND(N($L521)&lt;=0,N($N521)&lt;=0,N($R521)+N($S521)&lt;=0),"No area information",""))))))))</f>
        <v/>
      </c>
      <c r="AB521" s="22">
        <f>IF(AND($A521="",$B521=""),"",IF($K521="Point",N($L521),IF(N($N521)&gt;0,N($N521),N($L521))))</f>
        <v/>
      </c>
      <c r="AC521" s="22">
        <f>IF(AND($A521="",$B521=""),"",MIN(AB521,IF(N($J521)=0,0,IF(N($J521)=2,AB521,IF(AND($K521&lt;&gt;"Point",N($O521)&gt;0),N($O521),N($M521))))))</f>
        <v/>
      </c>
      <c r="AD521" s="22">
        <f>IF(AND($A521="",$B521=""),"",MAX(0,AB521-AC521))</f>
        <v/>
      </c>
      <c r="AE521" s="21">
        <f>IF(AND($A521="",$B521=""),"",IF(OR($R521&lt;&gt;"",$S521&lt;&gt;""),1,0))</f>
        <v/>
      </c>
      <c r="AF521" s="22">
        <f>IF(AND($A521="",$B521=""),"",IF(Z521=1,IF(AE521=1,N($R521),AD521),0))</f>
        <v/>
      </c>
      <c r="AG521" s="22">
        <f>IF(AND($A521="",$B521=""),"",IF(Z521=1,IF(AE521=1,N($S521),AC521),0))</f>
        <v/>
      </c>
      <c r="AH521" s="21">
        <f>IF(AND($A521="",$B521=""),"",IF(AND(ISNUMBER($I521),N($I521)&gt;0),$I521,0))</f>
        <v/>
      </c>
      <c r="AI521" s="23">
        <f>IF(AND(NOT(AND($A521="",$B521="")),$K521="Point",N($L521)&gt;0),SQRT(N($L521)/PI()),"")</f>
        <v/>
      </c>
      <c r="AJ521" s="21">
        <f>IF(AND($A521="",$B521=""),"",IFERROR(VLOOKUP($G521,Lists!$D$4:$E$15,2,FALSE),"Not reported"))</f>
        <v/>
      </c>
      <c r="AK521" s="21">
        <f>IF(AND($A521="",$B521=""),"",IF($X521&lt;&gt;"",$X521,IF($T521&lt;&gt;"Y","Not assessed",IF(AND(ISNUMBER($V521),Setup!$B$6-$V521&gt;Setup!$B$26),"Assessment outdated",IF(NOT(ISNUMBER($W521)),"Assessed – no score",IF($W521&gt;=Setup!$B$24,"High",IF($W521&gt;=Setup!$B$25,"Moderate","Low")))))))</f>
        <v/>
      </c>
      <c r="AL521" s="21">
        <f>IF(AND($A521="",$B521=""),"",IF(Z521=0,"",IF(AND(AE521=1,N($R521)&gt;AD521*1.01+0.001),"Net terrestrial &gt; gross; ","")&amp;IF(AND(AE521=1,N($S521)&gt;AC521*1.01+0.001),"Net marine &gt; gross; ","")&amp;IF(AE521=0,"No net area – gross used, overlaps may be double-counted; ","")&amp;IF(AH521=0,"STATUS_YR missing – imputed in time series; ","")&amp;IF(AND(ISNUMBER($I521),N($I521)&gt;Setup!$B$6),"STATUS_YR after reporting year; ","")&amp;IF(OR($G521="",$G521="Not Reported"),"GOV_TYPE not reported; ","")&amp;IF(AND(N($J521)=1,$K521="Point",N($M521)&lt;=0),"Coastal point without REP_M_AREA – land/sea split unknown; ","")&amp;IF(AND(N($J521)=0,N($S521)&gt;0),"MARINE=0 but net marine &gt;0; ","")&amp;IF(AND(N($J521)=2,N($R521)&gt;0),"MARINE=2 but net terrestrial &gt;0; ","")&amp;IF($K521="Point","Buffered point – coverage approximate; ","")))</f>
        <v/>
      </c>
    </row>
    <row r="522">
      <c r="A522" s="19" t="n"/>
      <c r="B522" s="19" t="n"/>
      <c r="C522" s="19" t="n"/>
      <c r="D522" s="19" t="n"/>
      <c r="E522" s="19" t="n"/>
      <c r="F522" s="19" t="n"/>
      <c r="G522" s="19" t="n"/>
      <c r="H522" s="19" t="n"/>
      <c r="I522" s="19" t="n"/>
      <c r="J522" s="19" t="n"/>
      <c r="K522" s="19" t="n"/>
      <c r="L522" s="20" t="n"/>
      <c r="M522" s="20" t="n"/>
      <c r="N522" s="20" t="n"/>
      <c r="O522" s="20" t="n"/>
      <c r="P522" s="19" t="n"/>
      <c r="Q522" s="19" t="n"/>
      <c r="R522" s="20" t="n"/>
      <c r="S522" s="20" t="n"/>
      <c r="T522" s="19" t="n"/>
      <c r="U522" s="19" t="n"/>
      <c r="V522" s="19" t="n"/>
      <c r="W522" s="19" t="n"/>
      <c r="X522" s="19" t="n"/>
      <c r="Y522" s="19" t="n"/>
      <c r="Z522" s="21">
        <f>IF(AND($A522="",$B522=""),"",IF(OR($E522="",$H522="",$H522="Proposed",$H522="Not Reported"),0,IF(AND($P522="Y",$Q522&lt;&gt;"Y"),0,IF(AND($K522="Point",N($L522)&lt;=0),0,IF(AND(N($L522)&lt;=0,N($N522)&lt;=0,N($R522)+N($S522)&lt;=0),0,1)))))</f>
        <v/>
      </c>
      <c r="AA522" s="21">
        <f>IF(AND($A522="",$B522=""),"",IF($E522="","Site type missing",IF($H522="","STATUS missing",IF($H522="Proposed","STATUS = Proposed",IF($H522="Not Reported","STATUS = Not Reported",IF(AND($P522="Y",$Q522&lt;&gt;"Y"),"UNESCO-MAB Biosphere Reserve",IF(AND($K522="Point",N($L522)&lt;=0),"Point without REP_AREA",IF(AND(N($L522)&lt;=0,N($N522)&lt;=0,N($R522)+N($S522)&lt;=0),"No area information",""))))))))</f>
        <v/>
      </c>
      <c r="AB522" s="22">
        <f>IF(AND($A522="",$B522=""),"",IF($K522="Point",N($L522),IF(N($N522)&gt;0,N($N522),N($L522))))</f>
        <v/>
      </c>
      <c r="AC522" s="22">
        <f>IF(AND($A522="",$B522=""),"",MIN(AB522,IF(N($J522)=0,0,IF(N($J522)=2,AB522,IF(AND($K522&lt;&gt;"Point",N($O522)&gt;0),N($O522),N($M522))))))</f>
        <v/>
      </c>
      <c r="AD522" s="22">
        <f>IF(AND($A522="",$B522=""),"",MAX(0,AB522-AC522))</f>
        <v/>
      </c>
      <c r="AE522" s="21">
        <f>IF(AND($A522="",$B522=""),"",IF(OR($R522&lt;&gt;"",$S522&lt;&gt;""),1,0))</f>
        <v/>
      </c>
      <c r="AF522" s="22">
        <f>IF(AND($A522="",$B522=""),"",IF(Z522=1,IF(AE522=1,N($R522),AD522),0))</f>
        <v/>
      </c>
      <c r="AG522" s="22">
        <f>IF(AND($A522="",$B522=""),"",IF(Z522=1,IF(AE522=1,N($S522),AC522),0))</f>
        <v/>
      </c>
      <c r="AH522" s="21">
        <f>IF(AND($A522="",$B522=""),"",IF(AND(ISNUMBER($I522),N($I522)&gt;0),$I522,0))</f>
        <v/>
      </c>
      <c r="AI522" s="23">
        <f>IF(AND(NOT(AND($A522="",$B522="")),$K522="Point",N($L522)&gt;0),SQRT(N($L522)/PI()),"")</f>
        <v/>
      </c>
      <c r="AJ522" s="21">
        <f>IF(AND($A522="",$B522=""),"",IFERROR(VLOOKUP($G522,Lists!$D$4:$E$15,2,FALSE),"Not reported"))</f>
        <v/>
      </c>
      <c r="AK522" s="21">
        <f>IF(AND($A522="",$B522=""),"",IF($X522&lt;&gt;"",$X522,IF($T522&lt;&gt;"Y","Not assessed",IF(AND(ISNUMBER($V522),Setup!$B$6-$V522&gt;Setup!$B$26),"Assessment outdated",IF(NOT(ISNUMBER($W522)),"Assessed – no score",IF($W522&gt;=Setup!$B$24,"High",IF($W522&gt;=Setup!$B$25,"Moderate","Low")))))))</f>
        <v/>
      </c>
      <c r="AL522" s="21">
        <f>IF(AND($A522="",$B522=""),"",IF(Z522=0,"",IF(AND(AE522=1,N($R522)&gt;AD522*1.01+0.001),"Net terrestrial &gt; gross; ","")&amp;IF(AND(AE522=1,N($S522)&gt;AC522*1.01+0.001),"Net marine &gt; gross; ","")&amp;IF(AE522=0,"No net area – gross used, overlaps may be double-counted; ","")&amp;IF(AH522=0,"STATUS_YR missing – imputed in time series; ","")&amp;IF(AND(ISNUMBER($I522),N($I522)&gt;Setup!$B$6),"STATUS_YR after reporting year; ","")&amp;IF(OR($G522="",$G522="Not Reported"),"GOV_TYPE not reported; ","")&amp;IF(AND(N($J522)=1,$K522="Point",N($M522)&lt;=0),"Coastal point without REP_M_AREA – land/sea split unknown; ","")&amp;IF(AND(N($J522)=0,N($S522)&gt;0),"MARINE=0 but net marine &gt;0; ","")&amp;IF(AND(N($J522)=2,N($R522)&gt;0),"MARINE=2 but net terrestrial &gt;0; ","")&amp;IF($K522="Point","Buffered point – coverage approximate; ","")))</f>
        <v/>
      </c>
    </row>
    <row r="523">
      <c r="A523" s="19" t="n"/>
      <c r="B523" s="19" t="n"/>
      <c r="C523" s="19" t="n"/>
      <c r="D523" s="19" t="n"/>
      <c r="E523" s="19" t="n"/>
      <c r="F523" s="19" t="n"/>
      <c r="G523" s="19" t="n"/>
      <c r="H523" s="19" t="n"/>
      <c r="I523" s="19" t="n"/>
      <c r="J523" s="19" t="n"/>
      <c r="K523" s="19" t="n"/>
      <c r="L523" s="20" t="n"/>
      <c r="M523" s="20" t="n"/>
      <c r="N523" s="20" t="n"/>
      <c r="O523" s="20" t="n"/>
      <c r="P523" s="19" t="n"/>
      <c r="Q523" s="19" t="n"/>
      <c r="R523" s="20" t="n"/>
      <c r="S523" s="20" t="n"/>
      <c r="T523" s="19" t="n"/>
      <c r="U523" s="19" t="n"/>
      <c r="V523" s="19" t="n"/>
      <c r="W523" s="19" t="n"/>
      <c r="X523" s="19" t="n"/>
      <c r="Y523" s="19" t="n"/>
      <c r="Z523" s="21">
        <f>IF(AND($A523="",$B523=""),"",IF(OR($E523="",$H523="",$H523="Proposed",$H523="Not Reported"),0,IF(AND($P523="Y",$Q523&lt;&gt;"Y"),0,IF(AND($K523="Point",N($L523)&lt;=0),0,IF(AND(N($L523)&lt;=0,N($N523)&lt;=0,N($R523)+N($S523)&lt;=0),0,1)))))</f>
        <v/>
      </c>
      <c r="AA523" s="21">
        <f>IF(AND($A523="",$B523=""),"",IF($E523="","Site type missing",IF($H523="","STATUS missing",IF($H523="Proposed","STATUS = Proposed",IF($H523="Not Reported","STATUS = Not Reported",IF(AND($P523="Y",$Q523&lt;&gt;"Y"),"UNESCO-MAB Biosphere Reserve",IF(AND($K523="Point",N($L523)&lt;=0),"Point without REP_AREA",IF(AND(N($L523)&lt;=0,N($N523)&lt;=0,N($R523)+N($S523)&lt;=0),"No area information",""))))))))</f>
        <v/>
      </c>
      <c r="AB523" s="22">
        <f>IF(AND($A523="",$B523=""),"",IF($K523="Point",N($L523),IF(N($N523)&gt;0,N($N523),N($L523))))</f>
        <v/>
      </c>
      <c r="AC523" s="22">
        <f>IF(AND($A523="",$B523=""),"",MIN(AB523,IF(N($J523)=0,0,IF(N($J523)=2,AB523,IF(AND($K523&lt;&gt;"Point",N($O523)&gt;0),N($O523),N($M523))))))</f>
        <v/>
      </c>
      <c r="AD523" s="22">
        <f>IF(AND($A523="",$B523=""),"",MAX(0,AB523-AC523))</f>
        <v/>
      </c>
      <c r="AE523" s="21">
        <f>IF(AND($A523="",$B523=""),"",IF(OR($R523&lt;&gt;"",$S523&lt;&gt;""),1,0))</f>
        <v/>
      </c>
      <c r="AF523" s="22">
        <f>IF(AND($A523="",$B523=""),"",IF(Z523=1,IF(AE523=1,N($R523),AD523),0))</f>
        <v/>
      </c>
      <c r="AG523" s="22">
        <f>IF(AND($A523="",$B523=""),"",IF(Z523=1,IF(AE523=1,N($S523),AC523),0))</f>
        <v/>
      </c>
      <c r="AH523" s="21">
        <f>IF(AND($A523="",$B523=""),"",IF(AND(ISNUMBER($I523),N($I523)&gt;0),$I523,0))</f>
        <v/>
      </c>
      <c r="AI523" s="23">
        <f>IF(AND(NOT(AND($A523="",$B523="")),$K523="Point",N($L523)&gt;0),SQRT(N($L523)/PI()),"")</f>
        <v/>
      </c>
      <c r="AJ523" s="21">
        <f>IF(AND($A523="",$B523=""),"",IFERROR(VLOOKUP($G523,Lists!$D$4:$E$15,2,FALSE),"Not reported"))</f>
        <v/>
      </c>
      <c r="AK523" s="21">
        <f>IF(AND($A523="",$B523=""),"",IF($X523&lt;&gt;"",$X523,IF($T523&lt;&gt;"Y","Not assessed",IF(AND(ISNUMBER($V523),Setup!$B$6-$V523&gt;Setup!$B$26),"Assessment outdated",IF(NOT(ISNUMBER($W523)),"Assessed – no score",IF($W523&gt;=Setup!$B$24,"High",IF($W523&gt;=Setup!$B$25,"Moderate","Low")))))))</f>
        <v/>
      </c>
      <c r="AL523" s="21">
        <f>IF(AND($A523="",$B523=""),"",IF(Z523=0,"",IF(AND(AE523=1,N($R523)&gt;AD523*1.01+0.001),"Net terrestrial &gt; gross; ","")&amp;IF(AND(AE523=1,N($S523)&gt;AC523*1.01+0.001),"Net marine &gt; gross; ","")&amp;IF(AE523=0,"No net area – gross used, overlaps may be double-counted; ","")&amp;IF(AH523=0,"STATUS_YR missing – imputed in time series; ","")&amp;IF(AND(ISNUMBER($I523),N($I523)&gt;Setup!$B$6),"STATUS_YR after reporting year; ","")&amp;IF(OR($G523="",$G523="Not Reported"),"GOV_TYPE not reported; ","")&amp;IF(AND(N($J523)=1,$K523="Point",N($M523)&lt;=0),"Coastal point without REP_M_AREA – land/sea split unknown; ","")&amp;IF(AND(N($J523)=0,N($S523)&gt;0),"MARINE=0 but net marine &gt;0; ","")&amp;IF(AND(N($J523)=2,N($R523)&gt;0),"MARINE=2 but net terrestrial &gt;0; ","")&amp;IF($K523="Point","Buffered point – coverage approximate; ","")))</f>
        <v/>
      </c>
    </row>
    <row r="524">
      <c r="A524" s="19" t="n"/>
      <c r="B524" s="19" t="n"/>
      <c r="C524" s="19" t="n"/>
      <c r="D524" s="19" t="n"/>
      <c r="E524" s="19" t="n"/>
      <c r="F524" s="19" t="n"/>
      <c r="G524" s="19" t="n"/>
      <c r="H524" s="19" t="n"/>
      <c r="I524" s="19" t="n"/>
      <c r="J524" s="19" t="n"/>
      <c r="K524" s="19" t="n"/>
      <c r="L524" s="20" t="n"/>
      <c r="M524" s="20" t="n"/>
      <c r="N524" s="20" t="n"/>
      <c r="O524" s="20" t="n"/>
      <c r="P524" s="19" t="n"/>
      <c r="Q524" s="19" t="n"/>
      <c r="R524" s="20" t="n"/>
      <c r="S524" s="20" t="n"/>
      <c r="T524" s="19" t="n"/>
      <c r="U524" s="19" t="n"/>
      <c r="V524" s="19" t="n"/>
      <c r="W524" s="19" t="n"/>
      <c r="X524" s="19" t="n"/>
      <c r="Y524" s="19" t="n"/>
      <c r="Z524" s="21">
        <f>IF(AND($A524="",$B524=""),"",IF(OR($E524="",$H524="",$H524="Proposed",$H524="Not Reported"),0,IF(AND($P524="Y",$Q524&lt;&gt;"Y"),0,IF(AND($K524="Point",N($L524)&lt;=0),0,IF(AND(N($L524)&lt;=0,N($N524)&lt;=0,N($R524)+N($S524)&lt;=0),0,1)))))</f>
        <v/>
      </c>
      <c r="AA524" s="21">
        <f>IF(AND($A524="",$B524=""),"",IF($E524="","Site type missing",IF($H524="","STATUS missing",IF($H524="Proposed","STATUS = Proposed",IF($H524="Not Reported","STATUS = Not Reported",IF(AND($P524="Y",$Q524&lt;&gt;"Y"),"UNESCO-MAB Biosphere Reserve",IF(AND($K524="Point",N($L524)&lt;=0),"Point without REP_AREA",IF(AND(N($L524)&lt;=0,N($N524)&lt;=0,N($R524)+N($S524)&lt;=0),"No area information",""))))))))</f>
        <v/>
      </c>
      <c r="AB524" s="22">
        <f>IF(AND($A524="",$B524=""),"",IF($K524="Point",N($L524),IF(N($N524)&gt;0,N($N524),N($L524))))</f>
        <v/>
      </c>
      <c r="AC524" s="22">
        <f>IF(AND($A524="",$B524=""),"",MIN(AB524,IF(N($J524)=0,0,IF(N($J524)=2,AB524,IF(AND($K524&lt;&gt;"Point",N($O524)&gt;0),N($O524),N($M524))))))</f>
        <v/>
      </c>
      <c r="AD524" s="22">
        <f>IF(AND($A524="",$B524=""),"",MAX(0,AB524-AC524))</f>
        <v/>
      </c>
      <c r="AE524" s="21">
        <f>IF(AND($A524="",$B524=""),"",IF(OR($R524&lt;&gt;"",$S524&lt;&gt;""),1,0))</f>
        <v/>
      </c>
      <c r="AF524" s="22">
        <f>IF(AND($A524="",$B524=""),"",IF(Z524=1,IF(AE524=1,N($R524),AD524),0))</f>
        <v/>
      </c>
      <c r="AG524" s="22">
        <f>IF(AND($A524="",$B524=""),"",IF(Z524=1,IF(AE524=1,N($S524),AC524),0))</f>
        <v/>
      </c>
      <c r="AH524" s="21">
        <f>IF(AND($A524="",$B524=""),"",IF(AND(ISNUMBER($I524),N($I524)&gt;0),$I524,0))</f>
        <v/>
      </c>
      <c r="AI524" s="23">
        <f>IF(AND(NOT(AND($A524="",$B524="")),$K524="Point",N($L524)&gt;0),SQRT(N($L524)/PI()),"")</f>
        <v/>
      </c>
      <c r="AJ524" s="21">
        <f>IF(AND($A524="",$B524=""),"",IFERROR(VLOOKUP($G524,Lists!$D$4:$E$15,2,FALSE),"Not reported"))</f>
        <v/>
      </c>
      <c r="AK524" s="21">
        <f>IF(AND($A524="",$B524=""),"",IF($X524&lt;&gt;"",$X524,IF($T524&lt;&gt;"Y","Not assessed",IF(AND(ISNUMBER($V524),Setup!$B$6-$V524&gt;Setup!$B$26),"Assessment outdated",IF(NOT(ISNUMBER($W524)),"Assessed – no score",IF($W524&gt;=Setup!$B$24,"High",IF($W524&gt;=Setup!$B$25,"Moderate","Low")))))))</f>
        <v/>
      </c>
      <c r="AL524" s="21">
        <f>IF(AND($A524="",$B524=""),"",IF(Z524=0,"",IF(AND(AE524=1,N($R524)&gt;AD524*1.01+0.001),"Net terrestrial &gt; gross; ","")&amp;IF(AND(AE524=1,N($S524)&gt;AC524*1.01+0.001),"Net marine &gt; gross; ","")&amp;IF(AE524=0,"No net area – gross used, overlaps may be double-counted; ","")&amp;IF(AH524=0,"STATUS_YR missing – imputed in time series; ","")&amp;IF(AND(ISNUMBER($I524),N($I524)&gt;Setup!$B$6),"STATUS_YR after reporting year; ","")&amp;IF(OR($G524="",$G524="Not Reported"),"GOV_TYPE not reported; ","")&amp;IF(AND(N($J524)=1,$K524="Point",N($M524)&lt;=0),"Coastal point without REP_M_AREA – land/sea split unknown; ","")&amp;IF(AND(N($J524)=0,N($S524)&gt;0),"MARINE=0 but net marine &gt;0; ","")&amp;IF(AND(N($J524)=2,N($R524)&gt;0),"MARINE=2 but net terrestrial &gt;0; ","")&amp;IF($K524="Point","Buffered point – coverage approximate; ","")))</f>
        <v/>
      </c>
    </row>
    <row r="525">
      <c r="A525" s="19" t="n"/>
      <c r="B525" s="19" t="n"/>
      <c r="C525" s="19" t="n"/>
      <c r="D525" s="19" t="n"/>
      <c r="E525" s="19" t="n"/>
      <c r="F525" s="19" t="n"/>
      <c r="G525" s="19" t="n"/>
      <c r="H525" s="19" t="n"/>
      <c r="I525" s="19" t="n"/>
      <c r="J525" s="19" t="n"/>
      <c r="K525" s="19" t="n"/>
      <c r="L525" s="20" t="n"/>
      <c r="M525" s="20" t="n"/>
      <c r="N525" s="20" t="n"/>
      <c r="O525" s="20" t="n"/>
      <c r="P525" s="19" t="n"/>
      <c r="Q525" s="19" t="n"/>
      <c r="R525" s="20" t="n"/>
      <c r="S525" s="20" t="n"/>
      <c r="T525" s="19" t="n"/>
      <c r="U525" s="19" t="n"/>
      <c r="V525" s="19" t="n"/>
      <c r="W525" s="19" t="n"/>
      <c r="X525" s="19" t="n"/>
      <c r="Y525" s="19" t="n"/>
      <c r="Z525" s="21">
        <f>IF(AND($A525="",$B525=""),"",IF(OR($E525="",$H525="",$H525="Proposed",$H525="Not Reported"),0,IF(AND($P525="Y",$Q525&lt;&gt;"Y"),0,IF(AND($K525="Point",N($L525)&lt;=0),0,IF(AND(N($L525)&lt;=0,N($N525)&lt;=0,N($R525)+N($S525)&lt;=0),0,1)))))</f>
        <v/>
      </c>
      <c r="AA525" s="21">
        <f>IF(AND($A525="",$B525=""),"",IF($E525="","Site type missing",IF($H525="","STATUS missing",IF($H525="Proposed","STATUS = Proposed",IF($H525="Not Reported","STATUS = Not Reported",IF(AND($P525="Y",$Q525&lt;&gt;"Y"),"UNESCO-MAB Biosphere Reserve",IF(AND($K525="Point",N($L525)&lt;=0),"Point without REP_AREA",IF(AND(N($L525)&lt;=0,N($N525)&lt;=0,N($R525)+N($S525)&lt;=0),"No area information",""))))))))</f>
        <v/>
      </c>
      <c r="AB525" s="22">
        <f>IF(AND($A525="",$B525=""),"",IF($K525="Point",N($L525),IF(N($N525)&gt;0,N($N525),N($L525))))</f>
        <v/>
      </c>
      <c r="AC525" s="22">
        <f>IF(AND($A525="",$B525=""),"",MIN(AB525,IF(N($J525)=0,0,IF(N($J525)=2,AB525,IF(AND($K525&lt;&gt;"Point",N($O525)&gt;0),N($O525),N($M525))))))</f>
        <v/>
      </c>
      <c r="AD525" s="22">
        <f>IF(AND($A525="",$B525=""),"",MAX(0,AB525-AC525))</f>
        <v/>
      </c>
      <c r="AE525" s="21">
        <f>IF(AND($A525="",$B525=""),"",IF(OR($R525&lt;&gt;"",$S525&lt;&gt;""),1,0))</f>
        <v/>
      </c>
      <c r="AF525" s="22">
        <f>IF(AND($A525="",$B525=""),"",IF(Z525=1,IF(AE525=1,N($R525),AD525),0))</f>
        <v/>
      </c>
      <c r="AG525" s="22">
        <f>IF(AND($A525="",$B525=""),"",IF(Z525=1,IF(AE525=1,N($S525),AC525),0))</f>
        <v/>
      </c>
      <c r="AH525" s="21">
        <f>IF(AND($A525="",$B525=""),"",IF(AND(ISNUMBER($I525),N($I525)&gt;0),$I525,0))</f>
        <v/>
      </c>
      <c r="AI525" s="23">
        <f>IF(AND(NOT(AND($A525="",$B525="")),$K525="Point",N($L525)&gt;0),SQRT(N($L525)/PI()),"")</f>
        <v/>
      </c>
      <c r="AJ525" s="21">
        <f>IF(AND($A525="",$B525=""),"",IFERROR(VLOOKUP($G525,Lists!$D$4:$E$15,2,FALSE),"Not reported"))</f>
        <v/>
      </c>
      <c r="AK525" s="21">
        <f>IF(AND($A525="",$B525=""),"",IF($X525&lt;&gt;"",$X525,IF($T525&lt;&gt;"Y","Not assessed",IF(AND(ISNUMBER($V525),Setup!$B$6-$V525&gt;Setup!$B$26),"Assessment outdated",IF(NOT(ISNUMBER($W525)),"Assessed – no score",IF($W525&gt;=Setup!$B$24,"High",IF($W525&gt;=Setup!$B$25,"Moderate","Low")))))))</f>
        <v/>
      </c>
      <c r="AL525" s="21">
        <f>IF(AND($A525="",$B525=""),"",IF(Z525=0,"",IF(AND(AE525=1,N($R525)&gt;AD525*1.01+0.001),"Net terrestrial &gt; gross; ","")&amp;IF(AND(AE525=1,N($S525)&gt;AC525*1.01+0.001),"Net marine &gt; gross; ","")&amp;IF(AE525=0,"No net area – gross used, overlaps may be double-counted; ","")&amp;IF(AH525=0,"STATUS_YR missing – imputed in time series; ","")&amp;IF(AND(ISNUMBER($I525),N($I525)&gt;Setup!$B$6),"STATUS_YR after reporting year; ","")&amp;IF(OR($G525="",$G525="Not Reported"),"GOV_TYPE not reported; ","")&amp;IF(AND(N($J525)=1,$K525="Point",N($M525)&lt;=0),"Coastal point without REP_M_AREA – land/sea split unknown; ","")&amp;IF(AND(N($J525)=0,N($S525)&gt;0),"MARINE=0 but net marine &gt;0; ","")&amp;IF(AND(N($J525)=2,N($R525)&gt;0),"MARINE=2 but net terrestrial &gt;0; ","")&amp;IF($K525="Point","Buffered point – coverage approximate; ","")))</f>
        <v/>
      </c>
    </row>
    <row r="526">
      <c r="A526" s="19" t="n"/>
      <c r="B526" s="19" t="n"/>
      <c r="C526" s="19" t="n"/>
      <c r="D526" s="19" t="n"/>
      <c r="E526" s="19" t="n"/>
      <c r="F526" s="19" t="n"/>
      <c r="G526" s="19" t="n"/>
      <c r="H526" s="19" t="n"/>
      <c r="I526" s="19" t="n"/>
      <c r="J526" s="19" t="n"/>
      <c r="K526" s="19" t="n"/>
      <c r="L526" s="20" t="n"/>
      <c r="M526" s="20" t="n"/>
      <c r="N526" s="20" t="n"/>
      <c r="O526" s="20" t="n"/>
      <c r="P526" s="19" t="n"/>
      <c r="Q526" s="19" t="n"/>
      <c r="R526" s="20" t="n"/>
      <c r="S526" s="20" t="n"/>
      <c r="T526" s="19" t="n"/>
      <c r="U526" s="19" t="n"/>
      <c r="V526" s="19" t="n"/>
      <c r="W526" s="19" t="n"/>
      <c r="X526" s="19" t="n"/>
      <c r="Y526" s="19" t="n"/>
      <c r="Z526" s="21">
        <f>IF(AND($A526="",$B526=""),"",IF(OR($E526="",$H526="",$H526="Proposed",$H526="Not Reported"),0,IF(AND($P526="Y",$Q526&lt;&gt;"Y"),0,IF(AND($K526="Point",N($L526)&lt;=0),0,IF(AND(N($L526)&lt;=0,N($N526)&lt;=0,N($R526)+N($S526)&lt;=0),0,1)))))</f>
        <v/>
      </c>
      <c r="AA526" s="21">
        <f>IF(AND($A526="",$B526=""),"",IF($E526="","Site type missing",IF($H526="","STATUS missing",IF($H526="Proposed","STATUS = Proposed",IF($H526="Not Reported","STATUS = Not Reported",IF(AND($P526="Y",$Q526&lt;&gt;"Y"),"UNESCO-MAB Biosphere Reserve",IF(AND($K526="Point",N($L526)&lt;=0),"Point without REP_AREA",IF(AND(N($L526)&lt;=0,N($N526)&lt;=0,N($R526)+N($S526)&lt;=0),"No area information",""))))))))</f>
        <v/>
      </c>
      <c r="AB526" s="22">
        <f>IF(AND($A526="",$B526=""),"",IF($K526="Point",N($L526),IF(N($N526)&gt;0,N($N526),N($L526))))</f>
        <v/>
      </c>
      <c r="AC526" s="22">
        <f>IF(AND($A526="",$B526=""),"",MIN(AB526,IF(N($J526)=0,0,IF(N($J526)=2,AB526,IF(AND($K526&lt;&gt;"Point",N($O526)&gt;0),N($O526),N($M526))))))</f>
        <v/>
      </c>
      <c r="AD526" s="22">
        <f>IF(AND($A526="",$B526=""),"",MAX(0,AB526-AC526))</f>
        <v/>
      </c>
      <c r="AE526" s="21">
        <f>IF(AND($A526="",$B526=""),"",IF(OR($R526&lt;&gt;"",$S526&lt;&gt;""),1,0))</f>
        <v/>
      </c>
      <c r="AF526" s="22">
        <f>IF(AND($A526="",$B526=""),"",IF(Z526=1,IF(AE526=1,N($R526),AD526),0))</f>
        <v/>
      </c>
      <c r="AG526" s="22">
        <f>IF(AND($A526="",$B526=""),"",IF(Z526=1,IF(AE526=1,N($S526),AC526),0))</f>
        <v/>
      </c>
      <c r="AH526" s="21">
        <f>IF(AND($A526="",$B526=""),"",IF(AND(ISNUMBER($I526),N($I526)&gt;0),$I526,0))</f>
        <v/>
      </c>
      <c r="AI526" s="23">
        <f>IF(AND(NOT(AND($A526="",$B526="")),$K526="Point",N($L526)&gt;0),SQRT(N($L526)/PI()),"")</f>
        <v/>
      </c>
      <c r="AJ526" s="21">
        <f>IF(AND($A526="",$B526=""),"",IFERROR(VLOOKUP($G526,Lists!$D$4:$E$15,2,FALSE),"Not reported"))</f>
        <v/>
      </c>
      <c r="AK526" s="21">
        <f>IF(AND($A526="",$B526=""),"",IF($X526&lt;&gt;"",$X526,IF($T526&lt;&gt;"Y","Not assessed",IF(AND(ISNUMBER($V526),Setup!$B$6-$V526&gt;Setup!$B$26),"Assessment outdated",IF(NOT(ISNUMBER($W526)),"Assessed – no score",IF($W526&gt;=Setup!$B$24,"High",IF($W526&gt;=Setup!$B$25,"Moderate","Low")))))))</f>
        <v/>
      </c>
      <c r="AL526" s="21">
        <f>IF(AND($A526="",$B526=""),"",IF(Z526=0,"",IF(AND(AE526=1,N($R526)&gt;AD526*1.01+0.001),"Net terrestrial &gt; gross; ","")&amp;IF(AND(AE526=1,N($S526)&gt;AC526*1.01+0.001),"Net marine &gt; gross; ","")&amp;IF(AE526=0,"No net area – gross used, overlaps may be double-counted; ","")&amp;IF(AH526=0,"STATUS_YR missing – imputed in time series; ","")&amp;IF(AND(ISNUMBER($I526),N($I526)&gt;Setup!$B$6),"STATUS_YR after reporting year; ","")&amp;IF(OR($G526="",$G526="Not Reported"),"GOV_TYPE not reported; ","")&amp;IF(AND(N($J526)=1,$K526="Point",N($M526)&lt;=0),"Coastal point without REP_M_AREA – land/sea split unknown; ","")&amp;IF(AND(N($J526)=0,N($S526)&gt;0),"MARINE=0 but net marine &gt;0; ","")&amp;IF(AND(N($J526)=2,N($R526)&gt;0),"MARINE=2 but net terrestrial &gt;0; ","")&amp;IF($K526="Point","Buffered point – coverage approximate; ","")))</f>
        <v/>
      </c>
    </row>
    <row r="527">
      <c r="A527" s="19" t="n"/>
      <c r="B527" s="19" t="n"/>
      <c r="C527" s="19" t="n"/>
      <c r="D527" s="19" t="n"/>
      <c r="E527" s="19" t="n"/>
      <c r="F527" s="19" t="n"/>
      <c r="G527" s="19" t="n"/>
      <c r="H527" s="19" t="n"/>
      <c r="I527" s="19" t="n"/>
      <c r="J527" s="19" t="n"/>
      <c r="K527" s="19" t="n"/>
      <c r="L527" s="20" t="n"/>
      <c r="M527" s="20" t="n"/>
      <c r="N527" s="20" t="n"/>
      <c r="O527" s="20" t="n"/>
      <c r="P527" s="19" t="n"/>
      <c r="Q527" s="19" t="n"/>
      <c r="R527" s="20" t="n"/>
      <c r="S527" s="20" t="n"/>
      <c r="T527" s="19" t="n"/>
      <c r="U527" s="19" t="n"/>
      <c r="V527" s="19" t="n"/>
      <c r="W527" s="19" t="n"/>
      <c r="X527" s="19" t="n"/>
      <c r="Y527" s="19" t="n"/>
      <c r="Z527" s="21">
        <f>IF(AND($A527="",$B527=""),"",IF(OR($E527="",$H527="",$H527="Proposed",$H527="Not Reported"),0,IF(AND($P527="Y",$Q527&lt;&gt;"Y"),0,IF(AND($K527="Point",N($L527)&lt;=0),0,IF(AND(N($L527)&lt;=0,N($N527)&lt;=0,N($R527)+N($S527)&lt;=0),0,1)))))</f>
        <v/>
      </c>
      <c r="AA527" s="21">
        <f>IF(AND($A527="",$B527=""),"",IF($E527="","Site type missing",IF($H527="","STATUS missing",IF($H527="Proposed","STATUS = Proposed",IF($H527="Not Reported","STATUS = Not Reported",IF(AND($P527="Y",$Q527&lt;&gt;"Y"),"UNESCO-MAB Biosphere Reserve",IF(AND($K527="Point",N($L527)&lt;=0),"Point without REP_AREA",IF(AND(N($L527)&lt;=0,N($N527)&lt;=0,N($R527)+N($S527)&lt;=0),"No area information",""))))))))</f>
        <v/>
      </c>
      <c r="AB527" s="22">
        <f>IF(AND($A527="",$B527=""),"",IF($K527="Point",N($L527),IF(N($N527)&gt;0,N($N527),N($L527))))</f>
        <v/>
      </c>
      <c r="AC527" s="22">
        <f>IF(AND($A527="",$B527=""),"",MIN(AB527,IF(N($J527)=0,0,IF(N($J527)=2,AB527,IF(AND($K527&lt;&gt;"Point",N($O527)&gt;0),N($O527),N($M527))))))</f>
        <v/>
      </c>
      <c r="AD527" s="22">
        <f>IF(AND($A527="",$B527=""),"",MAX(0,AB527-AC527))</f>
        <v/>
      </c>
      <c r="AE527" s="21">
        <f>IF(AND($A527="",$B527=""),"",IF(OR($R527&lt;&gt;"",$S527&lt;&gt;""),1,0))</f>
        <v/>
      </c>
      <c r="AF527" s="22">
        <f>IF(AND($A527="",$B527=""),"",IF(Z527=1,IF(AE527=1,N($R527),AD527),0))</f>
        <v/>
      </c>
      <c r="AG527" s="22">
        <f>IF(AND($A527="",$B527=""),"",IF(Z527=1,IF(AE527=1,N($S527),AC527),0))</f>
        <v/>
      </c>
      <c r="AH527" s="21">
        <f>IF(AND($A527="",$B527=""),"",IF(AND(ISNUMBER($I527),N($I527)&gt;0),$I527,0))</f>
        <v/>
      </c>
      <c r="AI527" s="23">
        <f>IF(AND(NOT(AND($A527="",$B527="")),$K527="Point",N($L527)&gt;0),SQRT(N($L527)/PI()),"")</f>
        <v/>
      </c>
      <c r="AJ527" s="21">
        <f>IF(AND($A527="",$B527=""),"",IFERROR(VLOOKUP($G527,Lists!$D$4:$E$15,2,FALSE),"Not reported"))</f>
        <v/>
      </c>
      <c r="AK527" s="21">
        <f>IF(AND($A527="",$B527=""),"",IF($X527&lt;&gt;"",$X527,IF($T527&lt;&gt;"Y","Not assessed",IF(AND(ISNUMBER($V527),Setup!$B$6-$V527&gt;Setup!$B$26),"Assessment outdated",IF(NOT(ISNUMBER($W527)),"Assessed – no score",IF($W527&gt;=Setup!$B$24,"High",IF($W527&gt;=Setup!$B$25,"Moderate","Low")))))))</f>
        <v/>
      </c>
      <c r="AL527" s="21">
        <f>IF(AND($A527="",$B527=""),"",IF(Z527=0,"",IF(AND(AE527=1,N($R527)&gt;AD527*1.01+0.001),"Net terrestrial &gt; gross; ","")&amp;IF(AND(AE527=1,N($S527)&gt;AC527*1.01+0.001),"Net marine &gt; gross; ","")&amp;IF(AE527=0,"No net area – gross used, overlaps may be double-counted; ","")&amp;IF(AH527=0,"STATUS_YR missing – imputed in time series; ","")&amp;IF(AND(ISNUMBER($I527),N($I527)&gt;Setup!$B$6),"STATUS_YR after reporting year; ","")&amp;IF(OR($G527="",$G527="Not Reported"),"GOV_TYPE not reported; ","")&amp;IF(AND(N($J527)=1,$K527="Point",N($M527)&lt;=0),"Coastal point without REP_M_AREA – land/sea split unknown; ","")&amp;IF(AND(N($J527)=0,N($S527)&gt;0),"MARINE=0 but net marine &gt;0; ","")&amp;IF(AND(N($J527)=2,N($R527)&gt;0),"MARINE=2 but net terrestrial &gt;0; ","")&amp;IF($K527="Point","Buffered point – coverage approximate; ","")))</f>
        <v/>
      </c>
    </row>
    <row r="528">
      <c r="A528" s="19" t="n"/>
      <c r="B528" s="19" t="n"/>
      <c r="C528" s="19" t="n"/>
      <c r="D528" s="19" t="n"/>
      <c r="E528" s="19" t="n"/>
      <c r="F528" s="19" t="n"/>
      <c r="G528" s="19" t="n"/>
      <c r="H528" s="19" t="n"/>
      <c r="I528" s="19" t="n"/>
      <c r="J528" s="19" t="n"/>
      <c r="K528" s="19" t="n"/>
      <c r="L528" s="20" t="n"/>
      <c r="M528" s="20" t="n"/>
      <c r="N528" s="20" t="n"/>
      <c r="O528" s="20" t="n"/>
      <c r="P528" s="19" t="n"/>
      <c r="Q528" s="19" t="n"/>
      <c r="R528" s="20" t="n"/>
      <c r="S528" s="20" t="n"/>
      <c r="T528" s="19" t="n"/>
      <c r="U528" s="19" t="n"/>
      <c r="V528" s="19" t="n"/>
      <c r="W528" s="19" t="n"/>
      <c r="X528" s="19" t="n"/>
      <c r="Y528" s="19" t="n"/>
      <c r="Z528" s="21">
        <f>IF(AND($A528="",$B528=""),"",IF(OR($E528="",$H528="",$H528="Proposed",$H528="Not Reported"),0,IF(AND($P528="Y",$Q528&lt;&gt;"Y"),0,IF(AND($K528="Point",N($L528)&lt;=0),0,IF(AND(N($L528)&lt;=0,N($N528)&lt;=0,N($R528)+N($S528)&lt;=0),0,1)))))</f>
        <v/>
      </c>
      <c r="AA528" s="21">
        <f>IF(AND($A528="",$B528=""),"",IF($E528="","Site type missing",IF($H528="","STATUS missing",IF($H528="Proposed","STATUS = Proposed",IF($H528="Not Reported","STATUS = Not Reported",IF(AND($P528="Y",$Q528&lt;&gt;"Y"),"UNESCO-MAB Biosphere Reserve",IF(AND($K528="Point",N($L528)&lt;=0),"Point without REP_AREA",IF(AND(N($L528)&lt;=0,N($N528)&lt;=0,N($R528)+N($S528)&lt;=0),"No area information",""))))))))</f>
        <v/>
      </c>
      <c r="AB528" s="22">
        <f>IF(AND($A528="",$B528=""),"",IF($K528="Point",N($L528),IF(N($N528)&gt;0,N($N528),N($L528))))</f>
        <v/>
      </c>
      <c r="AC528" s="22">
        <f>IF(AND($A528="",$B528=""),"",MIN(AB528,IF(N($J528)=0,0,IF(N($J528)=2,AB528,IF(AND($K528&lt;&gt;"Point",N($O528)&gt;0),N($O528),N($M528))))))</f>
        <v/>
      </c>
      <c r="AD528" s="22">
        <f>IF(AND($A528="",$B528=""),"",MAX(0,AB528-AC528))</f>
        <v/>
      </c>
      <c r="AE528" s="21">
        <f>IF(AND($A528="",$B528=""),"",IF(OR($R528&lt;&gt;"",$S528&lt;&gt;""),1,0))</f>
        <v/>
      </c>
      <c r="AF528" s="22">
        <f>IF(AND($A528="",$B528=""),"",IF(Z528=1,IF(AE528=1,N($R528),AD528),0))</f>
        <v/>
      </c>
      <c r="AG528" s="22">
        <f>IF(AND($A528="",$B528=""),"",IF(Z528=1,IF(AE528=1,N($S528),AC528),0))</f>
        <v/>
      </c>
      <c r="AH528" s="21">
        <f>IF(AND($A528="",$B528=""),"",IF(AND(ISNUMBER($I528),N($I528)&gt;0),$I528,0))</f>
        <v/>
      </c>
      <c r="AI528" s="23">
        <f>IF(AND(NOT(AND($A528="",$B528="")),$K528="Point",N($L528)&gt;0),SQRT(N($L528)/PI()),"")</f>
        <v/>
      </c>
      <c r="AJ528" s="21">
        <f>IF(AND($A528="",$B528=""),"",IFERROR(VLOOKUP($G528,Lists!$D$4:$E$15,2,FALSE),"Not reported"))</f>
        <v/>
      </c>
      <c r="AK528" s="21">
        <f>IF(AND($A528="",$B528=""),"",IF($X528&lt;&gt;"",$X528,IF($T528&lt;&gt;"Y","Not assessed",IF(AND(ISNUMBER($V528),Setup!$B$6-$V528&gt;Setup!$B$26),"Assessment outdated",IF(NOT(ISNUMBER($W528)),"Assessed – no score",IF($W528&gt;=Setup!$B$24,"High",IF($W528&gt;=Setup!$B$25,"Moderate","Low")))))))</f>
        <v/>
      </c>
      <c r="AL528" s="21">
        <f>IF(AND($A528="",$B528=""),"",IF(Z528=0,"",IF(AND(AE528=1,N($R528)&gt;AD528*1.01+0.001),"Net terrestrial &gt; gross; ","")&amp;IF(AND(AE528=1,N($S528)&gt;AC528*1.01+0.001),"Net marine &gt; gross; ","")&amp;IF(AE528=0,"No net area – gross used, overlaps may be double-counted; ","")&amp;IF(AH528=0,"STATUS_YR missing – imputed in time series; ","")&amp;IF(AND(ISNUMBER($I528),N($I528)&gt;Setup!$B$6),"STATUS_YR after reporting year; ","")&amp;IF(OR($G528="",$G528="Not Reported"),"GOV_TYPE not reported; ","")&amp;IF(AND(N($J528)=1,$K528="Point",N($M528)&lt;=0),"Coastal point without REP_M_AREA – land/sea split unknown; ","")&amp;IF(AND(N($J528)=0,N($S528)&gt;0),"MARINE=0 but net marine &gt;0; ","")&amp;IF(AND(N($J528)=2,N($R528)&gt;0),"MARINE=2 but net terrestrial &gt;0; ","")&amp;IF($K528="Point","Buffered point – coverage approximate; ","")))</f>
        <v/>
      </c>
    </row>
    <row r="529">
      <c r="A529" s="19" t="n"/>
      <c r="B529" s="19" t="n"/>
      <c r="C529" s="19" t="n"/>
      <c r="D529" s="19" t="n"/>
      <c r="E529" s="19" t="n"/>
      <c r="F529" s="19" t="n"/>
      <c r="G529" s="19" t="n"/>
      <c r="H529" s="19" t="n"/>
      <c r="I529" s="19" t="n"/>
      <c r="J529" s="19" t="n"/>
      <c r="K529" s="19" t="n"/>
      <c r="L529" s="20" t="n"/>
      <c r="M529" s="20" t="n"/>
      <c r="N529" s="20" t="n"/>
      <c r="O529" s="20" t="n"/>
      <c r="P529" s="19" t="n"/>
      <c r="Q529" s="19" t="n"/>
      <c r="R529" s="20" t="n"/>
      <c r="S529" s="20" t="n"/>
      <c r="T529" s="19" t="n"/>
      <c r="U529" s="19" t="n"/>
      <c r="V529" s="19" t="n"/>
      <c r="W529" s="19" t="n"/>
      <c r="X529" s="19" t="n"/>
      <c r="Y529" s="19" t="n"/>
      <c r="Z529" s="21">
        <f>IF(AND($A529="",$B529=""),"",IF(OR($E529="",$H529="",$H529="Proposed",$H529="Not Reported"),0,IF(AND($P529="Y",$Q529&lt;&gt;"Y"),0,IF(AND($K529="Point",N($L529)&lt;=0),0,IF(AND(N($L529)&lt;=0,N($N529)&lt;=0,N($R529)+N($S529)&lt;=0),0,1)))))</f>
        <v/>
      </c>
      <c r="AA529" s="21">
        <f>IF(AND($A529="",$B529=""),"",IF($E529="","Site type missing",IF($H529="","STATUS missing",IF($H529="Proposed","STATUS = Proposed",IF($H529="Not Reported","STATUS = Not Reported",IF(AND($P529="Y",$Q529&lt;&gt;"Y"),"UNESCO-MAB Biosphere Reserve",IF(AND($K529="Point",N($L529)&lt;=0),"Point without REP_AREA",IF(AND(N($L529)&lt;=0,N($N529)&lt;=0,N($R529)+N($S529)&lt;=0),"No area information",""))))))))</f>
        <v/>
      </c>
      <c r="AB529" s="22">
        <f>IF(AND($A529="",$B529=""),"",IF($K529="Point",N($L529),IF(N($N529)&gt;0,N($N529),N($L529))))</f>
        <v/>
      </c>
      <c r="AC529" s="22">
        <f>IF(AND($A529="",$B529=""),"",MIN(AB529,IF(N($J529)=0,0,IF(N($J529)=2,AB529,IF(AND($K529&lt;&gt;"Point",N($O529)&gt;0),N($O529),N($M529))))))</f>
        <v/>
      </c>
      <c r="AD529" s="22">
        <f>IF(AND($A529="",$B529=""),"",MAX(0,AB529-AC529))</f>
        <v/>
      </c>
      <c r="AE529" s="21">
        <f>IF(AND($A529="",$B529=""),"",IF(OR($R529&lt;&gt;"",$S529&lt;&gt;""),1,0))</f>
        <v/>
      </c>
      <c r="AF529" s="22">
        <f>IF(AND($A529="",$B529=""),"",IF(Z529=1,IF(AE529=1,N($R529),AD529),0))</f>
        <v/>
      </c>
      <c r="AG529" s="22">
        <f>IF(AND($A529="",$B529=""),"",IF(Z529=1,IF(AE529=1,N($S529),AC529),0))</f>
        <v/>
      </c>
      <c r="AH529" s="21">
        <f>IF(AND($A529="",$B529=""),"",IF(AND(ISNUMBER($I529),N($I529)&gt;0),$I529,0))</f>
        <v/>
      </c>
      <c r="AI529" s="23">
        <f>IF(AND(NOT(AND($A529="",$B529="")),$K529="Point",N($L529)&gt;0),SQRT(N($L529)/PI()),"")</f>
        <v/>
      </c>
      <c r="AJ529" s="21">
        <f>IF(AND($A529="",$B529=""),"",IFERROR(VLOOKUP($G529,Lists!$D$4:$E$15,2,FALSE),"Not reported"))</f>
        <v/>
      </c>
      <c r="AK529" s="21">
        <f>IF(AND($A529="",$B529=""),"",IF($X529&lt;&gt;"",$X529,IF($T529&lt;&gt;"Y","Not assessed",IF(AND(ISNUMBER($V529),Setup!$B$6-$V529&gt;Setup!$B$26),"Assessment outdated",IF(NOT(ISNUMBER($W529)),"Assessed – no score",IF($W529&gt;=Setup!$B$24,"High",IF($W529&gt;=Setup!$B$25,"Moderate","Low")))))))</f>
        <v/>
      </c>
      <c r="AL529" s="21">
        <f>IF(AND($A529="",$B529=""),"",IF(Z529=0,"",IF(AND(AE529=1,N($R529)&gt;AD529*1.01+0.001),"Net terrestrial &gt; gross; ","")&amp;IF(AND(AE529=1,N($S529)&gt;AC529*1.01+0.001),"Net marine &gt; gross; ","")&amp;IF(AE529=0,"No net area – gross used, overlaps may be double-counted; ","")&amp;IF(AH529=0,"STATUS_YR missing – imputed in time series; ","")&amp;IF(AND(ISNUMBER($I529),N($I529)&gt;Setup!$B$6),"STATUS_YR after reporting year; ","")&amp;IF(OR($G529="",$G529="Not Reported"),"GOV_TYPE not reported; ","")&amp;IF(AND(N($J529)=1,$K529="Point",N($M529)&lt;=0),"Coastal point without REP_M_AREA – land/sea split unknown; ","")&amp;IF(AND(N($J529)=0,N($S529)&gt;0),"MARINE=0 but net marine &gt;0; ","")&amp;IF(AND(N($J529)=2,N($R529)&gt;0),"MARINE=2 but net terrestrial &gt;0; ","")&amp;IF($K529="Point","Buffered point – coverage approximate; ","")))</f>
        <v/>
      </c>
    </row>
    <row r="530">
      <c r="A530" s="19" t="n"/>
      <c r="B530" s="19" t="n"/>
      <c r="C530" s="19" t="n"/>
      <c r="D530" s="19" t="n"/>
      <c r="E530" s="19" t="n"/>
      <c r="F530" s="19" t="n"/>
      <c r="G530" s="19" t="n"/>
      <c r="H530" s="19" t="n"/>
      <c r="I530" s="19" t="n"/>
      <c r="J530" s="19" t="n"/>
      <c r="K530" s="19" t="n"/>
      <c r="L530" s="20" t="n"/>
      <c r="M530" s="20" t="n"/>
      <c r="N530" s="20" t="n"/>
      <c r="O530" s="20" t="n"/>
      <c r="P530" s="19" t="n"/>
      <c r="Q530" s="19" t="n"/>
      <c r="R530" s="20" t="n"/>
      <c r="S530" s="20" t="n"/>
      <c r="T530" s="19" t="n"/>
      <c r="U530" s="19" t="n"/>
      <c r="V530" s="19" t="n"/>
      <c r="W530" s="19" t="n"/>
      <c r="X530" s="19" t="n"/>
      <c r="Y530" s="19" t="n"/>
      <c r="Z530" s="21">
        <f>IF(AND($A530="",$B530=""),"",IF(OR($E530="",$H530="",$H530="Proposed",$H530="Not Reported"),0,IF(AND($P530="Y",$Q530&lt;&gt;"Y"),0,IF(AND($K530="Point",N($L530)&lt;=0),0,IF(AND(N($L530)&lt;=0,N($N530)&lt;=0,N($R530)+N($S530)&lt;=0),0,1)))))</f>
        <v/>
      </c>
      <c r="AA530" s="21">
        <f>IF(AND($A530="",$B530=""),"",IF($E530="","Site type missing",IF($H530="","STATUS missing",IF($H530="Proposed","STATUS = Proposed",IF($H530="Not Reported","STATUS = Not Reported",IF(AND($P530="Y",$Q530&lt;&gt;"Y"),"UNESCO-MAB Biosphere Reserve",IF(AND($K530="Point",N($L530)&lt;=0),"Point without REP_AREA",IF(AND(N($L530)&lt;=0,N($N530)&lt;=0,N($R530)+N($S530)&lt;=0),"No area information",""))))))))</f>
        <v/>
      </c>
      <c r="AB530" s="22">
        <f>IF(AND($A530="",$B530=""),"",IF($K530="Point",N($L530),IF(N($N530)&gt;0,N($N530),N($L530))))</f>
        <v/>
      </c>
      <c r="AC530" s="22">
        <f>IF(AND($A530="",$B530=""),"",MIN(AB530,IF(N($J530)=0,0,IF(N($J530)=2,AB530,IF(AND($K530&lt;&gt;"Point",N($O530)&gt;0),N($O530),N($M530))))))</f>
        <v/>
      </c>
      <c r="AD530" s="22">
        <f>IF(AND($A530="",$B530=""),"",MAX(0,AB530-AC530))</f>
        <v/>
      </c>
      <c r="AE530" s="21">
        <f>IF(AND($A530="",$B530=""),"",IF(OR($R530&lt;&gt;"",$S530&lt;&gt;""),1,0))</f>
        <v/>
      </c>
      <c r="AF530" s="22">
        <f>IF(AND($A530="",$B530=""),"",IF(Z530=1,IF(AE530=1,N($R530),AD530),0))</f>
        <v/>
      </c>
      <c r="AG530" s="22">
        <f>IF(AND($A530="",$B530=""),"",IF(Z530=1,IF(AE530=1,N($S530),AC530),0))</f>
        <v/>
      </c>
      <c r="AH530" s="21">
        <f>IF(AND($A530="",$B530=""),"",IF(AND(ISNUMBER($I530),N($I530)&gt;0),$I530,0))</f>
        <v/>
      </c>
      <c r="AI530" s="23">
        <f>IF(AND(NOT(AND($A530="",$B530="")),$K530="Point",N($L530)&gt;0),SQRT(N($L530)/PI()),"")</f>
        <v/>
      </c>
      <c r="AJ530" s="21">
        <f>IF(AND($A530="",$B530=""),"",IFERROR(VLOOKUP($G530,Lists!$D$4:$E$15,2,FALSE),"Not reported"))</f>
        <v/>
      </c>
      <c r="AK530" s="21">
        <f>IF(AND($A530="",$B530=""),"",IF($X530&lt;&gt;"",$X530,IF($T530&lt;&gt;"Y","Not assessed",IF(AND(ISNUMBER($V530),Setup!$B$6-$V530&gt;Setup!$B$26),"Assessment outdated",IF(NOT(ISNUMBER($W530)),"Assessed – no score",IF($W530&gt;=Setup!$B$24,"High",IF($W530&gt;=Setup!$B$25,"Moderate","Low")))))))</f>
        <v/>
      </c>
      <c r="AL530" s="21">
        <f>IF(AND($A530="",$B530=""),"",IF(Z530=0,"",IF(AND(AE530=1,N($R530)&gt;AD530*1.01+0.001),"Net terrestrial &gt; gross; ","")&amp;IF(AND(AE530=1,N($S530)&gt;AC530*1.01+0.001),"Net marine &gt; gross; ","")&amp;IF(AE530=0,"No net area – gross used, overlaps may be double-counted; ","")&amp;IF(AH530=0,"STATUS_YR missing – imputed in time series; ","")&amp;IF(AND(ISNUMBER($I530),N($I530)&gt;Setup!$B$6),"STATUS_YR after reporting year; ","")&amp;IF(OR($G530="",$G530="Not Reported"),"GOV_TYPE not reported; ","")&amp;IF(AND(N($J530)=1,$K530="Point",N($M530)&lt;=0),"Coastal point without REP_M_AREA – land/sea split unknown; ","")&amp;IF(AND(N($J530)=0,N($S530)&gt;0),"MARINE=0 but net marine &gt;0; ","")&amp;IF(AND(N($J530)=2,N($R530)&gt;0),"MARINE=2 but net terrestrial &gt;0; ","")&amp;IF($K530="Point","Buffered point – coverage approximate; ","")))</f>
        <v/>
      </c>
    </row>
    <row r="531">
      <c r="A531" s="19" t="n"/>
      <c r="B531" s="19" t="n"/>
      <c r="C531" s="19" t="n"/>
      <c r="D531" s="19" t="n"/>
      <c r="E531" s="19" t="n"/>
      <c r="F531" s="19" t="n"/>
      <c r="G531" s="19" t="n"/>
      <c r="H531" s="19" t="n"/>
      <c r="I531" s="19" t="n"/>
      <c r="J531" s="19" t="n"/>
      <c r="K531" s="19" t="n"/>
      <c r="L531" s="20" t="n"/>
      <c r="M531" s="20" t="n"/>
      <c r="N531" s="20" t="n"/>
      <c r="O531" s="20" t="n"/>
      <c r="P531" s="19" t="n"/>
      <c r="Q531" s="19" t="n"/>
      <c r="R531" s="20" t="n"/>
      <c r="S531" s="20" t="n"/>
      <c r="T531" s="19" t="n"/>
      <c r="U531" s="19" t="n"/>
      <c r="V531" s="19" t="n"/>
      <c r="W531" s="19" t="n"/>
      <c r="X531" s="19" t="n"/>
      <c r="Y531" s="19" t="n"/>
      <c r="Z531" s="21">
        <f>IF(AND($A531="",$B531=""),"",IF(OR($E531="",$H531="",$H531="Proposed",$H531="Not Reported"),0,IF(AND($P531="Y",$Q531&lt;&gt;"Y"),0,IF(AND($K531="Point",N($L531)&lt;=0),0,IF(AND(N($L531)&lt;=0,N($N531)&lt;=0,N($R531)+N($S531)&lt;=0),0,1)))))</f>
        <v/>
      </c>
      <c r="AA531" s="21">
        <f>IF(AND($A531="",$B531=""),"",IF($E531="","Site type missing",IF($H531="","STATUS missing",IF($H531="Proposed","STATUS = Proposed",IF($H531="Not Reported","STATUS = Not Reported",IF(AND($P531="Y",$Q531&lt;&gt;"Y"),"UNESCO-MAB Biosphere Reserve",IF(AND($K531="Point",N($L531)&lt;=0),"Point without REP_AREA",IF(AND(N($L531)&lt;=0,N($N531)&lt;=0,N($R531)+N($S531)&lt;=0),"No area information",""))))))))</f>
        <v/>
      </c>
      <c r="AB531" s="22">
        <f>IF(AND($A531="",$B531=""),"",IF($K531="Point",N($L531),IF(N($N531)&gt;0,N($N531),N($L531))))</f>
        <v/>
      </c>
      <c r="AC531" s="22">
        <f>IF(AND($A531="",$B531=""),"",MIN(AB531,IF(N($J531)=0,0,IF(N($J531)=2,AB531,IF(AND($K531&lt;&gt;"Point",N($O531)&gt;0),N($O531),N($M531))))))</f>
        <v/>
      </c>
      <c r="AD531" s="22">
        <f>IF(AND($A531="",$B531=""),"",MAX(0,AB531-AC531))</f>
        <v/>
      </c>
      <c r="AE531" s="21">
        <f>IF(AND($A531="",$B531=""),"",IF(OR($R531&lt;&gt;"",$S531&lt;&gt;""),1,0))</f>
        <v/>
      </c>
      <c r="AF531" s="22">
        <f>IF(AND($A531="",$B531=""),"",IF(Z531=1,IF(AE531=1,N($R531),AD531),0))</f>
        <v/>
      </c>
      <c r="AG531" s="22">
        <f>IF(AND($A531="",$B531=""),"",IF(Z531=1,IF(AE531=1,N($S531),AC531),0))</f>
        <v/>
      </c>
      <c r="AH531" s="21">
        <f>IF(AND($A531="",$B531=""),"",IF(AND(ISNUMBER($I531),N($I531)&gt;0),$I531,0))</f>
        <v/>
      </c>
      <c r="AI531" s="23">
        <f>IF(AND(NOT(AND($A531="",$B531="")),$K531="Point",N($L531)&gt;0),SQRT(N($L531)/PI()),"")</f>
        <v/>
      </c>
      <c r="AJ531" s="21">
        <f>IF(AND($A531="",$B531=""),"",IFERROR(VLOOKUP($G531,Lists!$D$4:$E$15,2,FALSE),"Not reported"))</f>
        <v/>
      </c>
      <c r="AK531" s="21">
        <f>IF(AND($A531="",$B531=""),"",IF($X531&lt;&gt;"",$X531,IF($T531&lt;&gt;"Y","Not assessed",IF(AND(ISNUMBER($V531),Setup!$B$6-$V531&gt;Setup!$B$26),"Assessment outdated",IF(NOT(ISNUMBER($W531)),"Assessed – no score",IF($W531&gt;=Setup!$B$24,"High",IF($W531&gt;=Setup!$B$25,"Moderate","Low")))))))</f>
        <v/>
      </c>
      <c r="AL531" s="21">
        <f>IF(AND($A531="",$B531=""),"",IF(Z531=0,"",IF(AND(AE531=1,N($R531)&gt;AD531*1.01+0.001),"Net terrestrial &gt; gross; ","")&amp;IF(AND(AE531=1,N($S531)&gt;AC531*1.01+0.001),"Net marine &gt; gross; ","")&amp;IF(AE531=0,"No net area – gross used, overlaps may be double-counted; ","")&amp;IF(AH531=0,"STATUS_YR missing – imputed in time series; ","")&amp;IF(AND(ISNUMBER($I531),N($I531)&gt;Setup!$B$6),"STATUS_YR after reporting year; ","")&amp;IF(OR($G531="",$G531="Not Reported"),"GOV_TYPE not reported; ","")&amp;IF(AND(N($J531)=1,$K531="Point",N($M531)&lt;=0),"Coastal point without REP_M_AREA – land/sea split unknown; ","")&amp;IF(AND(N($J531)=0,N($S531)&gt;0),"MARINE=0 but net marine &gt;0; ","")&amp;IF(AND(N($J531)=2,N($R531)&gt;0),"MARINE=2 but net terrestrial &gt;0; ","")&amp;IF($K531="Point","Buffered point – coverage approximate; ","")))</f>
        <v/>
      </c>
    </row>
    <row r="532">
      <c r="A532" s="19" t="n"/>
      <c r="B532" s="19" t="n"/>
      <c r="C532" s="19" t="n"/>
      <c r="D532" s="19" t="n"/>
      <c r="E532" s="19" t="n"/>
      <c r="F532" s="19" t="n"/>
      <c r="G532" s="19" t="n"/>
      <c r="H532" s="19" t="n"/>
      <c r="I532" s="19" t="n"/>
      <c r="J532" s="19" t="n"/>
      <c r="K532" s="19" t="n"/>
      <c r="L532" s="20" t="n"/>
      <c r="M532" s="20" t="n"/>
      <c r="N532" s="20" t="n"/>
      <c r="O532" s="20" t="n"/>
      <c r="P532" s="19" t="n"/>
      <c r="Q532" s="19" t="n"/>
      <c r="R532" s="20" t="n"/>
      <c r="S532" s="20" t="n"/>
      <c r="T532" s="19" t="n"/>
      <c r="U532" s="19" t="n"/>
      <c r="V532" s="19" t="n"/>
      <c r="W532" s="19" t="n"/>
      <c r="X532" s="19" t="n"/>
      <c r="Y532" s="19" t="n"/>
      <c r="Z532" s="21">
        <f>IF(AND($A532="",$B532=""),"",IF(OR($E532="",$H532="",$H532="Proposed",$H532="Not Reported"),0,IF(AND($P532="Y",$Q532&lt;&gt;"Y"),0,IF(AND($K532="Point",N($L532)&lt;=0),0,IF(AND(N($L532)&lt;=0,N($N532)&lt;=0,N($R532)+N($S532)&lt;=0),0,1)))))</f>
        <v/>
      </c>
      <c r="AA532" s="21">
        <f>IF(AND($A532="",$B532=""),"",IF($E532="","Site type missing",IF($H532="","STATUS missing",IF($H532="Proposed","STATUS = Proposed",IF($H532="Not Reported","STATUS = Not Reported",IF(AND($P532="Y",$Q532&lt;&gt;"Y"),"UNESCO-MAB Biosphere Reserve",IF(AND($K532="Point",N($L532)&lt;=0),"Point without REP_AREA",IF(AND(N($L532)&lt;=0,N($N532)&lt;=0,N($R532)+N($S532)&lt;=0),"No area information",""))))))))</f>
        <v/>
      </c>
      <c r="AB532" s="22">
        <f>IF(AND($A532="",$B532=""),"",IF($K532="Point",N($L532),IF(N($N532)&gt;0,N($N532),N($L532))))</f>
        <v/>
      </c>
      <c r="AC532" s="22">
        <f>IF(AND($A532="",$B532=""),"",MIN(AB532,IF(N($J532)=0,0,IF(N($J532)=2,AB532,IF(AND($K532&lt;&gt;"Point",N($O532)&gt;0),N($O532),N($M532))))))</f>
        <v/>
      </c>
      <c r="AD532" s="22">
        <f>IF(AND($A532="",$B532=""),"",MAX(0,AB532-AC532))</f>
        <v/>
      </c>
      <c r="AE532" s="21">
        <f>IF(AND($A532="",$B532=""),"",IF(OR($R532&lt;&gt;"",$S532&lt;&gt;""),1,0))</f>
        <v/>
      </c>
      <c r="AF532" s="22">
        <f>IF(AND($A532="",$B532=""),"",IF(Z532=1,IF(AE532=1,N($R532),AD532),0))</f>
        <v/>
      </c>
      <c r="AG532" s="22">
        <f>IF(AND($A532="",$B532=""),"",IF(Z532=1,IF(AE532=1,N($S532),AC532),0))</f>
        <v/>
      </c>
      <c r="AH532" s="21">
        <f>IF(AND($A532="",$B532=""),"",IF(AND(ISNUMBER($I532),N($I532)&gt;0),$I532,0))</f>
        <v/>
      </c>
      <c r="AI532" s="23">
        <f>IF(AND(NOT(AND($A532="",$B532="")),$K532="Point",N($L532)&gt;0),SQRT(N($L532)/PI()),"")</f>
        <v/>
      </c>
      <c r="AJ532" s="21">
        <f>IF(AND($A532="",$B532=""),"",IFERROR(VLOOKUP($G532,Lists!$D$4:$E$15,2,FALSE),"Not reported"))</f>
        <v/>
      </c>
      <c r="AK532" s="21">
        <f>IF(AND($A532="",$B532=""),"",IF($X532&lt;&gt;"",$X532,IF($T532&lt;&gt;"Y","Not assessed",IF(AND(ISNUMBER($V532),Setup!$B$6-$V532&gt;Setup!$B$26),"Assessment outdated",IF(NOT(ISNUMBER($W532)),"Assessed – no score",IF($W532&gt;=Setup!$B$24,"High",IF($W532&gt;=Setup!$B$25,"Moderate","Low")))))))</f>
        <v/>
      </c>
      <c r="AL532" s="21">
        <f>IF(AND($A532="",$B532=""),"",IF(Z532=0,"",IF(AND(AE532=1,N($R532)&gt;AD532*1.01+0.001),"Net terrestrial &gt; gross; ","")&amp;IF(AND(AE532=1,N($S532)&gt;AC532*1.01+0.001),"Net marine &gt; gross; ","")&amp;IF(AE532=0,"No net area – gross used, overlaps may be double-counted; ","")&amp;IF(AH532=0,"STATUS_YR missing – imputed in time series; ","")&amp;IF(AND(ISNUMBER($I532),N($I532)&gt;Setup!$B$6),"STATUS_YR after reporting year; ","")&amp;IF(OR($G532="",$G532="Not Reported"),"GOV_TYPE not reported; ","")&amp;IF(AND(N($J532)=1,$K532="Point",N($M532)&lt;=0),"Coastal point without REP_M_AREA – land/sea split unknown; ","")&amp;IF(AND(N($J532)=0,N($S532)&gt;0),"MARINE=0 but net marine &gt;0; ","")&amp;IF(AND(N($J532)=2,N($R532)&gt;0),"MARINE=2 but net terrestrial &gt;0; ","")&amp;IF($K532="Point","Buffered point – coverage approximate; ","")))</f>
        <v/>
      </c>
    </row>
    <row r="533">
      <c r="A533" s="19" t="n"/>
      <c r="B533" s="19" t="n"/>
      <c r="C533" s="19" t="n"/>
      <c r="D533" s="19" t="n"/>
      <c r="E533" s="19" t="n"/>
      <c r="F533" s="19" t="n"/>
      <c r="G533" s="19" t="n"/>
      <c r="H533" s="19" t="n"/>
      <c r="I533" s="19" t="n"/>
      <c r="J533" s="19" t="n"/>
      <c r="K533" s="19" t="n"/>
      <c r="L533" s="20" t="n"/>
      <c r="M533" s="20" t="n"/>
      <c r="N533" s="20" t="n"/>
      <c r="O533" s="20" t="n"/>
      <c r="P533" s="19" t="n"/>
      <c r="Q533" s="19" t="n"/>
      <c r="R533" s="20" t="n"/>
      <c r="S533" s="20" t="n"/>
      <c r="T533" s="19" t="n"/>
      <c r="U533" s="19" t="n"/>
      <c r="V533" s="19" t="n"/>
      <c r="W533" s="19" t="n"/>
      <c r="X533" s="19" t="n"/>
      <c r="Y533" s="19" t="n"/>
      <c r="Z533" s="21">
        <f>IF(AND($A533="",$B533=""),"",IF(OR($E533="",$H533="",$H533="Proposed",$H533="Not Reported"),0,IF(AND($P533="Y",$Q533&lt;&gt;"Y"),0,IF(AND($K533="Point",N($L533)&lt;=0),0,IF(AND(N($L533)&lt;=0,N($N533)&lt;=0,N($R533)+N($S533)&lt;=0),0,1)))))</f>
        <v/>
      </c>
      <c r="AA533" s="21">
        <f>IF(AND($A533="",$B533=""),"",IF($E533="","Site type missing",IF($H533="","STATUS missing",IF($H533="Proposed","STATUS = Proposed",IF($H533="Not Reported","STATUS = Not Reported",IF(AND($P533="Y",$Q533&lt;&gt;"Y"),"UNESCO-MAB Biosphere Reserve",IF(AND($K533="Point",N($L533)&lt;=0),"Point without REP_AREA",IF(AND(N($L533)&lt;=0,N($N533)&lt;=0,N($R533)+N($S533)&lt;=0),"No area information",""))))))))</f>
        <v/>
      </c>
      <c r="AB533" s="22">
        <f>IF(AND($A533="",$B533=""),"",IF($K533="Point",N($L533),IF(N($N533)&gt;0,N($N533),N($L533))))</f>
        <v/>
      </c>
      <c r="AC533" s="22">
        <f>IF(AND($A533="",$B533=""),"",MIN(AB533,IF(N($J533)=0,0,IF(N($J533)=2,AB533,IF(AND($K533&lt;&gt;"Point",N($O533)&gt;0),N($O533),N($M533))))))</f>
        <v/>
      </c>
      <c r="AD533" s="22">
        <f>IF(AND($A533="",$B533=""),"",MAX(0,AB533-AC533))</f>
        <v/>
      </c>
      <c r="AE533" s="21">
        <f>IF(AND($A533="",$B533=""),"",IF(OR($R533&lt;&gt;"",$S533&lt;&gt;""),1,0))</f>
        <v/>
      </c>
      <c r="AF533" s="22">
        <f>IF(AND($A533="",$B533=""),"",IF(Z533=1,IF(AE533=1,N($R533),AD533),0))</f>
        <v/>
      </c>
      <c r="AG533" s="22">
        <f>IF(AND($A533="",$B533=""),"",IF(Z533=1,IF(AE533=1,N($S533),AC533),0))</f>
        <v/>
      </c>
      <c r="AH533" s="21">
        <f>IF(AND($A533="",$B533=""),"",IF(AND(ISNUMBER($I533),N($I533)&gt;0),$I533,0))</f>
        <v/>
      </c>
      <c r="AI533" s="23">
        <f>IF(AND(NOT(AND($A533="",$B533="")),$K533="Point",N($L533)&gt;0),SQRT(N($L533)/PI()),"")</f>
        <v/>
      </c>
      <c r="AJ533" s="21">
        <f>IF(AND($A533="",$B533=""),"",IFERROR(VLOOKUP($G533,Lists!$D$4:$E$15,2,FALSE),"Not reported"))</f>
        <v/>
      </c>
      <c r="AK533" s="21">
        <f>IF(AND($A533="",$B533=""),"",IF($X533&lt;&gt;"",$X533,IF($T533&lt;&gt;"Y","Not assessed",IF(AND(ISNUMBER($V533),Setup!$B$6-$V533&gt;Setup!$B$26),"Assessment outdated",IF(NOT(ISNUMBER($W533)),"Assessed – no score",IF($W533&gt;=Setup!$B$24,"High",IF($W533&gt;=Setup!$B$25,"Moderate","Low")))))))</f>
        <v/>
      </c>
      <c r="AL533" s="21">
        <f>IF(AND($A533="",$B533=""),"",IF(Z533=0,"",IF(AND(AE533=1,N($R533)&gt;AD533*1.01+0.001),"Net terrestrial &gt; gross; ","")&amp;IF(AND(AE533=1,N($S533)&gt;AC533*1.01+0.001),"Net marine &gt; gross; ","")&amp;IF(AE533=0,"No net area – gross used, overlaps may be double-counted; ","")&amp;IF(AH533=0,"STATUS_YR missing – imputed in time series; ","")&amp;IF(AND(ISNUMBER($I533),N($I533)&gt;Setup!$B$6),"STATUS_YR after reporting year; ","")&amp;IF(OR($G533="",$G533="Not Reported"),"GOV_TYPE not reported; ","")&amp;IF(AND(N($J533)=1,$K533="Point",N($M533)&lt;=0),"Coastal point without REP_M_AREA – land/sea split unknown; ","")&amp;IF(AND(N($J533)=0,N($S533)&gt;0),"MARINE=0 but net marine &gt;0; ","")&amp;IF(AND(N($J533)=2,N($R533)&gt;0),"MARINE=2 but net terrestrial &gt;0; ","")&amp;IF($K533="Point","Buffered point – coverage approximate; ","")))</f>
        <v/>
      </c>
    </row>
    <row r="534">
      <c r="A534" s="19" t="n"/>
      <c r="B534" s="19" t="n"/>
      <c r="C534" s="19" t="n"/>
      <c r="D534" s="19" t="n"/>
      <c r="E534" s="19" t="n"/>
      <c r="F534" s="19" t="n"/>
      <c r="G534" s="19" t="n"/>
      <c r="H534" s="19" t="n"/>
      <c r="I534" s="19" t="n"/>
      <c r="J534" s="19" t="n"/>
      <c r="K534" s="19" t="n"/>
      <c r="L534" s="20" t="n"/>
      <c r="M534" s="20" t="n"/>
      <c r="N534" s="20" t="n"/>
      <c r="O534" s="20" t="n"/>
      <c r="P534" s="19" t="n"/>
      <c r="Q534" s="19" t="n"/>
      <c r="R534" s="20" t="n"/>
      <c r="S534" s="20" t="n"/>
      <c r="T534" s="19" t="n"/>
      <c r="U534" s="19" t="n"/>
      <c r="V534" s="19" t="n"/>
      <c r="W534" s="19" t="n"/>
      <c r="X534" s="19" t="n"/>
      <c r="Y534" s="19" t="n"/>
      <c r="Z534" s="21">
        <f>IF(AND($A534="",$B534=""),"",IF(OR($E534="",$H534="",$H534="Proposed",$H534="Not Reported"),0,IF(AND($P534="Y",$Q534&lt;&gt;"Y"),0,IF(AND($K534="Point",N($L534)&lt;=0),0,IF(AND(N($L534)&lt;=0,N($N534)&lt;=0,N($R534)+N($S534)&lt;=0),0,1)))))</f>
        <v/>
      </c>
      <c r="AA534" s="21">
        <f>IF(AND($A534="",$B534=""),"",IF($E534="","Site type missing",IF($H534="","STATUS missing",IF($H534="Proposed","STATUS = Proposed",IF($H534="Not Reported","STATUS = Not Reported",IF(AND($P534="Y",$Q534&lt;&gt;"Y"),"UNESCO-MAB Biosphere Reserve",IF(AND($K534="Point",N($L534)&lt;=0),"Point without REP_AREA",IF(AND(N($L534)&lt;=0,N($N534)&lt;=0,N($R534)+N($S534)&lt;=0),"No area information",""))))))))</f>
        <v/>
      </c>
      <c r="AB534" s="22">
        <f>IF(AND($A534="",$B534=""),"",IF($K534="Point",N($L534),IF(N($N534)&gt;0,N($N534),N($L534))))</f>
        <v/>
      </c>
      <c r="AC534" s="22">
        <f>IF(AND($A534="",$B534=""),"",MIN(AB534,IF(N($J534)=0,0,IF(N($J534)=2,AB534,IF(AND($K534&lt;&gt;"Point",N($O534)&gt;0),N($O534),N($M534))))))</f>
        <v/>
      </c>
      <c r="AD534" s="22">
        <f>IF(AND($A534="",$B534=""),"",MAX(0,AB534-AC534))</f>
        <v/>
      </c>
      <c r="AE534" s="21">
        <f>IF(AND($A534="",$B534=""),"",IF(OR($R534&lt;&gt;"",$S534&lt;&gt;""),1,0))</f>
        <v/>
      </c>
      <c r="AF534" s="22">
        <f>IF(AND($A534="",$B534=""),"",IF(Z534=1,IF(AE534=1,N($R534),AD534),0))</f>
        <v/>
      </c>
      <c r="AG534" s="22">
        <f>IF(AND($A534="",$B534=""),"",IF(Z534=1,IF(AE534=1,N($S534),AC534),0))</f>
        <v/>
      </c>
      <c r="AH534" s="21">
        <f>IF(AND($A534="",$B534=""),"",IF(AND(ISNUMBER($I534),N($I534)&gt;0),$I534,0))</f>
        <v/>
      </c>
      <c r="AI534" s="23">
        <f>IF(AND(NOT(AND($A534="",$B534="")),$K534="Point",N($L534)&gt;0),SQRT(N($L534)/PI()),"")</f>
        <v/>
      </c>
      <c r="AJ534" s="21">
        <f>IF(AND($A534="",$B534=""),"",IFERROR(VLOOKUP($G534,Lists!$D$4:$E$15,2,FALSE),"Not reported"))</f>
        <v/>
      </c>
      <c r="AK534" s="21">
        <f>IF(AND($A534="",$B534=""),"",IF($X534&lt;&gt;"",$X534,IF($T534&lt;&gt;"Y","Not assessed",IF(AND(ISNUMBER($V534),Setup!$B$6-$V534&gt;Setup!$B$26),"Assessment outdated",IF(NOT(ISNUMBER($W534)),"Assessed – no score",IF($W534&gt;=Setup!$B$24,"High",IF($W534&gt;=Setup!$B$25,"Moderate","Low")))))))</f>
        <v/>
      </c>
      <c r="AL534" s="21">
        <f>IF(AND($A534="",$B534=""),"",IF(Z534=0,"",IF(AND(AE534=1,N($R534)&gt;AD534*1.01+0.001),"Net terrestrial &gt; gross; ","")&amp;IF(AND(AE534=1,N($S534)&gt;AC534*1.01+0.001),"Net marine &gt; gross; ","")&amp;IF(AE534=0,"No net area – gross used, overlaps may be double-counted; ","")&amp;IF(AH534=0,"STATUS_YR missing – imputed in time series; ","")&amp;IF(AND(ISNUMBER($I534),N($I534)&gt;Setup!$B$6),"STATUS_YR after reporting year; ","")&amp;IF(OR($G534="",$G534="Not Reported"),"GOV_TYPE not reported; ","")&amp;IF(AND(N($J534)=1,$K534="Point",N($M534)&lt;=0),"Coastal point without REP_M_AREA – land/sea split unknown; ","")&amp;IF(AND(N($J534)=0,N($S534)&gt;0),"MARINE=0 but net marine &gt;0; ","")&amp;IF(AND(N($J534)=2,N($R534)&gt;0),"MARINE=2 but net terrestrial &gt;0; ","")&amp;IF($K534="Point","Buffered point – coverage approximate; ","")))</f>
        <v/>
      </c>
    </row>
    <row r="535">
      <c r="A535" s="19" t="n"/>
      <c r="B535" s="19" t="n"/>
      <c r="C535" s="19" t="n"/>
      <c r="D535" s="19" t="n"/>
      <c r="E535" s="19" t="n"/>
      <c r="F535" s="19" t="n"/>
      <c r="G535" s="19" t="n"/>
      <c r="H535" s="19" t="n"/>
      <c r="I535" s="19" t="n"/>
      <c r="J535" s="19" t="n"/>
      <c r="K535" s="19" t="n"/>
      <c r="L535" s="20" t="n"/>
      <c r="M535" s="20" t="n"/>
      <c r="N535" s="20" t="n"/>
      <c r="O535" s="20" t="n"/>
      <c r="P535" s="19" t="n"/>
      <c r="Q535" s="19" t="n"/>
      <c r="R535" s="20" t="n"/>
      <c r="S535" s="20" t="n"/>
      <c r="T535" s="19" t="n"/>
      <c r="U535" s="19" t="n"/>
      <c r="V535" s="19" t="n"/>
      <c r="W535" s="19" t="n"/>
      <c r="X535" s="19" t="n"/>
      <c r="Y535" s="19" t="n"/>
      <c r="Z535" s="21">
        <f>IF(AND($A535="",$B535=""),"",IF(OR($E535="",$H535="",$H535="Proposed",$H535="Not Reported"),0,IF(AND($P535="Y",$Q535&lt;&gt;"Y"),0,IF(AND($K535="Point",N($L535)&lt;=0),0,IF(AND(N($L535)&lt;=0,N($N535)&lt;=0,N($R535)+N($S535)&lt;=0),0,1)))))</f>
        <v/>
      </c>
      <c r="AA535" s="21">
        <f>IF(AND($A535="",$B535=""),"",IF($E535="","Site type missing",IF($H535="","STATUS missing",IF($H535="Proposed","STATUS = Proposed",IF($H535="Not Reported","STATUS = Not Reported",IF(AND($P535="Y",$Q535&lt;&gt;"Y"),"UNESCO-MAB Biosphere Reserve",IF(AND($K535="Point",N($L535)&lt;=0),"Point without REP_AREA",IF(AND(N($L535)&lt;=0,N($N535)&lt;=0,N($R535)+N($S535)&lt;=0),"No area information",""))))))))</f>
        <v/>
      </c>
      <c r="AB535" s="22">
        <f>IF(AND($A535="",$B535=""),"",IF($K535="Point",N($L535),IF(N($N535)&gt;0,N($N535),N($L535))))</f>
        <v/>
      </c>
      <c r="AC535" s="22">
        <f>IF(AND($A535="",$B535=""),"",MIN(AB535,IF(N($J535)=0,0,IF(N($J535)=2,AB535,IF(AND($K535&lt;&gt;"Point",N($O535)&gt;0),N($O535),N($M535))))))</f>
        <v/>
      </c>
      <c r="AD535" s="22">
        <f>IF(AND($A535="",$B535=""),"",MAX(0,AB535-AC535))</f>
        <v/>
      </c>
      <c r="AE535" s="21">
        <f>IF(AND($A535="",$B535=""),"",IF(OR($R535&lt;&gt;"",$S535&lt;&gt;""),1,0))</f>
        <v/>
      </c>
      <c r="AF535" s="22">
        <f>IF(AND($A535="",$B535=""),"",IF(Z535=1,IF(AE535=1,N($R535),AD535),0))</f>
        <v/>
      </c>
      <c r="AG535" s="22">
        <f>IF(AND($A535="",$B535=""),"",IF(Z535=1,IF(AE535=1,N($S535),AC535),0))</f>
        <v/>
      </c>
      <c r="AH535" s="21">
        <f>IF(AND($A535="",$B535=""),"",IF(AND(ISNUMBER($I535),N($I535)&gt;0),$I535,0))</f>
        <v/>
      </c>
      <c r="AI535" s="23">
        <f>IF(AND(NOT(AND($A535="",$B535="")),$K535="Point",N($L535)&gt;0),SQRT(N($L535)/PI()),"")</f>
        <v/>
      </c>
      <c r="AJ535" s="21">
        <f>IF(AND($A535="",$B535=""),"",IFERROR(VLOOKUP($G535,Lists!$D$4:$E$15,2,FALSE),"Not reported"))</f>
        <v/>
      </c>
      <c r="AK535" s="21">
        <f>IF(AND($A535="",$B535=""),"",IF($X535&lt;&gt;"",$X535,IF($T535&lt;&gt;"Y","Not assessed",IF(AND(ISNUMBER($V535),Setup!$B$6-$V535&gt;Setup!$B$26),"Assessment outdated",IF(NOT(ISNUMBER($W535)),"Assessed – no score",IF($W535&gt;=Setup!$B$24,"High",IF($W535&gt;=Setup!$B$25,"Moderate","Low")))))))</f>
        <v/>
      </c>
      <c r="AL535" s="21">
        <f>IF(AND($A535="",$B535=""),"",IF(Z535=0,"",IF(AND(AE535=1,N($R535)&gt;AD535*1.01+0.001),"Net terrestrial &gt; gross; ","")&amp;IF(AND(AE535=1,N($S535)&gt;AC535*1.01+0.001),"Net marine &gt; gross; ","")&amp;IF(AE535=0,"No net area – gross used, overlaps may be double-counted; ","")&amp;IF(AH535=0,"STATUS_YR missing – imputed in time series; ","")&amp;IF(AND(ISNUMBER($I535),N($I535)&gt;Setup!$B$6),"STATUS_YR after reporting year; ","")&amp;IF(OR($G535="",$G535="Not Reported"),"GOV_TYPE not reported; ","")&amp;IF(AND(N($J535)=1,$K535="Point",N($M535)&lt;=0),"Coastal point without REP_M_AREA – land/sea split unknown; ","")&amp;IF(AND(N($J535)=0,N($S535)&gt;0),"MARINE=0 but net marine &gt;0; ","")&amp;IF(AND(N($J535)=2,N($R535)&gt;0),"MARINE=2 but net terrestrial &gt;0; ","")&amp;IF($K535="Point","Buffered point – coverage approximate; ","")))</f>
        <v/>
      </c>
    </row>
    <row r="536">
      <c r="A536" s="19" t="n"/>
      <c r="B536" s="19" t="n"/>
      <c r="C536" s="19" t="n"/>
      <c r="D536" s="19" t="n"/>
      <c r="E536" s="19" t="n"/>
      <c r="F536" s="19" t="n"/>
      <c r="G536" s="19" t="n"/>
      <c r="H536" s="19" t="n"/>
      <c r="I536" s="19" t="n"/>
      <c r="J536" s="19" t="n"/>
      <c r="K536" s="19" t="n"/>
      <c r="L536" s="20" t="n"/>
      <c r="M536" s="20" t="n"/>
      <c r="N536" s="20" t="n"/>
      <c r="O536" s="20" t="n"/>
      <c r="P536" s="19" t="n"/>
      <c r="Q536" s="19" t="n"/>
      <c r="R536" s="20" t="n"/>
      <c r="S536" s="20" t="n"/>
      <c r="T536" s="19" t="n"/>
      <c r="U536" s="19" t="n"/>
      <c r="V536" s="19" t="n"/>
      <c r="W536" s="19" t="n"/>
      <c r="X536" s="19" t="n"/>
      <c r="Y536" s="19" t="n"/>
      <c r="Z536" s="21">
        <f>IF(AND($A536="",$B536=""),"",IF(OR($E536="",$H536="",$H536="Proposed",$H536="Not Reported"),0,IF(AND($P536="Y",$Q536&lt;&gt;"Y"),0,IF(AND($K536="Point",N($L536)&lt;=0),0,IF(AND(N($L536)&lt;=0,N($N536)&lt;=0,N($R536)+N($S536)&lt;=0),0,1)))))</f>
        <v/>
      </c>
      <c r="AA536" s="21">
        <f>IF(AND($A536="",$B536=""),"",IF($E536="","Site type missing",IF($H536="","STATUS missing",IF($H536="Proposed","STATUS = Proposed",IF($H536="Not Reported","STATUS = Not Reported",IF(AND($P536="Y",$Q536&lt;&gt;"Y"),"UNESCO-MAB Biosphere Reserve",IF(AND($K536="Point",N($L536)&lt;=0),"Point without REP_AREA",IF(AND(N($L536)&lt;=0,N($N536)&lt;=0,N($R536)+N($S536)&lt;=0),"No area information",""))))))))</f>
        <v/>
      </c>
      <c r="AB536" s="22">
        <f>IF(AND($A536="",$B536=""),"",IF($K536="Point",N($L536),IF(N($N536)&gt;0,N($N536),N($L536))))</f>
        <v/>
      </c>
      <c r="AC536" s="22">
        <f>IF(AND($A536="",$B536=""),"",MIN(AB536,IF(N($J536)=0,0,IF(N($J536)=2,AB536,IF(AND($K536&lt;&gt;"Point",N($O536)&gt;0),N($O536),N($M536))))))</f>
        <v/>
      </c>
      <c r="AD536" s="22">
        <f>IF(AND($A536="",$B536=""),"",MAX(0,AB536-AC536))</f>
        <v/>
      </c>
      <c r="AE536" s="21">
        <f>IF(AND($A536="",$B536=""),"",IF(OR($R536&lt;&gt;"",$S536&lt;&gt;""),1,0))</f>
        <v/>
      </c>
      <c r="AF536" s="22">
        <f>IF(AND($A536="",$B536=""),"",IF(Z536=1,IF(AE536=1,N($R536),AD536),0))</f>
        <v/>
      </c>
      <c r="AG536" s="22">
        <f>IF(AND($A536="",$B536=""),"",IF(Z536=1,IF(AE536=1,N($S536),AC536),0))</f>
        <v/>
      </c>
      <c r="AH536" s="21">
        <f>IF(AND($A536="",$B536=""),"",IF(AND(ISNUMBER($I536),N($I536)&gt;0),$I536,0))</f>
        <v/>
      </c>
      <c r="AI536" s="23">
        <f>IF(AND(NOT(AND($A536="",$B536="")),$K536="Point",N($L536)&gt;0),SQRT(N($L536)/PI()),"")</f>
        <v/>
      </c>
      <c r="AJ536" s="21">
        <f>IF(AND($A536="",$B536=""),"",IFERROR(VLOOKUP($G536,Lists!$D$4:$E$15,2,FALSE),"Not reported"))</f>
        <v/>
      </c>
      <c r="AK536" s="21">
        <f>IF(AND($A536="",$B536=""),"",IF($X536&lt;&gt;"",$X536,IF($T536&lt;&gt;"Y","Not assessed",IF(AND(ISNUMBER($V536),Setup!$B$6-$V536&gt;Setup!$B$26),"Assessment outdated",IF(NOT(ISNUMBER($W536)),"Assessed – no score",IF($W536&gt;=Setup!$B$24,"High",IF($W536&gt;=Setup!$B$25,"Moderate","Low")))))))</f>
        <v/>
      </c>
      <c r="AL536" s="21">
        <f>IF(AND($A536="",$B536=""),"",IF(Z536=0,"",IF(AND(AE536=1,N($R536)&gt;AD536*1.01+0.001),"Net terrestrial &gt; gross; ","")&amp;IF(AND(AE536=1,N($S536)&gt;AC536*1.01+0.001),"Net marine &gt; gross; ","")&amp;IF(AE536=0,"No net area – gross used, overlaps may be double-counted; ","")&amp;IF(AH536=0,"STATUS_YR missing – imputed in time series; ","")&amp;IF(AND(ISNUMBER($I536),N($I536)&gt;Setup!$B$6),"STATUS_YR after reporting year; ","")&amp;IF(OR($G536="",$G536="Not Reported"),"GOV_TYPE not reported; ","")&amp;IF(AND(N($J536)=1,$K536="Point",N($M536)&lt;=0),"Coastal point without REP_M_AREA – land/sea split unknown; ","")&amp;IF(AND(N($J536)=0,N($S536)&gt;0),"MARINE=0 but net marine &gt;0; ","")&amp;IF(AND(N($J536)=2,N($R536)&gt;0),"MARINE=2 but net terrestrial &gt;0; ","")&amp;IF($K536="Point","Buffered point – coverage approximate; ","")))</f>
        <v/>
      </c>
    </row>
    <row r="537">
      <c r="A537" s="19" t="n"/>
      <c r="B537" s="19" t="n"/>
      <c r="C537" s="19" t="n"/>
      <c r="D537" s="19" t="n"/>
      <c r="E537" s="19" t="n"/>
      <c r="F537" s="19" t="n"/>
      <c r="G537" s="19" t="n"/>
      <c r="H537" s="19" t="n"/>
      <c r="I537" s="19" t="n"/>
      <c r="J537" s="19" t="n"/>
      <c r="K537" s="19" t="n"/>
      <c r="L537" s="20" t="n"/>
      <c r="M537" s="20" t="n"/>
      <c r="N537" s="20" t="n"/>
      <c r="O537" s="20" t="n"/>
      <c r="P537" s="19" t="n"/>
      <c r="Q537" s="19" t="n"/>
      <c r="R537" s="20" t="n"/>
      <c r="S537" s="20" t="n"/>
      <c r="T537" s="19" t="n"/>
      <c r="U537" s="19" t="n"/>
      <c r="V537" s="19" t="n"/>
      <c r="W537" s="19" t="n"/>
      <c r="X537" s="19" t="n"/>
      <c r="Y537" s="19" t="n"/>
      <c r="Z537" s="21">
        <f>IF(AND($A537="",$B537=""),"",IF(OR($E537="",$H537="",$H537="Proposed",$H537="Not Reported"),0,IF(AND($P537="Y",$Q537&lt;&gt;"Y"),0,IF(AND($K537="Point",N($L537)&lt;=0),0,IF(AND(N($L537)&lt;=0,N($N537)&lt;=0,N($R537)+N($S537)&lt;=0),0,1)))))</f>
        <v/>
      </c>
      <c r="AA537" s="21">
        <f>IF(AND($A537="",$B537=""),"",IF($E537="","Site type missing",IF($H537="","STATUS missing",IF($H537="Proposed","STATUS = Proposed",IF($H537="Not Reported","STATUS = Not Reported",IF(AND($P537="Y",$Q537&lt;&gt;"Y"),"UNESCO-MAB Biosphere Reserve",IF(AND($K537="Point",N($L537)&lt;=0),"Point without REP_AREA",IF(AND(N($L537)&lt;=0,N($N537)&lt;=0,N($R537)+N($S537)&lt;=0),"No area information",""))))))))</f>
        <v/>
      </c>
      <c r="AB537" s="22">
        <f>IF(AND($A537="",$B537=""),"",IF($K537="Point",N($L537),IF(N($N537)&gt;0,N($N537),N($L537))))</f>
        <v/>
      </c>
      <c r="AC537" s="22">
        <f>IF(AND($A537="",$B537=""),"",MIN(AB537,IF(N($J537)=0,0,IF(N($J537)=2,AB537,IF(AND($K537&lt;&gt;"Point",N($O537)&gt;0),N($O537),N($M537))))))</f>
        <v/>
      </c>
      <c r="AD537" s="22">
        <f>IF(AND($A537="",$B537=""),"",MAX(0,AB537-AC537))</f>
        <v/>
      </c>
      <c r="AE537" s="21">
        <f>IF(AND($A537="",$B537=""),"",IF(OR($R537&lt;&gt;"",$S537&lt;&gt;""),1,0))</f>
        <v/>
      </c>
      <c r="AF537" s="22">
        <f>IF(AND($A537="",$B537=""),"",IF(Z537=1,IF(AE537=1,N($R537),AD537),0))</f>
        <v/>
      </c>
      <c r="AG537" s="22">
        <f>IF(AND($A537="",$B537=""),"",IF(Z537=1,IF(AE537=1,N($S537),AC537),0))</f>
        <v/>
      </c>
      <c r="AH537" s="21">
        <f>IF(AND($A537="",$B537=""),"",IF(AND(ISNUMBER($I537),N($I537)&gt;0),$I537,0))</f>
        <v/>
      </c>
      <c r="AI537" s="23">
        <f>IF(AND(NOT(AND($A537="",$B537="")),$K537="Point",N($L537)&gt;0),SQRT(N($L537)/PI()),"")</f>
        <v/>
      </c>
      <c r="AJ537" s="21">
        <f>IF(AND($A537="",$B537=""),"",IFERROR(VLOOKUP($G537,Lists!$D$4:$E$15,2,FALSE),"Not reported"))</f>
        <v/>
      </c>
      <c r="AK537" s="21">
        <f>IF(AND($A537="",$B537=""),"",IF($X537&lt;&gt;"",$X537,IF($T537&lt;&gt;"Y","Not assessed",IF(AND(ISNUMBER($V537),Setup!$B$6-$V537&gt;Setup!$B$26),"Assessment outdated",IF(NOT(ISNUMBER($W537)),"Assessed – no score",IF($W537&gt;=Setup!$B$24,"High",IF($W537&gt;=Setup!$B$25,"Moderate","Low")))))))</f>
        <v/>
      </c>
      <c r="AL537" s="21">
        <f>IF(AND($A537="",$B537=""),"",IF(Z537=0,"",IF(AND(AE537=1,N($R537)&gt;AD537*1.01+0.001),"Net terrestrial &gt; gross; ","")&amp;IF(AND(AE537=1,N($S537)&gt;AC537*1.01+0.001),"Net marine &gt; gross; ","")&amp;IF(AE537=0,"No net area – gross used, overlaps may be double-counted; ","")&amp;IF(AH537=0,"STATUS_YR missing – imputed in time series; ","")&amp;IF(AND(ISNUMBER($I537),N($I537)&gt;Setup!$B$6),"STATUS_YR after reporting year; ","")&amp;IF(OR($G537="",$G537="Not Reported"),"GOV_TYPE not reported; ","")&amp;IF(AND(N($J537)=1,$K537="Point",N($M537)&lt;=0),"Coastal point without REP_M_AREA – land/sea split unknown; ","")&amp;IF(AND(N($J537)=0,N($S537)&gt;0),"MARINE=0 but net marine &gt;0; ","")&amp;IF(AND(N($J537)=2,N($R537)&gt;0),"MARINE=2 but net terrestrial &gt;0; ","")&amp;IF($K537="Point","Buffered point – coverage approximate; ","")))</f>
        <v/>
      </c>
    </row>
    <row r="538">
      <c r="A538" s="19" t="n"/>
      <c r="B538" s="19" t="n"/>
      <c r="C538" s="19" t="n"/>
      <c r="D538" s="19" t="n"/>
      <c r="E538" s="19" t="n"/>
      <c r="F538" s="19" t="n"/>
      <c r="G538" s="19" t="n"/>
      <c r="H538" s="19" t="n"/>
      <c r="I538" s="19" t="n"/>
      <c r="J538" s="19" t="n"/>
      <c r="K538" s="19" t="n"/>
      <c r="L538" s="20" t="n"/>
      <c r="M538" s="20" t="n"/>
      <c r="N538" s="20" t="n"/>
      <c r="O538" s="20" t="n"/>
      <c r="P538" s="19" t="n"/>
      <c r="Q538" s="19" t="n"/>
      <c r="R538" s="20" t="n"/>
      <c r="S538" s="20" t="n"/>
      <c r="T538" s="19" t="n"/>
      <c r="U538" s="19" t="n"/>
      <c r="V538" s="19" t="n"/>
      <c r="W538" s="19" t="n"/>
      <c r="X538" s="19" t="n"/>
      <c r="Y538" s="19" t="n"/>
      <c r="Z538" s="21">
        <f>IF(AND($A538="",$B538=""),"",IF(OR($E538="",$H538="",$H538="Proposed",$H538="Not Reported"),0,IF(AND($P538="Y",$Q538&lt;&gt;"Y"),0,IF(AND($K538="Point",N($L538)&lt;=0),0,IF(AND(N($L538)&lt;=0,N($N538)&lt;=0,N($R538)+N($S538)&lt;=0),0,1)))))</f>
        <v/>
      </c>
      <c r="AA538" s="21">
        <f>IF(AND($A538="",$B538=""),"",IF($E538="","Site type missing",IF($H538="","STATUS missing",IF($H538="Proposed","STATUS = Proposed",IF($H538="Not Reported","STATUS = Not Reported",IF(AND($P538="Y",$Q538&lt;&gt;"Y"),"UNESCO-MAB Biosphere Reserve",IF(AND($K538="Point",N($L538)&lt;=0),"Point without REP_AREA",IF(AND(N($L538)&lt;=0,N($N538)&lt;=0,N($R538)+N($S538)&lt;=0),"No area information",""))))))))</f>
        <v/>
      </c>
      <c r="AB538" s="22">
        <f>IF(AND($A538="",$B538=""),"",IF($K538="Point",N($L538),IF(N($N538)&gt;0,N($N538),N($L538))))</f>
        <v/>
      </c>
      <c r="AC538" s="22">
        <f>IF(AND($A538="",$B538=""),"",MIN(AB538,IF(N($J538)=0,0,IF(N($J538)=2,AB538,IF(AND($K538&lt;&gt;"Point",N($O538)&gt;0),N($O538),N($M538))))))</f>
        <v/>
      </c>
      <c r="AD538" s="22">
        <f>IF(AND($A538="",$B538=""),"",MAX(0,AB538-AC538))</f>
        <v/>
      </c>
      <c r="AE538" s="21">
        <f>IF(AND($A538="",$B538=""),"",IF(OR($R538&lt;&gt;"",$S538&lt;&gt;""),1,0))</f>
        <v/>
      </c>
      <c r="AF538" s="22">
        <f>IF(AND($A538="",$B538=""),"",IF(Z538=1,IF(AE538=1,N($R538),AD538),0))</f>
        <v/>
      </c>
      <c r="AG538" s="22">
        <f>IF(AND($A538="",$B538=""),"",IF(Z538=1,IF(AE538=1,N($S538),AC538),0))</f>
        <v/>
      </c>
      <c r="AH538" s="21">
        <f>IF(AND($A538="",$B538=""),"",IF(AND(ISNUMBER($I538),N($I538)&gt;0),$I538,0))</f>
        <v/>
      </c>
      <c r="AI538" s="23">
        <f>IF(AND(NOT(AND($A538="",$B538="")),$K538="Point",N($L538)&gt;0),SQRT(N($L538)/PI()),"")</f>
        <v/>
      </c>
      <c r="AJ538" s="21">
        <f>IF(AND($A538="",$B538=""),"",IFERROR(VLOOKUP($G538,Lists!$D$4:$E$15,2,FALSE),"Not reported"))</f>
        <v/>
      </c>
      <c r="AK538" s="21">
        <f>IF(AND($A538="",$B538=""),"",IF($X538&lt;&gt;"",$X538,IF($T538&lt;&gt;"Y","Not assessed",IF(AND(ISNUMBER($V538),Setup!$B$6-$V538&gt;Setup!$B$26),"Assessment outdated",IF(NOT(ISNUMBER($W538)),"Assessed – no score",IF($W538&gt;=Setup!$B$24,"High",IF($W538&gt;=Setup!$B$25,"Moderate","Low")))))))</f>
        <v/>
      </c>
      <c r="AL538" s="21">
        <f>IF(AND($A538="",$B538=""),"",IF(Z538=0,"",IF(AND(AE538=1,N($R538)&gt;AD538*1.01+0.001),"Net terrestrial &gt; gross; ","")&amp;IF(AND(AE538=1,N($S538)&gt;AC538*1.01+0.001),"Net marine &gt; gross; ","")&amp;IF(AE538=0,"No net area – gross used, overlaps may be double-counted; ","")&amp;IF(AH538=0,"STATUS_YR missing – imputed in time series; ","")&amp;IF(AND(ISNUMBER($I538),N($I538)&gt;Setup!$B$6),"STATUS_YR after reporting year; ","")&amp;IF(OR($G538="",$G538="Not Reported"),"GOV_TYPE not reported; ","")&amp;IF(AND(N($J538)=1,$K538="Point",N($M538)&lt;=0),"Coastal point without REP_M_AREA – land/sea split unknown; ","")&amp;IF(AND(N($J538)=0,N($S538)&gt;0),"MARINE=0 but net marine &gt;0; ","")&amp;IF(AND(N($J538)=2,N($R538)&gt;0),"MARINE=2 but net terrestrial &gt;0; ","")&amp;IF($K538="Point","Buffered point – coverage approximate; ","")))</f>
        <v/>
      </c>
    </row>
    <row r="539">
      <c r="A539" s="19" t="n"/>
      <c r="B539" s="19" t="n"/>
      <c r="C539" s="19" t="n"/>
      <c r="D539" s="19" t="n"/>
      <c r="E539" s="19" t="n"/>
      <c r="F539" s="19" t="n"/>
      <c r="G539" s="19" t="n"/>
      <c r="H539" s="19" t="n"/>
      <c r="I539" s="19" t="n"/>
      <c r="J539" s="19" t="n"/>
      <c r="K539" s="19" t="n"/>
      <c r="L539" s="20" t="n"/>
      <c r="M539" s="20" t="n"/>
      <c r="N539" s="20" t="n"/>
      <c r="O539" s="20" t="n"/>
      <c r="P539" s="19" t="n"/>
      <c r="Q539" s="19" t="n"/>
      <c r="R539" s="20" t="n"/>
      <c r="S539" s="20" t="n"/>
      <c r="T539" s="19" t="n"/>
      <c r="U539" s="19" t="n"/>
      <c r="V539" s="19" t="n"/>
      <c r="W539" s="19" t="n"/>
      <c r="X539" s="19" t="n"/>
      <c r="Y539" s="19" t="n"/>
      <c r="Z539" s="21">
        <f>IF(AND($A539="",$B539=""),"",IF(OR($E539="",$H539="",$H539="Proposed",$H539="Not Reported"),0,IF(AND($P539="Y",$Q539&lt;&gt;"Y"),0,IF(AND($K539="Point",N($L539)&lt;=0),0,IF(AND(N($L539)&lt;=0,N($N539)&lt;=0,N($R539)+N($S539)&lt;=0),0,1)))))</f>
        <v/>
      </c>
      <c r="AA539" s="21">
        <f>IF(AND($A539="",$B539=""),"",IF($E539="","Site type missing",IF($H539="","STATUS missing",IF($H539="Proposed","STATUS = Proposed",IF($H539="Not Reported","STATUS = Not Reported",IF(AND($P539="Y",$Q539&lt;&gt;"Y"),"UNESCO-MAB Biosphere Reserve",IF(AND($K539="Point",N($L539)&lt;=0),"Point without REP_AREA",IF(AND(N($L539)&lt;=0,N($N539)&lt;=0,N($R539)+N($S539)&lt;=0),"No area information",""))))))))</f>
        <v/>
      </c>
      <c r="AB539" s="22">
        <f>IF(AND($A539="",$B539=""),"",IF($K539="Point",N($L539),IF(N($N539)&gt;0,N($N539),N($L539))))</f>
        <v/>
      </c>
      <c r="AC539" s="22">
        <f>IF(AND($A539="",$B539=""),"",MIN(AB539,IF(N($J539)=0,0,IF(N($J539)=2,AB539,IF(AND($K539&lt;&gt;"Point",N($O539)&gt;0),N($O539),N($M539))))))</f>
        <v/>
      </c>
      <c r="AD539" s="22">
        <f>IF(AND($A539="",$B539=""),"",MAX(0,AB539-AC539))</f>
        <v/>
      </c>
      <c r="AE539" s="21">
        <f>IF(AND($A539="",$B539=""),"",IF(OR($R539&lt;&gt;"",$S539&lt;&gt;""),1,0))</f>
        <v/>
      </c>
      <c r="AF539" s="22">
        <f>IF(AND($A539="",$B539=""),"",IF(Z539=1,IF(AE539=1,N($R539),AD539),0))</f>
        <v/>
      </c>
      <c r="AG539" s="22">
        <f>IF(AND($A539="",$B539=""),"",IF(Z539=1,IF(AE539=1,N($S539),AC539),0))</f>
        <v/>
      </c>
      <c r="AH539" s="21">
        <f>IF(AND($A539="",$B539=""),"",IF(AND(ISNUMBER($I539),N($I539)&gt;0),$I539,0))</f>
        <v/>
      </c>
      <c r="AI539" s="23">
        <f>IF(AND(NOT(AND($A539="",$B539="")),$K539="Point",N($L539)&gt;0),SQRT(N($L539)/PI()),"")</f>
        <v/>
      </c>
      <c r="AJ539" s="21">
        <f>IF(AND($A539="",$B539=""),"",IFERROR(VLOOKUP($G539,Lists!$D$4:$E$15,2,FALSE),"Not reported"))</f>
        <v/>
      </c>
      <c r="AK539" s="21">
        <f>IF(AND($A539="",$B539=""),"",IF($X539&lt;&gt;"",$X539,IF($T539&lt;&gt;"Y","Not assessed",IF(AND(ISNUMBER($V539),Setup!$B$6-$V539&gt;Setup!$B$26),"Assessment outdated",IF(NOT(ISNUMBER($W539)),"Assessed – no score",IF($W539&gt;=Setup!$B$24,"High",IF($W539&gt;=Setup!$B$25,"Moderate","Low")))))))</f>
        <v/>
      </c>
      <c r="AL539" s="21">
        <f>IF(AND($A539="",$B539=""),"",IF(Z539=0,"",IF(AND(AE539=1,N($R539)&gt;AD539*1.01+0.001),"Net terrestrial &gt; gross; ","")&amp;IF(AND(AE539=1,N($S539)&gt;AC539*1.01+0.001),"Net marine &gt; gross; ","")&amp;IF(AE539=0,"No net area – gross used, overlaps may be double-counted; ","")&amp;IF(AH539=0,"STATUS_YR missing – imputed in time series; ","")&amp;IF(AND(ISNUMBER($I539),N($I539)&gt;Setup!$B$6),"STATUS_YR after reporting year; ","")&amp;IF(OR($G539="",$G539="Not Reported"),"GOV_TYPE not reported; ","")&amp;IF(AND(N($J539)=1,$K539="Point",N($M539)&lt;=0),"Coastal point without REP_M_AREA – land/sea split unknown; ","")&amp;IF(AND(N($J539)=0,N($S539)&gt;0),"MARINE=0 but net marine &gt;0; ","")&amp;IF(AND(N($J539)=2,N($R539)&gt;0),"MARINE=2 but net terrestrial &gt;0; ","")&amp;IF($K539="Point","Buffered point – coverage approximate; ","")))</f>
        <v/>
      </c>
    </row>
    <row r="540">
      <c r="A540" s="19" t="n"/>
      <c r="B540" s="19" t="n"/>
      <c r="C540" s="19" t="n"/>
      <c r="D540" s="19" t="n"/>
      <c r="E540" s="19" t="n"/>
      <c r="F540" s="19" t="n"/>
      <c r="G540" s="19" t="n"/>
      <c r="H540" s="19" t="n"/>
      <c r="I540" s="19" t="n"/>
      <c r="J540" s="19" t="n"/>
      <c r="K540" s="19" t="n"/>
      <c r="L540" s="20" t="n"/>
      <c r="M540" s="20" t="n"/>
      <c r="N540" s="20" t="n"/>
      <c r="O540" s="20" t="n"/>
      <c r="P540" s="19" t="n"/>
      <c r="Q540" s="19" t="n"/>
      <c r="R540" s="20" t="n"/>
      <c r="S540" s="20" t="n"/>
      <c r="T540" s="19" t="n"/>
      <c r="U540" s="19" t="n"/>
      <c r="V540" s="19" t="n"/>
      <c r="W540" s="19" t="n"/>
      <c r="X540" s="19" t="n"/>
      <c r="Y540" s="19" t="n"/>
      <c r="Z540" s="21">
        <f>IF(AND($A540="",$B540=""),"",IF(OR($E540="",$H540="",$H540="Proposed",$H540="Not Reported"),0,IF(AND($P540="Y",$Q540&lt;&gt;"Y"),0,IF(AND($K540="Point",N($L540)&lt;=0),0,IF(AND(N($L540)&lt;=0,N($N540)&lt;=0,N($R540)+N($S540)&lt;=0),0,1)))))</f>
        <v/>
      </c>
      <c r="AA540" s="21">
        <f>IF(AND($A540="",$B540=""),"",IF($E540="","Site type missing",IF($H540="","STATUS missing",IF($H540="Proposed","STATUS = Proposed",IF($H540="Not Reported","STATUS = Not Reported",IF(AND($P540="Y",$Q540&lt;&gt;"Y"),"UNESCO-MAB Biosphere Reserve",IF(AND($K540="Point",N($L540)&lt;=0),"Point without REP_AREA",IF(AND(N($L540)&lt;=0,N($N540)&lt;=0,N($R540)+N($S540)&lt;=0),"No area information",""))))))))</f>
        <v/>
      </c>
      <c r="AB540" s="22">
        <f>IF(AND($A540="",$B540=""),"",IF($K540="Point",N($L540),IF(N($N540)&gt;0,N($N540),N($L540))))</f>
        <v/>
      </c>
      <c r="AC540" s="22">
        <f>IF(AND($A540="",$B540=""),"",MIN(AB540,IF(N($J540)=0,0,IF(N($J540)=2,AB540,IF(AND($K540&lt;&gt;"Point",N($O540)&gt;0),N($O540),N($M540))))))</f>
        <v/>
      </c>
      <c r="AD540" s="22">
        <f>IF(AND($A540="",$B540=""),"",MAX(0,AB540-AC540))</f>
        <v/>
      </c>
      <c r="AE540" s="21">
        <f>IF(AND($A540="",$B540=""),"",IF(OR($R540&lt;&gt;"",$S540&lt;&gt;""),1,0))</f>
        <v/>
      </c>
      <c r="AF540" s="22">
        <f>IF(AND($A540="",$B540=""),"",IF(Z540=1,IF(AE540=1,N($R540),AD540),0))</f>
        <v/>
      </c>
      <c r="AG540" s="22">
        <f>IF(AND($A540="",$B540=""),"",IF(Z540=1,IF(AE540=1,N($S540),AC540),0))</f>
        <v/>
      </c>
      <c r="AH540" s="21">
        <f>IF(AND($A540="",$B540=""),"",IF(AND(ISNUMBER($I540),N($I540)&gt;0),$I540,0))</f>
        <v/>
      </c>
      <c r="AI540" s="23">
        <f>IF(AND(NOT(AND($A540="",$B540="")),$K540="Point",N($L540)&gt;0),SQRT(N($L540)/PI()),"")</f>
        <v/>
      </c>
      <c r="AJ540" s="21">
        <f>IF(AND($A540="",$B540=""),"",IFERROR(VLOOKUP($G540,Lists!$D$4:$E$15,2,FALSE),"Not reported"))</f>
        <v/>
      </c>
      <c r="AK540" s="21">
        <f>IF(AND($A540="",$B540=""),"",IF($X540&lt;&gt;"",$X540,IF($T540&lt;&gt;"Y","Not assessed",IF(AND(ISNUMBER($V540),Setup!$B$6-$V540&gt;Setup!$B$26),"Assessment outdated",IF(NOT(ISNUMBER($W540)),"Assessed – no score",IF($W540&gt;=Setup!$B$24,"High",IF($W540&gt;=Setup!$B$25,"Moderate","Low")))))))</f>
        <v/>
      </c>
      <c r="AL540" s="21">
        <f>IF(AND($A540="",$B540=""),"",IF(Z540=0,"",IF(AND(AE540=1,N($R540)&gt;AD540*1.01+0.001),"Net terrestrial &gt; gross; ","")&amp;IF(AND(AE540=1,N($S540)&gt;AC540*1.01+0.001),"Net marine &gt; gross; ","")&amp;IF(AE540=0,"No net area – gross used, overlaps may be double-counted; ","")&amp;IF(AH540=0,"STATUS_YR missing – imputed in time series; ","")&amp;IF(AND(ISNUMBER($I540),N($I540)&gt;Setup!$B$6),"STATUS_YR after reporting year; ","")&amp;IF(OR($G540="",$G540="Not Reported"),"GOV_TYPE not reported; ","")&amp;IF(AND(N($J540)=1,$K540="Point",N($M540)&lt;=0),"Coastal point without REP_M_AREA – land/sea split unknown; ","")&amp;IF(AND(N($J540)=0,N($S540)&gt;0),"MARINE=0 but net marine &gt;0; ","")&amp;IF(AND(N($J540)=2,N($R540)&gt;0),"MARINE=2 but net terrestrial &gt;0; ","")&amp;IF($K540="Point","Buffered point – coverage approximate; ","")))</f>
        <v/>
      </c>
    </row>
    <row r="541">
      <c r="A541" s="19" t="n"/>
      <c r="B541" s="19" t="n"/>
      <c r="C541" s="19" t="n"/>
      <c r="D541" s="19" t="n"/>
      <c r="E541" s="19" t="n"/>
      <c r="F541" s="19" t="n"/>
      <c r="G541" s="19" t="n"/>
      <c r="H541" s="19" t="n"/>
      <c r="I541" s="19" t="n"/>
      <c r="J541" s="19" t="n"/>
      <c r="K541" s="19" t="n"/>
      <c r="L541" s="20" t="n"/>
      <c r="M541" s="20" t="n"/>
      <c r="N541" s="20" t="n"/>
      <c r="O541" s="20" t="n"/>
      <c r="P541" s="19" t="n"/>
      <c r="Q541" s="19" t="n"/>
      <c r="R541" s="20" t="n"/>
      <c r="S541" s="20" t="n"/>
      <c r="T541" s="19" t="n"/>
      <c r="U541" s="19" t="n"/>
      <c r="V541" s="19" t="n"/>
      <c r="W541" s="19" t="n"/>
      <c r="X541" s="19" t="n"/>
      <c r="Y541" s="19" t="n"/>
      <c r="Z541" s="21">
        <f>IF(AND($A541="",$B541=""),"",IF(OR($E541="",$H541="",$H541="Proposed",$H541="Not Reported"),0,IF(AND($P541="Y",$Q541&lt;&gt;"Y"),0,IF(AND($K541="Point",N($L541)&lt;=0),0,IF(AND(N($L541)&lt;=0,N($N541)&lt;=0,N($R541)+N($S541)&lt;=0),0,1)))))</f>
        <v/>
      </c>
      <c r="AA541" s="21">
        <f>IF(AND($A541="",$B541=""),"",IF($E541="","Site type missing",IF($H541="","STATUS missing",IF($H541="Proposed","STATUS = Proposed",IF($H541="Not Reported","STATUS = Not Reported",IF(AND($P541="Y",$Q541&lt;&gt;"Y"),"UNESCO-MAB Biosphere Reserve",IF(AND($K541="Point",N($L541)&lt;=0),"Point without REP_AREA",IF(AND(N($L541)&lt;=0,N($N541)&lt;=0,N($R541)+N($S541)&lt;=0),"No area information",""))))))))</f>
        <v/>
      </c>
      <c r="AB541" s="22">
        <f>IF(AND($A541="",$B541=""),"",IF($K541="Point",N($L541),IF(N($N541)&gt;0,N($N541),N($L541))))</f>
        <v/>
      </c>
      <c r="AC541" s="22">
        <f>IF(AND($A541="",$B541=""),"",MIN(AB541,IF(N($J541)=0,0,IF(N($J541)=2,AB541,IF(AND($K541&lt;&gt;"Point",N($O541)&gt;0),N($O541),N($M541))))))</f>
        <v/>
      </c>
      <c r="AD541" s="22">
        <f>IF(AND($A541="",$B541=""),"",MAX(0,AB541-AC541))</f>
        <v/>
      </c>
      <c r="AE541" s="21">
        <f>IF(AND($A541="",$B541=""),"",IF(OR($R541&lt;&gt;"",$S541&lt;&gt;""),1,0))</f>
        <v/>
      </c>
      <c r="AF541" s="22">
        <f>IF(AND($A541="",$B541=""),"",IF(Z541=1,IF(AE541=1,N($R541),AD541),0))</f>
        <v/>
      </c>
      <c r="AG541" s="22">
        <f>IF(AND($A541="",$B541=""),"",IF(Z541=1,IF(AE541=1,N($S541),AC541),0))</f>
        <v/>
      </c>
      <c r="AH541" s="21">
        <f>IF(AND($A541="",$B541=""),"",IF(AND(ISNUMBER($I541),N($I541)&gt;0),$I541,0))</f>
        <v/>
      </c>
      <c r="AI541" s="23">
        <f>IF(AND(NOT(AND($A541="",$B541="")),$K541="Point",N($L541)&gt;0),SQRT(N($L541)/PI()),"")</f>
        <v/>
      </c>
      <c r="AJ541" s="21">
        <f>IF(AND($A541="",$B541=""),"",IFERROR(VLOOKUP($G541,Lists!$D$4:$E$15,2,FALSE),"Not reported"))</f>
        <v/>
      </c>
      <c r="AK541" s="21">
        <f>IF(AND($A541="",$B541=""),"",IF($X541&lt;&gt;"",$X541,IF($T541&lt;&gt;"Y","Not assessed",IF(AND(ISNUMBER($V541),Setup!$B$6-$V541&gt;Setup!$B$26),"Assessment outdated",IF(NOT(ISNUMBER($W541)),"Assessed – no score",IF($W541&gt;=Setup!$B$24,"High",IF($W541&gt;=Setup!$B$25,"Moderate","Low")))))))</f>
        <v/>
      </c>
      <c r="AL541" s="21">
        <f>IF(AND($A541="",$B541=""),"",IF(Z541=0,"",IF(AND(AE541=1,N($R541)&gt;AD541*1.01+0.001),"Net terrestrial &gt; gross; ","")&amp;IF(AND(AE541=1,N($S541)&gt;AC541*1.01+0.001),"Net marine &gt; gross; ","")&amp;IF(AE541=0,"No net area – gross used, overlaps may be double-counted; ","")&amp;IF(AH541=0,"STATUS_YR missing – imputed in time series; ","")&amp;IF(AND(ISNUMBER($I541),N($I541)&gt;Setup!$B$6),"STATUS_YR after reporting year; ","")&amp;IF(OR($G541="",$G541="Not Reported"),"GOV_TYPE not reported; ","")&amp;IF(AND(N($J541)=1,$K541="Point",N($M541)&lt;=0),"Coastal point without REP_M_AREA – land/sea split unknown; ","")&amp;IF(AND(N($J541)=0,N($S541)&gt;0),"MARINE=0 but net marine &gt;0; ","")&amp;IF(AND(N($J541)=2,N($R541)&gt;0),"MARINE=2 but net terrestrial &gt;0; ","")&amp;IF($K541="Point","Buffered point – coverage approximate; ","")))</f>
        <v/>
      </c>
    </row>
    <row r="542">
      <c r="A542" s="19" t="n"/>
      <c r="B542" s="19" t="n"/>
      <c r="C542" s="19" t="n"/>
      <c r="D542" s="19" t="n"/>
      <c r="E542" s="19" t="n"/>
      <c r="F542" s="19" t="n"/>
      <c r="G542" s="19" t="n"/>
      <c r="H542" s="19" t="n"/>
      <c r="I542" s="19" t="n"/>
      <c r="J542" s="19" t="n"/>
      <c r="K542" s="19" t="n"/>
      <c r="L542" s="20" t="n"/>
      <c r="M542" s="20" t="n"/>
      <c r="N542" s="20" t="n"/>
      <c r="O542" s="20" t="n"/>
      <c r="P542" s="19" t="n"/>
      <c r="Q542" s="19" t="n"/>
      <c r="R542" s="20" t="n"/>
      <c r="S542" s="20" t="n"/>
      <c r="T542" s="19" t="n"/>
      <c r="U542" s="19" t="n"/>
      <c r="V542" s="19" t="n"/>
      <c r="W542" s="19" t="n"/>
      <c r="X542" s="19" t="n"/>
      <c r="Y542" s="19" t="n"/>
      <c r="Z542" s="21">
        <f>IF(AND($A542="",$B542=""),"",IF(OR($E542="",$H542="",$H542="Proposed",$H542="Not Reported"),0,IF(AND($P542="Y",$Q542&lt;&gt;"Y"),0,IF(AND($K542="Point",N($L542)&lt;=0),0,IF(AND(N($L542)&lt;=0,N($N542)&lt;=0,N($R542)+N($S542)&lt;=0),0,1)))))</f>
        <v/>
      </c>
      <c r="AA542" s="21">
        <f>IF(AND($A542="",$B542=""),"",IF($E542="","Site type missing",IF($H542="","STATUS missing",IF($H542="Proposed","STATUS = Proposed",IF($H542="Not Reported","STATUS = Not Reported",IF(AND($P542="Y",$Q542&lt;&gt;"Y"),"UNESCO-MAB Biosphere Reserve",IF(AND($K542="Point",N($L542)&lt;=0),"Point without REP_AREA",IF(AND(N($L542)&lt;=0,N($N542)&lt;=0,N($R542)+N($S542)&lt;=0),"No area information",""))))))))</f>
        <v/>
      </c>
      <c r="AB542" s="22">
        <f>IF(AND($A542="",$B542=""),"",IF($K542="Point",N($L542),IF(N($N542)&gt;0,N($N542),N($L542))))</f>
        <v/>
      </c>
      <c r="AC542" s="22">
        <f>IF(AND($A542="",$B542=""),"",MIN(AB542,IF(N($J542)=0,0,IF(N($J542)=2,AB542,IF(AND($K542&lt;&gt;"Point",N($O542)&gt;0),N($O542),N($M542))))))</f>
        <v/>
      </c>
      <c r="AD542" s="22">
        <f>IF(AND($A542="",$B542=""),"",MAX(0,AB542-AC542))</f>
        <v/>
      </c>
      <c r="AE542" s="21">
        <f>IF(AND($A542="",$B542=""),"",IF(OR($R542&lt;&gt;"",$S542&lt;&gt;""),1,0))</f>
        <v/>
      </c>
      <c r="AF542" s="22">
        <f>IF(AND($A542="",$B542=""),"",IF(Z542=1,IF(AE542=1,N($R542),AD542),0))</f>
        <v/>
      </c>
      <c r="AG542" s="22">
        <f>IF(AND($A542="",$B542=""),"",IF(Z542=1,IF(AE542=1,N($S542),AC542),0))</f>
        <v/>
      </c>
      <c r="AH542" s="21">
        <f>IF(AND($A542="",$B542=""),"",IF(AND(ISNUMBER($I542),N($I542)&gt;0),$I542,0))</f>
        <v/>
      </c>
      <c r="AI542" s="23">
        <f>IF(AND(NOT(AND($A542="",$B542="")),$K542="Point",N($L542)&gt;0),SQRT(N($L542)/PI()),"")</f>
        <v/>
      </c>
      <c r="AJ542" s="21">
        <f>IF(AND($A542="",$B542=""),"",IFERROR(VLOOKUP($G542,Lists!$D$4:$E$15,2,FALSE),"Not reported"))</f>
        <v/>
      </c>
      <c r="AK542" s="21">
        <f>IF(AND($A542="",$B542=""),"",IF($X542&lt;&gt;"",$X542,IF($T542&lt;&gt;"Y","Not assessed",IF(AND(ISNUMBER($V542),Setup!$B$6-$V542&gt;Setup!$B$26),"Assessment outdated",IF(NOT(ISNUMBER($W542)),"Assessed – no score",IF($W542&gt;=Setup!$B$24,"High",IF($W542&gt;=Setup!$B$25,"Moderate","Low")))))))</f>
        <v/>
      </c>
      <c r="AL542" s="21">
        <f>IF(AND($A542="",$B542=""),"",IF(Z542=0,"",IF(AND(AE542=1,N($R542)&gt;AD542*1.01+0.001),"Net terrestrial &gt; gross; ","")&amp;IF(AND(AE542=1,N($S542)&gt;AC542*1.01+0.001),"Net marine &gt; gross; ","")&amp;IF(AE542=0,"No net area – gross used, overlaps may be double-counted; ","")&amp;IF(AH542=0,"STATUS_YR missing – imputed in time series; ","")&amp;IF(AND(ISNUMBER($I542),N($I542)&gt;Setup!$B$6),"STATUS_YR after reporting year; ","")&amp;IF(OR($G542="",$G542="Not Reported"),"GOV_TYPE not reported; ","")&amp;IF(AND(N($J542)=1,$K542="Point",N($M542)&lt;=0),"Coastal point without REP_M_AREA – land/sea split unknown; ","")&amp;IF(AND(N($J542)=0,N($S542)&gt;0),"MARINE=0 but net marine &gt;0; ","")&amp;IF(AND(N($J542)=2,N($R542)&gt;0),"MARINE=2 but net terrestrial &gt;0; ","")&amp;IF($K542="Point","Buffered point – coverage approximate; ","")))</f>
        <v/>
      </c>
    </row>
    <row r="543">
      <c r="A543" s="19" t="n"/>
      <c r="B543" s="19" t="n"/>
      <c r="C543" s="19" t="n"/>
      <c r="D543" s="19" t="n"/>
      <c r="E543" s="19" t="n"/>
      <c r="F543" s="19" t="n"/>
      <c r="G543" s="19" t="n"/>
      <c r="H543" s="19" t="n"/>
      <c r="I543" s="19" t="n"/>
      <c r="J543" s="19" t="n"/>
      <c r="K543" s="19" t="n"/>
      <c r="L543" s="20" t="n"/>
      <c r="M543" s="20" t="n"/>
      <c r="N543" s="20" t="n"/>
      <c r="O543" s="20" t="n"/>
      <c r="P543" s="19" t="n"/>
      <c r="Q543" s="19" t="n"/>
      <c r="R543" s="20" t="n"/>
      <c r="S543" s="20" t="n"/>
      <c r="T543" s="19" t="n"/>
      <c r="U543" s="19" t="n"/>
      <c r="V543" s="19" t="n"/>
      <c r="W543" s="19" t="n"/>
      <c r="X543" s="19" t="n"/>
      <c r="Y543" s="19" t="n"/>
      <c r="Z543" s="21">
        <f>IF(AND($A543="",$B543=""),"",IF(OR($E543="",$H543="",$H543="Proposed",$H543="Not Reported"),0,IF(AND($P543="Y",$Q543&lt;&gt;"Y"),0,IF(AND($K543="Point",N($L543)&lt;=0),0,IF(AND(N($L543)&lt;=0,N($N543)&lt;=0,N($R543)+N($S543)&lt;=0),0,1)))))</f>
        <v/>
      </c>
      <c r="AA543" s="21">
        <f>IF(AND($A543="",$B543=""),"",IF($E543="","Site type missing",IF($H543="","STATUS missing",IF($H543="Proposed","STATUS = Proposed",IF($H543="Not Reported","STATUS = Not Reported",IF(AND($P543="Y",$Q543&lt;&gt;"Y"),"UNESCO-MAB Biosphere Reserve",IF(AND($K543="Point",N($L543)&lt;=0),"Point without REP_AREA",IF(AND(N($L543)&lt;=0,N($N543)&lt;=0,N($R543)+N($S543)&lt;=0),"No area information",""))))))))</f>
        <v/>
      </c>
      <c r="AB543" s="22">
        <f>IF(AND($A543="",$B543=""),"",IF($K543="Point",N($L543),IF(N($N543)&gt;0,N($N543),N($L543))))</f>
        <v/>
      </c>
      <c r="AC543" s="22">
        <f>IF(AND($A543="",$B543=""),"",MIN(AB543,IF(N($J543)=0,0,IF(N($J543)=2,AB543,IF(AND($K543&lt;&gt;"Point",N($O543)&gt;0),N($O543),N($M543))))))</f>
        <v/>
      </c>
      <c r="AD543" s="22">
        <f>IF(AND($A543="",$B543=""),"",MAX(0,AB543-AC543))</f>
        <v/>
      </c>
      <c r="AE543" s="21">
        <f>IF(AND($A543="",$B543=""),"",IF(OR($R543&lt;&gt;"",$S543&lt;&gt;""),1,0))</f>
        <v/>
      </c>
      <c r="AF543" s="22">
        <f>IF(AND($A543="",$B543=""),"",IF(Z543=1,IF(AE543=1,N($R543),AD543),0))</f>
        <v/>
      </c>
      <c r="AG543" s="22">
        <f>IF(AND($A543="",$B543=""),"",IF(Z543=1,IF(AE543=1,N($S543),AC543),0))</f>
        <v/>
      </c>
      <c r="AH543" s="21">
        <f>IF(AND($A543="",$B543=""),"",IF(AND(ISNUMBER($I543),N($I543)&gt;0),$I543,0))</f>
        <v/>
      </c>
      <c r="AI543" s="23">
        <f>IF(AND(NOT(AND($A543="",$B543="")),$K543="Point",N($L543)&gt;0),SQRT(N($L543)/PI()),"")</f>
        <v/>
      </c>
      <c r="AJ543" s="21">
        <f>IF(AND($A543="",$B543=""),"",IFERROR(VLOOKUP($G543,Lists!$D$4:$E$15,2,FALSE),"Not reported"))</f>
        <v/>
      </c>
      <c r="AK543" s="21">
        <f>IF(AND($A543="",$B543=""),"",IF($X543&lt;&gt;"",$X543,IF($T543&lt;&gt;"Y","Not assessed",IF(AND(ISNUMBER($V543),Setup!$B$6-$V543&gt;Setup!$B$26),"Assessment outdated",IF(NOT(ISNUMBER($W543)),"Assessed – no score",IF($W543&gt;=Setup!$B$24,"High",IF($W543&gt;=Setup!$B$25,"Moderate","Low")))))))</f>
        <v/>
      </c>
      <c r="AL543" s="21">
        <f>IF(AND($A543="",$B543=""),"",IF(Z543=0,"",IF(AND(AE543=1,N($R543)&gt;AD543*1.01+0.001),"Net terrestrial &gt; gross; ","")&amp;IF(AND(AE543=1,N($S543)&gt;AC543*1.01+0.001),"Net marine &gt; gross; ","")&amp;IF(AE543=0,"No net area – gross used, overlaps may be double-counted; ","")&amp;IF(AH543=0,"STATUS_YR missing – imputed in time series; ","")&amp;IF(AND(ISNUMBER($I543),N($I543)&gt;Setup!$B$6),"STATUS_YR after reporting year; ","")&amp;IF(OR($G543="",$G543="Not Reported"),"GOV_TYPE not reported; ","")&amp;IF(AND(N($J543)=1,$K543="Point",N($M543)&lt;=0),"Coastal point without REP_M_AREA – land/sea split unknown; ","")&amp;IF(AND(N($J543)=0,N($S543)&gt;0),"MARINE=0 but net marine &gt;0; ","")&amp;IF(AND(N($J543)=2,N($R543)&gt;0),"MARINE=2 but net terrestrial &gt;0; ","")&amp;IF($K543="Point","Buffered point – coverage approximate; ","")))</f>
        <v/>
      </c>
    </row>
    <row r="544">
      <c r="A544" s="19" t="n"/>
      <c r="B544" s="19" t="n"/>
      <c r="C544" s="19" t="n"/>
      <c r="D544" s="19" t="n"/>
      <c r="E544" s="19" t="n"/>
      <c r="F544" s="19" t="n"/>
      <c r="G544" s="19" t="n"/>
      <c r="H544" s="19" t="n"/>
      <c r="I544" s="19" t="n"/>
      <c r="J544" s="19" t="n"/>
      <c r="K544" s="19" t="n"/>
      <c r="L544" s="20" t="n"/>
      <c r="M544" s="20" t="n"/>
      <c r="N544" s="20" t="n"/>
      <c r="O544" s="20" t="n"/>
      <c r="P544" s="19" t="n"/>
      <c r="Q544" s="19" t="n"/>
      <c r="R544" s="20" t="n"/>
      <c r="S544" s="20" t="n"/>
      <c r="T544" s="19" t="n"/>
      <c r="U544" s="19" t="n"/>
      <c r="V544" s="19" t="n"/>
      <c r="W544" s="19" t="n"/>
      <c r="X544" s="19" t="n"/>
      <c r="Y544" s="19" t="n"/>
      <c r="Z544" s="21">
        <f>IF(AND($A544="",$B544=""),"",IF(OR($E544="",$H544="",$H544="Proposed",$H544="Not Reported"),0,IF(AND($P544="Y",$Q544&lt;&gt;"Y"),0,IF(AND($K544="Point",N($L544)&lt;=0),0,IF(AND(N($L544)&lt;=0,N($N544)&lt;=0,N($R544)+N($S544)&lt;=0),0,1)))))</f>
        <v/>
      </c>
      <c r="AA544" s="21">
        <f>IF(AND($A544="",$B544=""),"",IF($E544="","Site type missing",IF($H544="","STATUS missing",IF($H544="Proposed","STATUS = Proposed",IF($H544="Not Reported","STATUS = Not Reported",IF(AND($P544="Y",$Q544&lt;&gt;"Y"),"UNESCO-MAB Biosphere Reserve",IF(AND($K544="Point",N($L544)&lt;=0),"Point without REP_AREA",IF(AND(N($L544)&lt;=0,N($N544)&lt;=0,N($R544)+N($S544)&lt;=0),"No area information",""))))))))</f>
        <v/>
      </c>
      <c r="AB544" s="22">
        <f>IF(AND($A544="",$B544=""),"",IF($K544="Point",N($L544),IF(N($N544)&gt;0,N($N544),N($L544))))</f>
        <v/>
      </c>
      <c r="AC544" s="22">
        <f>IF(AND($A544="",$B544=""),"",MIN(AB544,IF(N($J544)=0,0,IF(N($J544)=2,AB544,IF(AND($K544&lt;&gt;"Point",N($O544)&gt;0),N($O544),N($M544))))))</f>
        <v/>
      </c>
      <c r="AD544" s="22">
        <f>IF(AND($A544="",$B544=""),"",MAX(0,AB544-AC544))</f>
        <v/>
      </c>
      <c r="AE544" s="21">
        <f>IF(AND($A544="",$B544=""),"",IF(OR($R544&lt;&gt;"",$S544&lt;&gt;""),1,0))</f>
        <v/>
      </c>
      <c r="AF544" s="22">
        <f>IF(AND($A544="",$B544=""),"",IF(Z544=1,IF(AE544=1,N($R544),AD544),0))</f>
        <v/>
      </c>
      <c r="AG544" s="22">
        <f>IF(AND($A544="",$B544=""),"",IF(Z544=1,IF(AE544=1,N($S544),AC544),0))</f>
        <v/>
      </c>
      <c r="AH544" s="21">
        <f>IF(AND($A544="",$B544=""),"",IF(AND(ISNUMBER($I544),N($I544)&gt;0),$I544,0))</f>
        <v/>
      </c>
      <c r="AI544" s="23">
        <f>IF(AND(NOT(AND($A544="",$B544="")),$K544="Point",N($L544)&gt;0),SQRT(N($L544)/PI()),"")</f>
        <v/>
      </c>
      <c r="AJ544" s="21">
        <f>IF(AND($A544="",$B544=""),"",IFERROR(VLOOKUP($G544,Lists!$D$4:$E$15,2,FALSE),"Not reported"))</f>
        <v/>
      </c>
      <c r="AK544" s="21">
        <f>IF(AND($A544="",$B544=""),"",IF($X544&lt;&gt;"",$X544,IF($T544&lt;&gt;"Y","Not assessed",IF(AND(ISNUMBER($V544),Setup!$B$6-$V544&gt;Setup!$B$26),"Assessment outdated",IF(NOT(ISNUMBER($W544)),"Assessed – no score",IF($W544&gt;=Setup!$B$24,"High",IF($W544&gt;=Setup!$B$25,"Moderate","Low")))))))</f>
        <v/>
      </c>
      <c r="AL544" s="21">
        <f>IF(AND($A544="",$B544=""),"",IF(Z544=0,"",IF(AND(AE544=1,N($R544)&gt;AD544*1.01+0.001),"Net terrestrial &gt; gross; ","")&amp;IF(AND(AE544=1,N($S544)&gt;AC544*1.01+0.001),"Net marine &gt; gross; ","")&amp;IF(AE544=0,"No net area – gross used, overlaps may be double-counted; ","")&amp;IF(AH544=0,"STATUS_YR missing – imputed in time series; ","")&amp;IF(AND(ISNUMBER($I544),N($I544)&gt;Setup!$B$6),"STATUS_YR after reporting year; ","")&amp;IF(OR($G544="",$G544="Not Reported"),"GOV_TYPE not reported; ","")&amp;IF(AND(N($J544)=1,$K544="Point",N($M544)&lt;=0),"Coastal point without REP_M_AREA – land/sea split unknown; ","")&amp;IF(AND(N($J544)=0,N($S544)&gt;0),"MARINE=0 but net marine &gt;0; ","")&amp;IF(AND(N($J544)=2,N($R544)&gt;0),"MARINE=2 but net terrestrial &gt;0; ","")&amp;IF($K544="Point","Buffered point – coverage approximate; ","")))</f>
        <v/>
      </c>
    </row>
    <row r="545">
      <c r="A545" s="19" t="n"/>
      <c r="B545" s="19" t="n"/>
      <c r="C545" s="19" t="n"/>
      <c r="D545" s="19" t="n"/>
      <c r="E545" s="19" t="n"/>
      <c r="F545" s="19" t="n"/>
      <c r="G545" s="19" t="n"/>
      <c r="H545" s="19" t="n"/>
      <c r="I545" s="19" t="n"/>
      <c r="J545" s="19" t="n"/>
      <c r="K545" s="19" t="n"/>
      <c r="L545" s="20" t="n"/>
      <c r="M545" s="20" t="n"/>
      <c r="N545" s="20" t="n"/>
      <c r="O545" s="20" t="n"/>
      <c r="P545" s="19" t="n"/>
      <c r="Q545" s="19" t="n"/>
      <c r="R545" s="20" t="n"/>
      <c r="S545" s="20" t="n"/>
      <c r="T545" s="19" t="n"/>
      <c r="U545" s="19" t="n"/>
      <c r="V545" s="19" t="n"/>
      <c r="W545" s="19" t="n"/>
      <c r="X545" s="19" t="n"/>
      <c r="Y545" s="19" t="n"/>
      <c r="Z545" s="21">
        <f>IF(AND($A545="",$B545=""),"",IF(OR($E545="",$H545="",$H545="Proposed",$H545="Not Reported"),0,IF(AND($P545="Y",$Q545&lt;&gt;"Y"),0,IF(AND($K545="Point",N($L545)&lt;=0),0,IF(AND(N($L545)&lt;=0,N($N545)&lt;=0,N($R545)+N($S545)&lt;=0),0,1)))))</f>
        <v/>
      </c>
      <c r="AA545" s="21">
        <f>IF(AND($A545="",$B545=""),"",IF($E545="","Site type missing",IF($H545="","STATUS missing",IF($H545="Proposed","STATUS = Proposed",IF($H545="Not Reported","STATUS = Not Reported",IF(AND($P545="Y",$Q545&lt;&gt;"Y"),"UNESCO-MAB Biosphere Reserve",IF(AND($K545="Point",N($L545)&lt;=0),"Point without REP_AREA",IF(AND(N($L545)&lt;=0,N($N545)&lt;=0,N($R545)+N($S545)&lt;=0),"No area information",""))))))))</f>
        <v/>
      </c>
      <c r="AB545" s="22">
        <f>IF(AND($A545="",$B545=""),"",IF($K545="Point",N($L545),IF(N($N545)&gt;0,N($N545),N($L545))))</f>
        <v/>
      </c>
      <c r="AC545" s="22">
        <f>IF(AND($A545="",$B545=""),"",MIN(AB545,IF(N($J545)=0,0,IF(N($J545)=2,AB545,IF(AND($K545&lt;&gt;"Point",N($O545)&gt;0),N($O545),N($M545))))))</f>
        <v/>
      </c>
      <c r="AD545" s="22">
        <f>IF(AND($A545="",$B545=""),"",MAX(0,AB545-AC545))</f>
        <v/>
      </c>
      <c r="AE545" s="21">
        <f>IF(AND($A545="",$B545=""),"",IF(OR($R545&lt;&gt;"",$S545&lt;&gt;""),1,0))</f>
        <v/>
      </c>
      <c r="AF545" s="22">
        <f>IF(AND($A545="",$B545=""),"",IF(Z545=1,IF(AE545=1,N($R545),AD545),0))</f>
        <v/>
      </c>
      <c r="AG545" s="22">
        <f>IF(AND($A545="",$B545=""),"",IF(Z545=1,IF(AE545=1,N($S545),AC545),0))</f>
        <v/>
      </c>
      <c r="AH545" s="21">
        <f>IF(AND($A545="",$B545=""),"",IF(AND(ISNUMBER($I545),N($I545)&gt;0),$I545,0))</f>
        <v/>
      </c>
      <c r="AI545" s="23">
        <f>IF(AND(NOT(AND($A545="",$B545="")),$K545="Point",N($L545)&gt;0),SQRT(N($L545)/PI()),"")</f>
        <v/>
      </c>
      <c r="AJ545" s="21">
        <f>IF(AND($A545="",$B545=""),"",IFERROR(VLOOKUP($G545,Lists!$D$4:$E$15,2,FALSE),"Not reported"))</f>
        <v/>
      </c>
      <c r="AK545" s="21">
        <f>IF(AND($A545="",$B545=""),"",IF($X545&lt;&gt;"",$X545,IF($T545&lt;&gt;"Y","Not assessed",IF(AND(ISNUMBER($V545),Setup!$B$6-$V545&gt;Setup!$B$26),"Assessment outdated",IF(NOT(ISNUMBER($W545)),"Assessed – no score",IF($W545&gt;=Setup!$B$24,"High",IF($W545&gt;=Setup!$B$25,"Moderate","Low")))))))</f>
        <v/>
      </c>
      <c r="AL545" s="21">
        <f>IF(AND($A545="",$B545=""),"",IF(Z545=0,"",IF(AND(AE545=1,N($R545)&gt;AD545*1.01+0.001),"Net terrestrial &gt; gross; ","")&amp;IF(AND(AE545=1,N($S545)&gt;AC545*1.01+0.001),"Net marine &gt; gross; ","")&amp;IF(AE545=0,"No net area – gross used, overlaps may be double-counted; ","")&amp;IF(AH545=0,"STATUS_YR missing – imputed in time series; ","")&amp;IF(AND(ISNUMBER($I545),N($I545)&gt;Setup!$B$6),"STATUS_YR after reporting year; ","")&amp;IF(OR($G545="",$G545="Not Reported"),"GOV_TYPE not reported; ","")&amp;IF(AND(N($J545)=1,$K545="Point",N($M545)&lt;=0),"Coastal point without REP_M_AREA – land/sea split unknown; ","")&amp;IF(AND(N($J545)=0,N($S545)&gt;0),"MARINE=0 but net marine &gt;0; ","")&amp;IF(AND(N($J545)=2,N($R545)&gt;0),"MARINE=2 but net terrestrial &gt;0; ","")&amp;IF($K545="Point","Buffered point – coverage approximate; ","")))</f>
        <v/>
      </c>
    </row>
    <row r="546">
      <c r="A546" s="19" t="n"/>
      <c r="B546" s="19" t="n"/>
      <c r="C546" s="19" t="n"/>
      <c r="D546" s="19" t="n"/>
      <c r="E546" s="19" t="n"/>
      <c r="F546" s="19" t="n"/>
      <c r="G546" s="19" t="n"/>
      <c r="H546" s="19" t="n"/>
      <c r="I546" s="19" t="n"/>
      <c r="J546" s="19" t="n"/>
      <c r="K546" s="19" t="n"/>
      <c r="L546" s="20" t="n"/>
      <c r="M546" s="20" t="n"/>
      <c r="N546" s="20" t="n"/>
      <c r="O546" s="20" t="n"/>
      <c r="P546" s="19" t="n"/>
      <c r="Q546" s="19" t="n"/>
      <c r="R546" s="20" t="n"/>
      <c r="S546" s="20" t="n"/>
      <c r="T546" s="19" t="n"/>
      <c r="U546" s="19" t="n"/>
      <c r="V546" s="19" t="n"/>
      <c r="W546" s="19" t="n"/>
      <c r="X546" s="19" t="n"/>
      <c r="Y546" s="19" t="n"/>
      <c r="Z546" s="21">
        <f>IF(AND($A546="",$B546=""),"",IF(OR($E546="",$H546="",$H546="Proposed",$H546="Not Reported"),0,IF(AND($P546="Y",$Q546&lt;&gt;"Y"),0,IF(AND($K546="Point",N($L546)&lt;=0),0,IF(AND(N($L546)&lt;=0,N($N546)&lt;=0,N($R546)+N($S546)&lt;=0),0,1)))))</f>
        <v/>
      </c>
      <c r="AA546" s="21">
        <f>IF(AND($A546="",$B546=""),"",IF($E546="","Site type missing",IF($H546="","STATUS missing",IF($H546="Proposed","STATUS = Proposed",IF($H546="Not Reported","STATUS = Not Reported",IF(AND($P546="Y",$Q546&lt;&gt;"Y"),"UNESCO-MAB Biosphere Reserve",IF(AND($K546="Point",N($L546)&lt;=0),"Point without REP_AREA",IF(AND(N($L546)&lt;=0,N($N546)&lt;=0,N($R546)+N($S546)&lt;=0),"No area information",""))))))))</f>
        <v/>
      </c>
      <c r="AB546" s="22">
        <f>IF(AND($A546="",$B546=""),"",IF($K546="Point",N($L546),IF(N($N546)&gt;0,N($N546),N($L546))))</f>
        <v/>
      </c>
      <c r="AC546" s="22">
        <f>IF(AND($A546="",$B546=""),"",MIN(AB546,IF(N($J546)=0,0,IF(N($J546)=2,AB546,IF(AND($K546&lt;&gt;"Point",N($O546)&gt;0),N($O546),N($M546))))))</f>
        <v/>
      </c>
      <c r="AD546" s="22">
        <f>IF(AND($A546="",$B546=""),"",MAX(0,AB546-AC546))</f>
        <v/>
      </c>
      <c r="AE546" s="21">
        <f>IF(AND($A546="",$B546=""),"",IF(OR($R546&lt;&gt;"",$S546&lt;&gt;""),1,0))</f>
        <v/>
      </c>
      <c r="AF546" s="22">
        <f>IF(AND($A546="",$B546=""),"",IF(Z546=1,IF(AE546=1,N($R546),AD546),0))</f>
        <v/>
      </c>
      <c r="AG546" s="22">
        <f>IF(AND($A546="",$B546=""),"",IF(Z546=1,IF(AE546=1,N($S546),AC546),0))</f>
        <v/>
      </c>
      <c r="AH546" s="21">
        <f>IF(AND($A546="",$B546=""),"",IF(AND(ISNUMBER($I546),N($I546)&gt;0),$I546,0))</f>
        <v/>
      </c>
      <c r="AI546" s="23">
        <f>IF(AND(NOT(AND($A546="",$B546="")),$K546="Point",N($L546)&gt;0),SQRT(N($L546)/PI()),"")</f>
        <v/>
      </c>
      <c r="AJ546" s="21">
        <f>IF(AND($A546="",$B546=""),"",IFERROR(VLOOKUP($G546,Lists!$D$4:$E$15,2,FALSE),"Not reported"))</f>
        <v/>
      </c>
      <c r="AK546" s="21">
        <f>IF(AND($A546="",$B546=""),"",IF($X546&lt;&gt;"",$X546,IF($T546&lt;&gt;"Y","Not assessed",IF(AND(ISNUMBER($V546),Setup!$B$6-$V546&gt;Setup!$B$26),"Assessment outdated",IF(NOT(ISNUMBER($W546)),"Assessed – no score",IF($W546&gt;=Setup!$B$24,"High",IF($W546&gt;=Setup!$B$25,"Moderate","Low")))))))</f>
        <v/>
      </c>
      <c r="AL546" s="21">
        <f>IF(AND($A546="",$B546=""),"",IF(Z546=0,"",IF(AND(AE546=1,N($R546)&gt;AD546*1.01+0.001),"Net terrestrial &gt; gross; ","")&amp;IF(AND(AE546=1,N($S546)&gt;AC546*1.01+0.001),"Net marine &gt; gross; ","")&amp;IF(AE546=0,"No net area – gross used, overlaps may be double-counted; ","")&amp;IF(AH546=0,"STATUS_YR missing – imputed in time series; ","")&amp;IF(AND(ISNUMBER($I546),N($I546)&gt;Setup!$B$6),"STATUS_YR after reporting year; ","")&amp;IF(OR($G546="",$G546="Not Reported"),"GOV_TYPE not reported; ","")&amp;IF(AND(N($J546)=1,$K546="Point",N($M546)&lt;=0),"Coastal point without REP_M_AREA – land/sea split unknown; ","")&amp;IF(AND(N($J546)=0,N($S546)&gt;0),"MARINE=0 but net marine &gt;0; ","")&amp;IF(AND(N($J546)=2,N($R546)&gt;0),"MARINE=2 but net terrestrial &gt;0; ","")&amp;IF($K546="Point","Buffered point – coverage approximate; ","")))</f>
        <v/>
      </c>
    </row>
    <row r="547">
      <c r="A547" s="19" t="n"/>
      <c r="B547" s="19" t="n"/>
      <c r="C547" s="19" t="n"/>
      <c r="D547" s="19" t="n"/>
      <c r="E547" s="19" t="n"/>
      <c r="F547" s="19" t="n"/>
      <c r="G547" s="19" t="n"/>
      <c r="H547" s="19" t="n"/>
      <c r="I547" s="19" t="n"/>
      <c r="J547" s="19" t="n"/>
      <c r="K547" s="19" t="n"/>
      <c r="L547" s="20" t="n"/>
      <c r="M547" s="20" t="n"/>
      <c r="N547" s="20" t="n"/>
      <c r="O547" s="20" t="n"/>
      <c r="P547" s="19" t="n"/>
      <c r="Q547" s="19" t="n"/>
      <c r="R547" s="20" t="n"/>
      <c r="S547" s="20" t="n"/>
      <c r="T547" s="19" t="n"/>
      <c r="U547" s="19" t="n"/>
      <c r="V547" s="19" t="n"/>
      <c r="W547" s="19" t="n"/>
      <c r="X547" s="19" t="n"/>
      <c r="Y547" s="19" t="n"/>
      <c r="Z547" s="21">
        <f>IF(AND($A547="",$B547=""),"",IF(OR($E547="",$H547="",$H547="Proposed",$H547="Not Reported"),0,IF(AND($P547="Y",$Q547&lt;&gt;"Y"),0,IF(AND($K547="Point",N($L547)&lt;=0),0,IF(AND(N($L547)&lt;=0,N($N547)&lt;=0,N($R547)+N($S547)&lt;=0),0,1)))))</f>
        <v/>
      </c>
      <c r="AA547" s="21">
        <f>IF(AND($A547="",$B547=""),"",IF($E547="","Site type missing",IF($H547="","STATUS missing",IF($H547="Proposed","STATUS = Proposed",IF($H547="Not Reported","STATUS = Not Reported",IF(AND($P547="Y",$Q547&lt;&gt;"Y"),"UNESCO-MAB Biosphere Reserve",IF(AND($K547="Point",N($L547)&lt;=0),"Point without REP_AREA",IF(AND(N($L547)&lt;=0,N($N547)&lt;=0,N($R547)+N($S547)&lt;=0),"No area information",""))))))))</f>
        <v/>
      </c>
      <c r="AB547" s="22">
        <f>IF(AND($A547="",$B547=""),"",IF($K547="Point",N($L547),IF(N($N547)&gt;0,N($N547),N($L547))))</f>
        <v/>
      </c>
      <c r="AC547" s="22">
        <f>IF(AND($A547="",$B547=""),"",MIN(AB547,IF(N($J547)=0,0,IF(N($J547)=2,AB547,IF(AND($K547&lt;&gt;"Point",N($O547)&gt;0),N($O547),N($M547))))))</f>
        <v/>
      </c>
      <c r="AD547" s="22">
        <f>IF(AND($A547="",$B547=""),"",MAX(0,AB547-AC547))</f>
        <v/>
      </c>
      <c r="AE547" s="21">
        <f>IF(AND($A547="",$B547=""),"",IF(OR($R547&lt;&gt;"",$S547&lt;&gt;""),1,0))</f>
        <v/>
      </c>
      <c r="AF547" s="22">
        <f>IF(AND($A547="",$B547=""),"",IF(Z547=1,IF(AE547=1,N($R547),AD547),0))</f>
        <v/>
      </c>
      <c r="AG547" s="22">
        <f>IF(AND($A547="",$B547=""),"",IF(Z547=1,IF(AE547=1,N($S547),AC547),0))</f>
        <v/>
      </c>
      <c r="AH547" s="21">
        <f>IF(AND($A547="",$B547=""),"",IF(AND(ISNUMBER($I547),N($I547)&gt;0),$I547,0))</f>
        <v/>
      </c>
      <c r="AI547" s="23">
        <f>IF(AND(NOT(AND($A547="",$B547="")),$K547="Point",N($L547)&gt;0),SQRT(N($L547)/PI()),"")</f>
        <v/>
      </c>
      <c r="AJ547" s="21">
        <f>IF(AND($A547="",$B547=""),"",IFERROR(VLOOKUP($G547,Lists!$D$4:$E$15,2,FALSE),"Not reported"))</f>
        <v/>
      </c>
      <c r="AK547" s="21">
        <f>IF(AND($A547="",$B547=""),"",IF($X547&lt;&gt;"",$X547,IF($T547&lt;&gt;"Y","Not assessed",IF(AND(ISNUMBER($V547),Setup!$B$6-$V547&gt;Setup!$B$26),"Assessment outdated",IF(NOT(ISNUMBER($W547)),"Assessed – no score",IF($W547&gt;=Setup!$B$24,"High",IF($W547&gt;=Setup!$B$25,"Moderate","Low")))))))</f>
        <v/>
      </c>
      <c r="AL547" s="21">
        <f>IF(AND($A547="",$B547=""),"",IF(Z547=0,"",IF(AND(AE547=1,N($R547)&gt;AD547*1.01+0.001),"Net terrestrial &gt; gross; ","")&amp;IF(AND(AE547=1,N($S547)&gt;AC547*1.01+0.001),"Net marine &gt; gross; ","")&amp;IF(AE547=0,"No net area – gross used, overlaps may be double-counted; ","")&amp;IF(AH547=0,"STATUS_YR missing – imputed in time series; ","")&amp;IF(AND(ISNUMBER($I547),N($I547)&gt;Setup!$B$6),"STATUS_YR after reporting year; ","")&amp;IF(OR($G547="",$G547="Not Reported"),"GOV_TYPE not reported; ","")&amp;IF(AND(N($J547)=1,$K547="Point",N($M547)&lt;=0),"Coastal point without REP_M_AREA – land/sea split unknown; ","")&amp;IF(AND(N($J547)=0,N($S547)&gt;0),"MARINE=0 but net marine &gt;0; ","")&amp;IF(AND(N($J547)=2,N($R547)&gt;0),"MARINE=2 but net terrestrial &gt;0; ","")&amp;IF($K547="Point","Buffered point – coverage approximate; ","")))</f>
        <v/>
      </c>
    </row>
    <row r="548">
      <c r="A548" s="19" t="n"/>
      <c r="B548" s="19" t="n"/>
      <c r="C548" s="19" t="n"/>
      <c r="D548" s="19" t="n"/>
      <c r="E548" s="19" t="n"/>
      <c r="F548" s="19" t="n"/>
      <c r="G548" s="19" t="n"/>
      <c r="H548" s="19" t="n"/>
      <c r="I548" s="19" t="n"/>
      <c r="J548" s="19" t="n"/>
      <c r="K548" s="19" t="n"/>
      <c r="L548" s="20" t="n"/>
      <c r="M548" s="20" t="n"/>
      <c r="N548" s="20" t="n"/>
      <c r="O548" s="20" t="n"/>
      <c r="P548" s="19" t="n"/>
      <c r="Q548" s="19" t="n"/>
      <c r="R548" s="20" t="n"/>
      <c r="S548" s="20" t="n"/>
      <c r="T548" s="19" t="n"/>
      <c r="U548" s="19" t="n"/>
      <c r="V548" s="19" t="n"/>
      <c r="W548" s="19" t="n"/>
      <c r="X548" s="19" t="n"/>
      <c r="Y548" s="19" t="n"/>
      <c r="Z548" s="21">
        <f>IF(AND($A548="",$B548=""),"",IF(OR($E548="",$H548="",$H548="Proposed",$H548="Not Reported"),0,IF(AND($P548="Y",$Q548&lt;&gt;"Y"),0,IF(AND($K548="Point",N($L548)&lt;=0),0,IF(AND(N($L548)&lt;=0,N($N548)&lt;=0,N($R548)+N($S548)&lt;=0),0,1)))))</f>
        <v/>
      </c>
      <c r="AA548" s="21">
        <f>IF(AND($A548="",$B548=""),"",IF($E548="","Site type missing",IF($H548="","STATUS missing",IF($H548="Proposed","STATUS = Proposed",IF($H548="Not Reported","STATUS = Not Reported",IF(AND($P548="Y",$Q548&lt;&gt;"Y"),"UNESCO-MAB Biosphere Reserve",IF(AND($K548="Point",N($L548)&lt;=0),"Point without REP_AREA",IF(AND(N($L548)&lt;=0,N($N548)&lt;=0,N($R548)+N($S548)&lt;=0),"No area information",""))))))))</f>
        <v/>
      </c>
      <c r="AB548" s="22">
        <f>IF(AND($A548="",$B548=""),"",IF($K548="Point",N($L548),IF(N($N548)&gt;0,N($N548),N($L548))))</f>
        <v/>
      </c>
      <c r="AC548" s="22">
        <f>IF(AND($A548="",$B548=""),"",MIN(AB548,IF(N($J548)=0,0,IF(N($J548)=2,AB548,IF(AND($K548&lt;&gt;"Point",N($O548)&gt;0),N($O548),N($M548))))))</f>
        <v/>
      </c>
      <c r="AD548" s="22">
        <f>IF(AND($A548="",$B548=""),"",MAX(0,AB548-AC548))</f>
        <v/>
      </c>
      <c r="AE548" s="21">
        <f>IF(AND($A548="",$B548=""),"",IF(OR($R548&lt;&gt;"",$S548&lt;&gt;""),1,0))</f>
        <v/>
      </c>
      <c r="AF548" s="22">
        <f>IF(AND($A548="",$B548=""),"",IF(Z548=1,IF(AE548=1,N($R548),AD548),0))</f>
        <v/>
      </c>
      <c r="AG548" s="22">
        <f>IF(AND($A548="",$B548=""),"",IF(Z548=1,IF(AE548=1,N($S548),AC548),0))</f>
        <v/>
      </c>
      <c r="AH548" s="21">
        <f>IF(AND($A548="",$B548=""),"",IF(AND(ISNUMBER($I548),N($I548)&gt;0),$I548,0))</f>
        <v/>
      </c>
      <c r="AI548" s="23">
        <f>IF(AND(NOT(AND($A548="",$B548="")),$K548="Point",N($L548)&gt;0),SQRT(N($L548)/PI()),"")</f>
        <v/>
      </c>
      <c r="AJ548" s="21">
        <f>IF(AND($A548="",$B548=""),"",IFERROR(VLOOKUP($G548,Lists!$D$4:$E$15,2,FALSE),"Not reported"))</f>
        <v/>
      </c>
      <c r="AK548" s="21">
        <f>IF(AND($A548="",$B548=""),"",IF($X548&lt;&gt;"",$X548,IF($T548&lt;&gt;"Y","Not assessed",IF(AND(ISNUMBER($V548),Setup!$B$6-$V548&gt;Setup!$B$26),"Assessment outdated",IF(NOT(ISNUMBER($W548)),"Assessed – no score",IF($W548&gt;=Setup!$B$24,"High",IF($W548&gt;=Setup!$B$25,"Moderate","Low")))))))</f>
        <v/>
      </c>
      <c r="AL548" s="21">
        <f>IF(AND($A548="",$B548=""),"",IF(Z548=0,"",IF(AND(AE548=1,N($R548)&gt;AD548*1.01+0.001),"Net terrestrial &gt; gross; ","")&amp;IF(AND(AE548=1,N($S548)&gt;AC548*1.01+0.001),"Net marine &gt; gross; ","")&amp;IF(AE548=0,"No net area – gross used, overlaps may be double-counted; ","")&amp;IF(AH548=0,"STATUS_YR missing – imputed in time series; ","")&amp;IF(AND(ISNUMBER($I548),N($I548)&gt;Setup!$B$6),"STATUS_YR after reporting year; ","")&amp;IF(OR($G548="",$G548="Not Reported"),"GOV_TYPE not reported; ","")&amp;IF(AND(N($J548)=1,$K548="Point",N($M548)&lt;=0),"Coastal point without REP_M_AREA – land/sea split unknown; ","")&amp;IF(AND(N($J548)=0,N($S548)&gt;0),"MARINE=0 but net marine &gt;0; ","")&amp;IF(AND(N($J548)=2,N($R548)&gt;0),"MARINE=2 but net terrestrial &gt;0; ","")&amp;IF($K548="Point","Buffered point – coverage approximate; ","")))</f>
        <v/>
      </c>
    </row>
    <row r="549">
      <c r="A549" s="19" t="n"/>
      <c r="B549" s="19" t="n"/>
      <c r="C549" s="19" t="n"/>
      <c r="D549" s="19" t="n"/>
      <c r="E549" s="19" t="n"/>
      <c r="F549" s="19" t="n"/>
      <c r="G549" s="19" t="n"/>
      <c r="H549" s="19" t="n"/>
      <c r="I549" s="19" t="n"/>
      <c r="J549" s="19" t="n"/>
      <c r="K549" s="19" t="n"/>
      <c r="L549" s="20" t="n"/>
      <c r="M549" s="20" t="n"/>
      <c r="N549" s="20" t="n"/>
      <c r="O549" s="20" t="n"/>
      <c r="P549" s="19" t="n"/>
      <c r="Q549" s="19" t="n"/>
      <c r="R549" s="20" t="n"/>
      <c r="S549" s="20" t="n"/>
      <c r="T549" s="19" t="n"/>
      <c r="U549" s="19" t="n"/>
      <c r="V549" s="19" t="n"/>
      <c r="W549" s="19" t="n"/>
      <c r="X549" s="19" t="n"/>
      <c r="Y549" s="19" t="n"/>
      <c r="Z549" s="21">
        <f>IF(AND($A549="",$B549=""),"",IF(OR($E549="",$H549="",$H549="Proposed",$H549="Not Reported"),0,IF(AND($P549="Y",$Q549&lt;&gt;"Y"),0,IF(AND($K549="Point",N($L549)&lt;=0),0,IF(AND(N($L549)&lt;=0,N($N549)&lt;=0,N($R549)+N($S549)&lt;=0),0,1)))))</f>
        <v/>
      </c>
      <c r="AA549" s="21">
        <f>IF(AND($A549="",$B549=""),"",IF($E549="","Site type missing",IF($H549="","STATUS missing",IF($H549="Proposed","STATUS = Proposed",IF($H549="Not Reported","STATUS = Not Reported",IF(AND($P549="Y",$Q549&lt;&gt;"Y"),"UNESCO-MAB Biosphere Reserve",IF(AND($K549="Point",N($L549)&lt;=0),"Point without REP_AREA",IF(AND(N($L549)&lt;=0,N($N549)&lt;=0,N($R549)+N($S549)&lt;=0),"No area information",""))))))))</f>
        <v/>
      </c>
      <c r="AB549" s="22">
        <f>IF(AND($A549="",$B549=""),"",IF($K549="Point",N($L549),IF(N($N549)&gt;0,N($N549),N($L549))))</f>
        <v/>
      </c>
      <c r="AC549" s="22">
        <f>IF(AND($A549="",$B549=""),"",MIN(AB549,IF(N($J549)=0,0,IF(N($J549)=2,AB549,IF(AND($K549&lt;&gt;"Point",N($O549)&gt;0),N($O549),N($M549))))))</f>
        <v/>
      </c>
      <c r="AD549" s="22">
        <f>IF(AND($A549="",$B549=""),"",MAX(0,AB549-AC549))</f>
        <v/>
      </c>
      <c r="AE549" s="21">
        <f>IF(AND($A549="",$B549=""),"",IF(OR($R549&lt;&gt;"",$S549&lt;&gt;""),1,0))</f>
        <v/>
      </c>
      <c r="AF549" s="22">
        <f>IF(AND($A549="",$B549=""),"",IF(Z549=1,IF(AE549=1,N($R549),AD549),0))</f>
        <v/>
      </c>
      <c r="AG549" s="22">
        <f>IF(AND($A549="",$B549=""),"",IF(Z549=1,IF(AE549=1,N($S549),AC549),0))</f>
        <v/>
      </c>
      <c r="AH549" s="21">
        <f>IF(AND($A549="",$B549=""),"",IF(AND(ISNUMBER($I549),N($I549)&gt;0),$I549,0))</f>
        <v/>
      </c>
      <c r="AI549" s="23">
        <f>IF(AND(NOT(AND($A549="",$B549="")),$K549="Point",N($L549)&gt;0),SQRT(N($L549)/PI()),"")</f>
        <v/>
      </c>
      <c r="AJ549" s="21">
        <f>IF(AND($A549="",$B549=""),"",IFERROR(VLOOKUP($G549,Lists!$D$4:$E$15,2,FALSE),"Not reported"))</f>
        <v/>
      </c>
      <c r="AK549" s="21">
        <f>IF(AND($A549="",$B549=""),"",IF($X549&lt;&gt;"",$X549,IF($T549&lt;&gt;"Y","Not assessed",IF(AND(ISNUMBER($V549),Setup!$B$6-$V549&gt;Setup!$B$26),"Assessment outdated",IF(NOT(ISNUMBER($W549)),"Assessed – no score",IF($W549&gt;=Setup!$B$24,"High",IF($W549&gt;=Setup!$B$25,"Moderate","Low")))))))</f>
        <v/>
      </c>
      <c r="AL549" s="21">
        <f>IF(AND($A549="",$B549=""),"",IF(Z549=0,"",IF(AND(AE549=1,N($R549)&gt;AD549*1.01+0.001),"Net terrestrial &gt; gross; ","")&amp;IF(AND(AE549=1,N($S549)&gt;AC549*1.01+0.001),"Net marine &gt; gross; ","")&amp;IF(AE549=0,"No net area – gross used, overlaps may be double-counted; ","")&amp;IF(AH549=0,"STATUS_YR missing – imputed in time series; ","")&amp;IF(AND(ISNUMBER($I549),N($I549)&gt;Setup!$B$6),"STATUS_YR after reporting year; ","")&amp;IF(OR($G549="",$G549="Not Reported"),"GOV_TYPE not reported; ","")&amp;IF(AND(N($J549)=1,$K549="Point",N($M549)&lt;=0),"Coastal point without REP_M_AREA – land/sea split unknown; ","")&amp;IF(AND(N($J549)=0,N($S549)&gt;0),"MARINE=0 but net marine &gt;0; ","")&amp;IF(AND(N($J549)=2,N($R549)&gt;0),"MARINE=2 but net terrestrial &gt;0; ","")&amp;IF($K549="Point","Buffered point – coverage approximate; ","")))</f>
        <v/>
      </c>
    </row>
    <row r="550">
      <c r="A550" s="19" t="n"/>
      <c r="B550" s="19" t="n"/>
      <c r="C550" s="19" t="n"/>
      <c r="D550" s="19" t="n"/>
      <c r="E550" s="19" t="n"/>
      <c r="F550" s="19" t="n"/>
      <c r="G550" s="19" t="n"/>
      <c r="H550" s="19" t="n"/>
      <c r="I550" s="19" t="n"/>
      <c r="J550" s="19" t="n"/>
      <c r="K550" s="19" t="n"/>
      <c r="L550" s="20" t="n"/>
      <c r="M550" s="20" t="n"/>
      <c r="N550" s="20" t="n"/>
      <c r="O550" s="20" t="n"/>
      <c r="P550" s="19" t="n"/>
      <c r="Q550" s="19" t="n"/>
      <c r="R550" s="20" t="n"/>
      <c r="S550" s="20" t="n"/>
      <c r="T550" s="19" t="n"/>
      <c r="U550" s="19" t="n"/>
      <c r="V550" s="19" t="n"/>
      <c r="W550" s="19" t="n"/>
      <c r="X550" s="19" t="n"/>
      <c r="Y550" s="19" t="n"/>
      <c r="Z550" s="21">
        <f>IF(AND($A550="",$B550=""),"",IF(OR($E550="",$H550="",$H550="Proposed",$H550="Not Reported"),0,IF(AND($P550="Y",$Q550&lt;&gt;"Y"),0,IF(AND($K550="Point",N($L550)&lt;=0),0,IF(AND(N($L550)&lt;=0,N($N550)&lt;=0,N($R550)+N($S550)&lt;=0),0,1)))))</f>
        <v/>
      </c>
      <c r="AA550" s="21">
        <f>IF(AND($A550="",$B550=""),"",IF($E550="","Site type missing",IF($H550="","STATUS missing",IF($H550="Proposed","STATUS = Proposed",IF($H550="Not Reported","STATUS = Not Reported",IF(AND($P550="Y",$Q550&lt;&gt;"Y"),"UNESCO-MAB Biosphere Reserve",IF(AND($K550="Point",N($L550)&lt;=0),"Point without REP_AREA",IF(AND(N($L550)&lt;=0,N($N550)&lt;=0,N($R550)+N($S550)&lt;=0),"No area information",""))))))))</f>
        <v/>
      </c>
      <c r="AB550" s="22">
        <f>IF(AND($A550="",$B550=""),"",IF($K550="Point",N($L550),IF(N($N550)&gt;0,N($N550),N($L550))))</f>
        <v/>
      </c>
      <c r="AC550" s="22">
        <f>IF(AND($A550="",$B550=""),"",MIN(AB550,IF(N($J550)=0,0,IF(N($J550)=2,AB550,IF(AND($K550&lt;&gt;"Point",N($O550)&gt;0),N($O550),N($M550))))))</f>
        <v/>
      </c>
      <c r="AD550" s="22">
        <f>IF(AND($A550="",$B550=""),"",MAX(0,AB550-AC550))</f>
        <v/>
      </c>
      <c r="AE550" s="21">
        <f>IF(AND($A550="",$B550=""),"",IF(OR($R550&lt;&gt;"",$S550&lt;&gt;""),1,0))</f>
        <v/>
      </c>
      <c r="AF550" s="22">
        <f>IF(AND($A550="",$B550=""),"",IF(Z550=1,IF(AE550=1,N($R550),AD550),0))</f>
        <v/>
      </c>
      <c r="AG550" s="22">
        <f>IF(AND($A550="",$B550=""),"",IF(Z550=1,IF(AE550=1,N($S550),AC550),0))</f>
        <v/>
      </c>
      <c r="AH550" s="21">
        <f>IF(AND($A550="",$B550=""),"",IF(AND(ISNUMBER($I550),N($I550)&gt;0),$I550,0))</f>
        <v/>
      </c>
      <c r="AI550" s="23">
        <f>IF(AND(NOT(AND($A550="",$B550="")),$K550="Point",N($L550)&gt;0),SQRT(N($L550)/PI()),"")</f>
        <v/>
      </c>
      <c r="AJ550" s="21">
        <f>IF(AND($A550="",$B550=""),"",IFERROR(VLOOKUP($G550,Lists!$D$4:$E$15,2,FALSE),"Not reported"))</f>
        <v/>
      </c>
      <c r="AK550" s="21">
        <f>IF(AND($A550="",$B550=""),"",IF($X550&lt;&gt;"",$X550,IF($T550&lt;&gt;"Y","Not assessed",IF(AND(ISNUMBER($V550),Setup!$B$6-$V550&gt;Setup!$B$26),"Assessment outdated",IF(NOT(ISNUMBER($W550)),"Assessed – no score",IF($W550&gt;=Setup!$B$24,"High",IF($W550&gt;=Setup!$B$25,"Moderate","Low")))))))</f>
        <v/>
      </c>
      <c r="AL550" s="21">
        <f>IF(AND($A550="",$B550=""),"",IF(Z550=0,"",IF(AND(AE550=1,N($R550)&gt;AD550*1.01+0.001),"Net terrestrial &gt; gross; ","")&amp;IF(AND(AE550=1,N($S550)&gt;AC550*1.01+0.001),"Net marine &gt; gross; ","")&amp;IF(AE550=0,"No net area – gross used, overlaps may be double-counted; ","")&amp;IF(AH550=0,"STATUS_YR missing – imputed in time series; ","")&amp;IF(AND(ISNUMBER($I550),N($I550)&gt;Setup!$B$6),"STATUS_YR after reporting year; ","")&amp;IF(OR($G550="",$G550="Not Reported"),"GOV_TYPE not reported; ","")&amp;IF(AND(N($J550)=1,$K550="Point",N($M550)&lt;=0),"Coastal point without REP_M_AREA – land/sea split unknown; ","")&amp;IF(AND(N($J550)=0,N($S550)&gt;0),"MARINE=0 but net marine &gt;0; ","")&amp;IF(AND(N($J550)=2,N($R550)&gt;0),"MARINE=2 but net terrestrial &gt;0; ","")&amp;IF($K550="Point","Buffered point – coverage approximate; ","")))</f>
        <v/>
      </c>
    </row>
    <row r="551">
      <c r="A551" s="19" t="n"/>
      <c r="B551" s="19" t="n"/>
      <c r="C551" s="19" t="n"/>
      <c r="D551" s="19" t="n"/>
      <c r="E551" s="19" t="n"/>
      <c r="F551" s="19" t="n"/>
      <c r="G551" s="19" t="n"/>
      <c r="H551" s="19" t="n"/>
      <c r="I551" s="19" t="n"/>
      <c r="J551" s="19" t="n"/>
      <c r="K551" s="19" t="n"/>
      <c r="L551" s="20" t="n"/>
      <c r="M551" s="20" t="n"/>
      <c r="N551" s="20" t="n"/>
      <c r="O551" s="20" t="n"/>
      <c r="P551" s="19" t="n"/>
      <c r="Q551" s="19" t="n"/>
      <c r="R551" s="20" t="n"/>
      <c r="S551" s="20" t="n"/>
      <c r="T551" s="19" t="n"/>
      <c r="U551" s="19" t="n"/>
      <c r="V551" s="19" t="n"/>
      <c r="W551" s="19" t="n"/>
      <c r="X551" s="19" t="n"/>
      <c r="Y551" s="19" t="n"/>
      <c r="Z551" s="21">
        <f>IF(AND($A551="",$B551=""),"",IF(OR($E551="",$H551="",$H551="Proposed",$H551="Not Reported"),0,IF(AND($P551="Y",$Q551&lt;&gt;"Y"),0,IF(AND($K551="Point",N($L551)&lt;=0),0,IF(AND(N($L551)&lt;=0,N($N551)&lt;=0,N($R551)+N($S551)&lt;=0),0,1)))))</f>
        <v/>
      </c>
      <c r="AA551" s="21">
        <f>IF(AND($A551="",$B551=""),"",IF($E551="","Site type missing",IF($H551="","STATUS missing",IF($H551="Proposed","STATUS = Proposed",IF($H551="Not Reported","STATUS = Not Reported",IF(AND($P551="Y",$Q551&lt;&gt;"Y"),"UNESCO-MAB Biosphere Reserve",IF(AND($K551="Point",N($L551)&lt;=0),"Point without REP_AREA",IF(AND(N($L551)&lt;=0,N($N551)&lt;=0,N($R551)+N($S551)&lt;=0),"No area information",""))))))))</f>
        <v/>
      </c>
      <c r="AB551" s="22">
        <f>IF(AND($A551="",$B551=""),"",IF($K551="Point",N($L551),IF(N($N551)&gt;0,N($N551),N($L551))))</f>
        <v/>
      </c>
      <c r="AC551" s="22">
        <f>IF(AND($A551="",$B551=""),"",MIN(AB551,IF(N($J551)=0,0,IF(N($J551)=2,AB551,IF(AND($K551&lt;&gt;"Point",N($O551)&gt;0),N($O551),N($M551))))))</f>
        <v/>
      </c>
      <c r="AD551" s="22">
        <f>IF(AND($A551="",$B551=""),"",MAX(0,AB551-AC551))</f>
        <v/>
      </c>
      <c r="AE551" s="21">
        <f>IF(AND($A551="",$B551=""),"",IF(OR($R551&lt;&gt;"",$S551&lt;&gt;""),1,0))</f>
        <v/>
      </c>
      <c r="AF551" s="22">
        <f>IF(AND($A551="",$B551=""),"",IF(Z551=1,IF(AE551=1,N($R551),AD551),0))</f>
        <v/>
      </c>
      <c r="AG551" s="22">
        <f>IF(AND($A551="",$B551=""),"",IF(Z551=1,IF(AE551=1,N($S551),AC551),0))</f>
        <v/>
      </c>
      <c r="AH551" s="21">
        <f>IF(AND($A551="",$B551=""),"",IF(AND(ISNUMBER($I551),N($I551)&gt;0),$I551,0))</f>
        <v/>
      </c>
      <c r="AI551" s="23">
        <f>IF(AND(NOT(AND($A551="",$B551="")),$K551="Point",N($L551)&gt;0),SQRT(N($L551)/PI()),"")</f>
        <v/>
      </c>
      <c r="AJ551" s="21">
        <f>IF(AND($A551="",$B551=""),"",IFERROR(VLOOKUP($G551,Lists!$D$4:$E$15,2,FALSE),"Not reported"))</f>
        <v/>
      </c>
      <c r="AK551" s="21">
        <f>IF(AND($A551="",$B551=""),"",IF($X551&lt;&gt;"",$X551,IF($T551&lt;&gt;"Y","Not assessed",IF(AND(ISNUMBER($V551),Setup!$B$6-$V551&gt;Setup!$B$26),"Assessment outdated",IF(NOT(ISNUMBER($W551)),"Assessed – no score",IF($W551&gt;=Setup!$B$24,"High",IF($W551&gt;=Setup!$B$25,"Moderate","Low")))))))</f>
        <v/>
      </c>
      <c r="AL551" s="21">
        <f>IF(AND($A551="",$B551=""),"",IF(Z551=0,"",IF(AND(AE551=1,N($R551)&gt;AD551*1.01+0.001),"Net terrestrial &gt; gross; ","")&amp;IF(AND(AE551=1,N($S551)&gt;AC551*1.01+0.001),"Net marine &gt; gross; ","")&amp;IF(AE551=0,"No net area – gross used, overlaps may be double-counted; ","")&amp;IF(AH551=0,"STATUS_YR missing – imputed in time series; ","")&amp;IF(AND(ISNUMBER($I551),N($I551)&gt;Setup!$B$6),"STATUS_YR after reporting year; ","")&amp;IF(OR($G551="",$G551="Not Reported"),"GOV_TYPE not reported; ","")&amp;IF(AND(N($J551)=1,$K551="Point",N($M551)&lt;=0),"Coastal point without REP_M_AREA – land/sea split unknown; ","")&amp;IF(AND(N($J551)=0,N($S551)&gt;0),"MARINE=0 but net marine &gt;0; ","")&amp;IF(AND(N($J551)=2,N($R551)&gt;0),"MARINE=2 but net terrestrial &gt;0; ","")&amp;IF($K551="Point","Buffered point – coverage approximate; ","")))</f>
        <v/>
      </c>
    </row>
    <row r="552">
      <c r="A552" s="19" t="n"/>
      <c r="B552" s="19" t="n"/>
      <c r="C552" s="19" t="n"/>
      <c r="D552" s="19" t="n"/>
      <c r="E552" s="19" t="n"/>
      <c r="F552" s="19" t="n"/>
      <c r="G552" s="19" t="n"/>
      <c r="H552" s="19" t="n"/>
      <c r="I552" s="19" t="n"/>
      <c r="J552" s="19" t="n"/>
      <c r="K552" s="19" t="n"/>
      <c r="L552" s="20" t="n"/>
      <c r="M552" s="20" t="n"/>
      <c r="N552" s="20" t="n"/>
      <c r="O552" s="20" t="n"/>
      <c r="P552" s="19" t="n"/>
      <c r="Q552" s="19" t="n"/>
      <c r="R552" s="20" t="n"/>
      <c r="S552" s="20" t="n"/>
      <c r="T552" s="19" t="n"/>
      <c r="U552" s="19" t="n"/>
      <c r="V552" s="19" t="n"/>
      <c r="W552" s="19" t="n"/>
      <c r="X552" s="19" t="n"/>
      <c r="Y552" s="19" t="n"/>
      <c r="Z552" s="21">
        <f>IF(AND($A552="",$B552=""),"",IF(OR($E552="",$H552="",$H552="Proposed",$H552="Not Reported"),0,IF(AND($P552="Y",$Q552&lt;&gt;"Y"),0,IF(AND($K552="Point",N($L552)&lt;=0),0,IF(AND(N($L552)&lt;=0,N($N552)&lt;=0,N($R552)+N($S552)&lt;=0),0,1)))))</f>
        <v/>
      </c>
      <c r="AA552" s="21">
        <f>IF(AND($A552="",$B552=""),"",IF($E552="","Site type missing",IF($H552="","STATUS missing",IF($H552="Proposed","STATUS = Proposed",IF($H552="Not Reported","STATUS = Not Reported",IF(AND($P552="Y",$Q552&lt;&gt;"Y"),"UNESCO-MAB Biosphere Reserve",IF(AND($K552="Point",N($L552)&lt;=0),"Point without REP_AREA",IF(AND(N($L552)&lt;=0,N($N552)&lt;=0,N($R552)+N($S552)&lt;=0),"No area information",""))))))))</f>
        <v/>
      </c>
      <c r="AB552" s="22">
        <f>IF(AND($A552="",$B552=""),"",IF($K552="Point",N($L552),IF(N($N552)&gt;0,N($N552),N($L552))))</f>
        <v/>
      </c>
      <c r="AC552" s="22">
        <f>IF(AND($A552="",$B552=""),"",MIN(AB552,IF(N($J552)=0,0,IF(N($J552)=2,AB552,IF(AND($K552&lt;&gt;"Point",N($O552)&gt;0),N($O552),N($M552))))))</f>
        <v/>
      </c>
      <c r="AD552" s="22">
        <f>IF(AND($A552="",$B552=""),"",MAX(0,AB552-AC552))</f>
        <v/>
      </c>
      <c r="AE552" s="21">
        <f>IF(AND($A552="",$B552=""),"",IF(OR($R552&lt;&gt;"",$S552&lt;&gt;""),1,0))</f>
        <v/>
      </c>
      <c r="AF552" s="22">
        <f>IF(AND($A552="",$B552=""),"",IF(Z552=1,IF(AE552=1,N($R552),AD552),0))</f>
        <v/>
      </c>
      <c r="AG552" s="22">
        <f>IF(AND($A552="",$B552=""),"",IF(Z552=1,IF(AE552=1,N($S552),AC552),0))</f>
        <v/>
      </c>
      <c r="AH552" s="21">
        <f>IF(AND($A552="",$B552=""),"",IF(AND(ISNUMBER($I552),N($I552)&gt;0),$I552,0))</f>
        <v/>
      </c>
      <c r="AI552" s="23">
        <f>IF(AND(NOT(AND($A552="",$B552="")),$K552="Point",N($L552)&gt;0),SQRT(N($L552)/PI()),"")</f>
        <v/>
      </c>
      <c r="AJ552" s="21">
        <f>IF(AND($A552="",$B552=""),"",IFERROR(VLOOKUP($G552,Lists!$D$4:$E$15,2,FALSE),"Not reported"))</f>
        <v/>
      </c>
      <c r="AK552" s="21">
        <f>IF(AND($A552="",$B552=""),"",IF($X552&lt;&gt;"",$X552,IF($T552&lt;&gt;"Y","Not assessed",IF(AND(ISNUMBER($V552),Setup!$B$6-$V552&gt;Setup!$B$26),"Assessment outdated",IF(NOT(ISNUMBER($W552)),"Assessed – no score",IF($W552&gt;=Setup!$B$24,"High",IF($W552&gt;=Setup!$B$25,"Moderate","Low")))))))</f>
        <v/>
      </c>
      <c r="AL552" s="21">
        <f>IF(AND($A552="",$B552=""),"",IF(Z552=0,"",IF(AND(AE552=1,N($R552)&gt;AD552*1.01+0.001),"Net terrestrial &gt; gross; ","")&amp;IF(AND(AE552=1,N($S552)&gt;AC552*1.01+0.001),"Net marine &gt; gross; ","")&amp;IF(AE552=0,"No net area – gross used, overlaps may be double-counted; ","")&amp;IF(AH552=0,"STATUS_YR missing – imputed in time series; ","")&amp;IF(AND(ISNUMBER($I552),N($I552)&gt;Setup!$B$6),"STATUS_YR after reporting year; ","")&amp;IF(OR($G552="",$G552="Not Reported"),"GOV_TYPE not reported; ","")&amp;IF(AND(N($J552)=1,$K552="Point",N($M552)&lt;=0),"Coastal point without REP_M_AREA – land/sea split unknown; ","")&amp;IF(AND(N($J552)=0,N($S552)&gt;0),"MARINE=0 but net marine &gt;0; ","")&amp;IF(AND(N($J552)=2,N($R552)&gt;0),"MARINE=2 but net terrestrial &gt;0; ","")&amp;IF($K552="Point","Buffered point – coverage approximate; ","")))</f>
        <v/>
      </c>
    </row>
    <row r="553">
      <c r="A553" s="19" t="n"/>
      <c r="B553" s="19" t="n"/>
      <c r="C553" s="19" t="n"/>
      <c r="D553" s="19" t="n"/>
      <c r="E553" s="19" t="n"/>
      <c r="F553" s="19" t="n"/>
      <c r="G553" s="19" t="n"/>
      <c r="H553" s="19" t="n"/>
      <c r="I553" s="19" t="n"/>
      <c r="J553" s="19" t="n"/>
      <c r="K553" s="19" t="n"/>
      <c r="L553" s="20" t="n"/>
      <c r="M553" s="20" t="n"/>
      <c r="N553" s="20" t="n"/>
      <c r="O553" s="20" t="n"/>
      <c r="P553" s="19" t="n"/>
      <c r="Q553" s="19" t="n"/>
      <c r="R553" s="20" t="n"/>
      <c r="S553" s="20" t="n"/>
      <c r="T553" s="19" t="n"/>
      <c r="U553" s="19" t="n"/>
      <c r="V553" s="19" t="n"/>
      <c r="W553" s="19" t="n"/>
      <c r="X553" s="19" t="n"/>
      <c r="Y553" s="19" t="n"/>
      <c r="Z553" s="21">
        <f>IF(AND($A553="",$B553=""),"",IF(OR($E553="",$H553="",$H553="Proposed",$H553="Not Reported"),0,IF(AND($P553="Y",$Q553&lt;&gt;"Y"),0,IF(AND($K553="Point",N($L553)&lt;=0),0,IF(AND(N($L553)&lt;=0,N($N553)&lt;=0,N($R553)+N($S553)&lt;=0),0,1)))))</f>
        <v/>
      </c>
      <c r="AA553" s="21">
        <f>IF(AND($A553="",$B553=""),"",IF($E553="","Site type missing",IF($H553="","STATUS missing",IF($H553="Proposed","STATUS = Proposed",IF($H553="Not Reported","STATUS = Not Reported",IF(AND($P553="Y",$Q553&lt;&gt;"Y"),"UNESCO-MAB Biosphere Reserve",IF(AND($K553="Point",N($L553)&lt;=0),"Point without REP_AREA",IF(AND(N($L553)&lt;=0,N($N553)&lt;=0,N($R553)+N($S553)&lt;=0),"No area information",""))))))))</f>
        <v/>
      </c>
      <c r="AB553" s="22">
        <f>IF(AND($A553="",$B553=""),"",IF($K553="Point",N($L553),IF(N($N553)&gt;0,N($N553),N($L553))))</f>
        <v/>
      </c>
      <c r="AC553" s="22">
        <f>IF(AND($A553="",$B553=""),"",MIN(AB553,IF(N($J553)=0,0,IF(N($J553)=2,AB553,IF(AND($K553&lt;&gt;"Point",N($O553)&gt;0),N($O553),N($M553))))))</f>
        <v/>
      </c>
      <c r="AD553" s="22">
        <f>IF(AND($A553="",$B553=""),"",MAX(0,AB553-AC553))</f>
        <v/>
      </c>
      <c r="AE553" s="21">
        <f>IF(AND($A553="",$B553=""),"",IF(OR($R553&lt;&gt;"",$S553&lt;&gt;""),1,0))</f>
        <v/>
      </c>
      <c r="AF553" s="22">
        <f>IF(AND($A553="",$B553=""),"",IF(Z553=1,IF(AE553=1,N($R553),AD553),0))</f>
        <v/>
      </c>
      <c r="AG553" s="22">
        <f>IF(AND($A553="",$B553=""),"",IF(Z553=1,IF(AE553=1,N($S553),AC553),0))</f>
        <v/>
      </c>
      <c r="AH553" s="21">
        <f>IF(AND($A553="",$B553=""),"",IF(AND(ISNUMBER($I553),N($I553)&gt;0),$I553,0))</f>
        <v/>
      </c>
      <c r="AI553" s="23">
        <f>IF(AND(NOT(AND($A553="",$B553="")),$K553="Point",N($L553)&gt;0),SQRT(N($L553)/PI()),"")</f>
        <v/>
      </c>
      <c r="AJ553" s="21">
        <f>IF(AND($A553="",$B553=""),"",IFERROR(VLOOKUP($G553,Lists!$D$4:$E$15,2,FALSE),"Not reported"))</f>
        <v/>
      </c>
      <c r="AK553" s="21">
        <f>IF(AND($A553="",$B553=""),"",IF($X553&lt;&gt;"",$X553,IF($T553&lt;&gt;"Y","Not assessed",IF(AND(ISNUMBER($V553),Setup!$B$6-$V553&gt;Setup!$B$26),"Assessment outdated",IF(NOT(ISNUMBER($W553)),"Assessed – no score",IF($W553&gt;=Setup!$B$24,"High",IF($W553&gt;=Setup!$B$25,"Moderate","Low")))))))</f>
        <v/>
      </c>
      <c r="AL553" s="21">
        <f>IF(AND($A553="",$B553=""),"",IF(Z553=0,"",IF(AND(AE553=1,N($R553)&gt;AD553*1.01+0.001),"Net terrestrial &gt; gross; ","")&amp;IF(AND(AE553=1,N($S553)&gt;AC553*1.01+0.001),"Net marine &gt; gross; ","")&amp;IF(AE553=0,"No net area – gross used, overlaps may be double-counted; ","")&amp;IF(AH553=0,"STATUS_YR missing – imputed in time series; ","")&amp;IF(AND(ISNUMBER($I553),N($I553)&gt;Setup!$B$6),"STATUS_YR after reporting year; ","")&amp;IF(OR($G553="",$G553="Not Reported"),"GOV_TYPE not reported; ","")&amp;IF(AND(N($J553)=1,$K553="Point",N($M553)&lt;=0),"Coastal point without REP_M_AREA – land/sea split unknown; ","")&amp;IF(AND(N($J553)=0,N($S553)&gt;0),"MARINE=0 but net marine &gt;0; ","")&amp;IF(AND(N($J553)=2,N($R553)&gt;0),"MARINE=2 but net terrestrial &gt;0; ","")&amp;IF($K553="Point","Buffered point – coverage approximate; ","")))</f>
        <v/>
      </c>
    </row>
    <row r="554">
      <c r="A554" s="19" t="n"/>
      <c r="B554" s="19" t="n"/>
      <c r="C554" s="19" t="n"/>
      <c r="D554" s="19" t="n"/>
      <c r="E554" s="19" t="n"/>
      <c r="F554" s="19" t="n"/>
      <c r="G554" s="19" t="n"/>
      <c r="H554" s="19" t="n"/>
      <c r="I554" s="19" t="n"/>
      <c r="J554" s="19" t="n"/>
      <c r="K554" s="19" t="n"/>
      <c r="L554" s="20" t="n"/>
      <c r="M554" s="20" t="n"/>
      <c r="N554" s="20" t="n"/>
      <c r="O554" s="20" t="n"/>
      <c r="P554" s="19" t="n"/>
      <c r="Q554" s="19" t="n"/>
      <c r="R554" s="20" t="n"/>
      <c r="S554" s="20" t="n"/>
      <c r="T554" s="19" t="n"/>
      <c r="U554" s="19" t="n"/>
      <c r="V554" s="19" t="n"/>
      <c r="W554" s="19" t="n"/>
      <c r="X554" s="19" t="n"/>
      <c r="Y554" s="19" t="n"/>
      <c r="Z554" s="21">
        <f>IF(AND($A554="",$B554=""),"",IF(OR($E554="",$H554="",$H554="Proposed",$H554="Not Reported"),0,IF(AND($P554="Y",$Q554&lt;&gt;"Y"),0,IF(AND($K554="Point",N($L554)&lt;=0),0,IF(AND(N($L554)&lt;=0,N($N554)&lt;=0,N($R554)+N($S554)&lt;=0),0,1)))))</f>
        <v/>
      </c>
      <c r="AA554" s="21">
        <f>IF(AND($A554="",$B554=""),"",IF($E554="","Site type missing",IF($H554="","STATUS missing",IF($H554="Proposed","STATUS = Proposed",IF($H554="Not Reported","STATUS = Not Reported",IF(AND($P554="Y",$Q554&lt;&gt;"Y"),"UNESCO-MAB Biosphere Reserve",IF(AND($K554="Point",N($L554)&lt;=0),"Point without REP_AREA",IF(AND(N($L554)&lt;=0,N($N554)&lt;=0,N($R554)+N($S554)&lt;=0),"No area information",""))))))))</f>
        <v/>
      </c>
      <c r="AB554" s="22">
        <f>IF(AND($A554="",$B554=""),"",IF($K554="Point",N($L554),IF(N($N554)&gt;0,N($N554),N($L554))))</f>
        <v/>
      </c>
      <c r="AC554" s="22">
        <f>IF(AND($A554="",$B554=""),"",MIN(AB554,IF(N($J554)=0,0,IF(N($J554)=2,AB554,IF(AND($K554&lt;&gt;"Point",N($O554)&gt;0),N($O554),N($M554))))))</f>
        <v/>
      </c>
      <c r="AD554" s="22">
        <f>IF(AND($A554="",$B554=""),"",MAX(0,AB554-AC554))</f>
        <v/>
      </c>
      <c r="AE554" s="21">
        <f>IF(AND($A554="",$B554=""),"",IF(OR($R554&lt;&gt;"",$S554&lt;&gt;""),1,0))</f>
        <v/>
      </c>
      <c r="AF554" s="22">
        <f>IF(AND($A554="",$B554=""),"",IF(Z554=1,IF(AE554=1,N($R554),AD554),0))</f>
        <v/>
      </c>
      <c r="AG554" s="22">
        <f>IF(AND($A554="",$B554=""),"",IF(Z554=1,IF(AE554=1,N($S554),AC554),0))</f>
        <v/>
      </c>
      <c r="AH554" s="21">
        <f>IF(AND($A554="",$B554=""),"",IF(AND(ISNUMBER($I554),N($I554)&gt;0),$I554,0))</f>
        <v/>
      </c>
      <c r="AI554" s="23">
        <f>IF(AND(NOT(AND($A554="",$B554="")),$K554="Point",N($L554)&gt;0),SQRT(N($L554)/PI()),"")</f>
        <v/>
      </c>
      <c r="AJ554" s="21">
        <f>IF(AND($A554="",$B554=""),"",IFERROR(VLOOKUP($G554,Lists!$D$4:$E$15,2,FALSE),"Not reported"))</f>
        <v/>
      </c>
      <c r="AK554" s="21">
        <f>IF(AND($A554="",$B554=""),"",IF($X554&lt;&gt;"",$X554,IF($T554&lt;&gt;"Y","Not assessed",IF(AND(ISNUMBER($V554),Setup!$B$6-$V554&gt;Setup!$B$26),"Assessment outdated",IF(NOT(ISNUMBER($W554)),"Assessed – no score",IF($W554&gt;=Setup!$B$24,"High",IF($W554&gt;=Setup!$B$25,"Moderate","Low")))))))</f>
        <v/>
      </c>
      <c r="AL554" s="21">
        <f>IF(AND($A554="",$B554=""),"",IF(Z554=0,"",IF(AND(AE554=1,N($R554)&gt;AD554*1.01+0.001),"Net terrestrial &gt; gross; ","")&amp;IF(AND(AE554=1,N($S554)&gt;AC554*1.01+0.001),"Net marine &gt; gross; ","")&amp;IF(AE554=0,"No net area – gross used, overlaps may be double-counted; ","")&amp;IF(AH554=0,"STATUS_YR missing – imputed in time series; ","")&amp;IF(AND(ISNUMBER($I554),N($I554)&gt;Setup!$B$6),"STATUS_YR after reporting year; ","")&amp;IF(OR($G554="",$G554="Not Reported"),"GOV_TYPE not reported; ","")&amp;IF(AND(N($J554)=1,$K554="Point",N($M554)&lt;=0),"Coastal point without REP_M_AREA – land/sea split unknown; ","")&amp;IF(AND(N($J554)=0,N($S554)&gt;0),"MARINE=0 but net marine &gt;0; ","")&amp;IF(AND(N($J554)=2,N($R554)&gt;0),"MARINE=2 but net terrestrial &gt;0; ","")&amp;IF($K554="Point","Buffered point – coverage approximate; ","")))</f>
        <v/>
      </c>
    </row>
    <row r="555">
      <c r="A555" s="19" t="n"/>
      <c r="B555" s="19" t="n"/>
      <c r="C555" s="19" t="n"/>
      <c r="D555" s="19" t="n"/>
      <c r="E555" s="19" t="n"/>
      <c r="F555" s="19" t="n"/>
      <c r="G555" s="19" t="n"/>
      <c r="H555" s="19" t="n"/>
      <c r="I555" s="19" t="n"/>
      <c r="J555" s="19" t="n"/>
      <c r="K555" s="19" t="n"/>
      <c r="L555" s="20" t="n"/>
      <c r="M555" s="20" t="n"/>
      <c r="N555" s="20" t="n"/>
      <c r="O555" s="20" t="n"/>
      <c r="P555" s="19" t="n"/>
      <c r="Q555" s="19" t="n"/>
      <c r="R555" s="20" t="n"/>
      <c r="S555" s="20" t="n"/>
      <c r="T555" s="19" t="n"/>
      <c r="U555" s="19" t="n"/>
      <c r="V555" s="19" t="n"/>
      <c r="W555" s="19" t="n"/>
      <c r="X555" s="19" t="n"/>
      <c r="Y555" s="19" t="n"/>
      <c r="Z555" s="21">
        <f>IF(AND($A555="",$B555=""),"",IF(OR($E555="",$H555="",$H555="Proposed",$H555="Not Reported"),0,IF(AND($P555="Y",$Q555&lt;&gt;"Y"),0,IF(AND($K555="Point",N($L555)&lt;=0),0,IF(AND(N($L555)&lt;=0,N($N555)&lt;=0,N($R555)+N($S555)&lt;=0),0,1)))))</f>
        <v/>
      </c>
      <c r="AA555" s="21">
        <f>IF(AND($A555="",$B555=""),"",IF($E555="","Site type missing",IF($H555="","STATUS missing",IF($H555="Proposed","STATUS = Proposed",IF($H555="Not Reported","STATUS = Not Reported",IF(AND($P555="Y",$Q555&lt;&gt;"Y"),"UNESCO-MAB Biosphere Reserve",IF(AND($K555="Point",N($L555)&lt;=0),"Point without REP_AREA",IF(AND(N($L555)&lt;=0,N($N555)&lt;=0,N($R555)+N($S555)&lt;=0),"No area information",""))))))))</f>
        <v/>
      </c>
      <c r="AB555" s="22">
        <f>IF(AND($A555="",$B555=""),"",IF($K555="Point",N($L555),IF(N($N555)&gt;0,N($N555),N($L555))))</f>
        <v/>
      </c>
      <c r="AC555" s="22">
        <f>IF(AND($A555="",$B555=""),"",MIN(AB555,IF(N($J555)=0,0,IF(N($J555)=2,AB555,IF(AND($K555&lt;&gt;"Point",N($O555)&gt;0),N($O555),N($M555))))))</f>
        <v/>
      </c>
      <c r="AD555" s="22">
        <f>IF(AND($A555="",$B555=""),"",MAX(0,AB555-AC555))</f>
        <v/>
      </c>
      <c r="AE555" s="21">
        <f>IF(AND($A555="",$B555=""),"",IF(OR($R555&lt;&gt;"",$S555&lt;&gt;""),1,0))</f>
        <v/>
      </c>
      <c r="AF555" s="22">
        <f>IF(AND($A555="",$B555=""),"",IF(Z555=1,IF(AE555=1,N($R555),AD555),0))</f>
        <v/>
      </c>
      <c r="AG555" s="22">
        <f>IF(AND($A555="",$B555=""),"",IF(Z555=1,IF(AE555=1,N($S555),AC555),0))</f>
        <v/>
      </c>
      <c r="AH555" s="21">
        <f>IF(AND($A555="",$B555=""),"",IF(AND(ISNUMBER($I555),N($I555)&gt;0),$I555,0))</f>
        <v/>
      </c>
      <c r="AI555" s="23">
        <f>IF(AND(NOT(AND($A555="",$B555="")),$K555="Point",N($L555)&gt;0),SQRT(N($L555)/PI()),"")</f>
        <v/>
      </c>
      <c r="AJ555" s="21">
        <f>IF(AND($A555="",$B555=""),"",IFERROR(VLOOKUP($G555,Lists!$D$4:$E$15,2,FALSE),"Not reported"))</f>
        <v/>
      </c>
      <c r="AK555" s="21">
        <f>IF(AND($A555="",$B555=""),"",IF($X555&lt;&gt;"",$X555,IF($T555&lt;&gt;"Y","Not assessed",IF(AND(ISNUMBER($V555),Setup!$B$6-$V555&gt;Setup!$B$26),"Assessment outdated",IF(NOT(ISNUMBER($W555)),"Assessed – no score",IF($W555&gt;=Setup!$B$24,"High",IF($W555&gt;=Setup!$B$25,"Moderate","Low")))))))</f>
        <v/>
      </c>
      <c r="AL555" s="21">
        <f>IF(AND($A555="",$B555=""),"",IF(Z555=0,"",IF(AND(AE555=1,N($R555)&gt;AD555*1.01+0.001),"Net terrestrial &gt; gross; ","")&amp;IF(AND(AE555=1,N($S555)&gt;AC555*1.01+0.001),"Net marine &gt; gross; ","")&amp;IF(AE555=0,"No net area – gross used, overlaps may be double-counted; ","")&amp;IF(AH555=0,"STATUS_YR missing – imputed in time series; ","")&amp;IF(AND(ISNUMBER($I555),N($I555)&gt;Setup!$B$6),"STATUS_YR after reporting year; ","")&amp;IF(OR($G555="",$G555="Not Reported"),"GOV_TYPE not reported; ","")&amp;IF(AND(N($J555)=1,$K555="Point",N($M555)&lt;=0),"Coastal point without REP_M_AREA – land/sea split unknown; ","")&amp;IF(AND(N($J555)=0,N($S555)&gt;0),"MARINE=0 but net marine &gt;0; ","")&amp;IF(AND(N($J555)=2,N($R555)&gt;0),"MARINE=2 but net terrestrial &gt;0; ","")&amp;IF($K555="Point","Buffered point – coverage approximate; ","")))</f>
        <v/>
      </c>
    </row>
    <row r="556">
      <c r="A556" s="19" t="n"/>
      <c r="B556" s="19" t="n"/>
      <c r="C556" s="19" t="n"/>
      <c r="D556" s="19" t="n"/>
      <c r="E556" s="19" t="n"/>
      <c r="F556" s="19" t="n"/>
      <c r="G556" s="19" t="n"/>
      <c r="H556" s="19" t="n"/>
      <c r="I556" s="19" t="n"/>
      <c r="J556" s="19" t="n"/>
      <c r="K556" s="19" t="n"/>
      <c r="L556" s="20" t="n"/>
      <c r="M556" s="20" t="n"/>
      <c r="N556" s="20" t="n"/>
      <c r="O556" s="20" t="n"/>
      <c r="P556" s="19" t="n"/>
      <c r="Q556" s="19" t="n"/>
      <c r="R556" s="20" t="n"/>
      <c r="S556" s="20" t="n"/>
      <c r="T556" s="19" t="n"/>
      <c r="U556" s="19" t="n"/>
      <c r="V556" s="19" t="n"/>
      <c r="W556" s="19" t="n"/>
      <c r="X556" s="19" t="n"/>
      <c r="Y556" s="19" t="n"/>
      <c r="Z556" s="21">
        <f>IF(AND($A556="",$B556=""),"",IF(OR($E556="",$H556="",$H556="Proposed",$H556="Not Reported"),0,IF(AND($P556="Y",$Q556&lt;&gt;"Y"),0,IF(AND($K556="Point",N($L556)&lt;=0),0,IF(AND(N($L556)&lt;=0,N($N556)&lt;=0,N($R556)+N($S556)&lt;=0),0,1)))))</f>
        <v/>
      </c>
      <c r="AA556" s="21">
        <f>IF(AND($A556="",$B556=""),"",IF($E556="","Site type missing",IF($H556="","STATUS missing",IF($H556="Proposed","STATUS = Proposed",IF($H556="Not Reported","STATUS = Not Reported",IF(AND($P556="Y",$Q556&lt;&gt;"Y"),"UNESCO-MAB Biosphere Reserve",IF(AND($K556="Point",N($L556)&lt;=0),"Point without REP_AREA",IF(AND(N($L556)&lt;=0,N($N556)&lt;=0,N($R556)+N($S556)&lt;=0),"No area information",""))))))))</f>
        <v/>
      </c>
      <c r="AB556" s="22">
        <f>IF(AND($A556="",$B556=""),"",IF($K556="Point",N($L556),IF(N($N556)&gt;0,N($N556),N($L556))))</f>
        <v/>
      </c>
      <c r="AC556" s="22">
        <f>IF(AND($A556="",$B556=""),"",MIN(AB556,IF(N($J556)=0,0,IF(N($J556)=2,AB556,IF(AND($K556&lt;&gt;"Point",N($O556)&gt;0),N($O556),N($M556))))))</f>
        <v/>
      </c>
      <c r="AD556" s="22">
        <f>IF(AND($A556="",$B556=""),"",MAX(0,AB556-AC556))</f>
        <v/>
      </c>
      <c r="AE556" s="21">
        <f>IF(AND($A556="",$B556=""),"",IF(OR($R556&lt;&gt;"",$S556&lt;&gt;""),1,0))</f>
        <v/>
      </c>
      <c r="AF556" s="22">
        <f>IF(AND($A556="",$B556=""),"",IF(Z556=1,IF(AE556=1,N($R556),AD556),0))</f>
        <v/>
      </c>
      <c r="AG556" s="22">
        <f>IF(AND($A556="",$B556=""),"",IF(Z556=1,IF(AE556=1,N($S556),AC556),0))</f>
        <v/>
      </c>
      <c r="AH556" s="21">
        <f>IF(AND($A556="",$B556=""),"",IF(AND(ISNUMBER($I556),N($I556)&gt;0),$I556,0))</f>
        <v/>
      </c>
      <c r="AI556" s="23">
        <f>IF(AND(NOT(AND($A556="",$B556="")),$K556="Point",N($L556)&gt;0),SQRT(N($L556)/PI()),"")</f>
        <v/>
      </c>
      <c r="AJ556" s="21">
        <f>IF(AND($A556="",$B556=""),"",IFERROR(VLOOKUP($G556,Lists!$D$4:$E$15,2,FALSE),"Not reported"))</f>
        <v/>
      </c>
      <c r="AK556" s="21">
        <f>IF(AND($A556="",$B556=""),"",IF($X556&lt;&gt;"",$X556,IF($T556&lt;&gt;"Y","Not assessed",IF(AND(ISNUMBER($V556),Setup!$B$6-$V556&gt;Setup!$B$26),"Assessment outdated",IF(NOT(ISNUMBER($W556)),"Assessed – no score",IF($W556&gt;=Setup!$B$24,"High",IF($W556&gt;=Setup!$B$25,"Moderate","Low")))))))</f>
        <v/>
      </c>
      <c r="AL556" s="21">
        <f>IF(AND($A556="",$B556=""),"",IF(Z556=0,"",IF(AND(AE556=1,N($R556)&gt;AD556*1.01+0.001),"Net terrestrial &gt; gross; ","")&amp;IF(AND(AE556=1,N($S556)&gt;AC556*1.01+0.001),"Net marine &gt; gross; ","")&amp;IF(AE556=0,"No net area – gross used, overlaps may be double-counted; ","")&amp;IF(AH556=0,"STATUS_YR missing – imputed in time series; ","")&amp;IF(AND(ISNUMBER($I556),N($I556)&gt;Setup!$B$6),"STATUS_YR after reporting year; ","")&amp;IF(OR($G556="",$G556="Not Reported"),"GOV_TYPE not reported; ","")&amp;IF(AND(N($J556)=1,$K556="Point",N($M556)&lt;=0),"Coastal point without REP_M_AREA – land/sea split unknown; ","")&amp;IF(AND(N($J556)=0,N($S556)&gt;0),"MARINE=0 but net marine &gt;0; ","")&amp;IF(AND(N($J556)=2,N($R556)&gt;0),"MARINE=2 but net terrestrial &gt;0; ","")&amp;IF($K556="Point","Buffered point – coverage approximate; ","")))</f>
        <v/>
      </c>
    </row>
    <row r="557">
      <c r="A557" s="19" t="n"/>
      <c r="B557" s="19" t="n"/>
      <c r="C557" s="19" t="n"/>
      <c r="D557" s="19" t="n"/>
      <c r="E557" s="19" t="n"/>
      <c r="F557" s="19" t="n"/>
      <c r="G557" s="19" t="n"/>
      <c r="H557" s="19" t="n"/>
      <c r="I557" s="19" t="n"/>
      <c r="J557" s="19" t="n"/>
      <c r="K557" s="19" t="n"/>
      <c r="L557" s="20" t="n"/>
      <c r="M557" s="20" t="n"/>
      <c r="N557" s="20" t="n"/>
      <c r="O557" s="20" t="n"/>
      <c r="P557" s="19" t="n"/>
      <c r="Q557" s="19" t="n"/>
      <c r="R557" s="20" t="n"/>
      <c r="S557" s="20" t="n"/>
      <c r="T557" s="19" t="n"/>
      <c r="U557" s="19" t="n"/>
      <c r="V557" s="19" t="n"/>
      <c r="W557" s="19" t="n"/>
      <c r="X557" s="19" t="n"/>
      <c r="Y557" s="19" t="n"/>
      <c r="Z557" s="21">
        <f>IF(AND($A557="",$B557=""),"",IF(OR($E557="",$H557="",$H557="Proposed",$H557="Not Reported"),0,IF(AND($P557="Y",$Q557&lt;&gt;"Y"),0,IF(AND($K557="Point",N($L557)&lt;=0),0,IF(AND(N($L557)&lt;=0,N($N557)&lt;=0,N($R557)+N($S557)&lt;=0),0,1)))))</f>
        <v/>
      </c>
      <c r="AA557" s="21">
        <f>IF(AND($A557="",$B557=""),"",IF($E557="","Site type missing",IF($H557="","STATUS missing",IF($H557="Proposed","STATUS = Proposed",IF($H557="Not Reported","STATUS = Not Reported",IF(AND($P557="Y",$Q557&lt;&gt;"Y"),"UNESCO-MAB Biosphere Reserve",IF(AND($K557="Point",N($L557)&lt;=0),"Point without REP_AREA",IF(AND(N($L557)&lt;=0,N($N557)&lt;=0,N($R557)+N($S557)&lt;=0),"No area information",""))))))))</f>
        <v/>
      </c>
      <c r="AB557" s="22">
        <f>IF(AND($A557="",$B557=""),"",IF($K557="Point",N($L557),IF(N($N557)&gt;0,N($N557),N($L557))))</f>
        <v/>
      </c>
      <c r="AC557" s="22">
        <f>IF(AND($A557="",$B557=""),"",MIN(AB557,IF(N($J557)=0,0,IF(N($J557)=2,AB557,IF(AND($K557&lt;&gt;"Point",N($O557)&gt;0),N($O557),N($M557))))))</f>
        <v/>
      </c>
      <c r="AD557" s="22">
        <f>IF(AND($A557="",$B557=""),"",MAX(0,AB557-AC557))</f>
        <v/>
      </c>
      <c r="AE557" s="21">
        <f>IF(AND($A557="",$B557=""),"",IF(OR($R557&lt;&gt;"",$S557&lt;&gt;""),1,0))</f>
        <v/>
      </c>
      <c r="AF557" s="22">
        <f>IF(AND($A557="",$B557=""),"",IF(Z557=1,IF(AE557=1,N($R557),AD557),0))</f>
        <v/>
      </c>
      <c r="AG557" s="22">
        <f>IF(AND($A557="",$B557=""),"",IF(Z557=1,IF(AE557=1,N($S557),AC557),0))</f>
        <v/>
      </c>
      <c r="AH557" s="21">
        <f>IF(AND($A557="",$B557=""),"",IF(AND(ISNUMBER($I557),N($I557)&gt;0),$I557,0))</f>
        <v/>
      </c>
      <c r="AI557" s="23">
        <f>IF(AND(NOT(AND($A557="",$B557="")),$K557="Point",N($L557)&gt;0),SQRT(N($L557)/PI()),"")</f>
        <v/>
      </c>
      <c r="AJ557" s="21">
        <f>IF(AND($A557="",$B557=""),"",IFERROR(VLOOKUP($G557,Lists!$D$4:$E$15,2,FALSE),"Not reported"))</f>
        <v/>
      </c>
      <c r="AK557" s="21">
        <f>IF(AND($A557="",$B557=""),"",IF($X557&lt;&gt;"",$X557,IF($T557&lt;&gt;"Y","Not assessed",IF(AND(ISNUMBER($V557),Setup!$B$6-$V557&gt;Setup!$B$26),"Assessment outdated",IF(NOT(ISNUMBER($W557)),"Assessed – no score",IF($W557&gt;=Setup!$B$24,"High",IF($W557&gt;=Setup!$B$25,"Moderate","Low")))))))</f>
        <v/>
      </c>
      <c r="AL557" s="21">
        <f>IF(AND($A557="",$B557=""),"",IF(Z557=0,"",IF(AND(AE557=1,N($R557)&gt;AD557*1.01+0.001),"Net terrestrial &gt; gross; ","")&amp;IF(AND(AE557=1,N($S557)&gt;AC557*1.01+0.001),"Net marine &gt; gross; ","")&amp;IF(AE557=0,"No net area – gross used, overlaps may be double-counted; ","")&amp;IF(AH557=0,"STATUS_YR missing – imputed in time series; ","")&amp;IF(AND(ISNUMBER($I557),N($I557)&gt;Setup!$B$6),"STATUS_YR after reporting year; ","")&amp;IF(OR($G557="",$G557="Not Reported"),"GOV_TYPE not reported; ","")&amp;IF(AND(N($J557)=1,$K557="Point",N($M557)&lt;=0),"Coastal point without REP_M_AREA – land/sea split unknown; ","")&amp;IF(AND(N($J557)=0,N($S557)&gt;0),"MARINE=0 but net marine &gt;0; ","")&amp;IF(AND(N($J557)=2,N($R557)&gt;0),"MARINE=2 but net terrestrial &gt;0; ","")&amp;IF($K557="Point","Buffered point – coverage approximate; ","")))</f>
        <v/>
      </c>
    </row>
    <row r="558">
      <c r="A558" s="19" t="n"/>
      <c r="B558" s="19" t="n"/>
      <c r="C558" s="19" t="n"/>
      <c r="D558" s="19" t="n"/>
      <c r="E558" s="19" t="n"/>
      <c r="F558" s="19" t="n"/>
      <c r="G558" s="19" t="n"/>
      <c r="H558" s="19" t="n"/>
      <c r="I558" s="19" t="n"/>
      <c r="J558" s="19" t="n"/>
      <c r="K558" s="19" t="n"/>
      <c r="L558" s="20" t="n"/>
      <c r="M558" s="20" t="n"/>
      <c r="N558" s="20" t="n"/>
      <c r="O558" s="20" t="n"/>
      <c r="P558" s="19" t="n"/>
      <c r="Q558" s="19" t="n"/>
      <c r="R558" s="20" t="n"/>
      <c r="S558" s="20" t="n"/>
      <c r="T558" s="19" t="n"/>
      <c r="U558" s="19" t="n"/>
      <c r="V558" s="19" t="n"/>
      <c r="W558" s="19" t="n"/>
      <c r="X558" s="19" t="n"/>
      <c r="Y558" s="19" t="n"/>
      <c r="Z558" s="21">
        <f>IF(AND($A558="",$B558=""),"",IF(OR($E558="",$H558="",$H558="Proposed",$H558="Not Reported"),0,IF(AND($P558="Y",$Q558&lt;&gt;"Y"),0,IF(AND($K558="Point",N($L558)&lt;=0),0,IF(AND(N($L558)&lt;=0,N($N558)&lt;=0,N($R558)+N($S558)&lt;=0),0,1)))))</f>
        <v/>
      </c>
      <c r="AA558" s="21">
        <f>IF(AND($A558="",$B558=""),"",IF($E558="","Site type missing",IF($H558="","STATUS missing",IF($H558="Proposed","STATUS = Proposed",IF($H558="Not Reported","STATUS = Not Reported",IF(AND($P558="Y",$Q558&lt;&gt;"Y"),"UNESCO-MAB Biosphere Reserve",IF(AND($K558="Point",N($L558)&lt;=0),"Point without REP_AREA",IF(AND(N($L558)&lt;=0,N($N558)&lt;=0,N($R558)+N($S558)&lt;=0),"No area information",""))))))))</f>
        <v/>
      </c>
      <c r="AB558" s="22">
        <f>IF(AND($A558="",$B558=""),"",IF($K558="Point",N($L558),IF(N($N558)&gt;0,N($N558),N($L558))))</f>
        <v/>
      </c>
      <c r="AC558" s="22">
        <f>IF(AND($A558="",$B558=""),"",MIN(AB558,IF(N($J558)=0,0,IF(N($J558)=2,AB558,IF(AND($K558&lt;&gt;"Point",N($O558)&gt;0),N($O558),N($M558))))))</f>
        <v/>
      </c>
      <c r="AD558" s="22">
        <f>IF(AND($A558="",$B558=""),"",MAX(0,AB558-AC558))</f>
        <v/>
      </c>
      <c r="AE558" s="21">
        <f>IF(AND($A558="",$B558=""),"",IF(OR($R558&lt;&gt;"",$S558&lt;&gt;""),1,0))</f>
        <v/>
      </c>
      <c r="AF558" s="22">
        <f>IF(AND($A558="",$B558=""),"",IF(Z558=1,IF(AE558=1,N($R558),AD558),0))</f>
        <v/>
      </c>
      <c r="AG558" s="22">
        <f>IF(AND($A558="",$B558=""),"",IF(Z558=1,IF(AE558=1,N($S558),AC558),0))</f>
        <v/>
      </c>
      <c r="AH558" s="21">
        <f>IF(AND($A558="",$B558=""),"",IF(AND(ISNUMBER($I558),N($I558)&gt;0),$I558,0))</f>
        <v/>
      </c>
      <c r="AI558" s="23">
        <f>IF(AND(NOT(AND($A558="",$B558="")),$K558="Point",N($L558)&gt;0),SQRT(N($L558)/PI()),"")</f>
        <v/>
      </c>
      <c r="AJ558" s="21">
        <f>IF(AND($A558="",$B558=""),"",IFERROR(VLOOKUP($G558,Lists!$D$4:$E$15,2,FALSE),"Not reported"))</f>
        <v/>
      </c>
      <c r="AK558" s="21">
        <f>IF(AND($A558="",$B558=""),"",IF($X558&lt;&gt;"",$X558,IF($T558&lt;&gt;"Y","Not assessed",IF(AND(ISNUMBER($V558),Setup!$B$6-$V558&gt;Setup!$B$26),"Assessment outdated",IF(NOT(ISNUMBER($W558)),"Assessed – no score",IF($W558&gt;=Setup!$B$24,"High",IF($W558&gt;=Setup!$B$25,"Moderate","Low")))))))</f>
        <v/>
      </c>
      <c r="AL558" s="21">
        <f>IF(AND($A558="",$B558=""),"",IF(Z558=0,"",IF(AND(AE558=1,N($R558)&gt;AD558*1.01+0.001),"Net terrestrial &gt; gross; ","")&amp;IF(AND(AE558=1,N($S558)&gt;AC558*1.01+0.001),"Net marine &gt; gross; ","")&amp;IF(AE558=0,"No net area – gross used, overlaps may be double-counted; ","")&amp;IF(AH558=0,"STATUS_YR missing – imputed in time series; ","")&amp;IF(AND(ISNUMBER($I558),N($I558)&gt;Setup!$B$6),"STATUS_YR after reporting year; ","")&amp;IF(OR($G558="",$G558="Not Reported"),"GOV_TYPE not reported; ","")&amp;IF(AND(N($J558)=1,$K558="Point",N($M558)&lt;=0),"Coastal point without REP_M_AREA – land/sea split unknown; ","")&amp;IF(AND(N($J558)=0,N($S558)&gt;0),"MARINE=0 but net marine &gt;0; ","")&amp;IF(AND(N($J558)=2,N($R558)&gt;0),"MARINE=2 but net terrestrial &gt;0; ","")&amp;IF($K558="Point","Buffered point – coverage approximate; ","")))</f>
        <v/>
      </c>
    </row>
    <row r="559">
      <c r="A559" s="19" t="n"/>
      <c r="B559" s="19" t="n"/>
      <c r="C559" s="19" t="n"/>
      <c r="D559" s="19" t="n"/>
      <c r="E559" s="19" t="n"/>
      <c r="F559" s="19" t="n"/>
      <c r="G559" s="19" t="n"/>
      <c r="H559" s="19" t="n"/>
      <c r="I559" s="19" t="n"/>
      <c r="J559" s="19" t="n"/>
      <c r="K559" s="19" t="n"/>
      <c r="L559" s="20" t="n"/>
      <c r="M559" s="20" t="n"/>
      <c r="N559" s="20" t="n"/>
      <c r="O559" s="20" t="n"/>
      <c r="P559" s="19" t="n"/>
      <c r="Q559" s="19" t="n"/>
      <c r="R559" s="20" t="n"/>
      <c r="S559" s="20" t="n"/>
      <c r="T559" s="19" t="n"/>
      <c r="U559" s="19" t="n"/>
      <c r="V559" s="19" t="n"/>
      <c r="W559" s="19" t="n"/>
      <c r="X559" s="19" t="n"/>
      <c r="Y559" s="19" t="n"/>
      <c r="Z559" s="21">
        <f>IF(AND($A559="",$B559=""),"",IF(OR($E559="",$H559="",$H559="Proposed",$H559="Not Reported"),0,IF(AND($P559="Y",$Q559&lt;&gt;"Y"),0,IF(AND($K559="Point",N($L559)&lt;=0),0,IF(AND(N($L559)&lt;=0,N($N559)&lt;=0,N($R559)+N($S559)&lt;=0),0,1)))))</f>
        <v/>
      </c>
      <c r="AA559" s="21">
        <f>IF(AND($A559="",$B559=""),"",IF($E559="","Site type missing",IF($H559="","STATUS missing",IF($H559="Proposed","STATUS = Proposed",IF($H559="Not Reported","STATUS = Not Reported",IF(AND($P559="Y",$Q559&lt;&gt;"Y"),"UNESCO-MAB Biosphere Reserve",IF(AND($K559="Point",N($L559)&lt;=0),"Point without REP_AREA",IF(AND(N($L559)&lt;=0,N($N559)&lt;=0,N($R559)+N($S559)&lt;=0),"No area information",""))))))))</f>
        <v/>
      </c>
      <c r="AB559" s="22">
        <f>IF(AND($A559="",$B559=""),"",IF($K559="Point",N($L559),IF(N($N559)&gt;0,N($N559),N($L559))))</f>
        <v/>
      </c>
      <c r="AC559" s="22">
        <f>IF(AND($A559="",$B559=""),"",MIN(AB559,IF(N($J559)=0,0,IF(N($J559)=2,AB559,IF(AND($K559&lt;&gt;"Point",N($O559)&gt;0),N($O559),N($M559))))))</f>
        <v/>
      </c>
      <c r="AD559" s="22">
        <f>IF(AND($A559="",$B559=""),"",MAX(0,AB559-AC559))</f>
        <v/>
      </c>
      <c r="AE559" s="21">
        <f>IF(AND($A559="",$B559=""),"",IF(OR($R559&lt;&gt;"",$S559&lt;&gt;""),1,0))</f>
        <v/>
      </c>
      <c r="AF559" s="22">
        <f>IF(AND($A559="",$B559=""),"",IF(Z559=1,IF(AE559=1,N($R559),AD559),0))</f>
        <v/>
      </c>
      <c r="AG559" s="22">
        <f>IF(AND($A559="",$B559=""),"",IF(Z559=1,IF(AE559=1,N($S559),AC559),0))</f>
        <v/>
      </c>
      <c r="AH559" s="21">
        <f>IF(AND($A559="",$B559=""),"",IF(AND(ISNUMBER($I559),N($I559)&gt;0),$I559,0))</f>
        <v/>
      </c>
      <c r="AI559" s="23">
        <f>IF(AND(NOT(AND($A559="",$B559="")),$K559="Point",N($L559)&gt;0),SQRT(N($L559)/PI()),"")</f>
        <v/>
      </c>
      <c r="AJ559" s="21">
        <f>IF(AND($A559="",$B559=""),"",IFERROR(VLOOKUP($G559,Lists!$D$4:$E$15,2,FALSE),"Not reported"))</f>
        <v/>
      </c>
      <c r="AK559" s="21">
        <f>IF(AND($A559="",$B559=""),"",IF($X559&lt;&gt;"",$X559,IF($T559&lt;&gt;"Y","Not assessed",IF(AND(ISNUMBER($V559),Setup!$B$6-$V559&gt;Setup!$B$26),"Assessment outdated",IF(NOT(ISNUMBER($W559)),"Assessed – no score",IF($W559&gt;=Setup!$B$24,"High",IF($W559&gt;=Setup!$B$25,"Moderate","Low")))))))</f>
        <v/>
      </c>
      <c r="AL559" s="21">
        <f>IF(AND($A559="",$B559=""),"",IF(Z559=0,"",IF(AND(AE559=1,N($R559)&gt;AD559*1.01+0.001),"Net terrestrial &gt; gross; ","")&amp;IF(AND(AE559=1,N($S559)&gt;AC559*1.01+0.001),"Net marine &gt; gross; ","")&amp;IF(AE559=0,"No net area – gross used, overlaps may be double-counted; ","")&amp;IF(AH559=0,"STATUS_YR missing – imputed in time series; ","")&amp;IF(AND(ISNUMBER($I559),N($I559)&gt;Setup!$B$6),"STATUS_YR after reporting year; ","")&amp;IF(OR($G559="",$G559="Not Reported"),"GOV_TYPE not reported; ","")&amp;IF(AND(N($J559)=1,$K559="Point",N($M559)&lt;=0),"Coastal point without REP_M_AREA – land/sea split unknown; ","")&amp;IF(AND(N($J559)=0,N($S559)&gt;0),"MARINE=0 but net marine &gt;0; ","")&amp;IF(AND(N($J559)=2,N($R559)&gt;0),"MARINE=2 but net terrestrial &gt;0; ","")&amp;IF($K559="Point","Buffered point – coverage approximate; ","")))</f>
        <v/>
      </c>
    </row>
    <row r="560">
      <c r="A560" s="19" t="n"/>
      <c r="B560" s="19" t="n"/>
      <c r="C560" s="19" t="n"/>
      <c r="D560" s="19" t="n"/>
      <c r="E560" s="19" t="n"/>
      <c r="F560" s="19" t="n"/>
      <c r="G560" s="19" t="n"/>
      <c r="H560" s="19" t="n"/>
      <c r="I560" s="19" t="n"/>
      <c r="J560" s="19" t="n"/>
      <c r="K560" s="19" t="n"/>
      <c r="L560" s="20" t="n"/>
      <c r="M560" s="20" t="n"/>
      <c r="N560" s="20" t="n"/>
      <c r="O560" s="20" t="n"/>
      <c r="P560" s="19" t="n"/>
      <c r="Q560" s="19" t="n"/>
      <c r="R560" s="20" t="n"/>
      <c r="S560" s="20" t="n"/>
      <c r="T560" s="19" t="n"/>
      <c r="U560" s="19" t="n"/>
      <c r="V560" s="19" t="n"/>
      <c r="W560" s="19" t="n"/>
      <c r="X560" s="19" t="n"/>
      <c r="Y560" s="19" t="n"/>
      <c r="Z560" s="21">
        <f>IF(AND($A560="",$B560=""),"",IF(OR($E560="",$H560="",$H560="Proposed",$H560="Not Reported"),0,IF(AND($P560="Y",$Q560&lt;&gt;"Y"),0,IF(AND($K560="Point",N($L560)&lt;=0),0,IF(AND(N($L560)&lt;=0,N($N560)&lt;=0,N($R560)+N($S560)&lt;=0),0,1)))))</f>
        <v/>
      </c>
      <c r="AA560" s="21">
        <f>IF(AND($A560="",$B560=""),"",IF($E560="","Site type missing",IF($H560="","STATUS missing",IF($H560="Proposed","STATUS = Proposed",IF($H560="Not Reported","STATUS = Not Reported",IF(AND($P560="Y",$Q560&lt;&gt;"Y"),"UNESCO-MAB Biosphere Reserve",IF(AND($K560="Point",N($L560)&lt;=0),"Point without REP_AREA",IF(AND(N($L560)&lt;=0,N($N560)&lt;=0,N($R560)+N($S560)&lt;=0),"No area information",""))))))))</f>
        <v/>
      </c>
      <c r="AB560" s="22">
        <f>IF(AND($A560="",$B560=""),"",IF($K560="Point",N($L560),IF(N($N560)&gt;0,N($N560),N($L560))))</f>
        <v/>
      </c>
      <c r="AC560" s="22">
        <f>IF(AND($A560="",$B560=""),"",MIN(AB560,IF(N($J560)=0,0,IF(N($J560)=2,AB560,IF(AND($K560&lt;&gt;"Point",N($O560)&gt;0),N($O560),N($M560))))))</f>
        <v/>
      </c>
      <c r="AD560" s="22">
        <f>IF(AND($A560="",$B560=""),"",MAX(0,AB560-AC560))</f>
        <v/>
      </c>
      <c r="AE560" s="21">
        <f>IF(AND($A560="",$B560=""),"",IF(OR($R560&lt;&gt;"",$S560&lt;&gt;""),1,0))</f>
        <v/>
      </c>
      <c r="AF560" s="22">
        <f>IF(AND($A560="",$B560=""),"",IF(Z560=1,IF(AE560=1,N($R560),AD560),0))</f>
        <v/>
      </c>
      <c r="AG560" s="22">
        <f>IF(AND($A560="",$B560=""),"",IF(Z560=1,IF(AE560=1,N($S560),AC560),0))</f>
        <v/>
      </c>
      <c r="AH560" s="21">
        <f>IF(AND($A560="",$B560=""),"",IF(AND(ISNUMBER($I560),N($I560)&gt;0),$I560,0))</f>
        <v/>
      </c>
      <c r="AI560" s="23">
        <f>IF(AND(NOT(AND($A560="",$B560="")),$K560="Point",N($L560)&gt;0),SQRT(N($L560)/PI()),"")</f>
        <v/>
      </c>
      <c r="AJ560" s="21">
        <f>IF(AND($A560="",$B560=""),"",IFERROR(VLOOKUP($G560,Lists!$D$4:$E$15,2,FALSE),"Not reported"))</f>
        <v/>
      </c>
      <c r="AK560" s="21">
        <f>IF(AND($A560="",$B560=""),"",IF($X560&lt;&gt;"",$X560,IF($T560&lt;&gt;"Y","Not assessed",IF(AND(ISNUMBER($V560),Setup!$B$6-$V560&gt;Setup!$B$26),"Assessment outdated",IF(NOT(ISNUMBER($W560)),"Assessed – no score",IF($W560&gt;=Setup!$B$24,"High",IF($W560&gt;=Setup!$B$25,"Moderate","Low")))))))</f>
        <v/>
      </c>
      <c r="AL560" s="21">
        <f>IF(AND($A560="",$B560=""),"",IF(Z560=0,"",IF(AND(AE560=1,N($R560)&gt;AD560*1.01+0.001),"Net terrestrial &gt; gross; ","")&amp;IF(AND(AE560=1,N($S560)&gt;AC560*1.01+0.001),"Net marine &gt; gross; ","")&amp;IF(AE560=0,"No net area – gross used, overlaps may be double-counted; ","")&amp;IF(AH560=0,"STATUS_YR missing – imputed in time series; ","")&amp;IF(AND(ISNUMBER($I560),N($I560)&gt;Setup!$B$6),"STATUS_YR after reporting year; ","")&amp;IF(OR($G560="",$G560="Not Reported"),"GOV_TYPE not reported; ","")&amp;IF(AND(N($J560)=1,$K560="Point",N($M560)&lt;=0),"Coastal point without REP_M_AREA – land/sea split unknown; ","")&amp;IF(AND(N($J560)=0,N($S560)&gt;0),"MARINE=0 but net marine &gt;0; ","")&amp;IF(AND(N($J560)=2,N($R560)&gt;0),"MARINE=2 but net terrestrial &gt;0; ","")&amp;IF($K560="Point","Buffered point – coverage approximate; ","")))</f>
        <v/>
      </c>
    </row>
    <row r="561">
      <c r="A561" s="19" t="n"/>
      <c r="B561" s="19" t="n"/>
      <c r="C561" s="19" t="n"/>
      <c r="D561" s="19" t="n"/>
      <c r="E561" s="19" t="n"/>
      <c r="F561" s="19" t="n"/>
      <c r="G561" s="19" t="n"/>
      <c r="H561" s="19" t="n"/>
      <c r="I561" s="19" t="n"/>
      <c r="J561" s="19" t="n"/>
      <c r="K561" s="19" t="n"/>
      <c r="L561" s="20" t="n"/>
      <c r="M561" s="20" t="n"/>
      <c r="N561" s="20" t="n"/>
      <c r="O561" s="20" t="n"/>
      <c r="P561" s="19" t="n"/>
      <c r="Q561" s="19" t="n"/>
      <c r="R561" s="20" t="n"/>
      <c r="S561" s="20" t="n"/>
      <c r="T561" s="19" t="n"/>
      <c r="U561" s="19" t="n"/>
      <c r="V561" s="19" t="n"/>
      <c r="W561" s="19" t="n"/>
      <c r="X561" s="19" t="n"/>
      <c r="Y561" s="19" t="n"/>
      <c r="Z561" s="21">
        <f>IF(AND($A561="",$B561=""),"",IF(OR($E561="",$H561="",$H561="Proposed",$H561="Not Reported"),0,IF(AND($P561="Y",$Q561&lt;&gt;"Y"),0,IF(AND($K561="Point",N($L561)&lt;=0),0,IF(AND(N($L561)&lt;=0,N($N561)&lt;=0,N($R561)+N($S561)&lt;=0),0,1)))))</f>
        <v/>
      </c>
      <c r="AA561" s="21">
        <f>IF(AND($A561="",$B561=""),"",IF($E561="","Site type missing",IF($H561="","STATUS missing",IF($H561="Proposed","STATUS = Proposed",IF($H561="Not Reported","STATUS = Not Reported",IF(AND($P561="Y",$Q561&lt;&gt;"Y"),"UNESCO-MAB Biosphere Reserve",IF(AND($K561="Point",N($L561)&lt;=0),"Point without REP_AREA",IF(AND(N($L561)&lt;=0,N($N561)&lt;=0,N($R561)+N($S561)&lt;=0),"No area information",""))))))))</f>
        <v/>
      </c>
      <c r="AB561" s="22">
        <f>IF(AND($A561="",$B561=""),"",IF($K561="Point",N($L561),IF(N($N561)&gt;0,N($N561),N($L561))))</f>
        <v/>
      </c>
      <c r="AC561" s="22">
        <f>IF(AND($A561="",$B561=""),"",MIN(AB561,IF(N($J561)=0,0,IF(N($J561)=2,AB561,IF(AND($K561&lt;&gt;"Point",N($O561)&gt;0),N($O561),N($M561))))))</f>
        <v/>
      </c>
      <c r="AD561" s="22">
        <f>IF(AND($A561="",$B561=""),"",MAX(0,AB561-AC561))</f>
        <v/>
      </c>
      <c r="AE561" s="21">
        <f>IF(AND($A561="",$B561=""),"",IF(OR($R561&lt;&gt;"",$S561&lt;&gt;""),1,0))</f>
        <v/>
      </c>
      <c r="AF561" s="22">
        <f>IF(AND($A561="",$B561=""),"",IF(Z561=1,IF(AE561=1,N($R561),AD561),0))</f>
        <v/>
      </c>
      <c r="AG561" s="22">
        <f>IF(AND($A561="",$B561=""),"",IF(Z561=1,IF(AE561=1,N($S561),AC561),0))</f>
        <v/>
      </c>
      <c r="AH561" s="21">
        <f>IF(AND($A561="",$B561=""),"",IF(AND(ISNUMBER($I561),N($I561)&gt;0),$I561,0))</f>
        <v/>
      </c>
      <c r="AI561" s="23">
        <f>IF(AND(NOT(AND($A561="",$B561="")),$K561="Point",N($L561)&gt;0),SQRT(N($L561)/PI()),"")</f>
        <v/>
      </c>
      <c r="AJ561" s="21">
        <f>IF(AND($A561="",$B561=""),"",IFERROR(VLOOKUP($G561,Lists!$D$4:$E$15,2,FALSE),"Not reported"))</f>
        <v/>
      </c>
      <c r="AK561" s="21">
        <f>IF(AND($A561="",$B561=""),"",IF($X561&lt;&gt;"",$X561,IF($T561&lt;&gt;"Y","Not assessed",IF(AND(ISNUMBER($V561),Setup!$B$6-$V561&gt;Setup!$B$26),"Assessment outdated",IF(NOT(ISNUMBER($W561)),"Assessed – no score",IF($W561&gt;=Setup!$B$24,"High",IF($W561&gt;=Setup!$B$25,"Moderate","Low")))))))</f>
        <v/>
      </c>
      <c r="AL561" s="21">
        <f>IF(AND($A561="",$B561=""),"",IF(Z561=0,"",IF(AND(AE561=1,N($R561)&gt;AD561*1.01+0.001),"Net terrestrial &gt; gross; ","")&amp;IF(AND(AE561=1,N($S561)&gt;AC561*1.01+0.001),"Net marine &gt; gross; ","")&amp;IF(AE561=0,"No net area – gross used, overlaps may be double-counted; ","")&amp;IF(AH561=0,"STATUS_YR missing – imputed in time series; ","")&amp;IF(AND(ISNUMBER($I561),N($I561)&gt;Setup!$B$6),"STATUS_YR after reporting year; ","")&amp;IF(OR($G561="",$G561="Not Reported"),"GOV_TYPE not reported; ","")&amp;IF(AND(N($J561)=1,$K561="Point",N($M561)&lt;=0),"Coastal point without REP_M_AREA – land/sea split unknown; ","")&amp;IF(AND(N($J561)=0,N($S561)&gt;0),"MARINE=0 but net marine &gt;0; ","")&amp;IF(AND(N($J561)=2,N($R561)&gt;0),"MARINE=2 but net terrestrial &gt;0; ","")&amp;IF($K561="Point","Buffered point – coverage approximate; ","")))</f>
        <v/>
      </c>
    </row>
    <row r="562">
      <c r="A562" s="19" t="n"/>
      <c r="B562" s="19" t="n"/>
      <c r="C562" s="19" t="n"/>
      <c r="D562" s="19" t="n"/>
      <c r="E562" s="19" t="n"/>
      <c r="F562" s="19" t="n"/>
      <c r="G562" s="19" t="n"/>
      <c r="H562" s="19" t="n"/>
      <c r="I562" s="19" t="n"/>
      <c r="J562" s="19" t="n"/>
      <c r="K562" s="19" t="n"/>
      <c r="L562" s="20" t="n"/>
      <c r="M562" s="20" t="n"/>
      <c r="N562" s="20" t="n"/>
      <c r="O562" s="20" t="n"/>
      <c r="P562" s="19" t="n"/>
      <c r="Q562" s="19" t="n"/>
      <c r="R562" s="20" t="n"/>
      <c r="S562" s="20" t="n"/>
      <c r="T562" s="19" t="n"/>
      <c r="U562" s="19" t="n"/>
      <c r="V562" s="19" t="n"/>
      <c r="W562" s="19" t="n"/>
      <c r="X562" s="19" t="n"/>
      <c r="Y562" s="19" t="n"/>
      <c r="Z562" s="21">
        <f>IF(AND($A562="",$B562=""),"",IF(OR($E562="",$H562="",$H562="Proposed",$H562="Not Reported"),0,IF(AND($P562="Y",$Q562&lt;&gt;"Y"),0,IF(AND($K562="Point",N($L562)&lt;=0),0,IF(AND(N($L562)&lt;=0,N($N562)&lt;=0,N($R562)+N($S562)&lt;=0),0,1)))))</f>
        <v/>
      </c>
      <c r="AA562" s="21">
        <f>IF(AND($A562="",$B562=""),"",IF($E562="","Site type missing",IF($H562="","STATUS missing",IF($H562="Proposed","STATUS = Proposed",IF($H562="Not Reported","STATUS = Not Reported",IF(AND($P562="Y",$Q562&lt;&gt;"Y"),"UNESCO-MAB Biosphere Reserve",IF(AND($K562="Point",N($L562)&lt;=0),"Point without REP_AREA",IF(AND(N($L562)&lt;=0,N($N562)&lt;=0,N($R562)+N($S562)&lt;=0),"No area information",""))))))))</f>
        <v/>
      </c>
      <c r="AB562" s="22">
        <f>IF(AND($A562="",$B562=""),"",IF($K562="Point",N($L562),IF(N($N562)&gt;0,N($N562),N($L562))))</f>
        <v/>
      </c>
      <c r="AC562" s="22">
        <f>IF(AND($A562="",$B562=""),"",MIN(AB562,IF(N($J562)=0,0,IF(N($J562)=2,AB562,IF(AND($K562&lt;&gt;"Point",N($O562)&gt;0),N($O562),N($M562))))))</f>
        <v/>
      </c>
      <c r="AD562" s="22">
        <f>IF(AND($A562="",$B562=""),"",MAX(0,AB562-AC562))</f>
        <v/>
      </c>
      <c r="AE562" s="21">
        <f>IF(AND($A562="",$B562=""),"",IF(OR($R562&lt;&gt;"",$S562&lt;&gt;""),1,0))</f>
        <v/>
      </c>
      <c r="AF562" s="22">
        <f>IF(AND($A562="",$B562=""),"",IF(Z562=1,IF(AE562=1,N($R562),AD562),0))</f>
        <v/>
      </c>
      <c r="AG562" s="22">
        <f>IF(AND($A562="",$B562=""),"",IF(Z562=1,IF(AE562=1,N($S562),AC562),0))</f>
        <v/>
      </c>
      <c r="AH562" s="21">
        <f>IF(AND($A562="",$B562=""),"",IF(AND(ISNUMBER($I562),N($I562)&gt;0),$I562,0))</f>
        <v/>
      </c>
      <c r="AI562" s="23">
        <f>IF(AND(NOT(AND($A562="",$B562="")),$K562="Point",N($L562)&gt;0),SQRT(N($L562)/PI()),"")</f>
        <v/>
      </c>
      <c r="AJ562" s="21">
        <f>IF(AND($A562="",$B562=""),"",IFERROR(VLOOKUP($G562,Lists!$D$4:$E$15,2,FALSE),"Not reported"))</f>
        <v/>
      </c>
      <c r="AK562" s="21">
        <f>IF(AND($A562="",$B562=""),"",IF($X562&lt;&gt;"",$X562,IF($T562&lt;&gt;"Y","Not assessed",IF(AND(ISNUMBER($V562),Setup!$B$6-$V562&gt;Setup!$B$26),"Assessment outdated",IF(NOT(ISNUMBER($W562)),"Assessed – no score",IF($W562&gt;=Setup!$B$24,"High",IF($W562&gt;=Setup!$B$25,"Moderate","Low")))))))</f>
        <v/>
      </c>
      <c r="AL562" s="21">
        <f>IF(AND($A562="",$B562=""),"",IF(Z562=0,"",IF(AND(AE562=1,N($R562)&gt;AD562*1.01+0.001),"Net terrestrial &gt; gross; ","")&amp;IF(AND(AE562=1,N($S562)&gt;AC562*1.01+0.001),"Net marine &gt; gross; ","")&amp;IF(AE562=0,"No net area – gross used, overlaps may be double-counted; ","")&amp;IF(AH562=0,"STATUS_YR missing – imputed in time series; ","")&amp;IF(AND(ISNUMBER($I562),N($I562)&gt;Setup!$B$6),"STATUS_YR after reporting year; ","")&amp;IF(OR($G562="",$G562="Not Reported"),"GOV_TYPE not reported; ","")&amp;IF(AND(N($J562)=1,$K562="Point",N($M562)&lt;=0),"Coastal point without REP_M_AREA – land/sea split unknown; ","")&amp;IF(AND(N($J562)=0,N($S562)&gt;0),"MARINE=0 but net marine &gt;0; ","")&amp;IF(AND(N($J562)=2,N($R562)&gt;0),"MARINE=2 but net terrestrial &gt;0; ","")&amp;IF($K562="Point","Buffered point – coverage approximate; ","")))</f>
        <v/>
      </c>
    </row>
    <row r="563">
      <c r="A563" s="19" t="n"/>
      <c r="B563" s="19" t="n"/>
      <c r="C563" s="19" t="n"/>
      <c r="D563" s="19" t="n"/>
      <c r="E563" s="19" t="n"/>
      <c r="F563" s="19" t="n"/>
      <c r="G563" s="19" t="n"/>
      <c r="H563" s="19" t="n"/>
      <c r="I563" s="19" t="n"/>
      <c r="J563" s="19" t="n"/>
      <c r="K563" s="19" t="n"/>
      <c r="L563" s="20" t="n"/>
      <c r="M563" s="20" t="n"/>
      <c r="N563" s="20" t="n"/>
      <c r="O563" s="20" t="n"/>
      <c r="P563" s="19" t="n"/>
      <c r="Q563" s="19" t="n"/>
      <c r="R563" s="20" t="n"/>
      <c r="S563" s="20" t="n"/>
      <c r="T563" s="19" t="n"/>
      <c r="U563" s="19" t="n"/>
      <c r="V563" s="19" t="n"/>
      <c r="W563" s="19" t="n"/>
      <c r="X563" s="19" t="n"/>
      <c r="Y563" s="19" t="n"/>
      <c r="Z563" s="21">
        <f>IF(AND($A563="",$B563=""),"",IF(OR($E563="",$H563="",$H563="Proposed",$H563="Not Reported"),0,IF(AND($P563="Y",$Q563&lt;&gt;"Y"),0,IF(AND($K563="Point",N($L563)&lt;=0),0,IF(AND(N($L563)&lt;=0,N($N563)&lt;=0,N($R563)+N($S563)&lt;=0),0,1)))))</f>
        <v/>
      </c>
      <c r="AA563" s="21">
        <f>IF(AND($A563="",$B563=""),"",IF($E563="","Site type missing",IF($H563="","STATUS missing",IF($H563="Proposed","STATUS = Proposed",IF($H563="Not Reported","STATUS = Not Reported",IF(AND($P563="Y",$Q563&lt;&gt;"Y"),"UNESCO-MAB Biosphere Reserve",IF(AND($K563="Point",N($L563)&lt;=0),"Point without REP_AREA",IF(AND(N($L563)&lt;=0,N($N563)&lt;=0,N($R563)+N($S563)&lt;=0),"No area information",""))))))))</f>
        <v/>
      </c>
      <c r="AB563" s="22">
        <f>IF(AND($A563="",$B563=""),"",IF($K563="Point",N($L563),IF(N($N563)&gt;0,N($N563),N($L563))))</f>
        <v/>
      </c>
      <c r="AC563" s="22">
        <f>IF(AND($A563="",$B563=""),"",MIN(AB563,IF(N($J563)=0,0,IF(N($J563)=2,AB563,IF(AND($K563&lt;&gt;"Point",N($O563)&gt;0),N($O563),N($M563))))))</f>
        <v/>
      </c>
      <c r="AD563" s="22">
        <f>IF(AND($A563="",$B563=""),"",MAX(0,AB563-AC563))</f>
        <v/>
      </c>
      <c r="AE563" s="21">
        <f>IF(AND($A563="",$B563=""),"",IF(OR($R563&lt;&gt;"",$S563&lt;&gt;""),1,0))</f>
        <v/>
      </c>
      <c r="AF563" s="22">
        <f>IF(AND($A563="",$B563=""),"",IF(Z563=1,IF(AE563=1,N($R563),AD563),0))</f>
        <v/>
      </c>
      <c r="AG563" s="22">
        <f>IF(AND($A563="",$B563=""),"",IF(Z563=1,IF(AE563=1,N($S563),AC563),0))</f>
        <v/>
      </c>
      <c r="AH563" s="21">
        <f>IF(AND($A563="",$B563=""),"",IF(AND(ISNUMBER($I563),N($I563)&gt;0),$I563,0))</f>
        <v/>
      </c>
      <c r="AI563" s="23">
        <f>IF(AND(NOT(AND($A563="",$B563="")),$K563="Point",N($L563)&gt;0),SQRT(N($L563)/PI()),"")</f>
        <v/>
      </c>
      <c r="AJ563" s="21">
        <f>IF(AND($A563="",$B563=""),"",IFERROR(VLOOKUP($G563,Lists!$D$4:$E$15,2,FALSE),"Not reported"))</f>
        <v/>
      </c>
      <c r="AK563" s="21">
        <f>IF(AND($A563="",$B563=""),"",IF($X563&lt;&gt;"",$X563,IF($T563&lt;&gt;"Y","Not assessed",IF(AND(ISNUMBER($V563),Setup!$B$6-$V563&gt;Setup!$B$26),"Assessment outdated",IF(NOT(ISNUMBER($W563)),"Assessed – no score",IF($W563&gt;=Setup!$B$24,"High",IF($W563&gt;=Setup!$B$25,"Moderate","Low")))))))</f>
        <v/>
      </c>
      <c r="AL563" s="21">
        <f>IF(AND($A563="",$B563=""),"",IF(Z563=0,"",IF(AND(AE563=1,N($R563)&gt;AD563*1.01+0.001),"Net terrestrial &gt; gross; ","")&amp;IF(AND(AE563=1,N($S563)&gt;AC563*1.01+0.001),"Net marine &gt; gross; ","")&amp;IF(AE563=0,"No net area – gross used, overlaps may be double-counted; ","")&amp;IF(AH563=0,"STATUS_YR missing – imputed in time series; ","")&amp;IF(AND(ISNUMBER($I563),N($I563)&gt;Setup!$B$6),"STATUS_YR after reporting year; ","")&amp;IF(OR($G563="",$G563="Not Reported"),"GOV_TYPE not reported; ","")&amp;IF(AND(N($J563)=1,$K563="Point",N($M563)&lt;=0),"Coastal point without REP_M_AREA – land/sea split unknown; ","")&amp;IF(AND(N($J563)=0,N($S563)&gt;0),"MARINE=0 but net marine &gt;0; ","")&amp;IF(AND(N($J563)=2,N($R563)&gt;0),"MARINE=2 but net terrestrial &gt;0; ","")&amp;IF($K563="Point","Buffered point – coverage approximate; ","")))</f>
        <v/>
      </c>
    </row>
    <row r="564">
      <c r="A564" s="19" t="n"/>
      <c r="B564" s="19" t="n"/>
      <c r="C564" s="19" t="n"/>
      <c r="D564" s="19" t="n"/>
      <c r="E564" s="19" t="n"/>
      <c r="F564" s="19" t="n"/>
      <c r="G564" s="19" t="n"/>
      <c r="H564" s="19" t="n"/>
      <c r="I564" s="19" t="n"/>
      <c r="J564" s="19" t="n"/>
      <c r="K564" s="19" t="n"/>
      <c r="L564" s="20" t="n"/>
      <c r="M564" s="20" t="n"/>
      <c r="N564" s="20" t="n"/>
      <c r="O564" s="20" t="n"/>
      <c r="P564" s="19" t="n"/>
      <c r="Q564" s="19" t="n"/>
      <c r="R564" s="20" t="n"/>
      <c r="S564" s="20" t="n"/>
      <c r="T564" s="19" t="n"/>
      <c r="U564" s="19" t="n"/>
      <c r="V564" s="19" t="n"/>
      <c r="W564" s="19" t="n"/>
      <c r="X564" s="19" t="n"/>
      <c r="Y564" s="19" t="n"/>
      <c r="Z564" s="21">
        <f>IF(AND($A564="",$B564=""),"",IF(OR($E564="",$H564="",$H564="Proposed",$H564="Not Reported"),0,IF(AND($P564="Y",$Q564&lt;&gt;"Y"),0,IF(AND($K564="Point",N($L564)&lt;=0),0,IF(AND(N($L564)&lt;=0,N($N564)&lt;=0,N($R564)+N($S564)&lt;=0),0,1)))))</f>
        <v/>
      </c>
      <c r="AA564" s="21">
        <f>IF(AND($A564="",$B564=""),"",IF($E564="","Site type missing",IF($H564="","STATUS missing",IF($H564="Proposed","STATUS = Proposed",IF($H564="Not Reported","STATUS = Not Reported",IF(AND($P564="Y",$Q564&lt;&gt;"Y"),"UNESCO-MAB Biosphere Reserve",IF(AND($K564="Point",N($L564)&lt;=0),"Point without REP_AREA",IF(AND(N($L564)&lt;=0,N($N564)&lt;=0,N($R564)+N($S564)&lt;=0),"No area information",""))))))))</f>
        <v/>
      </c>
      <c r="AB564" s="22">
        <f>IF(AND($A564="",$B564=""),"",IF($K564="Point",N($L564),IF(N($N564)&gt;0,N($N564),N($L564))))</f>
        <v/>
      </c>
      <c r="AC564" s="22">
        <f>IF(AND($A564="",$B564=""),"",MIN(AB564,IF(N($J564)=0,0,IF(N($J564)=2,AB564,IF(AND($K564&lt;&gt;"Point",N($O564)&gt;0),N($O564),N($M564))))))</f>
        <v/>
      </c>
      <c r="AD564" s="22">
        <f>IF(AND($A564="",$B564=""),"",MAX(0,AB564-AC564))</f>
        <v/>
      </c>
      <c r="AE564" s="21">
        <f>IF(AND($A564="",$B564=""),"",IF(OR($R564&lt;&gt;"",$S564&lt;&gt;""),1,0))</f>
        <v/>
      </c>
      <c r="AF564" s="22">
        <f>IF(AND($A564="",$B564=""),"",IF(Z564=1,IF(AE564=1,N($R564),AD564),0))</f>
        <v/>
      </c>
      <c r="AG564" s="22">
        <f>IF(AND($A564="",$B564=""),"",IF(Z564=1,IF(AE564=1,N($S564),AC564),0))</f>
        <v/>
      </c>
      <c r="AH564" s="21">
        <f>IF(AND($A564="",$B564=""),"",IF(AND(ISNUMBER($I564),N($I564)&gt;0),$I564,0))</f>
        <v/>
      </c>
      <c r="AI564" s="23">
        <f>IF(AND(NOT(AND($A564="",$B564="")),$K564="Point",N($L564)&gt;0),SQRT(N($L564)/PI()),"")</f>
        <v/>
      </c>
      <c r="AJ564" s="21">
        <f>IF(AND($A564="",$B564=""),"",IFERROR(VLOOKUP($G564,Lists!$D$4:$E$15,2,FALSE),"Not reported"))</f>
        <v/>
      </c>
      <c r="AK564" s="21">
        <f>IF(AND($A564="",$B564=""),"",IF($X564&lt;&gt;"",$X564,IF($T564&lt;&gt;"Y","Not assessed",IF(AND(ISNUMBER($V564),Setup!$B$6-$V564&gt;Setup!$B$26),"Assessment outdated",IF(NOT(ISNUMBER($W564)),"Assessed – no score",IF($W564&gt;=Setup!$B$24,"High",IF($W564&gt;=Setup!$B$25,"Moderate","Low")))))))</f>
        <v/>
      </c>
      <c r="AL564" s="21">
        <f>IF(AND($A564="",$B564=""),"",IF(Z564=0,"",IF(AND(AE564=1,N($R564)&gt;AD564*1.01+0.001),"Net terrestrial &gt; gross; ","")&amp;IF(AND(AE564=1,N($S564)&gt;AC564*1.01+0.001),"Net marine &gt; gross; ","")&amp;IF(AE564=0,"No net area – gross used, overlaps may be double-counted; ","")&amp;IF(AH564=0,"STATUS_YR missing – imputed in time series; ","")&amp;IF(AND(ISNUMBER($I564),N($I564)&gt;Setup!$B$6),"STATUS_YR after reporting year; ","")&amp;IF(OR($G564="",$G564="Not Reported"),"GOV_TYPE not reported; ","")&amp;IF(AND(N($J564)=1,$K564="Point",N($M564)&lt;=0),"Coastal point without REP_M_AREA – land/sea split unknown; ","")&amp;IF(AND(N($J564)=0,N($S564)&gt;0),"MARINE=0 but net marine &gt;0; ","")&amp;IF(AND(N($J564)=2,N($R564)&gt;0),"MARINE=2 but net terrestrial &gt;0; ","")&amp;IF($K564="Point","Buffered point – coverage approximate; ","")))</f>
        <v/>
      </c>
    </row>
    <row r="565">
      <c r="A565" s="19" t="n"/>
      <c r="B565" s="19" t="n"/>
      <c r="C565" s="19" t="n"/>
      <c r="D565" s="19" t="n"/>
      <c r="E565" s="19" t="n"/>
      <c r="F565" s="19" t="n"/>
      <c r="G565" s="19" t="n"/>
      <c r="H565" s="19" t="n"/>
      <c r="I565" s="19" t="n"/>
      <c r="J565" s="19" t="n"/>
      <c r="K565" s="19" t="n"/>
      <c r="L565" s="20" t="n"/>
      <c r="M565" s="20" t="n"/>
      <c r="N565" s="20" t="n"/>
      <c r="O565" s="20" t="n"/>
      <c r="P565" s="19" t="n"/>
      <c r="Q565" s="19" t="n"/>
      <c r="R565" s="20" t="n"/>
      <c r="S565" s="20" t="n"/>
      <c r="T565" s="19" t="n"/>
      <c r="U565" s="19" t="n"/>
      <c r="V565" s="19" t="n"/>
      <c r="W565" s="19" t="n"/>
      <c r="X565" s="19" t="n"/>
      <c r="Y565" s="19" t="n"/>
      <c r="Z565" s="21">
        <f>IF(AND($A565="",$B565=""),"",IF(OR($E565="",$H565="",$H565="Proposed",$H565="Not Reported"),0,IF(AND($P565="Y",$Q565&lt;&gt;"Y"),0,IF(AND($K565="Point",N($L565)&lt;=0),0,IF(AND(N($L565)&lt;=0,N($N565)&lt;=0,N($R565)+N($S565)&lt;=0),0,1)))))</f>
        <v/>
      </c>
      <c r="AA565" s="21">
        <f>IF(AND($A565="",$B565=""),"",IF($E565="","Site type missing",IF($H565="","STATUS missing",IF($H565="Proposed","STATUS = Proposed",IF($H565="Not Reported","STATUS = Not Reported",IF(AND($P565="Y",$Q565&lt;&gt;"Y"),"UNESCO-MAB Biosphere Reserve",IF(AND($K565="Point",N($L565)&lt;=0),"Point without REP_AREA",IF(AND(N($L565)&lt;=0,N($N565)&lt;=0,N($R565)+N($S565)&lt;=0),"No area information",""))))))))</f>
        <v/>
      </c>
      <c r="AB565" s="22">
        <f>IF(AND($A565="",$B565=""),"",IF($K565="Point",N($L565),IF(N($N565)&gt;0,N($N565),N($L565))))</f>
        <v/>
      </c>
      <c r="AC565" s="22">
        <f>IF(AND($A565="",$B565=""),"",MIN(AB565,IF(N($J565)=0,0,IF(N($J565)=2,AB565,IF(AND($K565&lt;&gt;"Point",N($O565)&gt;0),N($O565),N($M565))))))</f>
        <v/>
      </c>
      <c r="AD565" s="22">
        <f>IF(AND($A565="",$B565=""),"",MAX(0,AB565-AC565))</f>
        <v/>
      </c>
      <c r="AE565" s="21">
        <f>IF(AND($A565="",$B565=""),"",IF(OR($R565&lt;&gt;"",$S565&lt;&gt;""),1,0))</f>
        <v/>
      </c>
      <c r="AF565" s="22">
        <f>IF(AND($A565="",$B565=""),"",IF(Z565=1,IF(AE565=1,N($R565),AD565),0))</f>
        <v/>
      </c>
      <c r="AG565" s="22">
        <f>IF(AND($A565="",$B565=""),"",IF(Z565=1,IF(AE565=1,N($S565),AC565),0))</f>
        <v/>
      </c>
      <c r="AH565" s="21">
        <f>IF(AND($A565="",$B565=""),"",IF(AND(ISNUMBER($I565),N($I565)&gt;0),$I565,0))</f>
        <v/>
      </c>
      <c r="AI565" s="23">
        <f>IF(AND(NOT(AND($A565="",$B565="")),$K565="Point",N($L565)&gt;0),SQRT(N($L565)/PI()),"")</f>
        <v/>
      </c>
      <c r="AJ565" s="21">
        <f>IF(AND($A565="",$B565=""),"",IFERROR(VLOOKUP($G565,Lists!$D$4:$E$15,2,FALSE),"Not reported"))</f>
        <v/>
      </c>
      <c r="AK565" s="21">
        <f>IF(AND($A565="",$B565=""),"",IF($X565&lt;&gt;"",$X565,IF($T565&lt;&gt;"Y","Not assessed",IF(AND(ISNUMBER($V565),Setup!$B$6-$V565&gt;Setup!$B$26),"Assessment outdated",IF(NOT(ISNUMBER($W565)),"Assessed – no score",IF($W565&gt;=Setup!$B$24,"High",IF($W565&gt;=Setup!$B$25,"Moderate","Low")))))))</f>
        <v/>
      </c>
      <c r="AL565" s="21">
        <f>IF(AND($A565="",$B565=""),"",IF(Z565=0,"",IF(AND(AE565=1,N($R565)&gt;AD565*1.01+0.001),"Net terrestrial &gt; gross; ","")&amp;IF(AND(AE565=1,N($S565)&gt;AC565*1.01+0.001),"Net marine &gt; gross; ","")&amp;IF(AE565=0,"No net area – gross used, overlaps may be double-counted; ","")&amp;IF(AH565=0,"STATUS_YR missing – imputed in time series; ","")&amp;IF(AND(ISNUMBER($I565),N($I565)&gt;Setup!$B$6),"STATUS_YR after reporting year; ","")&amp;IF(OR($G565="",$G565="Not Reported"),"GOV_TYPE not reported; ","")&amp;IF(AND(N($J565)=1,$K565="Point",N($M565)&lt;=0),"Coastal point without REP_M_AREA – land/sea split unknown; ","")&amp;IF(AND(N($J565)=0,N($S565)&gt;0),"MARINE=0 but net marine &gt;0; ","")&amp;IF(AND(N($J565)=2,N($R565)&gt;0),"MARINE=2 but net terrestrial &gt;0; ","")&amp;IF($K565="Point","Buffered point – coverage approximate; ","")))</f>
        <v/>
      </c>
    </row>
    <row r="566">
      <c r="A566" s="19" t="n"/>
      <c r="B566" s="19" t="n"/>
      <c r="C566" s="19" t="n"/>
      <c r="D566" s="19" t="n"/>
      <c r="E566" s="19" t="n"/>
      <c r="F566" s="19" t="n"/>
      <c r="G566" s="19" t="n"/>
      <c r="H566" s="19" t="n"/>
      <c r="I566" s="19" t="n"/>
      <c r="J566" s="19" t="n"/>
      <c r="K566" s="19" t="n"/>
      <c r="L566" s="20" t="n"/>
      <c r="M566" s="20" t="n"/>
      <c r="N566" s="20" t="n"/>
      <c r="O566" s="20" t="n"/>
      <c r="P566" s="19" t="n"/>
      <c r="Q566" s="19" t="n"/>
      <c r="R566" s="20" t="n"/>
      <c r="S566" s="20" t="n"/>
      <c r="T566" s="19" t="n"/>
      <c r="U566" s="19" t="n"/>
      <c r="V566" s="19" t="n"/>
      <c r="W566" s="19" t="n"/>
      <c r="X566" s="19" t="n"/>
      <c r="Y566" s="19" t="n"/>
      <c r="Z566" s="21">
        <f>IF(AND($A566="",$B566=""),"",IF(OR($E566="",$H566="",$H566="Proposed",$H566="Not Reported"),0,IF(AND($P566="Y",$Q566&lt;&gt;"Y"),0,IF(AND($K566="Point",N($L566)&lt;=0),0,IF(AND(N($L566)&lt;=0,N($N566)&lt;=0,N($R566)+N($S566)&lt;=0),0,1)))))</f>
        <v/>
      </c>
      <c r="AA566" s="21">
        <f>IF(AND($A566="",$B566=""),"",IF($E566="","Site type missing",IF($H566="","STATUS missing",IF($H566="Proposed","STATUS = Proposed",IF($H566="Not Reported","STATUS = Not Reported",IF(AND($P566="Y",$Q566&lt;&gt;"Y"),"UNESCO-MAB Biosphere Reserve",IF(AND($K566="Point",N($L566)&lt;=0),"Point without REP_AREA",IF(AND(N($L566)&lt;=0,N($N566)&lt;=0,N($R566)+N($S566)&lt;=0),"No area information",""))))))))</f>
        <v/>
      </c>
      <c r="AB566" s="22">
        <f>IF(AND($A566="",$B566=""),"",IF($K566="Point",N($L566),IF(N($N566)&gt;0,N($N566),N($L566))))</f>
        <v/>
      </c>
      <c r="AC566" s="22">
        <f>IF(AND($A566="",$B566=""),"",MIN(AB566,IF(N($J566)=0,0,IF(N($J566)=2,AB566,IF(AND($K566&lt;&gt;"Point",N($O566)&gt;0),N($O566),N($M566))))))</f>
        <v/>
      </c>
      <c r="AD566" s="22">
        <f>IF(AND($A566="",$B566=""),"",MAX(0,AB566-AC566))</f>
        <v/>
      </c>
      <c r="AE566" s="21">
        <f>IF(AND($A566="",$B566=""),"",IF(OR($R566&lt;&gt;"",$S566&lt;&gt;""),1,0))</f>
        <v/>
      </c>
      <c r="AF566" s="22">
        <f>IF(AND($A566="",$B566=""),"",IF(Z566=1,IF(AE566=1,N($R566),AD566),0))</f>
        <v/>
      </c>
      <c r="AG566" s="22">
        <f>IF(AND($A566="",$B566=""),"",IF(Z566=1,IF(AE566=1,N($S566),AC566),0))</f>
        <v/>
      </c>
      <c r="AH566" s="21">
        <f>IF(AND($A566="",$B566=""),"",IF(AND(ISNUMBER($I566),N($I566)&gt;0),$I566,0))</f>
        <v/>
      </c>
      <c r="AI566" s="23">
        <f>IF(AND(NOT(AND($A566="",$B566="")),$K566="Point",N($L566)&gt;0),SQRT(N($L566)/PI()),"")</f>
        <v/>
      </c>
      <c r="AJ566" s="21">
        <f>IF(AND($A566="",$B566=""),"",IFERROR(VLOOKUP($G566,Lists!$D$4:$E$15,2,FALSE),"Not reported"))</f>
        <v/>
      </c>
      <c r="AK566" s="21">
        <f>IF(AND($A566="",$B566=""),"",IF($X566&lt;&gt;"",$X566,IF($T566&lt;&gt;"Y","Not assessed",IF(AND(ISNUMBER($V566),Setup!$B$6-$V566&gt;Setup!$B$26),"Assessment outdated",IF(NOT(ISNUMBER($W566)),"Assessed – no score",IF($W566&gt;=Setup!$B$24,"High",IF($W566&gt;=Setup!$B$25,"Moderate","Low")))))))</f>
        <v/>
      </c>
      <c r="AL566" s="21">
        <f>IF(AND($A566="",$B566=""),"",IF(Z566=0,"",IF(AND(AE566=1,N($R566)&gt;AD566*1.01+0.001),"Net terrestrial &gt; gross; ","")&amp;IF(AND(AE566=1,N($S566)&gt;AC566*1.01+0.001),"Net marine &gt; gross; ","")&amp;IF(AE566=0,"No net area – gross used, overlaps may be double-counted; ","")&amp;IF(AH566=0,"STATUS_YR missing – imputed in time series; ","")&amp;IF(AND(ISNUMBER($I566),N($I566)&gt;Setup!$B$6),"STATUS_YR after reporting year; ","")&amp;IF(OR($G566="",$G566="Not Reported"),"GOV_TYPE not reported; ","")&amp;IF(AND(N($J566)=1,$K566="Point",N($M566)&lt;=0),"Coastal point without REP_M_AREA – land/sea split unknown; ","")&amp;IF(AND(N($J566)=0,N($S566)&gt;0),"MARINE=0 but net marine &gt;0; ","")&amp;IF(AND(N($J566)=2,N($R566)&gt;0),"MARINE=2 but net terrestrial &gt;0; ","")&amp;IF($K566="Point","Buffered point – coverage approximate; ","")))</f>
        <v/>
      </c>
    </row>
    <row r="567">
      <c r="A567" s="19" t="n"/>
      <c r="B567" s="19" t="n"/>
      <c r="C567" s="19" t="n"/>
      <c r="D567" s="19" t="n"/>
      <c r="E567" s="19" t="n"/>
      <c r="F567" s="19" t="n"/>
      <c r="G567" s="19" t="n"/>
      <c r="H567" s="19" t="n"/>
      <c r="I567" s="19" t="n"/>
      <c r="J567" s="19" t="n"/>
      <c r="K567" s="19" t="n"/>
      <c r="L567" s="20" t="n"/>
      <c r="M567" s="20" t="n"/>
      <c r="N567" s="20" t="n"/>
      <c r="O567" s="20" t="n"/>
      <c r="P567" s="19" t="n"/>
      <c r="Q567" s="19" t="n"/>
      <c r="R567" s="20" t="n"/>
      <c r="S567" s="20" t="n"/>
      <c r="T567" s="19" t="n"/>
      <c r="U567" s="19" t="n"/>
      <c r="V567" s="19" t="n"/>
      <c r="W567" s="19" t="n"/>
      <c r="X567" s="19" t="n"/>
      <c r="Y567" s="19" t="n"/>
      <c r="Z567" s="21">
        <f>IF(AND($A567="",$B567=""),"",IF(OR($E567="",$H567="",$H567="Proposed",$H567="Not Reported"),0,IF(AND($P567="Y",$Q567&lt;&gt;"Y"),0,IF(AND($K567="Point",N($L567)&lt;=0),0,IF(AND(N($L567)&lt;=0,N($N567)&lt;=0,N($R567)+N($S567)&lt;=0),0,1)))))</f>
        <v/>
      </c>
      <c r="AA567" s="21">
        <f>IF(AND($A567="",$B567=""),"",IF($E567="","Site type missing",IF($H567="","STATUS missing",IF($H567="Proposed","STATUS = Proposed",IF($H567="Not Reported","STATUS = Not Reported",IF(AND($P567="Y",$Q567&lt;&gt;"Y"),"UNESCO-MAB Biosphere Reserve",IF(AND($K567="Point",N($L567)&lt;=0),"Point without REP_AREA",IF(AND(N($L567)&lt;=0,N($N567)&lt;=0,N($R567)+N($S567)&lt;=0),"No area information",""))))))))</f>
        <v/>
      </c>
      <c r="AB567" s="22">
        <f>IF(AND($A567="",$B567=""),"",IF($K567="Point",N($L567),IF(N($N567)&gt;0,N($N567),N($L567))))</f>
        <v/>
      </c>
      <c r="AC567" s="22">
        <f>IF(AND($A567="",$B567=""),"",MIN(AB567,IF(N($J567)=0,0,IF(N($J567)=2,AB567,IF(AND($K567&lt;&gt;"Point",N($O567)&gt;0),N($O567),N($M567))))))</f>
        <v/>
      </c>
      <c r="AD567" s="22">
        <f>IF(AND($A567="",$B567=""),"",MAX(0,AB567-AC567))</f>
        <v/>
      </c>
      <c r="AE567" s="21">
        <f>IF(AND($A567="",$B567=""),"",IF(OR($R567&lt;&gt;"",$S567&lt;&gt;""),1,0))</f>
        <v/>
      </c>
      <c r="AF567" s="22">
        <f>IF(AND($A567="",$B567=""),"",IF(Z567=1,IF(AE567=1,N($R567),AD567),0))</f>
        <v/>
      </c>
      <c r="AG567" s="22">
        <f>IF(AND($A567="",$B567=""),"",IF(Z567=1,IF(AE567=1,N($S567),AC567),0))</f>
        <v/>
      </c>
      <c r="AH567" s="21">
        <f>IF(AND($A567="",$B567=""),"",IF(AND(ISNUMBER($I567),N($I567)&gt;0),$I567,0))</f>
        <v/>
      </c>
      <c r="AI567" s="23">
        <f>IF(AND(NOT(AND($A567="",$B567="")),$K567="Point",N($L567)&gt;0),SQRT(N($L567)/PI()),"")</f>
        <v/>
      </c>
      <c r="AJ567" s="21">
        <f>IF(AND($A567="",$B567=""),"",IFERROR(VLOOKUP($G567,Lists!$D$4:$E$15,2,FALSE),"Not reported"))</f>
        <v/>
      </c>
      <c r="AK567" s="21">
        <f>IF(AND($A567="",$B567=""),"",IF($X567&lt;&gt;"",$X567,IF($T567&lt;&gt;"Y","Not assessed",IF(AND(ISNUMBER($V567),Setup!$B$6-$V567&gt;Setup!$B$26),"Assessment outdated",IF(NOT(ISNUMBER($W567)),"Assessed – no score",IF($W567&gt;=Setup!$B$24,"High",IF($W567&gt;=Setup!$B$25,"Moderate","Low")))))))</f>
        <v/>
      </c>
      <c r="AL567" s="21">
        <f>IF(AND($A567="",$B567=""),"",IF(Z567=0,"",IF(AND(AE567=1,N($R567)&gt;AD567*1.01+0.001),"Net terrestrial &gt; gross; ","")&amp;IF(AND(AE567=1,N($S567)&gt;AC567*1.01+0.001),"Net marine &gt; gross; ","")&amp;IF(AE567=0,"No net area – gross used, overlaps may be double-counted; ","")&amp;IF(AH567=0,"STATUS_YR missing – imputed in time series; ","")&amp;IF(AND(ISNUMBER($I567),N($I567)&gt;Setup!$B$6),"STATUS_YR after reporting year; ","")&amp;IF(OR($G567="",$G567="Not Reported"),"GOV_TYPE not reported; ","")&amp;IF(AND(N($J567)=1,$K567="Point",N($M567)&lt;=0),"Coastal point without REP_M_AREA – land/sea split unknown; ","")&amp;IF(AND(N($J567)=0,N($S567)&gt;0),"MARINE=0 but net marine &gt;0; ","")&amp;IF(AND(N($J567)=2,N($R567)&gt;0),"MARINE=2 but net terrestrial &gt;0; ","")&amp;IF($K567="Point","Buffered point – coverage approximate; ","")))</f>
        <v/>
      </c>
    </row>
    <row r="568">
      <c r="A568" s="19" t="n"/>
      <c r="B568" s="19" t="n"/>
      <c r="C568" s="19" t="n"/>
      <c r="D568" s="19" t="n"/>
      <c r="E568" s="19" t="n"/>
      <c r="F568" s="19" t="n"/>
      <c r="G568" s="19" t="n"/>
      <c r="H568" s="19" t="n"/>
      <c r="I568" s="19" t="n"/>
      <c r="J568" s="19" t="n"/>
      <c r="K568" s="19" t="n"/>
      <c r="L568" s="20" t="n"/>
      <c r="M568" s="20" t="n"/>
      <c r="N568" s="20" t="n"/>
      <c r="O568" s="20" t="n"/>
      <c r="P568" s="19" t="n"/>
      <c r="Q568" s="19" t="n"/>
      <c r="R568" s="20" t="n"/>
      <c r="S568" s="20" t="n"/>
      <c r="T568" s="19" t="n"/>
      <c r="U568" s="19" t="n"/>
      <c r="V568" s="19" t="n"/>
      <c r="W568" s="19" t="n"/>
      <c r="X568" s="19" t="n"/>
      <c r="Y568" s="19" t="n"/>
      <c r="Z568" s="21">
        <f>IF(AND($A568="",$B568=""),"",IF(OR($E568="",$H568="",$H568="Proposed",$H568="Not Reported"),0,IF(AND($P568="Y",$Q568&lt;&gt;"Y"),0,IF(AND($K568="Point",N($L568)&lt;=0),0,IF(AND(N($L568)&lt;=0,N($N568)&lt;=0,N($R568)+N($S568)&lt;=0),0,1)))))</f>
        <v/>
      </c>
      <c r="AA568" s="21">
        <f>IF(AND($A568="",$B568=""),"",IF($E568="","Site type missing",IF($H568="","STATUS missing",IF($H568="Proposed","STATUS = Proposed",IF($H568="Not Reported","STATUS = Not Reported",IF(AND($P568="Y",$Q568&lt;&gt;"Y"),"UNESCO-MAB Biosphere Reserve",IF(AND($K568="Point",N($L568)&lt;=0),"Point without REP_AREA",IF(AND(N($L568)&lt;=0,N($N568)&lt;=0,N($R568)+N($S568)&lt;=0),"No area information",""))))))))</f>
        <v/>
      </c>
      <c r="AB568" s="22">
        <f>IF(AND($A568="",$B568=""),"",IF($K568="Point",N($L568),IF(N($N568)&gt;0,N($N568),N($L568))))</f>
        <v/>
      </c>
      <c r="AC568" s="22">
        <f>IF(AND($A568="",$B568=""),"",MIN(AB568,IF(N($J568)=0,0,IF(N($J568)=2,AB568,IF(AND($K568&lt;&gt;"Point",N($O568)&gt;0),N($O568),N($M568))))))</f>
        <v/>
      </c>
      <c r="AD568" s="22">
        <f>IF(AND($A568="",$B568=""),"",MAX(0,AB568-AC568))</f>
        <v/>
      </c>
      <c r="AE568" s="21">
        <f>IF(AND($A568="",$B568=""),"",IF(OR($R568&lt;&gt;"",$S568&lt;&gt;""),1,0))</f>
        <v/>
      </c>
      <c r="AF568" s="22">
        <f>IF(AND($A568="",$B568=""),"",IF(Z568=1,IF(AE568=1,N($R568),AD568),0))</f>
        <v/>
      </c>
      <c r="AG568" s="22">
        <f>IF(AND($A568="",$B568=""),"",IF(Z568=1,IF(AE568=1,N($S568),AC568),0))</f>
        <v/>
      </c>
      <c r="AH568" s="21">
        <f>IF(AND($A568="",$B568=""),"",IF(AND(ISNUMBER($I568),N($I568)&gt;0),$I568,0))</f>
        <v/>
      </c>
      <c r="AI568" s="23">
        <f>IF(AND(NOT(AND($A568="",$B568="")),$K568="Point",N($L568)&gt;0),SQRT(N($L568)/PI()),"")</f>
        <v/>
      </c>
      <c r="AJ568" s="21">
        <f>IF(AND($A568="",$B568=""),"",IFERROR(VLOOKUP($G568,Lists!$D$4:$E$15,2,FALSE),"Not reported"))</f>
        <v/>
      </c>
      <c r="AK568" s="21">
        <f>IF(AND($A568="",$B568=""),"",IF($X568&lt;&gt;"",$X568,IF($T568&lt;&gt;"Y","Not assessed",IF(AND(ISNUMBER($V568),Setup!$B$6-$V568&gt;Setup!$B$26),"Assessment outdated",IF(NOT(ISNUMBER($W568)),"Assessed – no score",IF($W568&gt;=Setup!$B$24,"High",IF($W568&gt;=Setup!$B$25,"Moderate","Low")))))))</f>
        <v/>
      </c>
      <c r="AL568" s="21">
        <f>IF(AND($A568="",$B568=""),"",IF(Z568=0,"",IF(AND(AE568=1,N($R568)&gt;AD568*1.01+0.001),"Net terrestrial &gt; gross; ","")&amp;IF(AND(AE568=1,N($S568)&gt;AC568*1.01+0.001),"Net marine &gt; gross; ","")&amp;IF(AE568=0,"No net area – gross used, overlaps may be double-counted; ","")&amp;IF(AH568=0,"STATUS_YR missing – imputed in time series; ","")&amp;IF(AND(ISNUMBER($I568),N($I568)&gt;Setup!$B$6),"STATUS_YR after reporting year; ","")&amp;IF(OR($G568="",$G568="Not Reported"),"GOV_TYPE not reported; ","")&amp;IF(AND(N($J568)=1,$K568="Point",N($M568)&lt;=0),"Coastal point without REP_M_AREA – land/sea split unknown; ","")&amp;IF(AND(N($J568)=0,N($S568)&gt;0),"MARINE=0 but net marine &gt;0; ","")&amp;IF(AND(N($J568)=2,N($R568)&gt;0),"MARINE=2 but net terrestrial &gt;0; ","")&amp;IF($K568="Point","Buffered point – coverage approximate; ","")))</f>
        <v/>
      </c>
    </row>
    <row r="569">
      <c r="A569" s="19" t="n"/>
      <c r="B569" s="19" t="n"/>
      <c r="C569" s="19" t="n"/>
      <c r="D569" s="19" t="n"/>
      <c r="E569" s="19" t="n"/>
      <c r="F569" s="19" t="n"/>
      <c r="G569" s="19" t="n"/>
      <c r="H569" s="19" t="n"/>
      <c r="I569" s="19" t="n"/>
      <c r="J569" s="19" t="n"/>
      <c r="K569" s="19" t="n"/>
      <c r="L569" s="20" t="n"/>
      <c r="M569" s="20" t="n"/>
      <c r="N569" s="20" t="n"/>
      <c r="O569" s="20" t="n"/>
      <c r="P569" s="19" t="n"/>
      <c r="Q569" s="19" t="n"/>
      <c r="R569" s="20" t="n"/>
      <c r="S569" s="20" t="n"/>
      <c r="T569" s="19" t="n"/>
      <c r="U569" s="19" t="n"/>
      <c r="V569" s="19" t="n"/>
      <c r="W569" s="19" t="n"/>
      <c r="X569" s="19" t="n"/>
      <c r="Y569" s="19" t="n"/>
      <c r="Z569" s="21">
        <f>IF(AND($A569="",$B569=""),"",IF(OR($E569="",$H569="",$H569="Proposed",$H569="Not Reported"),0,IF(AND($P569="Y",$Q569&lt;&gt;"Y"),0,IF(AND($K569="Point",N($L569)&lt;=0),0,IF(AND(N($L569)&lt;=0,N($N569)&lt;=0,N($R569)+N($S569)&lt;=0),0,1)))))</f>
        <v/>
      </c>
      <c r="AA569" s="21">
        <f>IF(AND($A569="",$B569=""),"",IF($E569="","Site type missing",IF($H569="","STATUS missing",IF($H569="Proposed","STATUS = Proposed",IF($H569="Not Reported","STATUS = Not Reported",IF(AND($P569="Y",$Q569&lt;&gt;"Y"),"UNESCO-MAB Biosphere Reserve",IF(AND($K569="Point",N($L569)&lt;=0),"Point without REP_AREA",IF(AND(N($L569)&lt;=0,N($N569)&lt;=0,N($R569)+N($S569)&lt;=0),"No area information",""))))))))</f>
        <v/>
      </c>
      <c r="AB569" s="22">
        <f>IF(AND($A569="",$B569=""),"",IF($K569="Point",N($L569),IF(N($N569)&gt;0,N($N569),N($L569))))</f>
        <v/>
      </c>
      <c r="AC569" s="22">
        <f>IF(AND($A569="",$B569=""),"",MIN(AB569,IF(N($J569)=0,0,IF(N($J569)=2,AB569,IF(AND($K569&lt;&gt;"Point",N($O569)&gt;0),N($O569),N($M569))))))</f>
        <v/>
      </c>
      <c r="AD569" s="22">
        <f>IF(AND($A569="",$B569=""),"",MAX(0,AB569-AC569))</f>
        <v/>
      </c>
      <c r="AE569" s="21">
        <f>IF(AND($A569="",$B569=""),"",IF(OR($R569&lt;&gt;"",$S569&lt;&gt;""),1,0))</f>
        <v/>
      </c>
      <c r="AF569" s="22">
        <f>IF(AND($A569="",$B569=""),"",IF(Z569=1,IF(AE569=1,N($R569),AD569),0))</f>
        <v/>
      </c>
      <c r="AG569" s="22">
        <f>IF(AND($A569="",$B569=""),"",IF(Z569=1,IF(AE569=1,N($S569),AC569),0))</f>
        <v/>
      </c>
      <c r="AH569" s="21">
        <f>IF(AND($A569="",$B569=""),"",IF(AND(ISNUMBER($I569),N($I569)&gt;0),$I569,0))</f>
        <v/>
      </c>
      <c r="AI569" s="23">
        <f>IF(AND(NOT(AND($A569="",$B569="")),$K569="Point",N($L569)&gt;0),SQRT(N($L569)/PI()),"")</f>
        <v/>
      </c>
      <c r="AJ569" s="21">
        <f>IF(AND($A569="",$B569=""),"",IFERROR(VLOOKUP($G569,Lists!$D$4:$E$15,2,FALSE),"Not reported"))</f>
        <v/>
      </c>
      <c r="AK569" s="21">
        <f>IF(AND($A569="",$B569=""),"",IF($X569&lt;&gt;"",$X569,IF($T569&lt;&gt;"Y","Not assessed",IF(AND(ISNUMBER($V569),Setup!$B$6-$V569&gt;Setup!$B$26),"Assessment outdated",IF(NOT(ISNUMBER($W569)),"Assessed – no score",IF($W569&gt;=Setup!$B$24,"High",IF($W569&gt;=Setup!$B$25,"Moderate","Low")))))))</f>
        <v/>
      </c>
      <c r="AL569" s="21">
        <f>IF(AND($A569="",$B569=""),"",IF(Z569=0,"",IF(AND(AE569=1,N($R569)&gt;AD569*1.01+0.001),"Net terrestrial &gt; gross; ","")&amp;IF(AND(AE569=1,N($S569)&gt;AC569*1.01+0.001),"Net marine &gt; gross; ","")&amp;IF(AE569=0,"No net area – gross used, overlaps may be double-counted; ","")&amp;IF(AH569=0,"STATUS_YR missing – imputed in time series; ","")&amp;IF(AND(ISNUMBER($I569),N($I569)&gt;Setup!$B$6),"STATUS_YR after reporting year; ","")&amp;IF(OR($G569="",$G569="Not Reported"),"GOV_TYPE not reported; ","")&amp;IF(AND(N($J569)=1,$K569="Point",N($M569)&lt;=0),"Coastal point without REP_M_AREA – land/sea split unknown; ","")&amp;IF(AND(N($J569)=0,N($S569)&gt;0),"MARINE=0 but net marine &gt;0; ","")&amp;IF(AND(N($J569)=2,N($R569)&gt;0),"MARINE=2 but net terrestrial &gt;0; ","")&amp;IF($K569="Point","Buffered point – coverage approximate; ","")))</f>
        <v/>
      </c>
    </row>
    <row r="570">
      <c r="A570" s="19" t="n"/>
      <c r="B570" s="19" t="n"/>
      <c r="C570" s="19" t="n"/>
      <c r="D570" s="19" t="n"/>
      <c r="E570" s="19" t="n"/>
      <c r="F570" s="19" t="n"/>
      <c r="G570" s="19" t="n"/>
      <c r="H570" s="19" t="n"/>
      <c r="I570" s="19" t="n"/>
      <c r="J570" s="19" t="n"/>
      <c r="K570" s="19" t="n"/>
      <c r="L570" s="20" t="n"/>
      <c r="M570" s="20" t="n"/>
      <c r="N570" s="20" t="n"/>
      <c r="O570" s="20" t="n"/>
      <c r="P570" s="19" t="n"/>
      <c r="Q570" s="19" t="n"/>
      <c r="R570" s="20" t="n"/>
      <c r="S570" s="20" t="n"/>
      <c r="T570" s="19" t="n"/>
      <c r="U570" s="19" t="n"/>
      <c r="V570" s="19" t="n"/>
      <c r="W570" s="19" t="n"/>
      <c r="X570" s="19" t="n"/>
      <c r="Y570" s="19" t="n"/>
      <c r="Z570" s="21">
        <f>IF(AND($A570="",$B570=""),"",IF(OR($E570="",$H570="",$H570="Proposed",$H570="Not Reported"),0,IF(AND($P570="Y",$Q570&lt;&gt;"Y"),0,IF(AND($K570="Point",N($L570)&lt;=0),0,IF(AND(N($L570)&lt;=0,N($N570)&lt;=0,N($R570)+N($S570)&lt;=0),0,1)))))</f>
        <v/>
      </c>
      <c r="AA570" s="21">
        <f>IF(AND($A570="",$B570=""),"",IF($E570="","Site type missing",IF($H570="","STATUS missing",IF($H570="Proposed","STATUS = Proposed",IF($H570="Not Reported","STATUS = Not Reported",IF(AND($P570="Y",$Q570&lt;&gt;"Y"),"UNESCO-MAB Biosphere Reserve",IF(AND($K570="Point",N($L570)&lt;=0),"Point without REP_AREA",IF(AND(N($L570)&lt;=0,N($N570)&lt;=0,N($R570)+N($S570)&lt;=0),"No area information",""))))))))</f>
        <v/>
      </c>
      <c r="AB570" s="22">
        <f>IF(AND($A570="",$B570=""),"",IF($K570="Point",N($L570),IF(N($N570)&gt;0,N($N570),N($L570))))</f>
        <v/>
      </c>
      <c r="AC570" s="22">
        <f>IF(AND($A570="",$B570=""),"",MIN(AB570,IF(N($J570)=0,0,IF(N($J570)=2,AB570,IF(AND($K570&lt;&gt;"Point",N($O570)&gt;0),N($O570),N($M570))))))</f>
        <v/>
      </c>
      <c r="AD570" s="22">
        <f>IF(AND($A570="",$B570=""),"",MAX(0,AB570-AC570))</f>
        <v/>
      </c>
      <c r="AE570" s="21">
        <f>IF(AND($A570="",$B570=""),"",IF(OR($R570&lt;&gt;"",$S570&lt;&gt;""),1,0))</f>
        <v/>
      </c>
      <c r="AF570" s="22">
        <f>IF(AND($A570="",$B570=""),"",IF(Z570=1,IF(AE570=1,N($R570),AD570),0))</f>
        <v/>
      </c>
      <c r="AG570" s="22">
        <f>IF(AND($A570="",$B570=""),"",IF(Z570=1,IF(AE570=1,N($S570),AC570),0))</f>
        <v/>
      </c>
      <c r="AH570" s="21">
        <f>IF(AND($A570="",$B570=""),"",IF(AND(ISNUMBER($I570),N($I570)&gt;0),$I570,0))</f>
        <v/>
      </c>
      <c r="AI570" s="23">
        <f>IF(AND(NOT(AND($A570="",$B570="")),$K570="Point",N($L570)&gt;0),SQRT(N($L570)/PI()),"")</f>
        <v/>
      </c>
      <c r="AJ570" s="21">
        <f>IF(AND($A570="",$B570=""),"",IFERROR(VLOOKUP($G570,Lists!$D$4:$E$15,2,FALSE),"Not reported"))</f>
        <v/>
      </c>
      <c r="AK570" s="21">
        <f>IF(AND($A570="",$B570=""),"",IF($X570&lt;&gt;"",$X570,IF($T570&lt;&gt;"Y","Not assessed",IF(AND(ISNUMBER($V570),Setup!$B$6-$V570&gt;Setup!$B$26),"Assessment outdated",IF(NOT(ISNUMBER($W570)),"Assessed – no score",IF($W570&gt;=Setup!$B$24,"High",IF($W570&gt;=Setup!$B$25,"Moderate","Low")))))))</f>
        <v/>
      </c>
      <c r="AL570" s="21">
        <f>IF(AND($A570="",$B570=""),"",IF(Z570=0,"",IF(AND(AE570=1,N($R570)&gt;AD570*1.01+0.001),"Net terrestrial &gt; gross; ","")&amp;IF(AND(AE570=1,N($S570)&gt;AC570*1.01+0.001),"Net marine &gt; gross; ","")&amp;IF(AE570=0,"No net area – gross used, overlaps may be double-counted; ","")&amp;IF(AH570=0,"STATUS_YR missing – imputed in time series; ","")&amp;IF(AND(ISNUMBER($I570),N($I570)&gt;Setup!$B$6),"STATUS_YR after reporting year; ","")&amp;IF(OR($G570="",$G570="Not Reported"),"GOV_TYPE not reported; ","")&amp;IF(AND(N($J570)=1,$K570="Point",N($M570)&lt;=0),"Coastal point without REP_M_AREA – land/sea split unknown; ","")&amp;IF(AND(N($J570)=0,N($S570)&gt;0),"MARINE=0 but net marine &gt;0; ","")&amp;IF(AND(N($J570)=2,N($R570)&gt;0),"MARINE=2 but net terrestrial &gt;0; ","")&amp;IF($K570="Point","Buffered point – coverage approximate; ","")))</f>
        <v/>
      </c>
    </row>
    <row r="571">
      <c r="A571" s="19" t="n"/>
      <c r="B571" s="19" t="n"/>
      <c r="C571" s="19" t="n"/>
      <c r="D571" s="19" t="n"/>
      <c r="E571" s="19" t="n"/>
      <c r="F571" s="19" t="n"/>
      <c r="G571" s="19" t="n"/>
      <c r="H571" s="19" t="n"/>
      <c r="I571" s="19" t="n"/>
      <c r="J571" s="19" t="n"/>
      <c r="K571" s="19" t="n"/>
      <c r="L571" s="20" t="n"/>
      <c r="M571" s="20" t="n"/>
      <c r="N571" s="20" t="n"/>
      <c r="O571" s="20" t="n"/>
      <c r="P571" s="19" t="n"/>
      <c r="Q571" s="19" t="n"/>
      <c r="R571" s="20" t="n"/>
      <c r="S571" s="20" t="n"/>
      <c r="T571" s="19" t="n"/>
      <c r="U571" s="19" t="n"/>
      <c r="V571" s="19" t="n"/>
      <c r="W571" s="19" t="n"/>
      <c r="X571" s="19" t="n"/>
      <c r="Y571" s="19" t="n"/>
      <c r="Z571" s="21">
        <f>IF(AND($A571="",$B571=""),"",IF(OR($E571="",$H571="",$H571="Proposed",$H571="Not Reported"),0,IF(AND($P571="Y",$Q571&lt;&gt;"Y"),0,IF(AND($K571="Point",N($L571)&lt;=0),0,IF(AND(N($L571)&lt;=0,N($N571)&lt;=0,N($R571)+N($S571)&lt;=0),0,1)))))</f>
        <v/>
      </c>
      <c r="AA571" s="21">
        <f>IF(AND($A571="",$B571=""),"",IF($E571="","Site type missing",IF($H571="","STATUS missing",IF($H571="Proposed","STATUS = Proposed",IF($H571="Not Reported","STATUS = Not Reported",IF(AND($P571="Y",$Q571&lt;&gt;"Y"),"UNESCO-MAB Biosphere Reserve",IF(AND($K571="Point",N($L571)&lt;=0),"Point without REP_AREA",IF(AND(N($L571)&lt;=0,N($N571)&lt;=0,N($R571)+N($S571)&lt;=0),"No area information",""))))))))</f>
        <v/>
      </c>
      <c r="AB571" s="22">
        <f>IF(AND($A571="",$B571=""),"",IF($K571="Point",N($L571),IF(N($N571)&gt;0,N($N571),N($L571))))</f>
        <v/>
      </c>
      <c r="AC571" s="22">
        <f>IF(AND($A571="",$B571=""),"",MIN(AB571,IF(N($J571)=0,0,IF(N($J571)=2,AB571,IF(AND($K571&lt;&gt;"Point",N($O571)&gt;0),N($O571),N($M571))))))</f>
        <v/>
      </c>
      <c r="AD571" s="22">
        <f>IF(AND($A571="",$B571=""),"",MAX(0,AB571-AC571))</f>
        <v/>
      </c>
      <c r="AE571" s="21">
        <f>IF(AND($A571="",$B571=""),"",IF(OR($R571&lt;&gt;"",$S571&lt;&gt;""),1,0))</f>
        <v/>
      </c>
      <c r="AF571" s="22">
        <f>IF(AND($A571="",$B571=""),"",IF(Z571=1,IF(AE571=1,N($R571),AD571),0))</f>
        <v/>
      </c>
      <c r="AG571" s="22">
        <f>IF(AND($A571="",$B571=""),"",IF(Z571=1,IF(AE571=1,N($S571),AC571),0))</f>
        <v/>
      </c>
      <c r="AH571" s="21">
        <f>IF(AND($A571="",$B571=""),"",IF(AND(ISNUMBER($I571),N($I571)&gt;0),$I571,0))</f>
        <v/>
      </c>
      <c r="AI571" s="23">
        <f>IF(AND(NOT(AND($A571="",$B571="")),$K571="Point",N($L571)&gt;0),SQRT(N($L571)/PI()),"")</f>
        <v/>
      </c>
      <c r="AJ571" s="21">
        <f>IF(AND($A571="",$B571=""),"",IFERROR(VLOOKUP($G571,Lists!$D$4:$E$15,2,FALSE),"Not reported"))</f>
        <v/>
      </c>
      <c r="AK571" s="21">
        <f>IF(AND($A571="",$B571=""),"",IF($X571&lt;&gt;"",$X571,IF($T571&lt;&gt;"Y","Not assessed",IF(AND(ISNUMBER($V571),Setup!$B$6-$V571&gt;Setup!$B$26),"Assessment outdated",IF(NOT(ISNUMBER($W571)),"Assessed – no score",IF($W571&gt;=Setup!$B$24,"High",IF($W571&gt;=Setup!$B$25,"Moderate","Low")))))))</f>
        <v/>
      </c>
      <c r="AL571" s="21">
        <f>IF(AND($A571="",$B571=""),"",IF(Z571=0,"",IF(AND(AE571=1,N($R571)&gt;AD571*1.01+0.001),"Net terrestrial &gt; gross; ","")&amp;IF(AND(AE571=1,N($S571)&gt;AC571*1.01+0.001),"Net marine &gt; gross; ","")&amp;IF(AE571=0,"No net area – gross used, overlaps may be double-counted; ","")&amp;IF(AH571=0,"STATUS_YR missing – imputed in time series; ","")&amp;IF(AND(ISNUMBER($I571),N($I571)&gt;Setup!$B$6),"STATUS_YR after reporting year; ","")&amp;IF(OR($G571="",$G571="Not Reported"),"GOV_TYPE not reported; ","")&amp;IF(AND(N($J571)=1,$K571="Point",N($M571)&lt;=0),"Coastal point without REP_M_AREA – land/sea split unknown; ","")&amp;IF(AND(N($J571)=0,N($S571)&gt;0),"MARINE=0 but net marine &gt;0; ","")&amp;IF(AND(N($J571)=2,N($R571)&gt;0),"MARINE=2 but net terrestrial &gt;0; ","")&amp;IF($K571="Point","Buffered point – coverage approximate; ","")))</f>
        <v/>
      </c>
    </row>
    <row r="572">
      <c r="A572" s="19" t="n"/>
      <c r="B572" s="19" t="n"/>
      <c r="C572" s="19" t="n"/>
      <c r="D572" s="19" t="n"/>
      <c r="E572" s="19" t="n"/>
      <c r="F572" s="19" t="n"/>
      <c r="G572" s="19" t="n"/>
      <c r="H572" s="19" t="n"/>
      <c r="I572" s="19" t="n"/>
      <c r="J572" s="19" t="n"/>
      <c r="K572" s="19" t="n"/>
      <c r="L572" s="20" t="n"/>
      <c r="M572" s="20" t="n"/>
      <c r="N572" s="20" t="n"/>
      <c r="O572" s="20" t="n"/>
      <c r="P572" s="19" t="n"/>
      <c r="Q572" s="19" t="n"/>
      <c r="R572" s="20" t="n"/>
      <c r="S572" s="20" t="n"/>
      <c r="T572" s="19" t="n"/>
      <c r="U572" s="19" t="n"/>
      <c r="V572" s="19" t="n"/>
      <c r="W572" s="19" t="n"/>
      <c r="X572" s="19" t="n"/>
      <c r="Y572" s="19" t="n"/>
      <c r="Z572" s="21">
        <f>IF(AND($A572="",$B572=""),"",IF(OR($E572="",$H572="",$H572="Proposed",$H572="Not Reported"),0,IF(AND($P572="Y",$Q572&lt;&gt;"Y"),0,IF(AND($K572="Point",N($L572)&lt;=0),0,IF(AND(N($L572)&lt;=0,N($N572)&lt;=0,N($R572)+N($S572)&lt;=0),0,1)))))</f>
        <v/>
      </c>
      <c r="AA572" s="21">
        <f>IF(AND($A572="",$B572=""),"",IF($E572="","Site type missing",IF($H572="","STATUS missing",IF($H572="Proposed","STATUS = Proposed",IF($H572="Not Reported","STATUS = Not Reported",IF(AND($P572="Y",$Q572&lt;&gt;"Y"),"UNESCO-MAB Biosphere Reserve",IF(AND($K572="Point",N($L572)&lt;=0),"Point without REP_AREA",IF(AND(N($L572)&lt;=0,N($N572)&lt;=0,N($R572)+N($S572)&lt;=0),"No area information",""))))))))</f>
        <v/>
      </c>
      <c r="AB572" s="22">
        <f>IF(AND($A572="",$B572=""),"",IF($K572="Point",N($L572),IF(N($N572)&gt;0,N($N572),N($L572))))</f>
        <v/>
      </c>
      <c r="AC572" s="22">
        <f>IF(AND($A572="",$B572=""),"",MIN(AB572,IF(N($J572)=0,0,IF(N($J572)=2,AB572,IF(AND($K572&lt;&gt;"Point",N($O572)&gt;0),N($O572),N($M572))))))</f>
        <v/>
      </c>
      <c r="AD572" s="22">
        <f>IF(AND($A572="",$B572=""),"",MAX(0,AB572-AC572))</f>
        <v/>
      </c>
      <c r="AE572" s="21">
        <f>IF(AND($A572="",$B572=""),"",IF(OR($R572&lt;&gt;"",$S572&lt;&gt;""),1,0))</f>
        <v/>
      </c>
      <c r="AF572" s="22">
        <f>IF(AND($A572="",$B572=""),"",IF(Z572=1,IF(AE572=1,N($R572),AD572),0))</f>
        <v/>
      </c>
      <c r="AG572" s="22">
        <f>IF(AND($A572="",$B572=""),"",IF(Z572=1,IF(AE572=1,N($S572),AC572),0))</f>
        <v/>
      </c>
      <c r="AH572" s="21">
        <f>IF(AND($A572="",$B572=""),"",IF(AND(ISNUMBER($I572),N($I572)&gt;0),$I572,0))</f>
        <v/>
      </c>
      <c r="AI572" s="23">
        <f>IF(AND(NOT(AND($A572="",$B572="")),$K572="Point",N($L572)&gt;0),SQRT(N($L572)/PI()),"")</f>
        <v/>
      </c>
      <c r="AJ572" s="21">
        <f>IF(AND($A572="",$B572=""),"",IFERROR(VLOOKUP($G572,Lists!$D$4:$E$15,2,FALSE),"Not reported"))</f>
        <v/>
      </c>
      <c r="AK572" s="21">
        <f>IF(AND($A572="",$B572=""),"",IF($X572&lt;&gt;"",$X572,IF($T572&lt;&gt;"Y","Not assessed",IF(AND(ISNUMBER($V572),Setup!$B$6-$V572&gt;Setup!$B$26),"Assessment outdated",IF(NOT(ISNUMBER($W572)),"Assessed – no score",IF($W572&gt;=Setup!$B$24,"High",IF($W572&gt;=Setup!$B$25,"Moderate","Low")))))))</f>
        <v/>
      </c>
      <c r="AL572" s="21">
        <f>IF(AND($A572="",$B572=""),"",IF(Z572=0,"",IF(AND(AE572=1,N($R572)&gt;AD572*1.01+0.001),"Net terrestrial &gt; gross; ","")&amp;IF(AND(AE572=1,N($S572)&gt;AC572*1.01+0.001),"Net marine &gt; gross; ","")&amp;IF(AE572=0,"No net area – gross used, overlaps may be double-counted; ","")&amp;IF(AH572=0,"STATUS_YR missing – imputed in time series; ","")&amp;IF(AND(ISNUMBER($I572),N($I572)&gt;Setup!$B$6),"STATUS_YR after reporting year; ","")&amp;IF(OR($G572="",$G572="Not Reported"),"GOV_TYPE not reported; ","")&amp;IF(AND(N($J572)=1,$K572="Point",N($M572)&lt;=0),"Coastal point without REP_M_AREA – land/sea split unknown; ","")&amp;IF(AND(N($J572)=0,N($S572)&gt;0),"MARINE=0 but net marine &gt;0; ","")&amp;IF(AND(N($J572)=2,N($R572)&gt;0),"MARINE=2 but net terrestrial &gt;0; ","")&amp;IF($K572="Point","Buffered point – coverage approximate; ","")))</f>
        <v/>
      </c>
    </row>
    <row r="573">
      <c r="A573" s="19" t="n"/>
      <c r="B573" s="19" t="n"/>
      <c r="C573" s="19" t="n"/>
      <c r="D573" s="19" t="n"/>
      <c r="E573" s="19" t="n"/>
      <c r="F573" s="19" t="n"/>
      <c r="G573" s="19" t="n"/>
      <c r="H573" s="19" t="n"/>
      <c r="I573" s="19" t="n"/>
      <c r="J573" s="19" t="n"/>
      <c r="K573" s="19" t="n"/>
      <c r="L573" s="20" t="n"/>
      <c r="M573" s="20" t="n"/>
      <c r="N573" s="20" t="n"/>
      <c r="O573" s="20" t="n"/>
      <c r="P573" s="19" t="n"/>
      <c r="Q573" s="19" t="n"/>
      <c r="R573" s="20" t="n"/>
      <c r="S573" s="20" t="n"/>
      <c r="T573" s="19" t="n"/>
      <c r="U573" s="19" t="n"/>
      <c r="V573" s="19" t="n"/>
      <c r="W573" s="19" t="n"/>
      <c r="X573" s="19" t="n"/>
      <c r="Y573" s="19" t="n"/>
      <c r="Z573" s="21">
        <f>IF(AND($A573="",$B573=""),"",IF(OR($E573="",$H573="",$H573="Proposed",$H573="Not Reported"),0,IF(AND($P573="Y",$Q573&lt;&gt;"Y"),0,IF(AND($K573="Point",N($L573)&lt;=0),0,IF(AND(N($L573)&lt;=0,N($N573)&lt;=0,N($R573)+N($S573)&lt;=0),0,1)))))</f>
        <v/>
      </c>
      <c r="AA573" s="21">
        <f>IF(AND($A573="",$B573=""),"",IF($E573="","Site type missing",IF($H573="","STATUS missing",IF($H573="Proposed","STATUS = Proposed",IF($H573="Not Reported","STATUS = Not Reported",IF(AND($P573="Y",$Q573&lt;&gt;"Y"),"UNESCO-MAB Biosphere Reserve",IF(AND($K573="Point",N($L573)&lt;=0),"Point without REP_AREA",IF(AND(N($L573)&lt;=0,N($N573)&lt;=0,N($R573)+N($S573)&lt;=0),"No area information",""))))))))</f>
        <v/>
      </c>
      <c r="AB573" s="22">
        <f>IF(AND($A573="",$B573=""),"",IF($K573="Point",N($L573),IF(N($N573)&gt;0,N($N573),N($L573))))</f>
        <v/>
      </c>
      <c r="AC573" s="22">
        <f>IF(AND($A573="",$B573=""),"",MIN(AB573,IF(N($J573)=0,0,IF(N($J573)=2,AB573,IF(AND($K573&lt;&gt;"Point",N($O573)&gt;0),N($O573),N($M573))))))</f>
        <v/>
      </c>
      <c r="AD573" s="22">
        <f>IF(AND($A573="",$B573=""),"",MAX(0,AB573-AC573))</f>
        <v/>
      </c>
      <c r="AE573" s="21">
        <f>IF(AND($A573="",$B573=""),"",IF(OR($R573&lt;&gt;"",$S573&lt;&gt;""),1,0))</f>
        <v/>
      </c>
      <c r="AF573" s="22">
        <f>IF(AND($A573="",$B573=""),"",IF(Z573=1,IF(AE573=1,N($R573),AD573),0))</f>
        <v/>
      </c>
      <c r="AG573" s="22">
        <f>IF(AND($A573="",$B573=""),"",IF(Z573=1,IF(AE573=1,N($S573),AC573),0))</f>
        <v/>
      </c>
      <c r="AH573" s="21">
        <f>IF(AND($A573="",$B573=""),"",IF(AND(ISNUMBER($I573),N($I573)&gt;0),$I573,0))</f>
        <v/>
      </c>
      <c r="AI573" s="23">
        <f>IF(AND(NOT(AND($A573="",$B573="")),$K573="Point",N($L573)&gt;0),SQRT(N($L573)/PI()),"")</f>
        <v/>
      </c>
      <c r="AJ573" s="21">
        <f>IF(AND($A573="",$B573=""),"",IFERROR(VLOOKUP($G573,Lists!$D$4:$E$15,2,FALSE),"Not reported"))</f>
        <v/>
      </c>
      <c r="AK573" s="21">
        <f>IF(AND($A573="",$B573=""),"",IF($X573&lt;&gt;"",$X573,IF($T573&lt;&gt;"Y","Not assessed",IF(AND(ISNUMBER($V573),Setup!$B$6-$V573&gt;Setup!$B$26),"Assessment outdated",IF(NOT(ISNUMBER($W573)),"Assessed – no score",IF($W573&gt;=Setup!$B$24,"High",IF($W573&gt;=Setup!$B$25,"Moderate","Low")))))))</f>
        <v/>
      </c>
      <c r="AL573" s="21">
        <f>IF(AND($A573="",$B573=""),"",IF(Z573=0,"",IF(AND(AE573=1,N($R573)&gt;AD573*1.01+0.001),"Net terrestrial &gt; gross; ","")&amp;IF(AND(AE573=1,N($S573)&gt;AC573*1.01+0.001),"Net marine &gt; gross; ","")&amp;IF(AE573=0,"No net area – gross used, overlaps may be double-counted; ","")&amp;IF(AH573=0,"STATUS_YR missing – imputed in time series; ","")&amp;IF(AND(ISNUMBER($I573),N($I573)&gt;Setup!$B$6),"STATUS_YR after reporting year; ","")&amp;IF(OR($G573="",$G573="Not Reported"),"GOV_TYPE not reported; ","")&amp;IF(AND(N($J573)=1,$K573="Point",N($M573)&lt;=0),"Coastal point without REP_M_AREA – land/sea split unknown; ","")&amp;IF(AND(N($J573)=0,N($S573)&gt;0),"MARINE=0 but net marine &gt;0; ","")&amp;IF(AND(N($J573)=2,N($R573)&gt;0),"MARINE=2 but net terrestrial &gt;0; ","")&amp;IF($K573="Point","Buffered point – coverage approximate; ","")))</f>
        <v/>
      </c>
    </row>
    <row r="574">
      <c r="A574" s="19" t="n"/>
      <c r="B574" s="19" t="n"/>
      <c r="C574" s="19" t="n"/>
      <c r="D574" s="19" t="n"/>
      <c r="E574" s="19" t="n"/>
      <c r="F574" s="19" t="n"/>
      <c r="G574" s="19" t="n"/>
      <c r="H574" s="19" t="n"/>
      <c r="I574" s="19" t="n"/>
      <c r="J574" s="19" t="n"/>
      <c r="K574" s="19" t="n"/>
      <c r="L574" s="20" t="n"/>
      <c r="M574" s="20" t="n"/>
      <c r="N574" s="20" t="n"/>
      <c r="O574" s="20" t="n"/>
      <c r="P574" s="19" t="n"/>
      <c r="Q574" s="19" t="n"/>
      <c r="R574" s="20" t="n"/>
      <c r="S574" s="20" t="n"/>
      <c r="T574" s="19" t="n"/>
      <c r="U574" s="19" t="n"/>
      <c r="V574" s="19" t="n"/>
      <c r="W574" s="19" t="n"/>
      <c r="X574" s="19" t="n"/>
      <c r="Y574" s="19" t="n"/>
      <c r="Z574" s="21">
        <f>IF(AND($A574="",$B574=""),"",IF(OR($E574="",$H574="",$H574="Proposed",$H574="Not Reported"),0,IF(AND($P574="Y",$Q574&lt;&gt;"Y"),0,IF(AND($K574="Point",N($L574)&lt;=0),0,IF(AND(N($L574)&lt;=0,N($N574)&lt;=0,N($R574)+N($S574)&lt;=0),0,1)))))</f>
        <v/>
      </c>
      <c r="AA574" s="21">
        <f>IF(AND($A574="",$B574=""),"",IF($E574="","Site type missing",IF($H574="","STATUS missing",IF($H574="Proposed","STATUS = Proposed",IF($H574="Not Reported","STATUS = Not Reported",IF(AND($P574="Y",$Q574&lt;&gt;"Y"),"UNESCO-MAB Biosphere Reserve",IF(AND($K574="Point",N($L574)&lt;=0),"Point without REP_AREA",IF(AND(N($L574)&lt;=0,N($N574)&lt;=0,N($R574)+N($S574)&lt;=0),"No area information",""))))))))</f>
        <v/>
      </c>
      <c r="AB574" s="22">
        <f>IF(AND($A574="",$B574=""),"",IF($K574="Point",N($L574),IF(N($N574)&gt;0,N($N574),N($L574))))</f>
        <v/>
      </c>
      <c r="AC574" s="22">
        <f>IF(AND($A574="",$B574=""),"",MIN(AB574,IF(N($J574)=0,0,IF(N($J574)=2,AB574,IF(AND($K574&lt;&gt;"Point",N($O574)&gt;0),N($O574),N($M574))))))</f>
        <v/>
      </c>
      <c r="AD574" s="22">
        <f>IF(AND($A574="",$B574=""),"",MAX(0,AB574-AC574))</f>
        <v/>
      </c>
      <c r="AE574" s="21">
        <f>IF(AND($A574="",$B574=""),"",IF(OR($R574&lt;&gt;"",$S574&lt;&gt;""),1,0))</f>
        <v/>
      </c>
      <c r="AF574" s="22">
        <f>IF(AND($A574="",$B574=""),"",IF(Z574=1,IF(AE574=1,N($R574),AD574),0))</f>
        <v/>
      </c>
      <c r="AG574" s="22">
        <f>IF(AND($A574="",$B574=""),"",IF(Z574=1,IF(AE574=1,N($S574),AC574),0))</f>
        <v/>
      </c>
      <c r="AH574" s="21">
        <f>IF(AND($A574="",$B574=""),"",IF(AND(ISNUMBER($I574),N($I574)&gt;0),$I574,0))</f>
        <v/>
      </c>
      <c r="AI574" s="23">
        <f>IF(AND(NOT(AND($A574="",$B574="")),$K574="Point",N($L574)&gt;0),SQRT(N($L574)/PI()),"")</f>
        <v/>
      </c>
      <c r="AJ574" s="21">
        <f>IF(AND($A574="",$B574=""),"",IFERROR(VLOOKUP($G574,Lists!$D$4:$E$15,2,FALSE),"Not reported"))</f>
        <v/>
      </c>
      <c r="AK574" s="21">
        <f>IF(AND($A574="",$B574=""),"",IF($X574&lt;&gt;"",$X574,IF($T574&lt;&gt;"Y","Not assessed",IF(AND(ISNUMBER($V574),Setup!$B$6-$V574&gt;Setup!$B$26),"Assessment outdated",IF(NOT(ISNUMBER($W574)),"Assessed – no score",IF($W574&gt;=Setup!$B$24,"High",IF($W574&gt;=Setup!$B$25,"Moderate","Low")))))))</f>
        <v/>
      </c>
      <c r="AL574" s="21">
        <f>IF(AND($A574="",$B574=""),"",IF(Z574=0,"",IF(AND(AE574=1,N($R574)&gt;AD574*1.01+0.001),"Net terrestrial &gt; gross; ","")&amp;IF(AND(AE574=1,N($S574)&gt;AC574*1.01+0.001),"Net marine &gt; gross; ","")&amp;IF(AE574=0,"No net area – gross used, overlaps may be double-counted; ","")&amp;IF(AH574=0,"STATUS_YR missing – imputed in time series; ","")&amp;IF(AND(ISNUMBER($I574),N($I574)&gt;Setup!$B$6),"STATUS_YR after reporting year; ","")&amp;IF(OR($G574="",$G574="Not Reported"),"GOV_TYPE not reported; ","")&amp;IF(AND(N($J574)=1,$K574="Point",N($M574)&lt;=0),"Coastal point without REP_M_AREA – land/sea split unknown; ","")&amp;IF(AND(N($J574)=0,N($S574)&gt;0),"MARINE=0 but net marine &gt;0; ","")&amp;IF(AND(N($J574)=2,N($R574)&gt;0),"MARINE=2 but net terrestrial &gt;0; ","")&amp;IF($K574="Point","Buffered point – coverage approximate; ","")))</f>
        <v/>
      </c>
    </row>
    <row r="575">
      <c r="A575" s="19" t="n"/>
      <c r="B575" s="19" t="n"/>
      <c r="C575" s="19" t="n"/>
      <c r="D575" s="19" t="n"/>
      <c r="E575" s="19" t="n"/>
      <c r="F575" s="19" t="n"/>
      <c r="G575" s="19" t="n"/>
      <c r="H575" s="19" t="n"/>
      <c r="I575" s="19" t="n"/>
      <c r="J575" s="19" t="n"/>
      <c r="K575" s="19" t="n"/>
      <c r="L575" s="20" t="n"/>
      <c r="M575" s="20" t="n"/>
      <c r="N575" s="20" t="n"/>
      <c r="O575" s="20" t="n"/>
      <c r="P575" s="19" t="n"/>
      <c r="Q575" s="19" t="n"/>
      <c r="R575" s="20" t="n"/>
      <c r="S575" s="20" t="n"/>
      <c r="T575" s="19" t="n"/>
      <c r="U575" s="19" t="n"/>
      <c r="V575" s="19" t="n"/>
      <c r="W575" s="19" t="n"/>
      <c r="X575" s="19" t="n"/>
      <c r="Y575" s="19" t="n"/>
      <c r="Z575" s="21">
        <f>IF(AND($A575="",$B575=""),"",IF(OR($E575="",$H575="",$H575="Proposed",$H575="Not Reported"),0,IF(AND($P575="Y",$Q575&lt;&gt;"Y"),0,IF(AND($K575="Point",N($L575)&lt;=0),0,IF(AND(N($L575)&lt;=0,N($N575)&lt;=0,N($R575)+N($S575)&lt;=0),0,1)))))</f>
        <v/>
      </c>
      <c r="AA575" s="21">
        <f>IF(AND($A575="",$B575=""),"",IF($E575="","Site type missing",IF($H575="","STATUS missing",IF($H575="Proposed","STATUS = Proposed",IF($H575="Not Reported","STATUS = Not Reported",IF(AND($P575="Y",$Q575&lt;&gt;"Y"),"UNESCO-MAB Biosphere Reserve",IF(AND($K575="Point",N($L575)&lt;=0),"Point without REP_AREA",IF(AND(N($L575)&lt;=0,N($N575)&lt;=0,N($R575)+N($S575)&lt;=0),"No area information",""))))))))</f>
        <v/>
      </c>
      <c r="AB575" s="22">
        <f>IF(AND($A575="",$B575=""),"",IF($K575="Point",N($L575),IF(N($N575)&gt;0,N($N575),N($L575))))</f>
        <v/>
      </c>
      <c r="AC575" s="22">
        <f>IF(AND($A575="",$B575=""),"",MIN(AB575,IF(N($J575)=0,0,IF(N($J575)=2,AB575,IF(AND($K575&lt;&gt;"Point",N($O575)&gt;0),N($O575),N($M575))))))</f>
        <v/>
      </c>
      <c r="AD575" s="22">
        <f>IF(AND($A575="",$B575=""),"",MAX(0,AB575-AC575))</f>
        <v/>
      </c>
      <c r="AE575" s="21">
        <f>IF(AND($A575="",$B575=""),"",IF(OR($R575&lt;&gt;"",$S575&lt;&gt;""),1,0))</f>
        <v/>
      </c>
      <c r="AF575" s="22">
        <f>IF(AND($A575="",$B575=""),"",IF(Z575=1,IF(AE575=1,N($R575),AD575),0))</f>
        <v/>
      </c>
      <c r="AG575" s="22">
        <f>IF(AND($A575="",$B575=""),"",IF(Z575=1,IF(AE575=1,N($S575),AC575),0))</f>
        <v/>
      </c>
      <c r="AH575" s="21">
        <f>IF(AND($A575="",$B575=""),"",IF(AND(ISNUMBER($I575),N($I575)&gt;0),$I575,0))</f>
        <v/>
      </c>
      <c r="AI575" s="23">
        <f>IF(AND(NOT(AND($A575="",$B575="")),$K575="Point",N($L575)&gt;0),SQRT(N($L575)/PI()),"")</f>
        <v/>
      </c>
      <c r="AJ575" s="21">
        <f>IF(AND($A575="",$B575=""),"",IFERROR(VLOOKUP($G575,Lists!$D$4:$E$15,2,FALSE),"Not reported"))</f>
        <v/>
      </c>
      <c r="AK575" s="21">
        <f>IF(AND($A575="",$B575=""),"",IF($X575&lt;&gt;"",$X575,IF($T575&lt;&gt;"Y","Not assessed",IF(AND(ISNUMBER($V575),Setup!$B$6-$V575&gt;Setup!$B$26),"Assessment outdated",IF(NOT(ISNUMBER($W575)),"Assessed – no score",IF($W575&gt;=Setup!$B$24,"High",IF($W575&gt;=Setup!$B$25,"Moderate","Low")))))))</f>
        <v/>
      </c>
      <c r="AL575" s="21">
        <f>IF(AND($A575="",$B575=""),"",IF(Z575=0,"",IF(AND(AE575=1,N($R575)&gt;AD575*1.01+0.001),"Net terrestrial &gt; gross; ","")&amp;IF(AND(AE575=1,N($S575)&gt;AC575*1.01+0.001),"Net marine &gt; gross; ","")&amp;IF(AE575=0,"No net area – gross used, overlaps may be double-counted; ","")&amp;IF(AH575=0,"STATUS_YR missing – imputed in time series; ","")&amp;IF(AND(ISNUMBER($I575),N($I575)&gt;Setup!$B$6),"STATUS_YR after reporting year; ","")&amp;IF(OR($G575="",$G575="Not Reported"),"GOV_TYPE not reported; ","")&amp;IF(AND(N($J575)=1,$K575="Point",N($M575)&lt;=0),"Coastal point without REP_M_AREA – land/sea split unknown; ","")&amp;IF(AND(N($J575)=0,N($S575)&gt;0),"MARINE=0 but net marine &gt;0; ","")&amp;IF(AND(N($J575)=2,N($R575)&gt;0),"MARINE=2 but net terrestrial &gt;0; ","")&amp;IF($K575="Point","Buffered point – coverage approximate; ","")))</f>
        <v/>
      </c>
    </row>
    <row r="576">
      <c r="A576" s="19" t="n"/>
      <c r="B576" s="19" t="n"/>
      <c r="C576" s="19" t="n"/>
      <c r="D576" s="19" t="n"/>
      <c r="E576" s="19" t="n"/>
      <c r="F576" s="19" t="n"/>
      <c r="G576" s="19" t="n"/>
      <c r="H576" s="19" t="n"/>
      <c r="I576" s="19" t="n"/>
      <c r="J576" s="19" t="n"/>
      <c r="K576" s="19" t="n"/>
      <c r="L576" s="20" t="n"/>
      <c r="M576" s="20" t="n"/>
      <c r="N576" s="20" t="n"/>
      <c r="O576" s="20" t="n"/>
      <c r="P576" s="19" t="n"/>
      <c r="Q576" s="19" t="n"/>
      <c r="R576" s="20" t="n"/>
      <c r="S576" s="20" t="n"/>
      <c r="T576" s="19" t="n"/>
      <c r="U576" s="19" t="n"/>
      <c r="V576" s="19" t="n"/>
      <c r="W576" s="19" t="n"/>
      <c r="X576" s="19" t="n"/>
      <c r="Y576" s="19" t="n"/>
      <c r="Z576" s="21">
        <f>IF(AND($A576="",$B576=""),"",IF(OR($E576="",$H576="",$H576="Proposed",$H576="Not Reported"),0,IF(AND($P576="Y",$Q576&lt;&gt;"Y"),0,IF(AND($K576="Point",N($L576)&lt;=0),0,IF(AND(N($L576)&lt;=0,N($N576)&lt;=0,N($R576)+N($S576)&lt;=0),0,1)))))</f>
        <v/>
      </c>
      <c r="AA576" s="21">
        <f>IF(AND($A576="",$B576=""),"",IF($E576="","Site type missing",IF($H576="","STATUS missing",IF($H576="Proposed","STATUS = Proposed",IF($H576="Not Reported","STATUS = Not Reported",IF(AND($P576="Y",$Q576&lt;&gt;"Y"),"UNESCO-MAB Biosphere Reserve",IF(AND($K576="Point",N($L576)&lt;=0),"Point without REP_AREA",IF(AND(N($L576)&lt;=0,N($N576)&lt;=0,N($R576)+N($S576)&lt;=0),"No area information",""))))))))</f>
        <v/>
      </c>
      <c r="AB576" s="22">
        <f>IF(AND($A576="",$B576=""),"",IF($K576="Point",N($L576),IF(N($N576)&gt;0,N($N576),N($L576))))</f>
        <v/>
      </c>
      <c r="AC576" s="22">
        <f>IF(AND($A576="",$B576=""),"",MIN(AB576,IF(N($J576)=0,0,IF(N($J576)=2,AB576,IF(AND($K576&lt;&gt;"Point",N($O576)&gt;0),N($O576),N($M576))))))</f>
        <v/>
      </c>
      <c r="AD576" s="22">
        <f>IF(AND($A576="",$B576=""),"",MAX(0,AB576-AC576))</f>
        <v/>
      </c>
      <c r="AE576" s="21">
        <f>IF(AND($A576="",$B576=""),"",IF(OR($R576&lt;&gt;"",$S576&lt;&gt;""),1,0))</f>
        <v/>
      </c>
      <c r="AF576" s="22">
        <f>IF(AND($A576="",$B576=""),"",IF(Z576=1,IF(AE576=1,N($R576),AD576),0))</f>
        <v/>
      </c>
      <c r="AG576" s="22">
        <f>IF(AND($A576="",$B576=""),"",IF(Z576=1,IF(AE576=1,N($S576),AC576),0))</f>
        <v/>
      </c>
      <c r="AH576" s="21">
        <f>IF(AND($A576="",$B576=""),"",IF(AND(ISNUMBER($I576),N($I576)&gt;0),$I576,0))</f>
        <v/>
      </c>
      <c r="AI576" s="23">
        <f>IF(AND(NOT(AND($A576="",$B576="")),$K576="Point",N($L576)&gt;0),SQRT(N($L576)/PI()),"")</f>
        <v/>
      </c>
      <c r="AJ576" s="21">
        <f>IF(AND($A576="",$B576=""),"",IFERROR(VLOOKUP($G576,Lists!$D$4:$E$15,2,FALSE),"Not reported"))</f>
        <v/>
      </c>
      <c r="AK576" s="21">
        <f>IF(AND($A576="",$B576=""),"",IF($X576&lt;&gt;"",$X576,IF($T576&lt;&gt;"Y","Not assessed",IF(AND(ISNUMBER($V576),Setup!$B$6-$V576&gt;Setup!$B$26),"Assessment outdated",IF(NOT(ISNUMBER($W576)),"Assessed – no score",IF($W576&gt;=Setup!$B$24,"High",IF($W576&gt;=Setup!$B$25,"Moderate","Low")))))))</f>
        <v/>
      </c>
      <c r="AL576" s="21">
        <f>IF(AND($A576="",$B576=""),"",IF(Z576=0,"",IF(AND(AE576=1,N($R576)&gt;AD576*1.01+0.001),"Net terrestrial &gt; gross; ","")&amp;IF(AND(AE576=1,N($S576)&gt;AC576*1.01+0.001),"Net marine &gt; gross; ","")&amp;IF(AE576=0,"No net area – gross used, overlaps may be double-counted; ","")&amp;IF(AH576=0,"STATUS_YR missing – imputed in time series; ","")&amp;IF(AND(ISNUMBER($I576),N($I576)&gt;Setup!$B$6),"STATUS_YR after reporting year; ","")&amp;IF(OR($G576="",$G576="Not Reported"),"GOV_TYPE not reported; ","")&amp;IF(AND(N($J576)=1,$K576="Point",N($M576)&lt;=0),"Coastal point without REP_M_AREA – land/sea split unknown; ","")&amp;IF(AND(N($J576)=0,N($S576)&gt;0),"MARINE=0 but net marine &gt;0; ","")&amp;IF(AND(N($J576)=2,N($R576)&gt;0),"MARINE=2 but net terrestrial &gt;0; ","")&amp;IF($K576="Point","Buffered point – coverage approximate; ","")))</f>
        <v/>
      </c>
    </row>
    <row r="577">
      <c r="A577" s="19" t="n"/>
      <c r="B577" s="19" t="n"/>
      <c r="C577" s="19" t="n"/>
      <c r="D577" s="19" t="n"/>
      <c r="E577" s="19" t="n"/>
      <c r="F577" s="19" t="n"/>
      <c r="G577" s="19" t="n"/>
      <c r="H577" s="19" t="n"/>
      <c r="I577" s="19" t="n"/>
      <c r="J577" s="19" t="n"/>
      <c r="K577" s="19" t="n"/>
      <c r="L577" s="20" t="n"/>
      <c r="M577" s="20" t="n"/>
      <c r="N577" s="20" t="n"/>
      <c r="O577" s="20" t="n"/>
      <c r="P577" s="19" t="n"/>
      <c r="Q577" s="19" t="n"/>
      <c r="R577" s="20" t="n"/>
      <c r="S577" s="20" t="n"/>
      <c r="T577" s="19" t="n"/>
      <c r="U577" s="19" t="n"/>
      <c r="V577" s="19" t="n"/>
      <c r="W577" s="19" t="n"/>
      <c r="X577" s="19" t="n"/>
      <c r="Y577" s="19" t="n"/>
      <c r="Z577" s="21">
        <f>IF(AND($A577="",$B577=""),"",IF(OR($E577="",$H577="",$H577="Proposed",$H577="Not Reported"),0,IF(AND($P577="Y",$Q577&lt;&gt;"Y"),0,IF(AND($K577="Point",N($L577)&lt;=0),0,IF(AND(N($L577)&lt;=0,N($N577)&lt;=0,N($R577)+N($S577)&lt;=0),0,1)))))</f>
        <v/>
      </c>
      <c r="AA577" s="21">
        <f>IF(AND($A577="",$B577=""),"",IF($E577="","Site type missing",IF($H577="","STATUS missing",IF($H577="Proposed","STATUS = Proposed",IF($H577="Not Reported","STATUS = Not Reported",IF(AND($P577="Y",$Q577&lt;&gt;"Y"),"UNESCO-MAB Biosphere Reserve",IF(AND($K577="Point",N($L577)&lt;=0),"Point without REP_AREA",IF(AND(N($L577)&lt;=0,N($N577)&lt;=0,N($R577)+N($S577)&lt;=0),"No area information",""))))))))</f>
        <v/>
      </c>
      <c r="AB577" s="22">
        <f>IF(AND($A577="",$B577=""),"",IF($K577="Point",N($L577),IF(N($N577)&gt;0,N($N577),N($L577))))</f>
        <v/>
      </c>
      <c r="AC577" s="22">
        <f>IF(AND($A577="",$B577=""),"",MIN(AB577,IF(N($J577)=0,0,IF(N($J577)=2,AB577,IF(AND($K577&lt;&gt;"Point",N($O577)&gt;0),N($O577),N($M577))))))</f>
        <v/>
      </c>
      <c r="AD577" s="22">
        <f>IF(AND($A577="",$B577=""),"",MAX(0,AB577-AC577))</f>
        <v/>
      </c>
      <c r="AE577" s="21">
        <f>IF(AND($A577="",$B577=""),"",IF(OR($R577&lt;&gt;"",$S577&lt;&gt;""),1,0))</f>
        <v/>
      </c>
      <c r="AF577" s="22">
        <f>IF(AND($A577="",$B577=""),"",IF(Z577=1,IF(AE577=1,N($R577),AD577),0))</f>
        <v/>
      </c>
      <c r="AG577" s="22">
        <f>IF(AND($A577="",$B577=""),"",IF(Z577=1,IF(AE577=1,N($S577),AC577),0))</f>
        <v/>
      </c>
      <c r="AH577" s="21">
        <f>IF(AND($A577="",$B577=""),"",IF(AND(ISNUMBER($I577),N($I577)&gt;0),$I577,0))</f>
        <v/>
      </c>
      <c r="AI577" s="23">
        <f>IF(AND(NOT(AND($A577="",$B577="")),$K577="Point",N($L577)&gt;0),SQRT(N($L577)/PI()),"")</f>
        <v/>
      </c>
      <c r="AJ577" s="21">
        <f>IF(AND($A577="",$B577=""),"",IFERROR(VLOOKUP($G577,Lists!$D$4:$E$15,2,FALSE),"Not reported"))</f>
        <v/>
      </c>
      <c r="AK577" s="21">
        <f>IF(AND($A577="",$B577=""),"",IF($X577&lt;&gt;"",$X577,IF($T577&lt;&gt;"Y","Not assessed",IF(AND(ISNUMBER($V577),Setup!$B$6-$V577&gt;Setup!$B$26),"Assessment outdated",IF(NOT(ISNUMBER($W577)),"Assessed – no score",IF($W577&gt;=Setup!$B$24,"High",IF($W577&gt;=Setup!$B$25,"Moderate","Low")))))))</f>
        <v/>
      </c>
      <c r="AL577" s="21">
        <f>IF(AND($A577="",$B577=""),"",IF(Z577=0,"",IF(AND(AE577=1,N($R577)&gt;AD577*1.01+0.001),"Net terrestrial &gt; gross; ","")&amp;IF(AND(AE577=1,N($S577)&gt;AC577*1.01+0.001),"Net marine &gt; gross; ","")&amp;IF(AE577=0,"No net area – gross used, overlaps may be double-counted; ","")&amp;IF(AH577=0,"STATUS_YR missing – imputed in time series; ","")&amp;IF(AND(ISNUMBER($I577),N($I577)&gt;Setup!$B$6),"STATUS_YR after reporting year; ","")&amp;IF(OR($G577="",$G577="Not Reported"),"GOV_TYPE not reported; ","")&amp;IF(AND(N($J577)=1,$K577="Point",N($M577)&lt;=0),"Coastal point without REP_M_AREA – land/sea split unknown; ","")&amp;IF(AND(N($J577)=0,N($S577)&gt;0),"MARINE=0 but net marine &gt;0; ","")&amp;IF(AND(N($J577)=2,N($R577)&gt;0),"MARINE=2 but net terrestrial &gt;0; ","")&amp;IF($K577="Point","Buffered point – coverage approximate; ","")))</f>
        <v/>
      </c>
    </row>
    <row r="578">
      <c r="A578" s="19" t="n"/>
      <c r="B578" s="19" t="n"/>
      <c r="C578" s="19" t="n"/>
      <c r="D578" s="19" t="n"/>
      <c r="E578" s="19" t="n"/>
      <c r="F578" s="19" t="n"/>
      <c r="G578" s="19" t="n"/>
      <c r="H578" s="19" t="n"/>
      <c r="I578" s="19" t="n"/>
      <c r="J578" s="19" t="n"/>
      <c r="K578" s="19" t="n"/>
      <c r="L578" s="20" t="n"/>
      <c r="M578" s="20" t="n"/>
      <c r="N578" s="20" t="n"/>
      <c r="O578" s="20" t="n"/>
      <c r="P578" s="19" t="n"/>
      <c r="Q578" s="19" t="n"/>
      <c r="R578" s="20" t="n"/>
      <c r="S578" s="20" t="n"/>
      <c r="T578" s="19" t="n"/>
      <c r="U578" s="19" t="n"/>
      <c r="V578" s="19" t="n"/>
      <c r="W578" s="19" t="n"/>
      <c r="X578" s="19" t="n"/>
      <c r="Y578" s="19" t="n"/>
      <c r="Z578" s="21">
        <f>IF(AND($A578="",$B578=""),"",IF(OR($E578="",$H578="",$H578="Proposed",$H578="Not Reported"),0,IF(AND($P578="Y",$Q578&lt;&gt;"Y"),0,IF(AND($K578="Point",N($L578)&lt;=0),0,IF(AND(N($L578)&lt;=0,N($N578)&lt;=0,N($R578)+N($S578)&lt;=0),0,1)))))</f>
        <v/>
      </c>
      <c r="AA578" s="21">
        <f>IF(AND($A578="",$B578=""),"",IF($E578="","Site type missing",IF($H578="","STATUS missing",IF($H578="Proposed","STATUS = Proposed",IF($H578="Not Reported","STATUS = Not Reported",IF(AND($P578="Y",$Q578&lt;&gt;"Y"),"UNESCO-MAB Biosphere Reserve",IF(AND($K578="Point",N($L578)&lt;=0),"Point without REP_AREA",IF(AND(N($L578)&lt;=0,N($N578)&lt;=0,N($R578)+N($S578)&lt;=0),"No area information",""))))))))</f>
        <v/>
      </c>
      <c r="AB578" s="22">
        <f>IF(AND($A578="",$B578=""),"",IF($K578="Point",N($L578),IF(N($N578)&gt;0,N($N578),N($L578))))</f>
        <v/>
      </c>
      <c r="AC578" s="22">
        <f>IF(AND($A578="",$B578=""),"",MIN(AB578,IF(N($J578)=0,0,IF(N($J578)=2,AB578,IF(AND($K578&lt;&gt;"Point",N($O578)&gt;0),N($O578),N($M578))))))</f>
        <v/>
      </c>
      <c r="AD578" s="22">
        <f>IF(AND($A578="",$B578=""),"",MAX(0,AB578-AC578))</f>
        <v/>
      </c>
      <c r="AE578" s="21">
        <f>IF(AND($A578="",$B578=""),"",IF(OR($R578&lt;&gt;"",$S578&lt;&gt;""),1,0))</f>
        <v/>
      </c>
      <c r="AF578" s="22">
        <f>IF(AND($A578="",$B578=""),"",IF(Z578=1,IF(AE578=1,N($R578),AD578),0))</f>
        <v/>
      </c>
      <c r="AG578" s="22">
        <f>IF(AND($A578="",$B578=""),"",IF(Z578=1,IF(AE578=1,N($S578),AC578),0))</f>
        <v/>
      </c>
      <c r="AH578" s="21">
        <f>IF(AND($A578="",$B578=""),"",IF(AND(ISNUMBER($I578),N($I578)&gt;0),$I578,0))</f>
        <v/>
      </c>
      <c r="AI578" s="23">
        <f>IF(AND(NOT(AND($A578="",$B578="")),$K578="Point",N($L578)&gt;0),SQRT(N($L578)/PI()),"")</f>
        <v/>
      </c>
      <c r="AJ578" s="21">
        <f>IF(AND($A578="",$B578=""),"",IFERROR(VLOOKUP($G578,Lists!$D$4:$E$15,2,FALSE),"Not reported"))</f>
        <v/>
      </c>
      <c r="AK578" s="21">
        <f>IF(AND($A578="",$B578=""),"",IF($X578&lt;&gt;"",$X578,IF($T578&lt;&gt;"Y","Not assessed",IF(AND(ISNUMBER($V578),Setup!$B$6-$V578&gt;Setup!$B$26),"Assessment outdated",IF(NOT(ISNUMBER($W578)),"Assessed – no score",IF($W578&gt;=Setup!$B$24,"High",IF($W578&gt;=Setup!$B$25,"Moderate","Low")))))))</f>
        <v/>
      </c>
      <c r="AL578" s="21">
        <f>IF(AND($A578="",$B578=""),"",IF(Z578=0,"",IF(AND(AE578=1,N($R578)&gt;AD578*1.01+0.001),"Net terrestrial &gt; gross; ","")&amp;IF(AND(AE578=1,N($S578)&gt;AC578*1.01+0.001),"Net marine &gt; gross; ","")&amp;IF(AE578=0,"No net area – gross used, overlaps may be double-counted; ","")&amp;IF(AH578=0,"STATUS_YR missing – imputed in time series; ","")&amp;IF(AND(ISNUMBER($I578),N($I578)&gt;Setup!$B$6),"STATUS_YR after reporting year; ","")&amp;IF(OR($G578="",$G578="Not Reported"),"GOV_TYPE not reported; ","")&amp;IF(AND(N($J578)=1,$K578="Point",N($M578)&lt;=0),"Coastal point without REP_M_AREA – land/sea split unknown; ","")&amp;IF(AND(N($J578)=0,N($S578)&gt;0),"MARINE=0 but net marine &gt;0; ","")&amp;IF(AND(N($J578)=2,N($R578)&gt;0),"MARINE=2 but net terrestrial &gt;0; ","")&amp;IF($K578="Point","Buffered point – coverage approximate; ","")))</f>
        <v/>
      </c>
    </row>
    <row r="579">
      <c r="A579" s="19" t="n"/>
      <c r="B579" s="19" t="n"/>
      <c r="C579" s="19" t="n"/>
      <c r="D579" s="19" t="n"/>
      <c r="E579" s="19" t="n"/>
      <c r="F579" s="19" t="n"/>
      <c r="G579" s="19" t="n"/>
      <c r="H579" s="19" t="n"/>
      <c r="I579" s="19" t="n"/>
      <c r="J579" s="19" t="n"/>
      <c r="K579" s="19" t="n"/>
      <c r="L579" s="20" t="n"/>
      <c r="M579" s="20" t="n"/>
      <c r="N579" s="20" t="n"/>
      <c r="O579" s="20" t="n"/>
      <c r="P579" s="19" t="n"/>
      <c r="Q579" s="19" t="n"/>
      <c r="R579" s="20" t="n"/>
      <c r="S579" s="20" t="n"/>
      <c r="T579" s="19" t="n"/>
      <c r="U579" s="19" t="n"/>
      <c r="V579" s="19" t="n"/>
      <c r="W579" s="19" t="n"/>
      <c r="X579" s="19" t="n"/>
      <c r="Y579" s="19" t="n"/>
      <c r="Z579" s="21">
        <f>IF(AND($A579="",$B579=""),"",IF(OR($E579="",$H579="",$H579="Proposed",$H579="Not Reported"),0,IF(AND($P579="Y",$Q579&lt;&gt;"Y"),0,IF(AND($K579="Point",N($L579)&lt;=0),0,IF(AND(N($L579)&lt;=0,N($N579)&lt;=0,N($R579)+N($S579)&lt;=0),0,1)))))</f>
        <v/>
      </c>
      <c r="AA579" s="21">
        <f>IF(AND($A579="",$B579=""),"",IF($E579="","Site type missing",IF($H579="","STATUS missing",IF($H579="Proposed","STATUS = Proposed",IF($H579="Not Reported","STATUS = Not Reported",IF(AND($P579="Y",$Q579&lt;&gt;"Y"),"UNESCO-MAB Biosphere Reserve",IF(AND($K579="Point",N($L579)&lt;=0),"Point without REP_AREA",IF(AND(N($L579)&lt;=0,N($N579)&lt;=0,N($R579)+N($S579)&lt;=0),"No area information",""))))))))</f>
        <v/>
      </c>
      <c r="AB579" s="22">
        <f>IF(AND($A579="",$B579=""),"",IF($K579="Point",N($L579),IF(N($N579)&gt;0,N($N579),N($L579))))</f>
        <v/>
      </c>
      <c r="AC579" s="22">
        <f>IF(AND($A579="",$B579=""),"",MIN(AB579,IF(N($J579)=0,0,IF(N($J579)=2,AB579,IF(AND($K579&lt;&gt;"Point",N($O579)&gt;0),N($O579),N($M579))))))</f>
        <v/>
      </c>
      <c r="AD579" s="22">
        <f>IF(AND($A579="",$B579=""),"",MAX(0,AB579-AC579))</f>
        <v/>
      </c>
      <c r="AE579" s="21">
        <f>IF(AND($A579="",$B579=""),"",IF(OR($R579&lt;&gt;"",$S579&lt;&gt;""),1,0))</f>
        <v/>
      </c>
      <c r="AF579" s="22">
        <f>IF(AND($A579="",$B579=""),"",IF(Z579=1,IF(AE579=1,N($R579),AD579),0))</f>
        <v/>
      </c>
      <c r="AG579" s="22">
        <f>IF(AND($A579="",$B579=""),"",IF(Z579=1,IF(AE579=1,N($S579),AC579),0))</f>
        <v/>
      </c>
      <c r="AH579" s="21">
        <f>IF(AND($A579="",$B579=""),"",IF(AND(ISNUMBER($I579),N($I579)&gt;0),$I579,0))</f>
        <v/>
      </c>
      <c r="AI579" s="23">
        <f>IF(AND(NOT(AND($A579="",$B579="")),$K579="Point",N($L579)&gt;0),SQRT(N($L579)/PI()),"")</f>
        <v/>
      </c>
      <c r="AJ579" s="21">
        <f>IF(AND($A579="",$B579=""),"",IFERROR(VLOOKUP($G579,Lists!$D$4:$E$15,2,FALSE),"Not reported"))</f>
        <v/>
      </c>
      <c r="AK579" s="21">
        <f>IF(AND($A579="",$B579=""),"",IF($X579&lt;&gt;"",$X579,IF($T579&lt;&gt;"Y","Not assessed",IF(AND(ISNUMBER($V579),Setup!$B$6-$V579&gt;Setup!$B$26),"Assessment outdated",IF(NOT(ISNUMBER($W579)),"Assessed – no score",IF($W579&gt;=Setup!$B$24,"High",IF($W579&gt;=Setup!$B$25,"Moderate","Low")))))))</f>
        <v/>
      </c>
      <c r="AL579" s="21">
        <f>IF(AND($A579="",$B579=""),"",IF(Z579=0,"",IF(AND(AE579=1,N($R579)&gt;AD579*1.01+0.001),"Net terrestrial &gt; gross; ","")&amp;IF(AND(AE579=1,N($S579)&gt;AC579*1.01+0.001),"Net marine &gt; gross; ","")&amp;IF(AE579=0,"No net area – gross used, overlaps may be double-counted; ","")&amp;IF(AH579=0,"STATUS_YR missing – imputed in time series; ","")&amp;IF(AND(ISNUMBER($I579),N($I579)&gt;Setup!$B$6),"STATUS_YR after reporting year; ","")&amp;IF(OR($G579="",$G579="Not Reported"),"GOV_TYPE not reported; ","")&amp;IF(AND(N($J579)=1,$K579="Point",N($M579)&lt;=0),"Coastal point without REP_M_AREA – land/sea split unknown; ","")&amp;IF(AND(N($J579)=0,N($S579)&gt;0),"MARINE=0 but net marine &gt;0; ","")&amp;IF(AND(N($J579)=2,N($R579)&gt;0),"MARINE=2 but net terrestrial &gt;0; ","")&amp;IF($K579="Point","Buffered point – coverage approximate; ","")))</f>
        <v/>
      </c>
    </row>
    <row r="580">
      <c r="A580" s="19" t="n"/>
      <c r="B580" s="19" t="n"/>
      <c r="C580" s="19" t="n"/>
      <c r="D580" s="19" t="n"/>
      <c r="E580" s="19" t="n"/>
      <c r="F580" s="19" t="n"/>
      <c r="G580" s="19" t="n"/>
      <c r="H580" s="19" t="n"/>
      <c r="I580" s="19" t="n"/>
      <c r="J580" s="19" t="n"/>
      <c r="K580" s="19" t="n"/>
      <c r="L580" s="20" t="n"/>
      <c r="M580" s="20" t="n"/>
      <c r="N580" s="20" t="n"/>
      <c r="O580" s="20" t="n"/>
      <c r="P580" s="19" t="n"/>
      <c r="Q580" s="19" t="n"/>
      <c r="R580" s="20" t="n"/>
      <c r="S580" s="20" t="n"/>
      <c r="T580" s="19" t="n"/>
      <c r="U580" s="19" t="n"/>
      <c r="V580" s="19" t="n"/>
      <c r="W580" s="19" t="n"/>
      <c r="X580" s="19" t="n"/>
      <c r="Y580" s="19" t="n"/>
      <c r="Z580" s="21">
        <f>IF(AND($A580="",$B580=""),"",IF(OR($E580="",$H580="",$H580="Proposed",$H580="Not Reported"),0,IF(AND($P580="Y",$Q580&lt;&gt;"Y"),0,IF(AND($K580="Point",N($L580)&lt;=0),0,IF(AND(N($L580)&lt;=0,N($N580)&lt;=0,N($R580)+N($S580)&lt;=0),0,1)))))</f>
        <v/>
      </c>
      <c r="AA580" s="21">
        <f>IF(AND($A580="",$B580=""),"",IF($E580="","Site type missing",IF($H580="","STATUS missing",IF($H580="Proposed","STATUS = Proposed",IF($H580="Not Reported","STATUS = Not Reported",IF(AND($P580="Y",$Q580&lt;&gt;"Y"),"UNESCO-MAB Biosphere Reserve",IF(AND($K580="Point",N($L580)&lt;=0),"Point without REP_AREA",IF(AND(N($L580)&lt;=0,N($N580)&lt;=0,N($R580)+N($S580)&lt;=0),"No area information",""))))))))</f>
        <v/>
      </c>
      <c r="AB580" s="22">
        <f>IF(AND($A580="",$B580=""),"",IF($K580="Point",N($L580),IF(N($N580)&gt;0,N($N580),N($L580))))</f>
        <v/>
      </c>
      <c r="AC580" s="22">
        <f>IF(AND($A580="",$B580=""),"",MIN(AB580,IF(N($J580)=0,0,IF(N($J580)=2,AB580,IF(AND($K580&lt;&gt;"Point",N($O580)&gt;0),N($O580),N($M580))))))</f>
        <v/>
      </c>
      <c r="AD580" s="22">
        <f>IF(AND($A580="",$B580=""),"",MAX(0,AB580-AC580))</f>
        <v/>
      </c>
      <c r="AE580" s="21">
        <f>IF(AND($A580="",$B580=""),"",IF(OR($R580&lt;&gt;"",$S580&lt;&gt;""),1,0))</f>
        <v/>
      </c>
      <c r="AF580" s="22">
        <f>IF(AND($A580="",$B580=""),"",IF(Z580=1,IF(AE580=1,N($R580),AD580),0))</f>
        <v/>
      </c>
      <c r="AG580" s="22">
        <f>IF(AND($A580="",$B580=""),"",IF(Z580=1,IF(AE580=1,N($S580),AC580),0))</f>
        <v/>
      </c>
      <c r="AH580" s="21">
        <f>IF(AND($A580="",$B580=""),"",IF(AND(ISNUMBER($I580),N($I580)&gt;0),$I580,0))</f>
        <v/>
      </c>
      <c r="AI580" s="23">
        <f>IF(AND(NOT(AND($A580="",$B580="")),$K580="Point",N($L580)&gt;0),SQRT(N($L580)/PI()),"")</f>
        <v/>
      </c>
      <c r="AJ580" s="21">
        <f>IF(AND($A580="",$B580=""),"",IFERROR(VLOOKUP($G580,Lists!$D$4:$E$15,2,FALSE),"Not reported"))</f>
        <v/>
      </c>
      <c r="AK580" s="21">
        <f>IF(AND($A580="",$B580=""),"",IF($X580&lt;&gt;"",$X580,IF($T580&lt;&gt;"Y","Not assessed",IF(AND(ISNUMBER($V580),Setup!$B$6-$V580&gt;Setup!$B$26),"Assessment outdated",IF(NOT(ISNUMBER($W580)),"Assessed – no score",IF($W580&gt;=Setup!$B$24,"High",IF($W580&gt;=Setup!$B$25,"Moderate","Low")))))))</f>
        <v/>
      </c>
      <c r="AL580" s="21">
        <f>IF(AND($A580="",$B580=""),"",IF(Z580=0,"",IF(AND(AE580=1,N($R580)&gt;AD580*1.01+0.001),"Net terrestrial &gt; gross; ","")&amp;IF(AND(AE580=1,N($S580)&gt;AC580*1.01+0.001),"Net marine &gt; gross; ","")&amp;IF(AE580=0,"No net area – gross used, overlaps may be double-counted; ","")&amp;IF(AH580=0,"STATUS_YR missing – imputed in time series; ","")&amp;IF(AND(ISNUMBER($I580),N($I580)&gt;Setup!$B$6),"STATUS_YR after reporting year; ","")&amp;IF(OR($G580="",$G580="Not Reported"),"GOV_TYPE not reported; ","")&amp;IF(AND(N($J580)=1,$K580="Point",N($M580)&lt;=0),"Coastal point without REP_M_AREA – land/sea split unknown; ","")&amp;IF(AND(N($J580)=0,N($S580)&gt;0),"MARINE=0 but net marine &gt;0; ","")&amp;IF(AND(N($J580)=2,N($R580)&gt;0),"MARINE=2 but net terrestrial &gt;0; ","")&amp;IF($K580="Point","Buffered point – coverage approximate; ","")))</f>
        <v/>
      </c>
    </row>
    <row r="581">
      <c r="A581" s="19" t="n"/>
      <c r="B581" s="19" t="n"/>
      <c r="C581" s="19" t="n"/>
      <c r="D581" s="19" t="n"/>
      <c r="E581" s="19" t="n"/>
      <c r="F581" s="19" t="n"/>
      <c r="G581" s="19" t="n"/>
      <c r="H581" s="19" t="n"/>
      <c r="I581" s="19" t="n"/>
      <c r="J581" s="19" t="n"/>
      <c r="K581" s="19" t="n"/>
      <c r="L581" s="20" t="n"/>
      <c r="M581" s="20" t="n"/>
      <c r="N581" s="20" t="n"/>
      <c r="O581" s="20" t="n"/>
      <c r="P581" s="19" t="n"/>
      <c r="Q581" s="19" t="n"/>
      <c r="R581" s="20" t="n"/>
      <c r="S581" s="20" t="n"/>
      <c r="T581" s="19" t="n"/>
      <c r="U581" s="19" t="n"/>
      <c r="V581" s="19" t="n"/>
      <c r="W581" s="19" t="n"/>
      <c r="X581" s="19" t="n"/>
      <c r="Y581" s="19" t="n"/>
      <c r="Z581" s="21">
        <f>IF(AND($A581="",$B581=""),"",IF(OR($E581="",$H581="",$H581="Proposed",$H581="Not Reported"),0,IF(AND($P581="Y",$Q581&lt;&gt;"Y"),0,IF(AND($K581="Point",N($L581)&lt;=0),0,IF(AND(N($L581)&lt;=0,N($N581)&lt;=0,N($R581)+N($S581)&lt;=0),0,1)))))</f>
        <v/>
      </c>
      <c r="AA581" s="21">
        <f>IF(AND($A581="",$B581=""),"",IF($E581="","Site type missing",IF($H581="","STATUS missing",IF($H581="Proposed","STATUS = Proposed",IF($H581="Not Reported","STATUS = Not Reported",IF(AND($P581="Y",$Q581&lt;&gt;"Y"),"UNESCO-MAB Biosphere Reserve",IF(AND($K581="Point",N($L581)&lt;=0),"Point without REP_AREA",IF(AND(N($L581)&lt;=0,N($N581)&lt;=0,N($R581)+N($S581)&lt;=0),"No area information",""))))))))</f>
        <v/>
      </c>
      <c r="AB581" s="22">
        <f>IF(AND($A581="",$B581=""),"",IF($K581="Point",N($L581),IF(N($N581)&gt;0,N($N581),N($L581))))</f>
        <v/>
      </c>
      <c r="AC581" s="22">
        <f>IF(AND($A581="",$B581=""),"",MIN(AB581,IF(N($J581)=0,0,IF(N($J581)=2,AB581,IF(AND($K581&lt;&gt;"Point",N($O581)&gt;0),N($O581),N($M581))))))</f>
        <v/>
      </c>
      <c r="AD581" s="22">
        <f>IF(AND($A581="",$B581=""),"",MAX(0,AB581-AC581))</f>
        <v/>
      </c>
      <c r="AE581" s="21">
        <f>IF(AND($A581="",$B581=""),"",IF(OR($R581&lt;&gt;"",$S581&lt;&gt;""),1,0))</f>
        <v/>
      </c>
      <c r="AF581" s="22">
        <f>IF(AND($A581="",$B581=""),"",IF(Z581=1,IF(AE581=1,N($R581),AD581),0))</f>
        <v/>
      </c>
      <c r="AG581" s="22">
        <f>IF(AND($A581="",$B581=""),"",IF(Z581=1,IF(AE581=1,N($S581),AC581),0))</f>
        <v/>
      </c>
      <c r="AH581" s="21">
        <f>IF(AND($A581="",$B581=""),"",IF(AND(ISNUMBER($I581),N($I581)&gt;0),$I581,0))</f>
        <v/>
      </c>
      <c r="AI581" s="23">
        <f>IF(AND(NOT(AND($A581="",$B581="")),$K581="Point",N($L581)&gt;0),SQRT(N($L581)/PI()),"")</f>
        <v/>
      </c>
      <c r="AJ581" s="21">
        <f>IF(AND($A581="",$B581=""),"",IFERROR(VLOOKUP($G581,Lists!$D$4:$E$15,2,FALSE),"Not reported"))</f>
        <v/>
      </c>
      <c r="AK581" s="21">
        <f>IF(AND($A581="",$B581=""),"",IF($X581&lt;&gt;"",$X581,IF($T581&lt;&gt;"Y","Not assessed",IF(AND(ISNUMBER($V581),Setup!$B$6-$V581&gt;Setup!$B$26),"Assessment outdated",IF(NOT(ISNUMBER($W581)),"Assessed – no score",IF($W581&gt;=Setup!$B$24,"High",IF($W581&gt;=Setup!$B$25,"Moderate","Low")))))))</f>
        <v/>
      </c>
      <c r="AL581" s="21">
        <f>IF(AND($A581="",$B581=""),"",IF(Z581=0,"",IF(AND(AE581=1,N($R581)&gt;AD581*1.01+0.001),"Net terrestrial &gt; gross; ","")&amp;IF(AND(AE581=1,N($S581)&gt;AC581*1.01+0.001),"Net marine &gt; gross; ","")&amp;IF(AE581=0,"No net area – gross used, overlaps may be double-counted; ","")&amp;IF(AH581=0,"STATUS_YR missing – imputed in time series; ","")&amp;IF(AND(ISNUMBER($I581),N($I581)&gt;Setup!$B$6),"STATUS_YR after reporting year; ","")&amp;IF(OR($G581="",$G581="Not Reported"),"GOV_TYPE not reported; ","")&amp;IF(AND(N($J581)=1,$K581="Point",N($M581)&lt;=0),"Coastal point without REP_M_AREA – land/sea split unknown; ","")&amp;IF(AND(N($J581)=0,N($S581)&gt;0),"MARINE=0 but net marine &gt;0; ","")&amp;IF(AND(N($J581)=2,N($R581)&gt;0),"MARINE=2 but net terrestrial &gt;0; ","")&amp;IF($K581="Point","Buffered point – coverage approximate; ","")))</f>
        <v/>
      </c>
    </row>
    <row r="582">
      <c r="A582" s="19" t="n"/>
      <c r="B582" s="19" t="n"/>
      <c r="C582" s="19" t="n"/>
      <c r="D582" s="19" t="n"/>
      <c r="E582" s="19" t="n"/>
      <c r="F582" s="19" t="n"/>
      <c r="G582" s="19" t="n"/>
      <c r="H582" s="19" t="n"/>
      <c r="I582" s="19" t="n"/>
      <c r="J582" s="19" t="n"/>
      <c r="K582" s="19" t="n"/>
      <c r="L582" s="20" t="n"/>
      <c r="M582" s="20" t="n"/>
      <c r="N582" s="20" t="n"/>
      <c r="O582" s="20" t="n"/>
      <c r="P582" s="19" t="n"/>
      <c r="Q582" s="19" t="n"/>
      <c r="R582" s="20" t="n"/>
      <c r="S582" s="20" t="n"/>
      <c r="T582" s="19" t="n"/>
      <c r="U582" s="19" t="n"/>
      <c r="V582" s="19" t="n"/>
      <c r="W582" s="19" t="n"/>
      <c r="X582" s="19" t="n"/>
      <c r="Y582" s="19" t="n"/>
      <c r="Z582" s="21">
        <f>IF(AND($A582="",$B582=""),"",IF(OR($E582="",$H582="",$H582="Proposed",$H582="Not Reported"),0,IF(AND($P582="Y",$Q582&lt;&gt;"Y"),0,IF(AND($K582="Point",N($L582)&lt;=0),0,IF(AND(N($L582)&lt;=0,N($N582)&lt;=0,N($R582)+N($S582)&lt;=0),0,1)))))</f>
        <v/>
      </c>
      <c r="AA582" s="21">
        <f>IF(AND($A582="",$B582=""),"",IF($E582="","Site type missing",IF($H582="","STATUS missing",IF($H582="Proposed","STATUS = Proposed",IF($H582="Not Reported","STATUS = Not Reported",IF(AND($P582="Y",$Q582&lt;&gt;"Y"),"UNESCO-MAB Biosphere Reserve",IF(AND($K582="Point",N($L582)&lt;=0),"Point without REP_AREA",IF(AND(N($L582)&lt;=0,N($N582)&lt;=0,N($R582)+N($S582)&lt;=0),"No area information",""))))))))</f>
        <v/>
      </c>
      <c r="AB582" s="22">
        <f>IF(AND($A582="",$B582=""),"",IF($K582="Point",N($L582),IF(N($N582)&gt;0,N($N582),N($L582))))</f>
        <v/>
      </c>
      <c r="AC582" s="22">
        <f>IF(AND($A582="",$B582=""),"",MIN(AB582,IF(N($J582)=0,0,IF(N($J582)=2,AB582,IF(AND($K582&lt;&gt;"Point",N($O582)&gt;0),N($O582),N($M582))))))</f>
        <v/>
      </c>
      <c r="AD582" s="22">
        <f>IF(AND($A582="",$B582=""),"",MAX(0,AB582-AC582))</f>
        <v/>
      </c>
      <c r="AE582" s="21">
        <f>IF(AND($A582="",$B582=""),"",IF(OR($R582&lt;&gt;"",$S582&lt;&gt;""),1,0))</f>
        <v/>
      </c>
      <c r="AF582" s="22">
        <f>IF(AND($A582="",$B582=""),"",IF(Z582=1,IF(AE582=1,N($R582),AD582),0))</f>
        <v/>
      </c>
      <c r="AG582" s="22">
        <f>IF(AND($A582="",$B582=""),"",IF(Z582=1,IF(AE582=1,N($S582),AC582),0))</f>
        <v/>
      </c>
      <c r="AH582" s="21">
        <f>IF(AND($A582="",$B582=""),"",IF(AND(ISNUMBER($I582),N($I582)&gt;0),$I582,0))</f>
        <v/>
      </c>
      <c r="AI582" s="23">
        <f>IF(AND(NOT(AND($A582="",$B582="")),$K582="Point",N($L582)&gt;0),SQRT(N($L582)/PI()),"")</f>
        <v/>
      </c>
      <c r="AJ582" s="21">
        <f>IF(AND($A582="",$B582=""),"",IFERROR(VLOOKUP($G582,Lists!$D$4:$E$15,2,FALSE),"Not reported"))</f>
        <v/>
      </c>
      <c r="AK582" s="21">
        <f>IF(AND($A582="",$B582=""),"",IF($X582&lt;&gt;"",$X582,IF($T582&lt;&gt;"Y","Not assessed",IF(AND(ISNUMBER($V582),Setup!$B$6-$V582&gt;Setup!$B$26),"Assessment outdated",IF(NOT(ISNUMBER($W582)),"Assessed – no score",IF($W582&gt;=Setup!$B$24,"High",IF($W582&gt;=Setup!$B$25,"Moderate","Low")))))))</f>
        <v/>
      </c>
      <c r="AL582" s="21">
        <f>IF(AND($A582="",$B582=""),"",IF(Z582=0,"",IF(AND(AE582=1,N($R582)&gt;AD582*1.01+0.001),"Net terrestrial &gt; gross; ","")&amp;IF(AND(AE582=1,N($S582)&gt;AC582*1.01+0.001),"Net marine &gt; gross; ","")&amp;IF(AE582=0,"No net area – gross used, overlaps may be double-counted; ","")&amp;IF(AH582=0,"STATUS_YR missing – imputed in time series; ","")&amp;IF(AND(ISNUMBER($I582),N($I582)&gt;Setup!$B$6),"STATUS_YR after reporting year; ","")&amp;IF(OR($G582="",$G582="Not Reported"),"GOV_TYPE not reported; ","")&amp;IF(AND(N($J582)=1,$K582="Point",N($M582)&lt;=0),"Coastal point without REP_M_AREA – land/sea split unknown; ","")&amp;IF(AND(N($J582)=0,N($S582)&gt;0),"MARINE=0 but net marine &gt;0; ","")&amp;IF(AND(N($J582)=2,N($R582)&gt;0),"MARINE=2 but net terrestrial &gt;0; ","")&amp;IF($K582="Point","Buffered point – coverage approximate; ","")))</f>
        <v/>
      </c>
    </row>
    <row r="583">
      <c r="A583" s="19" t="n"/>
      <c r="B583" s="19" t="n"/>
      <c r="C583" s="19" t="n"/>
      <c r="D583" s="19" t="n"/>
      <c r="E583" s="19" t="n"/>
      <c r="F583" s="19" t="n"/>
      <c r="G583" s="19" t="n"/>
      <c r="H583" s="19" t="n"/>
      <c r="I583" s="19" t="n"/>
      <c r="J583" s="19" t="n"/>
      <c r="K583" s="19" t="n"/>
      <c r="L583" s="20" t="n"/>
      <c r="M583" s="20" t="n"/>
      <c r="N583" s="20" t="n"/>
      <c r="O583" s="20" t="n"/>
      <c r="P583" s="19" t="n"/>
      <c r="Q583" s="19" t="n"/>
      <c r="R583" s="20" t="n"/>
      <c r="S583" s="20" t="n"/>
      <c r="T583" s="19" t="n"/>
      <c r="U583" s="19" t="n"/>
      <c r="V583" s="19" t="n"/>
      <c r="W583" s="19" t="n"/>
      <c r="X583" s="19" t="n"/>
      <c r="Y583" s="19" t="n"/>
      <c r="Z583" s="21">
        <f>IF(AND($A583="",$B583=""),"",IF(OR($E583="",$H583="",$H583="Proposed",$H583="Not Reported"),0,IF(AND($P583="Y",$Q583&lt;&gt;"Y"),0,IF(AND($K583="Point",N($L583)&lt;=0),0,IF(AND(N($L583)&lt;=0,N($N583)&lt;=0,N($R583)+N($S583)&lt;=0),0,1)))))</f>
        <v/>
      </c>
      <c r="AA583" s="21">
        <f>IF(AND($A583="",$B583=""),"",IF($E583="","Site type missing",IF($H583="","STATUS missing",IF($H583="Proposed","STATUS = Proposed",IF($H583="Not Reported","STATUS = Not Reported",IF(AND($P583="Y",$Q583&lt;&gt;"Y"),"UNESCO-MAB Biosphere Reserve",IF(AND($K583="Point",N($L583)&lt;=0),"Point without REP_AREA",IF(AND(N($L583)&lt;=0,N($N583)&lt;=0,N($R583)+N($S583)&lt;=0),"No area information",""))))))))</f>
        <v/>
      </c>
      <c r="AB583" s="22">
        <f>IF(AND($A583="",$B583=""),"",IF($K583="Point",N($L583),IF(N($N583)&gt;0,N($N583),N($L583))))</f>
        <v/>
      </c>
      <c r="AC583" s="22">
        <f>IF(AND($A583="",$B583=""),"",MIN(AB583,IF(N($J583)=0,0,IF(N($J583)=2,AB583,IF(AND($K583&lt;&gt;"Point",N($O583)&gt;0),N($O583),N($M583))))))</f>
        <v/>
      </c>
      <c r="AD583" s="22">
        <f>IF(AND($A583="",$B583=""),"",MAX(0,AB583-AC583))</f>
        <v/>
      </c>
      <c r="AE583" s="21">
        <f>IF(AND($A583="",$B583=""),"",IF(OR($R583&lt;&gt;"",$S583&lt;&gt;""),1,0))</f>
        <v/>
      </c>
      <c r="AF583" s="22">
        <f>IF(AND($A583="",$B583=""),"",IF(Z583=1,IF(AE583=1,N($R583),AD583),0))</f>
        <v/>
      </c>
      <c r="AG583" s="22">
        <f>IF(AND($A583="",$B583=""),"",IF(Z583=1,IF(AE583=1,N($S583),AC583),0))</f>
        <v/>
      </c>
      <c r="AH583" s="21">
        <f>IF(AND($A583="",$B583=""),"",IF(AND(ISNUMBER($I583),N($I583)&gt;0),$I583,0))</f>
        <v/>
      </c>
      <c r="AI583" s="23">
        <f>IF(AND(NOT(AND($A583="",$B583="")),$K583="Point",N($L583)&gt;0),SQRT(N($L583)/PI()),"")</f>
        <v/>
      </c>
      <c r="AJ583" s="21">
        <f>IF(AND($A583="",$B583=""),"",IFERROR(VLOOKUP($G583,Lists!$D$4:$E$15,2,FALSE),"Not reported"))</f>
        <v/>
      </c>
      <c r="AK583" s="21">
        <f>IF(AND($A583="",$B583=""),"",IF($X583&lt;&gt;"",$X583,IF($T583&lt;&gt;"Y","Not assessed",IF(AND(ISNUMBER($V583),Setup!$B$6-$V583&gt;Setup!$B$26),"Assessment outdated",IF(NOT(ISNUMBER($W583)),"Assessed – no score",IF($W583&gt;=Setup!$B$24,"High",IF($W583&gt;=Setup!$B$25,"Moderate","Low")))))))</f>
        <v/>
      </c>
      <c r="AL583" s="21">
        <f>IF(AND($A583="",$B583=""),"",IF(Z583=0,"",IF(AND(AE583=1,N($R583)&gt;AD583*1.01+0.001),"Net terrestrial &gt; gross; ","")&amp;IF(AND(AE583=1,N($S583)&gt;AC583*1.01+0.001),"Net marine &gt; gross; ","")&amp;IF(AE583=0,"No net area – gross used, overlaps may be double-counted; ","")&amp;IF(AH583=0,"STATUS_YR missing – imputed in time series; ","")&amp;IF(AND(ISNUMBER($I583),N($I583)&gt;Setup!$B$6),"STATUS_YR after reporting year; ","")&amp;IF(OR($G583="",$G583="Not Reported"),"GOV_TYPE not reported; ","")&amp;IF(AND(N($J583)=1,$K583="Point",N($M583)&lt;=0),"Coastal point without REP_M_AREA – land/sea split unknown; ","")&amp;IF(AND(N($J583)=0,N($S583)&gt;0),"MARINE=0 but net marine &gt;0; ","")&amp;IF(AND(N($J583)=2,N($R583)&gt;0),"MARINE=2 but net terrestrial &gt;0; ","")&amp;IF($K583="Point","Buffered point – coverage approximate; ","")))</f>
        <v/>
      </c>
    </row>
    <row r="584">
      <c r="A584" s="19" t="n"/>
      <c r="B584" s="19" t="n"/>
      <c r="C584" s="19" t="n"/>
      <c r="D584" s="19" t="n"/>
      <c r="E584" s="19" t="n"/>
      <c r="F584" s="19" t="n"/>
      <c r="G584" s="19" t="n"/>
      <c r="H584" s="19" t="n"/>
      <c r="I584" s="19" t="n"/>
      <c r="J584" s="19" t="n"/>
      <c r="K584" s="19" t="n"/>
      <c r="L584" s="20" t="n"/>
      <c r="M584" s="20" t="n"/>
      <c r="N584" s="20" t="n"/>
      <c r="O584" s="20" t="n"/>
      <c r="P584" s="19" t="n"/>
      <c r="Q584" s="19" t="n"/>
      <c r="R584" s="20" t="n"/>
      <c r="S584" s="20" t="n"/>
      <c r="T584" s="19" t="n"/>
      <c r="U584" s="19" t="n"/>
      <c r="V584" s="19" t="n"/>
      <c r="W584" s="19" t="n"/>
      <c r="X584" s="19" t="n"/>
      <c r="Y584" s="19" t="n"/>
      <c r="Z584" s="21">
        <f>IF(AND($A584="",$B584=""),"",IF(OR($E584="",$H584="",$H584="Proposed",$H584="Not Reported"),0,IF(AND($P584="Y",$Q584&lt;&gt;"Y"),0,IF(AND($K584="Point",N($L584)&lt;=0),0,IF(AND(N($L584)&lt;=0,N($N584)&lt;=0,N($R584)+N($S584)&lt;=0),0,1)))))</f>
        <v/>
      </c>
      <c r="AA584" s="21">
        <f>IF(AND($A584="",$B584=""),"",IF($E584="","Site type missing",IF($H584="","STATUS missing",IF($H584="Proposed","STATUS = Proposed",IF($H584="Not Reported","STATUS = Not Reported",IF(AND($P584="Y",$Q584&lt;&gt;"Y"),"UNESCO-MAB Biosphere Reserve",IF(AND($K584="Point",N($L584)&lt;=0),"Point without REP_AREA",IF(AND(N($L584)&lt;=0,N($N584)&lt;=0,N($R584)+N($S584)&lt;=0),"No area information",""))))))))</f>
        <v/>
      </c>
      <c r="AB584" s="22">
        <f>IF(AND($A584="",$B584=""),"",IF($K584="Point",N($L584),IF(N($N584)&gt;0,N($N584),N($L584))))</f>
        <v/>
      </c>
      <c r="AC584" s="22">
        <f>IF(AND($A584="",$B584=""),"",MIN(AB584,IF(N($J584)=0,0,IF(N($J584)=2,AB584,IF(AND($K584&lt;&gt;"Point",N($O584)&gt;0),N($O584),N($M584))))))</f>
        <v/>
      </c>
      <c r="AD584" s="22">
        <f>IF(AND($A584="",$B584=""),"",MAX(0,AB584-AC584))</f>
        <v/>
      </c>
      <c r="AE584" s="21">
        <f>IF(AND($A584="",$B584=""),"",IF(OR($R584&lt;&gt;"",$S584&lt;&gt;""),1,0))</f>
        <v/>
      </c>
      <c r="AF584" s="22">
        <f>IF(AND($A584="",$B584=""),"",IF(Z584=1,IF(AE584=1,N($R584),AD584),0))</f>
        <v/>
      </c>
      <c r="AG584" s="22">
        <f>IF(AND($A584="",$B584=""),"",IF(Z584=1,IF(AE584=1,N($S584),AC584),0))</f>
        <v/>
      </c>
      <c r="AH584" s="21">
        <f>IF(AND($A584="",$B584=""),"",IF(AND(ISNUMBER($I584),N($I584)&gt;0),$I584,0))</f>
        <v/>
      </c>
      <c r="AI584" s="23">
        <f>IF(AND(NOT(AND($A584="",$B584="")),$K584="Point",N($L584)&gt;0),SQRT(N($L584)/PI()),"")</f>
        <v/>
      </c>
      <c r="AJ584" s="21">
        <f>IF(AND($A584="",$B584=""),"",IFERROR(VLOOKUP($G584,Lists!$D$4:$E$15,2,FALSE),"Not reported"))</f>
        <v/>
      </c>
      <c r="AK584" s="21">
        <f>IF(AND($A584="",$B584=""),"",IF($X584&lt;&gt;"",$X584,IF($T584&lt;&gt;"Y","Not assessed",IF(AND(ISNUMBER($V584),Setup!$B$6-$V584&gt;Setup!$B$26),"Assessment outdated",IF(NOT(ISNUMBER($W584)),"Assessed – no score",IF($W584&gt;=Setup!$B$24,"High",IF($W584&gt;=Setup!$B$25,"Moderate","Low")))))))</f>
        <v/>
      </c>
      <c r="AL584" s="21">
        <f>IF(AND($A584="",$B584=""),"",IF(Z584=0,"",IF(AND(AE584=1,N($R584)&gt;AD584*1.01+0.001),"Net terrestrial &gt; gross; ","")&amp;IF(AND(AE584=1,N($S584)&gt;AC584*1.01+0.001),"Net marine &gt; gross; ","")&amp;IF(AE584=0,"No net area – gross used, overlaps may be double-counted; ","")&amp;IF(AH584=0,"STATUS_YR missing – imputed in time series; ","")&amp;IF(AND(ISNUMBER($I584),N($I584)&gt;Setup!$B$6),"STATUS_YR after reporting year; ","")&amp;IF(OR($G584="",$G584="Not Reported"),"GOV_TYPE not reported; ","")&amp;IF(AND(N($J584)=1,$K584="Point",N($M584)&lt;=0),"Coastal point without REP_M_AREA – land/sea split unknown; ","")&amp;IF(AND(N($J584)=0,N($S584)&gt;0),"MARINE=0 but net marine &gt;0; ","")&amp;IF(AND(N($J584)=2,N($R584)&gt;0),"MARINE=2 but net terrestrial &gt;0; ","")&amp;IF($K584="Point","Buffered point – coverage approximate; ","")))</f>
        <v/>
      </c>
    </row>
    <row r="585">
      <c r="A585" s="19" t="n"/>
      <c r="B585" s="19" t="n"/>
      <c r="C585" s="19" t="n"/>
      <c r="D585" s="19" t="n"/>
      <c r="E585" s="19" t="n"/>
      <c r="F585" s="19" t="n"/>
      <c r="G585" s="19" t="n"/>
      <c r="H585" s="19" t="n"/>
      <c r="I585" s="19" t="n"/>
      <c r="J585" s="19" t="n"/>
      <c r="K585" s="19" t="n"/>
      <c r="L585" s="20" t="n"/>
      <c r="M585" s="20" t="n"/>
      <c r="N585" s="20" t="n"/>
      <c r="O585" s="20" t="n"/>
      <c r="P585" s="19" t="n"/>
      <c r="Q585" s="19" t="n"/>
      <c r="R585" s="20" t="n"/>
      <c r="S585" s="20" t="n"/>
      <c r="T585" s="19" t="n"/>
      <c r="U585" s="19" t="n"/>
      <c r="V585" s="19" t="n"/>
      <c r="W585" s="19" t="n"/>
      <c r="X585" s="19" t="n"/>
      <c r="Y585" s="19" t="n"/>
      <c r="Z585" s="21">
        <f>IF(AND($A585="",$B585=""),"",IF(OR($E585="",$H585="",$H585="Proposed",$H585="Not Reported"),0,IF(AND($P585="Y",$Q585&lt;&gt;"Y"),0,IF(AND($K585="Point",N($L585)&lt;=0),0,IF(AND(N($L585)&lt;=0,N($N585)&lt;=0,N($R585)+N($S585)&lt;=0),0,1)))))</f>
        <v/>
      </c>
      <c r="AA585" s="21">
        <f>IF(AND($A585="",$B585=""),"",IF($E585="","Site type missing",IF($H585="","STATUS missing",IF($H585="Proposed","STATUS = Proposed",IF($H585="Not Reported","STATUS = Not Reported",IF(AND($P585="Y",$Q585&lt;&gt;"Y"),"UNESCO-MAB Biosphere Reserve",IF(AND($K585="Point",N($L585)&lt;=0),"Point without REP_AREA",IF(AND(N($L585)&lt;=0,N($N585)&lt;=0,N($R585)+N($S585)&lt;=0),"No area information",""))))))))</f>
        <v/>
      </c>
      <c r="AB585" s="22">
        <f>IF(AND($A585="",$B585=""),"",IF($K585="Point",N($L585),IF(N($N585)&gt;0,N($N585),N($L585))))</f>
        <v/>
      </c>
      <c r="AC585" s="22">
        <f>IF(AND($A585="",$B585=""),"",MIN(AB585,IF(N($J585)=0,0,IF(N($J585)=2,AB585,IF(AND($K585&lt;&gt;"Point",N($O585)&gt;0),N($O585),N($M585))))))</f>
        <v/>
      </c>
      <c r="AD585" s="22">
        <f>IF(AND($A585="",$B585=""),"",MAX(0,AB585-AC585))</f>
        <v/>
      </c>
      <c r="AE585" s="21">
        <f>IF(AND($A585="",$B585=""),"",IF(OR($R585&lt;&gt;"",$S585&lt;&gt;""),1,0))</f>
        <v/>
      </c>
      <c r="AF585" s="22">
        <f>IF(AND($A585="",$B585=""),"",IF(Z585=1,IF(AE585=1,N($R585),AD585),0))</f>
        <v/>
      </c>
      <c r="AG585" s="22">
        <f>IF(AND($A585="",$B585=""),"",IF(Z585=1,IF(AE585=1,N($S585),AC585),0))</f>
        <v/>
      </c>
      <c r="AH585" s="21">
        <f>IF(AND($A585="",$B585=""),"",IF(AND(ISNUMBER($I585),N($I585)&gt;0),$I585,0))</f>
        <v/>
      </c>
      <c r="AI585" s="23">
        <f>IF(AND(NOT(AND($A585="",$B585="")),$K585="Point",N($L585)&gt;0),SQRT(N($L585)/PI()),"")</f>
        <v/>
      </c>
      <c r="AJ585" s="21">
        <f>IF(AND($A585="",$B585=""),"",IFERROR(VLOOKUP($G585,Lists!$D$4:$E$15,2,FALSE),"Not reported"))</f>
        <v/>
      </c>
      <c r="AK585" s="21">
        <f>IF(AND($A585="",$B585=""),"",IF($X585&lt;&gt;"",$X585,IF($T585&lt;&gt;"Y","Not assessed",IF(AND(ISNUMBER($V585),Setup!$B$6-$V585&gt;Setup!$B$26),"Assessment outdated",IF(NOT(ISNUMBER($W585)),"Assessed – no score",IF($W585&gt;=Setup!$B$24,"High",IF($W585&gt;=Setup!$B$25,"Moderate","Low")))))))</f>
        <v/>
      </c>
      <c r="AL585" s="21">
        <f>IF(AND($A585="",$B585=""),"",IF(Z585=0,"",IF(AND(AE585=1,N($R585)&gt;AD585*1.01+0.001),"Net terrestrial &gt; gross; ","")&amp;IF(AND(AE585=1,N($S585)&gt;AC585*1.01+0.001),"Net marine &gt; gross; ","")&amp;IF(AE585=0,"No net area – gross used, overlaps may be double-counted; ","")&amp;IF(AH585=0,"STATUS_YR missing – imputed in time series; ","")&amp;IF(AND(ISNUMBER($I585),N($I585)&gt;Setup!$B$6),"STATUS_YR after reporting year; ","")&amp;IF(OR($G585="",$G585="Not Reported"),"GOV_TYPE not reported; ","")&amp;IF(AND(N($J585)=1,$K585="Point",N($M585)&lt;=0),"Coastal point without REP_M_AREA – land/sea split unknown; ","")&amp;IF(AND(N($J585)=0,N($S585)&gt;0),"MARINE=0 but net marine &gt;0; ","")&amp;IF(AND(N($J585)=2,N($R585)&gt;0),"MARINE=2 but net terrestrial &gt;0; ","")&amp;IF($K585="Point","Buffered point – coverage approximate; ","")))</f>
        <v/>
      </c>
    </row>
    <row r="586">
      <c r="A586" s="19" t="n"/>
      <c r="B586" s="19" t="n"/>
      <c r="C586" s="19" t="n"/>
      <c r="D586" s="19" t="n"/>
      <c r="E586" s="19" t="n"/>
      <c r="F586" s="19" t="n"/>
      <c r="G586" s="19" t="n"/>
      <c r="H586" s="19" t="n"/>
      <c r="I586" s="19" t="n"/>
      <c r="J586" s="19" t="n"/>
      <c r="K586" s="19" t="n"/>
      <c r="L586" s="20" t="n"/>
      <c r="M586" s="20" t="n"/>
      <c r="N586" s="20" t="n"/>
      <c r="O586" s="20" t="n"/>
      <c r="P586" s="19" t="n"/>
      <c r="Q586" s="19" t="n"/>
      <c r="R586" s="20" t="n"/>
      <c r="S586" s="20" t="n"/>
      <c r="T586" s="19" t="n"/>
      <c r="U586" s="19" t="n"/>
      <c r="V586" s="19" t="n"/>
      <c r="W586" s="19" t="n"/>
      <c r="X586" s="19" t="n"/>
      <c r="Y586" s="19" t="n"/>
      <c r="Z586" s="21">
        <f>IF(AND($A586="",$B586=""),"",IF(OR($E586="",$H586="",$H586="Proposed",$H586="Not Reported"),0,IF(AND($P586="Y",$Q586&lt;&gt;"Y"),0,IF(AND($K586="Point",N($L586)&lt;=0),0,IF(AND(N($L586)&lt;=0,N($N586)&lt;=0,N($R586)+N($S586)&lt;=0),0,1)))))</f>
        <v/>
      </c>
      <c r="AA586" s="21">
        <f>IF(AND($A586="",$B586=""),"",IF($E586="","Site type missing",IF($H586="","STATUS missing",IF($H586="Proposed","STATUS = Proposed",IF($H586="Not Reported","STATUS = Not Reported",IF(AND($P586="Y",$Q586&lt;&gt;"Y"),"UNESCO-MAB Biosphere Reserve",IF(AND($K586="Point",N($L586)&lt;=0),"Point without REP_AREA",IF(AND(N($L586)&lt;=0,N($N586)&lt;=0,N($R586)+N($S586)&lt;=0),"No area information",""))))))))</f>
        <v/>
      </c>
      <c r="AB586" s="22">
        <f>IF(AND($A586="",$B586=""),"",IF($K586="Point",N($L586),IF(N($N586)&gt;0,N($N586),N($L586))))</f>
        <v/>
      </c>
      <c r="AC586" s="22">
        <f>IF(AND($A586="",$B586=""),"",MIN(AB586,IF(N($J586)=0,0,IF(N($J586)=2,AB586,IF(AND($K586&lt;&gt;"Point",N($O586)&gt;0),N($O586),N($M586))))))</f>
        <v/>
      </c>
      <c r="AD586" s="22">
        <f>IF(AND($A586="",$B586=""),"",MAX(0,AB586-AC586))</f>
        <v/>
      </c>
      <c r="AE586" s="21">
        <f>IF(AND($A586="",$B586=""),"",IF(OR($R586&lt;&gt;"",$S586&lt;&gt;""),1,0))</f>
        <v/>
      </c>
      <c r="AF586" s="22">
        <f>IF(AND($A586="",$B586=""),"",IF(Z586=1,IF(AE586=1,N($R586),AD586),0))</f>
        <v/>
      </c>
      <c r="AG586" s="22">
        <f>IF(AND($A586="",$B586=""),"",IF(Z586=1,IF(AE586=1,N($S586),AC586),0))</f>
        <v/>
      </c>
      <c r="AH586" s="21">
        <f>IF(AND($A586="",$B586=""),"",IF(AND(ISNUMBER($I586),N($I586)&gt;0),$I586,0))</f>
        <v/>
      </c>
      <c r="AI586" s="23">
        <f>IF(AND(NOT(AND($A586="",$B586="")),$K586="Point",N($L586)&gt;0),SQRT(N($L586)/PI()),"")</f>
        <v/>
      </c>
      <c r="AJ586" s="21">
        <f>IF(AND($A586="",$B586=""),"",IFERROR(VLOOKUP($G586,Lists!$D$4:$E$15,2,FALSE),"Not reported"))</f>
        <v/>
      </c>
      <c r="AK586" s="21">
        <f>IF(AND($A586="",$B586=""),"",IF($X586&lt;&gt;"",$X586,IF($T586&lt;&gt;"Y","Not assessed",IF(AND(ISNUMBER($V586),Setup!$B$6-$V586&gt;Setup!$B$26),"Assessment outdated",IF(NOT(ISNUMBER($W586)),"Assessed – no score",IF($W586&gt;=Setup!$B$24,"High",IF($W586&gt;=Setup!$B$25,"Moderate","Low")))))))</f>
        <v/>
      </c>
      <c r="AL586" s="21">
        <f>IF(AND($A586="",$B586=""),"",IF(Z586=0,"",IF(AND(AE586=1,N($R586)&gt;AD586*1.01+0.001),"Net terrestrial &gt; gross; ","")&amp;IF(AND(AE586=1,N($S586)&gt;AC586*1.01+0.001),"Net marine &gt; gross; ","")&amp;IF(AE586=0,"No net area – gross used, overlaps may be double-counted; ","")&amp;IF(AH586=0,"STATUS_YR missing – imputed in time series; ","")&amp;IF(AND(ISNUMBER($I586),N($I586)&gt;Setup!$B$6),"STATUS_YR after reporting year; ","")&amp;IF(OR($G586="",$G586="Not Reported"),"GOV_TYPE not reported; ","")&amp;IF(AND(N($J586)=1,$K586="Point",N($M586)&lt;=0),"Coastal point without REP_M_AREA – land/sea split unknown; ","")&amp;IF(AND(N($J586)=0,N($S586)&gt;0),"MARINE=0 but net marine &gt;0; ","")&amp;IF(AND(N($J586)=2,N($R586)&gt;0),"MARINE=2 but net terrestrial &gt;0; ","")&amp;IF($K586="Point","Buffered point – coverage approximate; ","")))</f>
        <v/>
      </c>
    </row>
    <row r="587">
      <c r="A587" s="19" t="n"/>
      <c r="B587" s="19" t="n"/>
      <c r="C587" s="19" t="n"/>
      <c r="D587" s="19" t="n"/>
      <c r="E587" s="19" t="n"/>
      <c r="F587" s="19" t="n"/>
      <c r="G587" s="19" t="n"/>
      <c r="H587" s="19" t="n"/>
      <c r="I587" s="19" t="n"/>
      <c r="J587" s="19" t="n"/>
      <c r="K587" s="19" t="n"/>
      <c r="L587" s="20" t="n"/>
      <c r="M587" s="20" t="n"/>
      <c r="N587" s="20" t="n"/>
      <c r="O587" s="20" t="n"/>
      <c r="P587" s="19" t="n"/>
      <c r="Q587" s="19" t="n"/>
      <c r="R587" s="20" t="n"/>
      <c r="S587" s="20" t="n"/>
      <c r="T587" s="19" t="n"/>
      <c r="U587" s="19" t="n"/>
      <c r="V587" s="19" t="n"/>
      <c r="W587" s="19" t="n"/>
      <c r="X587" s="19" t="n"/>
      <c r="Y587" s="19" t="n"/>
      <c r="Z587" s="21">
        <f>IF(AND($A587="",$B587=""),"",IF(OR($E587="",$H587="",$H587="Proposed",$H587="Not Reported"),0,IF(AND($P587="Y",$Q587&lt;&gt;"Y"),0,IF(AND($K587="Point",N($L587)&lt;=0),0,IF(AND(N($L587)&lt;=0,N($N587)&lt;=0,N($R587)+N($S587)&lt;=0),0,1)))))</f>
        <v/>
      </c>
      <c r="AA587" s="21">
        <f>IF(AND($A587="",$B587=""),"",IF($E587="","Site type missing",IF($H587="","STATUS missing",IF($H587="Proposed","STATUS = Proposed",IF($H587="Not Reported","STATUS = Not Reported",IF(AND($P587="Y",$Q587&lt;&gt;"Y"),"UNESCO-MAB Biosphere Reserve",IF(AND($K587="Point",N($L587)&lt;=0),"Point without REP_AREA",IF(AND(N($L587)&lt;=0,N($N587)&lt;=0,N($R587)+N($S587)&lt;=0),"No area information",""))))))))</f>
        <v/>
      </c>
      <c r="AB587" s="22">
        <f>IF(AND($A587="",$B587=""),"",IF($K587="Point",N($L587),IF(N($N587)&gt;0,N($N587),N($L587))))</f>
        <v/>
      </c>
      <c r="AC587" s="22">
        <f>IF(AND($A587="",$B587=""),"",MIN(AB587,IF(N($J587)=0,0,IF(N($J587)=2,AB587,IF(AND($K587&lt;&gt;"Point",N($O587)&gt;0),N($O587),N($M587))))))</f>
        <v/>
      </c>
      <c r="AD587" s="22">
        <f>IF(AND($A587="",$B587=""),"",MAX(0,AB587-AC587))</f>
        <v/>
      </c>
      <c r="AE587" s="21">
        <f>IF(AND($A587="",$B587=""),"",IF(OR($R587&lt;&gt;"",$S587&lt;&gt;""),1,0))</f>
        <v/>
      </c>
      <c r="AF587" s="22">
        <f>IF(AND($A587="",$B587=""),"",IF(Z587=1,IF(AE587=1,N($R587),AD587),0))</f>
        <v/>
      </c>
      <c r="AG587" s="22">
        <f>IF(AND($A587="",$B587=""),"",IF(Z587=1,IF(AE587=1,N($S587),AC587),0))</f>
        <v/>
      </c>
      <c r="AH587" s="21">
        <f>IF(AND($A587="",$B587=""),"",IF(AND(ISNUMBER($I587),N($I587)&gt;0),$I587,0))</f>
        <v/>
      </c>
      <c r="AI587" s="23">
        <f>IF(AND(NOT(AND($A587="",$B587="")),$K587="Point",N($L587)&gt;0),SQRT(N($L587)/PI()),"")</f>
        <v/>
      </c>
      <c r="AJ587" s="21">
        <f>IF(AND($A587="",$B587=""),"",IFERROR(VLOOKUP($G587,Lists!$D$4:$E$15,2,FALSE),"Not reported"))</f>
        <v/>
      </c>
      <c r="AK587" s="21">
        <f>IF(AND($A587="",$B587=""),"",IF($X587&lt;&gt;"",$X587,IF($T587&lt;&gt;"Y","Not assessed",IF(AND(ISNUMBER($V587),Setup!$B$6-$V587&gt;Setup!$B$26),"Assessment outdated",IF(NOT(ISNUMBER($W587)),"Assessed – no score",IF($W587&gt;=Setup!$B$24,"High",IF($W587&gt;=Setup!$B$25,"Moderate","Low")))))))</f>
        <v/>
      </c>
      <c r="AL587" s="21">
        <f>IF(AND($A587="",$B587=""),"",IF(Z587=0,"",IF(AND(AE587=1,N($R587)&gt;AD587*1.01+0.001),"Net terrestrial &gt; gross; ","")&amp;IF(AND(AE587=1,N($S587)&gt;AC587*1.01+0.001),"Net marine &gt; gross; ","")&amp;IF(AE587=0,"No net area – gross used, overlaps may be double-counted; ","")&amp;IF(AH587=0,"STATUS_YR missing – imputed in time series; ","")&amp;IF(AND(ISNUMBER($I587),N($I587)&gt;Setup!$B$6),"STATUS_YR after reporting year; ","")&amp;IF(OR($G587="",$G587="Not Reported"),"GOV_TYPE not reported; ","")&amp;IF(AND(N($J587)=1,$K587="Point",N($M587)&lt;=0),"Coastal point without REP_M_AREA – land/sea split unknown; ","")&amp;IF(AND(N($J587)=0,N($S587)&gt;0),"MARINE=0 but net marine &gt;0; ","")&amp;IF(AND(N($J587)=2,N($R587)&gt;0),"MARINE=2 but net terrestrial &gt;0; ","")&amp;IF($K587="Point","Buffered point – coverage approximate; ","")))</f>
        <v/>
      </c>
    </row>
    <row r="588">
      <c r="A588" s="19" t="n"/>
      <c r="B588" s="19" t="n"/>
      <c r="C588" s="19" t="n"/>
      <c r="D588" s="19" t="n"/>
      <c r="E588" s="19" t="n"/>
      <c r="F588" s="19" t="n"/>
      <c r="G588" s="19" t="n"/>
      <c r="H588" s="19" t="n"/>
      <c r="I588" s="19" t="n"/>
      <c r="J588" s="19" t="n"/>
      <c r="K588" s="19" t="n"/>
      <c r="L588" s="20" t="n"/>
      <c r="M588" s="20" t="n"/>
      <c r="N588" s="20" t="n"/>
      <c r="O588" s="20" t="n"/>
      <c r="P588" s="19" t="n"/>
      <c r="Q588" s="19" t="n"/>
      <c r="R588" s="20" t="n"/>
      <c r="S588" s="20" t="n"/>
      <c r="T588" s="19" t="n"/>
      <c r="U588" s="19" t="n"/>
      <c r="V588" s="19" t="n"/>
      <c r="W588" s="19" t="n"/>
      <c r="X588" s="19" t="n"/>
      <c r="Y588" s="19" t="n"/>
      <c r="Z588" s="21">
        <f>IF(AND($A588="",$B588=""),"",IF(OR($E588="",$H588="",$H588="Proposed",$H588="Not Reported"),0,IF(AND($P588="Y",$Q588&lt;&gt;"Y"),0,IF(AND($K588="Point",N($L588)&lt;=0),0,IF(AND(N($L588)&lt;=0,N($N588)&lt;=0,N($R588)+N($S588)&lt;=0),0,1)))))</f>
        <v/>
      </c>
      <c r="AA588" s="21">
        <f>IF(AND($A588="",$B588=""),"",IF($E588="","Site type missing",IF($H588="","STATUS missing",IF($H588="Proposed","STATUS = Proposed",IF($H588="Not Reported","STATUS = Not Reported",IF(AND($P588="Y",$Q588&lt;&gt;"Y"),"UNESCO-MAB Biosphere Reserve",IF(AND($K588="Point",N($L588)&lt;=0),"Point without REP_AREA",IF(AND(N($L588)&lt;=0,N($N588)&lt;=0,N($R588)+N($S588)&lt;=0),"No area information",""))))))))</f>
        <v/>
      </c>
      <c r="AB588" s="22">
        <f>IF(AND($A588="",$B588=""),"",IF($K588="Point",N($L588),IF(N($N588)&gt;0,N($N588),N($L588))))</f>
        <v/>
      </c>
      <c r="AC588" s="22">
        <f>IF(AND($A588="",$B588=""),"",MIN(AB588,IF(N($J588)=0,0,IF(N($J588)=2,AB588,IF(AND($K588&lt;&gt;"Point",N($O588)&gt;0),N($O588),N($M588))))))</f>
        <v/>
      </c>
      <c r="AD588" s="22">
        <f>IF(AND($A588="",$B588=""),"",MAX(0,AB588-AC588))</f>
        <v/>
      </c>
      <c r="AE588" s="21">
        <f>IF(AND($A588="",$B588=""),"",IF(OR($R588&lt;&gt;"",$S588&lt;&gt;""),1,0))</f>
        <v/>
      </c>
      <c r="AF588" s="22">
        <f>IF(AND($A588="",$B588=""),"",IF(Z588=1,IF(AE588=1,N($R588),AD588),0))</f>
        <v/>
      </c>
      <c r="AG588" s="22">
        <f>IF(AND($A588="",$B588=""),"",IF(Z588=1,IF(AE588=1,N($S588),AC588),0))</f>
        <v/>
      </c>
      <c r="AH588" s="21">
        <f>IF(AND($A588="",$B588=""),"",IF(AND(ISNUMBER($I588),N($I588)&gt;0),$I588,0))</f>
        <v/>
      </c>
      <c r="AI588" s="23">
        <f>IF(AND(NOT(AND($A588="",$B588="")),$K588="Point",N($L588)&gt;0),SQRT(N($L588)/PI()),"")</f>
        <v/>
      </c>
      <c r="AJ588" s="21">
        <f>IF(AND($A588="",$B588=""),"",IFERROR(VLOOKUP($G588,Lists!$D$4:$E$15,2,FALSE),"Not reported"))</f>
        <v/>
      </c>
      <c r="AK588" s="21">
        <f>IF(AND($A588="",$B588=""),"",IF($X588&lt;&gt;"",$X588,IF($T588&lt;&gt;"Y","Not assessed",IF(AND(ISNUMBER($V588),Setup!$B$6-$V588&gt;Setup!$B$26),"Assessment outdated",IF(NOT(ISNUMBER($W588)),"Assessed – no score",IF($W588&gt;=Setup!$B$24,"High",IF($W588&gt;=Setup!$B$25,"Moderate","Low")))))))</f>
        <v/>
      </c>
      <c r="AL588" s="21">
        <f>IF(AND($A588="",$B588=""),"",IF(Z588=0,"",IF(AND(AE588=1,N($R588)&gt;AD588*1.01+0.001),"Net terrestrial &gt; gross; ","")&amp;IF(AND(AE588=1,N($S588)&gt;AC588*1.01+0.001),"Net marine &gt; gross; ","")&amp;IF(AE588=0,"No net area – gross used, overlaps may be double-counted; ","")&amp;IF(AH588=0,"STATUS_YR missing – imputed in time series; ","")&amp;IF(AND(ISNUMBER($I588),N($I588)&gt;Setup!$B$6),"STATUS_YR after reporting year; ","")&amp;IF(OR($G588="",$G588="Not Reported"),"GOV_TYPE not reported; ","")&amp;IF(AND(N($J588)=1,$K588="Point",N($M588)&lt;=0),"Coastal point without REP_M_AREA – land/sea split unknown; ","")&amp;IF(AND(N($J588)=0,N($S588)&gt;0),"MARINE=0 but net marine &gt;0; ","")&amp;IF(AND(N($J588)=2,N($R588)&gt;0),"MARINE=2 but net terrestrial &gt;0; ","")&amp;IF($K588="Point","Buffered point – coverage approximate; ","")))</f>
        <v/>
      </c>
    </row>
    <row r="589">
      <c r="A589" s="19" t="n"/>
      <c r="B589" s="19" t="n"/>
      <c r="C589" s="19" t="n"/>
      <c r="D589" s="19" t="n"/>
      <c r="E589" s="19" t="n"/>
      <c r="F589" s="19" t="n"/>
      <c r="G589" s="19" t="n"/>
      <c r="H589" s="19" t="n"/>
      <c r="I589" s="19" t="n"/>
      <c r="J589" s="19" t="n"/>
      <c r="K589" s="19" t="n"/>
      <c r="L589" s="20" t="n"/>
      <c r="M589" s="20" t="n"/>
      <c r="N589" s="20" t="n"/>
      <c r="O589" s="20" t="n"/>
      <c r="P589" s="19" t="n"/>
      <c r="Q589" s="19" t="n"/>
      <c r="R589" s="20" t="n"/>
      <c r="S589" s="20" t="n"/>
      <c r="T589" s="19" t="n"/>
      <c r="U589" s="19" t="n"/>
      <c r="V589" s="19" t="n"/>
      <c r="W589" s="19" t="n"/>
      <c r="X589" s="19" t="n"/>
      <c r="Y589" s="19" t="n"/>
      <c r="Z589" s="21">
        <f>IF(AND($A589="",$B589=""),"",IF(OR($E589="",$H589="",$H589="Proposed",$H589="Not Reported"),0,IF(AND($P589="Y",$Q589&lt;&gt;"Y"),0,IF(AND($K589="Point",N($L589)&lt;=0),0,IF(AND(N($L589)&lt;=0,N($N589)&lt;=0,N($R589)+N($S589)&lt;=0),0,1)))))</f>
        <v/>
      </c>
      <c r="AA589" s="21">
        <f>IF(AND($A589="",$B589=""),"",IF($E589="","Site type missing",IF($H589="","STATUS missing",IF($H589="Proposed","STATUS = Proposed",IF($H589="Not Reported","STATUS = Not Reported",IF(AND($P589="Y",$Q589&lt;&gt;"Y"),"UNESCO-MAB Biosphere Reserve",IF(AND($K589="Point",N($L589)&lt;=0),"Point without REP_AREA",IF(AND(N($L589)&lt;=0,N($N589)&lt;=0,N($R589)+N($S589)&lt;=0),"No area information",""))))))))</f>
        <v/>
      </c>
      <c r="AB589" s="22">
        <f>IF(AND($A589="",$B589=""),"",IF($K589="Point",N($L589),IF(N($N589)&gt;0,N($N589),N($L589))))</f>
        <v/>
      </c>
      <c r="AC589" s="22">
        <f>IF(AND($A589="",$B589=""),"",MIN(AB589,IF(N($J589)=0,0,IF(N($J589)=2,AB589,IF(AND($K589&lt;&gt;"Point",N($O589)&gt;0),N($O589),N($M589))))))</f>
        <v/>
      </c>
      <c r="AD589" s="22">
        <f>IF(AND($A589="",$B589=""),"",MAX(0,AB589-AC589))</f>
        <v/>
      </c>
      <c r="AE589" s="21">
        <f>IF(AND($A589="",$B589=""),"",IF(OR($R589&lt;&gt;"",$S589&lt;&gt;""),1,0))</f>
        <v/>
      </c>
      <c r="AF589" s="22">
        <f>IF(AND($A589="",$B589=""),"",IF(Z589=1,IF(AE589=1,N($R589),AD589),0))</f>
        <v/>
      </c>
      <c r="AG589" s="22">
        <f>IF(AND($A589="",$B589=""),"",IF(Z589=1,IF(AE589=1,N($S589),AC589),0))</f>
        <v/>
      </c>
      <c r="AH589" s="21">
        <f>IF(AND($A589="",$B589=""),"",IF(AND(ISNUMBER($I589),N($I589)&gt;0),$I589,0))</f>
        <v/>
      </c>
      <c r="AI589" s="23">
        <f>IF(AND(NOT(AND($A589="",$B589="")),$K589="Point",N($L589)&gt;0),SQRT(N($L589)/PI()),"")</f>
        <v/>
      </c>
      <c r="AJ589" s="21">
        <f>IF(AND($A589="",$B589=""),"",IFERROR(VLOOKUP($G589,Lists!$D$4:$E$15,2,FALSE),"Not reported"))</f>
        <v/>
      </c>
      <c r="AK589" s="21">
        <f>IF(AND($A589="",$B589=""),"",IF($X589&lt;&gt;"",$X589,IF($T589&lt;&gt;"Y","Not assessed",IF(AND(ISNUMBER($V589),Setup!$B$6-$V589&gt;Setup!$B$26),"Assessment outdated",IF(NOT(ISNUMBER($W589)),"Assessed – no score",IF($W589&gt;=Setup!$B$24,"High",IF($W589&gt;=Setup!$B$25,"Moderate","Low")))))))</f>
        <v/>
      </c>
      <c r="AL589" s="21">
        <f>IF(AND($A589="",$B589=""),"",IF(Z589=0,"",IF(AND(AE589=1,N($R589)&gt;AD589*1.01+0.001),"Net terrestrial &gt; gross; ","")&amp;IF(AND(AE589=1,N($S589)&gt;AC589*1.01+0.001),"Net marine &gt; gross; ","")&amp;IF(AE589=0,"No net area – gross used, overlaps may be double-counted; ","")&amp;IF(AH589=0,"STATUS_YR missing – imputed in time series; ","")&amp;IF(AND(ISNUMBER($I589),N($I589)&gt;Setup!$B$6),"STATUS_YR after reporting year; ","")&amp;IF(OR($G589="",$G589="Not Reported"),"GOV_TYPE not reported; ","")&amp;IF(AND(N($J589)=1,$K589="Point",N($M589)&lt;=0),"Coastal point without REP_M_AREA – land/sea split unknown; ","")&amp;IF(AND(N($J589)=0,N($S589)&gt;0),"MARINE=0 but net marine &gt;0; ","")&amp;IF(AND(N($J589)=2,N($R589)&gt;0),"MARINE=2 but net terrestrial &gt;0; ","")&amp;IF($K589="Point","Buffered point – coverage approximate; ","")))</f>
        <v/>
      </c>
    </row>
    <row r="590">
      <c r="A590" s="19" t="n"/>
      <c r="B590" s="19" t="n"/>
      <c r="C590" s="19" t="n"/>
      <c r="D590" s="19" t="n"/>
      <c r="E590" s="19" t="n"/>
      <c r="F590" s="19" t="n"/>
      <c r="G590" s="19" t="n"/>
      <c r="H590" s="19" t="n"/>
      <c r="I590" s="19" t="n"/>
      <c r="J590" s="19" t="n"/>
      <c r="K590" s="19" t="n"/>
      <c r="L590" s="20" t="n"/>
      <c r="M590" s="20" t="n"/>
      <c r="N590" s="20" t="n"/>
      <c r="O590" s="20" t="n"/>
      <c r="P590" s="19" t="n"/>
      <c r="Q590" s="19" t="n"/>
      <c r="R590" s="20" t="n"/>
      <c r="S590" s="20" t="n"/>
      <c r="T590" s="19" t="n"/>
      <c r="U590" s="19" t="n"/>
      <c r="V590" s="19" t="n"/>
      <c r="W590" s="19" t="n"/>
      <c r="X590" s="19" t="n"/>
      <c r="Y590" s="19" t="n"/>
      <c r="Z590" s="21">
        <f>IF(AND($A590="",$B590=""),"",IF(OR($E590="",$H590="",$H590="Proposed",$H590="Not Reported"),0,IF(AND($P590="Y",$Q590&lt;&gt;"Y"),0,IF(AND($K590="Point",N($L590)&lt;=0),0,IF(AND(N($L590)&lt;=0,N($N590)&lt;=0,N($R590)+N($S590)&lt;=0),0,1)))))</f>
        <v/>
      </c>
      <c r="AA590" s="21">
        <f>IF(AND($A590="",$B590=""),"",IF($E590="","Site type missing",IF($H590="","STATUS missing",IF($H590="Proposed","STATUS = Proposed",IF($H590="Not Reported","STATUS = Not Reported",IF(AND($P590="Y",$Q590&lt;&gt;"Y"),"UNESCO-MAB Biosphere Reserve",IF(AND($K590="Point",N($L590)&lt;=0),"Point without REP_AREA",IF(AND(N($L590)&lt;=0,N($N590)&lt;=0,N($R590)+N($S590)&lt;=0),"No area information",""))))))))</f>
        <v/>
      </c>
      <c r="AB590" s="22">
        <f>IF(AND($A590="",$B590=""),"",IF($K590="Point",N($L590),IF(N($N590)&gt;0,N($N590),N($L590))))</f>
        <v/>
      </c>
      <c r="AC590" s="22">
        <f>IF(AND($A590="",$B590=""),"",MIN(AB590,IF(N($J590)=0,0,IF(N($J590)=2,AB590,IF(AND($K590&lt;&gt;"Point",N($O590)&gt;0),N($O590),N($M590))))))</f>
        <v/>
      </c>
      <c r="AD590" s="22">
        <f>IF(AND($A590="",$B590=""),"",MAX(0,AB590-AC590))</f>
        <v/>
      </c>
      <c r="AE590" s="21">
        <f>IF(AND($A590="",$B590=""),"",IF(OR($R590&lt;&gt;"",$S590&lt;&gt;""),1,0))</f>
        <v/>
      </c>
      <c r="AF590" s="22">
        <f>IF(AND($A590="",$B590=""),"",IF(Z590=1,IF(AE590=1,N($R590),AD590),0))</f>
        <v/>
      </c>
      <c r="AG590" s="22">
        <f>IF(AND($A590="",$B590=""),"",IF(Z590=1,IF(AE590=1,N($S590),AC590),0))</f>
        <v/>
      </c>
      <c r="AH590" s="21">
        <f>IF(AND($A590="",$B590=""),"",IF(AND(ISNUMBER($I590),N($I590)&gt;0),$I590,0))</f>
        <v/>
      </c>
      <c r="AI590" s="23">
        <f>IF(AND(NOT(AND($A590="",$B590="")),$K590="Point",N($L590)&gt;0),SQRT(N($L590)/PI()),"")</f>
        <v/>
      </c>
      <c r="AJ590" s="21">
        <f>IF(AND($A590="",$B590=""),"",IFERROR(VLOOKUP($G590,Lists!$D$4:$E$15,2,FALSE),"Not reported"))</f>
        <v/>
      </c>
      <c r="AK590" s="21">
        <f>IF(AND($A590="",$B590=""),"",IF($X590&lt;&gt;"",$X590,IF($T590&lt;&gt;"Y","Not assessed",IF(AND(ISNUMBER($V590),Setup!$B$6-$V590&gt;Setup!$B$26),"Assessment outdated",IF(NOT(ISNUMBER($W590)),"Assessed – no score",IF($W590&gt;=Setup!$B$24,"High",IF($W590&gt;=Setup!$B$25,"Moderate","Low")))))))</f>
        <v/>
      </c>
      <c r="AL590" s="21">
        <f>IF(AND($A590="",$B590=""),"",IF(Z590=0,"",IF(AND(AE590=1,N($R590)&gt;AD590*1.01+0.001),"Net terrestrial &gt; gross; ","")&amp;IF(AND(AE590=1,N($S590)&gt;AC590*1.01+0.001),"Net marine &gt; gross; ","")&amp;IF(AE590=0,"No net area – gross used, overlaps may be double-counted; ","")&amp;IF(AH590=0,"STATUS_YR missing – imputed in time series; ","")&amp;IF(AND(ISNUMBER($I590),N($I590)&gt;Setup!$B$6),"STATUS_YR after reporting year; ","")&amp;IF(OR($G590="",$G590="Not Reported"),"GOV_TYPE not reported; ","")&amp;IF(AND(N($J590)=1,$K590="Point",N($M590)&lt;=0),"Coastal point without REP_M_AREA – land/sea split unknown; ","")&amp;IF(AND(N($J590)=0,N($S590)&gt;0),"MARINE=0 but net marine &gt;0; ","")&amp;IF(AND(N($J590)=2,N($R590)&gt;0),"MARINE=2 but net terrestrial &gt;0; ","")&amp;IF($K590="Point","Buffered point – coverage approximate; ","")))</f>
        <v/>
      </c>
    </row>
    <row r="591">
      <c r="A591" s="19" t="n"/>
      <c r="B591" s="19" t="n"/>
      <c r="C591" s="19" t="n"/>
      <c r="D591" s="19" t="n"/>
      <c r="E591" s="19" t="n"/>
      <c r="F591" s="19" t="n"/>
      <c r="G591" s="19" t="n"/>
      <c r="H591" s="19" t="n"/>
      <c r="I591" s="19" t="n"/>
      <c r="J591" s="19" t="n"/>
      <c r="K591" s="19" t="n"/>
      <c r="L591" s="20" t="n"/>
      <c r="M591" s="20" t="n"/>
      <c r="N591" s="20" t="n"/>
      <c r="O591" s="20" t="n"/>
      <c r="P591" s="19" t="n"/>
      <c r="Q591" s="19" t="n"/>
      <c r="R591" s="20" t="n"/>
      <c r="S591" s="20" t="n"/>
      <c r="T591" s="19" t="n"/>
      <c r="U591" s="19" t="n"/>
      <c r="V591" s="19" t="n"/>
      <c r="W591" s="19" t="n"/>
      <c r="X591" s="19" t="n"/>
      <c r="Y591" s="19" t="n"/>
      <c r="Z591" s="21">
        <f>IF(AND($A591="",$B591=""),"",IF(OR($E591="",$H591="",$H591="Proposed",$H591="Not Reported"),0,IF(AND($P591="Y",$Q591&lt;&gt;"Y"),0,IF(AND($K591="Point",N($L591)&lt;=0),0,IF(AND(N($L591)&lt;=0,N($N591)&lt;=0,N($R591)+N($S591)&lt;=0),0,1)))))</f>
        <v/>
      </c>
      <c r="AA591" s="21">
        <f>IF(AND($A591="",$B591=""),"",IF($E591="","Site type missing",IF($H591="","STATUS missing",IF($H591="Proposed","STATUS = Proposed",IF($H591="Not Reported","STATUS = Not Reported",IF(AND($P591="Y",$Q591&lt;&gt;"Y"),"UNESCO-MAB Biosphere Reserve",IF(AND($K591="Point",N($L591)&lt;=0),"Point without REP_AREA",IF(AND(N($L591)&lt;=0,N($N591)&lt;=0,N($R591)+N($S591)&lt;=0),"No area information",""))))))))</f>
        <v/>
      </c>
      <c r="AB591" s="22">
        <f>IF(AND($A591="",$B591=""),"",IF($K591="Point",N($L591),IF(N($N591)&gt;0,N($N591),N($L591))))</f>
        <v/>
      </c>
      <c r="AC591" s="22">
        <f>IF(AND($A591="",$B591=""),"",MIN(AB591,IF(N($J591)=0,0,IF(N($J591)=2,AB591,IF(AND($K591&lt;&gt;"Point",N($O591)&gt;0),N($O591),N($M591))))))</f>
        <v/>
      </c>
      <c r="AD591" s="22">
        <f>IF(AND($A591="",$B591=""),"",MAX(0,AB591-AC591))</f>
        <v/>
      </c>
      <c r="AE591" s="21">
        <f>IF(AND($A591="",$B591=""),"",IF(OR($R591&lt;&gt;"",$S591&lt;&gt;""),1,0))</f>
        <v/>
      </c>
      <c r="AF591" s="22">
        <f>IF(AND($A591="",$B591=""),"",IF(Z591=1,IF(AE591=1,N($R591),AD591),0))</f>
        <v/>
      </c>
      <c r="AG591" s="22">
        <f>IF(AND($A591="",$B591=""),"",IF(Z591=1,IF(AE591=1,N($S591),AC591),0))</f>
        <v/>
      </c>
      <c r="AH591" s="21">
        <f>IF(AND($A591="",$B591=""),"",IF(AND(ISNUMBER($I591),N($I591)&gt;0),$I591,0))</f>
        <v/>
      </c>
      <c r="AI591" s="23">
        <f>IF(AND(NOT(AND($A591="",$B591="")),$K591="Point",N($L591)&gt;0),SQRT(N($L591)/PI()),"")</f>
        <v/>
      </c>
      <c r="AJ591" s="21">
        <f>IF(AND($A591="",$B591=""),"",IFERROR(VLOOKUP($G591,Lists!$D$4:$E$15,2,FALSE),"Not reported"))</f>
        <v/>
      </c>
      <c r="AK591" s="21">
        <f>IF(AND($A591="",$B591=""),"",IF($X591&lt;&gt;"",$X591,IF($T591&lt;&gt;"Y","Not assessed",IF(AND(ISNUMBER($V591),Setup!$B$6-$V591&gt;Setup!$B$26),"Assessment outdated",IF(NOT(ISNUMBER($W591)),"Assessed – no score",IF($W591&gt;=Setup!$B$24,"High",IF($W591&gt;=Setup!$B$25,"Moderate","Low")))))))</f>
        <v/>
      </c>
      <c r="AL591" s="21">
        <f>IF(AND($A591="",$B591=""),"",IF(Z591=0,"",IF(AND(AE591=1,N($R591)&gt;AD591*1.01+0.001),"Net terrestrial &gt; gross; ","")&amp;IF(AND(AE591=1,N($S591)&gt;AC591*1.01+0.001),"Net marine &gt; gross; ","")&amp;IF(AE591=0,"No net area – gross used, overlaps may be double-counted; ","")&amp;IF(AH591=0,"STATUS_YR missing – imputed in time series; ","")&amp;IF(AND(ISNUMBER($I591),N($I591)&gt;Setup!$B$6),"STATUS_YR after reporting year; ","")&amp;IF(OR($G591="",$G591="Not Reported"),"GOV_TYPE not reported; ","")&amp;IF(AND(N($J591)=1,$K591="Point",N($M591)&lt;=0),"Coastal point without REP_M_AREA – land/sea split unknown; ","")&amp;IF(AND(N($J591)=0,N($S591)&gt;0),"MARINE=0 but net marine &gt;0; ","")&amp;IF(AND(N($J591)=2,N($R591)&gt;0),"MARINE=2 but net terrestrial &gt;0; ","")&amp;IF($K591="Point","Buffered point – coverage approximate; ","")))</f>
        <v/>
      </c>
    </row>
    <row r="592">
      <c r="A592" s="19" t="n"/>
      <c r="B592" s="19" t="n"/>
      <c r="C592" s="19" t="n"/>
      <c r="D592" s="19" t="n"/>
      <c r="E592" s="19" t="n"/>
      <c r="F592" s="19" t="n"/>
      <c r="G592" s="19" t="n"/>
      <c r="H592" s="19" t="n"/>
      <c r="I592" s="19" t="n"/>
      <c r="J592" s="19" t="n"/>
      <c r="K592" s="19" t="n"/>
      <c r="L592" s="20" t="n"/>
      <c r="M592" s="20" t="n"/>
      <c r="N592" s="20" t="n"/>
      <c r="O592" s="20" t="n"/>
      <c r="P592" s="19" t="n"/>
      <c r="Q592" s="19" t="n"/>
      <c r="R592" s="20" t="n"/>
      <c r="S592" s="20" t="n"/>
      <c r="T592" s="19" t="n"/>
      <c r="U592" s="19" t="n"/>
      <c r="V592" s="19" t="n"/>
      <c r="W592" s="19" t="n"/>
      <c r="X592" s="19" t="n"/>
      <c r="Y592" s="19" t="n"/>
      <c r="Z592" s="21">
        <f>IF(AND($A592="",$B592=""),"",IF(OR($E592="",$H592="",$H592="Proposed",$H592="Not Reported"),0,IF(AND($P592="Y",$Q592&lt;&gt;"Y"),0,IF(AND($K592="Point",N($L592)&lt;=0),0,IF(AND(N($L592)&lt;=0,N($N592)&lt;=0,N($R592)+N($S592)&lt;=0),0,1)))))</f>
        <v/>
      </c>
      <c r="AA592" s="21">
        <f>IF(AND($A592="",$B592=""),"",IF($E592="","Site type missing",IF($H592="","STATUS missing",IF($H592="Proposed","STATUS = Proposed",IF($H592="Not Reported","STATUS = Not Reported",IF(AND($P592="Y",$Q592&lt;&gt;"Y"),"UNESCO-MAB Biosphere Reserve",IF(AND($K592="Point",N($L592)&lt;=0),"Point without REP_AREA",IF(AND(N($L592)&lt;=0,N($N592)&lt;=0,N($R592)+N($S592)&lt;=0),"No area information",""))))))))</f>
        <v/>
      </c>
      <c r="AB592" s="22">
        <f>IF(AND($A592="",$B592=""),"",IF($K592="Point",N($L592),IF(N($N592)&gt;0,N($N592),N($L592))))</f>
        <v/>
      </c>
      <c r="AC592" s="22">
        <f>IF(AND($A592="",$B592=""),"",MIN(AB592,IF(N($J592)=0,0,IF(N($J592)=2,AB592,IF(AND($K592&lt;&gt;"Point",N($O592)&gt;0),N($O592),N($M592))))))</f>
        <v/>
      </c>
      <c r="AD592" s="22">
        <f>IF(AND($A592="",$B592=""),"",MAX(0,AB592-AC592))</f>
        <v/>
      </c>
      <c r="AE592" s="21">
        <f>IF(AND($A592="",$B592=""),"",IF(OR($R592&lt;&gt;"",$S592&lt;&gt;""),1,0))</f>
        <v/>
      </c>
      <c r="AF592" s="22">
        <f>IF(AND($A592="",$B592=""),"",IF(Z592=1,IF(AE592=1,N($R592),AD592),0))</f>
        <v/>
      </c>
      <c r="AG592" s="22">
        <f>IF(AND($A592="",$B592=""),"",IF(Z592=1,IF(AE592=1,N($S592),AC592),0))</f>
        <v/>
      </c>
      <c r="AH592" s="21">
        <f>IF(AND($A592="",$B592=""),"",IF(AND(ISNUMBER($I592),N($I592)&gt;0),$I592,0))</f>
        <v/>
      </c>
      <c r="AI592" s="23">
        <f>IF(AND(NOT(AND($A592="",$B592="")),$K592="Point",N($L592)&gt;0),SQRT(N($L592)/PI()),"")</f>
        <v/>
      </c>
      <c r="AJ592" s="21">
        <f>IF(AND($A592="",$B592=""),"",IFERROR(VLOOKUP($G592,Lists!$D$4:$E$15,2,FALSE),"Not reported"))</f>
        <v/>
      </c>
      <c r="AK592" s="21">
        <f>IF(AND($A592="",$B592=""),"",IF($X592&lt;&gt;"",$X592,IF($T592&lt;&gt;"Y","Not assessed",IF(AND(ISNUMBER($V592),Setup!$B$6-$V592&gt;Setup!$B$26),"Assessment outdated",IF(NOT(ISNUMBER($W592)),"Assessed – no score",IF($W592&gt;=Setup!$B$24,"High",IF($W592&gt;=Setup!$B$25,"Moderate","Low")))))))</f>
        <v/>
      </c>
      <c r="AL592" s="21">
        <f>IF(AND($A592="",$B592=""),"",IF(Z592=0,"",IF(AND(AE592=1,N($R592)&gt;AD592*1.01+0.001),"Net terrestrial &gt; gross; ","")&amp;IF(AND(AE592=1,N($S592)&gt;AC592*1.01+0.001),"Net marine &gt; gross; ","")&amp;IF(AE592=0,"No net area – gross used, overlaps may be double-counted; ","")&amp;IF(AH592=0,"STATUS_YR missing – imputed in time series; ","")&amp;IF(AND(ISNUMBER($I592),N($I592)&gt;Setup!$B$6),"STATUS_YR after reporting year; ","")&amp;IF(OR($G592="",$G592="Not Reported"),"GOV_TYPE not reported; ","")&amp;IF(AND(N($J592)=1,$K592="Point",N($M592)&lt;=0),"Coastal point without REP_M_AREA – land/sea split unknown; ","")&amp;IF(AND(N($J592)=0,N($S592)&gt;0),"MARINE=0 but net marine &gt;0; ","")&amp;IF(AND(N($J592)=2,N($R592)&gt;0),"MARINE=2 but net terrestrial &gt;0; ","")&amp;IF($K592="Point","Buffered point – coverage approximate; ","")))</f>
        <v/>
      </c>
    </row>
    <row r="593">
      <c r="A593" s="19" t="n"/>
      <c r="B593" s="19" t="n"/>
      <c r="C593" s="19" t="n"/>
      <c r="D593" s="19" t="n"/>
      <c r="E593" s="19" t="n"/>
      <c r="F593" s="19" t="n"/>
      <c r="G593" s="19" t="n"/>
      <c r="H593" s="19" t="n"/>
      <c r="I593" s="19" t="n"/>
      <c r="J593" s="19" t="n"/>
      <c r="K593" s="19" t="n"/>
      <c r="L593" s="20" t="n"/>
      <c r="M593" s="20" t="n"/>
      <c r="N593" s="20" t="n"/>
      <c r="O593" s="20" t="n"/>
      <c r="P593" s="19" t="n"/>
      <c r="Q593" s="19" t="n"/>
      <c r="R593" s="20" t="n"/>
      <c r="S593" s="20" t="n"/>
      <c r="T593" s="19" t="n"/>
      <c r="U593" s="19" t="n"/>
      <c r="V593" s="19" t="n"/>
      <c r="W593" s="19" t="n"/>
      <c r="X593" s="19" t="n"/>
      <c r="Y593" s="19" t="n"/>
      <c r="Z593" s="21">
        <f>IF(AND($A593="",$B593=""),"",IF(OR($E593="",$H593="",$H593="Proposed",$H593="Not Reported"),0,IF(AND($P593="Y",$Q593&lt;&gt;"Y"),0,IF(AND($K593="Point",N($L593)&lt;=0),0,IF(AND(N($L593)&lt;=0,N($N593)&lt;=0,N($R593)+N($S593)&lt;=0),0,1)))))</f>
        <v/>
      </c>
      <c r="AA593" s="21">
        <f>IF(AND($A593="",$B593=""),"",IF($E593="","Site type missing",IF($H593="","STATUS missing",IF($H593="Proposed","STATUS = Proposed",IF($H593="Not Reported","STATUS = Not Reported",IF(AND($P593="Y",$Q593&lt;&gt;"Y"),"UNESCO-MAB Biosphere Reserve",IF(AND($K593="Point",N($L593)&lt;=0),"Point without REP_AREA",IF(AND(N($L593)&lt;=0,N($N593)&lt;=0,N($R593)+N($S593)&lt;=0),"No area information",""))))))))</f>
        <v/>
      </c>
      <c r="AB593" s="22">
        <f>IF(AND($A593="",$B593=""),"",IF($K593="Point",N($L593),IF(N($N593)&gt;0,N($N593),N($L593))))</f>
        <v/>
      </c>
      <c r="AC593" s="22">
        <f>IF(AND($A593="",$B593=""),"",MIN(AB593,IF(N($J593)=0,0,IF(N($J593)=2,AB593,IF(AND($K593&lt;&gt;"Point",N($O593)&gt;0),N($O593),N($M593))))))</f>
        <v/>
      </c>
      <c r="AD593" s="22">
        <f>IF(AND($A593="",$B593=""),"",MAX(0,AB593-AC593))</f>
        <v/>
      </c>
      <c r="AE593" s="21">
        <f>IF(AND($A593="",$B593=""),"",IF(OR($R593&lt;&gt;"",$S593&lt;&gt;""),1,0))</f>
        <v/>
      </c>
      <c r="AF593" s="22">
        <f>IF(AND($A593="",$B593=""),"",IF(Z593=1,IF(AE593=1,N($R593),AD593),0))</f>
        <v/>
      </c>
      <c r="AG593" s="22">
        <f>IF(AND($A593="",$B593=""),"",IF(Z593=1,IF(AE593=1,N($S593),AC593),0))</f>
        <v/>
      </c>
      <c r="AH593" s="21">
        <f>IF(AND($A593="",$B593=""),"",IF(AND(ISNUMBER($I593),N($I593)&gt;0),$I593,0))</f>
        <v/>
      </c>
      <c r="AI593" s="23">
        <f>IF(AND(NOT(AND($A593="",$B593="")),$K593="Point",N($L593)&gt;0),SQRT(N($L593)/PI()),"")</f>
        <v/>
      </c>
      <c r="AJ593" s="21">
        <f>IF(AND($A593="",$B593=""),"",IFERROR(VLOOKUP($G593,Lists!$D$4:$E$15,2,FALSE),"Not reported"))</f>
        <v/>
      </c>
      <c r="AK593" s="21">
        <f>IF(AND($A593="",$B593=""),"",IF($X593&lt;&gt;"",$X593,IF($T593&lt;&gt;"Y","Not assessed",IF(AND(ISNUMBER($V593),Setup!$B$6-$V593&gt;Setup!$B$26),"Assessment outdated",IF(NOT(ISNUMBER($W593)),"Assessed – no score",IF($W593&gt;=Setup!$B$24,"High",IF($W593&gt;=Setup!$B$25,"Moderate","Low")))))))</f>
        <v/>
      </c>
      <c r="AL593" s="21">
        <f>IF(AND($A593="",$B593=""),"",IF(Z593=0,"",IF(AND(AE593=1,N($R593)&gt;AD593*1.01+0.001),"Net terrestrial &gt; gross; ","")&amp;IF(AND(AE593=1,N($S593)&gt;AC593*1.01+0.001),"Net marine &gt; gross; ","")&amp;IF(AE593=0,"No net area – gross used, overlaps may be double-counted; ","")&amp;IF(AH593=0,"STATUS_YR missing – imputed in time series; ","")&amp;IF(AND(ISNUMBER($I593),N($I593)&gt;Setup!$B$6),"STATUS_YR after reporting year; ","")&amp;IF(OR($G593="",$G593="Not Reported"),"GOV_TYPE not reported; ","")&amp;IF(AND(N($J593)=1,$K593="Point",N($M593)&lt;=0),"Coastal point without REP_M_AREA – land/sea split unknown; ","")&amp;IF(AND(N($J593)=0,N($S593)&gt;0),"MARINE=0 but net marine &gt;0; ","")&amp;IF(AND(N($J593)=2,N($R593)&gt;0),"MARINE=2 but net terrestrial &gt;0; ","")&amp;IF($K593="Point","Buffered point – coverage approximate; ","")))</f>
        <v/>
      </c>
    </row>
    <row r="594">
      <c r="A594" s="19" t="n"/>
      <c r="B594" s="19" t="n"/>
      <c r="C594" s="19" t="n"/>
      <c r="D594" s="19" t="n"/>
      <c r="E594" s="19" t="n"/>
      <c r="F594" s="19" t="n"/>
      <c r="G594" s="19" t="n"/>
      <c r="H594" s="19" t="n"/>
      <c r="I594" s="19" t="n"/>
      <c r="J594" s="19" t="n"/>
      <c r="K594" s="19" t="n"/>
      <c r="L594" s="20" t="n"/>
      <c r="M594" s="20" t="n"/>
      <c r="N594" s="20" t="n"/>
      <c r="O594" s="20" t="n"/>
      <c r="P594" s="19" t="n"/>
      <c r="Q594" s="19" t="n"/>
      <c r="R594" s="20" t="n"/>
      <c r="S594" s="20" t="n"/>
      <c r="T594" s="19" t="n"/>
      <c r="U594" s="19" t="n"/>
      <c r="V594" s="19" t="n"/>
      <c r="W594" s="19" t="n"/>
      <c r="X594" s="19" t="n"/>
      <c r="Y594" s="19" t="n"/>
      <c r="Z594" s="21">
        <f>IF(AND($A594="",$B594=""),"",IF(OR($E594="",$H594="",$H594="Proposed",$H594="Not Reported"),0,IF(AND($P594="Y",$Q594&lt;&gt;"Y"),0,IF(AND($K594="Point",N($L594)&lt;=0),0,IF(AND(N($L594)&lt;=0,N($N594)&lt;=0,N($R594)+N($S594)&lt;=0),0,1)))))</f>
        <v/>
      </c>
      <c r="AA594" s="21">
        <f>IF(AND($A594="",$B594=""),"",IF($E594="","Site type missing",IF($H594="","STATUS missing",IF($H594="Proposed","STATUS = Proposed",IF($H594="Not Reported","STATUS = Not Reported",IF(AND($P594="Y",$Q594&lt;&gt;"Y"),"UNESCO-MAB Biosphere Reserve",IF(AND($K594="Point",N($L594)&lt;=0),"Point without REP_AREA",IF(AND(N($L594)&lt;=0,N($N594)&lt;=0,N($R594)+N($S594)&lt;=0),"No area information",""))))))))</f>
        <v/>
      </c>
      <c r="AB594" s="22">
        <f>IF(AND($A594="",$B594=""),"",IF($K594="Point",N($L594),IF(N($N594)&gt;0,N($N594),N($L594))))</f>
        <v/>
      </c>
      <c r="AC594" s="22">
        <f>IF(AND($A594="",$B594=""),"",MIN(AB594,IF(N($J594)=0,0,IF(N($J594)=2,AB594,IF(AND($K594&lt;&gt;"Point",N($O594)&gt;0),N($O594),N($M594))))))</f>
        <v/>
      </c>
      <c r="AD594" s="22">
        <f>IF(AND($A594="",$B594=""),"",MAX(0,AB594-AC594))</f>
        <v/>
      </c>
      <c r="AE594" s="21">
        <f>IF(AND($A594="",$B594=""),"",IF(OR($R594&lt;&gt;"",$S594&lt;&gt;""),1,0))</f>
        <v/>
      </c>
      <c r="AF594" s="22">
        <f>IF(AND($A594="",$B594=""),"",IF(Z594=1,IF(AE594=1,N($R594),AD594),0))</f>
        <v/>
      </c>
      <c r="AG594" s="22">
        <f>IF(AND($A594="",$B594=""),"",IF(Z594=1,IF(AE594=1,N($S594),AC594),0))</f>
        <v/>
      </c>
      <c r="AH594" s="21">
        <f>IF(AND($A594="",$B594=""),"",IF(AND(ISNUMBER($I594),N($I594)&gt;0),$I594,0))</f>
        <v/>
      </c>
      <c r="AI594" s="23">
        <f>IF(AND(NOT(AND($A594="",$B594="")),$K594="Point",N($L594)&gt;0),SQRT(N($L594)/PI()),"")</f>
        <v/>
      </c>
      <c r="AJ594" s="21">
        <f>IF(AND($A594="",$B594=""),"",IFERROR(VLOOKUP($G594,Lists!$D$4:$E$15,2,FALSE),"Not reported"))</f>
        <v/>
      </c>
      <c r="AK594" s="21">
        <f>IF(AND($A594="",$B594=""),"",IF($X594&lt;&gt;"",$X594,IF($T594&lt;&gt;"Y","Not assessed",IF(AND(ISNUMBER($V594),Setup!$B$6-$V594&gt;Setup!$B$26),"Assessment outdated",IF(NOT(ISNUMBER($W594)),"Assessed – no score",IF($W594&gt;=Setup!$B$24,"High",IF($W594&gt;=Setup!$B$25,"Moderate","Low")))))))</f>
        <v/>
      </c>
      <c r="AL594" s="21">
        <f>IF(AND($A594="",$B594=""),"",IF(Z594=0,"",IF(AND(AE594=1,N($R594)&gt;AD594*1.01+0.001),"Net terrestrial &gt; gross; ","")&amp;IF(AND(AE594=1,N($S594)&gt;AC594*1.01+0.001),"Net marine &gt; gross; ","")&amp;IF(AE594=0,"No net area – gross used, overlaps may be double-counted; ","")&amp;IF(AH594=0,"STATUS_YR missing – imputed in time series; ","")&amp;IF(AND(ISNUMBER($I594),N($I594)&gt;Setup!$B$6),"STATUS_YR after reporting year; ","")&amp;IF(OR($G594="",$G594="Not Reported"),"GOV_TYPE not reported; ","")&amp;IF(AND(N($J594)=1,$K594="Point",N($M594)&lt;=0),"Coastal point without REP_M_AREA – land/sea split unknown; ","")&amp;IF(AND(N($J594)=0,N($S594)&gt;0),"MARINE=0 but net marine &gt;0; ","")&amp;IF(AND(N($J594)=2,N($R594)&gt;0),"MARINE=2 but net terrestrial &gt;0; ","")&amp;IF($K594="Point","Buffered point – coverage approximate; ","")))</f>
        <v/>
      </c>
    </row>
    <row r="595">
      <c r="A595" s="19" t="n"/>
      <c r="B595" s="19" t="n"/>
      <c r="C595" s="19" t="n"/>
      <c r="D595" s="19" t="n"/>
      <c r="E595" s="19" t="n"/>
      <c r="F595" s="19" t="n"/>
      <c r="G595" s="19" t="n"/>
      <c r="H595" s="19" t="n"/>
      <c r="I595" s="19" t="n"/>
      <c r="J595" s="19" t="n"/>
      <c r="K595" s="19" t="n"/>
      <c r="L595" s="20" t="n"/>
      <c r="M595" s="20" t="n"/>
      <c r="N595" s="20" t="n"/>
      <c r="O595" s="20" t="n"/>
      <c r="P595" s="19" t="n"/>
      <c r="Q595" s="19" t="n"/>
      <c r="R595" s="20" t="n"/>
      <c r="S595" s="20" t="n"/>
      <c r="T595" s="19" t="n"/>
      <c r="U595" s="19" t="n"/>
      <c r="V595" s="19" t="n"/>
      <c r="W595" s="19" t="n"/>
      <c r="X595" s="19" t="n"/>
      <c r="Y595" s="19" t="n"/>
      <c r="Z595" s="21">
        <f>IF(AND($A595="",$B595=""),"",IF(OR($E595="",$H595="",$H595="Proposed",$H595="Not Reported"),0,IF(AND($P595="Y",$Q595&lt;&gt;"Y"),0,IF(AND($K595="Point",N($L595)&lt;=0),0,IF(AND(N($L595)&lt;=0,N($N595)&lt;=0,N($R595)+N($S595)&lt;=0),0,1)))))</f>
        <v/>
      </c>
      <c r="AA595" s="21">
        <f>IF(AND($A595="",$B595=""),"",IF($E595="","Site type missing",IF($H595="","STATUS missing",IF($H595="Proposed","STATUS = Proposed",IF($H595="Not Reported","STATUS = Not Reported",IF(AND($P595="Y",$Q595&lt;&gt;"Y"),"UNESCO-MAB Biosphere Reserve",IF(AND($K595="Point",N($L595)&lt;=0),"Point without REP_AREA",IF(AND(N($L595)&lt;=0,N($N595)&lt;=0,N($R595)+N($S595)&lt;=0),"No area information",""))))))))</f>
        <v/>
      </c>
      <c r="AB595" s="22">
        <f>IF(AND($A595="",$B595=""),"",IF($K595="Point",N($L595),IF(N($N595)&gt;0,N($N595),N($L595))))</f>
        <v/>
      </c>
      <c r="AC595" s="22">
        <f>IF(AND($A595="",$B595=""),"",MIN(AB595,IF(N($J595)=0,0,IF(N($J595)=2,AB595,IF(AND($K595&lt;&gt;"Point",N($O595)&gt;0),N($O595),N($M595))))))</f>
        <v/>
      </c>
      <c r="AD595" s="22">
        <f>IF(AND($A595="",$B595=""),"",MAX(0,AB595-AC595))</f>
        <v/>
      </c>
      <c r="AE595" s="21">
        <f>IF(AND($A595="",$B595=""),"",IF(OR($R595&lt;&gt;"",$S595&lt;&gt;""),1,0))</f>
        <v/>
      </c>
      <c r="AF595" s="22">
        <f>IF(AND($A595="",$B595=""),"",IF(Z595=1,IF(AE595=1,N($R595),AD595),0))</f>
        <v/>
      </c>
      <c r="AG595" s="22">
        <f>IF(AND($A595="",$B595=""),"",IF(Z595=1,IF(AE595=1,N($S595),AC595),0))</f>
        <v/>
      </c>
      <c r="AH595" s="21">
        <f>IF(AND($A595="",$B595=""),"",IF(AND(ISNUMBER($I595),N($I595)&gt;0),$I595,0))</f>
        <v/>
      </c>
      <c r="AI595" s="23">
        <f>IF(AND(NOT(AND($A595="",$B595="")),$K595="Point",N($L595)&gt;0),SQRT(N($L595)/PI()),"")</f>
        <v/>
      </c>
      <c r="AJ595" s="21">
        <f>IF(AND($A595="",$B595=""),"",IFERROR(VLOOKUP($G595,Lists!$D$4:$E$15,2,FALSE),"Not reported"))</f>
        <v/>
      </c>
      <c r="AK595" s="21">
        <f>IF(AND($A595="",$B595=""),"",IF($X595&lt;&gt;"",$X595,IF($T595&lt;&gt;"Y","Not assessed",IF(AND(ISNUMBER($V595),Setup!$B$6-$V595&gt;Setup!$B$26),"Assessment outdated",IF(NOT(ISNUMBER($W595)),"Assessed – no score",IF($W595&gt;=Setup!$B$24,"High",IF($W595&gt;=Setup!$B$25,"Moderate","Low")))))))</f>
        <v/>
      </c>
      <c r="AL595" s="21">
        <f>IF(AND($A595="",$B595=""),"",IF(Z595=0,"",IF(AND(AE595=1,N($R595)&gt;AD595*1.01+0.001),"Net terrestrial &gt; gross; ","")&amp;IF(AND(AE595=1,N($S595)&gt;AC595*1.01+0.001),"Net marine &gt; gross; ","")&amp;IF(AE595=0,"No net area – gross used, overlaps may be double-counted; ","")&amp;IF(AH595=0,"STATUS_YR missing – imputed in time series; ","")&amp;IF(AND(ISNUMBER($I595),N($I595)&gt;Setup!$B$6),"STATUS_YR after reporting year; ","")&amp;IF(OR($G595="",$G595="Not Reported"),"GOV_TYPE not reported; ","")&amp;IF(AND(N($J595)=1,$K595="Point",N($M595)&lt;=0),"Coastal point without REP_M_AREA – land/sea split unknown; ","")&amp;IF(AND(N($J595)=0,N($S595)&gt;0),"MARINE=0 but net marine &gt;0; ","")&amp;IF(AND(N($J595)=2,N($R595)&gt;0),"MARINE=2 but net terrestrial &gt;0; ","")&amp;IF($K595="Point","Buffered point – coverage approximate; ","")))</f>
        <v/>
      </c>
    </row>
    <row r="596">
      <c r="A596" s="19" t="n"/>
      <c r="B596" s="19" t="n"/>
      <c r="C596" s="19" t="n"/>
      <c r="D596" s="19" t="n"/>
      <c r="E596" s="19" t="n"/>
      <c r="F596" s="19" t="n"/>
      <c r="G596" s="19" t="n"/>
      <c r="H596" s="19" t="n"/>
      <c r="I596" s="19" t="n"/>
      <c r="J596" s="19" t="n"/>
      <c r="K596" s="19" t="n"/>
      <c r="L596" s="20" t="n"/>
      <c r="M596" s="20" t="n"/>
      <c r="N596" s="20" t="n"/>
      <c r="O596" s="20" t="n"/>
      <c r="P596" s="19" t="n"/>
      <c r="Q596" s="19" t="n"/>
      <c r="R596" s="20" t="n"/>
      <c r="S596" s="20" t="n"/>
      <c r="T596" s="19" t="n"/>
      <c r="U596" s="19" t="n"/>
      <c r="V596" s="19" t="n"/>
      <c r="W596" s="19" t="n"/>
      <c r="X596" s="19" t="n"/>
      <c r="Y596" s="19" t="n"/>
      <c r="Z596" s="21">
        <f>IF(AND($A596="",$B596=""),"",IF(OR($E596="",$H596="",$H596="Proposed",$H596="Not Reported"),0,IF(AND($P596="Y",$Q596&lt;&gt;"Y"),0,IF(AND($K596="Point",N($L596)&lt;=0),0,IF(AND(N($L596)&lt;=0,N($N596)&lt;=0,N($R596)+N($S596)&lt;=0),0,1)))))</f>
        <v/>
      </c>
      <c r="AA596" s="21">
        <f>IF(AND($A596="",$B596=""),"",IF($E596="","Site type missing",IF($H596="","STATUS missing",IF($H596="Proposed","STATUS = Proposed",IF($H596="Not Reported","STATUS = Not Reported",IF(AND($P596="Y",$Q596&lt;&gt;"Y"),"UNESCO-MAB Biosphere Reserve",IF(AND($K596="Point",N($L596)&lt;=0),"Point without REP_AREA",IF(AND(N($L596)&lt;=0,N($N596)&lt;=0,N($R596)+N($S596)&lt;=0),"No area information",""))))))))</f>
        <v/>
      </c>
      <c r="AB596" s="22">
        <f>IF(AND($A596="",$B596=""),"",IF($K596="Point",N($L596),IF(N($N596)&gt;0,N($N596),N($L596))))</f>
        <v/>
      </c>
      <c r="AC596" s="22">
        <f>IF(AND($A596="",$B596=""),"",MIN(AB596,IF(N($J596)=0,0,IF(N($J596)=2,AB596,IF(AND($K596&lt;&gt;"Point",N($O596)&gt;0),N($O596),N($M596))))))</f>
        <v/>
      </c>
      <c r="AD596" s="22">
        <f>IF(AND($A596="",$B596=""),"",MAX(0,AB596-AC596))</f>
        <v/>
      </c>
      <c r="AE596" s="21">
        <f>IF(AND($A596="",$B596=""),"",IF(OR($R596&lt;&gt;"",$S596&lt;&gt;""),1,0))</f>
        <v/>
      </c>
      <c r="AF596" s="22">
        <f>IF(AND($A596="",$B596=""),"",IF(Z596=1,IF(AE596=1,N($R596),AD596),0))</f>
        <v/>
      </c>
      <c r="AG596" s="22">
        <f>IF(AND($A596="",$B596=""),"",IF(Z596=1,IF(AE596=1,N($S596),AC596),0))</f>
        <v/>
      </c>
      <c r="AH596" s="21">
        <f>IF(AND($A596="",$B596=""),"",IF(AND(ISNUMBER($I596),N($I596)&gt;0),$I596,0))</f>
        <v/>
      </c>
      <c r="AI596" s="23">
        <f>IF(AND(NOT(AND($A596="",$B596="")),$K596="Point",N($L596)&gt;0),SQRT(N($L596)/PI()),"")</f>
        <v/>
      </c>
      <c r="AJ596" s="21">
        <f>IF(AND($A596="",$B596=""),"",IFERROR(VLOOKUP($G596,Lists!$D$4:$E$15,2,FALSE),"Not reported"))</f>
        <v/>
      </c>
      <c r="AK596" s="21">
        <f>IF(AND($A596="",$B596=""),"",IF($X596&lt;&gt;"",$X596,IF($T596&lt;&gt;"Y","Not assessed",IF(AND(ISNUMBER($V596),Setup!$B$6-$V596&gt;Setup!$B$26),"Assessment outdated",IF(NOT(ISNUMBER($W596)),"Assessed – no score",IF($W596&gt;=Setup!$B$24,"High",IF($W596&gt;=Setup!$B$25,"Moderate","Low")))))))</f>
        <v/>
      </c>
      <c r="AL596" s="21">
        <f>IF(AND($A596="",$B596=""),"",IF(Z596=0,"",IF(AND(AE596=1,N($R596)&gt;AD596*1.01+0.001),"Net terrestrial &gt; gross; ","")&amp;IF(AND(AE596=1,N($S596)&gt;AC596*1.01+0.001),"Net marine &gt; gross; ","")&amp;IF(AE596=0,"No net area – gross used, overlaps may be double-counted; ","")&amp;IF(AH596=0,"STATUS_YR missing – imputed in time series; ","")&amp;IF(AND(ISNUMBER($I596),N($I596)&gt;Setup!$B$6),"STATUS_YR after reporting year; ","")&amp;IF(OR($G596="",$G596="Not Reported"),"GOV_TYPE not reported; ","")&amp;IF(AND(N($J596)=1,$K596="Point",N($M596)&lt;=0),"Coastal point without REP_M_AREA – land/sea split unknown; ","")&amp;IF(AND(N($J596)=0,N($S596)&gt;0),"MARINE=0 but net marine &gt;0; ","")&amp;IF(AND(N($J596)=2,N($R596)&gt;0),"MARINE=2 but net terrestrial &gt;0; ","")&amp;IF($K596="Point","Buffered point – coverage approximate; ","")))</f>
        <v/>
      </c>
    </row>
    <row r="597">
      <c r="A597" s="19" t="n"/>
      <c r="B597" s="19" t="n"/>
      <c r="C597" s="19" t="n"/>
      <c r="D597" s="19" t="n"/>
      <c r="E597" s="19" t="n"/>
      <c r="F597" s="19" t="n"/>
      <c r="G597" s="19" t="n"/>
      <c r="H597" s="19" t="n"/>
      <c r="I597" s="19" t="n"/>
      <c r="J597" s="19" t="n"/>
      <c r="K597" s="19" t="n"/>
      <c r="L597" s="20" t="n"/>
      <c r="M597" s="20" t="n"/>
      <c r="N597" s="20" t="n"/>
      <c r="O597" s="20" t="n"/>
      <c r="P597" s="19" t="n"/>
      <c r="Q597" s="19" t="n"/>
      <c r="R597" s="20" t="n"/>
      <c r="S597" s="20" t="n"/>
      <c r="T597" s="19" t="n"/>
      <c r="U597" s="19" t="n"/>
      <c r="V597" s="19" t="n"/>
      <c r="W597" s="19" t="n"/>
      <c r="X597" s="19" t="n"/>
      <c r="Y597" s="19" t="n"/>
      <c r="Z597" s="21">
        <f>IF(AND($A597="",$B597=""),"",IF(OR($E597="",$H597="",$H597="Proposed",$H597="Not Reported"),0,IF(AND($P597="Y",$Q597&lt;&gt;"Y"),0,IF(AND($K597="Point",N($L597)&lt;=0),0,IF(AND(N($L597)&lt;=0,N($N597)&lt;=0,N($R597)+N($S597)&lt;=0),0,1)))))</f>
        <v/>
      </c>
      <c r="AA597" s="21">
        <f>IF(AND($A597="",$B597=""),"",IF($E597="","Site type missing",IF($H597="","STATUS missing",IF($H597="Proposed","STATUS = Proposed",IF($H597="Not Reported","STATUS = Not Reported",IF(AND($P597="Y",$Q597&lt;&gt;"Y"),"UNESCO-MAB Biosphere Reserve",IF(AND($K597="Point",N($L597)&lt;=0),"Point without REP_AREA",IF(AND(N($L597)&lt;=0,N($N597)&lt;=0,N($R597)+N($S597)&lt;=0),"No area information",""))))))))</f>
        <v/>
      </c>
      <c r="AB597" s="22">
        <f>IF(AND($A597="",$B597=""),"",IF($K597="Point",N($L597),IF(N($N597)&gt;0,N($N597),N($L597))))</f>
        <v/>
      </c>
      <c r="AC597" s="22">
        <f>IF(AND($A597="",$B597=""),"",MIN(AB597,IF(N($J597)=0,0,IF(N($J597)=2,AB597,IF(AND($K597&lt;&gt;"Point",N($O597)&gt;0),N($O597),N($M597))))))</f>
        <v/>
      </c>
      <c r="AD597" s="22">
        <f>IF(AND($A597="",$B597=""),"",MAX(0,AB597-AC597))</f>
        <v/>
      </c>
      <c r="AE597" s="21">
        <f>IF(AND($A597="",$B597=""),"",IF(OR($R597&lt;&gt;"",$S597&lt;&gt;""),1,0))</f>
        <v/>
      </c>
      <c r="AF597" s="22">
        <f>IF(AND($A597="",$B597=""),"",IF(Z597=1,IF(AE597=1,N($R597),AD597),0))</f>
        <v/>
      </c>
      <c r="AG597" s="22">
        <f>IF(AND($A597="",$B597=""),"",IF(Z597=1,IF(AE597=1,N($S597),AC597),0))</f>
        <v/>
      </c>
      <c r="AH597" s="21">
        <f>IF(AND($A597="",$B597=""),"",IF(AND(ISNUMBER($I597),N($I597)&gt;0),$I597,0))</f>
        <v/>
      </c>
      <c r="AI597" s="23">
        <f>IF(AND(NOT(AND($A597="",$B597="")),$K597="Point",N($L597)&gt;0),SQRT(N($L597)/PI()),"")</f>
        <v/>
      </c>
      <c r="AJ597" s="21">
        <f>IF(AND($A597="",$B597=""),"",IFERROR(VLOOKUP($G597,Lists!$D$4:$E$15,2,FALSE),"Not reported"))</f>
        <v/>
      </c>
      <c r="AK597" s="21">
        <f>IF(AND($A597="",$B597=""),"",IF($X597&lt;&gt;"",$X597,IF($T597&lt;&gt;"Y","Not assessed",IF(AND(ISNUMBER($V597),Setup!$B$6-$V597&gt;Setup!$B$26),"Assessment outdated",IF(NOT(ISNUMBER($W597)),"Assessed – no score",IF($W597&gt;=Setup!$B$24,"High",IF($W597&gt;=Setup!$B$25,"Moderate","Low")))))))</f>
        <v/>
      </c>
      <c r="AL597" s="21">
        <f>IF(AND($A597="",$B597=""),"",IF(Z597=0,"",IF(AND(AE597=1,N($R597)&gt;AD597*1.01+0.001),"Net terrestrial &gt; gross; ","")&amp;IF(AND(AE597=1,N($S597)&gt;AC597*1.01+0.001),"Net marine &gt; gross; ","")&amp;IF(AE597=0,"No net area – gross used, overlaps may be double-counted; ","")&amp;IF(AH597=0,"STATUS_YR missing – imputed in time series; ","")&amp;IF(AND(ISNUMBER($I597),N($I597)&gt;Setup!$B$6),"STATUS_YR after reporting year; ","")&amp;IF(OR($G597="",$G597="Not Reported"),"GOV_TYPE not reported; ","")&amp;IF(AND(N($J597)=1,$K597="Point",N($M597)&lt;=0),"Coastal point without REP_M_AREA – land/sea split unknown; ","")&amp;IF(AND(N($J597)=0,N($S597)&gt;0),"MARINE=0 but net marine &gt;0; ","")&amp;IF(AND(N($J597)=2,N($R597)&gt;0),"MARINE=2 but net terrestrial &gt;0; ","")&amp;IF($K597="Point","Buffered point – coverage approximate; ","")))</f>
        <v/>
      </c>
    </row>
    <row r="598">
      <c r="A598" s="19" t="n"/>
      <c r="B598" s="19" t="n"/>
      <c r="C598" s="19" t="n"/>
      <c r="D598" s="19" t="n"/>
      <c r="E598" s="19" t="n"/>
      <c r="F598" s="19" t="n"/>
      <c r="G598" s="19" t="n"/>
      <c r="H598" s="19" t="n"/>
      <c r="I598" s="19" t="n"/>
      <c r="J598" s="19" t="n"/>
      <c r="K598" s="19" t="n"/>
      <c r="L598" s="20" t="n"/>
      <c r="M598" s="20" t="n"/>
      <c r="N598" s="20" t="n"/>
      <c r="O598" s="20" t="n"/>
      <c r="P598" s="19" t="n"/>
      <c r="Q598" s="19" t="n"/>
      <c r="R598" s="20" t="n"/>
      <c r="S598" s="20" t="n"/>
      <c r="T598" s="19" t="n"/>
      <c r="U598" s="19" t="n"/>
      <c r="V598" s="19" t="n"/>
      <c r="W598" s="19" t="n"/>
      <c r="X598" s="19" t="n"/>
      <c r="Y598" s="19" t="n"/>
      <c r="Z598" s="21">
        <f>IF(AND($A598="",$B598=""),"",IF(OR($E598="",$H598="",$H598="Proposed",$H598="Not Reported"),0,IF(AND($P598="Y",$Q598&lt;&gt;"Y"),0,IF(AND($K598="Point",N($L598)&lt;=0),0,IF(AND(N($L598)&lt;=0,N($N598)&lt;=0,N($R598)+N($S598)&lt;=0),0,1)))))</f>
        <v/>
      </c>
      <c r="AA598" s="21">
        <f>IF(AND($A598="",$B598=""),"",IF($E598="","Site type missing",IF($H598="","STATUS missing",IF($H598="Proposed","STATUS = Proposed",IF($H598="Not Reported","STATUS = Not Reported",IF(AND($P598="Y",$Q598&lt;&gt;"Y"),"UNESCO-MAB Biosphere Reserve",IF(AND($K598="Point",N($L598)&lt;=0),"Point without REP_AREA",IF(AND(N($L598)&lt;=0,N($N598)&lt;=0,N($R598)+N($S598)&lt;=0),"No area information",""))))))))</f>
        <v/>
      </c>
      <c r="AB598" s="22">
        <f>IF(AND($A598="",$B598=""),"",IF($K598="Point",N($L598),IF(N($N598)&gt;0,N($N598),N($L598))))</f>
        <v/>
      </c>
      <c r="AC598" s="22">
        <f>IF(AND($A598="",$B598=""),"",MIN(AB598,IF(N($J598)=0,0,IF(N($J598)=2,AB598,IF(AND($K598&lt;&gt;"Point",N($O598)&gt;0),N($O598),N($M598))))))</f>
        <v/>
      </c>
      <c r="AD598" s="22">
        <f>IF(AND($A598="",$B598=""),"",MAX(0,AB598-AC598))</f>
        <v/>
      </c>
      <c r="AE598" s="21">
        <f>IF(AND($A598="",$B598=""),"",IF(OR($R598&lt;&gt;"",$S598&lt;&gt;""),1,0))</f>
        <v/>
      </c>
      <c r="AF598" s="22">
        <f>IF(AND($A598="",$B598=""),"",IF(Z598=1,IF(AE598=1,N($R598),AD598),0))</f>
        <v/>
      </c>
      <c r="AG598" s="22">
        <f>IF(AND($A598="",$B598=""),"",IF(Z598=1,IF(AE598=1,N($S598),AC598),0))</f>
        <v/>
      </c>
      <c r="AH598" s="21">
        <f>IF(AND($A598="",$B598=""),"",IF(AND(ISNUMBER($I598),N($I598)&gt;0),$I598,0))</f>
        <v/>
      </c>
      <c r="AI598" s="23">
        <f>IF(AND(NOT(AND($A598="",$B598="")),$K598="Point",N($L598)&gt;0),SQRT(N($L598)/PI()),"")</f>
        <v/>
      </c>
      <c r="AJ598" s="21">
        <f>IF(AND($A598="",$B598=""),"",IFERROR(VLOOKUP($G598,Lists!$D$4:$E$15,2,FALSE),"Not reported"))</f>
        <v/>
      </c>
      <c r="AK598" s="21">
        <f>IF(AND($A598="",$B598=""),"",IF($X598&lt;&gt;"",$X598,IF($T598&lt;&gt;"Y","Not assessed",IF(AND(ISNUMBER($V598),Setup!$B$6-$V598&gt;Setup!$B$26),"Assessment outdated",IF(NOT(ISNUMBER($W598)),"Assessed – no score",IF($W598&gt;=Setup!$B$24,"High",IF($W598&gt;=Setup!$B$25,"Moderate","Low")))))))</f>
        <v/>
      </c>
      <c r="AL598" s="21">
        <f>IF(AND($A598="",$B598=""),"",IF(Z598=0,"",IF(AND(AE598=1,N($R598)&gt;AD598*1.01+0.001),"Net terrestrial &gt; gross; ","")&amp;IF(AND(AE598=1,N($S598)&gt;AC598*1.01+0.001),"Net marine &gt; gross; ","")&amp;IF(AE598=0,"No net area – gross used, overlaps may be double-counted; ","")&amp;IF(AH598=0,"STATUS_YR missing – imputed in time series; ","")&amp;IF(AND(ISNUMBER($I598),N($I598)&gt;Setup!$B$6),"STATUS_YR after reporting year; ","")&amp;IF(OR($G598="",$G598="Not Reported"),"GOV_TYPE not reported; ","")&amp;IF(AND(N($J598)=1,$K598="Point",N($M598)&lt;=0),"Coastal point without REP_M_AREA – land/sea split unknown; ","")&amp;IF(AND(N($J598)=0,N($S598)&gt;0),"MARINE=0 but net marine &gt;0; ","")&amp;IF(AND(N($J598)=2,N($R598)&gt;0),"MARINE=2 but net terrestrial &gt;0; ","")&amp;IF($K598="Point","Buffered point – coverage approximate; ","")))</f>
        <v/>
      </c>
    </row>
    <row r="599">
      <c r="A599" s="19" t="n"/>
      <c r="B599" s="19" t="n"/>
      <c r="C599" s="19" t="n"/>
      <c r="D599" s="19" t="n"/>
      <c r="E599" s="19" t="n"/>
      <c r="F599" s="19" t="n"/>
      <c r="G599" s="19" t="n"/>
      <c r="H599" s="19" t="n"/>
      <c r="I599" s="19" t="n"/>
      <c r="J599" s="19" t="n"/>
      <c r="K599" s="19" t="n"/>
      <c r="L599" s="20" t="n"/>
      <c r="M599" s="20" t="n"/>
      <c r="N599" s="20" t="n"/>
      <c r="O599" s="20" t="n"/>
      <c r="P599" s="19" t="n"/>
      <c r="Q599" s="19" t="n"/>
      <c r="R599" s="20" t="n"/>
      <c r="S599" s="20" t="n"/>
      <c r="T599" s="19" t="n"/>
      <c r="U599" s="19" t="n"/>
      <c r="V599" s="19" t="n"/>
      <c r="W599" s="19" t="n"/>
      <c r="X599" s="19" t="n"/>
      <c r="Y599" s="19" t="n"/>
      <c r="Z599" s="21">
        <f>IF(AND($A599="",$B599=""),"",IF(OR($E599="",$H599="",$H599="Proposed",$H599="Not Reported"),0,IF(AND($P599="Y",$Q599&lt;&gt;"Y"),0,IF(AND($K599="Point",N($L599)&lt;=0),0,IF(AND(N($L599)&lt;=0,N($N599)&lt;=0,N($R599)+N($S599)&lt;=0),0,1)))))</f>
        <v/>
      </c>
      <c r="AA599" s="21">
        <f>IF(AND($A599="",$B599=""),"",IF($E599="","Site type missing",IF($H599="","STATUS missing",IF($H599="Proposed","STATUS = Proposed",IF($H599="Not Reported","STATUS = Not Reported",IF(AND($P599="Y",$Q599&lt;&gt;"Y"),"UNESCO-MAB Biosphere Reserve",IF(AND($K599="Point",N($L599)&lt;=0),"Point without REP_AREA",IF(AND(N($L599)&lt;=0,N($N599)&lt;=0,N($R599)+N($S599)&lt;=0),"No area information",""))))))))</f>
        <v/>
      </c>
      <c r="AB599" s="22">
        <f>IF(AND($A599="",$B599=""),"",IF($K599="Point",N($L599),IF(N($N599)&gt;0,N($N599),N($L599))))</f>
        <v/>
      </c>
      <c r="AC599" s="22">
        <f>IF(AND($A599="",$B599=""),"",MIN(AB599,IF(N($J599)=0,0,IF(N($J599)=2,AB599,IF(AND($K599&lt;&gt;"Point",N($O599)&gt;0),N($O599),N($M599))))))</f>
        <v/>
      </c>
      <c r="AD599" s="22">
        <f>IF(AND($A599="",$B599=""),"",MAX(0,AB599-AC599))</f>
        <v/>
      </c>
      <c r="AE599" s="21">
        <f>IF(AND($A599="",$B599=""),"",IF(OR($R599&lt;&gt;"",$S599&lt;&gt;""),1,0))</f>
        <v/>
      </c>
      <c r="AF599" s="22">
        <f>IF(AND($A599="",$B599=""),"",IF(Z599=1,IF(AE599=1,N($R599),AD599),0))</f>
        <v/>
      </c>
      <c r="AG599" s="22">
        <f>IF(AND($A599="",$B599=""),"",IF(Z599=1,IF(AE599=1,N($S599),AC599),0))</f>
        <v/>
      </c>
      <c r="AH599" s="21">
        <f>IF(AND($A599="",$B599=""),"",IF(AND(ISNUMBER($I599),N($I599)&gt;0),$I599,0))</f>
        <v/>
      </c>
      <c r="AI599" s="23">
        <f>IF(AND(NOT(AND($A599="",$B599="")),$K599="Point",N($L599)&gt;0),SQRT(N($L599)/PI()),"")</f>
        <v/>
      </c>
      <c r="AJ599" s="21">
        <f>IF(AND($A599="",$B599=""),"",IFERROR(VLOOKUP($G599,Lists!$D$4:$E$15,2,FALSE),"Not reported"))</f>
        <v/>
      </c>
      <c r="AK599" s="21">
        <f>IF(AND($A599="",$B599=""),"",IF($X599&lt;&gt;"",$X599,IF($T599&lt;&gt;"Y","Not assessed",IF(AND(ISNUMBER($V599),Setup!$B$6-$V599&gt;Setup!$B$26),"Assessment outdated",IF(NOT(ISNUMBER($W599)),"Assessed – no score",IF($W599&gt;=Setup!$B$24,"High",IF($W599&gt;=Setup!$B$25,"Moderate","Low")))))))</f>
        <v/>
      </c>
      <c r="AL599" s="21">
        <f>IF(AND($A599="",$B599=""),"",IF(Z599=0,"",IF(AND(AE599=1,N($R599)&gt;AD599*1.01+0.001),"Net terrestrial &gt; gross; ","")&amp;IF(AND(AE599=1,N($S599)&gt;AC599*1.01+0.001),"Net marine &gt; gross; ","")&amp;IF(AE599=0,"No net area – gross used, overlaps may be double-counted; ","")&amp;IF(AH599=0,"STATUS_YR missing – imputed in time series; ","")&amp;IF(AND(ISNUMBER($I599),N($I599)&gt;Setup!$B$6),"STATUS_YR after reporting year; ","")&amp;IF(OR($G599="",$G599="Not Reported"),"GOV_TYPE not reported; ","")&amp;IF(AND(N($J599)=1,$K599="Point",N($M599)&lt;=0),"Coastal point without REP_M_AREA – land/sea split unknown; ","")&amp;IF(AND(N($J599)=0,N($S599)&gt;0),"MARINE=0 but net marine &gt;0; ","")&amp;IF(AND(N($J599)=2,N($R599)&gt;0),"MARINE=2 but net terrestrial &gt;0; ","")&amp;IF($K599="Point","Buffered point – coverage approximate; ","")))</f>
        <v/>
      </c>
    </row>
    <row r="600">
      <c r="A600" s="19" t="n"/>
      <c r="B600" s="19" t="n"/>
      <c r="C600" s="19" t="n"/>
      <c r="D600" s="19" t="n"/>
      <c r="E600" s="19" t="n"/>
      <c r="F600" s="19" t="n"/>
      <c r="G600" s="19" t="n"/>
      <c r="H600" s="19" t="n"/>
      <c r="I600" s="19" t="n"/>
      <c r="J600" s="19" t="n"/>
      <c r="K600" s="19" t="n"/>
      <c r="L600" s="20" t="n"/>
      <c r="M600" s="20" t="n"/>
      <c r="N600" s="20" t="n"/>
      <c r="O600" s="20" t="n"/>
      <c r="P600" s="19" t="n"/>
      <c r="Q600" s="19" t="n"/>
      <c r="R600" s="20" t="n"/>
      <c r="S600" s="20" t="n"/>
      <c r="T600" s="19" t="n"/>
      <c r="U600" s="19" t="n"/>
      <c r="V600" s="19" t="n"/>
      <c r="W600" s="19" t="n"/>
      <c r="X600" s="19" t="n"/>
      <c r="Y600" s="19" t="n"/>
      <c r="Z600" s="21">
        <f>IF(AND($A600="",$B600=""),"",IF(OR($E600="",$H600="",$H600="Proposed",$H600="Not Reported"),0,IF(AND($P600="Y",$Q600&lt;&gt;"Y"),0,IF(AND($K600="Point",N($L600)&lt;=0),0,IF(AND(N($L600)&lt;=0,N($N600)&lt;=0,N($R600)+N($S600)&lt;=0),0,1)))))</f>
        <v/>
      </c>
      <c r="AA600" s="21">
        <f>IF(AND($A600="",$B600=""),"",IF($E600="","Site type missing",IF($H600="","STATUS missing",IF($H600="Proposed","STATUS = Proposed",IF($H600="Not Reported","STATUS = Not Reported",IF(AND($P600="Y",$Q600&lt;&gt;"Y"),"UNESCO-MAB Biosphere Reserve",IF(AND($K600="Point",N($L600)&lt;=0),"Point without REP_AREA",IF(AND(N($L600)&lt;=0,N($N600)&lt;=0,N($R600)+N($S600)&lt;=0),"No area information",""))))))))</f>
        <v/>
      </c>
      <c r="AB600" s="22">
        <f>IF(AND($A600="",$B600=""),"",IF($K600="Point",N($L600),IF(N($N600)&gt;0,N($N600),N($L600))))</f>
        <v/>
      </c>
      <c r="AC600" s="22">
        <f>IF(AND($A600="",$B600=""),"",MIN(AB600,IF(N($J600)=0,0,IF(N($J600)=2,AB600,IF(AND($K600&lt;&gt;"Point",N($O600)&gt;0),N($O600),N($M600))))))</f>
        <v/>
      </c>
      <c r="AD600" s="22">
        <f>IF(AND($A600="",$B600=""),"",MAX(0,AB600-AC600))</f>
        <v/>
      </c>
      <c r="AE600" s="21">
        <f>IF(AND($A600="",$B600=""),"",IF(OR($R600&lt;&gt;"",$S600&lt;&gt;""),1,0))</f>
        <v/>
      </c>
      <c r="AF600" s="22">
        <f>IF(AND($A600="",$B600=""),"",IF(Z600=1,IF(AE600=1,N($R600),AD600),0))</f>
        <v/>
      </c>
      <c r="AG600" s="22">
        <f>IF(AND($A600="",$B600=""),"",IF(Z600=1,IF(AE600=1,N($S600),AC600),0))</f>
        <v/>
      </c>
      <c r="AH600" s="21">
        <f>IF(AND($A600="",$B600=""),"",IF(AND(ISNUMBER($I600),N($I600)&gt;0),$I600,0))</f>
        <v/>
      </c>
      <c r="AI600" s="23">
        <f>IF(AND(NOT(AND($A600="",$B600="")),$K600="Point",N($L600)&gt;0),SQRT(N($L600)/PI()),"")</f>
        <v/>
      </c>
      <c r="AJ600" s="21">
        <f>IF(AND($A600="",$B600=""),"",IFERROR(VLOOKUP($G600,Lists!$D$4:$E$15,2,FALSE),"Not reported"))</f>
        <v/>
      </c>
      <c r="AK600" s="21">
        <f>IF(AND($A600="",$B600=""),"",IF($X600&lt;&gt;"",$X600,IF($T600&lt;&gt;"Y","Not assessed",IF(AND(ISNUMBER($V600),Setup!$B$6-$V600&gt;Setup!$B$26),"Assessment outdated",IF(NOT(ISNUMBER($W600)),"Assessed – no score",IF($W600&gt;=Setup!$B$24,"High",IF($W600&gt;=Setup!$B$25,"Moderate","Low")))))))</f>
        <v/>
      </c>
      <c r="AL600" s="21">
        <f>IF(AND($A600="",$B600=""),"",IF(Z600=0,"",IF(AND(AE600=1,N($R600)&gt;AD600*1.01+0.001),"Net terrestrial &gt; gross; ","")&amp;IF(AND(AE600=1,N($S600)&gt;AC600*1.01+0.001),"Net marine &gt; gross; ","")&amp;IF(AE600=0,"No net area – gross used, overlaps may be double-counted; ","")&amp;IF(AH600=0,"STATUS_YR missing – imputed in time series; ","")&amp;IF(AND(ISNUMBER($I600),N($I600)&gt;Setup!$B$6),"STATUS_YR after reporting year; ","")&amp;IF(OR($G600="",$G600="Not Reported"),"GOV_TYPE not reported; ","")&amp;IF(AND(N($J600)=1,$K600="Point",N($M600)&lt;=0),"Coastal point without REP_M_AREA – land/sea split unknown; ","")&amp;IF(AND(N($J600)=0,N($S600)&gt;0),"MARINE=0 but net marine &gt;0; ","")&amp;IF(AND(N($J600)=2,N($R600)&gt;0),"MARINE=2 but net terrestrial &gt;0; ","")&amp;IF($K600="Point","Buffered point – coverage approximate; ","")))</f>
        <v/>
      </c>
    </row>
    <row r="601">
      <c r="A601" s="19" t="n"/>
      <c r="B601" s="19" t="n"/>
      <c r="C601" s="19" t="n"/>
      <c r="D601" s="19" t="n"/>
      <c r="E601" s="19" t="n"/>
      <c r="F601" s="19" t="n"/>
      <c r="G601" s="19" t="n"/>
      <c r="H601" s="19" t="n"/>
      <c r="I601" s="19" t="n"/>
      <c r="J601" s="19" t="n"/>
      <c r="K601" s="19" t="n"/>
      <c r="L601" s="20" t="n"/>
      <c r="M601" s="20" t="n"/>
      <c r="N601" s="20" t="n"/>
      <c r="O601" s="20" t="n"/>
      <c r="P601" s="19" t="n"/>
      <c r="Q601" s="19" t="n"/>
      <c r="R601" s="20" t="n"/>
      <c r="S601" s="20" t="n"/>
      <c r="T601" s="19" t="n"/>
      <c r="U601" s="19" t="n"/>
      <c r="V601" s="19" t="n"/>
      <c r="W601" s="19" t="n"/>
      <c r="X601" s="19" t="n"/>
      <c r="Y601" s="19" t="n"/>
      <c r="Z601" s="21">
        <f>IF(AND($A601="",$B601=""),"",IF(OR($E601="",$H601="",$H601="Proposed",$H601="Not Reported"),0,IF(AND($P601="Y",$Q601&lt;&gt;"Y"),0,IF(AND($K601="Point",N($L601)&lt;=0),0,IF(AND(N($L601)&lt;=0,N($N601)&lt;=0,N($R601)+N($S601)&lt;=0),0,1)))))</f>
        <v/>
      </c>
      <c r="AA601" s="21">
        <f>IF(AND($A601="",$B601=""),"",IF($E601="","Site type missing",IF($H601="","STATUS missing",IF($H601="Proposed","STATUS = Proposed",IF($H601="Not Reported","STATUS = Not Reported",IF(AND($P601="Y",$Q601&lt;&gt;"Y"),"UNESCO-MAB Biosphere Reserve",IF(AND($K601="Point",N($L601)&lt;=0),"Point without REP_AREA",IF(AND(N($L601)&lt;=0,N($N601)&lt;=0,N($R601)+N($S601)&lt;=0),"No area information",""))))))))</f>
        <v/>
      </c>
      <c r="AB601" s="22">
        <f>IF(AND($A601="",$B601=""),"",IF($K601="Point",N($L601),IF(N($N601)&gt;0,N($N601),N($L601))))</f>
        <v/>
      </c>
      <c r="AC601" s="22">
        <f>IF(AND($A601="",$B601=""),"",MIN(AB601,IF(N($J601)=0,0,IF(N($J601)=2,AB601,IF(AND($K601&lt;&gt;"Point",N($O601)&gt;0),N($O601),N($M601))))))</f>
        <v/>
      </c>
      <c r="AD601" s="22">
        <f>IF(AND($A601="",$B601=""),"",MAX(0,AB601-AC601))</f>
        <v/>
      </c>
      <c r="AE601" s="21">
        <f>IF(AND($A601="",$B601=""),"",IF(OR($R601&lt;&gt;"",$S601&lt;&gt;""),1,0))</f>
        <v/>
      </c>
      <c r="AF601" s="22">
        <f>IF(AND($A601="",$B601=""),"",IF(Z601=1,IF(AE601=1,N($R601),AD601),0))</f>
        <v/>
      </c>
      <c r="AG601" s="22">
        <f>IF(AND($A601="",$B601=""),"",IF(Z601=1,IF(AE601=1,N($S601),AC601),0))</f>
        <v/>
      </c>
      <c r="AH601" s="21">
        <f>IF(AND($A601="",$B601=""),"",IF(AND(ISNUMBER($I601),N($I601)&gt;0),$I601,0))</f>
        <v/>
      </c>
      <c r="AI601" s="23">
        <f>IF(AND(NOT(AND($A601="",$B601="")),$K601="Point",N($L601)&gt;0),SQRT(N($L601)/PI()),"")</f>
        <v/>
      </c>
      <c r="AJ601" s="21">
        <f>IF(AND($A601="",$B601=""),"",IFERROR(VLOOKUP($G601,Lists!$D$4:$E$15,2,FALSE),"Not reported"))</f>
        <v/>
      </c>
      <c r="AK601" s="21">
        <f>IF(AND($A601="",$B601=""),"",IF($X601&lt;&gt;"",$X601,IF($T601&lt;&gt;"Y","Not assessed",IF(AND(ISNUMBER($V601),Setup!$B$6-$V601&gt;Setup!$B$26),"Assessment outdated",IF(NOT(ISNUMBER($W601)),"Assessed – no score",IF($W601&gt;=Setup!$B$24,"High",IF($W601&gt;=Setup!$B$25,"Moderate","Low")))))))</f>
        <v/>
      </c>
      <c r="AL601" s="21">
        <f>IF(AND($A601="",$B601=""),"",IF(Z601=0,"",IF(AND(AE601=1,N($R601)&gt;AD601*1.01+0.001),"Net terrestrial &gt; gross; ","")&amp;IF(AND(AE601=1,N($S601)&gt;AC601*1.01+0.001),"Net marine &gt; gross; ","")&amp;IF(AE601=0,"No net area – gross used, overlaps may be double-counted; ","")&amp;IF(AH601=0,"STATUS_YR missing – imputed in time series; ","")&amp;IF(AND(ISNUMBER($I601),N($I601)&gt;Setup!$B$6),"STATUS_YR after reporting year; ","")&amp;IF(OR($G601="",$G601="Not Reported"),"GOV_TYPE not reported; ","")&amp;IF(AND(N($J601)=1,$K601="Point",N($M601)&lt;=0),"Coastal point without REP_M_AREA – land/sea split unknown; ","")&amp;IF(AND(N($J601)=0,N($S601)&gt;0),"MARINE=0 but net marine &gt;0; ","")&amp;IF(AND(N($J601)=2,N($R601)&gt;0),"MARINE=2 but net terrestrial &gt;0; ","")&amp;IF($K601="Point","Buffered point – coverage approximate; ","")))</f>
        <v/>
      </c>
    </row>
    <row r="602">
      <c r="A602" s="19" t="n"/>
      <c r="B602" s="19" t="n"/>
      <c r="C602" s="19" t="n"/>
      <c r="D602" s="19" t="n"/>
      <c r="E602" s="19" t="n"/>
      <c r="F602" s="19" t="n"/>
      <c r="G602" s="19" t="n"/>
      <c r="H602" s="19" t="n"/>
      <c r="I602" s="19" t="n"/>
      <c r="J602" s="19" t="n"/>
      <c r="K602" s="19" t="n"/>
      <c r="L602" s="20" t="n"/>
      <c r="M602" s="20" t="n"/>
      <c r="N602" s="20" t="n"/>
      <c r="O602" s="20" t="n"/>
      <c r="P602" s="19" t="n"/>
      <c r="Q602" s="19" t="n"/>
      <c r="R602" s="20" t="n"/>
      <c r="S602" s="20" t="n"/>
      <c r="T602" s="19" t="n"/>
      <c r="U602" s="19" t="n"/>
      <c r="V602" s="19" t="n"/>
      <c r="W602" s="19" t="n"/>
      <c r="X602" s="19" t="n"/>
      <c r="Y602" s="19" t="n"/>
      <c r="Z602" s="21">
        <f>IF(AND($A602="",$B602=""),"",IF(OR($E602="",$H602="",$H602="Proposed",$H602="Not Reported"),0,IF(AND($P602="Y",$Q602&lt;&gt;"Y"),0,IF(AND($K602="Point",N($L602)&lt;=0),0,IF(AND(N($L602)&lt;=0,N($N602)&lt;=0,N($R602)+N($S602)&lt;=0),0,1)))))</f>
        <v/>
      </c>
      <c r="AA602" s="21">
        <f>IF(AND($A602="",$B602=""),"",IF($E602="","Site type missing",IF($H602="","STATUS missing",IF($H602="Proposed","STATUS = Proposed",IF($H602="Not Reported","STATUS = Not Reported",IF(AND($P602="Y",$Q602&lt;&gt;"Y"),"UNESCO-MAB Biosphere Reserve",IF(AND($K602="Point",N($L602)&lt;=0),"Point without REP_AREA",IF(AND(N($L602)&lt;=0,N($N602)&lt;=0,N($R602)+N($S602)&lt;=0),"No area information",""))))))))</f>
        <v/>
      </c>
      <c r="AB602" s="22">
        <f>IF(AND($A602="",$B602=""),"",IF($K602="Point",N($L602),IF(N($N602)&gt;0,N($N602),N($L602))))</f>
        <v/>
      </c>
      <c r="AC602" s="22">
        <f>IF(AND($A602="",$B602=""),"",MIN(AB602,IF(N($J602)=0,0,IF(N($J602)=2,AB602,IF(AND($K602&lt;&gt;"Point",N($O602)&gt;0),N($O602),N($M602))))))</f>
        <v/>
      </c>
      <c r="AD602" s="22">
        <f>IF(AND($A602="",$B602=""),"",MAX(0,AB602-AC602))</f>
        <v/>
      </c>
      <c r="AE602" s="21">
        <f>IF(AND($A602="",$B602=""),"",IF(OR($R602&lt;&gt;"",$S602&lt;&gt;""),1,0))</f>
        <v/>
      </c>
      <c r="AF602" s="22">
        <f>IF(AND($A602="",$B602=""),"",IF(Z602=1,IF(AE602=1,N($R602),AD602),0))</f>
        <v/>
      </c>
      <c r="AG602" s="22">
        <f>IF(AND($A602="",$B602=""),"",IF(Z602=1,IF(AE602=1,N($S602),AC602),0))</f>
        <v/>
      </c>
      <c r="AH602" s="21">
        <f>IF(AND($A602="",$B602=""),"",IF(AND(ISNUMBER($I602),N($I602)&gt;0),$I602,0))</f>
        <v/>
      </c>
      <c r="AI602" s="23">
        <f>IF(AND(NOT(AND($A602="",$B602="")),$K602="Point",N($L602)&gt;0),SQRT(N($L602)/PI()),"")</f>
        <v/>
      </c>
      <c r="AJ602" s="21">
        <f>IF(AND($A602="",$B602=""),"",IFERROR(VLOOKUP($G602,Lists!$D$4:$E$15,2,FALSE),"Not reported"))</f>
        <v/>
      </c>
      <c r="AK602" s="21">
        <f>IF(AND($A602="",$B602=""),"",IF($X602&lt;&gt;"",$X602,IF($T602&lt;&gt;"Y","Not assessed",IF(AND(ISNUMBER($V602),Setup!$B$6-$V602&gt;Setup!$B$26),"Assessment outdated",IF(NOT(ISNUMBER($W602)),"Assessed – no score",IF($W602&gt;=Setup!$B$24,"High",IF($W602&gt;=Setup!$B$25,"Moderate","Low")))))))</f>
        <v/>
      </c>
      <c r="AL602" s="21">
        <f>IF(AND($A602="",$B602=""),"",IF(Z602=0,"",IF(AND(AE602=1,N($R602)&gt;AD602*1.01+0.001),"Net terrestrial &gt; gross; ","")&amp;IF(AND(AE602=1,N($S602)&gt;AC602*1.01+0.001),"Net marine &gt; gross; ","")&amp;IF(AE602=0,"No net area – gross used, overlaps may be double-counted; ","")&amp;IF(AH602=0,"STATUS_YR missing – imputed in time series; ","")&amp;IF(AND(ISNUMBER($I602),N($I602)&gt;Setup!$B$6),"STATUS_YR after reporting year; ","")&amp;IF(OR($G602="",$G602="Not Reported"),"GOV_TYPE not reported; ","")&amp;IF(AND(N($J602)=1,$K602="Point",N($M602)&lt;=0),"Coastal point without REP_M_AREA – land/sea split unknown; ","")&amp;IF(AND(N($J602)=0,N($S602)&gt;0),"MARINE=0 but net marine &gt;0; ","")&amp;IF(AND(N($J602)=2,N($R602)&gt;0),"MARINE=2 but net terrestrial &gt;0; ","")&amp;IF($K602="Point","Buffered point – coverage approximate; ","")))</f>
        <v/>
      </c>
    </row>
    <row r="603">
      <c r="A603" s="19" t="n"/>
      <c r="B603" s="19" t="n"/>
      <c r="C603" s="19" t="n"/>
      <c r="D603" s="19" t="n"/>
      <c r="E603" s="19" t="n"/>
      <c r="F603" s="19" t="n"/>
      <c r="G603" s="19" t="n"/>
      <c r="H603" s="19" t="n"/>
      <c r="I603" s="19" t="n"/>
      <c r="J603" s="19" t="n"/>
      <c r="K603" s="19" t="n"/>
      <c r="L603" s="20" t="n"/>
      <c r="M603" s="20" t="n"/>
      <c r="N603" s="20" t="n"/>
      <c r="O603" s="20" t="n"/>
      <c r="P603" s="19" t="n"/>
      <c r="Q603" s="19" t="n"/>
      <c r="R603" s="20" t="n"/>
      <c r="S603" s="20" t="n"/>
      <c r="T603" s="19" t="n"/>
      <c r="U603" s="19" t="n"/>
      <c r="V603" s="19" t="n"/>
      <c r="W603" s="19" t="n"/>
      <c r="X603" s="19" t="n"/>
      <c r="Y603" s="19" t="n"/>
      <c r="Z603" s="21">
        <f>IF(AND($A603="",$B603=""),"",IF(OR($E603="",$H603="",$H603="Proposed",$H603="Not Reported"),0,IF(AND($P603="Y",$Q603&lt;&gt;"Y"),0,IF(AND($K603="Point",N($L603)&lt;=0),0,IF(AND(N($L603)&lt;=0,N($N603)&lt;=0,N($R603)+N($S603)&lt;=0),0,1)))))</f>
        <v/>
      </c>
      <c r="AA603" s="21">
        <f>IF(AND($A603="",$B603=""),"",IF($E603="","Site type missing",IF($H603="","STATUS missing",IF($H603="Proposed","STATUS = Proposed",IF($H603="Not Reported","STATUS = Not Reported",IF(AND($P603="Y",$Q603&lt;&gt;"Y"),"UNESCO-MAB Biosphere Reserve",IF(AND($K603="Point",N($L603)&lt;=0),"Point without REP_AREA",IF(AND(N($L603)&lt;=0,N($N603)&lt;=0,N($R603)+N($S603)&lt;=0),"No area information",""))))))))</f>
        <v/>
      </c>
      <c r="AB603" s="22">
        <f>IF(AND($A603="",$B603=""),"",IF($K603="Point",N($L603),IF(N($N603)&gt;0,N($N603),N($L603))))</f>
        <v/>
      </c>
      <c r="AC603" s="22">
        <f>IF(AND($A603="",$B603=""),"",MIN(AB603,IF(N($J603)=0,0,IF(N($J603)=2,AB603,IF(AND($K603&lt;&gt;"Point",N($O603)&gt;0),N($O603),N($M603))))))</f>
        <v/>
      </c>
      <c r="AD603" s="22">
        <f>IF(AND($A603="",$B603=""),"",MAX(0,AB603-AC603))</f>
        <v/>
      </c>
      <c r="AE603" s="21">
        <f>IF(AND($A603="",$B603=""),"",IF(OR($R603&lt;&gt;"",$S603&lt;&gt;""),1,0))</f>
        <v/>
      </c>
      <c r="AF603" s="22">
        <f>IF(AND($A603="",$B603=""),"",IF(Z603=1,IF(AE603=1,N($R603),AD603),0))</f>
        <v/>
      </c>
      <c r="AG603" s="22">
        <f>IF(AND($A603="",$B603=""),"",IF(Z603=1,IF(AE603=1,N($S603),AC603),0))</f>
        <v/>
      </c>
      <c r="AH603" s="21">
        <f>IF(AND($A603="",$B603=""),"",IF(AND(ISNUMBER($I603),N($I603)&gt;0),$I603,0))</f>
        <v/>
      </c>
      <c r="AI603" s="23">
        <f>IF(AND(NOT(AND($A603="",$B603="")),$K603="Point",N($L603)&gt;0),SQRT(N($L603)/PI()),"")</f>
        <v/>
      </c>
      <c r="AJ603" s="21">
        <f>IF(AND($A603="",$B603=""),"",IFERROR(VLOOKUP($G603,Lists!$D$4:$E$15,2,FALSE),"Not reported"))</f>
        <v/>
      </c>
      <c r="AK603" s="21">
        <f>IF(AND($A603="",$B603=""),"",IF($X603&lt;&gt;"",$X603,IF($T603&lt;&gt;"Y","Not assessed",IF(AND(ISNUMBER($V603),Setup!$B$6-$V603&gt;Setup!$B$26),"Assessment outdated",IF(NOT(ISNUMBER($W603)),"Assessed – no score",IF($W603&gt;=Setup!$B$24,"High",IF($W603&gt;=Setup!$B$25,"Moderate","Low")))))))</f>
        <v/>
      </c>
      <c r="AL603" s="21">
        <f>IF(AND($A603="",$B603=""),"",IF(Z603=0,"",IF(AND(AE603=1,N($R603)&gt;AD603*1.01+0.001),"Net terrestrial &gt; gross; ","")&amp;IF(AND(AE603=1,N($S603)&gt;AC603*1.01+0.001),"Net marine &gt; gross; ","")&amp;IF(AE603=0,"No net area – gross used, overlaps may be double-counted; ","")&amp;IF(AH603=0,"STATUS_YR missing – imputed in time series; ","")&amp;IF(AND(ISNUMBER($I603),N($I603)&gt;Setup!$B$6),"STATUS_YR after reporting year; ","")&amp;IF(OR($G603="",$G603="Not Reported"),"GOV_TYPE not reported; ","")&amp;IF(AND(N($J603)=1,$K603="Point",N($M603)&lt;=0),"Coastal point without REP_M_AREA – land/sea split unknown; ","")&amp;IF(AND(N($J603)=0,N($S603)&gt;0),"MARINE=0 but net marine &gt;0; ","")&amp;IF(AND(N($J603)=2,N($R603)&gt;0),"MARINE=2 but net terrestrial &gt;0; ","")&amp;IF($K603="Point","Buffered point – coverage approximate; ","")))</f>
        <v/>
      </c>
    </row>
    <row r="604">
      <c r="A604" s="19" t="n"/>
      <c r="B604" s="19" t="n"/>
      <c r="C604" s="19" t="n"/>
      <c r="D604" s="19" t="n"/>
      <c r="E604" s="19" t="n"/>
      <c r="F604" s="19" t="n"/>
      <c r="G604" s="19" t="n"/>
      <c r="H604" s="19" t="n"/>
      <c r="I604" s="19" t="n"/>
      <c r="J604" s="19" t="n"/>
      <c r="K604" s="19" t="n"/>
      <c r="L604" s="20" t="n"/>
      <c r="M604" s="20" t="n"/>
      <c r="N604" s="20" t="n"/>
      <c r="O604" s="20" t="n"/>
      <c r="P604" s="19" t="n"/>
      <c r="Q604" s="19" t="n"/>
      <c r="R604" s="20" t="n"/>
      <c r="S604" s="20" t="n"/>
      <c r="T604" s="19" t="n"/>
      <c r="U604" s="19" t="n"/>
      <c r="V604" s="19" t="n"/>
      <c r="W604" s="19" t="n"/>
      <c r="X604" s="19" t="n"/>
      <c r="Y604" s="19" t="n"/>
      <c r="Z604" s="21">
        <f>IF(AND($A604="",$B604=""),"",IF(OR($E604="",$H604="",$H604="Proposed",$H604="Not Reported"),0,IF(AND($P604="Y",$Q604&lt;&gt;"Y"),0,IF(AND($K604="Point",N($L604)&lt;=0),0,IF(AND(N($L604)&lt;=0,N($N604)&lt;=0,N($R604)+N($S604)&lt;=0),0,1)))))</f>
        <v/>
      </c>
      <c r="AA604" s="21">
        <f>IF(AND($A604="",$B604=""),"",IF($E604="","Site type missing",IF($H604="","STATUS missing",IF($H604="Proposed","STATUS = Proposed",IF($H604="Not Reported","STATUS = Not Reported",IF(AND($P604="Y",$Q604&lt;&gt;"Y"),"UNESCO-MAB Biosphere Reserve",IF(AND($K604="Point",N($L604)&lt;=0),"Point without REP_AREA",IF(AND(N($L604)&lt;=0,N($N604)&lt;=0,N($R604)+N($S604)&lt;=0),"No area information",""))))))))</f>
        <v/>
      </c>
      <c r="AB604" s="22">
        <f>IF(AND($A604="",$B604=""),"",IF($K604="Point",N($L604),IF(N($N604)&gt;0,N($N604),N($L604))))</f>
        <v/>
      </c>
      <c r="AC604" s="22">
        <f>IF(AND($A604="",$B604=""),"",MIN(AB604,IF(N($J604)=0,0,IF(N($J604)=2,AB604,IF(AND($K604&lt;&gt;"Point",N($O604)&gt;0),N($O604),N($M604))))))</f>
        <v/>
      </c>
      <c r="AD604" s="22">
        <f>IF(AND($A604="",$B604=""),"",MAX(0,AB604-AC604))</f>
        <v/>
      </c>
      <c r="AE604" s="21">
        <f>IF(AND($A604="",$B604=""),"",IF(OR($R604&lt;&gt;"",$S604&lt;&gt;""),1,0))</f>
        <v/>
      </c>
      <c r="AF604" s="22">
        <f>IF(AND($A604="",$B604=""),"",IF(Z604=1,IF(AE604=1,N($R604),AD604),0))</f>
        <v/>
      </c>
      <c r="AG604" s="22">
        <f>IF(AND($A604="",$B604=""),"",IF(Z604=1,IF(AE604=1,N($S604),AC604),0))</f>
        <v/>
      </c>
      <c r="AH604" s="21">
        <f>IF(AND($A604="",$B604=""),"",IF(AND(ISNUMBER($I604),N($I604)&gt;0),$I604,0))</f>
        <v/>
      </c>
      <c r="AI604" s="23">
        <f>IF(AND(NOT(AND($A604="",$B604="")),$K604="Point",N($L604)&gt;0),SQRT(N($L604)/PI()),"")</f>
        <v/>
      </c>
      <c r="AJ604" s="21">
        <f>IF(AND($A604="",$B604=""),"",IFERROR(VLOOKUP($G604,Lists!$D$4:$E$15,2,FALSE),"Not reported"))</f>
        <v/>
      </c>
      <c r="AK604" s="21">
        <f>IF(AND($A604="",$B604=""),"",IF($X604&lt;&gt;"",$X604,IF($T604&lt;&gt;"Y","Not assessed",IF(AND(ISNUMBER($V604),Setup!$B$6-$V604&gt;Setup!$B$26),"Assessment outdated",IF(NOT(ISNUMBER($W604)),"Assessed – no score",IF($W604&gt;=Setup!$B$24,"High",IF($W604&gt;=Setup!$B$25,"Moderate","Low")))))))</f>
        <v/>
      </c>
      <c r="AL604" s="21">
        <f>IF(AND($A604="",$B604=""),"",IF(Z604=0,"",IF(AND(AE604=1,N($R604)&gt;AD604*1.01+0.001),"Net terrestrial &gt; gross; ","")&amp;IF(AND(AE604=1,N($S604)&gt;AC604*1.01+0.001),"Net marine &gt; gross; ","")&amp;IF(AE604=0,"No net area – gross used, overlaps may be double-counted; ","")&amp;IF(AH604=0,"STATUS_YR missing – imputed in time series; ","")&amp;IF(AND(ISNUMBER($I604),N($I604)&gt;Setup!$B$6),"STATUS_YR after reporting year; ","")&amp;IF(OR($G604="",$G604="Not Reported"),"GOV_TYPE not reported; ","")&amp;IF(AND(N($J604)=1,$K604="Point",N($M604)&lt;=0),"Coastal point without REP_M_AREA – land/sea split unknown; ","")&amp;IF(AND(N($J604)=0,N($S604)&gt;0),"MARINE=0 but net marine &gt;0; ","")&amp;IF(AND(N($J604)=2,N($R604)&gt;0),"MARINE=2 but net terrestrial &gt;0; ","")&amp;IF($K604="Point","Buffered point – coverage approximate; ","")))</f>
        <v/>
      </c>
    </row>
    <row r="605">
      <c r="A605" s="19" t="n"/>
      <c r="B605" s="19" t="n"/>
      <c r="C605" s="19" t="n"/>
      <c r="D605" s="19" t="n"/>
      <c r="E605" s="19" t="n"/>
      <c r="F605" s="19" t="n"/>
      <c r="G605" s="19" t="n"/>
      <c r="H605" s="19" t="n"/>
      <c r="I605" s="19" t="n"/>
      <c r="J605" s="19" t="n"/>
      <c r="K605" s="19" t="n"/>
      <c r="L605" s="20" t="n"/>
      <c r="M605" s="20" t="n"/>
      <c r="N605" s="20" t="n"/>
      <c r="O605" s="20" t="n"/>
      <c r="P605" s="19" t="n"/>
      <c r="Q605" s="19" t="n"/>
      <c r="R605" s="20" t="n"/>
      <c r="S605" s="20" t="n"/>
      <c r="T605" s="19" t="n"/>
      <c r="U605" s="19" t="n"/>
      <c r="V605" s="19" t="n"/>
      <c r="W605" s="19" t="n"/>
      <c r="X605" s="19" t="n"/>
      <c r="Y605" s="19" t="n"/>
      <c r="Z605" s="21">
        <f>IF(AND($A605="",$B605=""),"",IF(OR($E605="",$H605="",$H605="Proposed",$H605="Not Reported"),0,IF(AND($P605="Y",$Q605&lt;&gt;"Y"),0,IF(AND($K605="Point",N($L605)&lt;=0),0,IF(AND(N($L605)&lt;=0,N($N605)&lt;=0,N($R605)+N($S605)&lt;=0),0,1)))))</f>
        <v/>
      </c>
      <c r="AA605" s="21">
        <f>IF(AND($A605="",$B605=""),"",IF($E605="","Site type missing",IF($H605="","STATUS missing",IF($H605="Proposed","STATUS = Proposed",IF($H605="Not Reported","STATUS = Not Reported",IF(AND($P605="Y",$Q605&lt;&gt;"Y"),"UNESCO-MAB Biosphere Reserve",IF(AND($K605="Point",N($L605)&lt;=0),"Point without REP_AREA",IF(AND(N($L605)&lt;=0,N($N605)&lt;=0,N($R605)+N($S605)&lt;=0),"No area information",""))))))))</f>
        <v/>
      </c>
      <c r="AB605" s="22">
        <f>IF(AND($A605="",$B605=""),"",IF($K605="Point",N($L605),IF(N($N605)&gt;0,N($N605),N($L605))))</f>
        <v/>
      </c>
      <c r="AC605" s="22">
        <f>IF(AND($A605="",$B605=""),"",MIN(AB605,IF(N($J605)=0,0,IF(N($J605)=2,AB605,IF(AND($K605&lt;&gt;"Point",N($O605)&gt;0),N($O605),N($M605))))))</f>
        <v/>
      </c>
      <c r="AD605" s="22">
        <f>IF(AND($A605="",$B605=""),"",MAX(0,AB605-AC605))</f>
        <v/>
      </c>
      <c r="AE605" s="21">
        <f>IF(AND($A605="",$B605=""),"",IF(OR($R605&lt;&gt;"",$S605&lt;&gt;""),1,0))</f>
        <v/>
      </c>
      <c r="AF605" s="22">
        <f>IF(AND($A605="",$B605=""),"",IF(Z605=1,IF(AE605=1,N($R605),AD605),0))</f>
        <v/>
      </c>
      <c r="AG605" s="22">
        <f>IF(AND($A605="",$B605=""),"",IF(Z605=1,IF(AE605=1,N($S605),AC605),0))</f>
        <v/>
      </c>
      <c r="AH605" s="21">
        <f>IF(AND($A605="",$B605=""),"",IF(AND(ISNUMBER($I605),N($I605)&gt;0),$I605,0))</f>
        <v/>
      </c>
      <c r="AI605" s="23">
        <f>IF(AND(NOT(AND($A605="",$B605="")),$K605="Point",N($L605)&gt;0),SQRT(N($L605)/PI()),"")</f>
        <v/>
      </c>
      <c r="AJ605" s="21">
        <f>IF(AND($A605="",$B605=""),"",IFERROR(VLOOKUP($G605,Lists!$D$4:$E$15,2,FALSE),"Not reported"))</f>
        <v/>
      </c>
      <c r="AK605" s="21">
        <f>IF(AND($A605="",$B605=""),"",IF($X605&lt;&gt;"",$X605,IF($T605&lt;&gt;"Y","Not assessed",IF(AND(ISNUMBER($V605),Setup!$B$6-$V605&gt;Setup!$B$26),"Assessment outdated",IF(NOT(ISNUMBER($W605)),"Assessed – no score",IF($W605&gt;=Setup!$B$24,"High",IF($W605&gt;=Setup!$B$25,"Moderate","Low")))))))</f>
        <v/>
      </c>
      <c r="AL605" s="21">
        <f>IF(AND($A605="",$B605=""),"",IF(Z605=0,"",IF(AND(AE605=1,N($R605)&gt;AD605*1.01+0.001),"Net terrestrial &gt; gross; ","")&amp;IF(AND(AE605=1,N($S605)&gt;AC605*1.01+0.001),"Net marine &gt; gross; ","")&amp;IF(AE605=0,"No net area – gross used, overlaps may be double-counted; ","")&amp;IF(AH605=0,"STATUS_YR missing – imputed in time series; ","")&amp;IF(AND(ISNUMBER($I605),N($I605)&gt;Setup!$B$6),"STATUS_YR after reporting year; ","")&amp;IF(OR($G605="",$G605="Not Reported"),"GOV_TYPE not reported; ","")&amp;IF(AND(N($J605)=1,$K605="Point",N($M605)&lt;=0),"Coastal point without REP_M_AREA – land/sea split unknown; ","")&amp;IF(AND(N($J605)=0,N($S605)&gt;0),"MARINE=0 but net marine &gt;0; ","")&amp;IF(AND(N($J605)=2,N($R605)&gt;0),"MARINE=2 but net terrestrial &gt;0; ","")&amp;IF($K605="Point","Buffered point – coverage approximate; ","")))</f>
        <v/>
      </c>
    </row>
    <row r="606">
      <c r="A606" s="19" t="n"/>
      <c r="B606" s="19" t="n"/>
      <c r="C606" s="19" t="n"/>
      <c r="D606" s="19" t="n"/>
      <c r="E606" s="19" t="n"/>
      <c r="F606" s="19" t="n"/>
      <c r="G606" s="19" t="n"/>
      <c r="H606" s="19" t="n"/>
      <c r="I606" s="19" t="n"/>
      <c r="J606" s="19" t="n"/>
      <c r="K606" s="19" t="n"/>
      <c r="L606" s="20" t="n"/>
      <c r="M606" s="20" t="n"/>
      <c r="N606" s="20" t="n"/>
      <c r="O606" s="20" t="n"/>
      <c r="P606" s="19" t="n"/>
      <c r="Q606" s="19" t="n"/>
      <c r="R606" s="20" t="n"/>
      <c r="S606" s="20" t="n"/>
      <c r="T606" s="19" t="n"/>
      <c r="U606" s="19" t="n"/>
      <c r="V606" s="19" t="n"/>
      <c r="W606" s="19" t="n"/>
      <c r="X606" s="19" t="n"/>
      <c r="Y606" s="19" t="n"/>
      <c r="Z606" s="21">
        <f>IF(AND($A606="",$B606=""),"",IF(OR($E606="",$H606="",$H606="Proposed",$H606="Not Reported"),0,IF(AND($P606="Y",$Q606&lt;&gt;"Y"),0,IF(AND($K606="Point",N($L606)&lt;=0),0,IF(AND(N($L606)&lt;=0,N($N606)&lt;=0,N($R606)+N($S606)&lt;=0),0,1)))))</f>
        <v/>
      </c>
      <c r="AA606" s="21">
        <f>IF(AND($A606="",$B606=""),"",IF($E606="","Site type missing",IF($H606="","STATUS missing",IF($H606="Proposed","STATUS = Proposed",IF($H606="Not Reported","STATUS = Not Reported",IF(AND($P606="Y",$Q606&lt;&gt;"Y"),"UNESCO-MAB Biosphere Reserve",IF(AND($K606="Point",N($L606)&lt;=0),"Point without REP_AREA",IF(AND(N($L606)&lt;=0,N($N606)&lt;=0,N($R606)+N($S606)&lt;=0),"No area information",""))))))))</f>
        <v/>
      </c>
      <c r="AB606" s="22">
        <f>IF(AND($A606="",$B606=""),"",IF($K606="Point",N($L606),IF(N($N606)&gt;0,N($N606),N($L606))))</f>
        <v/>
      </c>
      <c r="AC606" s="22">
        <f>IF(AND($A606="",$B606=""),"",MIN(AB606,IF(N($J606)=0,0,IF(N($J606)=2,AB606,IF(AND($K606&lt;&gt;"Point",N($O606)&gt;0),N($O606),N($M606))))))</f>
        <v/>
      </c>
      <c r="AD606" s="22">
        <f>IF(AND($A606="",$B606=""),"",MAX(0,AB606-AC606))</f>
        <v/>
      </c>
      <c r="AE606" s="21">
        <f>IF(AND($A606="",$B606=""),"",IF(OR($R606&lt;&gt;"",$S606&lt;&gt;""),1,0))</f>
        <v/>
      </c>
      <c r="AF606" s="22">
        <f>IF(AND($A606="",$B606=""),"",IF(Z606=1,IF(AE606=1,N($R606),AD606),0))</f>
        <v/>
      </c>
      <c r="AG606" s="22">
        <f>IF(AND($A606="",$B606=""),"",IF(Z606=1,IF(AE606=1,N($S606),AC606),0))</f>
        <v/>
      </c>
      <c r="AH606" s="21">
        <f>IF(AND($A606="",$B606=""),"",IF(AND(ISNUMBER($I606),N($I606)&gt;0),$I606,0))</f>
        <v/>
      </c>
      <c r="AI606" s="23">
        <f>IF(AND(NOT(AND($A606="",$B606="")),$K606="Point",N($L606)&gt;0),SQRT(N($L606)/PI()),"")</f>
        <v/>
      </c>
      <c r="AJ606" s="21">
        <f>IF(AND($A606="",$B606=""),"",IFERROR(VLOOKUP($G606,Lists!$D$4:$E$15,2,FALSE),"Not reported"))</f>
        <v/>
      </c>
      <c r="AK606" s="21">
        <f>IF(AND($A606="",$B606=""),"",IF($X606&lt;&gt;"",$X606,IF($T606&lt;&gt;"Y","Not assessed",IF(AND(ISNUMBER($V606),Setup!$B$6-$V606&gt;Setup!$B$26),"Assessment outdated",IF(NOT(ISNUMBER($W606)),"Assessed – no score",IF($W606&gt;=Setup!$B$24,"High",IF($W606&gt;=Setup!$B$25,"Moderate","Low")))))))</f>
        <v/>
      </c>
      <c r="AL606" s="21">
        <f>IF(AND($A606="",$B606=""),"",IF(Z606=0,"",IF(AND(AE606=1,N($R606)&gt;AD606*1.01+0.001),"Net terrestrial &gt; gross; ","")&amp;IF(AND(AE606=1,N($S606)&gt;AC606*1.01+0.001),"Net marine &gt; gross; ","")&amp;IF(AE606=0,"No net area – gross used, overlaps may be double-counted; ","")&amp;IF(AH606=0,"STATUS_YR missing – imputed in time series; ","")&amp;IF(AND(ISNUMBER($I606),N($I606)&gt;Setup!$B$6),"STATUS_YR after reporting year; ","")&amp;IF(OR($G606="",$G606="Not Reported"),"GOV_TYPE not reported; ","")&amp;IF(AND(N($J606)=1,$K606="Point",N($M606)&lt;=0),"Coastal point without REP_M_AREA – land/sea split unknown; ","")&amp;IF(AND(N($J606)=0,N($S606)&gt;0),"MARINE=0 but net marine &gt;0; ","")&amp;IF(AND(N($J606)=2,N($R606)&gt;0),"MARINE=2 but net terrestrial &gt;0; ","")&amp;IF($K606="Point","Buffered point – coverage approximate; ","")))</f>
        <v/>
      </c>
    </row>
    <row r="607">
      <c r="A607" s="19" t="n"/>
      <c r="B607" s="19" t="n"/>
      <c r="C607" s="19" t="n"/>
      <c r="D607" s="19" t="n"/>
      <c r="E607" s="19" t="n"/>
      <c r="F607" s="19" t="n"/>
      <c r="G607" s="19" t="n"/>
      <c r="H607" s="19" t="n"/>
      <c r="I607" s="19" t="n"/>
      <c r="J607" s="19" t="n"/>
      <c r="K607" s="19" t="n"/>
      <c r="L607" s="20" t="n"/>
      <c r="M607" s="20" t="n"/>
      <c r="N607" s="20" t="n"/>
      <c r="O607" s="20" t="n"/>
      <c r="P607" s="19" t="n"/>
      <c r="Q607" s="19" t="n"/>
      <c r="R607" s="20" t="n"/>
      <c r="S607" s="20" t="n"/>
      <c r="T607" s="19" t="n"/>
      <c r="U607" s="19" t="n"/>
      <c r="V607" s="19" t="n"/>
      <c r="W607" s="19" t="n"/>
      <c r="X607" s="19" t="n"/>
      <c r="Y607" s="19" t="n"/>
      <c r="Z607" s="21">
        <f>IF(AND($A607="",$B607=""),"",IF(OR($E607="",$H607="",$H607="Proposed",$H607="Not Reported"),0,IF(AND($P607="Y",$Q607&lt;&gt;"Y"),0,IF(AND($K607="Point",N($L607)&lt;=0),0,IF(AND(N($L607)&lt;=0,N($N607)&lt;=0,N($R607)+N($S607)&lt;=0),0,1)))))</f>
        <v/>
      </c>
      <c r="AA607" s="21">
        <f>IF(AND($A607="",$B607=""),"",IF($E607="","Site type missing",IF($H607="","STATUS missing",IF($H607="Proposed","STATUS = Proposed",IF($H607="Not Reported","STATUS = Not Reported",IF(AND($P607="Y",$Q607&lt;&gt;"Y"),"UNESCO-MAB Biosphere Reserve",IF(AND($K607="Point",N($L607)&lt;=0),"Point without REP_AREA",IF(AND(N($L607)&lt;=0,N($N607)&lt;=0,N($R607)+N($S607)&lt;=0),"No area information",""))))))))</f>
        <v/>
      </c>
      <c r="AB607" s="22">
        <f>IF(AND($A607="",$B607=""),"",IF($K607="Point",N($L607),IF(N($N607)&gt;0,N($N607),N($L607))))</f>
        <v/>
      </c>
      <c r="AC607" s="22">
        <f>IF(AND($A607="",$B607=""),"",MIN(AB607,IF(N($J607)=0,0,IF(N($J607)=2,AB607,IF(AND($K607&lt;&gt;"Point",N($O607)&gt;0),N($O607),N($M607))))))</f>
        <v/>
      </c>
      <c r="AD607" s="22">
        <f>IF(AND($A607="",$B607=""),"",MAX(0,AB607-AC607))</f>
        <v/>
      </c>
      <c r="AE607" s="21">
        <f>IF(AND($A607="",$B607=""),"",IF(OR($R607&lt;&gt;"",$S607&lt;&gt;""),1,0))</f>
        <v/>
      </c>
      <c r="AF607" s="22">
        <f>IF(AND($A607="",$B607=""),"",IF(Z607=1,IF(AE607=1,N($R607),AD607),0))</f>
        <v/>
      </c>
      <c r="AG607" s="22">
        <f>IF(AND($A607="",$B607=""),"",IF(Z607=1,IF(AE607=1,N($S607),AC607),0))</f>
        <v/>
      </c>
      <c r="AH607" s="21">
        <f>IF(AND($A607="",$B607=""),"",IF(AND(ISNUMBER($I607),N($I607)&gt;0),$I607,0))</f>
        <v/>
      </c>
      <c r="AI607" s="23">
        <f>IF(AND(NOT(AND($A607="",$B607="")),$K607="Point",N($L607)&gt;0),SQRT(N($L607)/PI()),"")</f>
        <v/>
      </c>
      <c r="AJ607" s="21">
        <f>IF(AND($A607="",$B607=""),"",IFERROR(VLOOKUP($G607,Lists!$D$4:$E$15,2,FALSE),"Not reported"))</f>
        <v/>
      </c>
      <c r="AK607" s="21">
        <f>IF(AND($A607="",$B607=""),"",IF($X607&lt;&gt;"",$X607,IF($T607&lt;&gt;"Y","Not assessed",IF(AND(ISNUMBER($V607),Setup!$B$6-$V607&gt;Setup!$B$26),"Assessment outdated",IF(NOT(ISNUMBER($W607)),"Assessed – no score",IF($W607&gt;=Setup!$B$24,"High",IF($W607&gt;=Setup!$B$25,"Moderate","Low")))))))</f>
        <v/>
      </c>
      <c r="AL607" s="21">
        <f>IF(AND($A607="",$B607=""),"",IF(Z607=0,"",IF(AND(AE607=1,N($R607)&gt;AD607*1.01+0.001),"Net terrestrial &gt; gross; ","")&amp;IF(AND(AE607=1,N($S607)&gt;AC607*1.01+0.001),"Net marine &gt; gross; ","")&amp;IF(AE607=0,"No net area – gross used, overlaps may be double-counted; ","")&amp;IF(AH607=0,"STATUS_YR missing – imputed in time series; ","")&amp;IF(AND(ISNUMBER($I607),N($I607)&gt;Setup!$B$6),"STATUS_YR after reporting year; ","")&amp;IF(OR($G607="",$G607="Not Reported"),"GOV_TYPE not reported; ","")&amp;IF(AND(N($J607)=1,$K607="Point",N($M607)&lt;=0),"Coastal point without REP_M_AREA – land/sea split unknown; ","")&amp;IF(AND(N($J607)=0,N($S607)&gt;0),"MARINE=0 but net marine &gt;0; ","")&amp;IF(AND(N($J607)=2,N($R607)&gt;0),"MARINE=2 but net terrestrial &gt;0; ","")&amp;IF($K607="Point","Buffered point – coverage approximate; ","")))</f>
        <v/>
      </c>
    </row>
    <row r="608">
      <c r="A608" s="19" t="n"/>
      <c r="B608" s="19" t="n"/>
      <c r="C608" s="19" t="n"/>
      <c r="D608" s="19" t="n"/>
      <c r="E608" s="19" t="n"/>
      <c r="F608" s="19" t="n"/>
      <c r="G608" s="19" t="n"/>
      <c r="H608" s="19" t="n"/>
      <c r="I608" s="19" t="n"/>
      <c r="J608" s="19" t="n"/>
      <c r="K608" s="19" t="n"/>
      <c r="L608" s="20" t="n"/>
      <c r="M608" s="20" t="n"/>
      <c r="N608" s="20" t="n"/>
      <c r="O608" s="20" t="n"/>
      <c r="P608" s="19" t="n"/>
      <c r="Q608" s="19" t="n"/>
      <c r="R608" s="20" t="n"/>
      <c r="S608" s="20" t="n"/>
      <c r="T608" s="19" t="n"/>
      <c r="U608" s="19" t="n"/>
      <c r="V608" s="19" t="n"/>
      <c r="W608" s="19" t="n"/>
      <c r="X608" s="19" t="n"/>
      <c r="Y608" s="19" t="n"/>
      <c r="Z608" s="21">
        <f>IF(AND($A608="",$B608=""),"",IF(OR($E608="",$H608="",$H608="Proposed",$H608="Not Reported"),0,IF(AND($P608="Y",$Q608&lt;&gt;"Y"),0,IF(AND($K608="Point",N($L608)&lt;=0),0,IF(AND(N($L608)&lt;=0,N($N608)&lt;=0,N($R608)+N($S608)&lt;=0),0,1)))))</f>
        <v/>
      </c>
      <c r="AA608" s="21">
        <f>IF(AND($A608="",$B608=""),"",IF($E608="","Site type missing",IF($H608="","STATUS missing",IF($H608="Proposed","STATUS = Proposed",IF($H608="Not Reported","STATUS = Not Reported",IF(AND($P608="Y",$Q608&lt;&gt;"Y"),"UNESCO-MAB Biosphere Reserve",IF(AND($K608="Point",N($L608)&lt;=0),"Point without REP_AREA",IF(AND(N($L608)&lt;=0,N($N608)&lt;=0,N($R608)+N($S608)&lt;=0),"No area information",""))))))))</f>
        <v/>
      </c>
      <c r="AB608" s="22">
        <f>IF(AND($A608="",$B608=""),"",IF($K608="Point",N($L608),IF(N($N608)&gt;0,N($N608),N($L608))))</f>
        <v/>
      </c>
      <c r="AC608" s="22">
        <f>IF(AND($A608="",$B608=""),"",MIN(AB608,IF(N($J608)=0,0,IF(N($J608)=2,AB608,IF(AND($K608&lt;&gt;"Point",N($O608)&gt;0),N($O608),N($M608))))))</f>
        <v/>
      </c>
      <c r="AD608" s="22">
        <f>IF(AND($A608="",$B608=""),"",MAX(0,AB608-AC608))</f>
        <v/>
      </c>
      <c r="AE608" s="21">
        <f>IF(AND($A608="",$B608=""),"",IF(OR($R608&lt;&gt;"",$S608&lt;&gt;""),1,0))</f>
        <v/>
      </c>
      <c r="AF608" s="22">
        <f>IF(AND($A608="",$B608=""),"",IF(Z608=1,IF(AE608=1,N($R608),AD608),0))</f>
        <v/>
      </c>
      <c r="AG608" s="22">
        <f>IF(AND($A608="",$B608=""),"",IF(Z608=1,IF(AE608=1,N($S608),AC608),0))</f>
        <v/>
      </c>
      <c r="AH608" s="21">
        <f>IF(AND($A608="",$B608=""),"",IF(AND(ISNUMBER($I608),N($I608)&gt;0),$I608,0))</f>
        <v/>
      </c>
      <c r="AI608" s="23">
        <f>IF(AND(NOT(AND($A608="",$B608="")),$K608="Point",N($L608)&gt;0),SQRT(N($L608)/PI()),"")</f>
        <v/>
      </c>
      <c r="AJ608" s="21">
        <f>IF(AND($A608="",$B608=""),"",IFERROR(VLOOKUP($G608,Lists!$D$4:$E$15,2,FALSE),"Not reported"))</f>
        <v/>
      </c>
      <c r="AK608" s="21">
        <f>IF(AND($A608="",$B608=""),"",IF($X608&lt;&gt;"",$X608,IF($T608&lt;&gt;"Y","Not assessed",IF(AND(ISNUMBER($V608),Setup!$B$6-$V608&gt;Setup!$B$26),"Assessment outdated",IF(NOT(ISNUMBER($W608)),"Assessed – no score",IF($W608&gt;=Setup!$B$24,"High",IF($W608&gt;=Setup!$B$25,"Moderate","Low")))))))</f>
        <v/>
      </c>
      <c r="AL608" s="21">
        <f>IF(AND($A608="",$B608=""),"",IF(Z608=0,"",IF(AND(AE608=1,N($R608)&gt;AD608*1.01+0.001),"Net terrestrial &gt; gross; ","")&amp;IF(AND(AE608=1,N($S608)&gt;AC608*1.01+0.001),"Net marine &gt; gross; ","")&amp;IF(AE608=0,"No net area – gross used, overlaps may be double-counted; ","")&amp;IF(AH608=0,"STATUS_YR missing – imputed in time series; ","")&amp;IF(AND(ISNUMBER($I608),N($I608)&gt;Setup!$B$6),"STATUS_YR after reporting year; ","")&amp;IF(OR($G608="",$G608="Not Reported"),"GOV_TYPE not reported; ","")&amp;IF(AND(N($J608)=1,$K608="Point",N($M608)&lt;=0),"Coastal point without REP_M_AREA – land/sea split unknown; ","")&amp;IF(AND(N($J608)=0,N($S608)&gt;0),"MARINE=0 but net marine &gt;0; ","")&amp;IF(AND(N($J608)=2,N($R608)&gt;0),"MARINE=2 but net terrestrial &gt;0; ","")&amp;IF($K608="Point","Buffered point – coverage approximate; ","")))</f>
        <v/>
      </c>
    </row>
    <row r="609">
      <c r="A609" s="19" t="n"/>
      <c r="B609" s="19" t="n"/>
      <c r="C609" s="19" t="n"/>
      <c r="D609" s="19" t="n"/>
      <c r="E609" s="19" t="n"/>
      <c r="F609" s="19" t="n"/>
      <c r="G609" s="19" t="n"/>
      <c r="H609" s="19" t="n"/>
      <c r="I609" s="19" t="n"/>
      <c r="J609" s="19" t="n"/>
      <c r="K609" s="19" t="n"/>
      <c r="L609" s="20" t="n"/>
      <c r="M609" s="20" t="n"/>
      <c r="N609" s="20" t="n"/>
      <c r="O609" s="20" t="n"/>
      <c r="P609" s="19" t="n"/>
      <c r="Q609" s="19" t="n"/>
      <c r="R609" s="20" t="n"/>
      <c r="S609" s="20" t="n"/>
      <c r="T609" s="19" t="n"/>
      <c r="U609" s="19" t="n"/>
      <c r="V609" s="19" t="n"/>
      <c r="W609" s="19" t="n"/>
      <c r="X609" s="19" t="n"/>
      <c r="Y609" s="19" t="n"/>
      <c r="Z609" s="21">
        <f>IF(AND($A609="",$B609=""),"",IF(OR($E609="",$H609="",$H609="Proposed",$H609="Not Reported"),0,IF(AND($P609="Y",$Q609&lt;&gt;"Y"),0,IF(AND($K609="Point",N($L609)&lt;=0),0,IF(AND(N($L609)&lt;=0,N($N609)&lt;=0,N($R609)+N($S609)&lt;=0),0,1)))))</f>
        <v/>
      </c>
      <c r="AA609" s="21">
        <f>IF(AND($A609="",$B609=""),"",IF($E609="","Site type missing",IF($H609="","STATUS missing",IF($H609="Proposed","STATUS = Proposed",IF($H609="Not Reported","STATUS = Not Reported",IF(AND($P609="Y",$Q609&lt;&gt;"Y"),"UNESCO-MAB Biosphere Reserve",IF(AND($K609="Point",N($L609)&lt;=0),"Point without REP_AREA",IF(AND(N($L609)&lt;=0,N($N609)&lt;=0,N($R609)+N($S609)&lt;=0),"No area information",""))))))))</f>
        <v/>
      </c>
      <c r="AB609" s="22">
        <f>IF(AND($A609="",$B609=""),"",IF($K609="Point",N($L609),IF(N($N609)&gt;0,N($N609),N($L609))))</f>
        <v/>
      </c>
      <c r="AC609" s="22">
        <f>IF(AND($A609="",$B609=""),"",MIN(AB609,IF(N($J609)=0,0,IF(N($J609)=2,AB609,IF(AND($K609&lt;&gt;"Point",N($O609)&gt;0),N($O609),N($M609))))))</f>
        <v/>
      </c>
      <c r="AD609" s="22">
        <f>IF(AND($A609="",$B609=""),"",MAX(0,AB609-AC609))</f>
        <v/>
      </c>
      <c r="AE609" s="21">
        <f>IF(AND($A609="",$B609=""),"",IF(OR($R609&lt;&gt;"",$S609&lt;&gt;""),1,0))</f>
        <v/>
      </c>
      <c r="AF609" s="22">
        <f>IF(AND($A609="",$B609=""),"",IF(Z609=1,IF(AE609=1,N($R609),AD609),0))</f>
        <v/>
      </c>
      <c r="AG609" s="22">
        <f>IF(AND($A609="",$B609=""),"",IF(Z609=1,IF(AE609=1,N($S609),AC609),0))</f>
        <v/>
      </c>
      <c r="AH609" s="21">
        <f>IF(AND($A609="",$B609=""),"",IF(AND(ISNUMBER($I609),N($I609)&gt;0),$I609,0))</f>
        <v/>
      </c>
      <c r="AI609" s="23">
        <f>IF(AND(NOT(AND($A609="",$B609="")),$K609="Point",N($L609)&gt;0),SQRT(N($L609)/PI()),"")</f>
        <v/>
      </c>
      <c r="AJ609" s="21">
        <f>IF(AND($A609="",$B609=""),"",IFERROR(VLOOKUP($G609,Lists!$D$4:$E$15,2,FALSE),"Not reported"))</f>
        <v/>
      </c>
      <c r="AK609" s="21">
        <f>IF(AND($A609="",$B609=""),"",IF($X609&lt;&gt;"",$X609,IF($T609&lt;&gt;"Y","Not assessed",IF(AND(ISNUMBER($V609),Setup!$B$6-$V609&gt;Setup!$B$26),"Assessment outdated",IF(NOT(ISNUMBER($W609)),"Assessed – no score",IF($W609&gt;=Setup!$B$24,"High",IF($W609&gt;=Setup!$B$25,"Moderate","Low")))))))</f>
        <v/>
      </c>
      <c r="AL609" s="21">
        <f>IF(AND($A609="",$B609=""),"",IF(Z609=0,"",IF(AND(AE609=1,N($R609)&gt;AD609*1.01+0.001),"Net terrestrial &gt; gross; ","")&amp;IF(AND(AE609=1,N($S609)&gt;AC609*1.01+0.001),"Net marine &gt; gross; ","")&amp;IF(AE609=0,"No net area – gross used, overlaps may be double-counted; ","")&amp;IF(AH609=0,"STATUS_YR missing – imputed in time series; ","")&amp;IF(AND(ISNUMBER($I609),N($I609)&gt;Setup!$B$6),"STATUS_YR after reporting year; ","")&amp;IF(OR($G609="",$G609="Not Reported"),"GOV_TYPE not reported; ","")&amp;IF(AND(N($J609)=1,$K609="Point",N($M609)&lt;=0),"Coastal point without REP_M_AREA – land/sea split unknown; ","")&amp;IF(AND(N($J609)=0,N($S609)&gt;0),"MARINE=0 but net marine &gt;0; ","")&amp;IF(AND(N($J609)=2,N($R609)&gt;0),"MARINE=2 but net terrestrial &gt;0; ","")&amp;IF($K609="Point","Buffered point – coverage approximate; ","")))</f>
        <v/>
      </c>
    </row>
    <row r="610">
      <c r="A610" s="19" t="n"/>
      <c r="B610" s="19" t="n"/>
      <c r="C610" s="19" t="n"/>
      <c r="D610" s="19" t="n"/>
      <c r="E610" s="19" t="n"/>
      <c r="F610" s="19" t="n"/>
      <c r="G610" s="19" t="n"/>
      <c r="H610" s="19" t="n"/>
      <c r="I610" s="19" t="n"/>
      <c r="J610" s="19" t="n"/>
      <c r="K610" s="19" t="n"/>
      <c r="L610" s="20" t="n"/>
      <c r="M610" s="20" t="n"/>
      <c r="N610" s="20" t="n"/>
      <c r="O610" s="20" t="n"/>
      <c r="P610" s="19" t="n"/>
      <c r="Q610" s="19" t="n"/>
      <c r="R610" s="20" t="n"/>
      <c r="S610" s="20" t="n"/>
      <c r="T610" s="19" t="n"/>
      <c r="U610" s="19" t="n"/>
      <c r="V610" s="19" t="n"/>
      <c r="W610" s="19" t="n"/>
      <c r="X610" s="19" t="n"/>
      <c r="Y610" s="19" t="n"/>
      <c r="Z610" s="21">
        <f>IF(AND($A610="",$B610=""),"",IF(OR($E610="",$H610="",$H610="Proposed",$H610="Not Reported"),0,IF(AND($P610="Y",$Q610&lt;&gt;"Y"),0,IF(AND($K610="Point",N($L610)&lt;=0),0,IF(AND(N($L610)&lt;=0,N($N610)&lt;=0,N($R610)+N($S610)&lt;=0),0,1)))))</f>
        <v/>
      </c>
      <c r="AA610" s="21">
        <f>IF(AND($A610="",$B610=""),"",IF($E610="","Site type missing",IF($H610="","STATUS missing",IF($H610="Proposed","STATUS = Proposed",IF($H610="Not Reported","STATUS = Not Reported",IF(AND($P610="Y",$Q610&lt;&gt;"Y"),"UNESCO-MAB Biosphere Reserve",IF(AND($K610="Point",N($L610)&lt;=0),"Point without REP_AREA",IF(AND(N($L610)&lt;=0,N($N610)&lt;=0,N($R610)+N($S610)&lt;=0),"No area information",""))))))))</f>
        <v/>
      </c>
      <c r="AB610" s="22">
        <f>IF(AND($A610="",$B610=""),"",IF($K610="Point",N($L610),IF(N($N610)&gt;0,N($N610),N($L610))))</f>
        <v/>
      </c>
      <c r="AC610" s="22">
        <f>IF(AND($A610="",$B610=""),"",MIN(AB610,IF(N($J610)=0,0,IF(N($J610)=2,AB610,IF(AND($K610&lt;&gt;"Point",N($O610)&gt;0),N($O610),N($M610))))))</f>
        <v/>
      </c>
      <c r="AD610" s="22">
        <f>IF(AND($A610="",$B610=""),"",MAX(0,AB610-AC610))</f>
        <v/>
      </c>
      <c r="AE610" s="21">
        <f>IF(AND($A610="",$B610=""),"",IF(OR($R610&lt;&gt;"",$S610&lt;&gt;""),1,0))</f>
        <v/>
      </c>
      <c r="AF610" s="22">
        <f>IF(AND($A610="",$B610=""),"",IF(Z610=1,IF(AE610=1,N($R610),AD610),0))</f>
        <v/>
      </c>
      <c r="AG610" s="22">
        <f>IF(AND($A610="",$B610=""),"",IF(Z610=1,IF(AE610=1,N($S610),AC610),0))</f>
        <v/>
      </c>
      <c r="AH610" s="21">
        <f>IF(AND($A610="",$B610=""),"",IF(AND(ISNUMBER($I610),N($I610)&gt;0),$I610,0))</f>
        <v/>
      </c>
      <c r="AI610" s="23">
        <f>IF(AND(NOT(AND($A610="",$B610="")),$K610="Point",N($L610)&gt;0),SQRT(N($L610)/PI()),"")</f>
        <v/>
      </c>
      <c r="AJ610" s="21">
        <f>IF(AND($A610="",$B610=""),"",IFERROR(VLOOKUP($G610,Lists!$D$4:$E$15,2,FALSE),"Not reported"))</f>
        <v/>
      </c>
      <c r="AK610" s="21">
        <f>IF(AND($A610="",$B610=""),"",IF($X610&lt;&gt;"",$X610,IF($T610&lt;&gt;"Y","Not assessed",IF(AND(ISNUMBER($V610),Setup!$B$6-$V610&gt;Setup!$B$26),"Assessment outdated",IF(NOT(ISNUMBER($W610)),"Assessed – no score",IF($W610&gt;=Setup!$B$24,"High",IF($W610&gt;=Setup!$B$25,"Moderate","Low")))))))</f>
        <v/>
      </c>
      <c r="AL610" s="21">
        <f>IF(AND($A610="",$B610=""),"",IF(Z610=0,"",IF(AND(AE610=1,N($R610)&gt;AD610*1.01+0.001),"Net terrestrial &gt; gross; ","")&amp;IF(AND(AE610=1,N($S610)&gt;AC610*1.01+0.001),"Net marine &gt; gross; ","")&amp;IF(AE610=0,"No net area – gross used, overlaps may be double-counted; ","")&amp;IF(AH610=0,"STATUS_YR missing – imputed in time series; ","")&amp;IF(AND(ISNUMBER($I610),N($I610)&gt;Setup!$B$6),"STATUS_YR after reporting year; ","")&amp;IF(OR($G610="",$G610="Not Reported"),"GOV_TYPE not reported; ","")&amp;IF(AND(N($J610)=1,$K610="Point",N($M610)&lt;=0),"Coastal point without REP_M_AREA – land/sea split unknown; ","")&amp;IF(AND(N($J610)=0,N($S610)&gt;0),"MARINE=0 but net marine &gt;0; ","")&amp;IF(AND(N($J610)=2,N($R610)&gt;0),"MARINE=2 but net terrestrial &gt;0; ","")&amp;IF($K610="Point","Buffered point – coverage approximate; ","")))</f>
        <v/>
      </c>
    </row>
    <row r="611">
      <c r="A611" s="19" t="n"/>
      <c r="B611" s="19" t="n"/>
      <c r="C611" s="19" t="n"/>
      <c r="D611" s="19" t="n"/>
      <c r="E611" s="19" t="n"/>
      <c r="F611" s="19" t="n"/>
      <c r="G611" s="19" t="n"/>
      <c r="H611" s="19" t="n"/>
      <c r="I611" s="19" t="n"/>
      <c r="J611" s="19" t="n"/>
      <c r="K611" s="19" t="n"/>
      <c r="L611" s="20" t="n"/>
      <c r="M611" s="20" t="n"/>
      <c r="N611" s="20" t="n"/>
      <c r="O611" s="20" t="n"/>
      <c r="P611" s="19" t="n"/>
      <c r="Q611" s="19" t="n"/>
      <c r="R611" s="20" t="n"/>
      <c r="S611" s="20" t="n"/>
      <c r="T611" s="19" t="n"/>
      <c r="U611" s="19" t="n"/>
      <c r="V611" s="19" t="n"/>
      <c r="W611" s="19" t="n"/>
      <c r="X611" s="19" t="n"/>
      <c r="Y611" s="19" t="n"/>
      <c r="Z611" s="21">
        <f>IF(AND($A611="",$B611=""),"",IF(OR($E611="",$H611="",$H611="Proposed",$H611="Not Reported"),0,IF(AND($P611="Y",$Q611&lt;&gt;"Y"),0,IF(AND($K611="Point",N($L611)&lt;=0),0,IF(AND(N($L611)&lt;=0,N($N611)&lt;=0,N($R611)+N($S611)&lt;=0),0,1)))))</f>
        <v/>
      </c>
      <c r="AA611" s="21">
        <f>IF(AND($A611="",$B611=""),"",IF($E611="","Site type missing",IF($H611="","STATUS missing",IF($H611="Proposed","STATUS = Proposed",IF($H611="Not Reported","STATUS = Not Reported",IF(AND($P611="Y",$Q611&lt;&gt;"Y"),"UNESCO-MAB Biosphere Reserve",IF(AND($K611="Point",N($L611)&lt;=0),"Point without REP_AREA",IF(AND(N($L611)&lt;=0,N($N611)&lt;=0,N($R611)+N($S611)&lt;=0),"No area information",""))))))))</f>
        <v/>
      </c>
      <c r="AB611" s="22">
        <f>IF(AND($A611="",$B611=""),"",IF($K611="Point",N($L611),IF(N($N611)&gt;0,N($N611),N($L611))))</f>
        <v/>
      </c>
      <c r="AC611" s="22">
        <f>IF(AND($A611="",$B611=""),"",MIN(AB611,IF(N($J611)=0,0,IF(N($J611)=2,AB611,IF(AND($K611&lt;&gt;"Point",N($O611)&gt;0),N($O611),N($M611))))))</f>
        <v/>
      </c>
      <c r="AD611" s="22">
        <f>IF(AND($A611="",$B611=""),"",MAX(0,AB611-AC611))</f>
        <v/>
      </c>
      <c r="AE611" s="21">
        <f>IF(AND($A611="",$B611=""),"",IF(OR($R611&lt;&gt;"",$S611&lt;&gt;""),1,0))</f>
        <v/>
      </c>
      <c r="AF611" s="22">
        <f>IF(AND($A611="",$B611=""),"",IF(Z611=1,IF(AE611=1,N($R611),AD611),0))</f>
        <v/>
      </c>
      <c r="AG611" s="22">
        <f>IF(AND($A611="",$B611=""),"",IF(Z611=1,IF(AE611=1,N($S611),AC611),0))</f>
        <v/>
      </c>
      <c r="AH611" s="21">
        <f>IF(AND($A611="",$B611=""),"",IF(AND(ISNUMBER($I611),N($I611)&gt;0),$I611,0))</f>
        <v/>
      </c>
      <c r="AI611" s="23">
        <f>IF(AND(NOT(AND($A611="",$B611="")),$K611="Point",N($L611)&gt;0),SQRT(N($L611)/PI()),"")</f>
        <v/>
      </c>
      <c r="AJ611" s="21">
        <f>IF(AND($A611="",$B611=""),"",IFERROR(VLOOKUP($G611,Lists!$D$4:$E$15,2,FALSE),"Not reported"))</f>
        <v/>
      </c>
      <c r="AK611" s="21">
        <f>IF(AND($A611="",$B611=""),"",IF($X611&lt;&gt;"",$X611,IF($T611&lt;&gt;"Y","Not assessed",IF(AND(ISNUMBER($V611),Setup!$B$6-$V611&gt;Setup!$B$26),"Assessment outdated",IF(NOT(ISNUMBER($W611)),"Assessed – no score",IF($W611&gt;=Setup!$B$24,"High",IF($W611&gt;=Setup!$B$25,"Moderate","Low")))))))</f>
        <v/>
      </c>
      <c r="AL611" s="21">
        <f>IF(AND($A611="",$B611=""),"",IF(Z611=0,"",IF(AND(AE611=1,N($R611)&gt;AD611*1.01+0.001),"Net terrestrial &gt; gross; ","")&amp;IF(AND(AE611=1,N($S611)&gt;AC611*1.01+0.001),"Net marine &gt; gross; ","")&amp;IF(AE611=0,"No net area – gross used, overlaps may be double-counted; ","")&amp;IF(AH611=0,"STATUS_YR missing – imputed in time series; ","")&amp;IF(AND(ISNUMBER($I611),N($I611)&gt;Setup!$B$6),"STATUS_YR after reporting year; ","")&amp;IF(OR($G611="",$G611="Not Reported"),"GOV_TYPE not reported; ","")&amp;IF(AND(N($J611)=1,$K611="Point",N($M611)&lt;=0),"Coastal point without REP_M_AREA – land/sea split unknown; ","")&amp;IF(AND(N($J611)=0,N($S611)&gt;0),"MARINE=0 but net marine &gt;0; ","")&amp;IF(AND(N($J611)=2,N($R611)&gt;0),"MARINE=2 but net terrestrial &gt;0; ","")&amp;IF($K611="Point","Buffered point – coverage approximate; ","")))</f>
        <v/>
      </c>
    </row>
    <row r="612">
      <c r="A612" s="19" t="n"/>
      <c r="B612" s="19" t="n"/>
      <c r="C612" s="19" t="n"/>
      <c r="D612" s="19" t="n"/>
      <c r="E612" s="19" t="n"/>
      <c r="F612" s="19" t="n"/>
      <c r="G612" s="19" t="n"/>
      <c r="H612" s="19" t="n"/>
      <c r="I612" s="19" t="n"/>
      <c r="J612" s="19" t="n"/>
      <c r="K612" s="19" t="n"/>
      <c r="L612" s="20" t="n"/>
      <c r="M612" s="20" t="n"/>
      <c r="N612" s="20" t="n"/>
      <c r="O612" s="20" t="n"/>
      <c r="P612" s="19" t="n"/>
      <c r="Q612" s="19" t="n"/>
      <c r="R612" s="20" t="n"/>
      <c r="S612" s="20" t="n"/>
      <c r="T612" s="19" t="n"/>
      <c r="U612" s="19" t="n"/>
      <c r="V612" s="19" t="n"/>
      <c r="W612" s="19" t="n"/>
      <c r="X612" s="19" t="n"/>
      <c r="Y612" s="19" t="n"/>
      <c r="Z612" s="21">
        <f>IF(AND($A612="",$B612=""),"",IF(OR($E612="",$H612="",$H612="Proposed",$H612="Not Reported"),0,IF(AND($P612="Y",$Q612&lt;&gt;"Y"),0,IF(AND($K612="Point",N($L612)&lt;=0),0,IF(AND(N($L612)&lt;=0,N($N612)&lt;=0,N($R612)+N($S612)&lt;=0),0,1)))))</f>
        <v/>
      </c>
      <c r="AA612" s="21">
        <f>IF(AND($A612="",$B612=""),"",IF($E612="","Site type missing",IF($H612="","STATUS missing",IF($H612="Proposed","STATUS = Proposed",IF($H612="Not Reported","STATUS = Not Reported",IF(AND($P612="Y",$Q612&lt;&gt;"Y"),"UNESCO-MAB Biosphere Reserve",IF(AND($K612="Point",N($L612)&lt;=0),"Point without REP_AREA",IF(AND(N($L612)&lt;=0,N($N612)&lt;=0,N($R612)+N($S612)&lt;=0),"No area information",""))))))))</f>
        <v/>
      </c>
      <c r="AB612" s="22">
        <f>IF(AND($A612="",$B612=""),"",IF($K612="Point",N($L612),IF(N($N612)&gt;0,N($N612),N($L612))))</f>
        <v/>
      </c>
      <c r="AC612" s="22">
        <f>IF(AND($A612="",$B612=""),"",MIN(AB612,IF(N($J612)=0,0,IF(N($J612)=2,AB612,IF(AND($K612&lt;&gt;"Point",N($O612)&gt;0),N($O612),N($M612))))))</f>
        <v/>
      </c>
      <c r="AD612" s="22">
        <f>IF(AND($A612="",$B612=""),"",MAX(0,AB612-AC612))</f>
        <v/>
      </c>
      <c r="AE612" s="21">
        <f>IF(AND($A612="",$B612=""),"",IF(OR($R612&lt;&gt;"",$S612&lt;&gt;""),1,0))</f>
        <v/>
      </c>
      <c r="AF612" s="22">
        <f>IF(AND($A612="",$B612=""),"",IF(Z612=1,IF(AE612=1,N($R612),AD612),0))</f>
        <v/>
      </c>
      <c r="AG612" s="22">
        <f>IF(AND($A612="",$B612=""),"",IF(Z612=1,IF(AE612=1,N($S612),AC612),0))</f>
        <v/>
      </c>
      <c r="AH612" s="21">
        <f>IF(AND($A612="",$B612=""),"",IF(AND(ISNUMBER($I612),N($I612)&gt;0),$I612,0))</f>
        <v/>
      </c>
      <c r="AI612" s="23">
        <f>IF(AND(NOT(AND($A612="",$B612="")),$K612="Point",N($L612)&gt;0),SQRT(N($L612)/PI()),"")</f>
        <v/>
      </c>
      <c r="AJ612" s="21">
        <f>IF(AND($A612="",$B612=""),"",IFERROR(VLOOKUP($G612,Lists!$D$4:$E$15,2,FALSE),"Not reported"))</f>
        <v/>
      </c>
      <c r="AK612" s="21">
        <f>IF(AND($A612="",$B612=""),"",IF($X612&lt;&gt;"",$X612,IF($T612&lt;&gt;"Y","Not assessed",IF(AND(ISNUMBER($V612),Setup!$B$6-$V612&gt;Setup!$B$26),"Assessment outdated",IF(NOT(ISNUMBER($W612)),"Assessed – no score",IF($W612&gt;=Setup!$B$24,"High",IF($W612&gt;=Setup!$B$25,"Moderate","Low")))))))</f>
        <v/>
      </c>
      <c r="AL612" s="21">
        <f>IF(AND($A612="",$B612=""),"",IF(Z612=0,"",IF(AND(AE612=1,N($R612)&gt;AD612*1.01+0.001),"Net terrestrial &gt; gross; ","")&amp;IF(AND(AE612=1,N($S612)&gt;AC612*1.01+0.001),"Net marine &gt; gross; ","")&amp;IF(AE612=0,"No net area – gross used, overlaps may be double-counted; ","")&amp;IF(AH612=0,"STATUS_YR missing – imputed in time series; ","")&amp;IF(AND(ISNUMBER($I612),N($I612)&gt;Setup!$B$6),"STATUS_YR after reporting year; ","")&amp;IF(OR($G612="",$G612="Not Reported"),"GOV_TYPE not reported; ","")&amp;IF(AND(N($J612)=1,$K612="Point",N($M612)&lt;=0),"Coastal point without REP_M_AREA – land/sea split unknown; ","")&amp;IF(AND(N($J612)=0,N($S612)&gt;0),"MARINE=0 but net marine &gt;0; ","")&amp;IF(AND(N($J612)=2,N($R612)&gt;0),"MARINE=2 but net terrestrial &gt;0; ","")&amp;IF($K612="Point","Buffered point – coverage approximate; ","")))</f>
        <v/>
      </c>
    </row>
    <row r="613">
      <c r="A613" s="19" t="n"/>
      <c r="B613" s="19" t="n"/>
      <c r="C613" s="19" t="n"/>
      <c r="D613" s="19" t="n"/>
      <c r="E613" s="19" t="n"/>
      <c r="F613" s="19" t="n"/>
      <c r="G613" s="19" t="n"/>
      <c r="H613" s="19" t="n"/>
      <c r="I613" s="19" t="n"/>
      <c r="J613" s="19" t="n"/>
      <c r="K613" s="19" t="n"/>
      <c r="L613" s="20" t="n"/>
      <c r="M613" s="20" t="n"/>
      <c r="N613" s="20" t="n"/>
      <c r="O613" s="20" t="n"/>
      <c r="P613" s="19" t="n"/>
      <c r="Q613" s="19" t="n"/>
      <c r="R613" s="20" t="n"/>
      <c r="S613" s="20" t="n"/>
      <c r="T613" s="19" t="n"/>
      <c r="U613" s="19" t="n"/>
      <c r="V613" s="19" t="n"/>
      <c r="W613" s="19" t="n"/>
      <c r="X613" s="19" t="n"/>
      <c r="Y613" s="19" t="n"/>
      <c r="Z613" s="21">
        <f>IF(AND($A613="",$B613=""),"",IF(OR($E613="",$H613="",$H613="Proposed",$H613="Not Reported"),0,IF(AND($P613="Y",$Q613&lt;&gt;"Y"),0,IF(AND($K613="Point",N($L613)&lt;=0),0,IF(AND(N($L613)&lt;=0,N($N613)&lt;=0,N($R613)+N($S613)&lt;=0),0,1)))))</f>
        <v/>
      </c>
      <c r="AA613" s="21">
        <f>IF(AND($A613="",$B613=""),"",IF($E613="","Site type missing",IF($H613="","STATUS missing",IF($H613="Proposed","STATUS = Proposed",IF($H613="Not Reported","STATUS = Not Reported",IF(AND($P613="Y",$Q613&lt;&gt;"Y"),"UNESCO-MAB Biosphere Reserve",IF(AND($K613="Point",N($L613)&lt;=0),"Point without REP_AREA",IF(AND(N($L613)&lt;=0,N($N613)&lt;=0,N($R613)+N($S613)&lt;=0),"No area information",""))))))))</f>
        <v/>
      </c>
      <c r="AB613" s="22">
        <f>IF(AND($A613="",$B613=""),"",IF($K613="Point",N($L613),IF(N($N613)&gt;0,N($N613),N($L613))))</f>
        <v/>
      </c>
      <c r="AC613" s="22">
        <f>IF(AND($A613="",$B613=""),"",MIN(AB613,IF(N($J613)=0,0,IF(N($J613)=2,AB613,IF(AND($K613&lt;&gt;"Point",N($O613)&gt;0),N($O613),N($M613))))))</f>
        <v/>
      </c>
      <c r="AD613" s="22">
        <f>IF(AND($A613="",$B613=""),"",MAX(0,AB613-AC613))</f>
        <v/>
      </c>
      <c r="AE613" s="21">
        <f>IF(AND($A613="",$B613=""),"",IF(OR($R613&lt;&gt;"",$S613&lt;&gt;""),1,0))</f>
        <v/>
      </c>
      <c r="AF613" s="22">
        <f>IF(AND($A613="",$B613=""),"",IF(Z613=1,IF(AE613=1,N($R613),AD613),0))</f>
        <v/>
      </c>
      <c r="AG613" s="22">
        <f>IF(AND($A613="",$B613=""),"",IF(Z613=1,IF(AE613=1,N($S613),AC613),0))</f>
        <v/>
      </c>
      <c r="AH613" s="21">
        <f>IF(AND($A613="",$B613=""),"",IF(AND(ISNUMBER($I613),N($I613)&gt;0),$I613,0))</f>
        <v/>
      </c>
      <c r="AI613" s="23">
        <f>IF(AND(NOT(AND($A613="",$B613="")),$K613="Point",N($L613)&gt;0),SQRT(N($L613)/PI()),"")</f>
        <v/>
      </c>
      <c r="AJ613" s="21">
        <f>IF(AND($A613="",$B613=""),"",IFERROR(VLOOKUP($G613,Lists!$D$4:$E$15,2,FALSE),"Not reported"))</f>
        <v/>
      </c>
      <c r="AK613" s="21">
        <f>IF(AND($A613="",$B613=""),"",IF($X613&lt;&gt;"",$X613,IF($T613&lt;&gt;"Y","Not assessed",IF(AND(ISNUMBER($V613),Setup!$B$6-$V613&gt;Setup!$B$26),"Assessment outdated",IF(NOT(ISNUMBER($W613)),"Assessed – no score",IF($W613&gt;=Setup!$B$24,"High",IF($W613&gt;=Setup!$B$25,"Moderate","Low")))))))</f>
        <v/>
      </c>
      <c r="AL613" s="21">
        <f>IF(AND($A613="",$B613=""),"",IF(Z613=0,"",IF(AND(AE613=1,N($R613)&gt;AD613*1.01+0.001),"Net terrestrial &gt; gross; ","")&amp;IF(AND(AE613=1,N($S613)&gt;AC613*1.01+0.001),"Net marine &gt; gross; ","")&amp;IF(AE613=0,"No net area – gross used, overlaps may be double-counted; ","")&amp;IF(AH613=0,"STATUS_YR missing – imputed in time series; ","")&amp;IF(AND(ISNUMBER($I613),N($I613)&gt;Setup!$B$6),"STATUS_YR after reporting year; ","")&amp;IF(OR($G613="",$G613="Not Reported"),"GOV_TYPE not reported; ","")&amp;IF(AND(N($J613)=1,$K613="Point",N($M613)&lt;=0),"Coastal point without REP_M_AREA – land/sea split unknown; ","")&amp;IF(AND(N($J613)=0,N($S613)&gt;0),"MARINE=0 but net marine &gt;0; ","")&amp;IF(AND(N($J613)=2,N($R613)&gt;0),"MARINE=2 but net terrestrial &gt;0; ","")&amp;IF($K613="Point","Buffered point – coverage approximate; ","")))</f>
        <v/>
      </c>
    </row>
    <row r="614">
      <c r="A614" s="19" t="n"/>
      <c r="B614" s="19" t="n"/>
      <c r="C614" s="19" t="n"/>
      <c r="D614" s="19" t="n"/>
      <c r="E614" s="19" t="n"/>
      <c r="F614" s="19" t="n"/>
      <c r="G614" s="19" t="n"/>
      <c r="H614" s="19" t="n"/>
      <c r="I614" s="19" t="n"/>
      <c r="J614" s="19" t="n"/>
      <c r="K614" s="19" t="n"/>
      <c r="L614" s="20" t="n"/>
      <c r="M614" s="20" t="n"/>
      <c r="N614" s="20" t="n"/>
      <c r="O614" s="20" t="n"/>
      <c r="P614" s="19" t="n"/>
      <c r="Q614" s="19" t="n"/>
      <c r="R614" s="20" t="n"/>
      <c r="S614" s="20" t="n"/>
      <c r="T614" s="19" t="n"/>
      <c r="U614" s="19" t="n"/>
      <c r="V614" s="19" t="n"/>
      <c r="W614" s="19" t="n"/>
      <c r="X614" s="19" t="n"/>
      <c r="Y614" s="19" t="n"/>
      <c r="Z614" s="21">
        <f>IF(AND($A614="",$B614=""),"",IF(OR($E614="",$H614="",$H614="Proposed",$H614="Not Reported"),0,IF(AND($P614="Y",$Q614&lt;&gt;"Y"),0,IF(AND($K614="Point",N($L614)&lt;=0),0,IF(AND(N($L614)&lt;=0,N($N614)&lt;=0,N($R614)+N($S614)&lt;=0),0,1)))))</f>
        <v/>
      </c>
      <c r="AA614" s="21">
        <f>IF(AND($A614="",$B614=""),"",IF($E614="","Site type missing",IF($H614="","STATUS missing",IF($H614="Proposed","STATUS = Proposed",IF($H614="Not Reported","STATUS = Not Reported",IF(AND($P614="Y",$Q614&lt;&gt;"Y"),"UNESCO-MAB Biosphere Reserve",IF(AND($K614="Point",N($L614)&lt;=0),"Point without REP_AREA",IF(AND(N($L614)&lt;=0,N($N614)&lt;=0,N($R614)+N($S614)&lt;=0),"No area information",""))))))))</f>
        <v/>
      </c>
      <c r="AB614" s="22">
        <f>IF(AND($A614="",$B614=""),"",IF($K614="Point",N($L614),IF(N($N614)&gt;0,N($N614),N($L614))))</f>
        <v/>
      </c>
      <c r="AC614" s="22">
        <f>IF(AND($A614="",$B614=""),"",MIN(AB614,IF(N($J614)=0,0,IF(N($J614)=2,AB614,IF(AND($K614&lt;&gt;"Point",N($O614)&gt;0),N($O614),N($M614))))))</f>
        <v/>
      </c>
      <c r="AD614" s="22">
        <f>IF(AND($A614="",$B614=""),"",MAX(0,AB614-AC614))</f>
        <v/>
      </c>
      <c r="AE614" s="21">
        <f>IF(AND($A614="",$B614=""),"",IF(OR($R614&lt;&gt;"",$S614&lt;&gt;""),1,0))</f>
        <v/>
      </c>
      <c r="AF614" s="22">
        <f>IF(AND($A614="",$B614=""),"",IF(Z614=1,IF(AE614=1,N($R614),AD614),0))</f>
        <v/>
      </c>
      <c r="AG614" s="22">
        <f>IF(AND($A614="",$B614=""),"",IF(Z614=1,IF(AE614=1,N($S614),AC614),0))</f>
        <v/>
      </c>
      <c r="AH614" s="21">
        <f>IF(AND($A614="",$B614=""),"",IF(AND(ISNUMBER($I614),N($I614)&gt;0),$I614,0))</f>
        <v/>
      </c>
      <c r="AI614" s="23">
        <f>IF(AND(NOT(AND($A614="",$B614="")),$K614="Point",N($L614)&gt;0),SQRT(N($L614)/PI()),"")</f>
        <v/>
      </c>
      <c r="AJ614" s="21">
        <f>IF(AND($A614="",$B614=""),"",IFERROR(VLOOKUP($G614,Lists!$D$4:$E$15,2,FALSE),"Not reported"))</f>
        <v/>
      </c>
      <c r="AK614" s="21">
        <f>IF(AND($A614="",$B614=""),"",IF($X614&lt;&gt;"",$X614,IF($T614&lt;&gt;"Y","Not assessed",IF(AND(ISNUMBER($V614),Setup!$B$6-$V614&gt;Setup!$B$26),"Assessment outdated",IF(NOT(ISNUMBER($W614)),"Assessed – no score",IF($W614&gt;=Setup!$B$24,"High",IF($W614&gt;=Setup!$B$25,"Moderate","Low")))))))</f>
        <v/>
      </c>
      <c r="AL614" s="21">
        <f>IF(AND($A614="",$B614=""),"",IF(Z614=0,"",IF(AND(AE614=1,N($R614)&gt;AD614*1.01+0.001),"Net terrestrial &gt; gross; ","")&amp;IF(AND(AE614=1,N($S614)&gt;AC614*1.01+0.001),"Net marine &gt; gross; ","")&amp;IF(AE614=0,"No net area – gross used, overlaps may be double-counted; ","")&amp;IF(AH614=0,"STATUS_YR missing – imputed in time series; ","")&amp;IF(AND(ISNUMBER($I614),N($I614)&gt;Setup!$B$6),"STATUS_YR after reporting year; ","")&amp;IF(OR($G614="",$G614="Not Reported"),"GOV_TYPE not reported; ","")&amp;IF(AND(N($J614)=1,$K614="Point",N($M614)&lt;=0),"Coastal point without REP_M_AREA – land/sea split unknown; ","")&amp;IF(AND(N($J614)=0,N($S614)&gt;0),"MARINE=0 but net marine &gt;0; ","")&amp;IF(AND(N($J614)=2,N($R614)&gt;0),"MARINE=2 but net terrestrial &gt;0; ","")&amp;IF($K614="Point","Buffered point – coverage approximate; ","")))</f>
        <v/>
      </c>
    </row>
    <row r="615">
      <c r="A615" s="19" t="n"/>
      <c r="B615" s="19" t="n"/>
      <c r="C615" s="19" t="n"/>
      <c r="D615" s="19" t="n"/>
      <c r="E615" s="19" t="n"/>
      <c r="F615" s="19" t="n"/>
      <c r="G615" s="19" t="n"/>
      <c r="H615" s="19" t="n"/>
      <c r="I615" s="19" t="n"/>
      <c r="J615" s="19" t="n"/>
      <c r="K615" s="19" t="n"/>
      <c r="L615" s="20" t="n"/>
      <c r="M615" s="20" t="n"/>
      <c r="N615" s="20" t="n"/>
      <c r="O615" s="20" t="n"/>
      <c r="P615" s="19" t="n"/>
      <c r="Q615" s="19" t="n"/>
      <c r="R615" s="20" t="n"/>
      <c r="S615" s="20" t="n"/>
      <c r="T615" s="19" t="n"/>
      <c r="U615" s="19" t="n"/>
      <c r="V615" s="19" t="n"/>
      <c r="W615" s="19" t="n"/>
      <c r="X615" s="19" t="n"/>
      <c r="Y615" s="19" t="n"/>
      <c r="Z615" s="21">
        <f>IF(AND($A615="",$B615=""),"",IF(OR($E615="",$H615="",$H615="Proposed",$H615="Not Reported"),0,IF(AND($P615="Y",$Q615&lt;&gt;"Y"),0,IF(AND($K615="Point",N($L615)&lt;=0),0,IF(AND(N($L615)&lt;=0,N($N615)&lt;=0,N($R615)+N($S615)&lt;=0),0,1)))))</f>
        <v/>
      </c>
      <c r="AA615" s="21">
        <f>IF(AND($A615="",$B615=""),"",IF($E615="","Site type missing",IF($H615="","STATUS missing",IF($H615="Proposed","STATUS = Proposed",IF($H615="Not Reported","STATUS = Not Reported",IF(AND($P615="Y",$Q615&lt;&gt;"Y"),"UNESCO-MAB Biosphere Reserve",IF(AND($K615="Point",N($L615)&lt;=0),"Point without REP_AREA",IF(AND(N($L615)&lt;=0,N($N615)&lt;=0,N($R615)+N($S615)&lt;=0),"No area information",""))))))))</f>
        <v/>
      </c>
      <c r="AB615" s="22">
        <f>IF(AND($A615="",$B615=""),"",IF($K615="Point",N($L615),IF(N($N615)&gt;0,N($N615),N($L615))))</f>
        <v/>
      </c>
      <c r="AC615" s="22">
        <f>IF(AND($A615="",$B615=""),"",MIN(AB615,IF(N($J615)=0,0,IF(N($J615)=2,AB615,IF(AND($K615&lt;&gt;"Point",N($O615)&gt;0),N($O615),N($M615))))))</f>
        <v/>
      </c>
      <c r="AD615" s="22">
        <f>IF(AND($A615="",$B615=""),"",MAX(0,AB615-AC615))</f>
        <v/>
      </c>
      <c r="AE615" s="21">
        <f>IF(AND($A615="",$B615=""),"",IF(OR($R615&lt;&gt;"",$S615&lt;&gt;""),1,0))</f>
        <v/>
      </c>
      <c r="AF615" s="22">
        <f>IF(AND($A615="",$B615=""),"",IF(Z615=1,IF(AE615=1,N($R615),AD615),0))</f>
        <v/>
      </c>
      <c r="AG615" s="22">
        <f>IF(AND($A615="",$B615=""),"",IF(Z615=1,IF(AE615=1,N($S615),AC615),0))</f>
        <v/>
      </c>
      <c r="AH615" s="21">
        <f>IF(AND($A615="",$B615=""),"",IF(AND(ISNUMBER($I615),N($I615)&gt;0),$I615,0))</f>
        <v/>
      </c>
      <c r="AI615" s="23">
        <f>IF(AND(NOT(AND($A615="",$B615="")),$K615="Point",N($L615)&gt;0),SQRT(N($L615)/PI()),"")</f>
        <v/>
      </c>
      <c r="AJ615" s="21">
        <f>IF(AND($A615="",$B615=""),"",IFERROR(VLOOKUP($G615,Lists!$D$4:$E$15,2,FALSE),"Not reported"))</f>
        <v/>
      </c>
      <c r="AK615" s="21">
        <f>IF(AND($A615="",$B615=""),"",IF($X615&lt;&gt;"",$X615,IF($T615&lt;&gt;"Y","Not assessed",IF(AND(ISNUMBER($V615),Setup!$B$6-$V615&gt;Setup!$B$26),"Assessment outdated",IF(NOT(ISNUMBER($W615)),"Assessed – no score",IF($W615&gt;=Setup!$B$24,"High",IF($W615&gt;=Setup!$B$25,"Moderate","Low")))))))</f>
        <v/>
      </c>
      <c r="AL615" s="21">
        <f>IF(AND($A615="",$B615=""),"",IF(Z615=0,"",IF(AND(AE615=1,N($R615)&gt;AD615*1.01+0.001),"Net terrestrial &gt; gross; ","")&amp;IF(AND(AE615=1,N($S615)&gt;AC615*1.01+0.001),"Net marine &gt; gross; ","")&amp;IF(AE615=0,"No net area – gross used, overlaps may be double-counted; ","")&amp;IF(AH615=0,"STATUS_YR missing – imputed in time series; ","")&amp;IF(AND(ISNUMBER($I615),N($I615)&gt;Setup!$B$6),"STATUS_YR after reporting year; ","")&amp;IF(OR($G615="",$G615="Not Reported"),"GOV_TYPE not reported; ","")&amp;IF(AND(N($J615)=1,$K615="Point",N($M615)&lt;=0),"Coastal point without REP_M_AREA – land/sea split unknown; ","")&amp;IF(AND(N($J615)=0,N($S615)&gt;0),"MARINE=0 but net marine &gt;0; ","")&amp;IF(AND(N($J615)=2,N($R615)&gt;0),"MARINE=2 but net terrestrial &gt;0; ","")&amp;IF($K615="Point","Buffered point – coverage approximate; ","")))</f>
        <v/>
      </c>
    </row>
    <row r="616">
      <c r="A616" s="19" t="n"/>
      <c r="B616" s="19" t="n"/>
      <c r="C616" s="19" t="n"/>
      <c r="D616" s="19" t="n"/>
      <c r="E616" s="19" t="n"/>
      <c r="F616" s="19" t="n"/>
      <c r="G616" s="19" t="n"/>
      <c r="H616" s="19" t="n"/>
      <c r="I616" s="19" t="n"/>
      <c r="J616" s="19" t="n"/>
      <c r="K616" s="19" t="n"/>
      <c r="L616" s="20" t="n"/>
      <c r="M616" s="20" t="n"/>
      <c r="N616" s="20" t="n"/>
      <c r="O616" s="20" t="n"/>
      <c r="P616" s="19" t="n"/>
      <c r="Q616" s="19" t="n"/>
      <c r="R616" s="20" t="n"/>
      <c r="S616" s="20" t="n"/>
      <c r="T616" s="19" t="n"/>
      <c r="U616" s="19" t="n"/>
      <c r="V616" s="19" t="n"/>
      <c r="W616" s="19" t="n"/>
      <c r="X616" s="19" t="n"/>
      <c r="Y616" s="19" t="n"/>
      <c r="Z616" s="21">
        <f>IF(AND($A616="",$B616=""),"",IF(OR($E616="",$H616="",$H616="Proposed",$H616="Not Reported"),0,IF(AND($P616="Y",$Q616&lt;&gt;"Y"),0,IF(AND($K616="Point",N($L616)&lt;=0),0,IF(AND(N($L616)&lt;=0,N($N616)&lt;=0,N($R616)+N($S616)&lt;=0),0,1)))))</f>
        <v/>
      </c>
      <c r="AA616" s="21">
        <f>IF(AND($A616="",$B616=""),"",IF($E616="","Site type missing",IF($H616="","STATUS missing",IF($H616="Proposed","STATUS = Proposed",IF($H616="Not Reported","STATUS = Not Reported",IF(AND($P616="Y",$Q616&lt;&gt;"Y"),"UNESCO-MAB Biosphere Reserve",IF(AND($K616="Point",N($L616)&lt;=0),"Point without REP_AREA",IF(AND(N($L616)&lt;=0,N($N616)&lt;=0,N($R616)+N($S616)&lt;=0),"No area information",""))))))))</f>
        <v/>
      </c>
      <c r="AB616" s="22">
        <f>IF(AND($A616="",$B616=""),"",IF($K616="Point",N($L616),IF(N($N616)&gt;0,N($N616),N($L616))))</f>
        <v/>
      </c>
      <c r="AC616" s="22">
        <f>IF(AND($A616="",$B616=""),"",MIN(AB616,IF(N($J616)=0,0,IF(N($J616)=2,AB616,IF(AND($K616&lt;&gt;"Point",N($O616)&gt;0),N($O616),N($M616))))))</f>
        <v/>
      </c>
      <c r="AD616" s="22">
        <f>IF(AND($A616="",$B616=""),"",MAX(0,AB616-AC616))</f>
        <v/>
      </c>
      <c r="AE616" s="21">
        <f>IF(AND($A616="",$B616=""),"",IF(OR($R616&lt;&gt;"",$S616&lt;&gt;""),1,0))</f>
        <v/>
      </c>
      <c r="AF616" s="22">
        <f>IF(AND($A616="",$B616=""),"",IF(Z616=1,IF(AE616=1,N($R616),AD616),0))</f>
        <v/>
      </c>
      <c r="AG616" s="22">
        <f>IF(AND($A616="",$B616=""),"",IF(Z616=1,IF(AE616=1,N($S616),AC616),0))</f>
        <v/>
      </c>
      <c r="AH616" s="21">
        <f>IF(AND($A616="",$B616=""),"",IF(AND(ISNUMBER($I616),N($I616)&gt;0),$I616,0))</f>
        <v/>
      </c>
      <c r="AI616" s="23">
        <f>IF(AND(NOT(AND($A616="",$B616="")),$K616="Point",N($L616)&gt;0),SQRT(N($L616)/PI()),"")</f>
        <v/>
      </c>
      <c r="AJ616" s="21">
        <f>IF(AND($A616="",$B616=""),"",IFERROR(VLOOKUP($G616,Lists!$D$4:$E$15,2,FALSE),"Not reported"))</f>
        <v/>
      </c>
      <c r="AK616" s="21">
        <f>IF(AND($A616="",$B616=""),"",IF($X616&lt;&gt;"",$X616,IF($T616&lt;&gt;"Y","Not assessed",IF(AND(ISNUMBER($V616),Setup!$B$6-$V616&gt;Setup!$B$26),"Assessment outdated",IF(NOT(ISNUMBER($W616)),"Assessed – no score",IF($W616&gt;=Setup!$B$24,"High",IF($W616&gt;=Setup!$B$25,"Moderate","Low")))))))</f>
        <v/>
      </c>
      <c r="AL616" s="21">
        <f>IF(AND($A616="",$B616=""),"",IF(Z616=0,"",IF(AND(AE616=1,N($R616)&gt;AD616*1.01+0.001),"Net terrestrial &gt; gross; ","")&amp;IF(AND(AE616=1,N($S616)&gt;AC616*1.01+0.001),"Net marine &gt; gross; ","")&amp;IF(AE616=0,"No net area – gross used, overlaps may be double-counted; ","")&amp;IF(AH616=0,"STATUS_YR missing – imputed in time series; ","")&amp;IF(AND(ISNUMBER($I616),N($I616)&gt;Setup!$B$6),"STATUS_YR after reporting year; ","")&amp;IF(OR($G616="",$G616="Not Reported"),"GOV_TYPE not reported; ","")&amp;IF(AND(N($J616)=1,$K616="Point",N($M616)&lt;=0),"Coastal point without REP_M_AREA – land/sea split unknown; ","")&amp;IF(AND(N($J616)=0,N($S616)&gt;0),"MARINE=0 but net marine &gt;0; ","")&amp;IF(AND(N($J616)=2,N($R616)&gt;0),"MARINE=2 but net terrestrial &gt;0; ","")&amp;IF($K616="Point","Buffered point – coverage approximate; ","")))</f>
        <v/>
      </c>
    </row>
    <row r="617">
      <c r="A617" s="19" t="n"/>
      <c r="B617" s="19" t="n"/>
      <c r="C617" s="19" t="n"/>
      <c r="D617" s="19" t="n"/>
      <c r="E617" s="19" t="n"/>
      <c r="F617" s="19" t="n"/>
      <c r="G617" s="19" t="n"/>
      <c r="H617" s="19" t="n"/>
      <c r="I617" s="19" t="n"/>
      <c r="J617" s="19" t="n"/>
      <c r="K617" s="19" t="n"/>
      <c r="L617" s="20" t="n"/>
      <c r="M617" s="20" t="n"/>
      <c r="N617" s="20" t="n"/>
      <c r="O617" s="20" t="n"/>
      <c r="P617" s="19" t="n"/>
      <c r="Q617" s="19" t="n"/>
      <c r="R617" s="20" t="n"/>
      <c r="S617" s="20" t="n"/>
      <c r="T617" s="19" t="n"/>
      <c r="U617" s="19" t="n"/>
      <c r="V617" s="19" t="n"/>
      <c r="W617" s="19" t="n"/>
      <c r="X617" s="19" t="n"/>
      <c r="Y617" s="19" t="n"/>
      <c r="Z617" s="21">
        <f>IF(AND($A617="",$B617=""),"",IF(OR($E617="",$H617="",$H617="Proposed",$H617="Not Reported"),0,IF(AND($P617="Y",$Q617&lt;&gt;"Y"),0,IF(AND($K617="Point",N($L617)&lt;=0),0,IF(AND(N($L617)&lt;=0,N($N617)&lt;=0,N($R617)+N($S617)&lt;=0),0,1)))))</f>
        <v/>
      </c>
      <c r="AA617" s="21">
        <f>IF(AND($A617="",$B617=""),"",IF($E617="","Site type missing",IF($H617="","STATUS missing",IF($H617="Proposed","STATUS = Proposed",IF($H617="Not Reported","STATUS = Not Reported",IF(AND($P617="Y",$Q617&lt;&gt;"Y"),"UNESCO-MAB Biosphere Reserve",IF(AND($K617="Point",N($L617)&lt;=0),"Point without REP_AREA",IF(AND(N($L617)&lt;=0,N($N617)&lt;=0,N($R617)+N($S617)&lt;=0),"No area information",""))))))))</f>
        <v/>
      </c>
      <c r="AB617" s="22">
        <f>IF(AND($A617="",$B617=""),"",IF($K617="Point",N($L617),IF(N($N617)&gt;0,N($N617),N($L617))))</f>
        <v/>
      </c>
      <c r="AC617" s="22">
        <f>IF(AND($A617="",$B617=""),"",MIN(AB617,IF(N($J617)=0,0,IF(N($J617)=2,AB617,IF(AND($K617&lt;&gt;"Point",N($O617)&gt;0),N($O617),N($M617))))))</f>
        <v/>
      </c>
      <c r="AD617" s="22">
        <f>IF(AND($A617="",$B617=""),"",MAX(0,AB617-AC617))</f>
        <v/>
      </c>
      <c r="AE617" s="21">
        <f>IF(AND($A617="",$B617=""),"",IF(OR($R617&lt;&gt;"",$S617&lt;&gt;""),1,0))</f>
        <v/>
      </c>
      <c r="AF617" s="22">
        <f>IF(AND($A617="",$B617=""),"",IF(Z617=1,IF(AE617=1,N($R617),AD617),0))</f>
        <v/>
      </c>
      <c r="AG617" s="22">
        <f>IF(AND($A617="",$B617=""),"",IF(Z617=1,IF(AE617=1,N($S617),AC617),0))</f>
        <v/>
      </c>
      <c r="AH617" s="21">
        <f>IF(AND($A617="",$B617=""),"",IF(AND(ISNUMBER($I617),N($I617)&gt;0),$I617,0))</f>
        <v/>
      </c>
      <c r="AI617" s="23">
        <f>IF(AND(NOT(AND($A617="",$B617="")),$K617="Point",N($L617)&gt;0),SQRT(N($L617)/PI()),"")</f>
        <v/>
      </c>
      <c r="AJ617" s="21">
        <f>IF(AND($A617="",$B617=""),"",IFERROR(VLOOKUP($G617,Lists!$D$4:$E$15,2,FALSE),"Not reported"))</f>
        <v/>
      </c>
      <c r="AK617" s="21">
        <f>IF(AND($A617="",$B617=""),"",IF($X617&lt;&gt;"",$X617,IF($T617&lt;&gt;"Y","Not assessed",IF(AND(ISNUMBER($V617),Setup!$B$6-$V617&gt;Setup!$B$26),"Assessment outdated",IF(NOT(ISNUMBER($W617)),"Assessed – no score",IF($W617&gt;=Setup!$B$24,"High",IF($W617&gt;=Setup!$B$25,"Moderate","Low")))))))</f>
        <v/>
      </c>
      <c r="AL617" s="21">
        <f>IF(AND($A617="",$B617=""),"",IF(Z617=0,"",IF(AND(AE617=1,N($R617)&gt;AD617*1.01+0.001),"Net terrestrial &gt; gross; ","")&amp;IF(AND(AE617=1,N($S617)&gt;AC617*1.01+0.001),"Net marine &gt; gross; ","")&amp;IF(AE617=0,"No net area – gross used, overlaps may be double-counted; ","")&amp;IF(AH617=0,"STATUS_YR missing – imputed in time series; ","")&amp;IF(AND(ISNUMBER($I617),N($I617)&gt;Setup!$B$6),"STATUS_YR after reporting year; ","")&amp;IF(OR($G617="",$G617="Not Reported"),"GOV_TYPE not reported; ","")&amp;IF(AND(N($J617)=1,$K617="Point",N($M617)&lt;=0),"Coastal point without REP_M_AREA – land/sea split unknown; ","")&amp;IF(AND(N($J617)=0,N($S617)&gt;0),"MARINE=0 but net marine &gt;0; ","")&amp;IF(AND(N($J617)=2,N($R617)&gt;0),"MARINE=2 but net terrestrial &gt;0; ","")&amp;IF($K617="Point","Buffered point – coverage approximate; ","")))</f>
        <v/>
      </c>
    </row>
    <row r="618">
      <c r="A618" s="19" t="n"/>
      <c r="B618" s="19" t="n"/>
      <c r="C618" s="19" t="n"/>
      <c r="D618" s="19" t="n"/>
      <c r="E618" s="19" t="n"/>
      <c r="F618" s="19" t="n"/>
      <c r="G618" s="19" t="n"/>
      <c r="H618" s="19" t="n"/>
      <c r="I618" s="19" t="n"/>
      <c r="J618" s="19" t="n"/>
      <c r="K618" s="19" t="n"/>
      <c r="L618" s="20" t="n"/>
      <c r="M618" s="20" t="n"/>
      <c r="N618" s="20" t="n"/>
      <c r="O618" s="20" t="n"/>
      <c r="P618" s="19" t="n"/>
      <c r="Q618" s="19" t="n"/>
      <c r="R618" s="20" t="n"/>
      <c r="S618" s="20" t="n"/>
      <c r="T618" s="19" t="n"/>
      <c r="U618" s="19" t="n"/>
      <c r="V618" s="19" t="n"/>
      <c r="W618" s="19" t="n"/>
      <c r="X618" s="19" t="n"/>
      <c r="Y618" s="19" t="n"/>
      <c r="Z618" s="21">
        <f>IF(AND($A618="",$B618=""),"",IF(OR($E618="",$H618="",$H618="Proposed",$H618="Not Reported"),0,IF(AND($P618="Y",$Q618&lt;&gt;"Y"),0,IF(AND($K618="Point",N($L618)&lt;=0),0,IF(AND(N($L618)&lt;=0,N($N618)&lt;=0,N($R618)+N($S618)&lt;=0),0,1)))))</f>
        <v/>
      </c>
      <c r="AA618" s="21">
        <f>IF(AND($A618="",$B618=""),"",IF($E618="","Site type missing",IF($H618="","STATUS missing",IF($H618="Proposed","STATUS = Proposed",IF($H618="Not Reported","STATUS = Not Reported",IF(AND($P618="Y",$Q618&lt;&gt;"Y"),"UNESCO-MAB Biosphere Reserve",IF(AND($K618="Point",N($L618)&lt;=0),"Point without REP_AREA",IF(AND(N($L618)&lt;=0,N($N618)&lt;=0,N($R618)+N($S618)&lt;=0),"No area information",""))))))))</f>
        <v/>
      </c>
      <c r="AB618" s="22">
        <f>IF(AND($A618="",$B618=""),"",IF($K618="Point",N($L618),IF(N($N618)&gt;0,N($N618),N($L618))))</f>
        <v/>
      </c>
      <c r="AC618" s="22">
        <f>IF(AND($A618="",$B618=""),"",MIN(AB618,IF(N($J618)=0,0,IF(N($J618)=2,AB618,IF(AND($K618&lt;&gt;"Point",N($O618)&gt;0),N($O618),N($M618))))))</f>
        <v/>
      </c>
      <c r="AD618" s="22">
        <f>IF(AND($A618="",$B618=""),"",MAX(0,AB618-AC618))</f>
        <v/>
      </c>
      <c r="AE618" s="21">
        <f>IF(AND($A618="",$B618=""),"",IF(OR($R618&lt;&gt;"",$S618&lt;&gt;""),1,0))</f>
        <v/>
      </c>
      <c r="AF618" s="22">
        <f>IF(AND($A618="",$B618=""),"",IF(Z618=1,IF(AE618=1,N($R618),AD618),0))</f>
        <v/>
      </c>
      <c r="AG618" s="22">
        <f>IF(AND($A618="",$B618=""),"",IF(Z618=1,IF(AE618=1,N($S618),AC618),0))</f>
        <v/>
      </c>
      <c r="AH618" s="21">
        <f>IF(AND($A618="",$B618=""),"",IF(AND(ISNUMBER($I618),N($I618)&gt;0),$I618,0))</f>
        <v/>
      </c>
      <c r="AI618" s="23">
        <f>IF(AND(NOT(AND($A618="",$B618="")),$K618="Point",N($L618)&gt;0),SQRT(N($L618)/PI()),"")</f>
        <v/>
      </c>
      <c r="AJ618" s="21">
        <f>IF(AND($A618="",$B618=""),"",IFERROR(VLOOKUP($G618,Lists!$D$4:$E$15,2,FALSE),"Not reported"))</f>
        <v/>
      </c>
      <c r="AK618" s="21">
        <f>IF(AND($A618="",$B618=""),"",IF($X618&lt;&gt;"",$X618,IF($T618&lt;&gt;"Y","Not assessed",IF(AND(ISNUMBER($V618),Setup!$B$6-$V618&gt;Setup!$B$26),"Assessment outdated",IF(NOT(ISNUMBER($W618)),"Assessed – no score",IF($W618&gt;=Setup!$B$24,"High",IF($W618&gt;=Setup!$B$25,"Moderate","Low")))))))</f>
        <v/>
      </c>
      <c r="AL618" s="21">
        <f>IF(AND($A618="",$B618=""),"",IF(Z618=0,"",IF(AND(AE618=1,N($R618)&gt;AD618*1.01+0.001),"Net terrestrial &gt; gross; ","")&amp;IF(AND(AE618=1,N($S618)&gt;AC618*1.01+0.001),"Net marine &gt; gross; ","")&amp;IF(AE618=0,"No net area – gross used, overlaps may be double-counted; ","")&amp;IF(AH618=0,"STATUS_YR missing – imputed in time series; ","")&amp;IF(AND(ISNUMBER($I618),N($I618)&gt;Setup!$B$6),"STATUS_YR after reporting year; ","")&amp;IF(OR($G618="",$G618="Not Reported"),"GOV_TYPE not reported; ","")&amp;IF(AND(N($J618)=1,$K618="Point",N($M618)&lt;=0),"Coastal point without REP_M_AREA – land/sea split unknown; ","")&amp;IF(AND(N($J618)=0,N($S618)&gt;0),"MARINE=0 but net marine &gt;0; ","")&amp;IF(AND(N($J618)=2,N($R618)&gt;0),"MARINE=2 but net terrestrial &gt;0; ","")&amp;IF($K618="Point","Buffered point – coverage approximate; ","")))</f>
        <v/>
      </c>
    </row>
    <row r="619">
      <c r="A619" s="19" t="n"/>
      <c r="B619" s="19" t="n"/>
      <c r="C619" s="19" t="n"/>
      <c r="D619" s="19" t="n"/>
      <c r="E619" s="19" t="n"/>
      <c r="F619" s="19" t="n"/>
      <c r="G619" s="19" t="n"/>
      <c r="H619" s="19" t="n"/>
      <c r="I619" s="19" t="n"/>
      <c r="J619" s="19" t="n"/>
      <c r="K619" s="19" t="n"/>
      <c r="L619" s="20" t="n"/>
      <c r="M619" s="20" t="n"/>
      <c r="N619" s="20" t="n"/>
      <c r="O619" s="20" t="n"/>
      <c r="P619" s="19" t="n"/>
      <c r="Q619" s="19" t="n"/>
      <c r="R619" s="20" t="n"/>
      <c r="S619" s="20" t="n"/>
      <c r="T619" s="19" t="n"/>
      <c r="U619" s="19" t="n"/>
      <c r="V619" s="19" t="n"/>
      <c r="W619" s="19" t="n"/>
      <c r="X619" s="19" t="n"/>
      <c r="Y619" s="19" t="n"/>
      <c r="Z619" s="21">
        <f>IF(AND($A619="",$B619=""),"",IF(OR($E619="",$H619="",$H619="Proposed",$H619="Not Reported"),0,IF(AND($P619="Y",$Q619&lt;&gt;"Y"),0,IF(AND($K619="Point",N($L619)&lt;=0),0,IF(AND(N($L619)&lt;=0,N($N619)&lt;=0,N($R619)+N($S619)&lt;=0),0,1)))))</f>
        <v/>
      </c>
      <c r="AA619" s="21">
        <f>IF(AND($A619="",$B619=""),"",IF($E619="","Site type missing",IF($H619="","STATUS missing",IF($H619="Proposed","STATUS = Proposed",IF($H619="Not Reported","STATUS = Not Reported",IF(AND($P619="Y",$Q619&lt;&gt;"Y"),"UNESCO-MAB Biosphere Reserve",IF(AND($K619="Point",N($L619)&lt;=0),"Point without REP_AREA",IF(AND(N($L619)&lt;=0,N($N619)&lt;=0,N($R619)+N($S619)&lt;=0),"No area information",""))))))))</f>
        <v/>
      </c>
      <c r="AB619" s="22">
        <f>IF(AND($A619="",$B619=""),"",IF($K619="Point",N($L619),IF(N($N619)&gt;0,N($N619),N($L619))))</f>
        <v/>
      </c>
      <c r="AC619" s="22">
        <f>IF(AND($A619="",$B619=""),"",MIN(AB619,IF(N($J619)=0,0,IF(N($J619)=2,AB619,IF(AND($K619&lt;&gt;"Point",N($O619)&gt;0),N($O619),N($M619))))))</f>
        <v/>
      </c>
      <c r="AD619" s="22">
        <f>IF(AND($A619="",$B619=""),"",MAX(0,AB619-AC619))</f>
        <v/>
      </c>
      <c r="AE619" s="21">
        <f>IF(AND($A619="",$B619=""),"",IF(OR($R619&lt;&gt;"",$S619&lt;&gt;""),1,0))</f>
        <v/>
      </c>
      <c r="AF619" s="22">
        <f>IF(AND($A619="",$B619=""),"",IF(Z619=1,IF(AE619=1,N($R619),AD619),0))</f>
        <v/>
      </c>
      <c r="AG619" s="22">
        <f>IF(AND($A619="",$B619=""),"",IF(Z619=1,IF(AE619=1,N($S619),AC619),0))</f>
        <v/>
      </c>
      <c r="AH619" s="21">
        <f>IF(AND($A619="",$B619=""),"",IF(AND(ISNUMBER($I619),N($I619)&gt;0),$I619,0))</f>
        <v/>
      </c>
      <c r="AI619" s="23">
        <f>IF(AND(NOT(AND($A619="",$B619="")),$K619="Point",N($L619)&gt;0),SQRT(N($L619)/PI()),"")</f>
        <v/>
      </c>
      <c r="AJ619" s="21">
        <f>IF(AND($A619="",$B619=""),"",IFERROR(VLOOKUP($G619,Lists!$D$4:$E$15,2,FALSE),"Not reported"))</f>
        <v/>
      </c>
      <c r="AK619" s="21">
        <f>IF(AND($A619="",$B619=""),"",IF($X619&lt;&gt;"",$X619,IF($T619&lt;&gt;"Y","Not assessed",IF(AND(ISNUMBER($V619),Setup!$B$6-$V619&gt;Setup!$B$26),"Assessment outdated",IF(NOT(ISNUMBER($W619)),"Assessed – no score",IF($W619&gt;=Setup!$B$24,"High",IF($W619&gt;=Setup!$B$25,"Moderate","Low")))))))</f>
        <v/>
      </c>
      <c r="AL619" s="21">
        <f>IF(AND($A619="",$B619=""),"",IF(Z619=0,"",IF(AND(AE619=1,N($R619)&gt;AD619*1.01+0.001),"Net terrestrial &gt; gross; ","")&amp;IF(AND(AE619=1,N($S619)&gt;AC619*1.01+0.001),"Net marine &gt; gross; ","")&amp;IF(AE619=0,"No net area – gross used, overlaps may be double-counted; ","")&amp;IF(AH619=0,"STATUS_YR missing – imputed in time series; ","")&amp;IF(AND(ISNUMBER($I619),N($I619)&gt;Setup!$B$6),"STATUS_YR after reporting year; ","")&amp;IF(OR($G619="",$G619="Not Reported"),"GOV_TYPE not reported; ","")&amp;IF(AND(N($J619)=1,$K619="Point",N($M619)&lt;=0),"Coastal point without REP_M_AREA – land/sea split unknown; ","")&amp;IF(AND(N($J619)=0,N($S619)&gt;0),"MARINE=0 but net marine &gt;0; ","")&amp;IF(AND(N($J619)=2,N($R619)&gt;0),"MARINE=2 but net terrestrial &gt;0; ","")&amp;IF($K619="Point","Buffered point – coverage approximate; ","")))</f>
        <v/>
      </c>
    </row>
    <row r="620">
      <c r="A620" s="19" t="n"/>
      <c r="B620" s="19" t="n"/>
      <c r="C620" s="19" t="n"/>
      <c r="D620" s="19" t="n"/>
      <c r="E620" s="19" t="n"/>
      <c r="F620" s="19" t="n"/>
      <c r="G620" s="19" t="n"/>
      <c r="H620" s="19" t="n"/>
      <c r="I620" s="19" t="n"/>
      <c r="J620" s="19" t="n"/>
      <c r="K620" s="19" t="n"/>
      <c r="L620" s="20" t="n"/>
      <c r="M620" s="20" t="n"/>
      <c r="N620" s="20" t="n"/>
      <c r="O620" s="20" t="n"/>
      <c r="P620" s="19" t="n"/>
      <c r="Q620" s="19" t="n"/>
      <c r="R620" s="20" t="n"/>
      <c r="S620" s="20" t="n"/>
      <c r="T620" s="19" t="n"/>
      <c r="U620" s="19" t="n"/>
      <c r="V620" s="19" t="n"/>
      <c r="W620" s="19" t="n"/>
      <c r="X620" s="19" t="n"/>
      <c r="Y620" s="19" t="n"/>
      <c r="Z620" s="21">
        <f>IF(AND($A620="",$B620=""),"",IF(OR($E620="",$H620="",$H620="Proposed",$H620="Not Reported"),0,IF(AND($P620="Y",$Q620&lt;&gt;"Y"),0,IF(AND($K620="Point",N($L620)&lt;=0),0,IF(AND(N($L620)&lt;=0,N($N620)&lt;=0,N($R620)+N($S620)&lt;=0),0,1)))))</f>
        <v/>
      </c>
      <c r="AA620" s="21">
        <f>IF(AND($A620="",$B620=""),"",IF($E620="","Site type missing",IF($H620="","STATUS missing",IF($H620="Proposed","STATUS = Proposed",IF($H620="Not Reported","STATUS = Not Reported",IF(AND($P620="Y",$Q620&lt;&gt;"Y"),"UNESCO-MAB Biosphere Reserve",IF(AND($K620="Point",N($L620)&lt;=0),"Point without REP_AREA",IF(AND(N($L620)&lt;=0,N($N620)&lt;=0,N($R620)+N($S620)&lt;=0),"No area information",""))))))))</f>
        <v/>
      </c>
      <c r="AB620" s="22">
        <f>IF(AND($A620="",$B620=""),"",IF($K620="Point",N($L620),IF(N($N620)&gt;0,N($N620),N($L620))))</f>
        <v/>
      </c>
      <c r="AC620" s="22">
        <f>IF(AND($A620="",$B620=""),"",MIN(AB620,IF(N($J620)=0,0,IF(N($J620)=2,AB620,IF(AND($K620&lt;&gt;"Point",N($O620)&gt;0),N($O620),N($M620))))))</f>
        <v/>
      </c>
      <c r="AD620" s="22">
        <f>IF(AND($A620="",$B620=""),"",MAX(0,AB620-AC620))</f>
        <v/>
      </c>
      <c r="AE620" s="21">
        <f>IF(AND($A620="",$B620=""),"",IF(OR($R620&lt;&gt;"",$S620&lt;&gt;""),1,0))</f>
        <v/>
      </c>
      <c r="AF620" s="22">
        <f>IF(AND($A620="",$B620=""),"",IF(Z620=1,IF(AE620=1,N($R620),AD620),0))</f>
        <v/>
      </c>
      <c r="AG620" s="22">
        <f>IF(AND($A620="",$B620=""),"",IF(Z620=1,IF(AE620=1,N($S620),AC620),0))</f>
        <v/>
      </c>
      <c r="AH620" s="21">
        <f>IF(AND($A620="",$B620=""),"",IF(AND(ISNUMBER($I620),N($I620)&gt;0),$I620,0))</f>
        <v/>
      </c>
      <c r="AI620" s="23">
        <f>IF(AND(NOT(AND($A620="",$B620="")),$K620="Point",N($L620)&gt;0),SQRT(N($L620)/PI()),"")</f>
        <v/>
      </c>
      <c r="AJ620" s="21">
        <f>IF(AND($A620="",$B620=""),"",IFERROR(VLOOKUP($G620,Lists!$D$4:$E$15,2,FALSE),"Not reported"))</f>
        <v/>
      </c>
      <c r="AK620" s="21">
        <f>IF(AND($A620="",$B620=""),"",IF($X620&lt;&gt;"",$X620,IF($T620&lt;&gt;"Y","Not assessed",IF(AND(ISNUMBER($V620),Setup!$B$6-$V620&gt;Setup!$B$26),"Assessment outdated",IF(NOT(ISNUMBER($W620)),"Assessed – no score",IF($W620&gt;=Setup!$B$24,"High",IF($W620&gt;=Setup!$B$25,"Moderate","Low")))))))</f>
        <v/>
      </c>
      <c r="AL620" s="21">
        <f>IF(AND($A620="",$B620=""),"",IF(Z620=0,"",IF(AND(AE620=1,N($R620)&gt;AD620*1.01+0.001),"Net terrestrial &gt; gross; ","")&amp;IF(AND(AE620=1,N($S620)&gt;AC620*1.01+0.001),"Net marine &gt; gross; ","")&amp;IF(AE620=0,"No net area – gross used, overlaps may be double-counted; ","")&amp;IF(AH620=0,"STATUS_YR missing – imputed in time series; ","")&amp;IF(AND(ISNUMBER($I620),N($I620)&gt;Setup!$B$6),"STATUS_YR after reporting year; ","")&amp;IF(OR($G620="",$G620="Not Reported"),"GOV_TYPE not reported; ","")&amp;IF(AND(N($J620)=1,$K620="Point",N($M620)&lt;=0),"Coastal point without REP_M_AREA – land/sea split unknown; ","")&amp;IF(AND(N($J620)=0,N($S620)&gt;0),"MARINE=0 but net marine &gt;0; ","")&amp;IF(AND(N($J620)=2,N($R620)&gt;0),"MARINE=2 but net terrestrial &gt;0; ","")&amp;IF($K620="Point","Buffered point – coverage approximate; ","")))</f>
        <v/>
      </c>
    </row>
    <row r="621">
      <c r="A621" s="19" t="n"/>
      <c r="B621" s="19" t="n"/>
      <c r="C621" s="19" t="n"/>
      <c r="D621" s="19" t="n"/>
      <c r="E621" s="19" t="n"/>
      <c r="F621" s="19" t="n"/>
      <c r="G621" s="19" t="n"/>
      <c r="H621" s="19" t="n"/>
      <c r="I621" s="19" t="n"/>
      <c r="J621" s="19" t="n"/>
      <c r="K621" s="19" t="n"/>
      <c r="L621" s="20" t="n"/>
      <c r="M621" s="20" t="n"/>
      <c r="N621" s="20" t="n"/>
      <c r="O621" s="20" t="n"/>
      <c r="P621" s="19" t="n"/>
      <c r="Q621" s="19" t="n"/>
      <c r="R621" s="20" t="n"/>
      <c r="S621" s="20" t="n"/>
      <c r="T621" s="19" t="n"/>
      <c r="U621" s="19" t="n"/>
      <c r="V621" s="19" t="n"/>
      <c r="W621" s="19" t="n"/>
      <c r="X621" s="19" t="n"/>
      <c r="Y621" s="19" t="n"/>
      <c r="Z621" s="21">
        <f>IF(AND($A621="",$B621=""),"",IF(OR($E621="",$H621="",$H621="Proposed",$H621="Not Reported"),0,IF(AND($P621="Y",$Q621&lt;&gt;"Y"),0,IF(AND($K621="Point",N($L621)&lt;=0),0,IF(AND(N($L621)&lt;=0,N($N621)&lt;=0,N($R621)+N($S621)&lt;=0),0,1)))))</f>
        <v/>
      </c>
      <c r="AA621" s="21">
        <f>IF(AND($A621="",$B621=""),"",IF($E621="","Site type missing",IF($H621="","STATUS missing",IF($H621="Proposed","STATUS = Proposed",IF($H621="Not Reported","STATUS = Not Reported",IF(AND($P621="Y",$Q621&lt;&gt;"Y"),"UNESCO-MAB Biosphere Reserve",IF(AND($K621="Point",N($L621)&lt;=0),"Point without REP_AREA",IF(AND(N($L621)&lt;=0,N($N621)&lt;=0,N($R621)+N($S621)&lt;=0),"No area information",""))))))))</f>
        <v/>
      </c>
      <c r="AB621" s="22">
        <f>IF(AND($A621="",$B621=""),"",IF($K621="Point",N($L621),IF(N($N621)&gt;0,N($N621),N($L621))))</f>
        <v/>
      </c>
      <c r="AC621" s="22">
        <f>IF(AND($A621="",$B621=""),"",MIN(AB621,IF(N($J621)=0,0,IF(N($J621)=2,AB621,IF(AND($K621&lt;&gt;"Point",N($O621)&gt;0),N($O621),N($M621))))))</f>
        <v/>
      </c>
      <c r="AD621" s="22">
        <f>IF(AND($A621="",$B621=""),"",MAX(0,AB621-AC621))</f>
        <v/>
      </c>
      <c r="AE621" s="21">
        <f>IF(AND($A621="",$B621=""),"",IF(OR($R621&lt;&gt;"",$S621&lt;&gt;""),1,0))</f>
        <v/>
      </c>
      <c r="AF621" s="22">
        <f>IF(AND($A621="",$B621=""),"",IF(Z621=1,IF(AE621=1,N($R621),AD621),0))</f>
        <v/>
      </c>
      <c r="AG621" s="22">
        <f>IF(AND($A621="",$B621=""),"",IF(Z621=1,IF(AE621=1,N($S621),AC621),0))</f>
        <v/>
      </c>
      <c r="AH621" s="21">
        <f>IF(AND($A621="",$B621=""),"",IF(AND(ISNUMBER($I621),N($I621)&gt;0),$I621,0))</f>
        <v/>
      </c>
      <c r="AI621" s="23">
        <f>IF(AND(NOT(AND($A621="",$B621="")),$K621="Point",N($L621)&gt;0),SQRT(N($L621)/PI()),"")</f>
        <v/>
      </c>
      <c r="AJ621" s="21">
        <f>IF(AND($A621="",$B621=""),"",IFERROR(VLOOKUP($G621,Lists!$D$4:$E$15,2,FALSE),"Not reported"))</f>
        <v/>
      </c>
      <c r="AK621" s="21">
        <f>IF(AND($A621="",$B621=""),"",IF($X621&lt;&gt;"",$X621,IF($T621&lt;&gt;"Y","Not assessed",IF(AND(ISNUMBER($V621),Setup!$B$6-$V621&gt;Setup!$B$26),"Assessment outdated",IF(NOT(ISNUMBER($W621)),"Assessed – no score",IF($W621&gt;=Setup!$B$24,"High",IF($W621&gt;=Setup!$B$25,"Moderate","Low")))))))</f>
        <v/>
      </c>
      <c r="AL621" s="21">
        <f>IF(AND($A621="",$B621=""),"",IF(Z621=0,"",IF(AND(AE621=1,N($R621)&gt;AD621*1.01+0.001),"Net terrestrial &gt; gross; ","")&amp;IF(AND(AE621=1,N($S621)&gt;AC621*1.01+0.001),"Net marine &gt; gross; ","")&amp;IF(AE621=0,"No net area – gross used, overlaps may be double-counted; ","")&amp;IF(AH621=0,"STATUS_YR missing – imputed in time series; ","")&amp;IF(AND(ISNUMBER($I621),N($I621)&gt;Setup!$B$6),"STATUS_YR after reporting year; ","")&amp;IF(OR($G621="",$G621="Not Reported"),"GOV_TYPE not reported; ","")&amp;IF(AND(N($J621)=1,$K621="Point",N($M621)&lt;=0),"Coastal point without REP_M_AREA – land/sea split unknown; ","")&amp;IF(AND(N($J621)=0,N($S621)&gt;0),"MARINE=0 but net marine &gt;0; ","")&amp;IF(AND(N($J621)=2,N($R621)&gt;0),"MARINE=2 but net terrestrial &gt;0; ","")&amp;IF($K621="Point","Buffered point – coverage approximate; ","")))</f>
        <v/>
      </c>
    </row>
    <row r="622">
      <c r="A622" s="19" t="n"/>
      <c r="B622" s="19" t="n"/>
      <c r="C622" s="19" t="n"/>
      <c r="D622" s="19" t="n"/>
      <c r="E622" s="19" t="n"/>
      <c r="F622" s="19" t="n"/>
      <c r="G622" s="19" t="n"/>
      <c r="H622" s="19" t="n"/>
      <c r="I622" s="19" t="n"/>
      <c r="J622" s="19" t="n"/>
      <c r="K622" s="19" t="n"/>
      <c r="L622" s="20" t="n"/>
      <c r="M622" s="20" t="n"/>
      <c r="N622" s="20" t="n"/>
      <c r="O622" s="20" t="n"/>
      <c r="P622" s="19" t="n"/>
      <c r="Q622" s="19" t="n"/>
      <c r="R622" s="20" t="n"/>
      <c r="S622" s="20" t="n"/>
      <c r="T622" s="19" t="n"/>
      <c r="U622" s="19" t="n"/>
      <c r="V622" s="19" t="n"/>
      <c r="W622" s="19" t="n"/>
      <c r="X622" s="19" t="n"/>
      <c r="Y622" s="19" t="n"/>
      <c r="Z622" s="21">
        <f>IF(AND($A622="",$B622=""),"",IF(OR($E622="",$H622="",$H622="Proposed",$H622="Not Reported"),0,IF(AND($P622="Y",$Q622&lt;&gt;"Y"),0,IF(AND($K622="Point",N($L622)&lt;=0),0,IF(AND(N($L622)&lt;=0,N($N622)&lt;=0,N($R622)+N($S622)&lt;=0),0,1)))))</f>
        <v/>
      </c>
      <c r="AA622" s="21">
        <f>IF(AND($A622="",$B622=""),"",IF($E622="","Site type missing",IF($H622="","STATUS missing",IF($H622="Proposed","STATUS = Proposed",IF($H622="Not Reported","STATUS = Not Reported",IF(AND($P622="Y",$Q622&lt;&gt;"Y"),"UNESCO-MAB Biosphere Reserve",IF(AND($K622="Point",N($L622)&lt;=0),"Point without REP_AREA",IF(AND(N($L622)&lt;=0,N($N622)&lt;=0,N($R622)+N($S622)&lt;=0),"No area information",""))))))))</f>
        <v/>
      </c>
      <c r="AB622" s="22">
        <f>IF(AND($A622="",$B622=""),"",IF($K622="Point",N($L622),IF(N($N622)&gt;0,N($N622),N($L622))))</f>
        <v/>
      </c>
      <c r="AC622" s="22">
        <f>IF(AND($A622="",$B622=""),"",MIN(AB622,IF(N($J622)=0,0,IF(N($J622)=2,AB622,IF(AND($K622&lt;&gt;"Point",N($O622)&gt;0),N($O622),N($M622))))))</f>
        <v/>
      </c>
      <c r="AD622" s="22">
        <f>IF(AND($A622="",$B622=""),"",MAX(0,AB622-AC622))</f>
        <v/>
      </c>
      <c r="AE622" s="21">
        <f>IF(AND($A622="",$B622=""),"",IF(OR($R622&lt;&gt;"",$S622&lt;&gt;""),1,0))</f>
        <v/>
      </c>
      <c r="AF622" s="22">
        <f>IF(AND($A622="",$B622=""),"",IF(Z622=1,IF(AE622=1,N($R622),AD622),0))</f>
        <v/>
      </c>
      <c r="AG622" s="22">
        <f>IF(AND($A622="",$B622=""),"",IF(Z622=1,IF(AE622=1,N($S622),AC622),0))</f>
        <v/>
      </c>
      <c r="AH622" s="21">
        <f>IF(AND($A622="",$B622=""),"",IF(AND(ISNUMBER($I622),N($I622)&gt;0),$I622,0))</f>
        <v/>
      </c>
      <c r="AI622" s="23">
        <f>IF(AND(NOT(AND($A622="",$B622="")),$K622="Point",N($L622)&gt;0),SQRT(N($L622)/PI()),"")</f>
        <v/>
      </c>
      <c r="AJ622" s="21">
        <f>IF(AND($A622="",$B622=""),"",IFERROR(VLOOKUP($G622,Lists!$D$4:$E$15,2,FALSE),"Not reported"))</f>
        <v/>
      </c>
      <c r="AK622" s="21">
        <f>IF(AND($A622="",$B622=""),"",IF($X622&lt;&gt;"",$X622,IF($T622&lt;&gt;"Y","Not assessed",IF(AND(ISNUMBER($V622),Setup!$B$6-$V622&gt;Setup!$B$26),"Assessment outdated",IF(NOT(ISNUMBER($W622)),"Assessed – no score",IF($W622&gt;=Setup!$B$24,"High",IF($W622&gt;=Setup!$B$25,"Moderate","Low")))))))</f>
        <v/>
      </c>
      <c r="AL622" s="21">
        <f>IF(AND($A622="",$B622=""),"",IF(Z622=0,"",IF(AND(AE622=1,N($R622)&gt;AD622*1.01+0.001),"Net terrestrial &gt; gross; ","")&amp;IF(AND(AE622=1,N($S622)&gt;AC622*1.01+0.001),"Net marine &gt; gross; ","")&amp;IF(AE622=0,"No net area – gross used, overlaps may be double-counted; ","")&amp;IF(AH622=0,"STATUS_YR missing – imputed in time series; ","")&amp;IF(AND(ISNUMBER($I622),N($I622)&gt;Setup!$B$6),"STATUS_YR after reporting year; ","")&amp;IF(OR($G622="",$G622="Not Reported"),"GOV_TYPE not reported; ","")&amp;IF(AND(N($J622)=1,$K622="Point",N($M622)&lt;=0),"Coastal point without REP_M_AREA – land/sea split unknown; ","")&amp;IF(AND(N($J622)=0,N($S622)&gt;0),"MARINE=0 but net marine &gt;0; ","")&amp;IF(AND(N($J622)=2,N($R622)&gt;0),"MARINE=2 but net terrestrial &gt;0; ","")&amp;IF($K622="Point","Buffered point – coverage approximate; ","")))</f>
        <v/>
      </c>
    </row>
    <row r="623">
      <c r="A623" s="19" t="n"/>
      <c r="B623" s="19" t="n"/>
      <c r="C623" s="19" t="n"/>
      <c r="D623" s="19" t="n"/>
      <c r="E623" s="19" t="n"/>
      <c r="F623" s="19" t="n"/>
      <c r="G623" s="19" t="n"/>
      <c r="H623" s="19" t="n"/>
      <c r="I623" s="19" t="n"/>
      <c r="J623" s="19" t="n"/>
      <c r="K623" s="19" t="n"/>
      <c r="L623" s="20" t="n"/>
      <c r="M623" s="20" t="n"/>
      <c r="N623" s="20" t="n"/>
      <c r="O623" s="20" t="n"/>
      <c r="P623" s="19" t="n"/>
      <c r="Q623" s="19" t="n"/>
      <c r="R623" s="20" t="n"/>
      <c r="S623" s="20" t="n"/>
      <c r="T623" s="19" t="n"/>
      <c r="U623" s="19" t="n"/>
      <c r="V623" s="19" t="n"/>
      <c r="W623" s="19" t="n"/>
      <c r="X623" s="19" t="n"/>
      <c r="Y623" s="19" t="n"/>
      <c r="Z623" s="21">
        <f>IF(AND($A623="",$B623=""),"",IF(OR($E623="",$H623="",$H623="Proposed",$H623="Not Reported"),0,IF(AND($P623="Y",$Q623&lt;&gt;"Y"),0,IF(AND($K623="Point",N($L623)&lt;=0),0,IF(AND(N($L623)&lt;=0,N($N623)&lt;=0,N($R623)+N($S623)&lt;=0),0,1)))))</f>
        <v/>
      </c>
      <c r="AA623" s="21">
        <f>IF(AND($A623="",$B623=""),"",IF($E623="","Site type missing",IF($H623="","STATUS missing",IF($H623="Proposed","STATUS = Proposed",IF($H623="Not Reported","STATUS = Not Reported",IF(AND($P623="Y",$Q623&lt;&gt;"Y"),"UNESCO-MAB Biosphere Reserve",IF(AND($K623="Point",N($L623)&lt;=0),"Point without REP_AREA",IF(AND(N($L623)&lt;=0,N($N623)&lt;=0,N($R623)+N($S623)&lt;=0),"No area information",""))))))))</f>
        <v/>
      </c>
      <c r="AB623" s="22">
        <f>IF(AND($A623="",$B623=""),"",IF($K623="Point",N($L623),IF(N($N623)&gt;0,N($N623),N($L623))))</f>
        <v/>
      </c>
      <c r="AC623" s="22">
        <f>IF(AND($A623="",$B623=""),"",MIN(AB623,IF(N($J623)=0,0,IF(N($J623)=2,AB623,IF(AND($K623&lt;&gt;"Point",N($O623)&gt;0),N($O623),N($M623))))))</f>
        <v/>
      </c>
      <c r="AD623" s="22">
        <f>IF(AND($A623="",$B623=""),"",MAX(0,AB623-AC623))</f>
        <v/>
      </c>
      <c r="AE623" s="21">
        <f>IF(AND($A623="",$B623=""),"",IF(OR($R623&lt;&gt;"",$S623&lt;&gt;""),1,0))</f>
        <v/>
      </c>
      <c r="AF623" s="22">
        <f>IF(AND($A623="",$B623=""),"",IF(Z623=1,IF(AE623=1,N($R623),AD623),0))</f>
        <v/>
      </c>
      <c r="AG623" s="22">
        <f>IF(AND($A623="",$B623=""),"",IF(Z623=1,IF(AE623=1,N($S623),AC623),0))</f>
        <v/>
      </c>
      <c r="AH623" s="21">
        <f>IF(AND($A623="",$B623=""),"",IF(AND(ISNUMBER($I623),N($I623)&gt;0),$I623,0))</f>
        <v/>
      </c>
      <c r="AI623" s="23">
        <f>IF(AND(NOT(AND($A623="",$B623="")),$K623="Point",N($L623)&gt;0),SQRT(N($L623)/PI()),"")</f>
        <v/>
      </c>
      <c r="AJ623" s="21">
        <f>IF(AND($A623="",$B623=""),"",IFERROR(VLOOKUP($G623,Lists!$D$4:$E$15,2,FALSE),"Not reported"))</f>
        <v/>
      </c>
      <c r="AK623" s="21">
        <f>IF(AND($A623="",$B623=""),"",IF($X623&lt;&gt;"",$X623,IF($T623&lt;&gt;"Y","Not assessed",IF(AND(ISNUMBER($V623),Setup!$B$6-$V623&gt;Setup!$B$26),"Assessment outdated",IF(NOT(ISNUMBER($W623)),"Assessed – no score",IF($W623&gt;=Setup!$B$24,"High",IF($W623&gt;=Setup!$B$25,"Moderate","Low")))))))</f>
        <v/>
      </c>
      <c r="AL623" s="21">
        <f>IF(AND($A623="",$B623=""),"",IF(Z623=0,"",IF(AND(AE623=1,N($R623)&gt;AD623*1.01+0.001),"Net terrestrial &gt; gross; ","")&amp;IF(AND(AE623=1,N($S623)&gt;AC623*1.01+0.001),"Net marine &gt; gross; ","")&amp;IF(AE623=0,"No net area – gross used, overlaps may be double-counted; ","")&amp;IF(AH623=0,"STATUS_YR missing – imputed in time series; ","")&amp;IF(AND(ISNUMBER($I623),N($I623)&gt;Setup!$B$6),"STATUS_YR after reporting year; ","")&amp;IF(OR($G623="",$G623="Not Reported"),"GOV_TYPE not reported; ","")&amp;IF(AND(N($J623)=1,$K623="Point",N($M623)&lt;=0),"Coastal point without REP_M_AREA – land/sea split unknown; ","")&amp;IF(AND(N($J623)=0,N($S623)&gt;0),"MARINE=0 but net marine &gt;0; ","")&amp;IF(AND(N($J623)=2,N($R623)&gt;0),"MARINE=2 but net terrestrial &gt;0; ","")&amp;IF($K623="Point","Buffered point – coverage approximate; ","")))</f>
        <v/>
      </c>
    </row>
    <row r="624">
      <c r="A624" s="19" t="n"/>
      <c r="B624" s="19" t="n"/>
      <c r="C624" s="19" t="n"/>
      <c r="D624" s="19" t="n"/>
      <c r="E624" s="19" t="n"/>
      <c r="F624" s="19" t="n"/>
      <c r="G624" s="19" t="n"/>
      <c r="H624" s="19" t="n"/>
      <c r="I624" s="19" t="n"/>
      <c r="J624" s="19" t="n"/>
      <c r="K624" s="19" t="n"/>
      <c r="L624" s="20" t="n"/>
      <c r="M624" s="20" t="n"/>
      <c r="N624" s="20" t="n"/>
      <c r="O624" s="20" t="n"/>
      <c r="P624" s="19" t="n"/>
      <c r="Q624" s="19" t="n"/>
      <c r="R624" s="20" t="n"/>
      <c r="S624" s="20" t="n"/>
      <c r="T624" s="19" t="n"/>
      <c r="U624" s="19" t="n"/>
      <c r="V624" s="19" t="n"/>
      <c r="W624" s="19" t="n"/>
      <c r="X624" s="19" t="n"/>
      <c r="Y624" s="19" t="n"/>
      <c r="Z624" s="21">
        <f>IF(AND($A624="",$B624=""),"",IF(OR($E624="",$H624="",$H624="Proposed",$H624="Not Reported"),0,IF(AND($P624="Y",$Q624&lt;&gt;"Y"),0,IF(AND($K624="Point",N($L624)&lt;=0),0,IF(AND(N($L624)&lt;=0,N($N624)&lt;=0,N($R624)+N($S624)&lt;=0),0,1)))))</f>
        <v/>
      </c>
      <c r="AA624" s="21">
        <f>IF(AND($A624="",$B624=""),"",IF($E624="","Site type missing",IF($H624="","STATUS missing",IF($H624="Proposed","STATUS = Proposed",IF($H624="Not Reported","STATUS = Not Reported",IF(AND($P624="Y",$Q624&lt;&gt;"Y"),"UNESCO-MAB Biosphere Reserve",IF(AND($K624="Point",N($L624)&lt;=0),"Point without REP_AREA",IF(AND(N($L624)&lt;=0,N($N624)&lt;=0,N($R624)+N($S624)&lt;=0),"No area information",""))))))))</f>
        <v/>
      </c>
      <c r="AB624" s="22">
        <f>IF(AND($A624="",$B624=""),"",IF($K624="Point",N($L624),IF(N($N624)&gt;0,N($N624),N($L624))))</f>
        <v/>
      </c>
      <c r="AC624" s="22">
        <f>IF(AND($A624="",$B624=""),"",MIN(AB624,IF(N($J624)=0,0,IF(N($J624)=2,AB624,IF(AND($K624&lt;&gt;"Point",N($O624)&gt;0),N($O624),N($M624))))))</f>
        <v/>
      </c>
      <c r="AD624" s="22">
        <f>IF(AND($A624="",$B624=""),"",MAX(0,AB624-AC624))</f>
        <v/>
      </c>
      <c r="AE624" s="21">
        <f>IF(AND($A624="",$B624=""),"",IF(OR($R624&lt;&gt;"",$S624&lt;&gt;""),1,0))</f>
        <v/>
      </c>
      <c r="AF624" s="22">
        <f>IF(AND($A624="",$B624=""),"",IF(Z624=1,IF(AE624=1,N($R624),AD624),0))</f>
        <v/>
      </c>
      <c r="AG624" s="22">
        <f>IF(AND($A624="",$B624=""),"",IF(Z624=1,IF(AE624=1,N($S624),AC624),0))</f>
        <v/>
      </c>
      <c r="AH624" s="21">
        <f>IF(AND($A624="",$B624=""),"",IF(AND(ISNUMBER($I624),N($I624)&gt;0),$I624,0))</f>
        <v/>
      </c>
      <c r="AI624" s="23">
        <f>IF(AND(NOT(AND($A624="",$B624="")),$K624="Point",N($L624)&gt;0),SQRT(N($L624)/PI()),"")</f>
        <v/>
      </c>
      <c r="AJ624" s="21">
        <f>IF(AND($A624="",$B624=""),"",IFERROR(VLOOKUP($G624,Lists!$D$4:$E$15,2,FALSE),"Not reported"))</f>
        <v/>
      </c>
      <c r="AK624" s="21">
        <f>IF(AND($A624="",$B624=""),"",IF($X624&lt;&gt;"",$X624,IF($T624&lt;&gt;"Y","Not assessed",IF(AND(ISNUMBER($V624),Setup!$B$6-$V624&gt;Setup!$B$26),"Assessment outdated",IF(NOT(ISNUMBER($W624)),"Assessed – no score",IF($W624&gt;=Setup!$B$24,"High",IF($W624&gt;=Setup!$B$25,"Moderate","Low")))))))</f>
        <v/>
      </c>
      <c r="AL624" s="21">
        <f>IF(AND($A624="",$B624=""),"",IF(Z624=0,"",IF(AND(AE624=1,N($R624)&gt;AD624*1.01+0.001),"Net terrestrial &gt; gross; ","")&amp;IF(AND(AE624=1,N($S624)&gt;AC624*1.01+0.001),"Net marine &gt; gross; ","")&amp;IF(AE624=0,"No net area – gross used, overlaps may be double-counted; ","")&amp;IF(AH624=0,"STATUS_YR missing – imputed in time series; ","")&amp;IF(AND(ISNUMBER($I624),N($I624)&gt;Setup!$B$6),"STATUS_YR after reporting year; ","")&amp;IF(OR($G624="",$G624="Not Reported"),"GOV_TYPE not reported; ","")&amp;IF(AND(N($J624)=1,$K624="Point",N($M624)&lt;=0),"Coastal point without REP_M_AREA – land/sea split unknown; ","")&amp;IF(AND(N($J624)=0,N($S624)&gt;0),"MARINE=0 but net marine &gt;0; ","")&amp;IF(AND(N($J624)=2,N($R624)&gt;0),"MARINE=2 but net terrestrial &gt;0; ","")&amp;IF($K624="Point","Buffered point – coverage approximate; ","")))</f>
        <v/>
      </c>
    </row>
    <row r="625">
      <c r="A625" s="19" t="n"/>
      <c r="B625" s="19" t="n"/>
      <c r="C625" s="19" t="n"/>
      <c r="D625" s="19" t="n"/>
      <c r="E625" s="19" t="n"/>
      <c r="F625" s="19" t="n"/>
      <c r="G625" s="19" t="n"/>
      <c r="H625" s="19" t="n"/>
      <c r="I625" s="19" t="n"/>
      <c r="J625" s="19" t="n"/>
      <c r="K625" s="19" t="n"/>
      <c r="L625" s="20" t="n"/>
      <c r="M625" s="20" t="n"/>
      <c r="N625" s="20" t="n"/>
      <c r="O625" s="20" t="n"/>
      <c r="P625" s="19" t="n"/>
      <c r="Q625" s="19" t="n"/>
      <c r="R625" s="20" t="n"/>
      <c r="S625" s="20" t="n"/>
      <c r="T625" s="19" t="n"/>
      <c r="U625" s="19" t="n"/>
      <c r="V625" s="19" t="n"/>
      <c r="W625" s="19" t="n"/>
      <c r="X625" s="19" t="n"/>
      <c r="Y625" s="19" t="n"/>
      <c r="Z625" s="21">
        <f>IF(AND($A625="",$B625=""),"",IF(OR($E625="",$H625="",$H625="Proposed",$H625="Not Reported"),0,IF(AND($P625="Y",$Q625&lt;&gt;"Y"),0,IF(AND($K625="Point",N($L625)&lt;=0),0,IF(AND(N($L625)&lt;=0,N($N625)&lt;=0,N($R625)+N($S625)&lt;=0),0,1)))))</f>
        <v/>
      </c>
      <c r="AA625" s="21">
        <f>IF(AND($A625="",$B625=""),"",IF($E625="","Site type missing",IF($H625="","STATUS missing",IF($H625="Proposed","STATUS = Proposed",IF($H625="Not Reported","STATUS = Not Reported",IF(AND($P625="Y",$Q625&lt;&gt;"Y"),"UNESCO-MAB Biosphere Reserve",IF(AND($K625="Point",N($L625)&lt;=0),"Point without REP_AREA",IF(AND(N($L625)&lt;=0,N($N625)&lt;=0,N($R625)+N($S625)&lt;=0),"No area information",""))))))))</f>
        <v/>
      </c>
      <c r="AB625" s="22">
        <f>IF(AND($A625="",$B625=""),"",IF($K625="Point",N($L625),IF(N($N625)&gt;0,N($N625),N($L625))))</f>
        <v/>
      </c>
      <c r="AC625" s="22">
        <f>IF(AND($A625="",$B625=""),"",MIN(AB625,IF(N($J625)=0,0,IF(N($J625)=2,AB625,IF(AND($K625&lt;&gt;"Point",N($O625)&gt;0),N($O625),N($M625))))))</f>
        <v/>
      </c>
      <c r="AD625" s="22">
        <f>IF(AND($A625="",$B625=""),"",MAX(0,AB625-AC625))</f>
        <v/>
      </c>
      <c r="AE625" s="21">
        <f>IF(AND($A625="",$B625=""),"",IF(OR($R625&lt;&gt;"",$S625&lt;&gt;""),1,0))</f>
        <v/>
      </c>
      <c r="AF625" s="22">
        <f>IF(AND($A625="",$B625=""),"",IF(Z625=1,IF(AE625=1,N($R625),AD625),0))</f>
        <v/>
      </c>
      <c r="AG625" s="22">
        <f>IF(AND($A625="",$B625=""),"",IF(Z625=1,IF(AE625=1,N($S625),AC625),0))</f>
        <v/>
      </c>
      <c r="AH625" s="21">
        <f>IF(AND($A625="",$B625=""),"",IF(AND(ISNUMBER($I625),N($I625)&gt;0),$I625,0))</f>
        <v/>
      </c>
      <c r="AI625" s="23">
        <f>IF(AND(NOT(AND($A625="",$B625="")),$K625="Point",N($L625)&gt;0),SQRT(N($L625)/PI()),"")</f>
        <v/>
      </c>
      <c r="AJ625" s="21">
        <f>IF(AND($A625="",$B625=""),"",IFERROR(VLOOKUP($G625,Lists!$D$4:$E$15,2,FALSE),"Not reported"))</f>
        <v/>
      </c>
      <c r="AK625" s="21">
        <f>IF(AND($A625="",$B625=""),"",IF($X625&lt;&gt;"",$X625,IF($T625&lt;&gt;"Y","Not assessed",IF(AND(ISNUMBER($V625),Setup!$B$6-$V625&gt;Setup!$B$26),"Assessment outdated",IF(NOT(ISNUMBER($W625)),"Assessed – no score",IF($W625&gt;=Setup!$B$24,"High",IF($W625&gt;=Setup!$B$25,"Moderate","Low")))))))</f>
        <v/>
      </c>
      <c r="AL625" s="21">
        <f>IF(AND($A625="",$B625=""),"",IF(Z625=0,"",IF(AND(AE625=1,N($R625)&gt;AD625*1.01+0.001),"Net terrestrial &gt; gross; ","")&amp;IF(AND(AE625=1,N($S625)&gt;AC625*1.01+0.001),"Net marine &gt; gross; ","")&amp;IF(AE625=0,"No net area – gross used, overlaps may be double-counted; ","")&amp;IF(AH625=0,"STATUS_YR missing – imputed in time series; ","")&amp;IF(AND(ISNUMBER($I625),N($I625)&gt;Setup!$B$6),"STATUS_YR after reporting year; ","")&amp;IF(OR($G625="",$G625="Not Reported"),"GOV_TYPE not reported; ","")&amp;IF(AND(N($J625)=1,$K625="Point",N($M625)&lt;=0),"Coastal point without REP_M_AREA – land/sea split unknown; ","")&amp;IF(AND(N($J625)=0,N($S625)&gt;0),"MARINE=0 but net marine &gt;0; ","")&amp;IF(AND(N($J625)=2,N($R625)&gt;0),"MARINE=2 but net terrestrial &gt;0; ","")&amp;IF($K625="Point","Buffered point – coverage approximate; ","")))</f>
        <v/>
      </c>
    </row>
    <row r="626">
      <c r="A626" s="19" t="n"/>
      <c r="B626" s="19" t="n"/>
      <c r="C626" s="19" t="n"/>
      <c r="D626" s="19" t="n"/>
      <c r="E626" s="19" t="n"/>
      <c r="F626" s="19" t="n"/>
      <c r="G626" s="19" t="n"/>
      <c r="H626" s="19" t="n"/>
      <c r="I626" s="19" t="n"/>
      <c r="J626" s="19" t="n"/>
      <c r="K626" s="19" t="n"/>
      <c r="L626" s="20" t="n"/>
      <c r="M626" s="20" t="n"/>
      <c r="N626" s="20" t="n"/>
      <c r="O626" s="20" t="n"/>
      <c r="P626" s="19" t="n"/>
      <c r="Q626" s="19" t="n"/>
      <c r="R626" s="20" t="n"/>
      <c r="S626" s="20" t="n"/>
      <c r="T626" s="19" t="n"/>
      <c r="U626" s="19" t="n"/>
      <c r="V626" s="19" t="n"/>
      <c r="W626" s="19" t="n"/>
      <c r="X626" s="19" t="n"/>
      <c r="Y626" s="19" t="n"/>
      <c r="Z626" s="21">
        <f>IF(AND($A626="",$B626=""),"",IF(OR($E626="",$H626="",$H626="Proposed",$H626="Not Reported"),0,IF(AND($P626="Y",$Q626&lt;&gt;"Y"),0,IF(AND($K626="Point",N($L626)&lt;=0),0,IF(AND(N($L626)&lt;=0,N($N626)&lt;=0,N($R626)+N($S626)&lt;=0),0,1)))))</f>
        <v/>
      </c>
      <c r="AA626" s="21">
        <f>IF(AND($A626="",$B626=""),"",IF($E626="","Site type missing",IF($H626="","STATUS missing",IF($H626="Proposed","STATUS = Proposed",IF($H626="Not Reported","STATUS = Not Reported",IF(AND($P626="Y",$Q626&lt;&gt;"Y"),"UNESCO-MAB Biosphere Reserve",IF(AND($K626="Point",N($L626)&lt;=0),"Point without REP_AREA",IF(AND(N($L626)&lt;=0,N($N626)&lt;=0,N($R626)+N($S626)&lt;=0),"No area information",""))))))))</f>
        <v/>
      </c>
      <c r="AB626" s="22">
        <f>IF(AND($A626="",$B626=""),"",IF($K626="Point",N($L626),IF(N($N626)&gt;0,N($N626),N($L626))))</f>
        <v/>
      </c>
      <c r="AC626" s="22">
        <f>IF(AND($A626="",$B626=""),"",MIN(AB626,IF(N($J626)=0,0,IF(N($J626)=2,AB626,IF(AND($K626&lt;&gt;"Point",N($O626)&gt;0),N($O626),N($M626))))))</f>
        <v/>
      </c>
      <c r="AD626" s="22">
        <f>IF(AND($A626="",$B626=""),"",MAX(0,AB626-AC626))</f>
        <v/>
      </c>
      <c r="AE626" s="21">
        <f>IF(AND($A626="",$B626=""),"",IF(OR($R626&lt;&gt;"",$S626&lt;&gt;""),1,0))</f>
        <v/>
      </c>
      <c r="AF626" s="22">
        <f>IF(AND($A626="",$B626=""),"",IF(Z626=1,IF(AE626=1,N($R626),AD626),0))</f>
        <v/>
      </c>
      <c r="AG626" s="22">
        <f>IF(AND($A626="",$B626=""),"",IF(Z626=1,IF(AE626=1,N($S626),AC626),0))</f>
        <v/>
      </c>
      <c r="AH626" s="21">
        <f>IF(AND($A626="",$B626=""),"",IF(AND(ISNUMBER($I626),N($I626)&gt;0),$I626,0))</f>
        <v/>
      </c>
      <c r="AI626" s="23">
        <f>IF(AND(NOT(AND($A626="",$B626="")),$K626="Point",N($L626)&gt;0),SQRT(N($L626)/PI()),"")</f>
        <v/>
      </c>
      <c r="AJ626" s="21">
        <f>IF(AND($A626="",$B626=""),"",IFERROR(VLOOKUP($G626,Lists!$D$4:$E$15,2,FALSE),"Not reported"))</f>
        <v/>
      </c>
      <c r="AK626" s="21">
        <f>IF(AND($A626="",$B626=""),"",IF($X626&lt;&gt;"",$X626,IF($T626&lt;&gt;"Y","Not assessed",IF(AND(ISNUMBER($V626),Setup!$B$6-$V626&gt;Setup!$B$26),"Assessment outdated",IF(NOT(ISNUMBER($W626)),"Assessed – no score",IF($W626&gt;=Setup!$B$24,"High",IF($W626&gt;=Setup!$B$25,"Moderate","Low")))))))</f>
        <v/>
      </c>
      <c r="AL626" s="21">
        <f>IF(AND($A626="",$B626=""),"",IF(Z626=0,"",IF(AND(AE626=1,N($R626)&gt;AD626*1.01+0.001),"Net terrestrial &gt; gross; ","")&amp;IF(AND(AE626=1,N($S626)&gt;AC626*1.01+0.001),"Net marine &gt; gross; ","")&amp;IF(AE626=0,"No net area – gross used, overlaps may be double-counted; ","")&amp;IF(AH626=0,"STATUS_YR missing – imputed in time series; ","")&amp;IF(AND(ISNUMBER($I626),N($I626)&gt;Setup!$B$6),"STATUS_YR after reporting year; ","")&amp;IF(OR($G626="",$G626="Not Reported"),"GOV_TYPE not reported; ","")&amp;IF(AND(N($J626)=1,$K626="Point",N($M626)&lt;=0),"Coastal point without REP_M_AREA – land/sea split unknown; ","")&amp;IF(AND(N($J626)=0,N($S626)&gt;0),"MARINE=0 but net marine &gt;0; ","")&amp;IF(AND(N($J626)=2,N($R626)&gt;0),"MARINE=2 but net terrestrial &gt;0; ","")&amp;IF($K626="Point","Buffered point – coverage approximate; ","")))</f>
        <v/>
      </c>
    </row>
    <row r="627">
      <c r="A627" s="19" t="n"/>
      <c r="B627" s="19" t="n"/>
      <c r="C627" s="19" t="n"/>
      <c r="D627" s="19" t="n"/>
      <c r="E627" s="19" t="n"/>
      <c r="F627" s="19" t="n"/>
      <c r="G627" s="19" t="n"/>
      <c r="H627" s="19" t="n"/>
      <c r="I627" s="19" t="n"/>
      <c r="J627" s="19" t="n"/>
      <c r="K627" s="19" t="n"/>
      <c r="L627" s="20" t="n"/>
      <c r="M627" s="20" t="n"/>
      <c r="N627" s="20" t="n"/>
      <c r="O627" s="20" t="n"/>
      <c r="P627" s="19" t="n"/>
      <c r="Q627" s="19" t="n"/>
      <c r="R627" s="20" t="n"/>
      <c r="S627" s="20" t="n"/>
      <c r="T627" s="19" t="n"/>
      <c r="U627" s="19" t="n"/>
      <c r="V627" s="19" t="n"/>
      <c r="W627" s="19" t="n"/>
      <c r="X627" s="19" t="n"/>
      <c r="Y627" s="19" t="n"/>
      <c r="Z627" s="21">
        <f>IF(AND($A627="",$B627=""),"",IF(OR($E627="",$H627="",$H627="Proposed",$H627="Not Reported"),0,IF(AND($P627="Y",$Q627&lt;&gt;"Y"),0,IF(AND($K627="Point",N($L627)&lt;=0),0,IF(AND(N($L627)&lt;=0,N($N627)&lt;=0,N($R627)+N($S627)&lt;=0),0,1)))))</f>
        <v/>
      </c>
      <c r="AA627" s="21">
        <f>IF(AND($A627="",$B627=""),"",IF($E627="","Site type missing",IF($H627="","STATUS missing",IF($H627="Proposed","STATUS = Proposed",IF($H627="Not Reported","STATUS = Not Reported",IF(AND($P627="Y",$Q627&lt;&gt;"Y"),"UNESCO-MAB Biosphere Reserve",IF(AND($K627="Point",N($L627)&lt;=0),"Point without REP_AREA",IF(AND(N($L627)&lt;=0,N($N627)&lt;=0,N($R627)+N($S627)&lt;=0),"No area information",""))))))))</f>
        <v/>
      </c>
      <c r="AB627" s="22">
        <f>IF(AND($A627="",$B627=""),"",IF($K627="Point",N($L627),IF(N($N627)&gt;0,N($N627),N($L627))))</f>
        <v/>
      </c>
      <c r="AC627" s="22">
        <f>IF(AND($A627="",$B627=""),"",MIN(AB627,IF(N($J627)=0,0,IF(N($J627)=2,AB627,IF(AND($K627&lt;&gt;"Point",N($O627)&gt;0),N($O627),N($M627))))))</f>
        <v/>
      </c>
      <c r="AD627" s="22">
        <f>IF(AND($A627="",$B627=""),"",MAX(0,AB627-AC627))</f>
        <v/>
      </c>
      <c r="AE627" s="21">
        <f>IF(AND($A627="",$B627=""),"",IF(OR($R627&lt;&gt;"",$S627&lt;&gt;""),1,0))</f>
        <v/>
      </c>
      <c r="AF627" s="22">
        <f>IF(AND($A627="",$B627=""),"",IF(Z627=1,IF(AE627=1,N($R627),AD627),0))</f>
        <v/>
      </c>
      <c r="AG627" s="22">
        <f>IF(AND($A627="",$B627=""),"",IF(Z627=1,IF(AE627=1,N($S627),AC627),0))</f>
        <v/>
      </c>
      <c r="AH627" s="21">
        <f>IF(AND($A627="",$B627=""),"",IF(AND(ISNUMBER($I627),N($I627)&gt;0),$I627,0))</f>
        <v/>
      </c>
      <c r="AI627" s="23">
        <f>IF(AND(NOT(AND($A627="",$B627="")),$K627="Point",N($L627)&gt;0),SQRT(N($L627)/PI()),"")</f>
        <v/>
      </c>
      <c r="AJ627" s="21">
        <f>IF(AND($A627="",$B627=""),"",IFERROR(VLOOKUP($G627,Lists!$D$4:$E$15,2,FALSE),"Not reported"))</f>
        <v/>
      </c>
      <c r="AK627" s="21">
        <f>IF(AND($A627="",$B627=""),"",IF($X627&lt;&gt;"",$X627,IF($T627&lt;&gt;"Y","Not assessed",IF(AND(ISNUMBER($V627),Setup!$B$6-$V627&gt;Setup!$B$26),"Assessment outdated",IF(NOT(ISNUMBER($W627)),"Assessed – no score",IF($W627&gt;=Setup!$B$24,"High",IF($W627&gt;=Setup!$B$25,"Moderate","Low")))))))</f>
        <v/>
      </c>
      <c r="AL627" s="21">
        <f>IF(AND($A627="",$B627=""),"",IF(Z627=0,"",IF(AND(AE627=1,N($R627)&gt;AD627*1.01+0.001),"Net terrestrial &gt; gross; ","")&amp;IF(AND(AE627=1,N($S627)&gt;AC627*1.01+0.001),"Net marine &gt; gross; ","")&amp;IF(AE627=0,"No net area – gross used, overlaps may be double-counted; ","")&amp;IF(AH627=0,"STATUS_YR missing – imputed in time series; ","")&amp;IF(AND(ISNUMBER($I627),N($I627)&gt;Setup!$B$6),"STATUS_YR after reporting year; ","")&amp;IF(OR($G627="",$G627="Not Reported"),"GOV_TYPE not reported; ","")&amp;IF(AND(N($J627)=1,$K627="Point",N($M627)&lt;=0),"Coastal point without REP_M_AREA – land/sea split unknown; ","")&amp;IF(AND(N($J627)=0,N($S627)&gt;0),"MARINE=0 but net marine &gt;0; ","")&amp;IF(AND(N($J627)=2,N($R627)&gt;0),"MARINE=2 but net terrestrial &gt;0; ","")&amp;IF($K627="Point","Buffered point – coverage approximate; ","")))</f>
        <v/>
      </c>
    </row>
    <row r="628">
      <c r="A628" s="19" t="n"/>
      <c r="B628" s="19" t="n"/>
      <c r="C628" s="19" t="n"/>
      <c r="D628" s="19" t="n"/>
      <c r="E628" s="19" t="n"/>
      <c r="F628" s="19" t="n"/>
      <c r="G628" s="19" t="n"/>
      <c r="H628" s="19" t="n"/>
      <c r="I628" s="19" t="n"/>
      <c r="J628" s="19" t="n"/>
      <c r="K628" s="19" t="n"/>
      <c r="L628" s="20" t="n"/>
      <c r="M628" s="20" t="n"/>
      <c r="N628" s="20" t="n"/>
      <c r="O628" s="20" t="n"/>
      <c r="P628" s="19" t="n"/>
      <c r="Q628" s="19" t="n"/>
      <c r="R628" s="20" t="n"/>
      <c r="S628" s="20" t="n"/>
      <c r="T628" s="19" t="n"/>
      <c r="U628" s="19" t="n"/>
      <c r="V628" s="19" t="n"/>
      <c r="W628" s="19" t="n"/>
      <c r="X628" s="19" t="n"/>
      <c r="Y628" s="19" t="n"/>
      <c r="Z628" s="21">
        <f>IF(AND($A628="",$B628=""),"",IF(OR($E628="",$H628="",$H628="Proposed",$H628="Not Reported"),0,IF(AND($P628="Y",$Q628&lt;&gt;"Y"),0,IF(AND($K628="Point",N($L628)&lt;=0),0,IF(AND(N($L628)&lt;=0,N($N628)&lt;=0,N($R628)+N($S628)&lt;=0),0,1)))))</f>
        <v/>
      </c>
      <c r="AA628" s="21">
        <f>IF(AND($A628="",$B628=""),"",IF($E628="","Site type missing",IF($H628="","STATUS missing",IF($H628="Proposed","STATUS = Proposed",IF($H628="Not Reported","STATUS = Not Reported",IF(AND($P628="Y",$Q628&lt;&gt;"Y"),"UNESCO-MAB Biosphere Reserve",IF(AND($K628="Point",N($L628)&lt;=0),"Point without REP_AREA",IF(AND(N($L628)&lt;=0,N($N628)&lt;=0,N($R628)+N($S628)&lt;=0),"No area information",""))))))))</f>
        <v/>
      </c>
      <c r="AB628" s="22">
        <f>IF(AND($A628="",$B628=""),"",IF($K628="Point",N($L628),IF(N($N628)&gt;0,N($N628),N($L628))))</f>
        <v/>
      </c>
      <c r="AC628" s="22">
        <f>IF(AND($A628="",$B628=""),"",MIN(AB628,IF(N($J628)=0,0,IF(N($J628)=2,AB628,IF(AND($K628&lt;&gt;"Point",N($O628)&gt;0),N($O628),N($M628))))))</f>
        <v/>
      </c>
      <c r="AD628" s="22">
        <f>IF(AND($A628="",$B628=""),"",MAX(0,AB628-AC628))</f>
        <v/>
      </c>
      <c r="AE628" s="21">
        <f>IF(AND($A628="",$B628=""),"",IF(OR($R628&lt;&gt;"",$S628&lt;&gt;""),1,0))</f>
        <v/>
      </c>
      <c r="AF628" s="22">
        <f>IF(AND($A628="",$B628=""),"",IF(Z628=1,IF(AE628=1,N($R628),AD628),0))</f>
        <v/>
      </c>
      <c r="AG628" s="22">
        <f>IF(AND($A628="",$B628=""),"",IF(Z628=1,IF(AE628=1,N($S628),AC628),0))</f>
        <v/>
      </c>
      <c r="AH628" s="21">
        <f>IF(AND($A628="",$B628=""),"",IF(AND(ISNUMBER($I628),N($I628)&gt;0),$I628,0))</f>
        <v/>
      </c>
      <c r="AI628" s="23">
        <f>IF(AND(NOT(AND($A628="",$B628="")),$K628="Point",N($L628)&gt;0),SQRT(N($L628)/PI()),"")</f>
        <v/>
      </c>
      <c r="AJ628" s="21">
        <f>IF(AND($A628="",$B628=""),"",IFERROR(VLOOKUP($G628,Lists!$D$4:$E$15,2,FALSE),"Not reported"))</f>
        <v/>
      </c>
      <c r="AK628" s="21">
        <f>IF(AND($A628="",$B628=""),"",IF($X628&lt;&gt;"",$X628,IF($T628&lt;&gt;"Y","Not assessed",IF(AND(ISNUMBER($V628),Setup!$B$6-$V628&gt;Setup!$B$26),"Assessment outdated",IF(NOT(ISNUMBER($W628)),"Assessed – no score",IF($W628&gt;=Setup!$B$24,"High",IF($W628&gt;=Setup!$B$25,"Moderate","Low")))))))</f>
        <v/>
      </c>
      <c r="AL628" s="21">
        <f>IF(AND($A628="",$B628=""),"",IF(Z628=0,"",IF(AND(AE628=1,N($R628)&gt;AD628*1.01+0.001),"Net terrestrial &gt; gross; ","")&amp;IF(AND(AE628=1,N($S628)&gt;AC628*1.01+0.001),"Net marine &gt; gross; ","")&amp;IF(AE628=0,"No net area – gross used, overlaps may be double-counted; ","")&amp;IF(AH628=0,"STATUS_YR missing – imputed in time series; ","")&amp;IF(AND(ISNUMBER($I628),N($I628)&gt;Setup!$B$6),"STATUS_YR after reporting year; ","")&amp;IF(OR($G628="",$G628="Not Reported"),"GOV_TYPE not reported; ","")&amp;IF(AND(N($J628)=1,$K628="Point",N($M628)&lt;=0),"Coastal point without REP_M_AREA – land/sea split unknown; ","")&amp;IF(AND(N($J628)=0,N($S628)&gt;0),"MARINE=0 but net marine &gt;0; ","")&amp;IF(AND(N($J628)=2,N($R628)&gt;0),"MARINE=2 but net terrestrial &gt;0; ","")&amp;IF($K628="Point","Buffered point – coverage approximate; ","")))</f>
        <v/>
      </c>
    </row>
    <row r="629">
      <c r="A629" s="19" t="n"/>
      <c r="B629" s="19" t="n"/>
      <c r="C629" s="19" t="n"/>
      <c r="D629" s="19" t="n"/>
      <c r="E629" s="19" t="n"/>
      <c r="F629" s="19" t="n"/>
      <c r="G629" s="19" t="n"/>
      <c r="H629" s="19" t="n"/>
      <c r="I629" s="19" t="n"/>
      <c r="J629" s="19" t="n"/>
      <c r="K629" s="19" t="n"/>
      <c r="L629" s="20" t="n"/>
      <c r="M629" s="20" t="n"/>
      <c r="N629" s="20" t="n"/>
      <c r="O629" s="20" t="n"/>
      <c r="P629" s="19" t="n"/>
      <c r="Q629" s="19" t="n"/>
      <c r="R629" s="20" t="n"/>
      <c r="S629" s="20" t="n"/>
      <c r="T629" s="19" t="n"/>
      <c r="U629" s="19" t="n"/>
      <c r="V629" s="19" t="n"/>
      <c r="W629" s="19" t="n"/>
      <c r="X629" s="19" t="n"/>
      <c r="Y629" s="19" t="n"/>
      <c r="Z629" s="21">
        <f>IF(AND($A629="",$B629=""),"",IF(OR($E629="",$H629="",$H629="Proposed",$H629="Not Reported"),0,IF(AND($P629="Y",$Q629&lt;&gt;"Y"),0,IF(AND($K629="Point",N($L629)&lt;=0),0,IF(AND(N($L629)&lt;=0,N($N629)&lt;=0,N($R629)+N($S629)&lt;=0),0,1)))))</f>
        <v/>
      </c>
      <c r="AA629" s="21">
        <f>IF(AND($A629="",$B629=""),"",IF($E629="","Site type missing",IF($H629="","STATUS missing",IF($H629="Proposed","STATUS = Proposed",IF($H629="Not Reported","STATUS = Not Reported",IF(AND($P629="Y",$Q629&lt;&gt;"Y"),"UNESCO-MAB Biosphere Reserve",IF(AND($K629="Point",N($L629)&lt;=0),"Point without REP_AREA",IF(AND(N($L629)&lt;=0,N($N629)&lt;=0,N($R629)+N($S629)&lt;=0),"No area information",""))))))))</f>
        <v/>
      </c>
      <c r="AB629" s="22">
        <f>IF(AND($A629="",$B629=""),"",IF($K629="Point",N($L629),IF(N($N629)&gt;0,N($N629),N($L629))))</f>
        <v/>
      </c>
      <c r="AC629" s="22">
        <f>IF(AND($A629="",$B629=""),"",MIN(AB629,IF(N($J629)=0,0,IF(N($J629)=2,AB629,IF(AND($K629&lt;&gt;"Point",N($O629)&gt;0),N($O629),N($M629))))))</f>
        <v/>
      </c>
      <c r="AD629" s="22">
        <f>IF(AND($A629="",$B629=""),"",MAX(0,AB629-AC629))</f>
        <v/>
      </c>
      <c r="AE629" s="21">
        <f>IF(AND($A629="",$B629=""),"",IF(OR($R629&lt;&gt;"",$S629&lt;&gt;""),1,0))</f>
        <v/>
      </c>
      <c r="AF629" s="22">
        <f>IF(AND($A629="",$B629=""),"",IF(Z629=1,IF(AE629=1,N($R629),AD629),0))</f>
        <v/>
      </c>
      <c r="AG629" s="22">
        <f>IF(AND($A629="",$B629=""),"",IF(Z629=1,IF(AE629=1,N($S629),AC629),0))</f>
        <v/>
      </c>
      <c r="AH629" s="21">
        <f>IF(AND($A629="",$B629=""),"",IF(AND(ISNUMBER($I629),N($I629)&gt;0),$I629,0))</f>
        <v/>
      </c>
      <c r="AI629" s="23">
        <f>IF(AND(NOT(AND($A629="",$B629="")),$K629="Point",N($L629)&gt;0),SQRT(N($L629)/PI()),"")</f>
        <v/>
      </c>
      <c r="AJ629" s="21">
        <f>IF(AND($A629="",$B629=""),"",IFERROR(VLOOKUP($G629,Lists!$D$4:$E$15,2,FALSE),"Not reported"))</f>
        <v/>
      </c>
      <c r="AK629" s="21">
        <f>IF(AND($A629="",$B629=""),"",IF($X629&lt;&gt;"",$X629,IF($T629&lt;&gt;"Y","Not assessed",IF(AND(ISNUMBER($V629),Setup!$B$6-$V629&gt;Setup!$B$26),"Assessment outdated",IF(NOT(ISNUMBER($W629)),"Assessed – no score",IF($W629&gt;=Setup!$B$24,"High",IF($W629&gt;=Setup!$B$25,"Moderate","Low")))))))</f>
        <v/>
      </c>
      <c r="AL629" s="21">
        <f>IF(AND($A629="",$B629=""),"",IF(Z629=0,"",IF(AND(AE629=1,N($R629)&gt;AD629*1.01+0.001),"Net terrestrial &gt; gross; ","")&amp;IF(AND(AE629=1,N($S629)&gt;AC629*1.01+0.001),"Net marine &gt; gross; ","")&amp;IF(AE629=0,"No net area – gross used, overlaps may be double-counted; ","")&amp;IF(AH629=0,"STATUS_YR missing – imputed in time series; ","")&amp;IF(AND(ISNUMBER($I629),N($I629)&gt;Setup!$B$6),"STATUS_YR after reporting year; ","")&amp;IF(OR($G629="",$G629="Not Reported"),"GOV_TYPE not reported; ","")&amp;IF(AND(N($J629)=1,$K629="Point",N($M629)&lt;=0),"Coastal point without REP_M_AREA – land/sea split unknown; ","")&amp;IF(AND(N($J629)=0,N($S629)&gt;0),"MARINE=0 but net marine &gt;0; ","")&amp;IF(AND(N($J629)=2,N($R629)&gt;0),"MARINE=2 but net terrestrial &gt;0; ","")&amp;IF($K629="Point","Buffered point – coverage approximate; ","")))</f>
        <v/>
      </c>
    </row>
    <row r="630">
      <c r="A630" s="19" t="n"/>
      <c r="B630" s="19" t="n"/>
      <c r="C630" s="19" t="n"/>
      <c r="D630" s="19" t="n"/>
      <c r="E630" s="19" t="n"/>
      <c r="F630" s="19" t="n"/>
      <c r="G630" s="19" t="n"/>
      <c r="H630" s="19" t="n"/>
      <c r="I630" s="19" t="n"/>
      <c r="J630" s="19" t="n"/>
      <c r="K630" s="19" t="n"/>
      <c r="L630" s="20" t="n"/>
      <c r="M630" s="20" t="n"/>
      <c r="N630" s="20" t="n"/>
      <c r="O630" s="20" t="n"/>
      <c r="P630" s="19" t="n"/>
      <c r="Q630" s="19" t="n"/>
      <c r="R630" s="20" t="n"/>
      <c r="S630" s="20" t="n"/>
      <c r="T630" s="19" t="n"/>
      <c r="U630" s="19" t="n"/>
      <c r="V630" s="19" t="n"/>
      <c r="W630" s="19" t="n"/>
      <c r="X630" s="19" t="n"/>
      <c r="Y630" s="19" t="n"/>
      <c r="Z630" s="21">
        <f>IF(AND($A630="",$B630=""),"",IF(OR($E630="",$H630="",$H630="Proposed",$H630="Not Reported"),0,IF(AND($P630="Y",$Q630&lt;&gt;"Y"),0,IF(AND($K630="Point",N($L630)&lt;=0),0,IF(AND(N($L630)&lt;=0,N($N630)&lt;=0,N($R630)+N($S630)&lt;=0),0,1)))))</f>
        <v/>
      </c>
      <c r="AA630" s="21">
        <f>IF(AND($A630="",$B630=""),"",IF($E630="","Site type missing",IF($H630="","STATUS missing",IF($H630="Proposed","STATUS = Proposed",IF($H630="Not Reported","STATUS = Not Reported",IF(AND($P630="Y",$Q630&lt;&gt;"Y"),"UNESCO-MAB Biosphere Reserve",IF(AND($K630="Point",N($L630)&lt;=0),"Point without REP_AREA",IF(AND(N($L630)&lt;=0,N($N630)&lt;=0,N($R630)+N($S630)&lt;=0),"No area information",""))))))))</f>
        <v/>
      </c>
      <c r="AB630" s="22">
        <f>IF(AND($A630="",$B630=""),"",IF($K630="Point",N($L630),IF(N($N630)&gt;0,N($N630),N($L630))))</f>
        <v/>
      </c>
      <c r="AC630" s="22">
        <f>IF(AND($A630="",$B630=""),"",MIN(AB630,IF(N($J630)=0,0,IF(N($J630)=2,AB630,IF(AND($K630&lt;&gt;"Point",N($O630)&gt;0),N($O630),N($M630))))))</f>
        <v/>
      </c>
      <c r="AD630" s="22">
        <f>IF(AND($A630="",$B630=""),"",MAX(0,AB630-AC630))</f>
        <v/>
      </c>
      <c r="AE630" s="21">
        <f>IF(AND($A630="",$B630=""),"",IF(OR($R630&lt;&gt;"",$S630&lt;&gt;""),1,0))</f>
        <v/>
      </c>
      <c r="AF630" s="22">
        <f>IF(AND($A630="",$B630=""),"",IF(Z630=1,IF(AE630=1,N($R630),AD630),0))</f>
        <v/>
      </c>
      <c r="AG630" s="22">
        <f>IF(AND($A630="",$B630=""),"",IF(Z630=1,IF(AE630=1,N($S630),AC630),0))</f>
        <v/>
      </c>
      <c r="AH630" s="21">
        <f>IF(AND($A630="",$B630=""),"",IF(AND(ISNUMBER($I630),N($I630)&gt;0),$I630,0))</f>
        <v/>
      </c>
      <c r="AI630" s="23">
        <f>IF(AND(NOT(AND($A630="",$B630="")),$K630="Point",N($L630)&gt;0),SQRT(N($L630)/PI()),"")</f>
        <v/>
      </c>
      <c r="AJ630" s="21">
        <f>IF(AND($A630="",$B630=""),"",IFERROR(VLOOKUP($G630,Lists!$D$4:$E$15,2,FALSE),"Not reported"))</f>
        <v/>
      </c>
      <c r="AK630" s="21">
        <f>IF(AND($A630="",$B630=""),"",IF($X630&lt;&gt;"",$X630,IF($T630&lt;&gt;"Y","Not assessed",IF(AND(ISNUMBER($V630),Setup!$B$6-$V630&gt;Setup!$B$26),"Assessment outdated",IF(NOT(ISNUMBER($W630)),"Assessed – no score",IF($W630&gt;=Setup!$B$24,"High",IF($W630&gt;=Setup!$B$25,"Moderate","Low")))))))</f>
        <v/>
      </c>
      <c r="AL630" s="21">
        <f>IF(AND($A630="",$B630=""),"",IF(Z630=0,"",IF(AND(AE630=1,N($R630)&gt;AD630*1.01+0.001),"Net terrestrial &gt; gross; ","")&amp;IF(AND(AE630=1,N($S630)&gt;AC630*1.01+0.001),"Net marine &gt; gross; ","")&amp;IF(AE630=0,"No net area – gross used, overlaps may be double-counted; ","")&amp;IF(AH630=0,"STATUS_YR missing – imputed in time series; ","")&amp;IF(AND(ISNUMBER($I630),N($I630)&gt;Setup!$B$6),"STATUS_YR after reporting year; ","")&amp;IF(OR($G630="",$G630="Not Reported"),"GOV_TYPE not reported; ","")&amp;IF(AND(N($J630)=1,$K630="Point",N($M630)&lt;=0),"Coastal point without REP_M_AREA – land/sea split unknown; ","")&amp;IF(AND(N($J630)=0,N($S630)&gt;0),"MARINE=0 but net marine &gt;0; ","")&amp;IF(AND(N($J630)=2,N($R630)&gt;0),"MARINE=2 but net terrestrial &gt;0; ","")&amp;IF($K630="Point","Buffered point – coverage approximate; ","")))</f>
        <v/>
      </c>
    </row>
    <row r="631">
      <c r="A631" s="19" t="n"/>
      <c r="B631" s="19" t="n"/>
      <c r="C631" s="19" t="n"/>
      <c r="D631" s="19" t="n"/>
      <c r="E631" s="19" t="n"/>
      <c r="F631" s="19" t="n"/>
      <c r="G631" s="19" t="n"/>
      <c r="H631" s="19" t="n"/>
      <c r="I631" s="19" t="n"/>
      <c r="J631" s="19" t="n"/>
      <c r="K631" s="19" t="n"/>
      <c r="L631" s="20" t="n"/>
      <c r="M631" s="20" t="n"/>
      <c r="N631" s="20" t="n"/>
      <c r="O631" s="20" t="n"/>
      <c r="P631" s="19" t="n"/>
      <c r="Q631" s="19" t="n"/>
      <c r="R631" s="20" t="n"/>
      <c r="S631" s="20" t="n"/>
      <c r="T631" s="19" t="n"/>
      <c r="U631" s="19" t="n"/>
      <c r="V631" s="19" t="n"/>
      <c r="W631" s="19" t="n"/>
      <c r="X631" s="19" t="n"/>
      <c r="Y631" s="19" t="n"/>
      <c r="Z631" s="21">
        <f>IF(AND($A631="",$B631=""),"",IF(OR($E631="",$H631="",$H631="Proposed",$H631="Not Reported"),0,IF(AND($P631="Y",$Q631&lt;&gt;"Y"),0,IF(AND($K631="Point",N($L631)&lt;=0),0,IF(AND(N($L631)&lt;=0,N($N631)&lt;=0,N($R631)+N($S631)&lt;=0),0,1)))))</f>
        <v/>
      </c>
      <c r="AA631" s="21">
        <f>IF(AND($A631="",$B631=""),"",IF($E631="","Site type missing",IF($H631="","STATUS missing",IF($H631="Proposed","STATUS = Proposed",IF($H631="Not Reported","STATUS = Not Reported",IF(AND($P631="Y",$Q631&lt;&gt;"Y"),"UNESCO-MAB Biosphere Reserve",IF(AND($K631="Point",N($L631)&lt;=0),"Point without REP_AREA",IF(AND(N($L631)&lt;=0,N($N631)&lt;=0,N($R631)+N($S631)&lt;=0),"No area information",""))))))))</f>
        <v/>
      </c>
      <c r="AB631" s="22">
        <f>IF(AND($A631="",$B631=""),"",IF($K631="Point",N($L631),IF(N($N631)&gt;0,N($N631),N($L631))))</f>
        <v/>
      </c>
      <c r="AC631" s="22">
        <f>IF(AND($A631="",$B631=""),"",MIN(AB631,IF(N($J631)=0,0,IF(N($J631)=2,AB631,IF(AND($K631&lt;&gt;"Point",N($O631)&gt;0),N($O631),N($M631))))))</f>
        <v/>
      </c>
      <c r="AD631" s="22">
        <f>IF(AND($A631="",$B631=""),"",MAX(0,AB631-AC631))</f>
        <v/>
      </c>
      <c r="AE631" s="21">
        <f>IF(AND($A631="",$B631=""),"",IF(OR($R631&lt;&gt;"",$S631&lt;&gt;""),1,0))</f>
        <v/>
      </c>
      <c r="AF631" s="22">
        <f>IF(AND($A631="",$B631=""),"",IF(Z631=1,IF(AE631=1,N($R631),AD631),0))</f>
        <v/>
      </c>
      <c r="AG631" s="22">
        <f>IF(AND($A631="",$B631=""),"",IF(Z631=1,IF(AE631=1,N($S631),AC631),0))</f>
        <v/>
      </c>
      <c r="AH631" s="21">
        <f>IF(AND($A631="",$B631=""),"",IF(AND(ISNUMBER($I631),N($I631)&gt;0),$I631,0))</f>
        <v/>
      </c>
      <c r="AI631" s="23">
        <f>IF(AND(NOT(AND($A631="",$B631="")),$K631="Point",N($L631)&gt;0),SQRT(N($L631)/PI()),"")</f>
        <v/>
      </c>
      <c r="AJ631" s="21">
        <f>IF(AND($A631="",$B631=""),"",IFERROR(VLOOKUP($G631,Lists!$D$4:$E$15,2,FALSE),"Not reported"))</f>
        <v/>
      </c>
      <c r="AK631" s="21">
        <f>IF(AND($A631="",$B631=""),"",IF($X631&lt;&gt;"",$X631,IF($T631&lt;&gt;"Y","Not assessed",IF(AND(ISNUMBER($V631),Setup!$B$6-$V631&gt;Setup!$B$26),"Assessment outdated",IF(NOT(ISNUMBER($W631)),"Assessed – no score",IF($W631&gt;=Setup!$B$24,"High",IF($W631&gt;=Setup!$B$25,"Moderate","Low")))))))</f>
        <v/>
      </c>
      <c r="AL631" s="21">
        <f>IF(AND($A631="",$B631=""),"",IF(Z631=0,"",IF(AND(AE631=1,N($R631)&gt;AD631*1.01+0.001),"Net terrestrial &gt; gross; ","")&amp;IF(AND(AE631=1,N($S631)&gt;AC631*1.01+0.001),"Net marine &gt; gross; ","")&amp;IF(AE631=0,"No net area – gross used, overlaps may be double-counted; ","")&amp;IF(AH631=0,"STATUS_YR missing – imputed in time series; ","")&amp;IF(AND(ISNUMBER($I631),N($I631)&gt;Setup!$B$6),"STATUS_YR after reporting year; ","")&amp;IF(OR($G631="",$G631="Not Reported"),"GOV_TYPE not reported; ","")&amp;IF(AND(N($J631)=1,$K631="Point",N($M631)&lt;=0),"Coastal point without REP_M_AREA – land/sea split unknown; ","")&amp;IF(AND(N($J631)=0,N($S631)&gt;0),"MARINE=0 but net marine &gt;0; ","")&amp;IF(AND(N($J631)=2,N($R631)&gt;0),"MARINE=2 but net terrestrial &gt;0; ","")&amp;IF($K631="Point","Buffered point – coverage approximate; ","")))</f>
        <v/>
      </c>
    </row>
    <row r="632">
      <c r="A632" s="19" t="n"/>
      <c r="B632" s="19" t="n"/>
      <c r="C632" s="19" t="n"/>
      <c r="D632" s="19" t="n"/>
      <c r="E632" s="19" t="n"/>
      <c r="F632" s="19" t="n"/>
      <c r="G632" s="19" t="n"/>
      <c r="H632" s="19" t="n"/>
      <c r="I632" s="19" t="n"/>
      <c r="J632" s="19" t="n"/>
      <c r="K632" s="19" t="n"/>
      <c r="L632" s="20" t="n"/>
      <c r="M632" s="20" t="n"/>
      <c r="N632" s="20" t="n"/>
      <c r="O632" s="20" t="n"/>
      <c r="P632" s="19" t="n"/>
      <c r="Q632" s="19" t="n"/>
      <c r="R632" s="20" t="n"/>
      <c r="S632" s="20" t="n"/>
      <c r="T632" s="19" t="n"/>
      <c r="U632" s="19" t="n"/>
      <c r="V632" s="19" t="n"/>
      <c r="W632" s="19" t="n"/>
      <c r="X632" s="19" t="n"/>
      <c r="Y632" s="19" t="n"/>
      <c r="Z632" s="21">
        <f>IF(AND($A632="",$B632=""),"",IF(OR($E632="",$H632="",$H632="Proposed",$H632="Not Reported"),0,IF(AND($P632="Y",$Q632&lt;&gt;"Y"),0,IF(AND($K632="Point",N($L632)&lt;=0),0,IF(AND(N($L632)&lt;=0,N($N632)&lt;=0,N($R632)+N($S632)&lt;=0),0,1)))))</f>
        <v/>
      </c>
      <c r="AA632" s="21">
        <f>IF(AND($A632="",$B632=""),"",IF($E632="","Site type missing",IF($H632="","STATUS missing",IF($H632="Proposed","STATUS = Proposed",IF($H632="Not Reported","STATUS = Not Reported",IF(AND($P632="Y",$Q632&lt;&gt;"Y"),"UNESCO-MAB Biosphere Reserve",IF(AND($K632="Point",N($L632)&lt;=0),"Point without REP_AREA",IF(AND(N($L632)&lt;=0,N($N632)&lt;=0,N($R632)+N($S632)&lt;=0),"No area information",""))))))))</f>
        <v/>
      </c>
      <c r="AB632" s="22">
        <f>IF(AND($A632="",$B632=""),"",IF($K632="Point",N($L632),IF(N($N632)&gt;0,N($N632),N($L632))))</f>
        <v/>
      </c>
      <c r="AC632" s="22">
        <f>IF(AND($A632="",$B632=""),"",MIN(AB632,IF(N($J632)=0,0,IF(N($J632)=2,AB632,IF(AND($K632&lt;&gt;"Point",N($O632)&gt;0),N($O632),N($M632))))))</f>
        <v/>
      </c>
      <c r="AD632" s="22">
        <f>IF(AND($A632="",$B632=""),"",MAX(0,AB632-AC632))</f>
        <v/>
      </c>
      <c r="AE632" s="21">
        <f>IF(AND($A632="",$B632=""),"",IF(OR($R632&lt;&gt;"",$S632&lt;&gt;""),1,0))</f>
        <v/>
      </c>
      <c r="AF632" s="22">
        <f>IF(AND($A632="",$B632=""),"",IF(Z632=1,IF(AE632=1,N($R632),AD632),0))</f>
        <v/>
      </c>
      <c r="AG632" s="22">
        <f>IF(AND($A632="",$B632=""),"",IF(Z632=1,IF(AE632=1,N($S632),AC632),0))</f>
        <v/>
      </c>
      <c r="AH632" s="21">
        <f>IF(AND($A632="",$B632=""),"",IF(AND(ISNUMBER($I632),N($I632)&gt;0),$I632,0))</f>
        <v/>
      </c>
      <c r="AI632" s="23">
        <f>IF(AND(NOT(AND($A632="",$B632="")),$K632="Point",N($L632)&gt;0),SQRT(N($L632)/PI()),"")</f>
        <v/>
      </c>
      <c r="AJ632" s="21">
        <f>IF(AND($A632="",$B632=""),"",IFERROR(VLOOKUP($G632,Lists!$D$4:$E$15,2,FALSE),"Not reported"))</f>
        <v/>
      </c>
      <c r="AK632" s="21">
        <f>IF(AND($A632="",$B632=""),"",IF($X632&lt;&gt;"",$X632,IF($T632&lt;&gt;"Y","Not assessed",IF(AND(ISNUMBER($V632),Setup!$B$6-$V632&gt;Setup!$B$26),"Assessment outdated",IF(NOT(ISNUMBER($W632)),"Assessed – no score",IF($W632&gt;=Setup!$B$24,"High",IF($W632&gt;=Setup!$B$25,"Moderate","Low")))))))</f>
        <v/>
      </c>
      <c r="AL632" s="21">
        <f>IF(AND($A632="",$B632=""),"",IF(Z632=0,"",IF(AND(AE632=1,N($R632)&gt;AD632*1.01+0.001),"Net terrestrial &gt; gross; ","")&amp;IF(AND(AE632=1,N($S632)&gt;AC632*1.01+0.001),"Net marine &gt; gross; ","")&amp;IF(AE632=0,"No net area – gross used, overlaps may be double-counted; ","")&amp;IF(AH632=0,"STATUS_YR missing – imputed in time series; ","")&amp;IF(AND(ISNUMBER($I632),N($I632)&gt;Setup!$B$6),"STATUS_YR after reporting year; ","")&amp;IF(OR($G632="",$G632="Not Reported"),"GOV_TYPE not reported; ","")&amp;IF(AND(N($J632)=1,$K632="Point",N($M632)&lt;=0),"Coastal point without REP_M_AREA – land/sea split unknown; ","")&amp;IF(AND(N($J632)=0,N($S632)&gt;0),"MARINE=0 but net marine &gt;0; ","")&amp;IF(AND(N($J632)=2,N($R632)&gt;0),"MARINE=2 but net terrestrial &gt;0; ","")&amp;IF($K632="Point","Buffered point – coverage approximate; ","")))</f>
        <v/>
      </c>
    </row>
    <row r="633">
      <c r="A633" s="19" t="n"/>
      <c r="B633" s="19" t="n"/>
      <c r="C633" s="19" t="n"/>
      <c r="D633" s="19" t="n"/>
      <c r="E633" s="19" t="n"/>
      <c r="F633" s="19" t="n"/>
      <c r="G633" s="19" t="n"/>
      <c r="H633" s="19" t="n"/>
      <c r="I633" s="19" t="n"/>
      <c r="J633" s="19" t="n"/>
      <c r="K633" s="19" t="n"/>
      <c r="L633" s="20" t="n"/>
      <c r="M633" s="20" t="n"/>
      <c r="N633" s="20" t="n"/>
      <c r="O633" s="20" t="n"/>
      <c r="P633" s="19" t="n"/>
      <c r="Q633" s="19" t="n"/>
      <c r="R633" s="20" t="n"/>
      <c r="S633" s="20" t="n"/>
      <c r="T633" s="19" t="n"/>
      <c r="U633" s="19" t="n"/>
      <c r="V633" s="19" t="n"/>
      <c r="W633" s="19" t="n"/>
      <c r="X633" s="19" t="n"/>
      <c r="Y633" s="19" t="n"/>
      <c r="Z633" s="21">
        <f>IF(AND($A633="",$B633=""),"",IF(OR($E633="",$H633="",$H633="Proposed",$H633="Not Reported"),0,IF(AND($P633="Y",$Q633&lt;&gt;"Y"),0,IF(AND($K633="Point",N($L633)&lt;=0),0,IF(AND(N($L633)&lt;=0,N($N633)&lt;=0,N($R633)+N($S633)&lt;=0),0,1)))))</f>
        <v/>
      </c>
      <c r="AA633" s="21">
        <f>IF(AND($A633="",$B633=""),"",IF($E633="","Site type missing",IF($H633="","STATUS missing",IF($H633="Proposed","STATUS = Proposed",IF($H633="Not Reported","STATUS = Not Reported",IF(AND($P633="Y",$Q633&lt;&gt;"Y"),"UNESCO-MAB Biosphere Reserve",IF(AND($K633="Point",N($L633)&lt;=0),"Point without REP_AREA",IF(AND(N($L633)&lt;=0,N($N633)&lt;=0,N($R633)+N($S633)&lt;=0),"No area information",""))))))))</f>
        <v/>
      </c>
      <c r="AB633" s="22">
        <f>IF(AND($A633="",$B633=""),"",IF($K633="Point",N($L633),IF(N($N633)&gt;0,N($N633),N($L633))))</f>
        <v/>
      </c>
      <c r="AC633" s="22">
        <f>IF(AND($A633="",$B633=""),"",MIN(AB633,IF(N($J633)=0,0,IF(N($J633)=2,AB633,IF(AND($K633&lt;&gt;"Point",N($O633)&gt;0),N($O633),N($M633))))))</f>
        <v/>
      </c>
      <c r="AD633" s="22">
        <f>IF(AND($A633="",$B633=""),"",MAX(0,AB633-AC633))</f>
        <v/>
      </c>
      <c r="AE633" s="21">
        <f>IF(AND($A633="",$B633=""),"",IF(OR($R633&lt;&gt;"",$S633&lt;&gt;""),1,0))</f>
        <v/>
      </c>
      <c r="AF633" s="22">
        <f>IF(AND($A633="",$B633=""),"",IF(Z633=1,IF(AE633=1,N($R633),AD633),0))</f>
        <v/>
      </c>
      <c r="AG633" s="22">
        <f>IF(AND($A633="",$B633=""),"",IF(Z633=1,IF(AE633=1,N($S633),AC633),0))</f>
        <v/>
      </c>
      <c r="AH633" s="21">
        <f>IF(AND($A633="",$B633=""),"",IF(AND(ISNUMBER($I633),N($I633)&gt;0),$I633,0))</f>
        <v/>
      </c>
      <c r="AI633" s="23">
        <f>IF(AND(NOT(AND($A633="",$B633="")),$K633="Point",N($L633)&gt;0),SQRT(N($L633)/PI()),"")</f>
        <v/>
      </c>
      <c r="AJ633" s="21">
        <f>IF(AND($A633="",$B633=""),"",IFERROR(VLOOKUP($G633,Lists!$D$4:$E$15,2,FALSE),"Not reported"))</f>
        <v/>
      </c>
      <c r="AK633" s="21">
        <f>IF(AND($A633="",$B633=""),"",IF($X633&lt;&gt;"",$X633,IF($T633&lt;&gt;"Y","Not assessed",IF(AND(ISNUMBER($V633),Setup!$B$6-$V633&gt;Setup!$B$26),"Assessment outdated",IF(NOT(ISNUMBER($W633)),"Assessed – no score",IF($W633&gt;=Setup!$B$24,"High",IF($W633&gt;=Setup!$B$25,"Moderate","Low")))))))</f>
        <v/>
      </c>
      <c r="AL633" s="21">
        <f>IF(AND($A633="",$B633=""),"",IF(Z633=0,"",IF(AND(AE633=1,N($R633)&gt;AD633*1.01+0.001),"Net terrestrial &gt; gross; ","")&amp;IF(AND(AE633=1,N($S633)&gt;AC633*1.01+0.001),"Net marine &gt; gross; ","")&amp;IF(AE633=0,"No net area – gross used, overlaps may be double-counted; ","")&amp;IF(AH633=0,"STATUS_YR missing – imputed in time series; ","")&amp;IF(AND(ISNUMBER($I633),N($I633)&gt;Setup!$B$6),"STATUS_YR after reporting year; ","")&amp;IF(OR($G633="",$G633="Not Reported"),"GOV_TYPE not reported; ","")&amp;IF(AND(N($J633)=1,$K633="Point",N($M633)&lt;=0),"Coastal point without REP_M_AREA – land/sea split unknown; ","")&amp;IF(AND(N($J633)=0,N($S633)&gt;0),"MARINE=0 but net marine &gt;0; ","")&amp;IF(AND(N($J633)=2,N($R633)&gt;0),"MARINE=2 but net terrestrial &gt;0; ","")&amp;IF($K633="Point","Buffered point – coverage approximate; ","")))</f>
        <v/>
      </c>
    </row>
    <row r="634">
      <c r="A634" s="19" t="n"/>
      <c r="B634" s="19" t="n"/>
      <c r="C634" s="19" t="n"/>
      <c r="D634" s="19" t="n"/>
      <c r="E634" s="19" t="n"/>
      <c r="F634" s="19" t="n"/>
      <c r="G634" s="19" t="n"/>
      <c r="H634" s="19" t="n"/>
      <c r="I634" s="19" t="n"/>
      <c r="J634" s="19" t="n"/>
      <c r="K634" s="19" t="n"/>
      <c r="L634" s="20" t="n"/>
      <c r="M634" s="20" t="n"/>
      <c r="N634" s="20" t="n"/>
      <c r="O634" s="20" t="n"/>
      <c r="P634" s="19" t="n"/>
      <c r="Q634" s="19" t="n"/>
      <c r="R634" s="20" t="n"/>
      <c r="S634" s="20" t="n"/>
      <c r="T634" s="19" t="n"/>
      <c r="U634" s="19" t="n"/>
      <c r="V634" s="19" t="n"/>
      <c r="W634" s="19" t="n"/>
      <c r="X634" s="19" t="n"/>
      <c r="Y634" s="19" t="n"/>
      <c r="Z634" s="21">
        <f>IF(AND($A634="",$B634=""),"",IF(OR($E634="",$H634="",$H634="Proposed",$H634="Not Reported"),0,IF(AND($P634="Y",$Q634&lt;&gt;"Y"),0,IF(AND($K634="Point",N($L634)&lt;=0),0,IF(AND(N($L634)&lt;=0,N($N634)&lt;=0,N($R634)+N($S634)&lt;=0),0,1)))))</f>
        <v/>
      </c>
      <c r="AA634" s="21">
        <f>IF(AND($A634="",$B634=""),"",IF($E634="","Site type missing",IF($H634="","STATUS missing",IF($H634="Proposed","STATUS = Proposed",IF($H634="Not Reported","STATUS = Not Reported",IF(AND($P634="Y",$Q634&lt;&gt;"Y"),"UNESCO-MAB Biosphere Reserve",IF(AND($K634="Point",N($L634)&lt;=0),"Point without REP_AREA",IF(AND(N($L634)&lt;=0,N($N634)&lt;=0,N($R634)+N($S634)&lt;=0),"No area information",""))))))))</f>
        <v/>
      </c>
      <c r="AB634" s="22">
        <f>IF(AND($A634="",$B634=""),"",IF($K634="Point",N($L634),IF(N($N634)&gt;0,N($N634),N($L634))))</f>
        <v/>
      </c>
      <c r="AC634" s="22">
        <f>IF(AND($A634="",$B634=""),"",MIN(AB634,IF(N($J634)=0,0,IF(N($J634)=2,AB634,IF(AND($K634&lt;&gt;"Point",N($O634)&gt;0),N($O634),N($M634))))))</f>
        <v/>
      </c>
      <c r="AD634" s="22">
        <f>IF(AND($A634="",$B634=""),"",MAX(0,AB634-AC634))</f>
        <v/>
      </c>
      <c r="AE634" s="21">
        <f>IF(AND($A634="",$B634=""),"",IF(OR($R634&lt;&gt;"",$S634&lt;&gt;""),1,0))</f>
        <v/>
      </c>
      <c r="AF634" s="22">
        <f>IF(AND($A634="",$B634=""),"",IF(Z634=1,IF(AE634=1,N($R634),AD634),0))</f>
        <v/>
      </c>
      <c r="AG634" s="22">
        <f>IF(AND($A634="",$B634=""),"",IF(Z634=1,IF(AE634=1,N($S634),AC634),0))</f>
        <v/>
      </c>
      <c r="AH634" s="21">
        <f>IF(AND($A634="",$B634=""),"",IF(AND(ISNUMBER($I634),N($I634)&gt;0),$I634,0))</f>
        <v/>
      </c>
      <c r="AI634" s="23">
        <f>IF(AND(NOT(AND($A634="",$B634="")),$K634="Point",N($L634)&gt;0),SQRT(N($L634)/PI()),"")</f>
        <v/>
      </c>
      <c r="AJ634" s="21">
        <f>IF(AND($A634="",$B634=""),"",IFERROR(VLOOKUP($G634,Lists!$D$4:$E$15,2,FALSE),"Not reported"))</f>
        <v/>
      </c>
      <c r="AK634" s="21">
        <f>IF(AND($A634="",$B634=""),"",IF($X634&lt;&gt;"",$X634,IF($T634&lt;&gt;"Y","Not assessed",IF(AND(ISNUMBER($V634),Setup!$B$6-$V634&gt;Setup!$B$26),"Assessment outdated",IF(NOT(ISNUMBER($W634)),"Assessed – no score",IF($W634&gt;=Setup!$B$24,"High",IF($W634&gt;=Setup!$B$25,"Moderate","Low")))))))</f>
        <v/>
      </c>
      <c r="AL634" s="21">
        <f>IF(AND($A634="",$B634=""),"",IF(Z634=0,"",IF(AND(AE634=1,N($R634)&gt;AD634*1.01+0.001),"Net terrestrial &gt; gross; ","")&amp;IF(AND(AE634=1,N($S634)&gt;AC634*1.01+0.001),"Net marine &gt; gross; ","")&amp;IF(AE634=0,"No net area – gross used, overlaps may be double-counted; ","")&amp;IF(AH634=0,"STATUS_YR missing – imputed in time series; ","")&amp;IF(AND(ISNUMBER($I634),N($I634)&gt;Setup!$B$6),"STATUS_YR after reporting year; ","")&amp;IF(OR($G634="",$G634="Not Reported"),"GOV_TYPE not reported; ","")&amp;IF(AND(N($J634)=1,$K634="Point",N($M634)&lt;=0),"Coastal point without REP_M_AREA – land/sea split unknown; ","")&amp;IF(AND(N($J634)=0,N($S634)&gt;0),"MARINE=0 but net marine &gt;0; ","")&amp;IF(AND(N($J634)=2,N($R634)&gt;0),"MARINE=2 but net terrestrial &gt;0; ","")&amp;IF($K634="Point","Buffered point – coverage approximate; ","")))</f>
        <v/>
      </c>
    </row>
    <row r="635">
      <c r="A635" s="19" t="n"/>
      <c r="B635" s="19" t="n"/>
      <c r="C635" s="19" t="n"/>
      <c r="D635" s="19" t="n"/>
      <c r="E635" s="19" t="n"/>
      <c r="F635" s="19" t="n"/>
      <c r="G635" s="19" t="n"/>
      <c r="H635" s="19" t="n"/>
      <c r="I635" s="19" t="n"/>
      <c r="J635" s="19" t="n"/>
      <c r="K635" s="19" t="n"/>
      <c r="L635" s="20" t="n"/>
      <c r="M635" s="20" t="n"/>
      <c r="N635" s="20" t="n"/>
      <c r="O635" s="20" t="n"/>
      <c r="P635" s="19" t="n"/>
      <c r="Q635" s="19" t="n"/>
      <c r="R635" s="20" t="n"/>
      <c r="S635" s="20" t="n"/>
      <c r="T635" s="19" t="n"/>
      <c r="U635" s="19" t="n"/>
      <c r="V635" s="19" t="n"/>
      <c r="W635" s="19" t="n"/>
      <c r="X635" s="19" t="n"/>
      <c r="Y635" s="19" t="n"/>
      <c r="Z635" s="21">
        <f>IF(AND($A635="",$B635=""),"",IF(OR($E635="",$H635="",$H635="Proposed",$H635="Not Reported"),0,IF(AND($P635="Y",$Q635&lt;&gt;"Y"),0,IF(AND($K635="Point",N($L635)&lt;=0),0,IF(AND(N($L635)&lt;=0,N($N635)&lt;=0,N($R635)+N($S635)&lt;=0),0,1)))))</f>
        <v/>
      </c>
      <c r="AA635" s="21">
        <f>IF(AND($A635="",$B635=""),"",IF($E635="","Site type missing",IF($H635="","STATUS missing",IF($H635="Proposed","STATUS = Proposed",IF($H635="Not Reported","STATUS = Not Reported",IF(AND($P635="Y",$Q635&lt;&gt;"Y"),"UNESCO-MAB Biosphere Reserve",IF(AND($K635="Point",N($L635)&lt;=0),"Point without REP_AREA",IF(AND(N($L635)&lt;=0,N($N635)&lt;=0,N($R635)+N($S635)&lt;=0),"No area information",""))))))))</f>
        <v/>
      </c>
      <c r="AB635" s="22">
        <f>IF(AND($A635="",$B635=""),"",IF($K635="Point",N($L635),IF(N($N635)&gt;0,N($N635),N($L635))))</f>
        <v/>
      </c>
      <c r="AC635" s="22">
        <f>IF(AND($A635="",$B635=""),"",MIN(AB635,IF(N($J635)=0,0,IF(N($J635)=2,AB635,IF(AND($K635&lt;&gt;"Point",N($O635)&gt;0),N($O635),N($M635))))))</f>
        <v/>
      </c>
      <c r="AD635" s="22">
        <f>IF(AND($A635="",$B635=""),"",MAX(0,AB635-AC635))</f>
        <v/>
      </c>
      <c r="AE635" s="21">
        <f>IF(AND($A635="",$B635=""),"",IF(OR($R635&lt;&gt;"",$S635&lt;&gt;""),1,0))</f>
        <v/>
      </c>
      <c r="AF635" s="22">
        <f>IF(AND($A635="",$B635=""),"",IF(Z635=1,IF(AE635=1,N($R635),AD635),0))</f>
        <v/>
      </c>
      <c r="AG635" s="22">
        <f>IF(AND($A635="",$B635=""),"",IF(Z635=1,IF(AE635=1,N($S635),AC635),0))</f>
        <v/>
      </c>
      <c r="AH635" s="21">
        <f>IF(AND($A635="",$B635=""),"",IF(AND(ISNUMBER($I635),N($I635)&gt;0),$I635,0))</f>
        <v/>
      </c>
      <c r="AI635" s="23">
        <f>IF(AND(NOT(AND($A635="",$B635="")),$K635="Point",N($L635)&gt;0),SQRT(N($L635)/PI()),"")</f>
        <v/>
      </c>
      <c r="AJ635" s="21">
        <f>IF(AND($A635="",$B635=""),"",IFERROR(VLOOKUP($G635,Lists!$D$4:$E$15,2,FALSE),"Not reported"))</f>
        <v/>
      </c>
      <c r="AK635" s="21">
        <f>IF(AND($A635="",$B635=""),"",IF($X635&lt;&gt;"",$X635,IF($T635&lt;&gt;"Y","Not assessed",IF(AND(ISNUMBER($V635),Setup!$B$6-$V635&gt;Setup!$B$26),"Assessment outdated",IF(NOT(ISNUMBER($W635)),"Assessed – no score",IF($W635&gt;=Setup!$B$24,"High",IF($W635&gt;=Setup!$B$25,"Moderate","Low")))))))</f>
        <v/>
      </c>
      <c r="AL635" s="21">
        <f>IF(AND($A635="",$B635=""),"",IF(Z635=0,"",IF(AND(AE635=1,N($R635)&gt;AD635*1.01+0.001),"Net terrestrial &gt; gross; ","")&amp;IF(AND(AE635=1,N($S635)&gt;AC635*1.01+0.001),"Net marine &gt; gross; ","")&amp;IF(AE635=0,"No net area – gross used, overlaps may be double-counted; ","")&amp;IF(AH635=0,"STATUS_YR missing – imputed in time series; ","")&amp;IF(AND(ISNUMBER($I635),N($I635)&gt;Setup!$B$6),"STATUS_YR after reporting year; ","")&amp;IF(OR($G635="",$G635="Not Reported"),"GOV_TYPE not reported; ","")&amp;IF(AND(N($J635)=1,$K635="Point",N($M635)&lt;=0),"Coastal point without REP_M_AREA – land/sea split unknown; ","")&amp;IF(AND(N($J635)=0,N($S635)&gt;0),"MARINE=0 but net marine &gt;0; ","")&amp;IF(AND(N($J635)=2,N($R635)&gt;0),"MARINE=2 but net terrestrial &gt;0; ","")&amp;IF($K635="Point","Buffered point – coverage approximate; ","")))</f>
        <v/>
      </c>
    </row>
    <row r="636">
      <c r="A636" s="19" t="n"/>
      <c r="B636" s="19" t="n"/>
      <c r="C636" s="19" t="n"/>
      <c r="D636" s="19" t="n"/>
      <c r="E636" s="19" t="n"/>
      <c r="F636" s="19" t="n"/>
      <c r="G636" s="19" t="n"/>
      <c r="H636" s="19" t="n"/>
      <c r="I636" s="19" t="n"/>
      <c r="J636" s="19" t="n"/>
      <c r="K636" s="19" t="n"/>
      <c r="L636" s="20" t="n"/>
      <c r="M636" s="20" t="n"/>
      <c r="N636" s="20" t="n"/>
      <c r="O636" s="20" t="n"/>
      <c r="P636" s="19" t="n"/>
      <c r="Q636" s="19" t="n"/>
      <c r="R636" s="20" t="n"/>
      <c r="S636" s="20" t="n"/>
      <c r="T636" s="19" t="n"/>
      <c r="U636" s="19" t="n"/>
      <c r="V636" s="19" t="n"/>
      <c r="W636" s="19" t="n"/>
      <c r="X636" s="19" t="n"/>
      <c r="Y636" s="19" t="n"/>
      <c r="Z636" s="21">
        <f>IF(AND($A636="",$B636=""),"",IF(OR($E636="",$H636="",$H636="Proposed",$H636="Not Reported"),0,IF(AND($P636="Y",$Q636&lt;&gt;"Y"),0,IF(AND($K636="Point",N($L636)&lt;=0),0,IF(AND(N($L636)&lt;=0,N($N636)&lt;=0,N($R636)+N($S636)&lt;=0),0,1)))))</f>
        <v/>
      </c>
      <c r="AA636" s="21">
        <f>IF(AND($A636="",$B636=""),"",IF($E636="","Site type missing",IF($H636="","STATUS missing",IF($H636="Proposed","STATUS = Proposed",IF($H636="Not Reported","STATUS = Not Reported",IF(AND($P636="Y",$Q636&lt;&gt;"Y"),"UNESCO-MAB Biosphere Reserve",IF(AND($K636="Point",N($L636)&lt;=0),"Point without REP_AREA",IF(AND(N($L636)&lt;=0,N($N636)&lt;=0,N($R636)+N($S636)&lt;=0),"No area information",""))))))))</f>
        <v/>
      </c>
      <c r="AB636" s="22">
        <f>IF(AND($A636="",$B636=""),"",IF($K636="Point",N($L636),IF(N($N636)&gt;0,N($N636),N($L636))))</f>
        <v/>
      </c>
      <c r="AC636" s="22">
        <f>IF(AND($A636="",$B636=""),"",MIN(AB636,IF(N($J636)=0,0,IF(N($J636)=2,AB636,IF(AND($K636&lt;&gt;"Point",N($O636)&gt;0),N($O636),N($M636))))))</f>
        <v/>
      </c>
      <c r="AD636" s="22">
        <f>IF(AND($A636="",$B636=""),"",MAX(0,AB636-AC636))</f>
        <v/>
      </c>
      <c r="AE636" s="21">
        <f>IF(AND($A636="",$B636=""),"",IF(OR($R636&lt;&gt;"",$S636&lt;&gt;""),1,0))</f>
        <v/>
      </c>
      <c r="AF636" s="22">
        <f>IF(AND($A636="",$B636=""),"",IF(Z636=1,IF(AE636=1,N($R636),AD636),0))</f>
        <v/>
      </c>
      <c r="AG636" s="22">
        <f>IF(AND($A636="",$B636=""),"",IF(Z636=1,IF(AE636=1,N($S636),AC636),0))</f>
        <v/>
      </c>
      <c r="AH636" s="21">
        <f>IF(AND($A636="",$B636=""),"",IF(AND(ISNUMBER($I636),N($I636)&gt;0),$I636,0))</f>
        <v/>
      </c>
      <c r="AI636" s="23">
        <f>IF(AND(NOT(AND($A636="",$B636="")),$K636="Point",N($L636)&gt;0),SQRT(N($L636)/PI()),"")</f>
        <v/>
      </c>
      <c r="AJ636" s="21">
        <f>IF(AND($A636="",$B636=""),"",IFERROR(VLOOKUP($G636,Lists!$D$4:$E$15,2,FALSE),"Not reported"))</f>
        <v/>
      </c>
      <c r="AK636" s="21">
        <f>IF(AND($A636="",$B636=""),"",IF($X636&lt;&gt;"",$X636,IF($T636&lt;&gt;"Y","Not assessed",IF(AND(ISNUMBER($V636),Setup!$B$6-$V636&gt;Setup!$B$26),"Assessment outdated",IF(NOT(ISNUMBER($W636)),"Assessed – no score",IF($W636&gt;=Setup!$B$24,"High",IF($W636&gt;=Setup!$B$25,"Moderate","Low")))))))</f>
        <v/>
      </c>
      <c r="AL636" s="21">
        <f>IF(AND($A636="",$B636=""),"",IF(Z636=0,"",IF(AND(AE636=1,N($R636)&gt;AD636*1.01+0.001),"Net terrestrial &gt; gross; ","")&amp;IF(AND(AE636=1,N($S636)&gt;AC636*1.01+0.001),"Net marine &gt; gross; ","")&amp;IF(AE636=0,"No net area – gross used, overlaps may be double-counted; ","")&amp;IF(AH636=0,"STATUS_YR missing – imputed in time series; ","")&amp;IF(AND(ISNUMBER($I636),N($I636)&gt;Setup!$B$6),"STATUS_YR after reporting year; ","")&amp;IF(OR($G636="",$G636="Not Reported"),"GOV_TYPE not reported; ","")&amp;IF(AND(N($J636)=1,$K636="Point",N($M636)&lt;=0),"Coastal point without REP_M_AREA – land/sea split unknown; ","")&amp;IF(AND(N($J636)=0,N($S636)&gt;0),"MARINE=0 but net marine &gt;0; ","")&amp;IF(AND(N($J636)=2,N($R636)&gt;0),"MARINE=2 but net terrestrial &gt;0; ","")&amp;IF($K636="Point","Buffered point – coverage approximate; ","")))</f>
        <v/>
      </c>
    </row>
    <row r="637">
      <c r="A637" s="19" t="n"/>
      <c r="B637" s="19" t="n"/>
      <c r="C637" s="19" t="n"/>
      <c r="D637" s="19" t="n"/>
      <c r="E637" s="19" t="n"/>
      <c r="F637" s="19" t="n"/>
      <c r="G637" s="19" t="n"/>
      <c r="H637" s="19" t="n"/>
      <c r="I637" s="19" t="n"/>
      <c r="J637" s="19" t="n"/>
      <c r="K637" s="19" t="n"/>
      <c r="L637" s="20" t="n"/>
      <c r="M637" s="20" t="n"/>
      <c r="N637" s="20" t="n"/>
      <c r="O637" s="20" t="n"/>
      <c r="P637" s="19" t="n"/>
      <c r="Q637" s="19" t="n"/>
      <c r="R637" s="20" t="n"/>
      <c r="S637" s="20" t="n"/>
      <c r="T637" s="19" t="n"/>
      <c r="U637" s="19" t="n"/>
      <c r="V637" s="19" t="n"/>
      <c r="W637" s="19" t="n"/>
      <c r="X637" s="19" t="n"/>
      <c r="Y637" s="19" t="n"/>
      <c r="Z637" s="21">
        <f>IF(AND($A637="",$B637=""),"",IF(OR($E637="",$H637="",$H637="Proposed",$H637="Not Reported"),0,IF(AND($P637="Y",$Q637&lt;&gt;"Y"),0,IF(AND($K637="Point",N($L637)&lt;=0),0,IF(AND(N($L637)&lt;=0,N($N637)&lt;=0,N($R637)+N($S637)&lt;=0),0,1)))))</f>
        <v/>
      </c>
      <c r="AA637" s="21">
        <f>IF(AND($A637="",$B637=""),"",IF($E637="","Site type missing",IF($H637="","STATUS missing",IF($H637="Proposed","STATUS = Proposed",IF($H637="Not Reported","STATUS = Not Reported",IF(AND($P637="Y",$Q637&lt;&gt;"Y"),"UNESCO-MAB Biosphere Reserve",IF(AND($K637="Point",N($L637)&lt;=0),"Point without REP_AREA",IF(AND(N($L637)&lt;=0,N($N637)&lt;=0,N($R637)+N($S637)&lt;=0),"No area information",""))))))))</f>
        <v/>
      </c>
      <c r="AB637" s="22">
        <f>IF(AND($A637="",$B637=""),"",IF($K637="Point",N($L637),IF(N($N637)&gt;0,N($N637),N($L637))))</f>
        <v/>
      </c>
      <c r="AC637" s="22">
        <f>IF(AND($A637="",$B637=""),"",MIN(AB637,IF(N($J637)=0,0,IF(N($J637)=2,AB637,IF(AND($K637&lt;&gt;"Point",N($O637)&gt;0),N($O637),N($M637))))))</f>
        <v/>
      </c>
      <c r="AD637" s="22">
        <f>IF(AND($A637="",$B637=""),"",MAX(0,AB637-AC637))</f>
        <v/>
      </c>
      <c r="AE637" s="21">
        <f>IF(AND($A637="",$B637=""),"",IF(OR($R637&lt;&gt;"",$S637&lt;&gt;""),1,0))</f>
        <v/>
      </c>
      <c r="AF637" s="22">
        <f>IF(AND($A637="",$B637=""),"",IF(Z637=1,IF(AE637=1,N($R637),AD637),0))</f>
        <v/>
      </c>
      <c r="AG637" s="22">
        <f>IF(AND($A637="",$B637=""),"",IF(Z637=1,IF(AE637=1,N($S637),AC637),0))</f>
        <v/>
      </c>
      <c r="AH637" s="21">
        <f>IF(AND($A637="",$B637=""),"",IF(AND(ISNUMBER($I637),N($I637)&gt;0),$I637,0))</f>
        <v/>
      </c>
      <c r="AI637" s="23">
        <f>IF(AND(NOT(AND($A637="",$B637="")),$K637="Point",N($L637)&gt;0),SQRT(N($L637)/PI()),"")</f>
        <v/>
      </c>
      <c r="AJ637" s="21">
        <f>IF(AND($A637="",$B637=""),"",IFERROR(VLOOKUP($G637,Lists!$D$4:$E$15,2,FALSE),"Not reported"))</f>
        <v/>
      </c>
      <c r="AK637" s="21">
        <f>IF(AND($A637="",$B637=""),"",IF($X637&lt;&gt;"",$X637,IF($T637&lt;&gt;"Y","Not assessed",IF(AND(ISNUMBER($V637),Setup!$B$6-$V637&gt;Setup!$B$26),"Assessment outdated",IF(NOT(ISNUMBER($W637)),"Assessed – no score",IF($W637&gt;=Setup!$B$24,"High",IF($W637&gt;=Setup!$B$25,"Moderate","Low")))))))</f>
        <v/>
      </c>
      <c r="AL637" s="21">
        <f>IF(AND($A637="",$B637=""),"",IF(Z637=0,"",IF(AND(AE637=1,N($R637)&gt;AD637*1.01+0.001),"Net terrestrial &gt; gross; ","")&amp;IF(AND(AE637=1,N($S637)&gt;AC637*1.01+0.001),"Net marine &gt; gross; ","")&amp;IF(AE637=0,"No net area – gross used, overlaps may be double-counted; ","")&amp;IF(AH637=0,"STATUS_YR missing – imputed in time series; ","")&amp;IF(AND(ISNUMBER($I637),N($I637)&gt;Setup!$B$6),"STATUS_YR after reporting year; ","")&amp;IF(OR($G637="",$G637="Not Reported"),"GOV_TYPE not reported; ","")&amp;IF(AND(N($J637)=1,$K637="Point",N($M637)&lt;=0),"Coastal point without REP_M_AREA – land/sea split unknown; ","")&amp;IF(AND(N($J637)=0,N($S637)&gt;0),"MARINE=0 but net marine &gt;0; ","")&amp;IF(AND(N($J637)=2,N($R637)&gt;0),"MARINE=2 but net terrestrial &gt;0; ","")&amp;IF($K637="Point","Buffered point – coverage approximate; ","")))</f>
        <v/>
      </c>
    </row>
    <row r="638">
      <c r="A638" s="19" t="n"/>
      <c r="B638" s="19" t="n"/>
      <c r="C638" s="19" t="n"/>
      <c r="D638" s="19" t="n"/>
      <c r="E638" s="19" t="n"/>
      <c r="F638" s="19" t="n"/>
      <c r="G638" s="19" t="n"/>
      <c r="H638" s="19" t="n"/>
      <c r="I638" s="19" t="n"/>
      <c r="J638" s="19" t="n"/>
      <c r="K638" s="19" t="n"/>
      <c r="L638" s="20" t="n"/>
      <c r="M638" s="20" t="n"/>
      <c r="N638" s="20" t="n"/>
      <c r="O638" s="20" t="n"/>
      <c r="P638" s="19" t="n"/>
      <c r="Q638" s="19" t="n"/>
      <c r="R638" s="20" t="n"/>
      <c r="S638" s="20" t="n"/>
      <c r="T638" s="19" t="n"/>
      <c r="U638" s="19" t="n"/>
      <c r="V638" s="19" t="n"/>
      <c r="W638" s="19" t="n"/>
      <c r="X638" s="19" t="n"/>
      <c r="Y638" s="19" t="n"/>
      <c r="Z638" s="21">
        <f>IF(AND($A638="",$B638=""),"",IF(OR($E638="",$H638="",$H638="Proposed",$H638="Not Reported"),0,IF(AND($P638="Y",$Q638&lt;&gt;"Y"),0,IF(AND($K638="Point",N($L638)&lt;=0),0,IF(AND(N($L638)&lt;=0,N($N638)&lt;=0,N($R638)+N($S638)&lt;=0),0,1)))))</f>
        <v/>
      </c>
      <c r="AA638" s="21">
        <f>IF(AND($A638="",$B638=""),"",IF($E638="","Site type missing",IF($H638="","STATUS missing",IF($H638="Proposed","STATUS = Proposed",IF($H638="Not Reported","STATUS = Not Reported",IF(AND($P638="Y",$Q638&lt;&gt;"Y"),"UNESCO-MAB Biosphere Reserve",IF(AND($K638="Point",N($L638)&lt;=0),"Point without REP_AREA",IF(AND(N($L638)&lt;=0,N($N638)&lt;=0,N($R638)+N($S638)&lt;=0),"No area information",""))))))))</f>
        <v/>
      </c>
      <c r="AB638" s="22">
        <f>IF(AND($A638="",$B638=""),"",IF($K638="Point",N($L638),IF(N($N638)&gt;0,N($N638),N($L638))))</f>
        <v/>
      </c>
      <c r="AC638" s="22">
        <f>IF(AND($A638="",$B638=""),"",MIN(AB638,IF(N($J638)=0,0,IF(N($J638)=2,AB638,IF(AND($K638&lt;&gt;"Point",N($O638)&gt;0),N($O638),N($M638))))))</f>
        <v/>
      </c>
      <c r="AD638" s="22">
        <f>IF(AND($A638="",$B638=""),"",MAX(0,AB638-AC638))</f>
        <v/>
      </c>
      <c r="AE638" s="21">
        <f>IF(AND($A638="",$B638=""),"",IF(OR($R638&lt;&gt;"",$S638&lt;&gt;""),1,0))</f>
        <v/>
      </c>
      <c r="AF638" s="22">
        <f>IF(AND($A638="",$B638=""),"",IF(Z638=1,IF(AE638=1,N($R638),AD638),0))</f>
        <v/>
      </c>
      <c r="AG638" s="22">
        <f>IF(AND($A638="",$B638=""),"",IF(Z638=1,IF(AE638=1,N($S638),AC638),0))</f>
        <v/>
      </c>
      <c r="AH638" s="21">
        <f>IF(AND($A638="",$B638=""),"",IF(AND(ISNUMBER($I638),N($I638)&gt;0),$I638,0))</f>
        <v/>
      </c>
      <c r="AI638" s="23">
        <f>IF(AND(NOT(AND($A638="",$B638="")),$K638="Point",N($L638)&gt;0),SQRT(N($L638)/PI()),"")</f>
        <v/>
      </c>
      <c r="AJ638" s="21">
        <f>IF(AND($A638="",$B638=""),"",IFERROR(VLOOKUP($G638,Lists!$D$4:$E$15,2,FALSE),"Not reported"))</f>
        <v/>
      </c>
      <c r="AK638" s="21">
        <f>IF(AND($A638="",$B638=""),"",IF($X638&lt;&gt;"",$X638,IF($T638&lt;&gt;"Y","Not assessed",IF(AND(ISNUMBER($V638),Setup!$B$6-$V638&gt;Setup!$B$26),"Assessment outdated",IF(NOT(ISNUMBER($W638)),"Assessed – no score",IF($W638&gt;=Setup!$B$24,"High",IF($W638&gt;=Setup!$B$25,"Moderate","Low")))))))</f>
        <v/>
      </c>
      <c r="AL638" s="21">
        <f>IF(AND($A638="",$B638=""),"",IF(Z638=0,"",IF(AND(AE638=1,N($R638)&gt;AD638*1.01+0.001),"Net terrestrial &gt; gross; ","")&amp;IF(AND(AE638=1,N($S638)&gt;AC638*1.01+0.001),"Net marine &gt; gross; ","")&amp;IF(AE638=0,"No net area – gross used, overlaps may be double-counted; ","")&amp;IF(AH638=0,"STATUS_YR missing – imputed in time series; ","")&amp;IF(AND(ISNUMBER($I638),N($I638)&gt;Setup!$B$6),"STATUS_YR after reporting year; ","")&amp;IF(OR($G638="",$G638="Not Reported"),"GOV_TYPE not reported; ","")&amp;IF(AND(N($J638)=1,$K638="Point",N($M638)&lt;=0),"Coastal point without REP_M_AREA – land/sea split unknown; ","")&amp;IF(AND(N($J638)=0,N($S638)&gt;0),"MARINE=0 but net marine &gt;0; ","")&amp;IF(AND(N($J638)=2,N($R638)&gt;0),"MARINE=2 but net terrestrial &gt;0; ","")&amp;IF($K638="Point","Buffered point – coverage approximate; ","")))</f>
        <v/>
      </c>
    </row>
    <row r="639">
      <c r="A639" s="19" t="n"/>
      <c r="B639" s="19" t="n"/>
      <c r="C639" s="19" t="n"/>
      <c r="D639" s="19" t="n"/>
      <c r="E639" s="19" t="n"/>
      <c r="F639" s="19" t="n"/>
      <c r="G639" s="19" t="n"/>
      <c r="H639" s="19" t="n"/>
      <c r="I639" s="19" t="n"/>
      <c r="J639" s="19" t="n"/>
      <c r="K639" s="19" t="n"/>
      <c r="L639" s="20" t="n"/>
      <c r="M639" s="20" t="n"/>
      <c r="N639" s="20" t="n"/>
      <c r="O639" s="20" t="n"/>
      <c r="P639" s="19" t="n"/>
      <c r="Q639" s="19" t="n"/>
      <c r="R639" s="20" t="n"/>
      <c r="S639" s="20" t="n"/>
      <c r="T639" s="19" t="n"/>
      <c r="U639" s="19" t="n"/>
      <c r="V639" s="19" t="n"/>
      <c r="W639" s="19" t="n"/>
      <c r="X639" s="19" t="n"/>
      <c r="Y639" s="19" t="n"/>
      <c r="Z639" s="21">
        <f>IF(AND($A639="",$B639=""),"",IF(OR($E639="",$H639="",$H639="Proposed",$H639="Not Reported"),0,IF(AND($P639="Y",$Q639&lt;&gt;"Y"),0,IF(AND($K639="Point",N($L639)&lt;=0),0,IF(AND(N($L639)&lt;=0,N($N639)&lt;=0,N($R639)+N($S639)&lt;=0),0,1)))))</f>
        <v/>
      </c>
      <c r="AA639" s="21">
        <f>IF(AND($A639="",$B639=""),"",IF($E639="","Site type missing",IF($H639="","STATUS missing",IF($H639="Proposed","STATUS = Proposed",IF($H639="Not Reported","STATUS = Not Reported",IF(AND($P639="Y",$Q639&lt;&gt;"Y"),"UNESCO-MAB Biosphere Reserve",IF(AND($K639="Point",N($L639)&lt;=0),"Point without REP_AREA",IF(AND(N($L639)&lt;=0,N($N639)&lt;=0,N($R639)+N($S639)&lt;=0),"No area information",""))))))))</f>
        <v/>
      </c>
      <c r="AB639" s="22">
        <f>IF(AND($A639="",$B639=""),"",IF($K639="Point",N($L639),IF(N($N639)&gt;0,N($N639),N($L639))))</f>
        <v/>
      </c>
      <c r="AC639" s="22">
        <f>IF(AND($A639="",$B639=""),"",MIN(AB639,IF(N($J639)=0,0,IF(N($J639)=2,AB639,IF(AND($K639&lt;&gt;"Point",N($O639)&gt;0),N($O639),N($M639))))))</f>
        <v/>
      </c>
      <c r="AD639" s="22">
        <f>IF(AND($A639="",$B639=""),"",MAX(0,AB639-AC639))</f>
        <v/>
      </c>
      <c r="AE639" s="21">
        <f>IF(AND($A639="",$B639=""),"",IF(OR($R639&lt;&gt;"",$S639&lt;&gt;""),1,0))</f>
        <v/>
      </c>
      <c r="AF639" s="22">
        <f>IF(AND($A639="",$B639=""),"",IF(Z639=1,IF(AE639=1,N($R639),AD639),0))</f>
        <v/>
      </c>
      <c r="AG639" s="22">
        <f>IF(AND($A639="",$B639=""),"",IF(Z639=1,IF(AE639=1,N($S639),AC639),0))</f>
        <v/>
      </c>
      <c r="AH639" s="21">
        <f>IF(AND($A639="",$B639=""),"",IF(AND(ISNUMBER($I639),N($I639)&gt;0),$I639,0))</f>
        <v/>
      </c>
      <c r="AI639" s="23">
        <f>IF(AND(NOT(AND($A639="",$B639="")),$K639="Point",N($L639)&gt;0),SQRT(N($L639)/PI()),"")</f>
        <v/>
      </c>
      <c r="AJ639" s="21">
        <f>IF(AND($A639="",$B639=""),"",IFERROR(VLOOKUP($G639,Lists!$D$4:$E$15,2,FALSE),"Not reported"))</f>
        <v/>
      </c>
      <c r="AK639" s="21">
        <f>IF(AND($A639="",$B639=""),"",IF($X639&lt;&gt;"",$X639,IF($T639&lt;&gt;"Y","Not assessed",IF(AND(ISNUMBER($V639),Setup!$B$6-$V639&gt;Setup!$B$26),"Assessment outdated",IF(NOT(ISNUMBER($W639)),"Assessed – no score",IF($W639&gt;=Setup!$B$24,"High",IF($W639&gt;=Setup!$B$25,"Moderate","Low")))))))</f>
        <v/>
      </c>
      <c r="AL639" s="21">
        <f>IF(AND($A639="",$B639=""),"",IF(Z639=0,"",IF(AND(AE639=1,N($R639)&gt;AD639*1.01+0.001),"Net terrestrial &gt; gross; ","")&amp;IF(AND(AE639=1,N($S639)&gt;AC639*1.01+0.001),"Net marine &gt; gross; ","")&amp;IF(AE639=0,"No net area – gross used, overlaps may be double-counted; ","")&amp;IF(AH639=0,"STATUS_YR missing – imputed in time series; ","")&amp;IF(AND(ISNUMBER($I639),N($I639)&gt;Setup!$B$6),"STATUS_YR after reporting year; ","")&amp;IF(OR($G639="",$G639="Not Reported"),"GOV_TYPE not reported; ","")&amp;IF(AND(N($J639)=1,$K639="Point",N($M639)&lt;=0),"Coastal point without REP_M_AREA – land/sea split unknown; ","")&amp;IF(AND(N($J639)=0,N($S639)&gt;0),"MARINE=0 but net marine &gt;0; ","")&amp;IF(AND(N($J639)=2,N($R639)&gt;0),"MARINE=2 but net terrestrial &gt;0; ","")&amp;IF($K639="Point","Buffered point – coverage approximate; ","")))</f>
        <v/>
      </c>
    </row>
    <row r="640">
      <c r="A640" s="19" t="n"/>
      <c r="B640" s="19" t="n"/>
      <c r="C640" s="19" t="n"/>
      <c r="D640" s="19" t="n"/>
      <c r="E640" s="19" t="n"/>
      <c r="F640" s="19" t="n"/>
      <c r="G640" s="19" t="n"/>
      <c r="H640" s="19" t="n"/>
      <c r="I640" s="19" t="n"/>
      <c r="J640" s="19" t="n"/>
      <c r="K640" s="19" t="n"/>
      <c r="L640" s="20" t="n"/>
      <c r="M640" s="20" t="n"/>
      <c r="N640" s="20" t="n"/>
      <c r="O640" s="20" t="n"/>
      <c r="P640" s="19" t="n"/>
      <c r="Q640" s="19" t="n"/>
      <c r="R640" s="20" t="n"/>
      <c r="S640" s="20" t="n"/>
      <c r="T640" s="19" t="n"/>
      <c r="U640" s="19" t="n"/>
      <c r="V640" s="19" t="n"/>
      <c r="W640" s="19" t="n"/>
      <c r="X640" s="19" t="n"/>
      <c r="Y640" s="19" t="n"/>
      <c r="Z640" s="21">
        <f>IF(AND($A640="",$B640=""),"",IF(OR($E640="",$H640="",$H640="Proposed",$H640="Not Reported"),0,IF(AND($P640="Y",$Q640&lt;&gt;"Y"),0,IF(AND($K640="Point",N($L640)&lt;=0),0,IF(AND(N($L640)&lt;=0,N($N640)&lt;=0,N($R640)+N($S640)&lt;=0),0,1)))))</f>
        <v/>
      </c>
      <c r="AA640" s="21">
        <f>IF(AND($A640="",$B640=""),"",IF($E640="","Site type missing",IF($H640="","STATUS missing",IF($H640="Proposed","STATUS = Proposed",IF($H640="Not Reported","STATUS = Not Reported",IF(AND($P640="Y",$Q640&lt;&gt;"Y"),"UNESCO-MAB Biosphere Reserve",IF(AND($K640="Point",N($L640)&lt;=0),"Point without REP_AREA",IF(AND(N($L640)&lt;=0,N($N640)&lt;=0,N($R640)+N($S640)&lt;=0),"No area information",""))))))))</f>
        <v/>
      </c>
      <c r="AB640" s="22">
        <f>IF(AND($A640="",$B640=""),"",IF($K640="Point",N($L640),IF(N($N640)&gt;0,N($N640),N($L640))))</f>
        <v/>
      </c>
      <c r="AC640" s="22">
        <f>IF(AND($A640="",$B640=""),"",MIN(AB640,IF(N($J640)=0,0,IF(N($J640)=2,AB640,IF(AND($K640&lt;&gt;"Point",N($O640)&gt;0),N($O640),N($M640))))))</f>
        <v/>
      </c>
      <c r="AD640" s="22">
        <f>IF(AND($A640="",$B640=""),"",MAX(0,AB640-AC640))</f>
        <v/>
      </c>
      <c r="AE640" s="21">
        <f>IF(AND($A640="",$B640=""),"",IF(OR($R640&lt;&gt;"",$S640&lt;&gt;""),1,0))</f>
        <v/>
      </c>
      <c r="AF640" s="22">
        <f>IF(AND($A640="",$B640=""),"",IF(Z640=1,IF(AE640=1,N($R640),AD640),0))</f>
        <v/>
      </c>
      <c r="AG640" s="22">
        <f>IF(AND($A640="",$B640=""),"",IF(Z640=1,IF(AE640=1,N($S640),AC640),0))</f>
        <v/>
      </c>
      <c r="AH640" s="21">
        <f>IF(AND($A640="",$B640=""),"",IF(AND(ISNUMBER($I640),N($I640)&gt;0),$I640,0))</f>
        <v/>
      </c>
      <c r="AI640" s="23">
        <f>IF(AND(NOT(AND($A640="",$B640="")),$K640="Point",N($L640)&gt;0),SQRT(N($L640)/PI()),"")</f>
        <v/>
      </c>
      <c r="AJ640" s="21">
        <f>IF(AND($A640="",$B640=""),"",IFERROR(VLOOKUP($G640,Lists!$D$4:$E$15,2,FALSE),"Not reported"))</f>
        <v/>
      </c>
      <c r="AK640" s="21">
        <f>IF(AND($A640="",$B640=""),"",IF($X640&lt;&gt;"",$X640,IF($T640&lt;&gt;"Y","Not assessed",IF(AND(ISNUMBER($V640),Setup!$B$6-$V640&gt;Setup!$B$26),"Assessment outdated",IF(NOT(ISNUMBER($W640)),"Assessed – no score",IF($W640&gt;=Setup!$B$24,"High",IF($W640&gt;=Setup!$B$25,"Moderate","Low")))))))</f>
        <v/>
      </c>
      <c r="AL640" s="21">
        <f>IF(AND($A640="",$B640=""),"",IF(Z640=0,"",IF(AND(AE640=1,N($R640)&gt;AD640*1.01+0.001),"Net terrestrial &gt; gross; ","")&amp;IF(AND(AE640=1,N($S640)&gt;AC640*1.01+0.001),"Net marine &gt; gross; ","")&amp;IF(AE640=0,"No net area – gross used, overlaps may be double-counted; ","")&amp;IF(AH640=0,"STATUS_YR missing – imputed in time series; ","")&amp;IF(AND(ISNUMBER($I640),N($I640)&gt;Setup!$B$6),"STATUS_YR after reporting year; ","")&amp;IF(OR($G640="",$G640="Not Reported"),"GOV_TYPE not reported; ","")&amp;IF(AND(N($J640)=1,$K640="Point",N($M640)&lt;=0),"Coastal point without REP_M_AREA – land/sea split unknown; ","")&amp;IF(AND(N($J640)=0,N($S640)&gt;0),"MARINE=0 but net marine &gt;0; ","")&amp;IF(AND(N($J640)=2,N($R640)&gt;0),"MARINE=2 but net terrestrial &gt;0; ","")&amp;IF($K640="Point","Buffered point – coverage approximate; ","")))</f>
        <v/>
      </c>
    </row>
    <row r="641">
      <c r="A641" s="19" t="n"/>
      <c r="B641" s="19" t="n"/>
      <c r="C641" s="19" t="n"/>
      <c r="D641" s="19" t="n"/>
      <c r="E641" s="19" t="n"/>
      <c r="F641" s="19" t="n"/>
      <c r="G641" s="19" t="n"/>
      <c r="H641" s="19" t="n"/>
      <c r="I641" s="19" t="n"/>
      <c r="J641" s="19" t="n"/>
      <c r="K641" s="19" t="n"/>
      <c r="L641" s="20" t="n"/>
      <c r="M641" s="20" t="n"/>
      <c r="N641" s="20" t="n"/>
      <c r="O641" s="20" t="n"/>
      <c r="P641" s="19" t="n"/>
      <c r="Q641" s="19" t="n"/>
      <c r="R641" s="20" t="n"/>
      <c r="S641" s="20" t="n"/>
      <c r="T641" s="19" t="n"/>
      <c r="U641" s="19" t="n"/>
      <c r="V641" s="19" t="n"/>
      <c r="W641" s="19" t="n"/>
      <c r="X641" s="19" t="n"/>
      <c r="Y641" s="19" t="n"/>
      <c r="Z641" s="21">
        <f>IF(AND($A641="",$B641=""),"",IF(OR($E641="",$H641="",$H641="Proposed",$H641="Not Reported"),0,IF(AND($P641="Y",$Q641&lt;&gt;"Y"),0,IF(AND($K641="Point",N($L641)&lt;=0),0,IF(AND(N($L641)&lt;=0,N($N641)&lt;=0,N($R641)+N($S641)&lt;=0),0,1)))))</f>
        <v/>
      </c>
      <c r="AA641" s="21">
        <f>IF(AND($A641="",$B641=""),"",IF($E641="","Site type missing",IF($H641="","STATUS missing",IF($H641="Proposed","STATUS = Proposed",IF($H641="Not Reported","STATUS = Not Reported",IF(AND($P641="Y",$Q641&lt;&gt;"Y"),"UNESCO-MAB Biosphere Reserve",IF(AND($K641="Point",N($L641)&lt;=0),"Point without REP_AREA",IF(AND(N($L641)&lt;=0,N($N641)&lt;=0,N($R641)+N($S641)&lt;=0),"No area information",""))))))))</f>
        <v/>
      </c>
      <c r="AB641" s="22">
        <f>IF(AND($A641="",$B641=""),"",IF($K641="Point",N($L641),IF(N($N641)&gt;0,N($N641),N($L641))))</f>
        <v/>
      </c>
      <c r="AC641" s="22">
        <f>IF(AND($A641="",$B641=""),"",MIN(AB641,IF(N($J641)=0,0,IF(N($J641)=2,AB641,IF(AND($K641&lt;&gt;"Point",N($O641)&gt;0),N($O641),N($M641))))))</f>
        <v/>
      </c>
      <c r="AD641" s="22">
        <f>IF(AND($A641="",$B641=""),"",MAX(0,AB641-AC641))</f>
        <v/>
      </c>
      <c r="AE641" s="21">
        <f>IF(AND($A641="",$B641=""),"",IF(OR($R641&lt;&gt;"",$S641&lt;&gt;""),1,0))</f>
        <v/>
      </c>
      <c r="AF641" s="22">
        <f>IF(AND($A641="",$B641=""),"",IF(Z641=1,IF(AE641=1,N($R641),AD641),0))</f>
        <v/>
      </c>
      <c r="AG641" s="22">
        <f>IF(AND($A641="",$B641=""),"",IF(Z641=1,IF(AE641=1,N($S641),AC641),0))</f>
        <v/>
      </c>
      <c r="AH641" s="21">
        <f>IF(AND($A641="",$B641=""),"",IF(AND(ISNUMBER($I641),N($I641)&gt;0),$I641,0))</f>
        <v/>
      </c>
      <c r="AI641" s="23">
        <f>IF(AND(NOT(AND($A641="",$B641="")),$K641="Point",N($L641)&gt;0),SQRT(N($L641)/PI()),"")</f>
        <v/>
      </c>
      <c r="AJ641" s="21">
        <f>IF(AND($A641="",$B641=""),"",IFERROR(VLOOKUP($G641,Lists!$D$4:$E$15,2,FALSE),"Not reported"))</f>
        <v/>
      </c>
      <c r="AK641" s="21">
        <f>IF(AND($A641="",$B641=""),"",IF($X641&lt;&gt;"",$X641,IF($T641&lt;&gt;"Y","Not assessed",IF(AND(ISNUMBER($V641),Setup!$B$6-$V641&gt;Setup!$B$26),"Assessment outdated",IF(NOT(ISNUMBER($W641)),"Assessed – no score",IF($W641&gt;=Setup!$B$24,"High",IF($W641&gt;=Setup!$B$25,"Moderate","Low")))))))</f>
        <v/>
      </c>
      <c r="AL641" s="21">
        <f>IF(AND($A641="",$B641=""),"",IF(Z641=0,"",IF(AND(AE641=1,N($R641)&gt;AD641*1.01+0.001),"Net terrestrial &gt; gross; ","")&amp;IF(AND(AE641=1,N($S641)&gt;AC641*1.01+0.001),"Net marine &gt; gross; ","")&amp;IF(AE641=0,"No net area – gross used, overlaps may be double-counted; ","")&amp;IF(AH641=0,"STATUS_YR missing – imputed in time series; ","")&amp;IF(AND(ISNUMBER($I641),N($I641)&gt;Setup!$B$6),"STATUS_YR after reporting year; ","")&amp;IF(OR($G641="",$G641="Not Reported"),"GOV_TYPE not reported; ","")&amp;IF(AND(N($J641)=1,$K641="Point",N($M641)&lt;=0),"Coastal point without REP_M_AREA – land/sea split unknown; ","")&amp;IF(AND(N($J641)=0,N($S641)&gt;0),"MARINE=0 but net marine &gt;0; ","")&amp;IF(AND(N($J641)=2,N($R641)&gt;0),"MARINE=2 but net terrestrial &gt;0; ","")&amp;IF($K641="Point","Buffered point – coverage approximate; ","")))</f>
        <v/>
      </c>
    </row>
    <row r="642">
      <c r="A642" s="19" t="n"/>
      <c r="B642" s="19" t="n"/>
      <c r="C642" s="19" t="n"/>
      <c r="D642" s="19" t="n"/>
      <c r="E642" s="19" t="n"/>
      <c r="F642" s="19" t="n"/>
      <c r="G642" s="19" t="n"/>
      <c r="H642" s="19" t="n"/>
      <c r="I642" s="19" t="n"/>
      <c r="J642" s="19" t="n"/>
      <c r="K642" s="19" t="n"/>
      <c r="L642" s="20" t="n"/>
      <c r="M642" s="20" t="n"/>
      <c r="N642" s="20" t="n"/>
      <c r="O642" s="20" t="n"/>
      <c r="P642" s="19" t="n"/>
      <c r="Q642" s="19" t="n"/>
      <c r="R642" s="20" t="n"/>
      <c r="S642" s="20" t="n"/>
      <c r="T642" s="19" t="n"/>
      <c r="U642" s="19" t="n"/>
      <c r="V642" s="19" t="n"/>
      <c r="W642" s="19" t="n"/>
      <c r="X642" s="19" t="n"/>
      <c r="Y642" s="19" t="n"/>
      <c r="Z642" s="21">
        <f>IF(AND($A642="",$B642=""),"",IF(OR($E642="",$H642="",$H642="Proposed",$H642="Not Reported"),0,IF(AND($P642="Y",$Q642&lt;&gt;"Y"),0,IF(AND($K642="Point",N($L642)&lt;=0),0,IF(AND(N($L642)&lt;=0,N($N642)&lt;=0,N($R642)+N($S642)&lt;=0),0,1)))))</f>
        <v/>
      </c>
      <c r="AA642" s="21">
        <f>IF(AND($A642="",$B642=""),"",IF($E642="","Site type missing",IF($H642="","STATUS missing",IF($H642="Proposed","STATUS = Proposed",IF($H642="Not Reported","STATUS = Not Reported",IF(AND($P642="Y",$Q642&lt;&gt;"Y"),"UNESCO-MAB Biosphere Reserve",IF(AND($K642="Point",N($L642)&lt;=0),"Point without REP_AREA",IF(AND(N($L642)&lt;=0,N($N642)&lt;=0,N($R642)+N($S642)&lt;=0),"No area information",""))))))))</f>
        <v/>
      </c>
      <c r="AB642" s="22">
        <f>IF(AND($A642="",$B642=""),"",IF($K642="Point",N($L642),IF(N($N642)&gt;0,N($N642),N($L642))))</f>
        <v/>
      </c>
      <c r="AC642" s="22">
        <f>IF(AND($A642="",$B642=""),"",MIN(AB642,IF(N($J642)=0,0,IF(N($J642)=2,AB642,IF(AND($K642&lt;&gt;"Point",N($O642)&gt;0),N($O642),N($M642))))))</f>
        <v/>
      </c>
      <c r="AD642" s="22">
        <f>IF(AND($A642="",$B642=""),"",MAX(0,AB642-AC642))</f>
        <v/>
      </c>
      <c r="AE642" s="21">
        <f>IF(AND($A642="",$B642=""),"",IF(OR($R642&lt;&gt;"",$S642&lt;&gt;""),1,0))</f>
        <v/>
      </c>
      <c r="AF642" s="22">
        <f>IF(AND($A642="",$B642=""),"",IF(Z642=1,IF(AE642=1,N($R642),AD642),0))</f>
        <v/>
      </c>
      <c r="AG642" s="22">
        <f>IF(AND($A642="",$B642=""),"",IF(Z642=1,IF(AE642=1,N($S642),AC642),0))</f>
        <v/>
      </c>
      <c r="AH642" s="21">
        <f>IF(AND($A642="",$B642=""),"",IF(AND(ISNUMBER($I642),N($I642)&gt;0),$I642,0))</f>
        <v/>
      </c>
      <c r="AI642" s="23">
        <f>IF(AND(NOT(AND($A642="",$B642="")),$K642="Point",N($L642)&gt;0),SQRT(N($L642)/PI()),"")</f>
        <v/>
      </c>
      <c r="AJ642" s="21">
        <f>IF(AND($A642="",$B642=""),"",IFERROR(VLOOKUP($G642,Lists!$D$4:$E$15,2,FALSE),"Not reported"))</f>
        <v/>
      </c>
      <c r="AK642" s="21">
        <f>IF(AND($A642="",$B642=""),"",IF($X642&lt;&gt;"",$X642,IF($T642&lt;&gt;"Y","Not assessed",IF(AND(ISNUMBER($V642),Setup!$B$6-$V642&gt;Setup!$B$26),"Assessment outdated",IF(NOT(ISNUMBER($W642)),"Assessed – no score",IF($W642&gt;=Setup!$B$24,"High",IF($W642&gt;=Setup!$B$25,"Moderate","Low")))))))</f>
        <v/>
      </c>
      <c r="AL642" s="21">
        <f>IF(AND($A642="",$B642=""),"",IF(Z642=0,"",IF(AND(AE642=1,N($R642)&gt;AD642*1.01+0.001),"Net terrestrial &gt; gross; ","")&amp;IF(AND(AE642=1,N($S642)&gt;AC642*1.01+0.001),"Net marine &gt; gross; ","")&amp;IF(AE642=0,"No net area – gross used, overlaps may be double-counted; ","")&amp;IF(AH642=0,"STATUS_YR missing – imputed in time series; ","")&amp;IF(AND(ISNUMBER($I642),N($I642)&gt;Setup!$B$6),"STATUS_YR after reporting year; ","")&amp;IF(OR($G642="",$G642="Not Reported"),"GOV_TYPE not reported; ","")&amp;IF(AND(N($J642)=1,$K642="Point",N($M642)&lt;=0),"Coastal point without REP_M_AREA – land/sea split unknown; ","")&amp;IF(AND(N($J642)=0,N($S642)&gt;0),"MARINE=0 but net marine &gt;0; ","")&amp;IF(AND(N($J642)=2,N($R642)&gt;0),"MARINE=2 but net terrestrial &gt;0; ","")&amp;IF($K642="Point","Buffered point – coverage approximate; ","")))</f>
        <v/>
      </c>
    </row>
    <row r="643">
      <c r="A643" s="19" t="n"/>
      <c r="B643" s="19" t="n"/>
      <c r="C643" s="19" t="n"/>
      <c r="D643" s="19" t="n"/>
      <c r="E643" s="19" t="n"/>
      <c r="F643" s="19" t="n"/>
      <c r="G643" s="19" t="n"/>
      <c r="H643" s="19" t="n"/>
      <c r="I643" s="19" t="n"/>
      <c r="J643" s="19" t="n"/>
      <c r="K643" s="19" t="n"/>
      <c r="L643" s="20" t="n"/>
      <c r="M643" s="20" t="n"/>
      <c r="N643" s="20" t="n"/>
      <c r="O643" s="20" t="n"/>
      <c r="P643" s="19" t="n"/>
      <c r="Q643" s="19" t="n"/>
      <c r="R643" s="20" t="n"/>
      <c r="S643" s="20" t="n"/>
      <c r="T643" s="19" t="n"/>
      <c r="U643" s="19" t="n"/>
      <c r="V643" s="19" t="n"/>
      <c r="W643" s="19" t="n"/>
      <c r="X643" s="19" t="n"/>
      <c r="Y643" s="19" t="n"/>
      <c r="Z643" s="21">
        <f>IF(AND($A643="",$B643=""),"",IF(OR($E643="",$H643="",$H643="Proposed",$H643="Not Reported"),0,IF(AND($P643="Y",$Q643&lt;&gt;"Y"),0,IF(AND($K643="Point",N($L643)&lt;=0),0,IF(AND(N($L643)&lt;=0,N($N643)&lt;=0,N($R643)+N($S643)&lt;=0),0,1)))))</f>
        <v/>
      </c>
      <c r="AA643" s="21">
        <f>IF(AND($A643="",$B643=""),"",IF($E643="","Site type missing",IF($H643="","STATUS missing",IF($H643="Proposed","STATUS = Proposed",IF($H643="Not Reported","STATUS = Not Reported",IF(AND($P643="Y",$Q643&lt;&gt;"Y"),"UNESCO-MAB Biosphere Reserve",IF(AND($K643="Point",N($L643)&lt;=0),"Point without REP_AREA",IF(AND(N($L643)&lt;=0,N($N643)&lt;=0,N($R643)+N($S643)&lt;=0),"No area information",""))))))))</f>
        <v/>
      </c>
      <c r="AB643" s="22">
        <f>IF(AND($A643="",$B643=""),"",IF($K643="Point",N($L643),IF(N($N643)&gt;0,N($N643),N($L643))))</f>
        <v/>
      </c>
      <c r="AC643" s="22">
        <f>IF(AND($A643="",$B643=""),"",MIN(AB643,IF(N($J643)=0,0,IF(N($J643)=2,AB643,IF(AND($K643&lt;&gt;"Point",N($O643)&gt;0),N($O643),N($M643))))))</f>
        <v/>
      </c>
      <c r="AD643" s="22">
        <f>IF(AND($A643="",$B643=""),"",MAX(0,AB643-AC643))</f>
        <v/>
      </c>
      <c r="AE643" s="21">
        <f>IF(AND($A643="",$B643=""),"",IF(OR($R643&lt;&gt;"",$S643&lt;&gt;""),1,0))</f>
        <v/>
      </c>
      <c r="AF643" s="22">
        <f>IF(AND($A643="",$B643=""),"",IF(Z643=1,IF(AE643=1,N($R643),AD643),0))</f>
        <v/>
      </c>
      <c r="AG643" s="22">
        <f>IF(AND($A643="",$B643=""),"",IF(Z643=1,IF(AE643=1,N($S643),AC643),0))</f>
        <v/>
      </c>
      <c r="AH643" s="21">
        <f>IF(AND($A643="",$B643=""),"",IF(AND(ISNUMBER($I643),N($I643)&gt;0),$I643,0))</f>
        <v/>
      </c>
      <c r="AI643" s="23">
        <f>IF(AND(NOT(AND($A643="",$B643="")),$K643="Point",N($L643)&gt;0),SQRT(N($L643)/PI()),"")</f>
        <v/>
      </c>
      <c r="AJ643" s="21">
        <f>IF(AND($A643="",$B643=""),"",IFERROR(VLOOKUP($G643,Lists!$D$4:$E$15,2,FALSE),"Not reported"))</f>
        <v/>
      </c>
      <c r="AK643" s="21">
        <f>IF(AND($A643="",$B643=""),"",IF($X643&lt;&gt;"",$X643,IF($T643&lt;&gt;"Y","Not assessed",IF(AND(ISNUMBER($V643),Setup!$B$6-$V643&gt;Setup!$B$26),"Assessment outdated",IF(NOT(ISNUMBER($W643)),"Assessed – no score",IF($W643&gt;=Setup!$B$24,"High",IF($W643&gt;=Setup!$B$25,"Moderate","Low")))))))</f>
        <v/>
      </c>
      <c r="AL643" s="21">
        <f>IF(AND($A643="",$B643=""),"",IF(Z643=0,"",IF(AND(AE643=1,N($R643)&gt;AD643*1.01+0.001),"Net terrestrial &gt; gross; ","")&amp;IF(AND(AE643=1,N($S643)&gt;AC643*1.01+0.001),"Net marine &gt; gross; ","")&amp;IF(AE643=0,"No net area – gross used, overlaps may be double-counted; ","")&amp;IF(AH643=0,"STATUS_YR missing – imputed in time series; ","")&amp;IF(AND(ISNUMBER($I643),N($I643)&gt;Setup!$B$6),"STATUS_YR after reporting year; ","")&amp;IF(OR($G643="",$G643="Not Reported"),"GOV_TYPE not reported; ","")&amp;IF(AND(N($J643)=1,$K643="Point",N($M643)&lt;=0),"Coastal point without REP_M_AREA – land/sea split unknown; ","")&amp;IF(AND(N($J643)=0,N($S643)&gt;0),"MARINE=0 but net marine &gt;0; ","")&amp;IF(AND(N($J643)=2,N($R643)&gt;0),"MARINE=2 but net terrestrial &gt;0; ","")&amp;IF($K643="Point","Buffered point – coverage approximate; ","")))</f>
        <v/>
      </c>
    </row>
    <row r="644">
      <c r="A644" s="19" t="n"/>
      <c r="B644" s="19" t="n"/>
      <c r="C644" s="19" t="n"/>
      <c r="D644" s="19" t="n"/>
      <c r="E644" s="19" t="n"/>
      <c r="F644" s="19" t="n"/>
      <c r="G644" s="19" t="n"/>
      <c r="H644" s="19" t="n"/>
      <c r="I644" s="19" t="n"/>
      <c r="J644" s="19" t="n"/>
      <c r="K644" s="19" t="n"/>
      <c r="L644" s="20" t="n"/>
      <c r="M644" s="20" t="n"/>
      <c r="N644" s="20" t="n"/>
      <c r="O644" s="20" t="n"/>
      <c r="P644" s="19" t="n"/>
      <c r="Q644" s="19" t="n"/>
      <c r="R644" s="20" t="n"/>
      <c r="S644" s="20" t="n"/>
      <c r="T644" s="19" t="n"/>
      <c r="U644" s="19" t="n"/>
      <c r="V644" s="19" t="n"/>
      <c r="W644" s="19" t="n"/>
      <c r="X644" s="19" t="n"/>
      <c r="Y644" s="19" t="n"/>
      <c r="Z644" s="21">
        <f>IF(AND($A644="",$B644=""),"",IF(OR($E644="",$H644="",$H644="Proposed",$H644="Not Reported"),0,IF(AND($P644="Y",$Q644&lt;&gt;"Y"),0,IF(AND($K644="Point",N($L644)&lt;=0),0,IF(AND(N($L644)&lt;=0,N($N644)&lt;=0,N($R644)+N($S644)&lt;=0),0,1)))))</f>
        <v/>
      </c>
      <c r="AA644" s="21">
        <f>IF(AND($A644="",$B644=""),"",IF($E644="","Site type missing",IF($H644="","STATUS missing",IF($H644="Proposed","STATUS = Proposed",IF($H644="Not Reported","STATUS = Not Reported",IF(AND($P644="Y",$Q644&lt;&gt;"Y"),"UNESCO-MAB Biosphere Reserve",IF(AND($K644="Point",N($L644)&lt;=0),"Point without REP_AREA",IF(AND(N($L644)&lt;=0,N($N644)&lt;=0,N($R644)+N($S644)&lt;=0),"No area information",""))))))))</f>
        <v/>
      </c>
      <c r="AB644" s="22">
        <f>IF(AND($A644="",$B644=""),"",IF($K644="Point",N($L644),IF(N($N644)&gt;0,N($N644),N($L644))))</f>
        <v/>
      </c>
      <c r="AC644" s="22">
        <f>IF(AND($A644="",$B644=""),"",MIN(AB644,IF(N($J644)=0,0,IF(N($J644)=2,AB644,IF(AND($K644&lt;&gt;"Point",N($O644)&gt;0),N($O644),N($M644))))))</f>
        <v/>
      </c>
      <c r="AD644" s="22">
        <f>IF(AND($A644="",$B644=""),"",MAX(0,AB644-AC644))</f>
        <v/>
      </c>
      <c r="AE644" s="21">
        <f>IF(AND($A644="",$B644=""),"",IF(OR($R644&lt;&gt;"",$S644&lt;&gt;""),1,0))</f>
        <v/>
      </c>
      <c r="AF644" s="22">
        <f>IF(AND($A644="",$B644=""),"",IF(Z644=1,IF(AE644=1,N($R644),AD644),0))</f>
        <v/>
      </c>
      <c r="AG644" s="22">
        <f>IF(AND($A644="",$B644=""),"",IF(Z644=1,IF(AE644=1,N($S644),AC644),0))</f>
        <v/>
      </c>
      <c r="AH644" s="21">
        <f>IF(AND($A644="",$B644=""),"",IF(AND(ISNUMBER($I644),N($I644)&gt;0),$I644,0))</f>
        <v/>
      </c>
      <c r="AI644" s="23">
        <f>IF(AND(NOT(AND($A644="",$B644="")),$K644="Point",N($L644)&gt;0),SQRT(N($L644)/PI()),"")</f>
        <v/>
      </c>
      <c r="AJ644" s="21">
        <f>IF(AND($A644="",$B644=""),"",IFERROR(VLOOKUP($G644,Lists!$D$4:$E$15,2,FALSE),"Not reported"))</f>
        <v/>
      </c>
      <c r="AK644" s="21">
        <f>IF(AND($A644="",$B644=""),"",IF($X644&lt;&gt;"",$X644,IF($T644&lt;&gt;"Y","Not assessed",IF(AND(ISNUMBER($V644),Setup!$B$6-$V644&gt;Setup!$B$26),"Assessment outdated",IF(NOT(ISNUMBER($W644)),"Assessed – no score",IF($W644&gt;=Setup!$B$24,"High",IF($W644&gt;=Setup!$B$25,"Moderate","Low")))))))</f>
        <v/>
      </c>
      <c r="AL644" s="21">
        <f>IF(AND($A644="",$B644=""),"",IF(Z644=0,"",IF(AND(AE644=1,N($R644)&gt;AD644*1.01+0.001),"Net terrestrial &gt; gross; ","")&amp;IF(AND(AE644=1,N($S644)&gt;AC644*1.01+0.001),"Net marine &gt; gross; ","")&amp;IF(AE644=0,"No net area – gross used, overlaps may be double-counted; ","")&amp;IF(AH644=0,"STATUS_YR missing – imputed in time series; ","")&amp;IF(AND(ISNUMBER($I644),N($I644)&gt;Setup!$B$6),"STATUS_YR after reporting year; ","")&amp;IF(OR($G644="",$G644="Not Reported"),"GOV_TYPE not reported; ","")&amp;IF(AND(N($J644)=1,$K644="Point",N($M644)&lt;=0),"Coastal point without REP_M_AREA – land/sea split unknown; ","")&amp;IF(AND(N($J644)=0,N($S644)&gt;0),"MARINE=0 but net marine &gt;0; ","")&amp;IF(AND(N($J644)=2,N($R644)&gt;0),"MARINE=2 but net terrestrial &gt;0; ","")&amp;IF($K644="Point","Buffered point – coverage approximate; ","")))</f>
        <v/>
      </c>
    </row>
    <row r="645">
      <c r="A645" s="19" t="n"/>
      <c r="B645" s="19" t="n"/>
      <c r="C645" s="19" t="n"/>
      <c r="D645" s="19" t="n"/>
      <c r="E645" s="19" t="n"/>
      <c r="F645" s="19" t="n"/>
      <c r="G645" s="19" t="n"/>
      <c r="H645" s="19" t="n"/>
      <c r="I645" s="19" t="n"/>
      <c r="J645" s="19" t="n"/>
      <c r="K645" s="19" t="n"/>
      <c r="L645" s="20" t="n"/>
      <c r="M645" s="20" t="n"/>
      <c r="N645" s="20" t="n"/>
      <c r="O645" s="20" t="n"/>
      <c r="P645" s="19" t="n"/>
      <c r="Q645" s="19" t="n"/>
      <c r="R645" s="20" t="n"/>
      <c r="S645" s="20" t="n"/>
      <c r="T645" s="19" t="n"/>
      <c r="U645" s="19" t="n"/>
      <c r="V645" s="19" t="n"/>
      <c r="W645" s="19" t="n"/>
      <c r="X645" s="19" t="n"/>
      <c r="Y645" s="19" t="n"/>
      <c r="Z645" s="21">
        <f>IF(AND($A645="",$B645=""),"",IF(OR($E645="",$H645="",$H645="Proposed",$H645="Not Reported"),0,IF(AND($P645="Y",$Q645&lt;&gt;"Y"),0,IF(AND($K645="Point",N($L645)&lt;=0),0,IF(AND(N($L645)&lt;=0,N($N645)&lt;=0,N($R645)+N($S645)&lt;=0),0,1)))))</f>
        <v/>
      </c>
      <c r="AA645" s="21">
        <f>IF(AND($A645="",$B645=""),"",IF($E645="","Site type missing",IF($H645="","STATUS missing",IF($H645="Proposed","STATUS = Proposed",IF($H645="Not Reported","STATUS = Not Reported",IF(AND($P645="Y",$Q645&lt;&gt;"Y"),"UNESCO-MAB Biosphere Reserve",IF(AND($K645="Point",N($L645)&lt;=0),"Point without REP_AREA",IF(AND(N($L645)&lt;=0,N($N645)&lt;=0,N($R645)+N($S645)&lt;=0),"No area information",""))))))))</f>
        <v/>
      </c>
      <c r="AB645" s="22">
        <f>IF(AND($A645="",$B645=""),"",IF($K645="Point",N($L645),IF(N($N645)&gt;0,N($N645),N($L645))))</f>
        <v/>
      </c>
      <c r="AC645" s="22">
        <f>IF(AND($A645="",$B645=""),"",MIN(AB645,IF(N($J645)=0,0,IF(N($J645)=2,AB645,IF(AND($K645&lt;&gt;"Point",N($O645)&gt;0),N($O645),N($M645))))))</f>
        <v/>
      </c>
      <c r="AD645" s="22">
        <f>IF(AND($A645="",$B645=""),"",MAX(0,AB645-AC645))</f>
        <v/>
      </c>
      <c r="AE645" s="21">
        <f>IF(AND($A645="",$B645=""),"",IF(OR($R645&lt;&gt;"",$S645&lt;&gt;""),1,0))</f>
        <v/>
      </c>
      <c r="AF645" s="22">
        <f>IF(AND($A645="",$B645=""),"",IF(Z645=1,IF(AE645=1,N($R645),AD645),0))</f>
        <v/>
      </c>
      <c r="AG645" s="22">
        <f>IF(AND($A645="",$B645=""),"",IF(Z645=1,IF(AE645=1,N($S645),AC645),0))</f>
        <v/>
      </c>
      <c r="AH645" s="21">
        <f>IF(AND($A645="",$B645=""),"",IF(AND(ISNUMBER($I645),N($I645)&gt;0),$I645,0))</f>
        <v/>
      </c>
      <c r="AI645" s="23">
        <f>IF(AND(NOT(AND($A645="",$B645="")),$K645="Point",N($L645)&gt;0),SQRT(N($L645)/PI()),"")</f>
        <v/>
      </c>
      <c r="AJ645" s="21">
        <f>IF(AND($A645="",$B645=""),"",IFERROR(VLOOKUP($G645,Lists!$D$4:$E$15,2,FALSE),"Not reported"))</f>
        <v/>
      </c>
      <c r="AK645" s="21">
        <f>IF(AND($A645="",$B645=""),"",IF($X645&lt;&gt;"",$X645,IF($T645&lt;&gt;"Y","Not assessed",IF(AND(ISNUMBER($V645),Setup!$B$6-$V645&gt;Setup!$B$26),"Assessment outdated",IF(NOT(ISNUMBER($W645)),"Assessed – no score",IF($W645&gt;=Setup!$B$24,"High",IF($W645&gt;=Setup!$B$25,"Moderate","Low")))))))</f>
        <v/>
      </c>
      <c r="AL645" s="21">
        <f>IF(AND($A645="",$B645=""),"",IF(Z645=0,"",IF(AND(AE645=1,N($R645)&gt;AD645*1.01+0.001),"Net terrestrial &gt; gross; ","")&amp;IF(AND(AE645=1,N($S645)&gt;AC645*1.01+0.001),"Net marine &gt; gross; ","")&amp;IF(AE645=0,"No net area – gross used, overlaps may be double-counted; ","")&amp;IF(AH645=0,"STATUS_YR missing – imputed in time series; ","")&amp;IF(AND(ISNUMBER($I645),N($I645)&gt;Setup!$B$6),"STATUS_YR after reporting year; ","")&amp;IF(OR($G645="",$G645="Not Reported"),"GOV_TYPE not reported; ","")&amp;IF(AND(N($J645)=1,$K645="Point",N($M645)&lt;=0),"Coastal point without REP_M_AREA – land/sea split unknown; ","")&amp;IF(AND(N($J645)=0,N($S645)&gt;0),"MARINE=0 but net marine &gt;0; ","")&amp;IF(AND(N($J645)=2,N($R645)&gt;0),"MARINE=2 but net terrestrial &gt;0; ","")&amp;IF($K645="Point","Buffered point – coverage approximate; ","")))</f>
        <v/>
      </c>
    </row>
    <row r="646">
      <c r="A646" s="19" t="n"/>
      <c r="B646" s="19" t="n"/>
      <c r="C646" s="19" t="n"/>
      <c r="D646" s="19" t="n"/>
      <c r="E646" s="19" t="n"/>
      <c r="F646" s="19" t="n"/>
      <c r="G646" s="19" t="n"/>
      <c r="H646" s="19" t="n"/>
      <c r="I646" s="19" t="n"/>
      <c r="J646" s="19" t="n"/>
      <c r="K646" s="19" t="n"/>
      <c r="L646" s="20" t="n"/>
      <c r="M646" s="20" t="n"/>
      <c r="N646" s="20" t="n"/>
      <c r="O646" s="20" t="n"/>
      <c r="P646" s="19" t="n"/>
      <c r="Q646" s="19" t="n"/>
      <c r="R646" s="20" t="n"/>
      <c r="S646" s="20" t="n"/>
      <c r="T646" s="19" t="n"/>
      <c r="U646" s="19" t="n"/>
      <c r="V646" s="19" t="n"/>
      <c r="W646" s="19" t="n"/>
      <c r="X646" s="19" t="n"/>
      <c r="Y646" s="19" t="n"/>
      <c r="Z646" s="21">
        <f>IF(AND($A646="",$B646=""),"",IF(OR($E646="",$H646="",$H646="Proposed",$H646="Not Reported"),0,IF(AND($P646="Y",$Q646&lt;&gt;"Y"),0,IF(AND($K646="Point",N($L646)&lt;=0),0,IF(AND(N($L646)&lt;=0,N($N646)&lt;=0,N($R646)+N($S646)&lt;=0),0,1)))))</f>
        <v/>
      </c>
      <c r="AA646" s="21">
        <f>IF(AND($A646="",$B646=""),"",IF($E646="","Site type missing",IF($H646="","STATUS missing",IF($H646="Proposed","STATUS = Proposed",IF($H646="Not Reported","STATUS = Not Reported",IF(AND($P646="Y",$Q646&lt;&gt;"Y"),"UNESCO-MAB Biosphere Reserve",IF(AND($K646="Point",N($L646)&lt;=0),"Point without REP_AREA",IF(AND(N($L646)&lt;=0,N($N646)&lt;=0,N($R646)+N($S646)&lt;=0),"No area information",""))))))))</f>
        <v/>
      </c>
      <c r="AB646" s="22">
        <f>IF(AND($A646="",$B646=""),"",IF($K646="Point",N($L646),IF(N($N646)&gt;0,N($N646),N($L646))))</f>
        <v/>
      </c>
      <c r="AC646" s="22">
        <f>IF(AND($A646="",$B646=""),"",MIN(AB646,IF(N($J646)=0,0,IF(N($J646)=2,AB646,IF(AND($K646&lt;&gt;"Point",N($O646)&gt;0),N($O646),N($M646))))))</f>
        <v/>
      </c>
      <c r="AD646" s="22">
        <f>IF(AND($A646="",$B646=""),"",MAX(0,AB646-AC646))</f>
        <v/>
      </c>
      <c r="AE646" s="21">
        <f>IF(AND($A646="",$B646=""),"",IF(OR($R646&lt;&gt;"",$S646&lt;&gt;""),1,0))</f>
        <v/>
      </c>
      <c r="AF646" s="22">
        <f>IF(AND($A646="",$B646=""),"",IF(Z646=1,IF(AE646=1,N($R646),AD646),0))</f>
        <v/>
      </c>
      <c r="AG646" s="22">
        <f>IF(AND($A646="",$B646=""),"",IF(Z646=1,IF(AE646=1,N($S646),AC646),0))</f>
        <v/>
      </c>
      <c r="AH646" s="21">
        <f>IF(AND($A646="",$B646=""),"",IF(AND(ISNUMBER($I646),N($I646)&gt;0),$I646,0))</f>
        <v/>
      </c>
      <c r="AI646" s="23">
        <f>IF(AND(NOT(AND($A646="",$B646="")),$K646="Point",N($L646)&gt;0),SQRT(N($L646)/PI()),"")</f>
        <v/>
      </c>
      <c r="AJ646" s="21">
        <f>IF(AND($A646="",$B646=""),"",IFERROR(VLOOKUP($G646,Lists!$D$4:$E$15,2,FALSE),"Not reported"))</f>
        <v/>
      </c>
      <c r="AK646" s="21">
        <f>IF(AND($A646="",$B646=""),"",IF($X646&lt;&gt;"",$X646,IF($T646&lt;&gt;"Y","Not assessed",IF(AND(ISNUMBER($V646),Setup!$B$6-$V646&gt;Setup!$B$26),"Assessment outdated",IF(NOT(ISNUMBER($W646)),"Assessed – no score",IF($W646&gt;=Setup!$B$24,"High",IF($W646&gt;=Setup!$B$25,"Moderate","Low")))))))</f>
        <v/>
      </c>
      <c r="AL646" s="21">
        <f>IF(AND($A646="",$B646=""),"",IF(Z646=0,"",IF(AND(AE646=1,N($R646)&gt;AD646*1.01+0.001),"Net terrestrial &gt; gross; ","")&amp;IF(AND(AE646=1,N($S646)&gt;AC646*1.01+0.001),"Net marine &gt; gross; ","")&amp;IF(AE646=0,"No net area – gross used, overlaps may be double-counted; ","")&amp;IF(AH646=0,"STATUS_YR missing – imputed in time series; ","")&amp;IF(AND(ISNUMBER($I646),N($I646)&gt;Setup!$B$6),"STATUS_YR after reporting year; ","")&amp;IF(OR($G646="",$G646="Not Reported"),"GOV_TYPE not reported; ","")&amp;IF(AND(N($J646)=1,$K646="Point",N($M646)&lt;=0),"Coastal point without REP_M_AREA – land/sea split unknown; ","")&amp;IF(AND(N($J646)=0,N($S646)&gt;0),"MARINE=0 but net marine &gt;0; ","")&amp;IF(AND(N($J646)=2,N($R646)&gt;0),"MARINE=2 but net terrestrial &gt;0; ","")&amp;IF($K646="Point","Buffered point – coverage approximate; ","")))</f>
        <v/>
      </c>
    </row>
    <row r="647">
      <c r="A647" s="19" t="n"/>
      <c r="B647" s="19" t="n"/>
      <c r="C647" s="19" t="n"/>
      <c r="D647" s="19" t="n"/>
      <c r="E647" s="19" t="n"/>
      <c r="F647" s="19" t="n"/>
      <c r="G647" s="19" t="n"/>
      <c r="H647" s="19" t="n"/>
      <c r="I647" s="19" t="n"/>
      <c r="J647" s="19" t="n"/>
      <c r="K647" s="19" t="n"/>
      <c r="L647" s="20" t="n"/>
      <c r="M647" s="20" t="n"/>
      <c r="N647" s="20" t="n"/>
      <c r="O647" s="20" t="n"/>
      <c r="P647" s="19" t="n"/>
      <c r="Q647" s="19" t="n"/>
      <c r="R647" s="20" t="n"/>
      <c r="S647" s="20" t="n"/>
      <c r="T647" s="19" t="n"/>
      <c r="U647" s="19" t="n"/>
      <c r="V647" s="19" t="n"/>
      <c r="W647" s="19" t="n"/>
      <c r="X647" s="19" t="n"/>
      <c r="Y647" s="19" t="n"/>
      <c r="Z647" s="21">
        <f>IF(AND($A647="",$B647=""),"",IF(OR($E647="",$H647="",$H647="Proposed",$H647="Not Reported"),0,IF(AND($P647="Y",$Q647&lt;&gt;"Y"),0,IF(AND($K647="Point",N($L647)&lt;=0),0,IF(AND(N($L647)&lt;=0,N($N647)&lt;=0,N($R647)+N($S647)&lt;=0),0,1)))))</f>
        <v/>
      </c>
      <c r="AA647" s="21">
        <f>IF(AND($A647="",$B647=""),"",IF($E647="","Site type missing",IF($H647="","STATUS missing",IF($H647="Proposed","STATUS = Proposed",IF($H647="Not Reported","STATUS = Not Reported",IF(AND($P647="Y",$Q647&lt;&gt;"Y"),"UNESCO-MAB Biosphere Reserve",IF(AND($K647="Point",N($L647)&lt;=0),"Point without REP_AREA",IF(AND(N($L647)&lt;=0,N($N647)&lt;=0,N($R647)+N($S647)&lt;=0),"No area information",""))))))))</f>
        <v/>
      </c>
      <c r="AB647" s="22">
        <f>IF(AND($A647="",$B647=""),"",IF($K647="Point",N($L647),IF(N($N647)&gt;0,N($N647),N($L647))))</f>
        <v/>
      </c>
      <c r="AC647" s="22">
        <f>IF(AND($A647="",$B647=""),"",MIN(AB647,IF(N($J647)=0,0,IF(N($J647)=2,AB647,IF(AND($K647&lt;&gt;"Point",N($O647)&gt;0),N($O647),N($M647))))))</f>
        <v/>
      </c>
      <c r="AD647" s="22">
        <f>IF(AND($A647="",$B647=""),"",MAX(0,AB647-AC647))</f>
        <v/>
      </c>
      <c r="AE647" s="21">
        <f>IF(AND($A647="",$B647=""),"",IF(OR($R647&lt;&gt;"",$S647&lt;&gt;""),1,0))</f>
        <v/>
      </c>
      <c r="AF647" s="22">
        <f>IF(AND($A647="",$B647=""),"",IF(Z647=1,IF(AE647=1,N($R647),AD647),0))</f>
        <v/>
      </c>
      <c r="AG647" s="22">
        <f>IF(AND($A647="",$B647=""),"",IF(Z647=1,IF(AE647=1,N($S647),AC647),0))</f>
        <v/>
      </c>
      <c r="AH647" s="21">
        <f>IF(AND($A647="",$B647=""),"",IF(AND(ISNUMBER($I647),N($I647)&gt;0),$I647,0))</f>
        <v/>
      </c>
      <c r="AI647" s="23">
        <f>IF(AND(NOT(AND($A647="",$B647="")),$K647="Point",N($L647)&gt;0),SQRT(N($L647)/PI()),"")</f>
        <v/>
      </c>
      <c r="AJ647" s="21">
        <f>IF(AND($A647="",$B647=""),"",IFERROR(VLOOKUP($G647,Lists!$D$4:$E$15,2,FALSE),"Not reported"))</f>
        <v/>
      </c>
      <c r="AK647" s="21">
        <f>IF(AND($A647="",$B647=""),"",IF($X647&lt;&gt;"",$X647,IF($T647&lt;&gt;"Y","Not assessed",IF(AND(ISNUMBER($V647),Setup!$B$6-$V647&gt;Setup!$B$26),"Assessment outdated",IF(NOT(ISNUMBER($W647)),"Assessed – no score",IF($W647&gt;=Setup!$B$24,"High",IF($W647&gt;=Setup!$B$25,"Moderate","Low")))))))</f>
        <v/>
      </c>
      <c r="AL647" s="21">
        <f>IF(AND($A647="",$B647=""),"",IF(Z647=0,"",IF(AND(AE647=1,N($R647)&gt;AD647*1.01+0.001),"Net terrestrial &gt; gross; ","")&amp;IF(AND(AE647=1,N($S647)&gt;AC647*1.01+0.001),"Net marine &gt; gross; ","")&amp;IF(AE647=0,"No net area – gross used, overlaps may be double-counted; ","")&amp;IF(AH647=0,"STATUS_YR missing – imputed in time series; ","")&amp;IF(AND(ISNUMBER($I647),N($I647)&gt;Setup!$B$6),"STATUS_YR after reporting year; ","")&amp;IF(OR($G647="",$G647="Not Reported"),"GOV_TYPE not reported; ","")&amp;IF(AND(N($J647)=1,$K647="Point",N($M647)&lt;=0),"Coastal point without REP_M_AREA – land/sea split unknown; ","")&amp;IF(AND(N($J647)=0,N($S647)&gt;0),"MARINE=0 but net marine &gt;0; ","")&amp;IF(AND(N($J647)=2,N($R647)&gt;0),"MARINE=2 but net terrestrial &gt;0; ","")&amp;IF($K647="Point","Buffered point – coverage approximate; ","")))</f>
        <v/>
      </c>
    </row>
    <row r="648">
      <c r="A648" s="19" t="n"/>
      <c r="B648" s="19" t="n"/>
      <c r="C648" s="19" t="n"/>
      <c r="D648" s="19" t="n"/>
      <c r="E648" s="19" t="n"/>
      <c r="F648" s="19" t="n"/>
      <c r="G648" s="19" t="n"/>
      <c r="H648" s="19" t="n"/>
      <c r="I648" s="19" t="n"/>
      <c r="J648" s="19" t="n"/>
      <c r="K648" s="19" t="n"/>
      <c r="L648" s="20" t="n"/>
      <c r="M648" s="20" t="n"/>
      <c r="N648" s="20" t="n"/>
      <c r="O648" s="20" t="n"/>
      <c r="P648" s="19" t="n"/>
      <c r="Q648" s="19" t="n"/>
      <c r="R648" s="20" t="n"/>
      <c r="S648" s="20" t="n"/>
      <c r="T648" s="19" t="n"/>
      <c r="U648" s="19" t="n"/>
      <c r="V648" s="19" t="n"/>
      <c r="W648" s="19" t="n"/>
      <c r="X648" s="19" t="n"/>
      <c r="Y648" s="19" t="n"/>
      <c r="Z648" s="21">
        <f>IF(AND($A648="",$B648=""),"",IF(OR($E648="",$H648="",$H648="Proposed",$H648="Not Reported"),0,IF(AND($P648="Y",$Q648&lt;&gt;"Y"),0,IF(AND($K648="Point",N($L648)&lt;=0),0,IF(AND(N($L648)&lt;=0,N($N648)&lt;=0,N($R648)+N($S648)&lt;=0),0,1)))))</f>
        <v/>
      </c>
      <c r="AA648" s="21">
        <f>IF(AND($A648="",$B648=""),"",IF($E648="","Site type missing",IF($H648="","STATUS missing",IF($H648="Proposed","STATUS = Proposed",IF($H648="Not Reported","STATUS = Not Reported",IF(AND($P648="Y",$Q648&lt;&gt;"Y"),"UNESCO-MAB Biosphere Reserve",IF(AND($K648="Point",N($L648)&lt;=0),"Point without REP_AREA",IF(AND(N($L648)&lt;=0,N($N648)&lt;=0,N($R648)+N($S648)&lt;=0),"No area information",""))))))))</f>
        <v/>
      </c>
      <c r="AB648" s="22">
        <f>IF(AND($A648="",$B648=""),"",IF($K648="Point",N($L648),IF(N($N648)&gt;0,N($N648),N($L648))))</f>
        <v/>
      </c>
      <c r="AC648" s="22">
        <f>IF(AND($A648="",$B648=""),"",MIN(AB648,IF(N($J648)=0,0,IF(N($J648)=2,AB648,IF(AND($K648&lt;&gt;"Point",N($O648)&gt;0),N($O648),N($M648))))))</f>
        <v/>
      </c>
      <c r="AD648" s="22">
        <f>IF(AND($A648="",$B648=""),"",MAX(0,AB648-AC648))</f>
        <v/>
      </c>
      <c r="AE648" s="21">
        <f>IF(AND($A648="",$B648=""),"",IF(OR($R648&lt;&gt;"",$S648&lt;&gt;""),1,0))</f>
        <v/>
      </c>
      <c r="AF648" s="22">
        <f>IF(AND($A648="",$B648=""),"",IF(Z648=1,IF(AE648=1,N($R648),AD648),0))</f>
        <v/>
      </c>
      <c r="AG648" s="22">
        <f>IF(AND($A648="",$B648=""),"",IF(Z648=1,IF(AE648=1,N($S648),AC648),0))</f>
        <v/>
      </c>
      <c r="AH648" s="21">
        <f>IF(AND($A648="",$B648=""),"",IF(AND(ISNUMBER($I648),N($I648)&gt;0),$I648,0))</f>
        <v/>
      </c>
      <c r="AI648" s="23">
        <f>IF(AND(NOT(AND($A648="",$B648="")),$K648="Point",N($L648)&gt;0),SQRT(N($L648)/PI()),"")</f>
        <v/>
      </c>
      <c r="AJ648" s="21">
        <f>IF(AND($A648="",$B648=""),"",IFERROR(VLOOKUP($G648,Lists!$D$4:$E$15,2,FALSE),"Not reported"))</f>
        <v/>
      </c>
      <c r="AK648" s="21">
        <f>IF(AND($A648="",$B648=""),"",IF($X648&lt;&gt;"",$X648,IF($T648&lt;&gt;"Y","Not assessed",IF(AND(ISNUMBER($V648),Setup!$B$6-$V648&gt;Setup!$B$26),"Assessment outdated",IF(NOT(ISNUMBER($W648)),"Assessed – no score",IF($W648&gt;=Setup!$B$24,"High",IF($W648&gt;=Setup!$B$25,"Moderate","Low")))))))</f>
        <v/>
      </c>
      <c r="AL648" s="21">
        <f>IF(AND($A648="",$B648=""),"",IF(Z648=0,"",IF(AND(AE648=1,N($R648)&gt;AD648*1.01+0.001),"Net terrestrial &gt; gross; ","")&amp;IF(AND(AE648=1,N($S648)&gt;AC648*1.01+0.001),"Net marine &gt; gross; ","")&amp;IF(AE648=0,"No net area – gross used, overlaps may be double-counted; ","")&amp;IF(AH648=0,"STATUS_YR missing – imputed in time series; ","")&amp;IF(AND(ISNUMBER($I648),N($I648)&gt;Setup!$B$6),"STATUS_YR after reporting year; ","")&amp;IF(OR($G648="",$G648="Not Reported"),"GOV_TYPE not reported; ","")&amp;IF(AND(N($J648)=1,$K648="Point",N($M648)&lt;=0),"Coastal point without REP_M_AREA – land/sea split unknown; ","")&amp;IF(AND(N($J648)=0,N($S648)&gt;0),"MARINE=0 but net marine &gt;0; ","")&amp;IF(AND(N($J648)=2,N($R648)&gt;0),"MARINE=2 but net terrestrial &gt;0; ","")&amp;IF($K648="Point","Buffered point – coverage approximate; ","")))</f>
        <v/>
      </c>
    </row>
    <row r="649">
      <c r="A649" s="19" t="n"/>
      <c r="B649" s="19" t="n"/>
      <c r="C649" s="19" t="n"/>
      <c r="D649" s="19" t="n"/>
      <c r="E649" s="19" t="n"/>
      <c r="F649" s="19" t="n"/>
      <c r="G649" s="19" t="n"/>
      <c r="H649" s="19" t="n"/>
      <c r="I649" s="19" t="n"/>
      <c r="J649" s="19" t="n"/>
      <c r="K649" s="19" t="n"/>
      <c r="L649" s="20" t="n"/>
      <c r="M649" s="20" t="n"/>
      <c r="N649" s="20" t="n"/>
      <c r="O649" s="20" t="n"/>
      <c r="P649" s="19" t="n"/>
      <c r="Q649" s="19" t="n"/>
      <c r="R649" s="20" t="n"/>
      <c r="S649" s="20" t="n"/>
      <c r="T649" s="19" t="n"/>
      <c r="U649" s="19" t="n"/>
      <c r="V649" s="19" t="n"/>
      <c r="W649" s="19" t="n"/>
      <c r="X649" s="19" t="n"/>
      <c r="Y649" s="19" t="n"/>
      <c r="Z649" s="21">
        <f>IF(AND($A649="",$B649=""),"",IF(OR($E649="",$H649="",$H649="Proposed",$H649="Not Reported"),0,IF(AND($P649="Y",$Q649&lt;&gt;"Y"),0,IF(AND($K649="Point",N($L649)&lt;=0),0,IF(AND(N($L649)&lt;=0,N($N649)&lt;=0,N($R649)+N($S649)&lt;=0),0,1)))))</f>
        <v/>
      </c>
      <c r="AA649" s="21">
        <f>IF(AND($A649="",$B649=""),"",IF($E649="","Site type missing",IF($H649="","STATUS missing",IF($H649="Proposed","STATUS = Proposed",IF($H649="Not Reported","STATUS = Not Reported",IF(AND($P649="Y",$Q649&lt;&gt;"Y"),"UNESCO-MAB Biosphere Reserve",IF(AND($K649="Point",N($L649)&lt;=0),"Point without REP_AREA",IF(AND(N($L649)&lt;=0,N($N649)&lt;=0,N($R649)+N($S649)&lt;=0),"No area information",""))))))))</f>
        <v/>
      </c>
      <c r="AB649" s="22">
        <f>IF(AND($A649="",$B649=""),"",IF($K649="Point",N($L649),IF(N($N649)&gt;0,N($N649),N($L649))))</f>
        <v/>
      </c>
      <c r="AC649" s="22">
        <f>IF(AND($A649="",$B649=""),"",MIN(AB649,IF(N($J649)=0,0,IF(N($J649)=2,AB649,IF(AND($K649&lt;&gt;"Point",N($O649)&gt;0),N($O649),N($M649))))))</f>
        <v/>
      </c>
      <c r="AD649" s="22">
        <f>IF(AND($A649="",$B649=""),"",MAX(0,AB649-AC649))</f>
        <v/>
      </c>
      <c r="AE649" s="21">
        <f>IF(AND($A649="",$B649=""),"",IF(OR($R649&lt;&gt;"",$S649&lt;&gt;""),1,0))</f>
        <v/>
      </c>
      <c r="AF649" s="22">
        <f>IF(AND($A649="",$B649=""),"",IF(Z649=1,IF(AE649=1,N($R649),AD649),0))</f>
        <v/>
      </c>
      <c r="AG649" s="22">
        <f>IF(AND($A649="",$B649=""),"",IF(Z649=1,IF(AE649=1,N($S649),AC649),0))</f>
        <v/>
      </c>
      <c r="AH649" s="21">
        <f>IF(AND($A649="",$B649=""),"",IF(AND(ISNUMBER($I649),N($I649)&gt;0),$I649,0))</f>
        <v/>
      </c>
      <c r="AI649" s="23">
        <f>IF(AND(NOT(AND($A649="",$B649="")),$K649="Point",N($L649)&gt;0),SQRT(N($L649)/PI()),"")</f>
        <v/>
      </c>
      <c r="AJ649" s="21">
        <f>IF(AND($A649="",$B649=""),"",IFERROR(VLOOKUP($G649,Lists!$D$4:$E$15,2,FALSE),"Not reported"))</f>
        <v/>
      </c>
      <c r="AK649" s="21">
        <f>IF(AND($A649="",$B649=""),"",IF($X649&lt;&gt;"",$X649,IF($T649&lt;&gt;"Y","Not assessed",IF(AND(ISNUMBER($V649),Setup!$B$6-$V649&gt;Setup!$B$26),"Assessment outdated",IF(NOT(ISNUMBER($W649)),"Assessed – no score",IF($W649&gt;=Setup!$B$24,"High",IF($W649&gt;=Setup!$B$25,"Moderate","Low")))))))</f>
        <v/>
      </c>
      <c r="AL649" s="21">
        <f>IF(AND($A649="",$B649=""),"",IF(Z649=0,"",IF(AND(AE649=1,N($R649)&gt;AD649*1.01+0.001),"Net terrestrial &gt; gross; ","")&amp;IF(AND(AE649=1,N($S649)&gt;AC649*1.01+0.001),"Net marine &gt; gross; ","")&amp;IF(AE649=0,"No net area – gross used, overlaps may be double-counted; ","")&amp;IF(AH649=0,"STATUS_YR missing – imputed in time series; ","")&amp;IF(AND(ISNUMBER($I649),N($I649)&gt;Setup!$B$6),"STATUS_YR after reporting year; ","")&amp;IF(OR($G649="",$G649="Not Reported"),"GOV_TYPE not reported; ","")&amp;IF(AND(N($J649)=1,$K649="Point",N($M649)&lt;=0),"Coastal point without REP_M_AREA – land/sea split unknown; ","")&amp;IF(AND(N($J649)=0,N($S649)&gt;0),"MARINE=0 but net marine &gt;0; ","")&amp;IF(AND(N($J649)=2,N($R649)&gt;0),"MARINE=2 but net terrestrial &gt;0; ","")&amp;IF($K649="Point","Buffered point – coverage approximate; ","")))</f>
        <v/>
      </c>
    </row>
    <row r="650">
      <c r="A650" s="19" t="n"/>
      <c r="B650" s="19" t="n"/>
      <c r="C650" s="19" t="n"/>
      <c r="D650" s="19" t="n"/>
      <c r="E650" s="19" t="n"/>
      <c r="F650" s="19" t="n"/>
      <c r="G650" s="19" t="n"/>
      <c r="H650" s="19" t="n"/>
      <c r="I650" s="19" t="n"/>
      <c r="J650" s="19" t="n"/>
      <c r="K650" s="19" t="n"/>
      <c r="L650" s="20" t="n"/>
      <c r="M650" s="20" t="n"/>
      <c r="N650" s="20" t="n"/>
      <c r="O650" s="20" t="n"/>
      <c r="P650" s="19" t="n"/>
      <c r="Q650" s="19" t="n"/>
      <c r="R650" s="20" t="n"/>
      <c r="S650" s="20" t="n"/>
      <c r="T650" s="19" t="n"/>
      <c r="U650" s="19" t="n"/>
      <c r="V650" s="19" t="n"/>
      <c r="W650" s="19" t="n"/>
      <c r="X650" s="19" t="n"/>
      <c r="Y650" s="19" t="n"/>
      <c r="Z650" s="21">
        <f>IF(AND($A650="",$B650=""),"",IF(OR($E650="",$H650="",$H650="Proposed",$H650="Not Reported"),0,IF(AND($P650="Y",$Q650&lt;&gt;"Y"),0,IF(AND($K650="Point",N($L650)&lt;=0),0,IF(AND(N($L650)&lt;=0,N($N650)&lt;=0,N($R650)+N($S650)&lt;=0),0,1)))))</f>
        <v/>
      </c>
      <c r="AA650" s="21">
        <f>IF(AND($A650="",$B650=""),"",IF($E650="","Site type missing",IF($H650="","STATUS missing",IF($H650="Proposed","STATUS = Proposed",IF($H650="Not Reported","STATUS = Not Reported",IF(AND($P650="Y",$Q650&lt;&gt;"Y"),"UNESCO-MAB Biosphere Reserve",IF(AND($K650="Point",N($L650)&lt;=0),"Point without REP_AREA",IF(AND(N($L650)&lt;=0,N($N650)&lt;=0,N($R650)+N($S650)&lt;=0),"No area information",""))))))))</f>
        <v/>
      </c>
      <c r="AB650" s="22">
        <f>IF(AND($A650="",$B650=""),"",IF($K650="Point",N($L650),IF(N($N650)&gt;0,N($N650),N($L650))))</f>
        <v/>
      </c>
      <c r="AC650" s="22">
        <f>IF(AND($A650="",$B650=""),"",MIN(AB650,IF(N($J650)=0,0,IF(N($J650)=2,AB650,IF(AND($K650&lt;&gt;"Point",N($O650)&gt;0),N($O650),N($M650))))))</f>
        <v/>
      </c>
      <c r="AD650" s="22">
        <f>IF(AND($A650="",$B650=""),"",MAX(0,AB650-AC650))</f>
        <v/>
      </c>
      <c r="AE650" s="21">
        <f>IF(AND($A650="",$B650=""),"",IF(OR($R650&lt;&gt;"",$S650&lt;&gt;""),1,0))</f>
        <v/>
      </c>
      <c r="AF650" s="22">
        <f>IF(AND($A650="",$B650=""),"",IF(Z650=1,IF(AE650=1,N($R650),AD650),0))</f>
        <v/>
      </c>
      <c r="AG650" s="22">
        <f>IF(AND($A650="",$B650=""),"",IF(Z650=1,IF(AE650=1,N($S650),AC650),0))</f>
        <v/>
      </c>
      <c r="AH650" s="21">
        <f>IF(AND($A650="",$B650=""),"",IF(AND(ISNUMBER($I650),N($I650)&gt;0),$I650,0))</f>
        <v/>
      </c>
      <c r="AI650" s="23">
        <f>IF(AND(NOT(AND($A650="",$B650="")),$K650="Point",N($L650)&gt;0),SQRT(N($L650)/PI()),"")</f>
        <v/>
      </c>
      <c r="AJ650" s="21">
        <f>IF(AND($A650="",$B650=""),"",IFERROR(VLOOKUP($G650,Lists!$D$4:$E$15,2,FALSE),"Not reported"))</f>
        <v/>
      </c>
      <c r="AK650" s="21">
        <f>IF(AND($A650="",$B650=""),"",IF($X650&lt;&gt;"",$X650,IF($T650&lt;&gt;"Y","Not assessed",IF(AND(ISNUMBER($V650),Setup!$B$6-$V650&gt;Setup!$B$26),"Assessment outdated",IF(NOT(ISNUMBER($W650)),"Assessed – no score",IF($W650&gt;=Setup!$B$24,"High",IF($W650&gt;=Setup!$B$25,"Moderate","Low")))))))</f>
        <v/>
      </c>
      <c r="AL650" s="21">
        <f>IF(AND($A650="",$B650=""),"",IF(Z650=0,"",IF(AND(AE650=1,N($R650)&gt;AD650*1.01+0.001),"Net terrestrial &gt; gross; ","")&amp;IF(AND(AE650=1,N($S650)&gt;AC650*1.01+0.001),"Net marine &gt; gross; ","")&amp;IF(AE650=0,"No net area – gross used, overlaps may be double-counted; ","")&amp;IF(AH650=0,"STATUS_YR missing – imputed in time series; ","")&amp;IF(AND(ISNUMBER($I650),N($I650)&gt;Setup!$B$6),"STATUS_YR after reporting year; ","")&amp;IF(OR($G650="",$G650="Not Reported"),"GOV_TYPE not reported; ","")&amp;IF(AND(N($J650)=1,$K650="Point",N($M650)&lt;=0),"Coastal point without REP_M_AREA – land/sea split unknown; ","")&amp;IF(AND(N($J650)=0,N($S650)&gt;0),"MARINE=0 but net marine &gt;0; ","")&amp;IF(AND(N($J650)=2,N($R650)&gt;0),"MARINE=2 but net terrestrial &gt;0; ","")&amp;IF($K650="Point","Buffered point – coverage approximate; ","")))</f>
        <v/>
      </c>
    </row>
    <row r="651">
      <c r="A651" s="19" t="n"/>
      <c r="B651" s="19" t="n"/>
      <c r="C651" s="19" t="n"/>
      <c r="D651" s="19" t="n"/>
      <c r="E651" s="19" t="n"/>
      <c r="F651" s="19" t="n"/>
      <c r="G651" s="19" t="n"/>
      <c r="H651" s="19" t="n"/>
      <c r="I651" s="19" t="n"/>
      <c r="J651" s="19" t="n"/>
      <c r="K651" s="19" t="n"/>
      <c r="L651" s="20" t="n"/>
      <c r="M651" s="20" t="n"/>
      <c r="N651" s="20" t="n"/>
      <c r="O651" s="20" t="n"/>
      <c r="P651" s="19" t="n"/>
      <c r="Q651" s="19" t="n"/>
      <c r="R651" s="20" t="n"/>
      <c r="S651" s="20" t="n"/>
      <c r="T651" s="19" t="n"/>
      <c r="U651" s="19" t="n"/>
      <c r="V651" s="19" t="n"/>
      <c r="W651" s="19" t="n"/>
      <c r="X651" s="19" t="n"/>
      <c r="Y651" s="19" t="n"/>
      <c r="Z651" s="21">
        <f>IF(AND($A651="",$B651=""),"",IF(OR($E651="",$H651="",$H651="Proposed",$H651="Not Reported"),0,IF(AND($P651="Y",$Q651&lt;&gt;"Y"),0,IF(AND($K651="Point",N($L651)&lt;=0),0,IF(AND(N($L651)&lt;=0,N($N651)&lt;=0,N($R651)+N($S651)&lt;=0),0,1)))))</f>
        <v/>
      </c>
      <c r="AA651" s="21">
        <f>IF(AND($A651="",$B651=""),"",IF($E651="","Site type missing",IF($H651="","STATUS missing",IF($H651="Proposed","STATUS = Proposed",IF($H651="Not Reported","STATUS = Not Reported",IF(AND($P651="Y",$Q651&lt;&gt;"Y"),"UNESCO-MAB Biosphere Reserve",IF(AND($K651="Point",N($L651)&lt;=0),"Point without REP_AREA",IF(AND(N($L651)&lt;=0,N($N651)&lt;=0,N($R651)+N($S651)&lt;=0),"No area information",""))))))))</f>
        <v/>
      </c>
      <c r="AB651" s="22">
        <f>IF(AND($A651="",$B651=""),"",IF($K651="Point",N($L651),IF(N($N651)&gt;0,N($N651),N($L651))))</f>
        <v/>
      </c>
      <c r="AC651" s="22">
        <f>IF(AND($A651="",$B651=""),"",MIN(AB651,IF(N($J651)=0,0,IF(N($J651)=2,AB651,IF(AND($K651&lt;&gt;"Point",N($O651)&gt;0),N($O651),N($M651))))))</f>
        <v/>
      </c>
      <c r="AD651" s="22">
        <f>IF(AND($A651="",$B651=""),"",MAX(0,AB651-AC651))</f>
        <v/>
      </c>
      <c r="AE651" s="21">
        <f>IF(AND($A651="",$B651=""),"",IF(OR($R651&lt;&gt;"",$S651&lt;&gt;""),1,0))</f>
        <v/>
      </c>
      <c r="AF651" s="22">
        <f>IF(AND($A651="",$B651=""),"",IF(Z651=1,IF(AE651=1,N($R651),AD651),0))</f>
        <v/>
      </c>
      <c r="AG651" s="22">
        <f>IF(AND($A651="",$B651=""),"",IF(Z651=1,IF(AE651=1,N($S651),AC651),0))</f>
        <v/>
      </c>
      <c r="AH651" s="21">
        <f>IF(AND($A651="",$B651=""),"",IF(AND(ISNUMBER($I651),N($I651)&gt;0),$I651,0))</f>
        <v/>
      </c>
      <c r="AI651" s="23">
        <f>IF(AND(NOT(AND($A651="",$B651="")),$K651="Point",N($L651)&gt;0),SQRT(N($L651)/PI()),"")</f>
        <v/>
      </c>
      <c r="AJ651" s="21">
        <f>IF(AND($A651="",$B651=""),"",IFERROR(VLOOKUP($G651,Lists!$D$4:$E$15,2,FALSE),"Not reported"))</f>
        <v/>
      </c>
      <c r="AK651" s="21">
        <f>IF(AND($A651="",$B651=""),"",IF($X651&lt;&gt;"",$X651,IF($T651&lt;&gt;"Y","Not assessed",IF(AND(ISNUMBER($V651),Setup!$B$6-$V651&gt;Setup!$B$26),"Assessment outdated",IF(NOT(ISNUMBER($W651)),"Assessed – no score",IF($W651&gt;=Setup!$B$24,"High",IF($W651&gt;=Setup!$B$25,"Moderate","Low")))))))</f>
        <v/>
      </c>
      <c r="AL651" s="21">
        <f>IF(AND($A651="",$B651=""),"",IF(Z651=0,"",IF(AND(AE651=1,N($R651)&gt;AD651*1.01+0.001),"Net terrestrial &gt; gross; ","")&amp;IF(AND(AE651=1,N($S651)&gt;AC651*1.01+0.001),"Net marine &gt; gross; ","")&amp;IF(AE651=0,"No net area – gross used, overlaps may be double-counted; ","")&amp;IF(AH651=0,"STATUS_YR missing – imputed in time series; ","")&amp;IF(AND(ISNUMBER($I651),N($I651)&gt;Setup!$B$6),"STATUS_YR after reporting year; ","")&amp;IF(OR($G651="",$G651="Not Reported"),"GOV_TYPE not reported; ","")&amp;IF(AND(N($J651)=1,$K651="Point",N($M651)&lt;=0),"Coastal point without REP_M_AREA – land/sea split unknown; ","")&amp;IF(AND(N($J651)=0,N($S651)&gt;0),"MARINE=0 but net marine &gt;0; ","")&amp;IF(AND(N($J651)=2,N($R651)&gt;0),"MARINE=2 but net terrestrial &gt;0; ","")&amp;IF($K651="Point","Buffered point – coverage approximate; ","")))</f>
        <v/>
      </c>
    </row>
    <row r="652">
      <c r="A652" s="19" t="n"/>
      <c r="B652" s="19" t="n"/>
      <c r="C652" s="19" t="n"/>
      <c r="D652" s="19" t="n"/>
      <c r="E652" s="19" t="n"/>
      <c r="F652" s="19" t="n"/>
      <c r="G652" s="19" t="n"/>
      <c r="H652" s="19" t="n"/>
      <c r="I652" s="19" t="n"/>
      <c r="J652" s="19" t="n"/>
      <c r="K652" s="19" t="n"/>
      <c r="L652" s="20" t="n"/>
      <c r="M652" s="20" t="n"/>
      <c r="N652" s="20" t="n"/>
      <c r="O652" s="20" t="n"/>
      <c r="P652" s="19" t="n"/>
      <c r="Q652" s="19" t="n"/>
      <c r="R652" s="20" t="n"/>
      <c r="S652" s="20" t="n"/>
      <c r="T652" s="19" t="n"/>
      <c r="U652" s="19" t="n"/>
      <c r="V652" s="19" t="n"/>
      <c r="W652" s="19" t="n"/>
      <c r="X652" s="19" t="n"/>
      <c r="Y652" s="19" t="n"/>
      <c r="Z652" s="21">
        <f>IF(AND($A652="",$B652=""),"",IF(OR($E652="",$H652="",$H652="Proposed",$H652="Not Reported"),0,IF(AND($P652="Y",$Q652&lt;&gt;"Y"),0,IF(AND($K652="Point",N($L652)&lt;=0),0,IF(AND(N($L652)&lt;=0,N($N652)&lt;=0,N($R652)+N($S652)&lt;=0),0,1)))))</f>
        <v/>
      </c>
      <c r="AA652" s="21">
        <f>IF(AND($A652="",$B652=""),"",IF($E652="","Site type missing",IF($H652="","STATUS missing",IF($H652="Proposed","STATUS = Proposed",IF($H652="Not Reported","STATUS = Not Reported",IF(AND($P652="Y",$Q652&lt;&gt;"Y"),"UNESCO-MAB Biosphere Reserve",IF(AND($K652="Point",N($L652)&lt;=0),"Point without REP_AREA",IF(AND(N($L652)&lt;=0,N($N652)&lt;=0,N($R652)+N($S652)&lt;=0),"No area information",""))))))))</f>
        <v/>
      </c>
      <c r="AB652" s="22">
        <f>IF(AND($A652="",$B652=""),"",IF($K652="Point",N($L652),IF(N($N652)&gt;0,N($N652),N($L652))))</f>
        <v/>
      </c>
      <c r="AC652" s="22">
        <f>IF(AND($A652="",$B652=""),"",MIN(AB652,IF(N($J652)=0,0,IF(N($J652)=2,AB652,IF(AND($K652&lt;&gt;"Point",N($O652)&gt;0),N($O652),N($M652))))))</f>
        <v/>
      </c>
      <c r="AD652" s="22">
        <f>IF(AND($A652="",$B652=""),"",MAX(0,AB652-AC652))</f>
        <v/>
      </c>
      <c r="AE652" s="21">
        <f>IF(AND($A652="",$B652=""),"",IF(OR($R652&lt;&gt;"",$S652&lt;&gt;""),1,0))</f>
        <v/>
      </c>
      <c r="AF652" s="22">
        <f>IF(AND($A652="",$B652=""),"",IF(Z652=1,IF(AE652=1,N($R652),AD652),0))</f>
        <v/>
      </c>
      <c r="AG652" s="22">
        <f>IF(AND($A652="",$B652=""),"",IF(Z652=1,IF(AE652=1,N($S652),AC652),0))</f>
        <v/>
      </c>
      <c r="AH652" s="21">
        <f>IF(AND($A652="",$B652=""),"",IF(AND(ISNUMBER($I652),N($I652)&gt;0),$I652,0))</f>
        <v/>
      </c>
      <c r="AI652" s="23">
        <f>IF(AND(NOT(AND($A652="",$B652="")),$K652="Point",N($L652)&gt;0),SQRT(N($L652)/PI()),"")</f>
        <v/>
      </c>
      <c r="AJ652" s="21">
        <f>IF(AND($A652="",$B652=""),"",IFERROR(VLOOKUP($G652,Lists!$D$4:$E$15,2,FALSE),"Not reported"))</f>
        <v/>
      </c>
      <c r="AK652" s="21">
        <f>IF(AND($A652="",$B652=""),"",IF($X652&lt;&gt;"",$X652,IF($T652&lt;&gt;"Y","Not assessed",IF(AND(ISNUMBER($V652),Setup!$B$6-$V652&gt;Setup!$B$26),"Assessment outdated",IF(NOT(ISNUMBER($W652)),"Assessed – no score",IF($W652&gt;=Setup!$B$24,"High",IF($W652&gt;=Setup!$B$25,"Moderate","Low")))))))</f>
        <v/>
      </c>
      <c r="AL652" s="21">
        <f>IF(AND($A652="",$B652=""),"",IF(Z652=0,"",IF(AND(AE652=1,N($R652)&gt;AD652*1.01+0.001),"Net terrestrial &gt; gross; ","")&amp;IF(AND(AE652=1,N($S652)&gt;AC652*1.01+0.001),"Net marine &gt; gross; ","")&amp;IF(AE652=0,"No net area – gross used, overlaps may be double-counted; ","")&amp;IF(AH652=0,"STATUS_YR missing – imputed in time series; ","")&amp;IF(AND(ISNUMBER($I652),N($I652)&gt;Setup!$B$6),"STATUS_YR after reporting year; ","")&amp;IF(OR($G652="",$G652="Not Reported"),"GOV_TYPE not reported; ","")&amp;IF(AND(N($J652)=1,$K652="Point",N($M652)&lt;=0),"Coastal point without REP_M_AREA – land/sea split unknown; ","")&amp;IF(AND(N($J652)=0,N($S652)&gt;0),"MARINE=0 but net marine &gt;0; ","")&amp;IF(AND(N($J652)=2,N($R652)&gt;0),"MARINE=2 but net terrestrial &gt;0; ","")&amp;IF($K652="Point","Buffered point – coverage approximate; ","")))</f>
        <v/>
      </c>
    </row>
    <row r="653">
      <c r="A653" s="19" t="n"/>
      <c r="B653" s="19" t="n"/>
      <c r="C653" s="19" t="n"/>
      <c r="D653" s="19" t="n"/>
      <c r="E653" s="19" t="n"/>
      <c r="F653" s="19" t="n"/>
      <c r="G653" s="19" t="n"/>
      <c r="H653" s="19" t="n"/>
      <c r="I653" s="19" t="n"/>
      <c r="J653" s="19" t="n"/>
      <c r="K653" s="19" t="n"/>
      <c r="L653" s="20" t="n"/>
      <c r="M653" s="20" t="n"/>
      <c r="N653" s="20" t="n"/>
      <c r="O653" s="20" t="n"/>
      <c r="P653" s="19" t="n"/>
      <c r="Q653" s="19" t="n"/>
      <c r="R653" s="20" t="n"/>
      <c r="S653" s="20" t="n"/>
      <c r="T653" s="19" t="n"/>
      <c r="U653" s="19" t="n"/>
      <c r="V653" s="19" t="n"/>
      <c r="W653" s="19" t="n"/>
      <c r="X653" s="19" t="n"/>
      <c r="Y653" s="19" t="n"/>
      <c r="Z653" s="21">
        <f>IF(AND($A653="",$B653=""),"",IF(OR($E653="",$H653="",$H653="Proposed",$H653="Not Reported"),0,IF(AND($P653="Y",$Q653&lt;&gt;"Y"),0,IF(AND($K653="Point",N($L653)&lt;=0),0,IF(AND(N($L653)&lt;=0,N($N653)&lt;=0,N($R653)+N($S653)&lt;=0),0,1)))))</f>
        <v/>
      </c>
      <c r="AA653" s="21">
        <f>IF(AND($A653="",$B653=""),"",IF($E653="","Site type missing",IF($H653="","STATUS missing",IF($H653="Proposed","STATUS = Proposed",IF($H653="Not Reported","STATUS = Not Reported",IF(AND($P653="Y",$Q653&lt;&gt;"Y"),"UNESCO-MAB Biosphere Reserve",IF(AND($K653="Point",N($L653)&lt;=0),"Point without REP_AREA",IF(AND(N($L653)&lt;=0,N($N653)&lt;=0,N($R653)+N($S653)&lt;=0),"No area information",""))))))))</f>
        <v/>
      </c>
      <c r="AB653" s="22">
        <f>IF(AND($A653="",$B653=""),"",IF($K653="Point",N($L653),IF(N($N653)&gt;0,N($N653),N($L653))))</f>
        <v/>
      </c>
      <c r="AC653" s="22">
        <f>IF(AND($A653="",$B653=""),"",MIN(AB653,IF(N($J653)=0,0,IF(N($J653)=2,AB653,IF(AND($K653&lt;&gt;"Point",N($O653)&gt;0),N($O653),N($M653))))))</f>
        <v/>
      </c>
      <c r="AD653" s="22">
        <f>IF(AND($A653="",$B653=""),"",MAX(0,AB653-AC653))</f>
        <v/>
      </c>
      <c r="AE653" s="21">
        <f>IF(AND($A653="",$B653=""),"",IF(OR($R653&lt;&gt;"",$S653&lt;&gt;""),1,0))</f>
        <v/>
      </c>
      <c r="AF653" s="22">
        <f>IF(AND($A653="",$B653=""),"",IF(Z653=1,IF(AE653=1,N($R653),AD653),0))</f>
        <v/>
      </c>
      <c r="AG653" s="22">
        <f>IF(AND($A653="",$B653=""),"",IF(Z653=1,IF(AE653=1,N($S653),AC653),0))</f>
        <v/>
      </c>
      <c r="AH653" s="21">
        <f>IF(AND($A653="",$B653=""),"",IF(AND(ISNUMBER($I653),N($I653)&gt;0),$I653,0))</f>
        <v/>
      </c>
      <c r="AI653" s="23">
        <f>IF(AND(NOT(AND($A653="",$B653="")),$K653="Point",N($L653)&gt;0),SQRT(N($L653)/PI()),"")</f>
        <v/>
      </c>
      <c r="AJ653" s="21">
        <f>IF(AND($A653="",$B653=""),"",IFERROR(VLOOKUP($G653,Lists!$D$4:$E$15,2,FALSE),"Not reported"))</f>
        <v/>
      </c>
      <c r="AK653" s="21">
        <f>IF(AND($A653="",$B653=""),"",IF($X653&lt;&gt;"",$X653,IF($T653&lt;&gt;"Y","Not assessed",IF(AND(ISNUMBER($V653),Setup!$B$6-$V653&gt;Setup!$B$26),"Assessment outdated",IF(NOT(ISNUMBER($W653)),"Assessed – no score",IF($W653&gt;=Setup!$B$24,"High",IF($W653&gt;=Setup!$B$25,"Moderate","Low")))))))</f>
        <v/>
      </c>
      <c r="AL653" s="21">
        <f>IF(AND($A653="",$B653=""),"",IF(Z653=0,"",IF(AND(AE653=1,N($R653)&gt;AD653*1.01+0.001),"Net terrestrial &gt; gross; ","")&amp;IF(AND(AE653=1,N($S653)&gt;AC653*1.01+0.001),"Net marine &gt; gross; ","")&amp;IF(AE653=0,"No net area – gross used, overlaps may be double-counted; ","")&amp;IF(AH653=0,"STATUS_YR missing – imputed in time series; ","")&amp;IF(AND(ISNUMBER($I653),N($I653)&gt;Setup!$B$6),"STATUS_YR after reporting year; ","")&amp;IF(OR($G653="",$G653="Not Reported"),"GOV_TYPE not reported; ","")&amp;IF(AND(N($J653)=1,$K653="Point",N($M653)&lt;=0),"Coastal point without REP_M_AREA – land/sea split unknown; ","")&amp;IF(AND(N($J653)=0,N($S653)&gt;0),"MARINE=0 but net marine &gt;0; ","")&amp;IF(AND(N($J653)=2,N($R653)&gt;0),"MARINE=2 but net terrestrial &gt;0; ","")&amp;IF($K653="Point","Buffered point – coverage approximate; ","")))</f>
        <v/>
      </c>
    </row>
    <row r="654">
      <c r="A654" s="19" t="n"/>
      <c r="B654" s="19" t="n"/>
      <c r="C654" s="19" t="n"/>
      <c r="D654" s="19" t="n"/>
      <c r="E654" s="19" t="n"/>
      <c r="F654" s="19" t="n"/>
      <c r="G654" s="19" t="n"/>
      <c r="H654" s="19" t="n"/>
      <c r="I654" s="19" t="n"/>
      <c r="J654" s="19" t="n"/>
      <c r="K654" s="19" t="n"/>
      <c r="L654" s="20" t="n"/>
      <c r="M654" s="20" t="n"/>
      <c r="N654" s="20" t="n"/>
      <c r="O654" s="20" t="n"/>
      <c r="P654" s="19" t="n"/>
      <c r="Q654" s="19" t="n"/>
      <c r="R654" s="20" t="n"/>
      <c r="S654" s="20" t="n"/>
      <c r="T654" s="19" t="n"/>
      <c r="U654" s="19" t="n"/>
      <c r="V654" s="19" t="n"/>
      <c r="W654" s="19" t="n"/>
      <c r="X654" s="19" t="n"/>
      <c r="Y654" s="19" t="n"/>
      <c r="Z654" s="21">
        <f>IF(AND($A654="",$B654=""),"",IF(OR($E654="",$H654="",$H654="Proposed",$H654="Not Reported"),0,IF(AND($P654="Y",$Q654&lt;&gt;"Y"),0,IF(AND($K654="Point",N($L654)&lt;=0),0,IF(AND(N($L654)&lt;=0,N($N654)&lt;=0,N($R654)+N($S654)&lt;=0),0,1)))))</f>
        <v/>
      </c>
      <c r="AA654" s="21">
        <f>IF(AND($A654="",$B654=""),"",IF($E654="","Site type missing",IF($H654="","STATUS missing",IF($H654="Proposed","STATUS = Proposed",IF($H654="Not Reported","STATUS = Not Reported",IF(AND($P654="Y",$Q654&lt;&gt;"Y"),"UNESCO-MAB Biosphere Reserve",IF(AND($K654="Point",N($L654)&lt;=0),"Point without REP_AREA",IF(AND(N($L654)&lt;=0,N($N654)&lt;=0,N($R654)+N($S654)&lt;=0),"No area information",""))))))))</f>
        <v/>
      </c>
      <c r="AB654" s="22">
        <f>IF(AND($A654="",$B654=""),"",IF($K654="Point",N($L654),IF(N($N654)&gt;0,N($N654),N($L654))))</f>
        <v/>
      </c>
      <c r="AC654" s="22">
        <f>IF(AND($A654="",$B654=""),"",MIN(AB654,IF(N($J654)=0,0,IF(N($J654)=2,AB654,IF(AND($K654&lt;&gt;"Point",N($O654)&gt;0),N($O654),N($M654))))))</f>
        <v/>
      </c>
      <c r="AD654" s="22">
        <f>IF(AND($A654="",$B654=""),"",MAX(0,AB654-AC654))</f>
        <v/>
      </c>
      <c r="AE654" s="21">
        <f>IF(AND($A654="",$B654=""),"",IF(OR($R654&lt;&gt;"",$S654&lt;&gt;""),1,0))</f>
        <v/>
      </c>
      <c r="AF654" s="22">
        <f>IF(AND($A654="",$B654=""),"",IF(Z654=1,IF(AE654=1,N($R654),AD654),0))</f>
        <v/>
      </c>
      <c r="AG654" s="22">
        <f>IF(AND($A654="",$B654=""),"",IF(Z654=1,IF(AE654=1,N($S654),AC654),0))</f>
        <v/>
      </c>
      <c r="AH654" s="21">
        <f>IF(AND($A654="",$B654=""),"",IF(AND(ISNUMBER($I654),N($I654)&gt;0),$I654,0))</f>
        <v/>
      </c>
      <c r="AI654" s="23">
        <f>IF(AND(NOT(AND($A654="",$B654="")),$K654="Point",N($L654)&gt;0),SQRT(N($L654)/PI()),"")</f>
        <v/>
      </c>
      <c r="AJ654" s="21">
        <f>IF(AND($A654="",$B654=""),"",IFERROR(VLOOKUP($G654,Lists!$D$4:$E$15,2,FALSE),"Not reported"))</f>
        <v/>
      </c>
      <c r="AK654" s="21">
        <f>IF(AND($A654="",$B654=""),"",IF($X654&lt;&gt;"",$X654,IF($T654&lt;&gt;"Y","Not assessed",IF(AND(ISNUMBER($V654),Setup!$B$6-$V654&gt;Setup!$B$26),"Assessment outdated",IF(NOT(ISNUMBER($W654)),"Assessed – no score",IF($W654&gt;=Setup!$B$24,"High",IF($W654&gt;=Setup!$B$25,"Moderate","Low")))))))</f>
        <v/>
      </c>
      <c r="AL654" s="21">
        <f>IF(AND($A654="",$B654=""),"",IF(Z654=0,"",IF(AND(AE654=1,N($R654)&gt;AD654*1.01+0.001),"Net terrestrial &gt; gross; ","")&amp;IF(AND(AE654=1,N($S654)&gt;AC654*1.01+0.001),"Net marine &gt; gross; ","")&amp;IF(AE654=0,"No net area – gross used, overlaps may be double-counted; ","")&amp;IF(AH654=0,"STATUS_YR missing – imputed in time series; ","")&amp;IF(AND(ISNUMBER($I654),N($I654)&gt;Setup!$B$6),"STATUS_YR after reporting year; ","")&amp;IF(OR($G654="",$G654="Not Reported"),"GOV_TYPE not reported; ","")&amp;IF(AND(N($J654)=1,$K654="Point",N($M654)&lt;=0),"Coastal point without REP_M_AREA – land/sea split unknown; ","")&amp;IF(AND(N($J654)=0,N($S654)&gt;0),"MARINE=0 but net marine &gt;0; ","")&amp;IF(AND(N($J654)=2,N($R654)&gt;0),"MARINE=2 but net terrestrial &gt;0; ","")&amp;IF($K654="Point","Buffered point – coverage approximate; ","")))</f>
        <v/>
      </c>
    </row>
    <row r="655">
      <c r="A655" s="19" t="n"/>
      <c r="B655" s="19" t="n"/>
      <c r="C655" s="19" t="n"/>
      <c r="D655" s="19" t="n"/>
      <c r="E655" s="19" t="n"/>
      <c r="F655" s="19" t="n"/>
      <c r="G655" s="19" t="n"/>
      <c r="H655" s="19" t="n"/>
      <c r="I655" s="19" t="n"/>
      <c r="J655" s="19" t="n"/>
      <c r="K655" s="19" t="n"/>
      <c r="L655" s="20" t="n"/>
      <c r="M655" s="20" t="n"/>
      <c r="N655" s="20" t="n"/>
      <c r="O655" s="20" t="n"/>
      <c r="P655" s="19" t="n"/>
      <c r="Q655" s="19" t="n"/>
      <c r="R655" s="20" t="n"/>
      <c r="S655" s="20" t="n"/>
      <c r="T655" s="19" t="n"/>
      <c r="U655" s="19" t="n"/>
      <c r="V655" s="19" t="n"/>
      <c r="W655" s="19" t="n"/>
      <c r="X655" s="19" t="n"/>
      <c r="Y655" s="19" t="n"/>
      <c r="Z655" s="21">
        <f>IF(AND($A655="",$B655=""),"",IF(OR($E655="",$H655="",$H655="Proposed",$H655="Not Reported"),0,IF(AND($P655="Y",$Q655&lt;&gt;"Y"),0,IF(AND($K655="Point",N($L655)&lt;=0),0,IF(AND(N($L655)&lt;=0,N($N655)&lt;=0,N($R655)+N($S655)&lt;=0),0,1)))))</f>
        <v/>
      </c>
      <c r="AA655" s="21">
        <f>IF(AND($A655="",$B655=""),"",IF($E655="","Site type missing",IF($H655="","STATUS missing",IF($H655="Proposed","STATUS = Proposed",IF($H655="Not Reported","STATUS = Not Reported",IF(AND($P655="Y",$Q655&lt;&gt;"Y"),"UNESCO-MAB Biosphere Reserve",IF(AND($K655="Point",N($L655)&lt;=0),"Point without REP_AREA",IF(AND(N($L655)&lt;=0,N($N655)&lt;=0,N($R655)+N($S655)&lt;=0),"No area information",""))))))))</f>
        <v/>
      </c>
      <c r="AB655" s="22">
        <f>IF(AND($A655="",$B655=""),"",IF($K655="Point",N($L655),IF(N($N655)&gt;0,N($N655),N($L655))))</f>
        <v/>
      </c>
      <c r="AC655" s="22">
        <f>IF(AND($A655="",$B655=""),"",MIN(AB655,IF(N($J655)=0,0,IF(N($J655)=2,AB655,IF(AND($K655&lt;&gt;"Point",N($O655)&gt;0),N($O655),N($M655))))))</f>
        <v/>
      </c>
      <c r="AD655" s="22">
        <f>IF(AND($A655="",$B655=""),"",MAX(0,AB655-AC655))</f>
        <v/>
      </c>
      <c r="AE655" s="21">
        <f>IF(AND($A655="",$B655=""),"",IF(OR($R655&lt;&gt;"",$S655&lt;&gt;""),1,0))</f>
        <v/>
      </c>
      <c r="AF655" s="22">
        <f>IF(AND($A655="",$B655=""),"",IF(Z655=1,IF(AE655=1,N($R655),AD655),0))</f>
        <v/>
      </c>
      <c r="AG655" s="22">
        <f>IF(AND($A655="",$B655=""),"",IF(Z655=1,IF(AE655=1,N($S655),AC655),0))</f>
        <v/>
      </c>
      <c r="AH655" s="21">
        <f>IF(AND($A655="",$B655=""),"",IF(AND(ISNUMBER($I655),N($I655)&gt;0),$I655,0))</f>
        <v/>
      </c>
      <c r="AI655" s="23">
        <f>IF(AND(NOT(AND($A655="",$B655="")),$K655="Point",N($L655)&gt;0),SQRT(N($L655)/PI()),"")</f>
        <v/>
      </c>
      <c r="AJ655" s="21">
        <f>IF(AND($A655="",$B655=""),"",IFERROR(VLOOKUP($G655,Lists!$D$4:$E$15,2,FALSE),"Not reported"))</f>
        <v/>
      </c>
      <c r="AK655" s="21">
        <f>IF(AND($A655="",$B655=""),"",IF($X655&lt;&gt;"",$X655,IF($T655&lt;&gt;"Y","Not assessed",IF(AND(ISNUMBER($V655),Setup!$B$6-$V655&gt;Setup!$B$26),"Assessment outdated",IF(NOT(ISNUMBER($W655)),"Assessed – no score",IF($W655&gt;=Setup!$B$24,"High",IF($W655&gt;=Setup!$B$25,"Moderate","Low")))))))</f>
        <v/>
      </c>
      <c r="AL655" s="21">
        <f>IF(AND($A655="",$B655=""),"",IF(Z655=0,"",IF(AND(AE655=1,N($R655)&gt;AD655*1.01+0.001),"Net terrestrial &gt; gross; ","")&amp;IF(AND(AE655=1,N($S655)&gt;AC655*1.01+0.001),"Net marine &gt; gross; ","")&amp;IF(AE655=0,"No net area – gross used, overlaps may be double-counted; ","")&amp;IF(AH655=0,"STATUS_YR missing – imputed in time series; ","")&amp;IF(AND(ISNUMBER($I655),N($I655)&gt;Setup!$B$6),"STATUS_YR after reporting year; ","")&amp;IF(OR($G655="",$G655="Not Reported"),"GOV_TYPE not reported; ","")&amp;IF(AND(N($J655)=1,$K655="Point",N($M655)&lt;=0),"Coastal point without REP_M_AREA – land/sea split unknown; ","")&amp;IF(AND(N($J655)=0,N($S655)&gt;0),"MARINE=0 but net marine &gt;0; ","")&amp;IF(AND(N($J655)=2,N($R655)&gt;0),"MARINE=2 but net terrestrial &gt;0; ","")&amp;IF($K655="Point","Buffered point – coverage approximate; ","")))</f>
        <v/>
      </c>
    </row>
    <row r="656">
      <c r="A656" s="19" t="n"/>
      <c r="B656" s="19" t="n"/>
      <c r="C656" s="19" t="n"/>
      <c r="D656" s="19" t="n"/>
      <c r="E656" s="19" t="n"/>
      <c r="F656" s="19" t="n"/>
      <c r="G656" s="19" t="n"/>
      <c r="H656" s="19" t="n"/>
      <c r="I656" s="19" t="n"/>
      <c r="J656" s="19" t="n"/>
      <c r="K656" s="19" t="n"/>
      <c r="L656" s="20" t="n"/>
      <c r="M656" s="20" t="n"/>
      <c r="N656" s="20" t="n"/>
      <c r="O656" s="20" t="n"/>
      <c r="P656" s="19" t="n"/>
      <c r="Q656" s="19" t="n"/>
      <c r="R656" s="20" t="n"/>
      <c r="S656" s="20" t="n"/>
      <c r="T656" s="19" t="n"/>
      <c r="U656" s="19" t="n"/>
      <c r="V656" s="19" t="n"/>
      <c r="W656" s="19" t="n"/>
      <c r="X656" s="19" t="n"/>
      <c r="Y656" s="19" t="n"/>
      <c r="Z656" s="21">
        <f>IF(AND($A656="",$B656=""),"",IF(OR($E656="",$H656="",$H656="Proposed",$H656="Not Reported"),0,IF(AND($P656="Y",$Q656&lt;&gt;"Y"),0,IF(AND($K656="Point",N($L656)&lt;=0),0,IF(AND(N($L656)&lt;=0,N($N656)&lt;=0,N($R656)+N($S656)&lt;=0),0,1)))))</f>
        <v/>
      </c>
      <c r="AA656" s="21">
        <f>IF(AND($A656="",$B656=""),"",IF($E656="","Site type missing",IF($H656="","STATUS missing",IF($H656="Proposed","STATUS = Proposed",IF($H656="Not Reported","STATUS = Not Reported",IF(AND($P656="Y",$Q656&lt;&gt;"Y"),"UNESCO-MAB Biosphere Reserve",IF(AND($K656="Point",N($L656)&lt;=0),"Point without REP_AREA",IF(AND(N($L656)&lt;=0,N($N656)&lt;=0,N($R656)+N($S656)&lt;=0),"No area information",""))))))))</f>
        <v/>
      </c>
      <c r="AB656" s="22">
        <f>IF(AND($A656="",$B656=""),"",IF($K656="Point",N($L656),IF(N($N656)&gt;0,N($N656),N($L656))))</f>
        <v/>
      </c>
      <c r="AC656" s="22">
        <f>IF(AND($A656="",$B656=""),"",MIN(AB656,IF(N($J656)=0,0,IF(N($J656)=2,AB656,IF(AND($K656&lt;&gt;"Point",N($O656)&gt;0),N($O656),N($M656))))))</f>
        <v/>
      </c>
      <c r="AD656" s="22">
        <f>IF(AND($A656="",$B656=""),"",MAX(0,AB656-AC656))</f>
        <v/>
      </c>
      <c r="AE656" s="21">
        <f>IF(AND($A656="",$B656=""),"",IF(OR($R656&lt;&gt;"",$S656&lt;&gt;""),1,0))</f>
        <v/>
      </c>
      <c r="AF656" s="22">
        <f>IF(AND($A656="",$B656=""),"",IF(Z656=1,IF(AE656=1,N($R656),AD656),0))</f>
        <v/>
      </c>
      <c r="AG656" s="22">
        <f>IF(AND($A656="",$B656=""),"",IF(Z656=1,IF(AE656=1,N($S656),AC656),0))</f>
        <v/>
      </c>
      <c r="AH656" s="21">
        <f>IF(AND($A656="",$B656=""),"",IF(AND(ISNUMBER($I656),N($I656)&gt;0),$I656,0))</f>
        <v/>
      </c>
      <c r="AI656" s="23">
        <f>IF(AND(NOT(AND($A656="",$B656="")),$K656="Point",N($L656)&gt;0),SQRT(N($L656)/PI()),"")</f>
        <v/>
      </c>
      <c r="AJ656" s="21">
        <f>IF(AND($A656="",$B656=""),"",IFERROR(VLOOKUP($G656,Lists!$D$4:$E$15,2,FALSE),"Not reported"))</f>
        <v/>
      </c>
      <c r="AK656" s="21">
        <f>IF(AND($A656="",$B656=""),"",IF($X656&lt;&gt;"",$X656,IF($T656&lt;&gt;"Y","Not assessed",IF(AND(ISNUMBER($V656),Setup!$B$6-$V656&gt;Setup!$B$26),"Assessment outdated",IF(NOT(ISNUMBER($W656)),"Assessed – no score",IF($W656&gt;=Setup!$B$24,"High",IF($W656&gt;=Setup!$B$25,"Moderate","Low")))))))</f>
        <v/>
      </c>
      <c r="AL656" s="21">
        <f>IF(AND($A656="",$B656=""),"",IF(Z656=0,"",IF(AND(AE656=1,N($R656)&gt;AD656*1.01+0.001),"Net terrestrial &gt; gross; ","")&amp;IF(AND(AE656=1,N($S656)&gt;AC656*1.01+0.001),"Net marine &gt; gross; ","")&amp;IF(AE656=0,"No net area – gross used, overlaps may be double-counted; ","")&amp;IF(AH656=0,"STATUS_YR missing – imputed in time series; ","")&amp;IF(AND(ISNUMBER($I656),N($I656)&gt;Setup!$B$6),"STATUS_YR after reporting year; ","")&amp;IF(OR($G656="",$G656="Not Reported"),"GOV_TYPE not reported; ","")&amp;IF(AND(N($J656)=1,$K656="Point",N($M656)&lt;=0),"Coastal point without REP_M_AREA – land/sea split unknown; ","")&amp;IF(AND(N($J656)=0,N($S656)&gt;0),"MARINE=0 but net marine &gt;0; ","")&amp;IF(AND(N($J656)=2,N($R656)&gt;0),"MARINE=2 but net terrestrial &gt;0; ","")&amp;IF($K656="Point","Buffered point – coverage approximate; ","")))</f>
        <v/>
      </c>
    </row>
    <row r="657">
      <c r="A657" s="19" t="n"/>
      <c r="B657" s="19" t="n"/>
      <c r="C657" s="19" t="n"/>
      <c r="D657" s="19" t="n"/>
      <c r="E657" s="19" t="n"/>
      <c r="F657" s="19" t="n"/>
      <c r="G657" s="19" t="n"/>
      <c r="H657" s="19" t="n"/>
      <c r="I657" s="19" t="n"/>
      <c r="J657" s="19" t="n"/>
      <c r="K657" s="19" t="n"/>
      <c r="L657" s="20" t="n"/>
      <c r="M657" s="20" t="n"/>
      <c r="N657" s="20" t="n"/>
      <c r="O657" s="20" t="n"/>
      <c r="P657" s="19" t="n"/>
      <c r="Q657" s="19" t="n"/>
      <c r="R657" s="20" t="n"/>
      <c r="S657" s="20" t="n"/>
      <c r="T657" s="19" t="n"/>
      <c r="U657" s="19" t="n"/>
      <c r="V657" s="19" t="n"/>
      <c r="W657" s="19" t="n"/>
      <c r="X657" s="19" t="n"/>
      <c r="Y657" s="19" t="n"/>
      <c r="Z657" s="21">
        <f>IF(AND($A657="",$B657=""),"",IF(OR($E657="",$H657="",$H657="Proposed",$H657="Not Reported"),0,IF(AND($P657="Y",$Q657&lt;&gt;"Y"),0,IF(AND($K657="Point",N($L657)&lt;=0),0,IF(AND(N($L657)&lt;=0,N($N657)&lt;=0,N($R657)+N($S657)&lt;=0),0,1)))))</f>
        <v/>
      </c>
      <c r="AA657" s="21">
        <f>IF(AND($A657="",$B657=""),"",IF($E657="","Site type missing",IF($H657="","STATUS missing",IF($H657="Proposed","STATUS = Proposed",IF($H657="Not Reported","STATUS = Not Reported",IF(AND($P657="Y",$Q657&lt;&gt;"Y"),"UNESCO-MAB Biosphere Reserve",IF(AND($K657="Point",N($L657)&lt;=0),"Point without REP_AREA",IF(AND(N($L657)&lt;=0,N($N657)&lt;=0,N($R657)+N($S657)&lt;=0),"No area information",""))))))))</f>
        <v/>
      </c>
      <c r="AB657" s="22">
        <f>IF(AND($A657="",$B657=""),"",IF($K657="Point",N($L657),IF(N($N657)&gt;0,N($N657),N($L657))))</f>
        <v/>
      </c>
      <c r="AC657" s="22">
        <f>IF(AND($A657="",$B657=""),"",MIN(AB657,IF(N($J657)=0,0,IF(N($J657)=2,AB657,IF(AND($K657&lt;&gt;"Point",N($O657)&gt;0),N($O657),N($M657))))))</f>
        <v/>
      </c>
      <c r="AD657" s="22">
        <f>IF(AND($A657="",$B657=""),"",MAX(0,AB657-AC657))</f>
        <v/>
      </c>
      <c r="AE657" s="21">
        <f>IF(AND($A657="",$B657=""),"",IF(OR($R657&lt;&gt;"",$S657&lt;&gt;""),1,0))</f>
        <v/>
      </c>
      <c r="AF657" s="22">
        <f>IF(AND($A657="",$B657=""),"",IF(Z657=1,IF(AE657=1,N($R657),AD657),0))</f>
        <v/>
      </c>
      <c r="AG657" s="22">
        <f>IF(AND($A657="",$B657=""),"",IF(Z657=1,IF(AE657=1,N($S657),AC657),0))</f>
        <v/>
      </c>
      <c r="AH657" s="21">
        <f>IF(AND($A657="",$B657=""),"",IF(AND(ISNUMBER($I657),N($I657)&gt;0),$I657,0))</f>
        <v/>
      </c>
      <c r="AI657" s="23">
        <f>IF(AND(NOT(AND($A657="",$B657="")),$K657="Point",N($L657)&gt;0),SQRT(N($L657)/PI()),"")</f>
        <v/>
      </c>
      <c r="AJ657" s="21">
        <f>IF(AND($A657="",$B657=""),"",IFERROR(VLOOKUP($G657,Lists!$D$4:$E$15,2,FALSE),"Not reported"))</f>
        <v/>
      </c>
      <c r="AK657" s="21">
        <f>IF(AND($A657="",$B657=""),"",IF($X657&lt;&gt;"",$X657,IF($T657&lt;&gt;"Y","Not assessed",IF(AND(ISNUMBER($V657),Setup!$B$6-$V657&gt;Setup!$B$26),"Assessment outdated",IF(NOT(ISNUMBER($W657)),"Assessed – no score",IF($W657&gt;=Setup!$B$24,"High",IF($W657&gt;=Setup!$B$25,"Moderate","Low")))))))</f>
        <v/>
      </c>
      <c r="AL657" s="21">
        <f>IF(AND($A657="",$B657=""),"",IF(Z657=0,"",IF(AND(AE657=1,N($R657)&gt;AD657*1.01+0.001),"Net terrestrial &gt; gross; ","")&amp;IF(AND(AE657=1,N($S657)&gt;AC657*1.01+0.001),"Net marine &gt; gross; ","")&amp;IF(AE657=0,"No net area – gross used, overlaps may be double-counted; ","")&amp;IF(AH657=0,"STATUS_YR missing – imputed in time series; ","")&amp;IF(AND(ISNUMBER($I657),N($I657)&gt;Setup!$B$6),"STATUS_YR after reporting year; ","")&amp;IF(OR($G657="",$G657="Not Reported"),"GOV_TYPE not reported; ","")&amp;IF(AND(N($J657)=1,$K657="Point",N($M657)&lt;=0),"Coastal point without REP_M_AREA – land/sea split unknown; ","")&amp;IF(AND(N($J657)=0,N($S657)&gt;0),"MARINE=0 but net marine &gt;0; ","")&amp;IF(AND(N($J657)=2,N($R657)&gt;0),"MARINE=2 but net terrestrial &gt;0; ","")&amp;IF($K657="Point","Buffered point – coverage approximate; ","")))</f>
        <v/>
      </c>
    </row>
    <row r="658">
      <c r="A658" s="19" t="n"/>
      <c r="B658" s="19" t="n"/>
      <c r="C658" s="19" t="n"/>
      <c r="D658" s="19" t="n"/>
      <c r="E658" s="19" t="n"/>
      <c r="F658" s="19" t="n"/>
      <c r="G658" s="19" t="n"/>
      <c r="H658" s="19" t="n"/>
      <c r="I658" s="19" t="n"/>
      <c r="J658" s="19" t="n"/>
      <c r="K658" s="19" t="n"/>
      <c r="L658" s="20" t="n"/>
      <c r="M658" s="20" t="n"/>
      <c r="N658" s="20" t="n"/>
      <c r="O658" s="20" t="n"/>
      <c r="P658" s="19" t="n"/>
      <c r="Q658" s="19" t="n"/>
      <c r="R658" s="20" t="n"/>
      <c r="S658" s="20" t="n"/>
      <c r="T658" s="19" t="n"/>
      <c r="U658" s="19" t="n"/>
      <c r="V658" s="19" t="n"/>
      <c r="W658" s="19" t="n"/>
      <c r="X658" s="19" t="n"/>
      <c r="Y658" s="19" t="n"/>
      <c r="Z658" s="21">
        <f>IF(AND($A658="",$B658=""),"",IF(OR($E658="",$H658="",$H658="Proposed",$H658="Not Reported"),0,IF(AND($P658="Y",$Q658&lt;&gt;"Y"),0,IF(AND($K658="Point",N($L658)&lt;=0),0,IF(AND(N($L658)&lt;=0,N($N658)&lt;=0,N($R658)+N($S658)&lt;=0),0,1)))))</f>
        <v/>
      </c>
      <c r="AA658" s="21">
        <f>IF(AND($A658="",$B658=""),"",IF($E658="","Site type missing",IF($H658="","STATUS missing",IF($H658="Proposed","STATUS = Proposed",IF($H658="Not Reported","STATUS = Not Reported",IF(AND($P658="Y",$Q658&lt;&gt;"Y"),"UNESCO-MAB Biosphere Reserve",IF(AND($K658="Point",N($L658)&lt;=0),"Point without REP_AREA",IF(AND(N($L658)&lt;=0,N($N658)&lt;=0,N($R658)+N($S658)&lt;=0),"No area information",""))))))))</f>
        <v/>
      </c>
      <c r="AB658" s="22">
        <f>IF(AND($A658="",$B658=""),"",IF($K658="Point",N($L658),IF(N($N658)&gt;0,N($N658),N($L658))))</f>
        <v/>
      </c>
      <c r="AC658" s="22">
        <f>IF(AND($A658="",$B658=""),"",MIN(AB658,IF(N($J658)=0,0,IF(N($J658)=2,AB658,IF(AND($K658&lt;&gt;"Point",N($O658)&gt;0),N($O658),N($M658))))))</f>
        <v/>
      </c>
      <c r="AD658" s="22">
        <f>IF(AND($A658="",$B658=""),"",MAX(0,AB658-AC658))</f>
        <v/>
      </c>
      <c r="AE658" s="21">
        <f>IF(AND($A658="",$B658=""),"",IF(OR($R658&lt;&gt;"",$S658&lt;&gt;""),1,0))</f>
        <v/>
      </c>
      <c r="AF658" s="22">
        <f>IF(AND($A658="",$B658=""),"",IF(Z658=1,IF(AE658=1,N($R658),AD658),0))</f>
        <v/>
      </c>
      <c r="AG658" s="22">
        <f>IF(AND($A658="",$B658=""),"",IF(Z658=1,IF(AE658=1,N($S658),AC658),0))</f>
        <v/>
      </c>
      <c r="AH658" s="21">
        <f>IF(AND($A658="",$B658=""),"",IF(AND(ISNUMBER($I658),N($I658)&gt;0),$I658,0))</f>
        <v/>
      </c>
      <c r="AI658" s="23">
        <f>IF(AND(NOT(AND($A658="",$B658="")),$K658="Point",N($L658)&gt;0),SQRT(N($L658)/PI()),"")</f>
        <v/>
      </c>
      <c r="AJ658" s="21">
        <f>IF(AND($A658="",$B658=""),"",IFERROR(VLOOKUP($G658,Lists!$D$4:$E$15,2,FALSE),"Not reported"))</f>
        <v/>
      </c>
      <c r="AK658" s="21">
        <f>IF(AND($A658="",$B658=""),"",IF($X658&lt;&gt;"",$X658,IF($T658&lt;&gt;"Y","Not assessed",IF(AND(ISNUMBER($V658),Setup!$B$6-$V658&gt;Setup!$B$26),"Assessment outdated",IF(NOT(ISNUMBER($W658)),"Assessed – no score",IF($W658&gt;=Setup!$B$24,"High",IF($W658&gt;=Setup!$B$25,"Moderate","Low")))))))</f>
        <v/>
      </c>
      <c r="AL658" s="21">
        <f>IF(AND($A658="",$B658=""),"",IF(Z658=0,"",IF(AND(AE658=1,N($R658)&gt;AD658*1.01+0.001),"Net terrestrial &gt; gross; ","")&amp;IF(AND(AE658=1,N($S658)&gt;AC658*1.01+0.001),"Net marine &gt; gross; ","")&amp;IF(AE658=0,"No net area – gross used, overlaps may be double-counted; ","")&amp;IF(AH658=0,"STATUS_YR missing – imputed in time series; ","")&amp;IF(AND(ISNUMBER($I658),N($I658)&gt;Setup!$B$6),"STATUS_YR after reporting year; ","")&amp;IF(OR($G658="",$G658="Not Reported"),"GOV_TYPE not reported; ","")&amp;IF(AND(N($J658)=1,$K658="Point",N($M658)&lt;=0),"Coastal point without REP_M_AREA – land/sea split unknown; ","")&amp;IF(AND(N($J658)=0,N($S658)&gt;0),"MARINE=0 but net marine &gt;0; ","")&amp;IF(AND(N($J658)=2,N($R658)&gt;0),"MARINE=2 but net terrestrial &gt;0; ","")&amp;IF($K658="Point","Buffered point – coverage approximate; ","")))</f>
        <v/>
      </c>
    </row>
    <row r="659">
      <c r="A659" s="19" t="n"/>
      <c r="B659" s="19" t="n"/>
      <c r="C659" s="19" t="n"/>
      <c r="D659" s="19" t="n"/>
      <c r="E659" s="19" t="n"/>
      <c r="F659" s="19" t="n"/>
      <c r="G659" s="19" t="n"/>
      <c r="H659" s="19" t="n"/>
      <c r="I659" s="19" t="n"/>
      <c r="J659" s="19" t="n"/>
      <c r="K659" s="19" t="n"/>
      <c r="L659" s="20" t="n"/>
      <c r="M659" s="20" t="n"/>
      <c r="N659" s="20" t="n"/>
      <c r="O659" s="20" t="n"/>
      <c r="P659" s="19" t="n"/>
      <c r="Q659" s="19" t="n"/>
      <c r="R659" s="20" t="n"/>
      <c r="S659" s="20" t="n"/>
      <c r="T659" s="19" t="n"/>
      <c r="U659" s="19" t="n"/>
      <c r="V659" s="19" t="n"/>
      <c r="W659" s="19" t="n"/>
      <c r="X659" s="19" t="n"/>
      <c r="Y659" s="19" t="n"/>
      <c r="Z659" s="21">
        <f>IF(AND($A659="",$B659=""),"",IF(OR($E659="",$H659="",$H659="Proposed",$H659="Not Reported"),0,IF(AND($P659="Y",$Q659&lt;&gt;"Y"),0,IF(AND($K659="Point",N($L659)&lt;=0),0,IF(AND(N($L659)&lt;=0,N($N659)&lt;=0,N($R659)+N($S659)&lt;=0),0,1)))))</f>
        <v/>
      </c>
      <c r="AA659" s="21">
        <f>IF(AND($A659="",$B659=""),"",IF($E659="","Site type missing",IF($H659="","STATUS missing",IF($H659="Proposed","STATUS = Proposed",IF($H659="Not Reported","STATUS = Not Reported",IF(AND($P659="Y",$Q659&lt;&gt;"Y"),"UNESCO-MAB Biosphere Reserve",IF(AND($K659="Point",N($L659)&lt;=0),"Point without REP_AREA",IF(AND(N($L659)&lt;=0,N($N659)&lt;=0,N($R659)+N($S659)&lt;=0),"No area information",""))))))))</f>
        <v/>
      </c>
      <c r="AB659" s="22">
        <f>IF(AND($A659="",$B659=""),"",IF($K659="Point",N($L659),IF(N($N659)&gt;0,N($N659),N($L659))))</f>
        <v/>
      </c>
      <c r="AC659" s="22">
        <f>IF(AND($A659="",$B659=""),"",MIN(AB659,IF(N($J659)=0,0,IF(N($J659)=2,AB659,IF(AND($K659&lt;&gt;"Point",N($O659)&gt;0),N($O659),N($M659))))))</f>
        <v/>
      </c>
      <c r="AD659" s="22">
        <f>IF(AND($A659="",$B659=""),"",MAX(0,AB659-AC659))</f>
        <v/>
      </c>
      <c r="AE659" s="21">
        <f>IF(AND($A659="",$B659=""),"",IF(OR($R659&lt;&gt;"",$S659&lt;&gt;""),1,0))</f>
        <v/>
      </c>
      <c r="AF659" s="22">
        <f>IF(AND($A659="",$B659=""),"",IF(Z659=1,IF(AE659=1,N($R659),AD659),0))</f>
        <v/>
      </c>
      <c r="AG659" s="22">
        <f>IF(AND($A659="",$B659=""),"",IF(Z659=1,IF(AE659=1,N($S659),AC659),0))</f>
        <v/>
      </c>
      <c r="AH659" s="21">
        <f>IF(AND($A659="",$B659=""),"",IF(AND(ISNUMBER($I659),N($I659)&gt;0),$I659,0))</f>
        <v/>
      </c>
      <c r="AI659" s="23">
        <f>IF(AND(NOT(AND($A659="",$B659="")),$K659="Point",N($L659)&gt;0),SQRT(N($L659)/PI()),"")</f>
        <v/>
      </c>
      <c r="AJ659" s="21">
        <f>IF(AND($A659="",$B659=""),"",IFERROR(VLOOKUP($G659,Lists!$D$4:$E$15,2,FALSE),"Not reported"))</f>
        <v/>
      </c>
      <c r="AK659" s="21">
        <f>IF(AND($A659="",$B659=""),"",IF($X659&lt;&gt;"",$X659,IF($T659&lt;&gt;"Y","Not assessed",IF(AND(ISNUMBER($V659),Setup!$B$6-$V659&gt;Setup!$B$26),"Assessment outdated",IF(NOT(ISNUMBER($W659)),"Assessed – no score",IF($W659&gt;=Setup!$B$24,"High",IF($W659&gt;=Setup!$B$25,"Moderate","Low")))))))</f>
        <v/>
      </c>
      <c r="AL659" s="21">
        <f>IF(AND($A659="",$B659=""),"",IF(Z659=0,"",IF(AND(AE659=1,N($R659)&gt;AD659*1.01+0.001),"Net terrestrial &gt; gross; ","")&amp;IF(AND(AE659=1,N($S659)&gt;AC659*1.01+0.001),"Net marine &gt; gross; ","")&amp;IF(AE659=0,"No net area – gross used, overlaps may be double-counted; ","")&amp;IF(AH659=0,"STATUS_YR missing – imputed in time series; ","")&amp;IF(AND(ISNUMBER($I659),N($I659)&gt;Setup!$B$6),"STATUS_YR after reporting year; ","")&amp;IF(OR($G659="",$G659="Not Reported"),"GOV_TYPE not reported; ","")&amp;IF(AND(N($J659)=1,$K659="Point",N($M659)&lt;=0),"Coastal point without REP_M_AREA – land/sea split unknown; ","")&amp;IF(AND(N($J659)=0,N($S659)&gt;0),"MARINE=0 but net marine &gt;0; ","")&amp;IF(AND(N($J659)=2,N($R659)&gt;0),"MARINE=2 but net terrestrial &gt;0; ","")&amp;IF($K659="Point","Buffered point – coverage approximate; ","")))</f>
        <v/>
      </c>
    </row>
    <row r="660">
      <c r="A660" s="19" t="n"/>
      <c r="B660" s="19" t="n"/>
      <c r="C660" s="19" t="n"/>
      <c r="D660" s="19" t="n"/>
      <c r="E660" s="19" t="n"/>
      <c r="F660" s="19" t="n"/>
      <c r="G660" s="19" t="n"/>
      <c r="H660" s="19" t="n"/>
      <c r="I660" s="19" t="n"/>
      <c r="J660" s="19" t="n"/>
      <c r="K660" s="19" t="n"/>
      <c r="L660" s="20" t="n"/>
      <c r="M660" s="20" t="n"/>
      <c r="N660" s="20" t="n"/>
      <c r="O660" s="20" t="n"/>
      <c r="P660" s="19" t="n"/>
      <c r="Q660" s="19" t="n"/>
      <c r="R660" s="20" t="n"/>
      <c r="S660" s="20" t="n"/>
      <c r="T660" s="19" t="n"/>
      <c r="U660" s="19" t="n"/>
      <c r="V660" s="19" t="n"/>
      <c r="W660" s="19" t="n"/>
      <c r="X660" s="19" t="n"/>
      <c r="Y660" s="19" t="n"/>
      <c r="Z660" s="21">
        <f>IF(AND($A660="",$B660=""),"",IF(OR($E660="",$H660="",$H660="Proposed",$H660="Not Reported"),0,IF(AND($P660="Y",$Q660&lt;&gt;"Y"),0,IF(AND($K660="Point",N($L660)&lt;=0),0,IF(AND(N($L660)&lt;=0,N($N660)&lt;=0,N($R660)+N($S660)&lt;=0),0,1)))))</f>
        <v/>
      </c>
      <c r="AA660" s="21">
        <f>IF(AND($A660="",$B660=""),"",IF($E660="","Site type missing",IF($H660="","STATUS missing",IF($H660="Proposed","STATUS = Proposed",IF($H660="Not Reported","STATUS = Not Reported",IF(AND($P660="Y",$Q660&lt;&gt;"Y"),"UNESCO-MAB Biosphere Reserve",IF(AND($K660="Point",N($L660)&lt;=0),"Point without REP_AREA",IF(AND(N($L660)&lt;=0,N($N660)&lt;=0,N($R660)+N($S660)&lt;=0),"No area information",""))))))))</f>
        <v/>
      </c>
      <c r="AB660" s="22">
        <f>IF(AND($A660="",$B660=""),"",IF($K660="Point",N($L660),IF(N($N660)&gt;0,N($N660),N($L660))))</f>
        <v/>
      </c>
      <c r="AC660" s="22">
        <f>IF(AND($A660="",$B660=""),"",MIN(AB660,IF(N($J660)=0,0,IF(N($J660)=2,AB660,IF(AND($K660&lt;&gt;"Point",N($O660)&gt;0),N($O660),N($M660))))))</f>
        <v/>
      </c>
      <c r="AD660" s="22">
        <f>IF(AND($A660="",$B660=""),"",MAX(0,AB660-AC660))</f>
        <v/>
      </c>
      <c r="AE660" s="21">
        <f>IF(AND($A660="",$B660=""),"",IF(OR($R660&lt;&gt;"",$S660&lt;&gt;""),1,0))</f>
        <v/>
      </c>
      <c r="AF660" s="22">
        <f>IF(AND($A660="",$B660=""),"",IF(Z660=1,IF(AE660=1,N($R660),AD660),0))</f>
        <v/>
      </c>
      <c r="AG660" s="22">
        <f>IF(AND($A660="",$B660=""),"",IF(Z660=1,IF(AE660=1,N($S660),AC660),0))</f>
        <v/>
      </c>
      <c r="AH660" s="21">
        <f>IF(AND($A660="",$B660=""),"",IF(AND(ISNUMBER($I660),N($I660)&gt;0),$I660,0))</f>
        <v/>
      </c>
      <c r="AI660" s="23">
        <f>IF(AND(NOT(AND($A660="",$B660="")),$K660="Point",N($L660)&gt;0),SQRT(N($L660)/PI()),"")</f>
        <v/>
      </c>
      <c r="AJ660" s="21">
        <f>IF(AND($A660="",$B660=""),"",IFERROR(VLOOKUP($G660,Lists!$D$4:$E$15,2,FALSE),"Not reported"))</f>
        <v/>
      </c>
      <c r="AK660" s="21">
        <f>IF(AND($A660="",$B660=""),"",IF($X660&lt;&gt;"",$X660,IF($T660&lt;&gt;"Y","Not assessed",IF(AND(ISNUMBER($V660),Setup!$B$6-$V660&gt;Setup!$B$26),"Assessment outdated",IF(NOT(ISNUMBER($W660)),"Assessed – no score",IF($W660&gt;=Setup!$B$24,"High",IF($W660&gt;=Setup!$B$25,"Moderate","Low")))))))</f>
        <v/>
      </c>
      <c r="AL660" s="21">
        <f>IF(AND($A660="",$B660=""),"",IF(Z660=0,"",IF(AND(AE660=1,N($R660)&gt;AD660*1.01+0.001),"Net terrestrial &gt; gross; ","")&amp;IF(AND(AE660=1,N($S660)&gt;AC660*1.01+0.001),"Net marine &gt; gross; ","")&amp;IF(AE660=0,"No net area – gross used, overlaps may be double-counted; ","")&amp;IF(AH660=0,"STATUS_YR missing – imputed in time series; ","")&amp;IF(AND(ISNUMBER($I660),N($I660)&gt;Setup!$B$6),"STATUS_YR after reporting year; ","")&amp;IF(OR($G660="",$G660="Not Reported"),"GOV_TYPE not reported; ","")&amp;IF(AND(N($J660)=1,$K660="Point",N($M660)&lt;=0),"Coastal point without REP_M_AREA – land/sea split unknown; ","")&amp;IF(AND(N($J660)=0,N($S660)&gt;0),"MARINE=0 but net marine &gt;0; ","")&amp;IF(AND(N($J660)=2,N($R660)&gt;0),"MARINE=2 but net terrestrial &gt;0; ","")&amp;IF($K660="Point","Buffered point – coverage approximate; ","")))</f>
        <v/>
      </c>
    </row>
    <row r="661">
      <c r="A661" s="19" t="n"/>
      <c r="B661" s="19" t="n"/>
      <c r="C661" s="19" t="n"/>
      <c r="D661" s="19" t="n"/>
      <c r="E661" s="19" t="n"/>
      <c r="F661" s="19" t="n"/>
      <c r="G661" s="19" t="n"/>
      <c r="H661" s="19" t="n"/>
      <c r="I661" s="19" t="n"/>
      <c r="J661" s="19" t="n"/>
      <c r="K661" s="19" t="n"/>
      <c r="L661" s="20" t="n"/>
      <c r="M661" s="20" t="n"/>
      <c r="N661" s="20" t="n"/>
      <c r="O661" s="20" t="n"/>
      <c r="P661" s="19" t="n"/>
      <c r="Q661" s="19" t="n"/>
      <c r="R661" s="20" t="n"/>
      <c r="S661" s="20" t="n"/>
      <c r="T661" s="19" t="n"/>
      <c r="U661" s="19" t="n"/>
      <c r="V661" s="19" t="n"/>
      <c r="W661" s="19" t="n"/>
      <c r="X661" s="19" t="n"/>
      <c r="Y661" s="19" t="n"/>
      <c r="Z661" s="21">
        <f>IF(AND($A661="",$B661=""),"",IF(OR($E661="",$H661="",$H661="Proposed",$H661="Not Reported"),0,IF(AND($P661="Y",$Q661&lt;&gt;"Y"),0,IF(AND($K661="Point",N($L661)&lt;=0),0,IF(AND(N($L661)&lt;=0,N($N661)&lt;=0,N($R661)+N($S661)&lt;=0),0,1)))))</f>
        <v/>
      </c>
      <c r="AA661" s="21">
        <f>IF(AND($A661="",$B661=""),"",IF($E661="","Site type missing",IF($H661="","STATUS missing",IF($H661="Proposed","STATUS = Proposed",IF($H661="Not Reported","STATUS = Not Reported",IF(AND($P661="Y",$Q661&lt;&gt;"Y"),"UNESCO-MAB Biosphere Reserve",IF(AND($K661="Point",N($L661)&lt;=0),"Point without REP_AREA",IF(AND(N($L661)&lt;=0,N($N661)&lt;=0,N($R661)+N($S661)&lt;=0),"No area information",""))))))))</f>
        <v/>
      </c>
      <c r="AB661" s="22">
        <f>IF(AND($A661="",$B661=""),"",IF($K661="Point",N($L661),IF(N($N661)&gt;0,N($N661),N($L661))))</f>
        <v/>
      </c>
      <c r="AC661" s="22">
        <f>IF(AND($A661="",$B661=""),"",MIN(AB661,IF(N($J661)=0,0,IF(N($J661)=2,AB661,IF(AND($K661&lt;&gt;"Point",N($O661)&gt;0),N($O661),N($M661))))))</f>
        <v/>
      </c>
      <c r="AD661" s="22">
        <f>IF(AND($A661="",$B661=""),"",MAX(0,AB661-AC661))</f>
        <v/>
      </c>
      <c r="AE661" s="21">
        <f>IF(AND($A661="",$B661=""),"",IF(OR($R661&lt;&gt;"",$S661&lt;&gt;""),1,0))</f>
        <v/>
      </c>
      <c r="AF661" s="22">
        <f>IF(AND($A661="",$B661=""),"",IF(Z661=1,IF(AE661=1,N($R661),AD661),0))</f>
        <v/>
      </c>
      <c r="AG661" s="22">
        <f>IF(AND($A661="",$B661=""),"",IF(Z661=1,IF(AE661=1,N($S661),AC661),0))</f>
        <v/>
      </c>
      <c r="AH661" s="21">
        <f>IF(AND($A661="",$B661=""),"",IF(AND(ISNUMBER($I661),N($I661)&gt;0),$I661,0))</f>
        <v/>
      </c>
      <c r="AI661" s="23">
        <f>IF(AND(NOT(AND($A661="",$B661="")),$K661="Point",N($L661)&gt;0),SQRT(N($L661)/PI()),"")</f>
        <v/>
      </c>
      <c r="AJ661" s="21">
        <f>IF(AND($A661="",$B661=""),"",IFERROR(VLOOKUP($G661,Lists!$D$4:$E$15,2,FALSE),"Not reported"))</f>
        <v/>
      </c>
      <c r="AK661" s="21">
        <f>IF(AND($A661="",$B661=""),"",IF($X661&lt;&gt;"",$X661,IF($T661&lt;&gt;"Y","Not assessed",IF(AND(ISNUMBER($V661),Setup!$B$6-$V661&gt;Setup!$B$26),"Assessment outdated",IF(NOT(ISNUMBER($W661)),"Assessed – no score",IF($W661&gt;=Setup!$B$24,"High",IF($W661&gt;=Setup!$B$25,"Moderate","Low")))))))</f>
        <v/>
      </c>
      <c r="AL661" s="21">
        <f>IF(AND($A661="",$B661=""),"",IF(Z661=0,"",IF(AND(AE661=1,N($R661)&gt;AD661*1.01+0.001),"Net terrestrial &gt; gross; ","")&amp;IF(AND(AE661=1,N($S661)&gt;AC661*1.01+0.001),"Net marine &gt; gross; ","")&amp;IF(AE661=0,"No net area – gross used, overlaps may be double-counted; ","")&amp;IF(AH661=0,"STATUS_YR missing – imputed in time series; ","")&amp;IF(AND(ISNUMBER($I661),N($I661)&gt;Setup!$B$6),"STATUS_YR after reporting year; ","")&amp;IF(OR($G661="",$G661="Not Reported"),"GOV_TYPE not reported; ","")&amp;IF(AND(N($J661)=1,$K661="Point",N($M661)&lt;=0),"Coastal point without REP_M_AREA – land/sea split unknown; ","")&amp;IF(AND(N($J661)=0,N($S661)&gt;0),"MARINE=0 but net marine &gt;0; ","")&amp;IF(AND(N($J661)=2,N($R661)&gt;0),"MARINE=2 but net terrestrial &gt;0; ","")&amp;IF($K661="Point","Buffered point – coverage approximate; ","")))</f>
        <v/>
      </c>
    </row>
    <row r="662">
      <c r="A662" s="19" t="n"/>
      <c r="B662" s="19" t="n"/>
      <c r="C662" s="19" t="n"/>
      <c r="D662" s="19" t="n"/>
      <c r="E662" s="19" t="n"/>
      <c r="F662" s="19" t="n"/>
      <c r="G662" s="19" t="n"/>
      <c r="H662" s="19" t="n"/>
      <c r="I662" s="19" t="n"/>
      <c r="J662" s="19" t="n"/>
      <c r="K662" s="19" t="n"/>
      <c r="L662" s="20" t="n"/>
      <c r="M662" s="20" t="n"/>
      <c r="N662" s="20" t="n"/>
      <c r="O662" s="20" t="n"/>
      <c r="P662" s="19" t="n"/>
      <c r="Q662" s="19" t="n"/>
      <c r="R662" s="20" t="n"/>
      <c r="S662" s="20" t="n"/>
      <c r="T662" s="19" t="n"/>
      <c r="U662" s="19" t="n"/>
      <c r="V662" s="19" t="n"/>
      <c r="W662" s="19" t="n"/>
      <c r="X662" s="19" t="n"/>
      <c r="Y662" s="19" t="n"/>
      <c r="Z662" s="21">
        <f>IF(AND($A662="",$B662=""),"",IF(OR($E662="",$H662="",$H662="Proposed",$H662="Not Reported"),0,IF(AND($P662="Y",$Q662&lt;&gt;"Y"),0,IF(AND($K662="Point",N($L662)&lt;=0),0,IF(AND(N($L662)&lt;=0,N($N662)&lt;=0,N($R662)+N($S662)&lt;=0),0,1)))))</f>
        <v/>
      </c>
      <c r="AA662" s="21">
        <f>IF(AND($A662="",$B662=""),"",IF($E662="","Site type missing",IF($H662="","STATUS missing",IF($H662="Proposed","STATUS = Proposed",IF($H662="Not Reported","STATUS = Not Reported",IF(AND($P662="Y",$Q662&lt;&gt;"Y"),"UNESCO-MAB Biosphere Reserve",IF(AND($K662="Point",N($L662)&lt;=0),"Point without REP_AREA",IF(AND(N($L662)&lt;=0,N($N662)&lt;=0,N($R662)+N($S662)&lt;=0),"No area information",""))))))))</f>
        <v/>
      </c>
      <c r="AB662" s="22">
        <f>IF(AND($A662="",$B662=""),"",IF($K662="Point",N($L662),IF(N($N662)&gt;0,N($N662),N($L662))))</f>
        <v/>
      </c>
      <c r="AC662" s="22">
        <f>IF(AND($A662="",$B662=""),"",MIN(AB662,IF(N($J662)=0,0,IF(N($J662)=2,AB662,IF(AND($K662&lt;&gt;"Point",N($O662)&gt;0),N($O662),N($M662))))))</f>
        <v/>
      </c>
      <c r="AD662" s="22">
        <f>IF(AND($A662="",$B662=""),"",MAX(0,AB662-AC662))</f>
        <v/>
      </c>
      <c r="AE662" s="21">
        <f>IF(AND($A662="",$B662=""),"",IF(OR($R662&lt;&gt;"",$S662&lt;&gt;""),1,0))</f>
        <v/>
      </c>
      <c r="AF662" s="22">
        <f>IF(AND($A662="",$B662=""),"",IF(Z662=1,IF(AE662=1,N($R662),AD662),0))</f>
        <v/>
      </c>
      <c r="AG662" s="22">
        <f>IF(AND($A662="",$B662=""),"",IF(Z662=1,IF(AE662=1,N($S662),AC662),0))</f>
        <v/>
      </c>
      <c r="AH662" s="21">
        <f>IF(AND($A662="",$B662=""),"",IF(AND(ISNUMBER($I662),N($I662)&gt;0),$I662,0))</f>
        <v/>
      </c>
      <c r="AI662" s="23">
        <f>IF(AND(NOT(AND($A662="",$B662="")),$K662="Point",N($L662)&gt;0),SQRT(N($L662)/PI()),"")</f>
        <v/>
      </c>
      <c r="AJ662" s="21">
        <f>IF(AND($A662="",$B662=""),"",IFERROR(VLOOKUP($G662,Lists!$D$4:$E$15,2,FALSE),"Not reported"))</f>
        <v/>
      </c>
      <c r="AK662" s="21">
        <f>IF(AND($A662="",$B662=""),"",IF($X662&lt;&gt;"",$X662,IF($T662&lt;&gt;"Y","Not assessed",IF(AND(ISNUMBER($V662),Setup!$B$6-$V662&gt;Setup!$B$26),"Assessment outdated",IF(NOT(ISNUMBER($W662)),"Assessed – no score",IF($W662&gt;=Setup!$B$24,"High",IF($W662&gt;=Setup!$B$25,"Moderate","Low")))))))</f>
        <v/>
      </c>
      <c r="AL662" s="21">
        <f>IF(AND($A662="",$B662=""),"",IF(Z662=0,"",IF(AND(AE662=1,N($R662)&gt;AD662*1.01+0.001),"Net terrestrial &gt; gross; ","")&amp;IF(AND(AE662=1,N($S662)&gt;AC662*1.01+0.001),"Net marine &gt; gross; ","")&amp;IF(AE662=0,"No net area – gross used, overlaps may be double-counted; ","")&amp;IF(AH662=0,"STATUS_YR missing – imputed in time series; ","")&amp;IF(AND(ISNUMBER($I662),N($I662)&gt;Setup!$B$6),"STATUS_YR after reporting year; ","")&amp;IF(OR($G662="",$G662="Not Reported"),"GOV_TYPE not reported; ","")&amp;IF(AND(N($J662)=1,$K662="Point",N($M662)&lt;=0),"Coastal point without REP_M_AREA – land/sea split unknown; ","")&amp;IF(AND(N($J662)=0,N($S662)&gt;0),"MARINE=0 but net marine &gt;0; ","")&amp;IF(AND(N($J662)=2,N($R662)&gt;0),"MARINE=2 but net terrestrial &gt;0; ","")&amp;IF($K662="Point","Buffered point – coverage approximate; ","")))</f>
        <v/>
      </c>
    </row>
    <row r="663">
      <c r="A663" s="19" t="n"/>
      <c r="B663" s="19" t="n"/>
      <c r="C663" s="19" t="n"/>
      <c r="D663" s="19" t="n"/>
      <c r="E663" s="19" t="n"/>
      <c r="F663" s="19" t="n"/>
      <c r="G663" s="19" t="n"/>
      <c r="H663" s="19" t="n"/>
      <c r="I663" s="19" t="n"/>
      <c r="J663" s="19" t="n"/>
      <c r="K663" s="19" t="n"/>
      <c r="L663" s="20" t="n"/>
      <c r="M663" s="20" t="n"/>
      <c r="N663" s="20" t="n"/>
      <c r="O663" s="20" t="n"/>
      <c r="P663" s="19" t="n"/>
      <c r="Q663" s="19" t="n"/>
      <c r="R663" s="20" t="n"/>
      <c r="S663" s="20" t="n"/>
      <c r="T663" s="19" t="n"/>
      <c r="U663" s="19" t="n"/>
      <c r="V663" s="19" t="n"/>
      <c r="W663" s="19" t="n"/>
      <c r="X663" s="19" t="n"/>
      <c r="Y663" s="19" t="n"/>
      <c r="Z663" s="21">
        <f>IF(AND($A663="",$B663=""),"",IF(OR($E663="",$H663="",$H663="Proposed",$H663="Not Reported"),0,IF(AND($P663="Y",$Q663&lt;&gt;"Y"),0,IF(AND($K663="Point",N($L663)&lt;=0),0,IF(AND(N($L663)&lt;=0,N($N663)&lt;=0,N($R663)+N($S663)&lt;=0),0,1)))))</f>
        <v/>
      </c>
      <c r="AA663" s="21">
        <f>IF(AND($A663="",$B663=""),"",IF($E663="","Site type missing",IF($H663="","STATUS missing",IF($H663="Proposed","STATUS = Proposed",IF($H663="Not Reported","STATUS = Not Reported",IF(AND($P663="Y",$Q663&lt;&gt;"Y"),"UNESCO-MAB Biosphere Reserve",IF(AND($K663="Point",N($L663)&lt;=0),"Point without REP_AREA",IF(AND(N($L663)&lt;=0,N($N663)&lt;=0,N($R663)+N($S663)&lt;=0),"No area information",""))))))))</f>
        <v/>
      </c>
      <c r="AB663" s="22">
        <f>IF(AND($A663="",$B663=""),"",IF($K663="Point",N($L663),IF(N($N663)&gt;0,N($N663),N($L663))))</f>
        <v/>
      </c>
      <c r="AC663" s="22">
        <f>IF(AND($A663="",$B663=""),"",MIN(AB663,IF(N($J663)=0,0,IF(N($J663)=2,AB663,IF(AND($K663&lt;&gt;"Point",N($O663)&gt;0),N($O663),N($M663))))))</f>
        <v/>
      </c>
      <c r="AD663" s="22">
        <f>IF(AND($A663="",$B663=""),"",MAX(0,AB663-AC663))</f>
        <v/>
      </c>
      <c r="AE663" s="21">
        <f>IF(AND($A663="",$B663=""),"",IF(OR($R663&lt;&gt;"",$S663&lt;&gt;""),1,0))</f>
        <v/>
      </c>
      <c r="AF663" s="22">
        <f>IF(AND($A663="",$B663=""),"",IF(Z663=1,IF(AE663=1,N($R663),AD663),0))</f>
        <v/>
      </c>
      <c r="AG663" s="22">
        <f>IF(AND($A663="",$B663=""),"",IF(Z663=1,IF(AE663=1,N($S663),AC663),0))</f>
        <v/>
      </c>
      <c r="AH663" s="21">
        <f>IF(AND($A663="",$B663=""),"",IF(AND(ISNUMBER($I663),N($I663)&gt;0),$I663,0))</f>
        <v/>
      </c>
      <c r="AI663" s="23">
        <f>IF(AND(NOT(AND($A663="",$B663="")),$K663="Point",N($L663)&gt;0),SQRT(N($L663)/PI()),"")</f>
        <v/>
      </c>
      <c r="AJ663" s="21">
        <f>IF(AND($A663="",$B663=""),"",IFERROR(VLOOKUP($G663,Lists!$D$4:$E$15,2,FALSE),"Not reported"))</f>
        <v/>
      </c>
      <c r="AK663" s="21">
        <f>IF(AND($A663="",$B663=""),"",IF($X663&lt;&gt;"",$X663,IF($T663&lt;&gt;"Y","Not assessed",IF(AND(ISNUMBER($V663),Setup!$B$6-$V663&gt;Setup!$B$26),"Assessment outdated",IF(NOT(ISNUMBER($W663)),"Assessed – no score",IF($W663&gt;=Setup!$B$24,"High",IF($W663&gt;=Setup!$B$25,"Moderate","Low")))))))</f>
        <v/>
      </c>
      <c r="AL663" s="21">
        <f>IF(AND($A663="",$B663=""),"",IF(Z663=0,"",IF(AND(AE663=1,N($R663)&gt;AD663*1.01+0.001),"Net terrestrial &gt; gross; ","")&amp;IF(AND(AE663=1,N($S663)&gt;AC663*1.01+0.001),"Net marine &gt; gross; ","")&amp;IF(AE663=0,"No net area – gross used, overlaps may be double-counted; ","")&amp;IF(AH663=0,"STATUS_YR missing – imputed in time series; ","")&amp;IF(AND(ISNUMBER($I663),N($I663)&gt;Setup!$B$6),"STATUS_YR after reporting year; ","")&amp;IF(OR($G663="",$G663="Not Reported"),"GOV_TYPE not reported; ","")&amp;IF(AND(N($J663)=1,$K663="Point",N($M663)&lt;=0),"Coastal point without REP_M_AREA – land/sea split unknown; ","")&amp;IF(AND(N($J663)=0,N($S663)&gt;0),"MARINE=0 but net marine &gt;0; ","")&amp;IF(AND(N($J663)=2,N($R663)&gt;0),"MARINE=2 but net terrestrial &gt;0; ","")&amp;IF($K663="Point","Buffered point – coverage approximate; ","")))</f>
        <v/>
      </c>
    </row>
    <row r="664">
      <c r="A664" s="19" t="n"/>
      <c r="B664" s="19" t="n"/>
      <c r="C664" s="19" t="n"/>
      <c r="D664" s="19" t="n"/>
      <c r="E664" s="19" t="n"/>
      <c r="F664" s="19" t="n"/>
      <c r="G664" s="19" t="n"/>
      <c r="H664" s="19" t="n"/>
      <c r="I664" s="19" t="n"/>
      <c r="J664" s="19" t="n"/>
      <c r="K664" s="19" t="n"/>
      <c r="L664" s="20" t="n"/>
      <c r="M664" s="20" t="n"/>
      <c r="N664" s="20" t="n"/>
      <c r="O664" s="20" t="n"/>
      <c r="P664" s="19" t="n"/>
      <c r="Q664" s="19" t="n"/>
      <c r="R664" s="20" t="n"/>
      <c r="S664" s="20" t="n"/>
      <c r="T664" s="19" t="n"/>
      <c r="U664" s="19" t="n"/>
      <c r="V664" s="19" t="n"/>
      <c r="W664" s="19" t="n"/>
      <c r="X664" s="19" t="n"/>
      <c r="Y664" s="19" t="n"/>
      <c r="Z664" s="21">
        <f>IF(AND($A664="",$B664=""),"",IF(OR($E664="",$H664="",$H664="Proposed",$H664="Not Reported"),0,IF(AND($P664="Y",$Q664&lt;&gt;"Y"),0,IF(AND($K664="Point",N($L664)&lt;=0),0,IF(AND(N($L664)&lt;=0,N($N664)&lt;=0,N($R664)+N($S664)&lt;=0),0,1)))))</f>
        <v/>
      </c>
      <c r="AA664" s="21">
        <f>IF(AND($A664="",$B664=""),"",IF($E664="","Site type missing",IF($H664="","STATUS missing",IF($H664="Proposed","STATUS = Proposed",IF($H664="Not Reported","STATUS = Not Reported",IF(AND($P664="Y",$Q664&lt;&gt;"Y"),"UNESCO-MAB Biosphere Reserve",IF(AND($K664="Point",N($L664)&lt;=0),"Point without REP_AREA",IF(AND(N($L664)&lt;=0,N($N664)&lt;=0,N($R664)+N($S664)&lt;=0),"No area information",""))))))))</f>
        <v/>
      </c>
      <c r="AB664" s="22">
        <f>IF(AND($A664="",$B664=""),"",IF($K664="Point",N($L664),IF(N($N664)&gt;0,N($N664),N($L664))))</f>
        <v/>
      </c>
      <c r="AC664" s="22">
        <f>IF(AND($A664="",$B664=""),"",MIN(AB664,IF(N($J664)=0,0,IF(N($J664)=2,AB664,IF(AND($K664&lt;&gt;"Point",N($O664)&gt;0),N($O664),N($M664))))))</f>
        <v/>
      </c>
      <c r="AD664" s="22">
        <f>IF(AND($A664="",$B664=""),"",MAX(0,AB664-AC664))</f>
        <v/>
      </c>
      <c r="AE664" s="21">
        <f>IF(AND($A664="",$B664=""),"",IF(OR($R664&lt;&gt;"",$S664&lt;&gt;""),1,0))</f>
        <v/>
      </c>
      <c r="AF664" s="22">
        <f>IF(AND($A664="",$B664=""),"",IF(Z664=1,IF(AE664=1,N($R664),AD664),0))</f>
        <v/>
      </c>
      <c r="AG664" s="22">
        <f>IF(AND($A664="",$B664=""),"",IF(Z664=1,IF(AE664=1,N($S664),AC664),0))</f>
        <v/>
      </c>
      <c r="AH664" s="21">
        <f>IF(AND($A664="",$B664=""),"",IF(AND(ISNUMBER($I664),N($I664)&gt;0),$I664,0))</f>
        <v/>
      </c>
      <c r="AI664" s="23">
        <f>IF(AND(NOT(AND($A664="",$B664="")),$K664="Point",N($L664)&gt;0),SQRT(N($L664)/PI()),"")</f>
        <v/>
      </c>
      <c r="AJ664" s="21">
        <f>IF(AND($A664="",$B664=""),"",IFERROR(VLOOKUP($G664,Lists!$D$4:$E$15,2,FALSE),"Not reported"))</f>
        <v/>
      </c>
      <c r="AK664" s="21">
        <f>IF(AND($A664="",$B664=""),"",IF($X664&lt;&gt;"",$X664,IF($T664&lt;&gt;"Y","Not assessed",IF(AND(ISNUMBER($V664),Setup!$B$6-$V664&gt;Setup!$B$26),"Assessment outdated",IF(NOT(ISNUMBER($W664)),"Assessed – no score",IF($W664&gt;=Setup!$B$24,"High",IF($W664&gt;=Setup!$B$25,"Moderate","Low")))))))</f>
        <v/>
      </c>
      <c r="AL664" s="21">
        <f>IF(AND($A664="",$B664=""),"",IF(Z664=0,"",IF(AND(AE664=1,N($R664)&gt;AD664*1.01+0.001),"Net terrestrial &gt; gross; ","")&amp;IF(AND(AE664=1,N($S664)&gt;AC664*1.01+0.001),"Net marine &gt; gross; ","")&amp;IF(AE664=0,"No net area – gross used, overlaps may be double-counted; ","")&amp;IF(AH664=0,"STATUS_YR missing – imputed in time series; ","")&amp;IF(AND(ISNUMBER($I664),N($I664)&gt;Setup!$B$6),"STATUS_YR after reporting year; ","")&amp;IF(OR($G664="",$G664="Not Reported"),"GOV_TYPE not reported; ","")&amp;IF(AND(N($J664)=1,$K664="Point",N($M664)&lt;=0),"Coastal point without REP_M_AREA – land/sea split unknown; ","")&amp;IF(AND(N($J664)=0,N($S664)&gt;0),"MARINE=0 but net marine &gt;0; ","")&amp;IF(AND(N($J664)=2,N($R664)&gt;0),"MARINE=2 but net terrestrial &gt;0; ","")&amp;IF($K664="Point","Buffered point – coverage approximate; ","")))</f>
        <v/>
      </c>
    </row>
    <row r="665">
      <c r="A665" s="19" t="n"/>
      <c r="B665" s="19" t="n"/>
      <c r="C665" s="19" t="n"/>
      <c r="D665" s="19" t="n"/>
      <c r="E665" s="19" t="n"/>
      <c r="F665" s="19" t="n"/>
      <c r="G665" s="19" t="n"/>
      <c r="H665" s="19" t="n"/>
      <c r="I665" s="19" t="n"/>
      <c r="J665" s="19" t="n"/>
      <c r="K665" s="19" t="n"/>
      <c r="L665" s="20" t="n"/>
      <c r="M665" s="20" t="n"/>
      <c r="N665" s="20" t="n"/>
      <c r="O665" s="20" t="n"/>
      <c r="P665" s="19" t="n"/>
      <c r="Q665" s="19" t="n"/>
      <c r="R665" s="20" t="n"/>
      <c r="S665" s="20" t="n"/>
      <c r="T665" s="19" t="n"/>
      <c r="U665" s="19" t="n"/>
      <c r="V665" s="19" t="n"/>
      <c r="W665" s="19" t="n"/>
      <c r="X665" s="19" t="n"/>
      <c r="Y665" s="19" t="n"/>
      <c r="Z665" s="21">
        <f>IF(AND($A665="",$B665=""),"",IF(OR($E665="",$H665="",$H665="Proposed",$H665="Not Reported"),0,IF(AND($P665="Y",$Q665&lt;&gt;"Y"),0,IF(AND($K665="Point",N($L665)&lt;=0),0,IF(AND(N($L665)&lt;=0,N($N665)&lt;=0,N($R665)+N($S665)&lt;=0),0,1)))))</f>
        <v/>
      </c>
      <c r="AA665" s="21">
        <f>IF(AND($A665="",$B665=""),"",IF($E665="","Site type missing",IF($H665="","STATUS missing",IF($H665="Proposed","STATUS = Proposed",IF($H665="Not Reported","STATUS = Not Reported",IF(AND($P665="Y",$Q665&lt;&gt;"Y"),"UNESCO-MAB Biosphere Reserve",IF(AND($K665="Point",N($L665)&lt;=0),"Point without REP_AREA",IF(AND(N($L665)&lt;=0,N($N665)&lt;=0,N($R665)+N($S665)&lt;=0),"No area information",""))))))))</f>
        <v/>
      </c>
      <c r="AB665" s="22">
        <f>IF(AND($A665="",$B665=""),"",IF($K665="Point",N($L665),IF(N($N665)&gt;0,N($N665),N($L665))))</f>
        <v/>
      </c>
      <c r="AC665" s="22">
        <f>IF(AND($A665="",$B665=""),"",MIN(AB665,IF(N($J665)=0,0,IF(N($J665)=2,AB665,IF(AND($K665&lt;&gt;"Point",N($O665)&gt;0),N($O665),N($M665))))))</f>
        <v/>
      </c>
      <c r="AD665" s="22">
        <f>IF(AND($A665="",$B665=""),"",MAX(0,AB665-AC665))</f>
        <v/>
      </c>
      <c r="AE665" s="21">
        <f>IF(AND($A665="",$B665=""),"",IF(OR($R665&lt;&gt;"",$S665&lt;&gt;""),1,0))</f>
        <v/>
      </c>
      <c r="AF665" s="22">
        <f>IF(AND($A665="",$B665=""),"",IF(Z665=1,IF(AE665=1,N($R665),AD665),0))</f>
        <v/>
      </c>
      <c r="AG665" s="22">
        <f>IF(AND($A665="",$B665=""),"",IF(Z665=1,IF(AE665=1,N($S665),AC665),0))</f>
        <v/>
      </c>
      <c r="AH665" s="21">
        <f>IF(AND($A665="",$B665=""),"",IF(AND(ISNUMBER($I665),N($I665)&gt;0),$I665,0))</f>
        <v/>
      </c>
      <c r="AI665" s="23">
        <f>IF(AND(NOT(AND($A665="",$B665="")),$K665="Point",N($L665)&gt;0),SQRT(N($L665)/PI()),"")</f>
        <v/>
      </c>
      <c r="AJ665" s="21">
        <f>IF(AND($A665="",$B665=""),"",IFERROR(VLOOKUP($G665,Lists!$D$4:$E$15,2,FALSE),"Not reported"))</f>
        <v/>
      </c>
      <c r="AK665" s="21">
        <f>IF(AND($A665="",$B665=""),"",IF($X665&lt;&gt;"",$X665,IF($T665&lt;&gt;"Y","Not assessed",IF(AND(ISNUMBER($V665),Setup!$B$6-$V665&gt;Setup!$B$26),"Assessment outdated",IF(NOT(ISNUMBER($W665)),"Assessed – no score",IF($W665&gt;=Setup!$B$24,"High",IF($W665&gt;=Setup!$B$25,"Moderate","Low")))))))</f>
        <v/>
      </c>
      <c r="AL665" s="21">
        <f>IF(AND($A665="",$B665=""),"",IF(Z665=0,"",IF(AND(AE665=1,N($R665)&gt;AD665*1.01+0.001),"Net terrestrial &gt; gross; ","")&amp;IF(AND(AE665=1,N($S665)&gt;AC665*1.01+0.001),"Net marine &gt; gross; ","")&amp;IF(AE665=0,"No net area – gross used, overlaps may be double-counted; ","")&amp;IF(AH665=0,"STATUS_YR missing – imputed in time series; ","")&amp;IF(AND(ISNUMBER($I665),N($I665)&gt;Setup!$B$6),"STATUS_YR after reporting year; ","")&amp;IF(OR($G665="",$G665="Not Reported"),"GOV_TYPE not reported; ","")&amp;IF(AND(N($J665)=1,$K665="Point",N($M665)&lt;=0),"Coastal point without REP_M_AREA – land/sea split unknown; ","")&amp;IF(AND(N($J665)=0,N($S665)&gt;0),"MARINE=0 but net marine &gt;0; ","")&amp;IF(AND(N($J665)=2,N($R665)&gt;0),"MARINE=2 but net terrestrial &gt;0; ","")&amp;IF($K665="Point","Buffered point – coverage approximate; ","")))</f>
        <v/>
      </c>
    </row>
    <row r="666">
      <c r="A666" s="19" t="n"/>
      <c r="B666" s="19" t="n"/>
      <c r="C666" s="19" t="n"/>
      <c r="D666" s="19" t="n"/>
      <c r="E666" s="19" t="n"/>
      <c r="F666" s="19" t="n"/>
      <c r="G666" s="19" t="n"/>
      <c r="H666" s="19" t="n"/>
      <c r="I666" s="19" t="n"/>
      <c r="J666" s="19" t="n"/>
      <c r="K666" s="19" t="n"/>
      <c r="L666" s="20" t="n"/>
      <c r="M666" s="20" t="n"/>
      <c r="N666" s="20" t="n"/>
      <c r="O666" s="20" t="n"/>
      <c r="P666" s="19" t="n"/>
      <c r="Q666" s="19" t="n"/>
      <c r="R666" s="20" t="n"/>
      <c r="S666" s="20" t="n"/>
      <c r="T666" s="19" t="n"/>
      <c r="U666" s="19" t="n"/>
      <c r="V666" s="19" t="n"/>
      <c r="W666" s="19" t="n"/>
      <c r="X666" s="19" t="n"/>
      <c r="Y666" s="19" t="n"/>
      <c r="Z666" s="21">
        <f>IF(AND($A666="",$B666=""),"",IF(OR($E666="",$H666="",$H666="Proposed",$H666="Not Reported"),0,IF(AND($P666="Y",$Q666&lt;&gt;"Y"),0,IF(AND($K666="Point",N($L666)&lt;=0),0,IF(AND(N($L666)&lt;=0,N($N666)&lt;=0,N($R666)+N($S666)&lt;=0),0,1)))))</f>
        <v/>
      </c>
      <c r="AA666" s="21">
        <f>IF(AND($A666="",$B666=""),"",IF($E666="","Site type missing",IF($H666="","STATUS missing",IF($H666="Proposed","STATUS = Proposed",IF($H666="Not Reported","STATUS = Not Reported",IF(AND($P666="Y",$Q666&lt;&gt;"Y"),"UNESCO-MAB Biosphere Reserve",IF(AND($K666="Point",N($L666)&lt;=0),"Point without REP_AREA",IF(AND(N($L666)&lt;=0,N($N666)&lt;=0,N($R666)+N($S666)&lt;=0),"No area information",""))))))))</f>
        <v/>
      </c>
      <c r="AB666" s="22">
        <f>IF(AND($A666="",$B666=""),"",IF($K666="Point",N($L666),IF(N($N666)&gt;0,N($N666),N($L666))))</f>
        <v/>
      </c>
      <c r="AC666" s="22">
        <f>IF(AND($A666="",$B666=""),"",MIN(AB666,IF(N($J666)=0,0,IF(N($J666)=2,AB666,IF(AND($K666&lt;&gt;"Point",N($O666)&gt;0),N($O666),N($M666))))))</f>
        <v/>
      </c>
      <c r="AD666" s="22">
        <f>IF(AND($A666="",$B666=""),"",MAX(0,AB666-AC666))</f>
        <v/>
      </c>
      <c r="AE666" s="21">
        <f>IF(AND($A666="",$B666=""),"",IF(OR($R666&lt;&gt;"",$S666&lt;&gt;""),1,0))</f>
        <v/>
      </c>
      <c r="AF666" s="22">
        <f>IF(AND($A666="",$B666=""),"",IF(Z666=1,IF(AE666=1,N($R666),AD666),0))</f>
        <v/>
      </c>
      <c r="AG666" s="22">
        <f>IF(AND($A666="",$B666=""),"",IF(Z666=1,IF(AE666=1,N($S666),AC666),0))</f>
        <v/>
      </c>
      <c r="AH666" s="21">
        <f>IF(AND($A666="",$B666=""),"",IF(AND(ISNUMBER($I666),N($I666)&gt;0),$I666,0))</f>
        <v/>
      </c>
      <c r="AI666" s="23">
        <f>IF(AND(NOT(AND($A666="",$B666="")),$K666="Point",N($L666)&gt;0),SQRT(N($L666)/PI()),"")</f>
        <v/>
      </c>
      <c r="AJ666" s="21">
        <f>IF(AND($A666="",$B666=""),"",IFERROR(VLOOKUP($G666,Lists!$D$4:$E$15,2,FALSE),"Not reported"))</f>
        <v/>
      </c>
      <c r="AK666" s="21">
        <f>IF(AND($A666="",$B666=""),"",IF($X666&lt;&gt;"",$X666,IF($T666&lt;&gt;"Y","Not assessed",IF(AND(ISNUMBER($V666),Setup!$B$6-$V666&gt;Setup!$B$26),"Assessment outdated",IF(NOT(ISNUMBER($W666)),"Assessed – no score",IF($W666&gt;=Setup!$B$24,"High",IF($W666&gt;=Setup!$B$25,"Moderate","Low")))))))</f>
        <v/>
      </c>
      <c r="AL666" s="21">
        <f>IF(AND($A666="",$B666=""),"",IF(Z666=0,"",IF(AND(AE666=1,N($R666)&gt;AD666*1.01+0.001),"Net terrestrial &gt; gross; ","")&amp;IF(AND(AE666=1,N($S666)&gt;AC666*1.01+0.001),"Net marine &gt; gross; ","")&amp;IF(AE666=0,"No net area – gross used, overlaps may be double-counted; ","")&amp;IF(AH666=0,"STATUS_YR missing – imputed in time series; ","")&amp;IF(AND(ISNUMBER($I666),N($I666)&gt;Setup!$B$6),"STATUS_YR after reporting year; ","")&amp;IF(OR($G666="",$G666="Not Reported"),"GOV_TYPE not reported; ","")&amp;IF(AND(N($J666)=1,$K666="Point",N($M666)&lt;=0),"Coastal point without REP_M_AREA – land/sea split unknown; ","")&amp;IF(AND(N($J666)=0,N($S666)&gt;0),"MARINE=0 but net marine &gt;0; ","")&amp;IF(AND(N($J666)=2,N($R666)&gt;0),"MARINE=2 but net terrestrial &gt;0; ","")&amp;IF($K666="Point","Buffered point – coverage approximate; ","")))</f>
        <v/>
      </c>
    </row>
    <row r="667">
      <c r="A667" s="19" t="n"/>
      <c r="B667" s="19" t="n"/>
      <c r="C667" s="19" t="n"/>
      <c r="D667" s="19" t="n"/>
      <c r="E667" s="19" t="n"/>
      <c r="F667" s="19" t="n"/>
      <c r="G667" s="19" t="n"/>
      <c r="H667" s="19" t="n"/>
      <c r="I667" s="19" t="n"/>
      <c r="J667" s="19" t="n"/>
      <c r="K667" s="19" t="n"/>
      <c r="L667" s="20" t="n"/>
      <c r="M667" s="20" t="n"/>
      <c r="N667" s="20" t="n"/>
      <c r="O667" s="20" t="n"/>
      <c r="P667" s="19" t="n"/>
      <c r="Q667" s="19" t="n"/>
      <c r="R667" s="20" t="n"/>
      <c r="S667" s="20" t="n"/>
      <c r="T667" s="19" t="n"/>
      <c r="U667" s="19" t="n"/>
      <c r="V667" s="19" t="n"/>
      <c r="W667" s="19" t="n"/>
      <c r="X667" s="19" t="n"/>
      <c r="Y667" s="19" t="n"/>
      <c r="Z667" s="21">
        <f>IF(AND($A667="",$B667=""),"",IF(OR($E667="",$H667="",$H667="Proposed",$H667="Not Reported"),0,IF(AND($P667="Y",$Q667&lt;&gt;"Y"),0,IF(AND($K667="Point",N($L667)&lt;=0),0,IF(AND(N($L667)&lt;=0,N($N667)&lt;=0,N($R667)+N($S667)&lt;=0),0,1)))))</f>
        <v/>
      </c>
      <c r="AA667" s="21">
        <f>IF(AND($A667="",$B667=""),"",IF($E667="","Site type missing",IF($H667="","STATUS missing",IF($H667="Proposed","STATUS = Proposed",IF($H667="Not Reported","STATUS = Not Reported",IF(AND($P667="Y",$Q667&lt;&gt;"Y"),"UNESCO-MAB Biosphere Reserve",IF(AND($K667="Point",N($L667)&lt;=0),"Point without REP_AREA",IF(AND(N($L667)&lt;=0,N($N667)&lt;=0,N($R667)+N($S667)&lt;=0),"No area information",""))))))))</f>
        <v/>
      </c>
      <c r="AB667" s="22">
        <f>IF(AND($A667="",$B667=""),"",IF($K667="Point",N($L667),IF(N($N667)&gt;0,N($N667),N($L667))))</f>
        <v/>
      </c>
      <c r="AC667" s="22">
        <f>IF(AND($A667="",$B667=""),"",MIN(AB667,IF(N($J667)=0,0,IF(N($J667)=2,AB667,IF(AND($K667&lt;&gt;"Point",N($O667)&gt;0),N($O667),N($M667))))))</f>
        <v/>
      </c>
      <c r="AD667" s="22">
        <f>IF(AND($A667="",$B667=""),"",MAX(0,AB667-AC667))</f>
        <v/>
      </c>
      <c r="AE667" s="21">
        <f>IF(AND($A667="",$B667=""),"",IF(OR($R667&lt;&gt;"",$S667&lt;&gt;""),1,0))</f>
        <v/>
      </c>
      <c r="AF667" s="22">
        <f>IF(AND($A667="",$B667=""),"",IF(Z667=1,IF(AE667=1,N($R667),AD667),0))</f>
        <v/>
      </c>
      <c r="AG667" s="22">
        <f>IF(AND($A667="",$B667=""),"",IF(Z667=1,IF(AE667=1,N($S667),AC667),0))</f>
        <v/>
      </c>
      <c r="AH667" s="21">
        <f>IF(AND($A667="",$B667=""),"",IF(AND(ISNUMBER($I667),N($I667)&gt;0),$I667,0))</f>
        <v/>
      </c>
      <c r="AI667" s="23">
        <f>IF(AND(NOT(AND($A667="",$B667="")),$K667="Point",N($L667)&gt;0),SQRT(N($L667)/PI()),"")</f>
        <v/>
      </c>
      <c r="AJ667" s="21">
        <f>IF(AND($A667="",$B667=""),"",IFERROR(VLOOKUP($G667,Lists!$D$4:$E$15,2,FALSE),"Not reported"))</f>
        <v/>
      </c>
      <c r="AK667" s="21">
        <f>IF(AND($A667="",$B667=""),"",IF($X667&lt;&gt;"",$X667,IF($T667&lt;&gt;"Y","Not assessed",IF(AND(ISNUMBER($V667),Setup!$B$6-$V667&gt;Setup!$B$26),"Assessment outdated",IF(NOT(ISNUMBER($W667)),"Assessed – no score",IF($W667&gt;=Setup!$B$24,"High",IF($W667&gt;=Setup!$B$25,"Moderate","Low")))))))</f>
        <v/>
      </c>
      <c r="AL667" s="21">
        <f>IF(AND($A667="",$B667=""),"",IF(Z667=0,"",IF(AND(AE667=1,N($R667)&gt;AD667*1.01+0.001),"Net terrestrial &gt; gross; ","")&amp;IF(AND(AE667=1,N($S667)&gt;AC667*1.01+0.001),"Net marine &gt; gross; ","")&amp;IF(AE667=0,"No net area – gross used, overlaps may be double-counted; ","")&amp;IF(AH667=0,"STATUS_YR missing – imputed in time series; ","")&amp;IF(AND(ISNUMBER($I667),N($I667)&gt;Setup!$B$6),"STATUS_YR after reporting year; ","")&amp;IF(OR($G667="",$G667="Not Reported"),"GOV_TYPE not reported; ","")&amp;IF(AND(N($J667)=1,$K667="Point",N($M667)&lt;=0),"Coastal point without REP_M_AREA – land/sea split unknown; ","")&amp;IF(AND(N($J667)=0,N($S667)&gt;0),"MARINE=0 but net marine &gt;0; ","")&amp;IF(AND(N($J667)=2,N($R667)&gt;0),"MARINE=2 but net terrestrial &gt;0; ","")&amp;IF($K667="Point","Buffered point – coverage approximate; ","")))</f>
        <v/>
      </c>
    </row>
    <row r="668">
      <c r="A668" s="19" t="n"/>
      <c r="B668" s="19" t="n"/>
      <c r="C668" s="19" t="n"/>
      <c r="D668" s="19" t="n"/>
      <c r="E668" s="19" t="n"/>
      <c r="F668" s="19" t="n"/>
      <c r="G668" s="19" t="n"/>
      <c r="H668" s="19" t="n"/>
      <c r="I668" s="19" t="n"/>
      <c r="J668" s="19" t="n"/>
      <c r="K668" s="19" t="n"/>
      <c r="L668" s="20" t="n"/>
      <c r="M668" s="20" t="n"/>
      <c r="N668" s="20" t="n"/>
      <c r="O668" s="20" t="n"/>
      <c r="P668" s="19" t="n"/>
      <c r="Q668" s="19" t="n"/>
      <c r="R668" s="20" t="n"/>
      <c r="S668" s="20" t="n"/>
      <c r="T668" s="19" t="n"/>
      <c r="U668" s="19" t="n"/>
      <c r="V668" s="19" t="n"/>
      <c r="W668" s="19" t="n"/>
      <c r="X668" s="19" t="n"/>
      <c r="Y668" s="19" t="n"/>
      <c r="Z668" s="21">
        <f>IF(AND($A668="",$B668=""),"",IF(OR($E668="",$H668="",$H668="Proposed",$H668="Not Reported"),0,IF(AND($P668="Y",$Q668&lt;&gt;"Y"),0,IF(AND($K668="Point",N($L668)&lt;=0),0,IF(AND(N($L668)&lt;=0,N($N668)&lt;=0,N($R668)+N($S668)&lt;=0),0,1)))))</f>
        <v/>
      </c>
      <c r="AA668" s="21">
        <f>IF(AND($A668="",$B668=""),"",IF($E668="","Site type missing",IF($H668="","STATUS missing",IF($H668="Proposed","STATUS = Proposed",IF($H668="Not Reported","STATUS = Not Reported",IF(AND($P668="Y",$Q668&lt;&gt;"Y"),"UNESCO-MAB Biosphere Reserve",IF(AND($K668="Point",N($L668)&lt;=0),"Point without REP_AREA",IF(AND(N($L668)&lt;=0,N($N668)&lt;=0,N($R668)+N($S668)&lt;=0),"No area information",""))))))))</f>
        <v/>
      </c>
      <c r="AB668" s="22">
        <f>IF(AND($A668="",$B668=""),"",IF($K668="Point",N($L668),IF(N($N668)&gt;0,N($N668),N($L668))))</f>
        <v/>
      </c>
      <c r="AC668" s="22">
        <f>IF(AND($A668="",$B668=""),"",MIN(AB668,IF(N($J668)=0,0,IF(N($J668)=2,AB668,IF(AND($K668&lt;&gt;"Point",N($O668)&gt;0),N($O668),N($M668))))))</f>
        <v/>
      </c>
      <c r="AD668" s="22">
        <f>IF(AND($A668="",$B668=""),"",MAX(0,AB668-AC668))</f>
        <v/>
      </c>
      <c r="AE668" s="21">
        <f>IF(AND($A668="",$B668=""),"",IF(OR($R668&lt;&gt;"",$S668&lt;&gt;""),1,0))</f>
        <v/>
      </c>
      <c r="AF668" s="22">
        <f>IF(AND($A668="",$B668=""),"",IF(Z668=1,IF(AE668=1,N($R668),AD668),0))</f>
        <v/>
      </c>
      <c r="AG668" s="22">
        <f>IF(AND($A668="",$B668=""),"",IF(Z668=1,IF(AE668=1,N($S668),AC668),0))</f>
        <v/>
      </c>
      <c r="AH668" s="21">
        <f>IF(AND($A668="",$B668=""),"",IF(AND(ISNUMBER($I668),N($I668)&gt;0),$I668,0))</f>
        <v/>
      </c>
      <c r="AI668" s="23">
        <f>IF(AND(NOT(AND($A668="",$B668="")),$K668="Point",N($L668)&gt;0),SQRT(N($L668)/PI()),"")</f>
        <v/>
      </c>
      <c r="AJ668" s="21">
        <f>IF(AND($A668="",$B668=""),"",IFERROR(VLOOKUP($G668,Lists!$D$4:$E$15,2,FALSE),"Not reported"))</f>
        <v/>
      </c>
      <c r="AK668" s="21">
        <f>IF(AND($A668="",$B668=""),"",IF($X668&lt;&gt;"",$X668,IF($T668&lt;&gt;"Y","Not assessed",IF(AND(ISNUMBER($V668),Setup!$B$6-$V668&gt;Setup!$B$26),"Assessment outdated",IF(NOT(ISNUMBER($W668)),"Assessed – no score",IF($W668&gt;=Setup!$B$24,"High",IF($W668&gt;=Setup!$B$25,"Moderate","Low")))))))</f>
        <v/>
      </c>
      <c r="AL668" s="21">
        <f>IF(AND($A668="",$B668=""),"",IF(Z668=0,"",IF(AND(AE668=1,N($R668)&gt;AD668*1.01+0.001),"Net terrestrial &gt; gross; ","")&amp;IF(AND(AE668=1,N($S668)&gt;AC668*1.01+0.001),"Net marine &gt; gross; ","")&amp;IF(AE668=0,"No net area – gross used, overlaps may be double-counted; ","")&amp;IF(AH668=0,"STATUS_YR missing – imputed in time series; ","")&amp;IF(AND(ISNUMBER($I668),N($I668)&gt;Setup!$B$6),"STATUS_YR after reporting year; ","")&amp;IF(OR($G668="",$G668="Not Reported"),"GOV_TYPE not reported; ","")&amp;IF(AND(N($J668)=1,$K668="Point",N($M668)&lt;=0),"Coastal point without REP_M_AREA – land/sea split unknown; ","")&amp;IF(AND(N($J668)=0,N($S668)&gt;0),"MARINE=0 but net marine &gt;0; ","")&amp;IF(AND(N($J668)=2,N($R668)&gt;0),"MARINE=2 but net terrestrial &gt;0; ","")&amp;IF($K668="Point","Buffered point – coverage approximate; ","")))</f>
        <v/>
      </c>
    </row>
    <row r="669">
      <c r="A669" s="19" t="n"/>
      <c r="B669" s="19" t="n"/>
      <c r="C669" s="19" t="n"/>
      <c r="D669" s="19" t="n"/>
      <c r="E669" s="19" t="n"/>
      <c r="F669" s="19" t="n"/>
      <c r="G669" s="19" t="n"/>
      <c r="H669" s="19" t="n"/>
      <c r="I669" s="19" t="n"/>
      <c r="J669" s="19" t="n"/>
      <c r="K669" s="19" t="n"/>
      <c r="L669" s="20" t="n"/>
      <c r="M669" s="20" t="n"/>
      <c r="N669" s="20" t="n"/>
      <c r="O669" s="20" t="n"/>
      <c r="P669" s="19" t="n"/>
      <c r="Q669" s="19" t="n"/>
      <c r="R669" s="20" t="n"/>
      <c r="S669" s="20" t="n"/>
      <c r="T669" s="19" t="n"/>
      <c r="U669" s="19" t="n"/>
      <c r="V669" s="19" t="n"/>
      <c r="W669" s="19" t="n"/>
      <c r="X669" s="19" t="n"/>
      <c r="Y669" s="19" t="n"/>
      <c r="Z669" s="21">
        <f>IF(AND($A669="",$B669=""),"",IF(OR($E669="",$H669="",$H669="Proposed",$H669="Not Reported"),0,IF(AND($P669="Y",$Q669&lt;&gt;"Y"),0,IF(AND($K669="Point",N($L669)&lt;=0),0,IF(AND(N($L669)&lt;=0,N($N669)&lt;=0,N($R669)+N($S669)&lt;=0),0,1)))))</f>
        <v/>
      </c>
      <c r="AA669" s="21">
        <f>IF(AND($A669="",$B669=""),"",IF($E669="","Site type missing",IF($H669="","STATUS missing",IF($H669="Proposed","STATUS = Proposed",IF($H669="Not Reported","STATUS = Not Reported",IF(AND($P669="Y",$Q669&lt;&gt;"Y"),"UNESCO-MAB Biosphere Reserve",IF(AND($K669="Point",N($L669)&lt;=0),"Point without REP_AREA",IF(AND(N($L669)&lt;=0,N($N669)&lt;=0,N($R669)+N($S669)&lt;=0),"No area information",""))))))))</f>
        <v/>
      </c>
      <c r="AB669" s="22">
        <f>IF(AND($A669="",$B669=""),"",IF($K669="Point",N($L669),IF(N($N669)&gt;0,N($N669),N($L669))))</f>
        <v/>
      </c>
      <c r="AC669" s="22">
        <f>IF(AND($A669="",$B669=""),"",MIN(AB669,IF(N($J669)=0,0,IF(N($J669)=2,AB669,IF(AND($K669&lt;&gt;"Point",N($O669)&gt;0),N($O669),N($M669))))))</f>
        <v/>
      </c>
      <c r="AD669" s="22">
        <f>IF(AND($A669="",$B669=""),"",MAX(0,AB669-AC669))</f>
        <v/>
      </c>
      <c r="AE669" s="21">
        <f>IF(AND($A669="",$B669=""),"",IF(OR($R669&lt;&gt;"",$S669&lt;&gt;""),1,0))</f>
        <v/>
      </c>
      <c r="AF669" s="22">
        <f>IF(AND($A669="",$B669=""),"",IF(Z669=1,IF(AE669=1,N($R669),AD669),0))</f>
        <v/>
      </c>
      <c r="AG669" s="22">
        <f>IF(AND($A669="",$B669=""),"",IF(Z669=1,IF(AE669=1,N($S669),AC669),0))</f>
        <v/>
      </c>
      <c r="AH669" s="21">
        <f>IF(AND($A669="",$B669=""),"",IF(AND(ISNUMBER($I669),N($I669)&gt;0),$I669,0))</f>
        <v/>
      </c>
      <c r="AI669" s="23">
        <f>IF(AND(NOT(AND($A669="",$B669="")),$K669="Point",N($L669)&gt;0),SQRT(N($L669)/PI()),"")</f>
        <v/>
      </c>
      <c r="AJ669" s="21">
        <f>IF(AND($A669="",$B669=""),"",IFERROR(VLOOKUP($G669,Lists!$D$4:$E$15,2,FALSE),"Not reported"))</f>
        <v/>
      </c>
      <c r="AK669" s="21">
        <f>IF(AND($A669="",$B669=""),"",IF($X669&lt;&gt;"",$X669,IF($T669&lt;&gt;"Y","Not assessed",IF(AND(ISNUMBER($V669),Setup!$B$6-$V669&gt;Setup!$B$26),"Assessment outdated",IF(NOT(ISNUMBER($W669)),"Assessed – no score",IF($W669&gt;=Setup!$B$24,"High",IF($W669&gt;=Setup!$B$25,"Moderate","Low")))))))</f>
        <v/>
      </c>
      <c r="AL669" s="21">
        <f>IF(AND($A669="",$B669=""),"",IF(Z669=0,"",IF(AND(AE669=1,N($R669)&gt;AD669*1.01+0.001),"Net terrestrial &gt; gross; ","")&amp;IF(AND(AE669=1,N($S669)&gt;AC669*1.01+0.001),"Net marine &gt; gross; ","")&amp;IF(AE669=0,"No net area – gross used, overlaps may be double-counted; ","")&amp;IF(AH669=0,"STATUS_YR missing – imputed in time series; ","")&amp;IF(AND(ISNUMBER($I669),N($I669)&gt;Setup!$B$6),"STATUS_YR after reporting year; ","")&amp;IF(OR($G669="",$G669="Not Reported"),"GOV_TYPE not reported; ","")&amp;IF(AND(N($J669)=1,$K669="Point",N($M669)&lt;=0),"Coastal point without REP_M_AREA – land/sea split unknown; ","")&amp;IF(AND(N($J669)=0,N($S669)&gt;0),"MARINE=0 but net marine &gt;0; ","")&amp;IF(AND(N($J669)=2,N($R669)&gt;0),"MARINE=2 but net terrestrial &gt;0; ","")&amp;IF($K669="Point","Buffered point – coverage approximate; ","")))</f>
        <v/>
      </c>
    </row>
    <row r="670">
      <c r="A670" s="19" t="n"/>
      <c r="B670" s="19" t="n"/>
      <c r="C670" s="19" t="n"/>
      <c r="D670" s="19" t="n"/>
      <c r="E670" s="19" t="n"/>
      <c r="F670" s="19" t="n"/>
      <c r="G670" s="19" t="n"/>
      <c r="H670" s="19" t="n"/>
      <c r="I670" s="19" t="n"/>
      <c r="J670" s="19" t="n"/>
      <c r="K670" s="19" t="n"/>
      <c r="L670" s="20" t="n"/>
      <c r="M670" s="20" t="n"/>
      <c r="N670" s="20" t="n"/>
      <c r="O670" s="20" t="n"/>
      <c r="P670" s="19" t="n"/>
      <c r="Q670" s="19" t="n"/>
      <c r="R670" s="20" t="n"/>
      <c r="S670" s="20" t="n"/>
      <c r="T670" s="19" t="n"/>
      <c r="U670" s="19" t="n"/>
      <c r="V670" s="19" t="n"/>
      <c r="W670" s="19" t="n"/>
      <c r="X670" s="19" t="n"/>
      <c r="Y670" s="19" t="n"/>
      <c r="Z670" s="21">
        <f>IF(AND($A670="",$B670=""),"",IF(OR($E670="",$H670="",$H670="Proposed",$H670="Not Reported"),0,IF(AND($P670="Y",$Q670&lt;&gt;"Y"),0,IF(AND($K670="Point",N($L670)&lt;=0),0,IF(AND(N($L670)&lt;=0,N($N670)&lt;=0,N($R670)+N($S670)&lt;=0),0,1)))))</f>
        <v/>
      </c>
      <c r="AA670" s="21">
        <f>IF(AND($A670="",$B670=""),"",IF($E670="","Site type missing",IF($H670="","STATUS missing",IF($H670="Proposed","STATUS = Proposed",IF($H670="Not Reported","STATUS = Not Reported",IF(AND($P670="Y",$Q670&lt;&gt;"Y"),"UNESCO-MAB Biosphere Reserve",IF(AND($K670="Point",N($L670)&lt;=0),"Point without REP_AREA",IF(AND(N($L670)&lt;=0,N($N670)&lt;=0,N($R670)+N($S670)&lt;=0),"No area information",""))))))))</f>
        <v/>
      </c>
      <c r="AB670" s="22">
        <f>IF(AND($A670="",$B670=""),"",IF($K670="Point",N($L670),IF(N($N670)&gt;0,N($N670),N($L670))))</f>
        <v/>
      </c>
      <c r="AC670" s="22">
        <f>IF(AND($A670="",$B670=""),"",MIN(AB670,IF(N($J670)=0,0,IF(N($J670)=2,AB670,IF(AND($K670&lt;&gt;"Point",N($O670)&gt;0),N($O670),N($M670))))))</f>
        <v/>
      </c>
      <c r="AD670" s="22">
        <f>IF(AND($A670="",$B670=""),"",MAX(0,AB670-AC670))</f>
        <v/>
      </c>
      <c r="AE670" s="21">
        <f>IF(AND($A670="",$B670=""),"",IF(OR($R670&lt;&gt;"",$S670&lt;&gt;""),1,0))</f>
        <v/>
      </c>
      <c r="AF670" s="22">
        <f>IF(AND($A670="",$B670=""),"",IF(Z670=1,IF(AE670=1,N($R670),AD670),0))</f>
        <v/>
      </c>
      <c r="AG670" s="22">
        <f>IF(AND($A670="",$B670=""),"",IF(Z670=1,IF(AE670=1,N($S670),AC670),0))</f>
        <v/>
      </c>
      <c r="AH670" s="21">
        <f>IF(AND($A670="",$B670=""),"",IF(AND(ISNUMBER($I670),N($I670)&gt;0),$I670,0))</f>
        <v/>
      </c>
      <c r="AI670" s="23">
        <f>IF(AND(NOT(AND($A670="",$B670="")),$K670="Point",N($L670)&gt;0),SQRT(N($L670)/PI()),"")</f>
        <v/>
      </c>
      <c r="AJ670" s="21">
        <f>IF(AND($A670="",$B670=""),"",IFERROR(VLOOKUP($G670,Lists!$D$4:$E$15,2,FALSE),"Not reported"))</f>
        <v/>
      </c>
      <c r="AK670" s="21">
        <f>IF(AND($A670="",$B670=""),"",IF($X670&lt;&gt;"",$X670,IF($T670&lt;&gt;"Y","Not assessed",IF(AND(ISNUMBER($V670),Setup!$B$6-$V670&gt;Setup!$B$26),"Assessment outdated",IF(NOT(ISNUMBER($W670)),"Assessed – no score",IF($W670&gt;=Setup!$B$24,"High",IF($W670&gt;=Setup!$B$25,"Moderate","Low")))))))</f>
        <v/>
      </c>
      <c r="AL670" s="21">
        <f>IF(AND($A670="",$B670=""),"",IF(Z670=0,"",IF(AND(AE670=1,N($R670)&gt;AD670*1.01+0.001),"Net terrestrial &gt; gross; ","")&amp;IF(AND(AE670=1,N($S670)&gt;AC670*1.01+0.001),"Net marine &gt; gross; ","")&amp;IF(AE670=0,"No net area – gross used, overlaps may be double-counted; ","")&amp;IF(AH670=0,"STATUS_YR missing – imputed in time series; ","")&amp;IF(AND(ISNUMBER($I670),N($I670)&gt;Setup!$B$6),"STATUS_YR after reporting year; ","")&amp;IF(OR($G670="",$G670="Not Reported"),"GOV_TYPE not reported; ","")&amp;IF(AND(N($J670)=1,$K670="Point",N($M670)&lt;=0),"Coastal point without REP_M_AREA – land/sea split unknown; ","")&amp;IF(AND(N($J670)=0,N($S670)&gt;0),"MARINE=0 but net marine &gt;0; ","")&amp;IF(AND(N($J670)=2,N($R670)&gt;0),"MARINE=2 but net terrestrial &gt;0; ","")&amp;IF($K670="Point","Buffered point – coverage approximate; ","")))</f>
        <v/>
      </c>
    </row>
    <row r="671">
      <c r="A671" s="19" t="n"/>
      <c r="B671" s="19" t="n"/>
      <c r="C671" s="19" t="n"/>
      <c r="D671" s="19" t="n"/>
      <c r="E671" s="19" t="n"/>
      <c r="F671" s="19" t="n"/>
      <c r="G671" s="19" t="n"/>
      <c r="H671" s="19" t="n"/>
      <c r="I671" s="19" t="n"/>
      <c r="J671" s="19" t="n"/>
      <c r="K671" s="19" t="n"/>
      <c r="L671" s="20" t="n"/>
      <c r="M671" s="20" t="n"/>
      <c r="N671" s="20" t="n"/>
      <c r="O671" s="20" t="n"/>
      <c r="P671" s="19" t="n"/>
      <c r="Q671" s="19" t="n"/>
      <c r="R671" s="20" t="n"/>
      <c r="S671" s="20" t="n"/>
      <c r="T671" s="19" t="n"/>
      <c r="U671" s="19" t="n"/>
      <c r="V671" s="19" t="n"/>
      <c r="W671" s="19" t="n"/>
      <c r="X671" s="19" t="n"/>
      <c r="Y671" s="19" t="n"/>
      <c r="Z671" s="21">
        <f>IF(AND($A671="",$B671=""),"",IF(OR($E671="",$H671="",$H671="Proposed",$H671="Not Reported"),0,IF(AND($P671="Y",$Q671&lt;&gt;"Y"),0,IF(AND($K671="Point",N($L671)&lt;=0),0,IF(AND(N($L671)&lt;=0,N($N671)&lt;=0,N($R671)+N($S671)&lt;=0),0,1)))))</f>
        <v/>
      </c>
      <c r="AA671" s="21">
        <f>IF(AND($A671="",$B671=""),"",IF($E671="","Site type missing",IF($H671="","STATUS missing",IF($H671="Proposed","STATUS = Proposed",IF($H671="Not Reported","STATUS = Not Reported",IF(AND($P671="Y",$Q671&lt;&gt;"Y"),"UNESCO-MAB Biosphere Reserve",IF(AND($K671="Point",N($L671)&lt;=0),"Point without REP_AREA",IF(AND(N($L671)&lt;=0,N($N671)&lt;=0,N($R671)+N($S671)&lt;=0),"No area information",""))))))))</f>
        <v/>
      </c>
      <c r="AB671" s="22">
        <f>IF(AND($A671="",$B671=""),"",IF($K671="Point",N($L671),IF(N($N671)&gt;0,N($N671),N($L671))))</f>
        <v/>
      </c>
      <c r="AC671" s="22">
        <f>IF(AND($A671="",$B671=""),"",MIN(AB671,IF(N($J671)=0,0,IF(N($J671)=2,AB671,IF(AND($K671&lt;&gt;"Point",N($O671)&gt;0),N($O671),N($M671))))))</f>
        <v/>
      </c>
      <c r="AD671" s="22">
        <f>IF(AND($A671="",$B671=""),"",MAX(0,AB671-AC671))</f>
        <v/>
      </c>
      <c r="AE671" s="21">
        <f>IF(AND($A671="",$B671=""),"",IF(OR($R671&lt;&gt;"",$S671&lt;&gt;""),1,0))</f>
        <v/>
      </c>
      <c r="AF671" s="22">
        <f>IF(AND($A671="",$B671=""),"",IF(Z671=1,IF(AE671=1,N($R671),AD671),0))</f>
        <v/>
      </c>
      <c r="AG671" s="22">
        <f>IF(AND($A671="",$B671=""),"",IF(Z671=1,IF(AE671=1,N($S671),AC671),0))</f>
        <v/>
      </c>
      <c r="AH671" s="21">
        <f>IF(AND($A671="",$B671=""),"",IF(AND(ISNUMBER($I671),N($I671)&gt;0),$I671,0))</f>
        <v/>
      </c>
      <c r="AI671" s="23">
        <f>IF(AND(NOT(AND($A671="",$B671="")),$K671="Point",N($L671)&gt;0),SQRT(N($L671)/PI()),"")</f>
        <v/>
      </c>
      <c r="AJ671" s="21">
        <f>IF(AND($A671="",$B671=""),"",IFERROR(VLOOKUP($G671,Lists!$D$4:$E$15,2,FALSE),"Not reported"))</f>
        <v/>
      </c>
      <c r="AK671" s="21">
        <f>IF(AND($A671="",$B671=""),"",IF($X671&lt;&gt;"",$X671,IF($T671&lt;&gt;"Y","Not assessed",IF(AND(ISNUMBER($V671),Setup!$B$6-$V671&gt;Setup!$B$26),"Assessment outdated",IF(NOT(ISNUMBER($W671)),"Assessed – no score",IF($W671&gt;=Setup!$B$24,"High",IF($W671&gt;=Setup!$B$25,"Moderate","Low")))))))</f>
        <v/>
      </c>
      <c r="AL671" s="21">
        <f>IF(AND($A671="",$B671=""),"",IF(Z671=0,"",IF(AND(AE671=1,N($R671)&gt;AD671*1.01+0.001),"Net terrestrial &gt; gross; ","")&amp;IF(AND(AE671=1,N($S671)&gt;AC671*1.01+0.001),"Net marine &gt; gross; ","")&amp;IF(AE671=0,"No net area – gross used, overlaps may be double-counted; ","")&amp;IF(AH671=0,"STATUS_YR missing – imputed in time series; ","")&amp;IF(AND(ISNUMBER($I671),N($I671)&gt;Setup!$B$6),"STATUS_YR after reporting year; ","")&amp;IF(OR($G671="",$G671="Not Reported"),"GOV_TYPE not reported; ","")&amp;IF(AND(N($J671)=1,$K671="Point",N($M671)&lt;=0),"Coastal point without REP_M_AREA – land/sea split unknown; ","")&amp;IF(AND(N($J671)=0,N($S671)&gt;0),"MARINE=0 but net marine &gt;0; ","")&amp;IF(AND(N($J671)=2,N($R671)&gt;0),"MARINE=2 but net terrestrial &gt;0; ","")&amp;IF($K671="Point","Buffered point – coverage approximate; ","")))</f>
        <v/>
      </c>
    </row>
    <row r="672">
      <c r="A672" s="19" t="n"/>
      <c r="B672" s="19" t="n"/>
      <c r="C672" s="19" t="n"/>
      <c r="D672" s="19" t="n"/>
      <c r="E672" s="19" t="n"/>
      <c r="F672" s="19" t="n"/>
      <c r="G672" s="19" t="n"/>
      <c r="H672" s="19" t="n"/>
      <c r="I672" s="19" t="n"/>
      <c r="J672" s="19" t="n"/>
      <c r="K672" s="19" t="n"/>
      <c r="L672" s="20" t="n"/>
      <c r="M672" s="20" t="n"/>
      <c r="N672" s="20" t="n"/>
      <c r="O672" s="20" t="n"/>
      <c r="P672" s="19" t="n"/>
      <c r="Q672" s="19" t="n"/>
      <c r="R672" s="20" t="n"/>
      <c r="S672" s="20" t="n"/>
      <c r="T672" s="19" t="n"/>
      <c r="U672" s="19" t="n"/>
      <c r="V672" s="19" t="n"/>
      <c r="W672" s="19" t="n"/>
      <c r="X672" s="19" t="n"/>
      <c r="Y672" s="19" t="n"/>
      <c r="Z672" s="21">
        <f>IF(AND($A672="",$B672=""),"",IF(OR($E672="",$H672="",$H672="Proposed",$H672="Not Reported"),0,IF(AND($P672="Y",$Q672&lt;&gt;"Y"),0,IF(AND($K672="Point",N($L672)&lt;=0),0,IF(AND(N($L672)&lt;=0,N($N672)&lt;=0,N($R672)+N($S672)&lt;=0),0,1)))))</f>
        <v/>
      </c>
      <c r="AA672" s="21">
        <f>IF(AND($A672="",$B672=""),"",IF($E672="","Site type missing",IF($H672="","STATUS missing",IF($H672="Proposed","STATUS = Proposed",IF($H672="Not Reported","STATUS = Not Reported",IF(AND($P672="Y",$Q672&lt;&gt;"Y"),"UNESCO-MAB Biosphere Reserve",IF(AND($K672="Point",N($L672)&lt;=0),"Point without REP_AREA",IF(AND(N($L672)&lt;=0,N($N672)&lt;=0,N($R672)+N($S672)&lt;=0),"No area information",""))))))))</f>
        <v/>
      </c>
      <c r="AB672" s="22">
        <f>IF(AND($A672="",$B672=""),"",IF($K672="Point",N($L672),IF(N($N672)&gt;0,N($N672),N($L672))))</f>
        <v/>
      </c>
      <c r="AC672" s="22">
        <f>IF(AND($A672="",$B672=""),"",MIN(AB672,IF(N($J672)=0,0,IF(N($J672)=2,AB672,IF(AND($K672&lt;&gt;"Point",N($O672)&gt;0),N($O672),N($M672))))))</f>
        <v/>
      </c>
      <c r="AD672" s="22">
        <f>IF(AND($A672="",$B672=""),"",MAX(0,AB672-AC672))</f>
        <v/>
      </c>
      <c r="AE672" s="21">
        <f>IF(AND($A672="",$B672=""),"",IF(OR($R672&lt;&gt;"",$S672&lt;&gt;""),1,0))</f>
        <v/>
      </c>
      <c r="AF672" s="22">
        <f>IF(AND($A672="",$B672=""),"",IF(Z672=1,IF(AE672=1,N($R672),AD672),0))</f>
        <v/>
      </c>
      <c r="AG672" s="22">
        <f>IF(AND($A672="",$B672=""),"",IF(Z672=1,IF(AE672=1,N($S672),AC672),0))</f>
        <v/>
      </c>
      <c r="AH672" s="21">
        <f>IF(AND($A672="",$B672=""),"",IF(AND(ISNUMBER($I672),N($I672)&gt;0),$I672,0))</f>
        <v/>
      </c>
      <c r="AI672" s="23">
        <f>IF(AND(NOT(AND($A672="",$B672="")),$K672="Point",N($L672)&gt;0),SQRT(N($L672)/PI()),"")</f>
        <v/>
      </c>
      <c r="AJ672" s="21">
        <f>IF(AND($A672="",$B672=""),"",IFERROR(VLOOKUP($G672,Lists!$D$4:$E$15,2,FALSE),"Not reported"))</f>
        <v/>
      </c>
      <c r="AK672" s="21">
        <f>IF(AND($A672="",$B672=""),"",IF($X672&lt;&gt;"",$X672,IF($T672&lt;&gt;"Y","Not assessed",IF(AND(ISNUMBER($V672),Setup!$B$6-$V672&gt;Setup!$B$26),"Assessment outdated",IF(NOT(ISNUMBER($W672)),"Assessed – no score",IF($W672&gt;=Setup!$B$24,"High",IF($W672&gt;=Setup!$B$25,"Moderate","Low")))))))</f>
        <v/>
      </c>
      <c r="AL672" s="21">
        <f>IF(AND($A672="",$B672=""),"",IF(Z672=0,"",IF(AND(AE672=1,N($R672)&gt;AD672*1.01+0.001),"Net terrestrial &gt; gross; ","")&amp;IF(AND(AE672=1,N($S672)&gt;AC672*1.01+0.001),"Net marine &gt; gross; ","")&amp;IF(AE672=0,"No net area – gross used, overlaps may be double-counted; ","")&amp;IF(AH672=0,"STATUS_YR missing – imputed in time series; ","")&amp;IF(AND(ISNUMBER($I672),N($I672)&gt;Setup!$B$6),"STATUS_YR after reporting year; ","")&amp;IF(OR($G672="",$G672="Not Reported"),"GOV_TYPE not reported; ","")&amp;IF(AND(N($J672)=1,$K672="Point",N($M672)&lt;=0),"Coastal point without REP_M_AREA – land/sea split unknown; ","")&amp;IF(AND(N($J672)=0,N($S672)&gt;0),"MARINE=0 but net marine &gt;0; ","")&amp;IF(AND(N($J672)=2,N($R672)&gt;0),"MARINE=2 but net terrestrial &gt;0; ","")&amp;IF($K672="Point","Buffered point – coverage approximate; ","")))</f>
        <v/>
      </c>
    </row>
    <row r="673">
      <c r="A673" s="19" t="n"/>
      <c r="B673" s="19" t="n"/>
      <c r="C673" s="19" t="n"/>
      <c r="D673" s="19" t="n"/>
      <c r="E673" s="19" t="n"/>
      <c r="F673" s="19" t="n"/>
      <c r="G673" s="19" t="n"/>
      <c r="H673" s="19" t="n"/>
      <c r="I673" s="19" t="n"/>
      <c r="J673" s="19" t="n"/>
      <c r="K673" s="19" t="n"/>
      <c r="L673" s="20" t="n"/>
      <c r="M673" s="20" t="n"/>
      <c r="N673" s="20" t="n"/>
      <c r="O673" s="20" t="n"/>
      <c r="P673" s="19" t="n"/>
      <c r="Q673" s="19" t="n"/>
      <c r="R673" s="20" t="n"/>
      <c r="S673" s="20" t="n"/>
      <c r="T673" s="19" t="n"/>
      <c r="U673" s="19" t="n"/>
      <c r="V673" s="19" t="n"/>
      <c r="W673" s="19" t="n"/>
      <c r="X673" s="19" t="n"/>
      <c r="Y673" s="19" t="n"/>
      <c r="Z673" s="21">
        <f>IF(AND($A673="",$B673=""),"",IF(OR($E673="",$H673="",$H673="Proposed",$H673="Not Reported"),0,IF(AND($P673="Y",$Q673&lt;&gt;"Y"),0,IF(AND($K673="Point",N($L673)&lt;=0),0,IF(AND(N($L673)&lt;=0,N($N673)&lt;=0,N($R673)+N($S673)&lt;=0),0,1)))))</f>
        <v/>
      </c>
      <c r="AA673" s="21">
        <f>IF(AND($A673="",$B673=""),"",IF($E673="","Site type missing",IF($H673="","STATUS missing",IF($H673="Proposed","STATUS = Proposed",IF($H673="Not Reported","STATUS = Not Reported",IF(AND($P673="Y",$Q673&lt;&gt;"Y"),"UNESCO-MAB Biosphere Reserve",IF(AND($K673="Point",N($L673)&lt;=0),"Point without REP_AREA",IF(AND(N($L673)&lt;=0,N($N673)&lt;=0,N($R673)+N($S673)&lt;=0),"No area information",""))))))))</f>
        <v/>
      </c>
      <c r="AB673" s="22">
        <f>IF(AND($A673="",$B673=""),"",IF($K673="Point",N($L673),IF(N($N673)&gt;0,N($N673),N($L673))))</f>
        <v/>
      </c>
      <c r="AC673" s="22">
        <f>IF(AND($A673="",$B673=""),"",MIN(AB673,IF(N($J673)=0,0,IF(N($J673)=2,AB673,IF(AND($K673&lt;&gt;"Point",N($O673)&gt;0),N($O673),N($M673))))))</f>
        <v/>
      </c>
      <c r="AD673" s="22">
        <f>IF(AND($A673="",$B673=""),"",MAX(0,AB673-AC673))</f>
        <v/>
      </c>
      <c r="AE673" s="21">
        <f>IF(AND($A673="",$B673=""),"",IF(OR($R673&lt;&gt;"",$S673&lt;&gt;""),1,0))</f>
        <v/>
      </c>
      <c r="AF673" s="22">
        <f>IF(AND($A673="",$B673=""),"",IF(Z673=1,IF(AE673=1,N($R673),AD673),0))</f>
        <v/>
      </c>
      <c r="AG673" s="22">
        <f>IF(AND($A673="",$B673=""),"",IF(Z673=1,IF(AE673=1,N($S673),AC673),0))</f>
        <v/>
      </c>
      <c r="AH673" s="21">
        <f>IF(AND($A673="",$B673=""),"",IF(AND(ISNUMBER($I673),N($I673)&gt;0),$I673,0))</f>
        <v/>
      </c>
      <c r="AI673" s="23">
        <f>IF(AND(NOT(AND($A673="",$B673="")),$K673="Point",N($L673)&gt;0),SQRT(N($L673)/PI()),"")</f>
        <v/>
      </c>
      <c r="AJ673" s="21">
        <f>IF(AND($A673="",$B673=""),"",IFERROR(VLOOKUP($G673,Lists!$D$4:$E$15,2,FALSE),"Not reported"))</f>
        <v/>
      </c>
      <c r="AK673" s="21">
        <f>IF(AND($A673="",$B673=""),"",IF($X673&lt;&gt;"",$X673,IF($T673&lt;&gt;"Y","Not assessed",IF(AND(ISNUMBER($V673),Setup!$B$6-$V673&gt;Setup!$B$26),"Assessment outdated",IF(NOT(ISNUMBER($W673)),"Assessed – no score",IF($W673&gt;=Setup!$B$24,"High",IF($W673&gt;=Setup!$B$25,"Moderate","Low")))))))</f>
        <v/>
      </c>
      <c r="AL673" s="21">
        <f>IF(AND($A673="",$B673=""),"",IF(Z673=0,"",IF(AND(AE673=1,N($R673)&gt;AD673*1.01+0.001),"Net terrestrial &gt; gross; ","")&amp;IF(AND(AE673=1,N($S673)&gt;AC673*1.01+0.001),"Net marine &gt; gross; ","")&amp;IF(AE673=0,"No net area – gross used, overlaps may be double-counted; ","")&amp;IF(AH673=0,"STATUS_YR missing – imputed in time series; ","")&amp;IF(AND(ISNUMBER($I673),N($I673)&gt;Setup!$B$6),"STATUS_YR after reporting year; ","")&amp;IF(OR($G673="",$G673="Not Reported"),"GOV_TYPE not reported; ","")&amp;IF(AND(N($J673)=1,$K673="Point",N($M673)&lt;=0),"Coastal point without REP_M_AREA – land/sea split unknown; ","")&amp;IF(AND(N($J673)=0,N($S673)&gt;0),"MARINE=0 but net marine &gt;0; ","")&amp;IF(AND(N($J673)=2,N($R673)&gt;0),"MARINE=2 but net terrestrial &gt;0; ","")&amp;IF($K673="Point","Buffered point – coverage approximate; ","")))</f>
        <v/>
      </c>
    </row>
    <row r="674">
      <c r="A674" s="19" t="n"/>
      <c r="B674" s="19" t="n"/>
      <c r="C674" s="19" t="n"/>
      <c r="D674" s="19" t="n"/>
      <c r="E674" s="19" t="n"/>
      <c r="F674" s="19" t="n"/>
      <c r="G674" s="19" t="n"/>
      <c r="H674" s="19" t="n"/>
      <c r="I674" s="19" t="n"/>
      <c r="J674" s="19" t="n"/>
      <c r="K674" s="19" t="n"/>
      <c r="L674" s="20" t="n"/>
      <c r="M674" s="20" t="n"/>
      <c r="N674" s="20" t="n"/>
      <c r="O674" s="20" t="n"/>
      <c r="P674" s="19" t="n"/>
      <c r="Q674" s="19" t="n"/>
      <c r="R674" s="20" t="n"/>
      <c r="S674" s="20" t="n"/>
      <c r="T674" s="19" t="n"/>
      <c r="U674" s="19" t="n"/>
      <c r="V674" s="19" t="n"/>
      <c r="W674" s="19" t="n"/>
      <c r="X674" s="19" t="n"/>
      <c r="Y674" s="19" t="n"/>
      <c r="Z674" s="21">
        <f>IF(AND($A674="",$B674=""),"",IF(OR($E674="",$H674="",$H674="Proposed",$H674="Not Reported"),0,IF(AND($P674="Y",$Q674&lt;&gt;"Y"),0,IF(AND($K674="Point",N($L674)&lt;=0),0,IF(AND(N($L674)&lt;=0,N($N674)&lt;=0,N($R674)+N($S674)&lt;=0),0,1)))))</f>
        <v/>
      </c>
      <c r="AA674" s="21">
        <f>IF(AND($A674="",$B674=""),"",IF($E674="","Site type missing",IF($H674="","STATUS missing",IF($H674="Proposed","STATUS = Proposed",IF($H674="Not Reported","STATUS = Not Reported",IF(AND($P674="Y",$Q674&lt;&gt;"Y"),"UNESCO-MAB Biosphere Reserve",IF(AND($K674="Point",N($L674)&lt;=0),"Point without REP_AREA",IF(AND(N($L674)&lt;=0,N($N674)&lt;=0,N($R674)+N($S674)&lt;=0),"No area information",""))))))))</f>
        <v/>
      </c>
      <c r="AB674" s="22">
        <f>IF(AND($A674="",$B674=""),"",IF($K674="Point",N($L674),IF(N($N674)&gt;0,N($N674),N($L674))))</f>
        <v/>
      </c>
      <c r="AC674" s="22">
        <f>IF(AND($A674="",$B674=""),"",MIN(AB674,IF(N($J674)=0,0,IF(N($J674)=2,AB674,IF(AND($K674&lt;&gt;"Point",N($O674)&gt;0),N($O674),N($M674))))))</f>
        <v/>
      </c>
      <c r="AD674" s="22">
        <f>IF(AND($A674="",$B674=""),"",MAX(0,AB674-AC674))</f>
        <v/>
      </c>
      <c r="AE674" s="21">
        <f>IF(AND($A674="",$B674=""),"",IF(OR($R674&lt;&gt;"",$S674&lt;&gt;""),1,0))</f>
        <v/>
      </c>
      <c r="AF674" s="22">
        <f>IF(AND($A674="",$B674=""),"",IF(Z674=1,IF(AE674=1,N($R674),AD674),0))</f>
        <v/>
      </c>
      <c r="AG674" s="22">
        <f>IF(AND($A674="",$B674=""),"",IF(Z674=1,IF(AE674=1,N($S674),AC674),0))</f>
        <v/>
      </c>
      <c r="AH674" s="21">
        <f>IF(AND($A674="",$B674=""),"",IF(AND(ISNUMBER($I674),N($I674)&gt;0),$I674,0))</f>
        <v/>
      </c>
      <c r="AI674" s="23">
        <f>IF(AND(NOT(AND($A674="",$B674="")),$K674="Point",N($L674)&gt;0),SQRT(N($L674)/PI()),"")</f>
        <v/>
      </c>
      <c r="AJ674" s="21">
        <f>IF(AND($A674="",$B674=""),"",IFERROR(VLOOKUP($G674,Lists!$D$4:$E$15,2,FALSE),"Not reported"))</f>
        <v/>
      </c>
      <c r="AK674" s="21">
        <f>IF(AND($A674="",$B674=""),"",IF($X674&lt;&gt;"",$X674,IF($T674&lt;&gt;"Y","Not assessed",IF(AND(ISNUMBER($V674),Setup!$B$6-$V674&gt;Setup!$B$26),"Assessment outdated",IF(NOT(ISNUMBER($W674)),"Assessed – no score",IF($W674&gt;=Setup!$B$24,"High",IF($W674&gt;=Setup!$B$25,"Moderate","Low")))))))</f>
        <v/>
      </c>
      <c r="AL674" s="21">
        <f>IF(AND($A674="",$B674=""),"",IF(Z674=0,"",IF(AND(AE674=1,N($R674)&gt;AD674*1.01+0.001),"Net terrestrial &gt; gross; ","")&amp;IF(AND(AE674=1,N($S674)&gt;AC674*1.01+0.001),"Net marine &gt; gross; ","")&amp;IF(AE674=0,"No net area – gross used, overlaps may be double-counted; ","")&amp;IF(AH674=0,"STATUS_YR missing – imputed in time series; ","")&amp;IF(AND(ISNUMBER($I674),N($I674)&gt;Setup!$B$6),"STATUS_YR after reporting year; ","")&amp;IF(OR($G674="",$G674="Not Reported"),"GOV_TYPE not reported; ","")&amp;IF(AND(N($J674)=1,$K674="Point",N($M674)&lt;=0),"Coastal point without REP_M_AREA – land/sea split unknown; ","")&amp;IF(AND(N($J674)=0,N($S674)&gt;0),"MARINE=0 but net marine &gt;0; ","")&amp;IF(AND(N($J674)=2,N($R674)&gt;0),"MARINE=2 but net terrestrial &gt;0; ","")&amp;IF($K674="Point","Buffered point – coverage approximate; ","")))</f>
        <v/>
      </c>
    </row>
    <row r="675">
      <c r="A675" s="19" t="n"/>
      <c r="B675" s="19" t="n"/>
      <c r="C675" s="19" t="n"/>
      <c r="D675" s="19" t="n"/>
      <c r="E675" s="19" t="n"/>
      <c r="F675" s="19" t="n"/>
      <c r="G675" s="19" t="n"/>
      <c r="H675" s="19" t="n"/>
      <c r="I675" s="19" t="n"/>
      <c r="J675" s="19" t="n"/>
      <c r="K675" s="19" t="n"/>
      <c r="L675" s="20" t="n"/>
      <c r="M675" s="20" t="n"/>
      <c r="N675" s="20" t="n"/>
      <c r="O675" s="20" t="n"/>
      <c r="P675" s="19" t="n"/>
      <c r="Q675" s="19" t="n"/>
      <c r="R675" s="20" t="n"/>
      <c r="S675" s="20" t="n"/>
      <c r="T675" s="19" t="n"/>
      <c r="U675" s="19" t="n"/>
      <c r="V675" s="19" t="n"/>
      <c r="W675" s="19" t="n"/>
      <c r="X675" s="19" t="n"/>
      <c r="Y675" s="19" t="n"/>
      <c r="Z675" s="21">
        <f>IF(AND($A675="",$B675=""),"",IF(OR($E675="",$H675="",$H675="Proposed",$H675="Not Reported"),0,IF(AND($P675="Y",$Q675&lt;&gt;"Y"),0,IF(AND($K675="Point",N($L675)&lt;=0),0,IF(AND(N($L675)&lt;=0,N($N675)&lt;=0,N($R675)+N($S675)&lt;=0),0,1)))))</f>
        <v/>
      </c>
      <c r="AA675" s="21">
        <f>IF(AND($A675="",$B675=""),"",IF($E675="","Site type missing",IF($H675="","STATUS missing",IF($H675="Proposed","STATUS = Proposed",IF($H675="Not Reported","STATUS = Not Reported",IF(AND($P675="Y",$Q675&lt;&gt;"Y"),"UNESCO-MAB Biosphere Reserve",IF(AND($K675="Point",N($L675)&lt;=0),"Point without REP_AREA",IF(AND(N($L675)&lt;=0,N($N675)&lt;=0,N($R675)+N($S675)&lt;=0),"No area information",""))))))))</f>
        <v/>
      </c>
      <c r="AB675" s="22">
        <f>IF(AND($A675="",$B675=""),"",IF($K675="Point",N($L675),IF(N($N675)&gt;0,N($N675),N($L675))))</f>
        <v/>
      </c>
      <c r="AC675" s="22">
        <f>IF(AND($A675="",$B675=""),"",MIN(AB675,IF(N($J675)=0,0,IF(N($J675)=2,AB675,IF(AND($K675&lt;&gt;"Point",N($O675)&gt;0),N($O675),N($M675))))))</f>
        <v/>
      </c>
      <c r="AD675" s="22">
        <f>IF(AND($A675="",$B675=""),"",MAX(0,AB675-AC675))</f>
        <v/>
      </c>
      <c r="AE675" s="21">
        <f>IF(AND($A675="",$B675=""),"",IF(OR($R675&lt;&gt;"",$S675&lt;&gt;""),1,0))</f>
        <v/>
      </c>
      <c r="AF675" s="22">
        <f>IF(AND($A675="",$B675=""),"",IF(Z675=1,IF(AE675=1,N($R675),AD675),0))</f>
        <v/>
      </c>
      <c r="AG675" s="22">
        <f>IF(AND($A675="",$B675=""),"",IF(Z675=1,IF(AE675=1,N($S675),AC675),0))</f>
        <v/>
      </c>
      <c r="AH675" s="21">
        <f>IF(AND($A675="",$B675=""),"",IF(AND(ISNUMBER($I675),N($I675)&gt;0),$I675,0))</f>
        <v/>
      </c>
      <c r="AI675" s="23">
        <f>IF(AND(NOT(AND($A675="",$B675="")),$K675="Point",N($L675)&gt;0),SQRT(N($L675)/PI()),"")</f>
        <v/>
      </c>
      <c r="AJ675" s="21">
        <f>IF(AND($A675="",$B675=""),"",IFERROR(VLOOKUP($G675,Lists!$D$4:$E$15,2,FALSE),"Not reported"))</f>
        <v/>
      </c>
      <c r="AK675" s="21">
        <f>IF(AND($A675="",$B675=""),"",IF($X675&lt;&gt;"",$X675,IF($T675&lt;&gt;"Y","Not assessed",IF(AND(ISNUMBER($V675),Setup!$B$6-$V675&gt;Setup!$B$26),"Assessment outdated",IF(NOT(ISNUMBER($W675)),"Assessed – no score",IF($W675&gt;=Setup!$B$24,"High",IF($W675&gt;=Setup!$B$25,"Moderate","Low")))))))</f>
        <v/>
      </c>
      <c r="AL675" s="21">
        <f>IF(AND($A675="",$B675=""),"",IF(Z675=0,"",IF(AND(AE675=1,N($R675)&gt;AD675*1.01+0.001),"Net terrestrial &gt; gross; ","")&amp;IF(AND(AE675=1,N($S675)&gt;AC675*1.01+0.001),"Net marine &gt; gross; ","")&amp;IF(AE675=0,"No net area – gross used, overlaps may be double-counted; ","")&amp;IF(AH675=0,"STATUS_YR missing – imputed in time series; ","")&amp;IF(AND(ISNUMBER($I675),N($I675)&gt;Setup!$B$6),"STATUS_YR after reporting year; ","")&amp;IF(OR($G675="",$G675="Not Reported"),"GOV_TYPE not reported; ","")&amp;IF(AND(N($J675)=1,$K675="Point",N($M675)&lt;=0),"Coastal point without REP_M_AREA – land/sea split unknown; ","")&amp;IF(AND(N($J675)=0,N($S675)&gt;0),"MARINE=0 but net marine &gt;0; ","")&amp;IF(AND(N($J675)=2,N($R675)&gt;0),"MARINE=2 but net terrestrial &gt;0; ","")&amp;IF($K675="Point","Buffered point – coverage approximate; ","")))</f>
        <v/>
      </c>
    </row>
    <row r="676">
      <c r="A676" s="19" t="n"/>
      <c r="B676" s="19" t="n"/>
      <c r="C676" s="19" t="n"/>
      <c r="D676" s="19" t="n"/>
      <c r="E676" s="19" t="n"/>
      <c r="F676" s="19" t="n"/>
      <c r="G676" s="19" t="n"/>
      <c r="H676" s="19" t="n"/>
      <c r="I676" s="19" t="n"/>
      <c r="J676" s="19" t="n"/>
      <c r="K676" s="19" t="n"/>
      <c r="L676" s="20" t="n"/>
      <c r="M676" s="20" t="n"/>
      <c r="N676" s="20" t="n"/>
      <c r="O676" s="20" t="n"/>
      <c r="P676" s="19" t="n"/>
      <c r="Q676" s="19" t="n"/>
      <c r="R676" s="20" t="n"/>
      <c r="S676" s="20" t="n"/>
      <c r="T676" s="19" t="n"/>
      <c r="U676" s="19" t="n"/>
      <c r="V676" s="19" t="n"/>
      <c r="W676" s="19" t="n"/>
      <c r="X676" s="19" t="n"/>
      <c r="Y676" s="19" t="n"/>
      <c r="Z676" s="21">
        <f>IF(AND($A676="",$B676=""),"",IF(OR($E676="",$H676="",$H676="Proposed",$H676="Not Reported"),0,IF(AND($P676="Y",$Q676&lt;&gt;"Y"),0,IF(AND($K676="Point",N($L676)&lt;=0),0,IF(AND(N($L676)&lt;=0,N($N676)&lt;=0,N($R676)+N($S676)&lt;=0),0,1)))))</f>
        <v/>
      </c>
      <c r="AA676" s="21">
        <f>IF(AND($A676="",$B676=""),"",IF($E676="","Site type missing",IF($H676="","STATUS missing",IF($H676="Proposed","STATUS = Proposed",IF($H676="Not Reported","STATUS = Not Reported",IF(AND($P676="Y",$Q676&lt;&gt;"Y"),"UNESCO-MAB Biosphere Reserve",IF(AND($K676="Point",N($L676)&lt;=0),"Point without REP_AREA",IF(AND(N($L676)&lt;=0,N($N676)&lt;=0,N($R676)+N($S676)&lt;=0),"No area information",""))))))))</f>
        <v/>
      </c>
      <c r="AB676" s="22">
        <f>IF(AND($A676="",$B676=""),"",IF($K676="Point",N($L676),IF(N($N676)&gt;0,N($N676),N($L676))))</f>
        <v/>
      </c>
      <c r="AC676" s="22">
        <f>IF(AND($A676="",$B676=""),"",MIN(AB676,IF(N($J676)=0,0,IF(N($J676)=2,AB676,IF(AND($K676&lt;&gt;"Point",N($O676)&gt;0),N($O676),N($M676))))))</f>
        <v/>
      </c>
      <c r="AD676" s="22">
        <f>IF(AND($A676="",$B676=""),"",MAX(0,AB676-AC676))</f>
        <v/>
      </c>
      <c r="AE676" s="21">
        <f>IF(AND($A676="",$B676=""),"",IF(OR($R676&lt;&gt;"",$S676&lt;&gt;""),1,0))</f>
        <v/>
      </c>
      <c r="AF676" s="22">
        <f>IF(AND($A676="",$B676=""),"",IF(Z676=1,IF(AE676=1,N($R676),AD676),0))</f>
        <v/>
      </c>
      <c r="AG676" s="22">
        <f>IF(AND($A676="",$B676=""),"",IF(Z676=1,IF(AE676=1,N($S676),AC676),0))</f>
        <v/>
      </c>
      <c r="AH676" s="21">
        <f>IF(AND($A676="",$B676=""),"",IF(AND(ISNUMBER($I676),N($I676)&gt;0),$I676,0))</f>
        <v/>
      </c>
      <c r="AI676" s="23">
        <f>IF(AND(NOT(AND($A676="",$B676="")),$K676="Point",N($L676)&gt;0),SQRT(N($L676)/PI()),"")</f>
        <v/>
      </c>
      <c r="AJ676" s="21">
        <f>IF(AND($A676="",$B676=""),"",IFERROR(VLOOKUP($G676,Lists!$D$4:$E$15,2,FALSE),"Not reported"))</f>
        <v/>
      </c>
      <c r="AK676" s="21">
        <f>IF(AND($A676="",$B676=""),"",IF($X676&lt;&gt;"",$X676,IF($T676&lt;&gt;"Y","Not assessed",IF(AND(ISNUMBER($V676),Setup!$B$6-$V676&gt;Setup!$B$26),"Assessment outdated",IF(NOT(ISNUMBER($W676)),"Assessed – no score",IF($W676&gt;=Setup!$B$24,"High",IF($W676&gt;=Setup!$B$25,"Moderate","Low")))))))</f>
        <v/>
      </c>
      <c r="AL676" s="21">
        <f>IF(AND($A676="",$B676=""),"",IF(Z676=0,"",IF(AND(AE676=1,N($R676)&gt;AD676*1.01+0.001),"Net terrestrial &gt; gross; ","")&amp;IF(AND(AE676=1,N($S676)&gt;AC676*1.01+0.001),"Net marine &gt; gross; ","")&amp;IF(AE676=0,"No net area – gross used, overlaps may be double-counted; ","")&amp;IF(AH676=0,"STATUS_YR missing – imputed in time series; ","")&amp;IF(AND(ISNUMBER($I676),N($I676)&gt;Setup!$B$6),"STATUS_YR after reporting year; ","")&amp;IF(OR($G676="",$G676="Not Reported"),"GOV_TYPE not reported; ","")&amp;IF(AND(N($J676)=1,$K676="Point",N($M676)&lt;=0),"Coastal point without REP_M_AREA – land/sea split unknown; ","")&amp;IF(AND(N($J676)=0,N($S676)&gt;0),"MARINE=0 but net marine &gt;0; ","")&amp;IF(AND(N($J676)=2,N($R676)&gt;0),"MARINE=2 but net terrestrial &gt;0; ","")&amp;IF($K676="Point","Buffered point – coverage approximate; ","")))</f>
        <v/>
      </c>
    </row>
    <row r="677">
      <c r="A677" s="19" t="n"/>
      <c r="B677" s="19" t="n"/>
      <c r="C677" s="19" t="n"/>
      <c r="D677" s="19" t="n"/>
      <c r="E677" s="19" t="n"/>
      <c r="F677" s="19" t="n"/>
      <c r="G677" s="19" t="n"/>
      <c r="H677" s="19" t="n"/>
      <c r="I677" s="19" t="n"/>
      <c r="J677" s="19" t="n"/>
      <c r="K677" s="19" t="n"/>
      <c r="L677" s="20" t="n"/>
      <c r="M677" s="20" t="n"/>
      <c r="N677" s="20" t="n"/>
      <c r="O677" s="20" t="n"/>
      <c r="P677" s="19" t="n"/>
      <c r="Q677" s="19" t="n"/>
      <c r="R677" s="20" t="n"/>
      <c r="S677" s="20" t="n"/>
      <c r="T677" s="19" t="n"/>
      <c r="U677" s="19" t="n"/>
      <c r="V677" s="19" t="n"/>
      <c r="W677" s="19" t="n"/>
      <c r="X677" s="19" t="n"/>
      <c r="Y677" s="19" t="n"/>
      <c r="Z677" s="21">
        <f>IF(AND($A677="",$B677=""),"",IF(OR($E677="",$H677="",$H677="Proposed",$H677="Not Reported"),0,IF(AND($P677="Y",$Q677&lt;&gt;"Y"),0,IF(AND($K677="Point",N($L677)&lt;=0),0,IF(AND(N($L677)&lt;=0,N($N677)&lt;=0,N($R677)+N($S677)&lt;=0),0,1)))))</f>
        <v/>
      </c>
      <c r="AA677" s="21">
        <f>IF(AND($A677="",$B677=""),"",IF($E677="","Site type missing",IF($H677="","STATUS missing",IF($H677="Proposed","STATUS = Proposed",IF($H677="Not Reported","STATUS = Not Reported",IF(AND($P677="Y",$Q677&lt;&gt;"Y"),"UNESCO-MAB Biosphere Reserve",IF(AND($K677="Point",N($L677)&lt;=0),"Point without REP_AREA",IF(AND(N($L677)&lt;=0,N($N677)&lt;=0,N($R677)+N($S677)&lt;=0),"No area information",""))))))))</f>
        <v/>
      </c>
      <c r="AB677" s="22">
        <f>IF(AND($A677="",$B677=""),"",IF($K677="Point",N($L677),IF(N($N677)&gt;0,N($N677),N($L677))))</f>
        <v/>
      </c>
      <c r="AC677" s="22">
        <f>IF(AND($A677="",$B677=""),"",MIN(AB677,IF(N($J677)=0,0,IF(N($J677)=2,AB677,IF(AND($K677&lt;&gt;"Point",N($O677)&gt;0),N($O677),N($M677))))))</f>
        <v/>
      </c>
      <c r="AD677" s="22">
        <f>IF(AND($A677="",$B677=""),"",MAX(0,AB677-AC677))</f>
        <v/>
      </c>
      <c r="AE677" s="21">
        <f>IF(AND($A677="",$B677=""),"",IF(OR($R677&lt;&gt;"",$S677&lt;&gt;""),1,0))</f>
        <v/>
      </c>
      <c r="AF677" s="22">
        <f>IF(AND($A677="",$B677=""),"",IF(Z677=1,IF(AE677=1,N($R677),AD677),0))</f>
        <v/>
      </c>
      <c r="AG677" s="22">
        <f>IF(AND($A677="",$B677=""),"",IF(Z677=1,IF(AE677=1,N($S677),AC677),0))</f>
        <v/>
      </c>
      <c r="AH677" s="21">
        <f>IF(AND($A677="",$B677=""),"",IF(AND(ISNUMBER($I677),N($I677)&gt;0),$I677,0))</f>
        <v/>
      </c>
      <c r="AI677" s="23">
        <f>IF(AND(NOT(AND($A677="",$B677="")),$K677="Point",N($L677)&gt;0),SQRT(N($L677)/PI()),"")</f>
        <v/>
      </c>
      <c r="AJ677" s="21">
        <f>IF(AND($A677="",$B677=""),"",IFERROR(VLOOKUP($G677,Lists!$D$4:$E$15,2,FALSE),"Not reported"))</f>
        <v/>
      </c>
      <c r="AK677" s="21">
        <f>IF(AND($A677="",$B677=""),"",IF($X677&lt;&gt;"",$X677,IF($T677&lt;&gt;"Y","Not assessed",IF(AND(ISNUMBER($V677),Setup!$B$6-$V677&gt;Setup!$B$26),"Assessment outdated",IF(NOT(ISNUMBER($W677)),"Assessed – no score",IF($W677&gt;=Setup!$B$24,"High",IF($W677&gt;=Setup!$B$25,"Moderate","Low")))))))</f>
        <v/>
      </c>
      <c r="AL677" s="21">
        <f>IF(AND($A677="",$B677=""),"",IF(Z677=0,"",IF(AND(AE677=1,N($R677)&gt;AD677*1.01+0.001),"Net terrestrial &gt; gross; ","")&amp;IF(AND(AE677=1,N($S677)&gt;AC677*1.01+0.001),"Net marine &gt; gross; ","")&amp;IF(AE677=0,"No net area – gross used, overlaps may be double-counted; ","")&amp;IF(AH677=0,"STATUS_YR missing – imputed in time series; ","")&amp;IF(AND(ISNUMBER($I677),N($I677)&gt;Setup!$B$6),"STATUS_YR after reporting year; ","")&amp;IF(OR($G677="",$G677="Not Reported"),"GOV_TYPE not reported; ","")&amp;IF(AND(N($J677)=1,$K677="Point",N($M677)&lt;=0),"Coastal point without REP_M_AREA – land/sea split unknown; ","")&amp;IF(AND(N($J677)=0,N($S677)&gt;0),"MARINE=0 but net marine &gt;0; ","")&amp;IF(AND(N($J677)=2,N($R677)&gt;0),"MARINE=2 but net terrestrial &gt;0; ","")&amp;IF($K677="Point","Buffered point – coverage approximate; ","")))</f>
        <v/>
      </c>
    </row>
    <row r="678">
      <c r="A678" s="19" t="n"/>
      <c r="B678" s="19" t="n"/>
      <c r="C678" s="19" t="n"/>
      <c r="D678" s="19" t="n"/>
      <c r="E678" s="19" t="n"/>
      <c r="F678" s="19" t="n"/>
      <c r="G678" s="19" t="n"/>
      <c r="H678" s="19" t="n"/>
      <c r="I678" s="19" t="n"/>
      <c r="J678" s="19" t="n"/>
      <c r="K678" s="19" t="n"/>
      <c r="L678" s="20" t="n"/>
      <c r="M678" s="20" t="n"/>
      <c r="N678" s="20" t="n"/>
      <c r="O678" s="20" t="n"/>
      <c r="P678" s="19" t="n"/>
      <c r="Q678" s="19" t="n"/>
      <c r="R678" s="20" t="n"/>
      <c r="S678" s="20" t="n"/>
      <c r="T678" s="19" t="n"/>
      <c r="U678" s="19" t="n"/>
      <c r="V678" s="19" t="n"/>
      <c r="W678" s="19" t="n"/>
      <c r="X678" s="19" t="n"/>
      <c r="Y678" s="19" t="n"/>
      <c r="Z678" s="21">
        <f>IF(AND($A678="",$B678=""),"",IF(OR($E678="",$H678="",$H678="Proposed",$H678="Not Reported"),0,IF(AND($P678="Y",$Q678&lt;&gt;"Y"),0,IF(AND($K678="Point",N($L678)&lt;=0),0,IF(AND(N($L678)&lt;=0,N($N678)&lt;=0,N($R678)+N($S678)&lt;=0),0,1)))))</f>
        <v/>
      </c>
      <c r="AA678" s="21">
        <f>IF(AND($A678="",$B678=""),"",IF($E678="","Site type missing",IF($H678="","STATUS missing",IF($H678="Proposed","STATUS = Proposed",IF($H678="Not Reported","STATUS = Not Reported",IF(AND($P678="Y",$Q678&lt;&gt;"Y"),"UNESCO-MAB Biosphere Reserve",IF(AND($K678="Point",N($L678)&lt;=0),"Point without REP_AREA",IF(AND(N($L678)&lt;=0,N($N678)&lt;=0,N($R678)+N($S678)&lt;=0),"No area information",""))))))))</f>
        <v/>
      </c>
      <c r="AB678" s="22">
        <f>IF(AND($A678="",$B678=""),"",IF($K678="Point",N($L678),IF(N($N678)&gt;0,N($N678),N($L678))))</f>
        <v/>
      </c>
      <c r="AC678" s="22">
        <f>IF(AND($A678="",$B678=""),"",MIN(AB678,IF(N($J678)=0,0,IF(N($J678)=2,AB678,IF(AND($K678&lt;&gt;"Point",N($O678)&gt;0),N($O678),N($M678))))))</f>
        <v/>
      </c>
      <c r="AD678" s="22">
        <f>IF(AND($A678="",$B678=""),"",MAX(0,AB678-AC678))</f>
        <v/>
      </c>
      <c r="AE678" s="21">
        <f>IF(AND($A678="",$B678=""),"",IF(OR($R678&lt;&gt;"",$S678&lt;&gt;""),1,0))</f>
        <v/>
      </c>
      <c r="AF678" s="22">
        <f>IF(AND($A678="",$B678=""),"",IF(Z678=1,IF(AE678=1,N($R678),AD678),0))</f>
        <v/>
      </c>
      <c r="AG678" s="22">
        <f>IF(AND($A678="",$B678=""),"",IF(Z678=1,IF(AE678=1,N($S678),AC678),0))</f>
        <v/>
      </c>
      <c r="AH678" s="21">
        <f>IF(AND($A678="",$B678=""),"",IF(AND(ISNUMBER($I678),N($I678)&gt;0),$I678,0))</f>
        <v/>
      </c>
      <c r="AI678" s="23">
        <f>IF(AND(NOT(AND($A678="",$B678="")),$K678="Point",N($L678)&gt;0),SQRT(N($L678)/PI()),"")</f>
        <v/>
      </c>
      <c r="AJ678" s="21">
        <f>IF(AND($A678="",$B678=""),"",IFERROR(VLOOKUP($G678,Lists!$D$4:$E$15,2,FALSE),"Not reported"))</f>
        <v/>
      </c>
      <c r="AK678" s="21">
        <f>IF(AND($A678="",$B678=""),"",IF($X678&lt;&gt;"",$X678,IF($T678&lt;&gt;"Y","Not assessed",IF(AND(ISNUMBER($V678),Setup!$B$6-$V678&gt;Setup!$B$26),"Assessment outdated",IF(NOT(ISNUMBER($W678)),"Assessed – no score",IF($W678&gt;=Setup!$B$24,"High",IF($W678&gt;=Setup!$B$25,"Moderate","Low")))))))</f>
        <v/>
      </c>
      <c r="AL678" s="21">
        <f>IF(AND($A678="",$B678=""),"",IF(Z678=0,"",IF(AND(AE678=1,N($R678)&gt;AD678*1.01+0.001),"Net terrestrial &gt; gross; ","")&amp;IF(AND(AE678=1,N($S678)&gt;AC678*1.01+0.001),"Net marine &gt; gross; ","")&amp;IF(AE678=0,"No net area – gross used, overlaps may be double-counted; ","")&amp;IF(AH678=0,"STATUS_YR missing – imputed in time series; ","")&amp;IF(AND(ISNUMBER($I678),N($I678)&gt;Setup!$B$6),"STATUS_YR after reporting year; ","")&amp;IF(OR($G678="",$G678="Not Reported"),"GOV_TYPE not reported; ","")&amp;IF(AND(N($J678)=1,$K678="Point",N($M678)&lt;=0),"Coastal point without REP_M_AREA – land/sea split unknown; ","")&amp;IF(AND(N($J678)=0,N($S678)&gt;0),"MARINE=0 but net marine &gt;0; ","")&amp;IF(AND(N($J678)=2,N($R678)&gt;0),"MARINE=2 but net terrestrial &gt;0; ","")&amp;IF($K678="Point","Buffered point – coverage approximate; ","")))</f>
        <v/>
      </c>
    </row>
    <row r="679">
      <c r="A679" s="19" t="n"/>
      <c r="B679" s="19" t="n"/>
      <c r="C679" s="19" t="n"/>
      <c r="D679" s="19" t="n"/>
      <c r="E679" s="19" t="n"/>
      <c r="F679" s="19" t="n"/>
      <c r="G679" s="19" t="n"/>
      <c r="H679" s="19" t="n"/>
      <c r="I679" s="19" t="n"/>
      <c r="J679" s="19" t="n"/>
      <c r="K679" s="19" t="n"/>
      <c r="L679" s="20" t="n"/>
      <c r="M679" s="20" t="n"/>
      <c r="N679" s="20" t="n"/>
      <c r="O679" s="20" t="n"/>
      <c r="P679" s="19" t="n"/>
      <c r="Q679" s="19" t="n"/>
      <c r="R679" s="20" t="n"/>
      <c r="S679" s="20" t="n"/>
      <c r="T679" s="19" t="n"/>
      <c r="U679" s="19" t="n"/>
      <c r="V679" s="19" t="n"/>
      <c r="W679" s="19" t="n"/>
      <c r="X679" s="19" t="n"/>
      <c r="Y679" s="19" t="n"/>
      <c r="Z679" s="21">
        <f>IF(AND($A679="",$B679=""),"",IF(OR($E679="",$H679="",$H679="Proposed",$H679="Not Reported"),0,IF(AND($P679="Y",$Q679&lt;&gt;"Y"),0,IF(AND($K679="Point",N($L679)&lt;=0),0,IF(AND(N($L679)&lt;=0,N($N679)&lt;=0,N($R679)+N($S679)&lt;=0),0,1)))))</f>
        <v/>
      </c>
      <c r="AA679" s="21">
        <f>IF(AND($A679="",$B679=""),"",IF($E679="","Site type missing",IF($H679="","STATUS missing",IF($H679="Proposed","STATUS = Proposed",IF($H679="Not Reported","STATUS = Not Reported",IF(AND($P679="Y",$Q679&lt;&gt;"Y"),"UNESCO-MAB Biosphere Reserve",IF(AND($K679="Point",N($L679)&lt;=0),"Point without REP_AREA",IF(AND(N($L679)&lt;=0,N($N679)&lt;=0,N($R679)+N($S679)&lt;=0),"No area information",""))))))))</f>
        <v/>
      </c>
      <c r="AB679" s="22">
        <f>IF(AND($A679="",$B679=""),"",IF($K679="Point",N($L679),IF(N($N679)&gt;0,N($N679),N($L679))))</f>
        <v/>
      </c>
      <c r="AC679" s="22">
        <f>IF(AND($A679="",$B679=""),"",MIN(AB679,IF(N($J679)=0,0,IF(N($J679)=2,AB679,IF(AND($K679&lt;&gt;"Point",N($O679)&gt;0),N($O679),N($M679))))))</f>
        <v/>
      </c>
      <c r="AD679" s="22">
        <f>IF(AND($A679="",$B679=""),"",MAX(0,AB679-AC679))</f>
        <v/>
      </c>
      <c r="AE679" s="21">
        <f>IF(AND($A679="",$B679=""),"",IF(OR($R679&lt;&gt;"",$S679&lt;&gt;""),1,0))</f>
        <v/>
      </c>
      <c r="AF679" s="22">
        <f>IF(AND($A679="",$B679=""),"",IF(Z679=1,IF(AE679=1,N($R679),AD679),0))</f>
        <v/>
      </c>
      <c r="AG679" s="22">
        <f>IF(AND($A679="",$B679=""),"",IF(Z679=1,IF(AE679=1,N($S679),AC679),0))</f>
        <v/>
      </c>
      <c r="AH679" s="21">
        <f>IF(AND($A679="",$B679=""),"",IF(AND(ISNUMBER($I679),N($I679)&gt;0),$I679,0))</f>
        <v/>
      </c>
      <c r="AI679" s="23">
        <f>IF(AND(NOT(AND($A679="",$B679="")),$K679="Point",N($L679)&gt;0),SQRT(N($L679)/PI()),"")</f>
        <v/>
      </c>
      <c r="AJ679" s="21">
        <f>IF(AND($A679="",$B679=""),"",IFERROR(VLOOKUP($G679,Lists!$D$4:$E$15,2,FALSE),"Not reported"))</f>
        <v/>
      </c>
      <c r="AK679" s="21">
        <f>IF(AND($A679="",$B679=""),"",IF($X679&lt;&gt;"",$X679,IF($T679&lt;&gt;"Y","Not assessed",IF(AND(ISNUMBER($V679),Setup!$B$6-$V679&gt;Setup!$B$26),"Assessment outdated",IF(NOT(ISNUMBER($W679)),"Assessed – no score",IF($W679&gt;=Setup!$B$24,"High",IF($W679&gt;=Setup!$B$25,"Moderate","Low")))))))</f>
        <v/>
      </c>
      <c r="AL679" s="21">
        <f>IF(AND($A679="",$B679=""),"",IF(Z679=0,"",IF(AND(AE679=1,N($R679)&gt;AD679*1.01+0.001),"Net terrestrial &gt; gross; ","")&amp;IF(AND(AE679=1,N($S679)&gt;AC679*1.01+0.001),"Net marine &gt; gross; ","")&amp;IF(AE679=0,"No net area – gross used, overlaps may be double-counted; ","")&amp;IF(AH679=0,"STATUS_YR missing – imputed in time series; ","")&amp;IF(AND(ISNUMBER($I679),N($I679)&gt;Setup!$B$6),"STATUS_YR after reporting year; ","")&amp;IF(OR($G679="",$G679="Not Reported"),"GOV_TYPE not reported; ","")&amp;IF(AND(N($J679)=1,$K679="Point",N($M679)&lt;=0),"Coastal point without REP_M_AREA – land/sea split unknown; ","")&amp;IF(AND(N($J679)=0,N($S679)&gt;0),"MARINE=0 but net marine &gt;0; ","")&amp;IF(AND(N($J679)=2,N($R679)&gt;0),"MARINE=2 but net terrestrial &gt;0; ","")&amp;IF($K679="Point","Buffered point – coverage approximate; ","")))</f>
        <v/>
      </c>
    </row>
    <row r="680">
      <c r="A680" s="19" t="n"/>
      <c r="B680" s="19" t="n"/>
      <c r="C680" s="19" t="n"/>
      <c r="D680" s="19" t="n"/>
      <c r="E680" s="19" t="n"/>
      <c r="F680" s="19" t="n"/>
      <c r="G680" s="19" t="n"/>
      <c r="H680" s="19" t="n"/>
      <c r="I680" s="19" t="n"/>
      <c r="J680" s="19" t="n"/>
      <c r="K680" s="19" t="n"/>
      <c r="L680" s="20" t="n"/>
      <c r="M680" s="20" t="n"/>
      <c r="N680" s="20" t="n"/>
      <c r="O680" s="20" t="n"/>
      <c r="P680" s="19" t="n"/>
      <c r="Q680" s="19" t="n"/>
      <c r="R680" s="20" t="n"/>
      <c r="S680" s="20" t="n"/>
      <c r="T680" s="19" t="n"/>
      <c r="U680" s="19" t="n"/>
      <c r="V680" s="19" t="n"/>
      <c r="W680" s="19" t="n"/>
      <c r="X680" s="19" t="n"/>
      <c r="Y680" s="19" t="n"/>
      <c r="Z680" s="21">
        <f>IF(AND($A680="",$B680=""),"",IF(OR($E680="",$H680="",$H680="Proposed",$H680="Not Reported"),0,IF(AND($P680="Y",$Q680&lt;&gt;"Y"),0,IF(AND($K680="Point",N($L680)&lt;=0),0,IF(AND(N($L680)&lt;=0,N($N680)&lt;=0,N($R680)+N($S680)&lt;=0),0,1)))))</f>
        <v/>
      </c>
      <c r="AA680" s="21">
        <f>IF(AND($A680="",$B680=""),"",IF($E680="","Site type missing",IF($H680="","STATUS missing",IF($H680="Proposed","STATUS = Proposed",IF($H680="Not Reported","STATUS = Not Reported",IF(AND($P680="Y",$Q680&lt;&gt;"Y"),"UNESCO-MAB Biosphere Reserve",IF(AND($K680="Point",N($L680)&lt;=0),"Point without REP_AREA",IF(AND(N($L680)&lt;=0,N($N680)&lt;=0,N($R680)+N($S680)&lt;=0),"No area information",""))))))))</f>
        <v/>
      </c>
      <c r="AB680" s="22">
        <f>IF(AND($A680="",$B680=""),"",IF($K680="Point",N($L680),IF(N($N680)&gt;0,N($N680),N($L680))))</f>
        <v/>
      </c>
      <c r="AC680" s="22">
        <f>IF(AND($A680="",$B680=""),"",MIN(AB680,IF(N($J680)=0,0,IF(N($J680)=2,AB680,IF(AND($K680&lt;&gt;"Point",N($O680)&gt;0),N($O680),N($M680))))))</f>
        <v/>
      </c>
      <c r="AD680" s="22">
        <f>IF(AND($A680="",$B680=""),"",MAX(0,AB680-AC680))</f>
        <v/>
      </c>
      <c r="AE680" s="21">
        <f>IF(AND($A680="",$B680=""),"",IF(OR($R680&lt;&gt;"",$S680&lt;&gt;""),1,0))</f>
        <v/>
      </c>
      <c r="AF680" s="22">
        <f>IF(AND($A680="",$B680=""),"",IF(Z680=1,IF(AE680=1,N($R680),AD680),0))</f>
        <v/>
      </c>
      <c r="AG680" s="22">
        <f>IF(AND($A680="",$B680=""),"",IF(Z680=1,IF(AE680=1,N($S680),AC680),0))</f>
        <v/>
      </c>
      <c r="AH680" s="21">
        <f>IF(AND($A680="",$B680=""),"",IF(AND(ISNUMBER($I680),N($I680)&gt;0),$I680,0))</f>
        <v/>
      </c>
      <c r="AI680" s="23">
        <f>IF(AND(NOT(AND($A680="",$B680="")),$K680="Point",N($L680)&gt;0),SQRT(N($L680)/PI()),"")</f>
        <v/>
      </c>
      <c r="AJ680" s="21">
        <f>IF(AND($A680="",$B680=""),"",IFERROR(VLOOKUP($G680,Lists!$D$4:$E$15,2,FALSE),"Not reported"))</f>
        <v/>
      </c>
      <c r="AK680" s="21">
        <f>IF(AND($A680="",$B680=""),"",IF($X680&lt;&gt;"",$X680,IF($T680&lt;&gt;"Y","Not assessed",IF(AND(ISNUMBER($V680),Setup!$B$6-$V680&gt;Setup!$B$26),"Assessment outdated",IF(NOT(ISNUMBER($W680)),"Assessed – no score",IF($W680&gt;=Setup!$B$24,"High",IF($W680&gt;=Setup!$B$25,"Moderate","Low")))))))</f>
        <v/>
      </c>
      <c r="AL680" s="21">
        <f>IF(AND($A680="",$B680=""),"",IF(Z680=0,"",IF(AND(AE680=1,N($R680)&gt;AD680*1.01+0.001),"Net terrestrial &gt; gross; ","")&amp;IF(AND(AE680=1,N($S680)&gt;AC680*1.01+0.001),"Net marine &gt; gross; ","")&amp;IF(AE680=0,"No net area – gross used, overlaps may be double-counted; ","")&amp;IF(AH680=0,"STATUS_YR missing – imputed in time series; ","")&amp;IF(AND(ISNUMBER($I680),N($I680)&gt;Setup!$B$6),"STATUS_YR after reporting year; ","")&amp;IF(OR($G680="",$G680="Not Reported"),"GOV_TYPE not reported; ","")&amp;IF(AND(N($J680)=1,$K680="Point",N($M680)&lt;=0),"Coastal point without REP_M_AREA – land/sea split unknown; ","")&amp;IF(AND(N($J680)=0,N($S680)&gt;0),"MARINE=0 but net marine &gt;0; ","")&amp;IF(AND(N($J680)=2,N($R680)&gt;0),"MARINE=2 but net terrestrial &gt;0; ","")&amp;IF($K680="Point","Buffered point – coverage approximate; ","")))</f>
        <v/>
      </c>
    </row>
    <row r="681">
      <c r="A681" s="19" t="n"/>
      <c r="B681" s="19" t="n"/>
      <c r="C681" s="19" t="n"/>
      <c r="D681" s="19" t="n"/>
      <c r="E681" s="19" t="n"/>
      <c r="F681" s="19" t="n"/>
      <c r="G681" s="19" t="n"/>
      <c r="H681" s="19" t="n"/>
      <c r="I681" s="19" t="n"/>
      <c r="J681" s="19" t="n"/>
      <c r="K681" s="19" t="n"/>
      <c r="L681" s="20" t="n"/>
      <c r="M681" s="20" t="n"/>
      <c r="N681" s="20" t="n"/>
      <c r="O681" s="20" t="n"/>
      <c r="P681" s="19" t="n"/>
      <c r="Q681" s="19" t="n"/>
      <c r="R681" s="20" t="n"/>
      <c r="S681" s="20" t="n"/>
      <c r="T681" s="19" t="n"/>
      <c r="U681" s="19" t="n"/>
      <c r="V681" s="19" t="n"/>
      <c r="W681" s="19" t="n"/>
      <c r="X681" s="19" t="n"/>
      <c r="Y681" s="19" t="n"/>
      <c r="Z681" s="21">
        <f>IF(AND($A681="",$B681=""),"",IF(OR($E681="",$H681="",$H681="Proposed",$H681="Not Reported"),0,IF(AND($P681="Y",$Q681&lt;&gt;"Y"),0,IF(AND($K681="Point",N($L681)&lt;=0),0,IF(AND(N($L681)&lt;=0,N($N681)&lt;=0,N($R681)+N($S681)&lt;=0),0,1)))))</f>
        <v/>
      </c>
      <c r="AA681" s="21">
        <f>IF(AND($A681="",$B681=""),"",IF($E681="","Site type missing",IF($H681="","STATUS missing",IF($H681="Proposed","STATUS = Proposed",IF($H681="Not Reported","STATUS = Not Reported",IF(AND($P681="Y",$Q681&lt;&gt;"Y"),"UNESCO-MAB Biosphere Reserve",IF(AND($K681="Point",N($L681)&lt;=0),"Point without REP_AREA",IF(AND(N($L681)&lt;=0,N($N681)&lt;=0,N($R681)+N($S681)&lt;=0),"No area information",""))))))))</f>
        <v/>
      </c>
      <c r="AB681" s="22">
        <f>IF(AND($A681="",$B681=""),"",IF($K681="Point",N($L681),IF(N($N681)&gt;0,N($N681),N($L681))))</f>
        <v/>
      </c>
      <c r="AC681" s="22">
        <f>IF(AND($A681="",$B681=""),"",MIN(AB681,IF(N($J681)=0,0,IF(N($J681)=2,AB681,IF(AND($K681&lt;&gt;"Point",N($O681)&gt;0),N($O681),N($M681))))))</f>
        <v/>
      </c>
      <c r="AD681" s="22">
        <f>IF(AND($A681="",$B681=""),"",MAX(0,AB681-AC681))</f>
        <v/>
      </c>
      <c r="AE681" s="21">
        <f>IF(AND($A681="",$B681=""),"",IF(OR($R681&lt;&gt;"",$S681&lt;&gt;""),1,0))</f>
        <v/>
      </c>
      <c r="AF681" s="22">
        <f>IF(AND($A681="",$B681=""),"",IF(Z681=1,IF(AE681=1,N($R681),AD681),0))</f>
        <v/>
      </c>
      <c r="AG681" s="22">
        <f>IF(AND($A681="",$B681=""),"",IF(Z681=1,IF(AE681=1,N($S681),AC681),0))</f>
        <v/>
      </c>
      <c r="AH681" s="21">
        <f>IF(AND($A681="",$B681=""),"",IF(AND(ISNUMBER($I681),N($I681)&gt;0),$I681,0))</f>
        <v/>
      </c>
      <c r="AI681" s="23">
        <f>IF(AND(NOT(AND($A681="",$B681="")),$K681="Point",N($L681)&gt;0),SQRT(N($L681)/PI()),"")</f>
        <v/>
      </c>
      <c r="AJ681" s="21">
        <f>IF(AND($A681="",$B681=""),"",IFERROR(VLOOKUP($G681,Lists!$D$4:$E$15,2,FALSE),"Not reported"))</f>
        <v/>
      </c>
      <c r="AK681" s="21">
        <f>IF(AND($A681="",$B681=""),"",IF($X681&lt;&gt;"",$X681,IF($T681&lt;&gt;"Y","Not assessed",IF(AND(ISNUMBER($V681),Setup!$B$6-$V681&gt;Setup!$B$26),"Assessment outdated",IF(NOT(ISNUMBER($W681)),"Assessed – no score",IF($W681&gt;=Setup!$B$24,"High",IF($W681&gt;=Setup!$B$25,"Moderate","Low")))))))</f>
        <v/>
      </c>
      <c r="AL681" s="21">
        <f>IF(AND($A681="",$B681=""),"",IF(Z681=0,"",IF(AND(AE681=1,N($R681)&gt;AD681*1.01+0.001),"Net terrestrial &gt; gross; ","")&amp;IF(AND(AE681=1,N($S681)&gt;AC681*1.01+0.001),"Net marine &gt; gross; ","")&amp;IF(AE681=0,"No net area – gross used, overlaps may be double-counted; ","")&amp;IF(AH681=0,"STATUS_YR missing – imputed in time series; ","")&amp;IF(AND(ISNUMBER($I681),N($I681)&gt;Setup!$B$6),"STATUS_YR after reporting year; ","")&amp;IF(OR($G681="",$G681="Not Reported"),"GOV_TYPE not reported; ","")&amp;IF(AND(N($J681)=1,$K681="Point",N($M681)&lt;=0),"Coastal point without REP_M_AREA – land/sea split unknown; ","")&amp;IF(AND(N($J681)=0,N($S681)&gt;0),"MARINE=0 but net marine &gt;0; ","")&amp;IF(AND(N($J681)=2,N($R681)&gt;0),"MARINE=2 but net terrestrial &gt;0; ","")&amp;IF($K681="Point","Buffered point – coverage approximate; ","")))</f>
        <v/>
      </c>
    </row>
    <row r="682">
      <c r="A682" s="19" t="n"/>
      <c r="B682" s="19" t="n"/>
      <c r="C682" s="19" t="n"/>
      <c r="D682" s="19" t="n"/>
      <c r="E682" s="19" t="n"/>
      <c r="F682" s="19" t="n"/>
      <c r="G682" s="19" t="n"/>
      <c r="H682" s="19" t="n"/>
      <c r="I682" s="19" t="n"/>
      <c r="J682" s="19" t="n"/>
      <c r="K682" s="19" t="n"/>
      <c r="L682" s="20" t="n"/>
      <c r="M682" s="20" t="n"/>
      <c r="N682" s="20" t="n"/>
      <c r="O682" s="20" t="n"/>
      <c r="P682" s="19" t="n"/>
      <c r="Q682" s="19" t="n"/>
      <c r="R682" s="20" t="n"/>
      <c r="S682" s="20" t="n"/>
      <c r="T682" s="19" t="n"/>
      <c r="U682" s="19" t="n"/>
      <c r="V682" s="19" t="n"/>
      <c r="W682" s="19" t="n"/>
      <c r="X682" s="19" t="n"/>
      <c r="Y682" s="19" t="n"/>
      <c r="Z682" s="21">
        <f>IF(AND($A682="",$B682=""),"",IF(OR($E682="",$H682="",$H682="Proposed",$H682="Not Reported"),0,IF(AND($P682="Y",$Q682&lt;&gt;"Y"),0,IF(AND($K682="Point",N($L682)&lt;=0),0,IF(AND(N($L682)&lt;=0,N($N682)&lt;=0,N($R682)+N($S682)&lt;=0),0,1)))))</f>
        <v/>
      </c>
      <c r="AA682" s="21">
        <f>IF(AND($A682="",$B682=""),"",IF($E682="","Site type missing",IF($H682="","STATUS missing",IF($H682="Proposed","STATUS = Proposed",IF($H682="Not Reported","STATUS = Not Reported",IF(AND($P682="Y",$Q682&lt;&gt;"Y"),"UNESCO-MAB Biosphere Reserve",IF(AND($K682="Point",N($L682)&lt;=0),"Point without REP_AREA",IF(AND(N($L682)&lt;=0,N($N682)&lt;=0,N($R682)+N($S682)&lt;=0),"No area information",""))))))))</f>
        <v/>
      </c>
      <c r="AB682" s="22">
        <f>IF(AND($A682="",$B682=""),"",IF($K682="Point",N($L682),IF(N($N682)&gt;0,N($N682),N($L682))))</f>
        <v/>
      </c>
      <c r="AC682" s="22">
        <f>IF(AND($A682="",$B682=""),"",MIN(AB682,IF(N($J682)=0,0,IF(N($J682)=2,AB682,IF(AND($K682&lt;&gt;"Point",N($O682)&gt;0),N($O682),N($M682))))))</f>
        <v/>
      </c>
      <c r="AD682" s="22">
        <f>IF(AND($A682="",$B682=""),"",MAX(0,AB682-AC682))</f>
        <v/>
      </c>
      <c r="AE682" s="21">
        <f>IF(AND($A682="",$B682=""),"",IF(OR($R682&lt;&gt;"",$S682&lt;&gt;""),1,0))</f>
        <v/>
      </c>
      <c r="AF682" s="22">
        <f>IF(AND($A682="",$B682=""),"",IF(Z682=1,IF(AE682=1,N($R682),AD682),0))</f>
        <v/>
      </c>
      <c r="AG682" s="22">
        <f>IF(AND($A682="",$B682=""),"",IF(Z682=1,IF(AE682=1,N($S682),AC682),0))</f>
        <v/>
      </c>
      <c r="AH682" s="21">
        <f>IF(AND($A682="",$B682=""),"",IF(AND(ISNUMBER($I682),N($I682)&gt;0),$I682,0))</f>
        <v/>
      </c>
      <c r="AI682" s="23">
        <f>IF(AND(NOT(AND($A682="",$B682="")),$K682="Point",N($L682)&gt;0),SQRT(N($L682)/PI()),"")</f>
        <v/>
      </c>
      <c r="AJ682" s="21">
        <f>IF(AND($A682="",$B682=""),"",IFERROR(VLOOKUP($G682,Lists!$D$4:$E$15,2,FALSE),"Not reported"))</f>
        <v/>
      </c>
      <c r="AK682" s="21">
        <f>IF(AND($A682="",$B682=""),"",IF($X682&lt;&gt;"",$X682,IF($T682&lt;&gt;"Y","Not assessed",IF(AND(ISNUMBER($V682),Setup!$B$6-$V682&gt;Setup!$B$26),"Assessment outdated",IF(NOT(ISNUMBER($W682)),"Assessed – no score",IF($W682&gt;=Setup!$B$24,"High",IF($W682&gt;=Setup!$B$25,"Moderate","Low")))))))</f>
        <v/>
      </c>
      <c r="AL682" s="21">
        <f>IF(AND($A682="",$B682=""),"",IF(Z682=0,"",IF(AND(AE682=1,N($R682)&gt;AD682*1.01+0.001),"Net terrestrial &gt; gross; ","")&amp;IF(AND(AE682=1,N($S682)&gt;AC682*1.01+0.001),"Net marine &gt; gross; ","")&amp;IF(AE682=0,"No net area – gross used, overlaps may be double-counted; ","")&amp;IF(AH682=0,"STATUS_YR missing – imputed in time series; ","")&amp;IF(AND(ISNUMBER($I682),N($I682)&gt;Setup!$B$6),"STATUS_YR after reporting year; ","")&amp;IF(OR($G682="",$G682="Not Reported"),"GOV_TYPE not reported; ","")&amp;IF(AND(N($J682)=1,$K682="Point",N($M682)&lt;=0),"Coastal point without REP_M_AREA – land/sea split unknown; ","")&amp;IF(AND(N($J682)=0,N($S682)&gt;0),"MARINE=0 but net marine &gt;0; ","")&amp;IF(AND(N($J682)=2,N($R682)&gt;0),"MARINE=2 but net terrestrial &gt;0; ","")&amp;IF($K682="Point","Buffered point – coverage approximate; ","")))</f>
        <v/>
      </c>
    </row>
    <row r="683">
      <c r="A683" s="19" t="n"/>
      <c r="B683" s="19" t="n"/>
      <c r="C683" s="19" t="n"/>
      <c r="D683" s="19" t="n"/>
      <c r="E683" s="19" t="n"/>
      <c r="F683" s="19" t="n"/>
      <c r="G683" s="19" t="n"/>
      <c r="H683" s="19" t="n"/>
      <c r="I683" s="19" t="n"/>
      <c r="J683" s="19" t="n"/>
      <c r="K683" s="19" t="n"/>
      <c r="L683" s="20" t="n"/>
      <c r="M683" s="20" t="n"/>
      <c r="N683" s="20" t="n"/>
      <c r="O683" s="20" t="n"/>
      <c r="P683" s="19" t="n"/>
      <c r="Q683" s="19" t="n"/>
      <c r="R683" s="20" t="n"/>
      <c r="S683" s="20" t="n"/>
      <c r="T683" s="19" t="n"/>
      <c r="U683" s="19" t="n"/>
      <c r="V683" s="19" t="n"/>
      <c r="W683" s="19" t="n"/>
      <c r="X683" s="19" t="n"/>
      <c r="Y683" s="19" t="n"/>
      <c r="Z683" s="21">
        <f>IF(AND($A683="",$B683=""),"",IF(OR($E683="",$H683="",$H683="Proposed",$H683="Not Reported"),0,IF(AND($P683="Y",$Q683&lt;&gt;"Y"),0,IF(AND($K683="Point",N($L683)&lt;=0),0,IF(AND(N($L683)&lt;=0,N($N683)&lt;=0,N($R683)+N($S683)&lt;=0),0,1)))))</f>
        <v/>
      </c>
      <c r="AA683" s="21">
        <f>IF(AND($A683="",$B683=""),"",IF($E683="","Site type missing",IF($H683="","STATUS missing",IF($H683="Proposed","STATUS = Proposed",IF($H683="Not Reported","STATUS = Not Reported",IF(AND($P683="Y",$Q683&lt;&gt;"Y"),"UNESCO-MAB Biosphere Reserve",IF(AND($K683="Point",N($L683)&lt;=0),"Point without REP_AREA",IF(AND(N($L683)&lt;=0,N($N683)&lt;=0,N($R683)+N($S683)&lt;=0),"No area information",""))))))))</f>
        <v/>
      </c>
      <c r="AB683" s="22">
        <f>IF(AND($A683="",$B683=""),"",IF($K683="Point",N($L683),IF(N($N683)&gt;0,N($N683),N($L683))))</f>
        <v/>
      </c>
      <c r="AC683" s="22">
        <f>IF(AND($A683="",$B683=""),"",MIN(AB683,IF(N($J683)=0,0,IF(N($J683)=2,AB683,IF(AND($K683&lt;&gt;"Point",N($O683)&gt;0),N($O683),N($M683))))))</f>
        <v/>
      </c>
      <c r="AD683" s="22">
        <f>IF(AND($A683="",$B683=""),"",MAX(0,AB683-AC683))</f>
        <v/>
      </c>
      <c r="AE683" s="21">
        <f>IF(AND($A683="",$B683=""),"",IF(OR($R683&lt;&gt;"",$S683&lt;&gt;""),1,0))</f>
        <v/>
      </c>
      <c r="AF683" s="22">
        <f>IF(AND($A683="",$B683=""),"",IF(Z683=1,IF(AE683=1,N($R683),AD683),0))</f>
        <v/>
      </c>
      <c r="AG683" s="22">
        <f>IF(AND($A683="",$B683=""),"",IF(Z683=1,IF(AE683=1,N($S683),AC683),0))</f>
        <v/>
      </c>
      <c r="AH683" s="21">
        <f>IF(AND($A683="",$B683=""),"",IF(AND(ISNUMBER($I683),N($I683)&gt;0),$I683,0))</f>
        <v/>
      </c>
      <c r="AI683" s="23">
        <f>IF(AND(NOT(AND($A683="",$B683="")),$K683="Point",N($L683)&gt;0),SQRT(N($L683)/PI()),"")</f>
        <v/>
      </c>
      <c r="AJ683" s="21">
        <f>IF(AND($A683="",$B683=""),"",IFERROR(VLOOKUP($G683,Lists!$D$4:$E$15,2,FALSE),"Not reported"))</f>
        <v/>
      </c>
      <c r="AK683" s="21">
        <f>IF(AND($A683="",$B683=""),"",IF($X683&lt;&gt;"",$X683,IF($T683&lt;&gt;"Y","Not assessed",IF(AND(ISNUMBER($V683),Setup!$B$6-$V683&gt;Setup!$B$26),"Assessment outdated",IF(NOT(ISNUMBER($W683)),"Assessed – no score",IF($W683&gt;=Setup!$B$24,"High",IF($W683&gt;=Setup!$B$25,"Moderate","Low")))))))</f>
        <v/>
      </c>
      <c r="AL683" s="21">
        <f>IF(AND($A683="",$B683=""),"",IF(Z683=0,"",IF(AND(AE683=1,N($R683)&gt;AD683*1.01+0.001),"Net terrestrial &gt; gross; ","")&amp;IF(AND(AE683=1,N($S683)&gt;AC683*1.01+0.001),"Net marine &gt; gross; ","")&amp;IF(AE683=0,"No net area – gross used, overlaps may be double-counted; ","")&amp;IF(AH683=0,"STATUS_YR missing – imputed in time series; ","")&amp;IF(AND(ISNUMBER($I683),N($I683)&gt;Setup!$B$6),"STATUS_YR after reporting year; ","")&amp;IF(OR($G683="",$G683="Not Reported"),"GOV_TYPE not reported; ","")&amp;IF(AND(N($J683)=1,$K683="Point",N($M683)&lt;=0),"Coastal point without REP_M_AREA – land/sea split unknown; ","")&amp;IF(AND(N($J683)=0,N($S683)&gt;0),"MARINE=0 but net marine &gt;0; ","")&amp;IF(AND(N($J683)=2,N($R683)&gt;0),"MARINE=2 but net terrestrial &gt;0; ","")&amp;IF($K683="Point","Buffered point – coverage approximate; ","")))</f>
        <v/>
      </c>
    </row>
    <row r="684">
      <c r="A684" s="19" t="n"/>
      <c r="B684" s="19" t="n"/>
      <c r="C684" s="19" t="n"/>
      <c r="D684" s="19" t="n"/>
      <c r="E684" s="19" t="n"/>
      <c r="F684" s="19" t="n"/>
      <c r="G684" s="19" t="n"/>
      <c r="H684" s="19" t="n"/>
      <c r="I684" s="19" t="n"/>
      <c r="J684" s="19" t="n"/>
      <c r="K684" s="19" t="n"/>
      <c r="L684" s="20" t="n"/>
      <c r="M684" s="20" t="n"/>
      <c r="N684" s="20" t="n"/>
      <c r="O684" s="20" t="n"/>
      <c r="P684" s="19" t="n"/>
      <c r="Q684" s="19" t="n"/>
      <c r="R684" s="20" t="n"/>
      <c r="S684" s="20" t="n"/>
      <c r="T684" s="19" t="n"/>
      <c r="U684" s="19" t="n"/>
      <c r="V684" s="19" t="n"/>
      <c r="W684" s="19" t="n"/>
      <c r="X684" s="19" t="n"/>
      <c r="Y684" s="19" t="n"/>
      <c r="Z684" s="21">
        <f>IF(AND($A684="",$B684=""),"",IF(OR($E684="",$H684="",$H684="Proposed",$H684="Not Reported"),0,IF(AND($P684="Y",$Q684&lt;&gt;"Y"),0,IF(AND($K684="Point",N($L684)&lt;=0),0,IF(AND(N($L684)&lt;=0,N($N684)&lt;=0,N($R684)+N($S684)&lt;=0),0,1)))))</f>
        <v/>
      </c>
      <c r="AA684" s="21">
        <f>IF(AND($A684="",$B684=""),"",IF($E684="","Site type missing",IF($H684="","STATUS missing",IF($H684="Proposed","STATUS = Proposed",IF($H684="Not Reported","STATUS = Not Reported",IF(AND($P684="Y",$Q684&lt;&gt;"Y"),"UNESCO-MAB Biosphere Reserve",IF(AND($K684="Point",N($L684)&lt;=0),"Point without REP_AREA",IF(AND(N($L684)&lt;=0,N($N684)&lt;=0,N($R684)+N($S684)&lt;=0),"No area information",""))))))))</f>
        <v/>
      </c>
      <c r="AB684" s="22">
        <f>IF(AND($A684="",$B684=""),"",IF($K684="Point",N($L684),IF(N($N684)&gt;0,N($N684),N($L684))))</f>
        <v/>
      </c>
      <c r="AC684" s="22">
        <f>IF(AND($A684="",$B684=""),"",MIN(AB684,IF(N($J684)=0,0,IF(N($J684)=2,AB684,IF(AND($K684&lt;&gt;"Point",N($O684)&gt;0),N($O684),N($M684))))))</f>
        <v/>
      </c>
      <c r="AD684" s="22">
        <f>IF(AND($A684="",$B684=""),"",MAX(0,AB684-AC684))</f>
        <v/>
      </c>
      <c r="AE684" s="21">
        <f>IF(AND($A684="",$B684=""),"",IF(OR($R684&lt;&gt;"",$S684&lt;&gt;""),1,0))</f>
        <v/>
      </c>
      <c r="AF684" s="22">
        <f>IF(AND($A684="",$B684=""),"",IF(Z684=1,IF(AE684=1,N($R684),AD684),0))</f>
        <v/>
      </c>
      <c r="AG684" s="22">
        <f>IF(AND($A684="",$B684=""),"",IF(Z684=1,IF(AE684=1,N($S684),AC684),0))</f>
        <v/>
      </c>
      <c r="AH684" s="21">
        <f>IF(AND($A684="",$B684=""),"",IF(AND(ISNUMBER($I684),N($I684)&gt;0),$I684,0))</f>
        <v/>
      </c>
      <c r="AI684" s="23">
        <f>IF(AND(NOT(AND($A684="",$B684="")),$K684="Point",N($L684)&gt;0),SQRT(N($L684)/PI()),"")</f>
        <v/>
      </c>
      <c r="AJ684" s="21">
        <f>IF(AND($A684="",$B684=""),"",IFERROR(VLOOKUP($G684,Lists!$D$4:$E$15,2,FALSE),"Not reported"))</f>
        <v/>
      </c>
      <c r="AK684" s="21">
        <f>IF(AND($A684="",$B684=""),"",IF($X684&lt;&gt;"",$X684,IF($T684&lt;&gt;"Y","Not assessed",IF(AND(ISNUMBER($V684),Setup!$B$6-$V684&gt;Setup!$B$26),"Assessment outdated",IF(NOT(ISNUMBER($W684)),"Assessed – no score",IF($W684&gt;=Setup!$B$24,"High",IF($W684&gt;=Setup!$B$25,"Moderate","Low")))))))</f>
        <v/>
      </c>
      <c r="AL684" s="21">
        <f>IF(AND($A684="",$B684=""),"",IF(Z684=0,"",IF(AND(AE684=1,N($R684)&gt;AD684*1.01+0.001),"Net terrestrial &gt; gross; ","")&amp;IF(AND(AE684=1,N($S684)&gt;AC684*1.01+0.001),"Net marine &gt; gross; ","")&amp;IF(AE684=0,"No net area – gross used, overlaps may be double-counted; ","")&amp;IF(AH684=0,"STATUS_YR missing – imputed in time series; ","")&amp;IF(AND(ISNUMBER($I684),N($I684)&gt;Setup!$B$6),"STATUS_YR after reporting year; ","")&amp;IF(OR($G684="",$G684="Not Reported"),"GOV_TYPE not reported; ","")&amp;IF(AND(N($J684)=1,$K684="Point",N($M684)&lt;=0),"Coastal point without REP_M_AREA – land/sea split unknown; ","")&amp;IF(AND(N($J684)=0,N($S684)&gt;0),"MARINE=0 but net marine &gt;0; ","")&amp;IF(AND(N($J684)=2,N($R684)&gt;0),"MARINE=2 but net terrestrial &gt;0; ","")&amp;IF($K684="Point","Buffered point – coverage approximate; ","")))</f>
        <v/>
      </c>
    </row>
    <row r="685">
      <c r="A685" s="19" t="n"/>
      <c r="B685" s="19" t="n"/>
      <c r="C685" s="19" t="n"/>
      <c r="D685" s="19" t="n"/>
      <c r="E685" s="19" t="n"/>
      <c r="F685" s="19" t="n"/>
      <c r="G685" s="19" t="n"/>
      <c r="H685" s="19" t="n"/>
      <c r="I685" s="19" t="n"/>
      <c r="J685" s="19" t="n"/>
      <c r="K685" s="19" t="n"/>
      <c r="L685" s="20" t="n"/>
      <c r="M685" s="20" t="n"/>
      <c r="N685" s="20" t="n"/>
      <c r="O685" s="20" t="n"/>
      <c r="P685" s="19" t="n"/>
      <c r="Q685" s="19" t="n"/>
      <c r="R685" s="20" t="n"/>
      <c r="S685" s="20" t="n"/>
      <c r="T685" s="19" t="n"/>
      <c r="U685" s="19" t="n"/>
      <c r="V685" s="19" t="n"/>
      <c r="W685" s="19" t="n"/>
      <c r="X685" s="19" t="n"/>
      <c r="Y685" s="19" t="n"/>
      <c r="Z685" s="21">
        <f>IF(AND($A685="",$B685=""),"",IF(OR($E685="",$H685="",$H685="Proposed",$H685="Not Reported"),0,IF(AND($P685="Y",$Q685&lt;&gt;"Y"),0,IF(AND($K685="Point",N($L685)&lt;=0),0,IF(AND(N($L685)&lt;=0,N($N685)&lt;=0,N($R685)+N($S685)&lt;=0),0,1)))))</f>
        <v/>
      </c>
      <c r="AA685" s="21">
        <f>IF(AND($A685="",$B685=""),"",IF($E685="","Site type missing",IF($H685="","STATUS missing",IF($H685="Proposed","STATUS = Proposed",IF($H685="Not Reported","STATUS = Not Reported",IF(AND($P685="Y",$Q685&lt;&gt;"Y"),"UNESCO-MAB Biosphere Reserve",IF(AND($K685="Point",N($L685)&lt;=0),"Point without REP_AREA",IF(AND(N($L685)&lt;=0,N($N685)&lt;=0,N($R685)+N($S685)&lt;=0),"No area information",""))))))))</f>
        <v/>
      </c>
      <c r="AB685" s="22">
        <f>IF(AND($A685="",$B685=""),"",IF($K685="Point",N($L685),IF(N($N685)&gt;0,N($N685),N($L685))))</f>
        <v/>
      </c>
      <c r="AC685" s="22">
        <f>IF(AND($A685="",$B685=""),"",MIN(AB685,IF(N($J685)=0,0,IF(N($J685)=2,AB685,IF(AND($K685&lt;&gt;"Point",N($O685)&gt;0),N($O685),N($M685))))))</f>
        <v/>
      </c>
      <c r="AD685" s="22">
        <f>IF(AND($A685="",$B685=""),"",MAX(0,AB685-AC685))</f>
        <v/>
      </c>
      <c r="AE685" s="21">
        <f>IF(AND($A685="",$B685=""),"",IF(OR($R685&lt;&gt;"",$S685&lt;&gt;""),1,0))</f>
        <v/>
      </c>
      <c r="AF685" s="22">
        <f>IF(AND($A685="",$B685=""),"",IF(Z685=1,IF(AE685=1,N($R685),AD685),0))</f>
        <v/>
      </c>
      <c r="AG685" s="22">
        <f>IF(AND($A685="",$B685=""),"",IF(Z685=1,IF(AE685=1,N($S685),AC685),0))</f>
        <v/>
      </c>
      <c r="AH685" s="21">
        <f>IF(AND($A685="",$B685=""),"",IF(AND(ISNUMBER($I685),N($I685)&gt;0),$I685,0))</f>
        <v/>
      </c>
      <c r="AI685" s="23">
        <f>IF(AND(NOT(AND($A685="",$B685="")),$K685="Point",N($L685)&gt;0),SQRT(N($L685)/PI()),"")</f>
        <v/>
      </c>
      <c r="AJ685" s="21">
        <f>IF(AND($A685="",$B685=""),"",IFERROR(VLOOKUP($G685,Lists!$D$4:$E$15,2,FALSE),"Not reported"))</f>
        <v/>
      </c>
      <c r="AK685" s="21">
        <f>IF(AND($A685="",$B685=""),"",IF($X685&lt;&gt;"",$X685,IF($T685&lt;&gt;"Y","Not assessed",IF(AND(ISNUMBER($V685),Setup!$B$6-$V685&gt;Setup!$B$26),"Assessment outdated",IF(NOT(ISNUMBER($W685)),"Assessed – no score",IF($W685&gt;=Setup!$B$24,"High",IF($W685&gt;=Setup!$B$25,"Moderate","Low")))))))</f>
        <v/>
      </c>
      <c r="AL685" s="21">
        <f>IF(AND($A685="",$B685=""),"",IF(Z685=0,"",IF(AND(AE685=1,N($R685)&gt;AD685*1.01+0.001),"Net terrestrial &gt; gross; ","")&amp;IF(AND(AE685=1,N($S685)&gt;AC685*1.01+0.001),"Net marine &gt; gross; ","")&amp;IF(AE685=0,"No net area – gross used, overlaps may be double-counted; ","")&amp;IF(AH685=0,"STATUS_YR missing – imputed in time series; ","")&amp;IF(AND(ISNUMBER($I685),N($I685)&gt;Setup!$B$6),"STATUS_YR after reporting year; ","")&amp;IF(OR($G685="",$G685="Not Reported"),"GOV_TYPE not reported; ","")&amp;IF(AND(N($J685)=1,$K685="Point",N($M685)&lt;=0),"Coastal point without REP_M_AREA – land/sea split unknown; ","")&amp;IF(AND(N($J685)=0,N($S685)&gt;0),"MARINE=0 but net marine &gt;0; ","")&amp;IF(AND(N($J685)=2,N($R685)&gt;0),"MARINE=2 but net terrestrial &gt;0; ","")&amp;IF($K685="Point","Buffered point – coverage approximate; ","")))</f>
        <v/>
      </c>
    </row>
    <row r="686">
      <c r="A686" s="19" t="n"/>
      <c r="B686" s="19" t="n"/>
      <c r="C686" s="19" t="n"/>
      <c r="D686" s="19" t="n"/>
      <c r="E686" s="19" t="n"/>
      <c r="F686" s="19" t="n"/>
      <c r="G686" s="19" t="n"/>
      <c r="H686" s="19" t="n"/>
      <c r="I686" s="19" t="n"/>
      <c r="J686" s="19" t="n"/>
      <c r="K686" s="19" t="n"/>
      <c r="L686" s="20" t="n"/>
      <c r="M686" s="20" t="n"/>
      <c r="N686" s="20" t="n"/>
      <c r="O686" s="20" t="n"/>
      <c r="P686" s="19" t="n"/>
      <c r="Q686" s="19" t="n"/>
      <c r="R686" s="20" t="n"/>
      <c r="S686" s="20" t="n"/>
      <c r="T686" s="19" t="n"/>
      <c r="U686" s="19" t="n"/>
      <c r="V686" s="19" t="n"/>
      <c r="W686" s="19" t="n"/>
      <c r="X686" s="19" t="n"/>
      <c r="Y686" s="19" t="n"/>
      <c r="Z686" s="21">
        <f>IF(AND($A686="",$B686=""),"",IF(OR($E686="",$H686="",$H686="Proposed",$H686="Not Reported"),0,IF(AND($P686="Y",$Q686&lt;&gt;"Y"),0,IF(AND($K686="Point",N($L686)&lt;=0),0,IF(AND(N($L686)&lt;=0,N($N686)&lt;=0,N($R686)+N($S686)&lt;=0),0,1)))))</f>
        <v/>
      </c>
      <c r="AA686" s="21">
        <f>IF(AND($A686="",$B686=""),"",IF($E686="","Site type missing",IF($H686="","STATUS missing",IF($H686="Proposed","STATUS = Proposed",IF($H686="Not Reported","STATUS = Not Reported",IF(AND($P686="Y",$Q686&lt;&gt;"Y"),"UNESCO-MAB Biosphere Reserve",IF(AND($K686="Point",N($L686)&lt;=0),"Point without REP_AREA",IF(AND(N($L686)&lt;=0,N($N686)&lt;=0,N($R686)+N($S686)&lt;=0),"No area information",""))))))))</f>
        <v/>
      </c>
      <c r="AB686" s="22">
        <f>IF(AND($A686="",$B686=""),"",IF($K686="Point",N($L686),IF(N($N686)&gt;0,N($N686),N($L686))))</f>
        <v/>
      </c>
      <c r="AC686" s="22">
        <f>IF(AND($A686="",$B686=""),"",MIN(AB686,IF(N($J686)=0,0,IF(N($J686)=2,AB686,IF(AND($K686&lt;&gt;"Point",N($O686)&gt;0),N($O686),N($M686))))))</f>
        <v/>
      </c>
      <c r="AD686" s="22">
        <f>IF(AND($A686="",$B686=""),"",MAX(0,AB686-AC686))</f>
        <v/>
      </c>
      <c r="AE686" s="21">
        <f>IF(AND($A686="",$B686=""),"",IF(OR($R686&lt;&gt;"",$S686&lt;&gt;""),1,0))</f>
        <v/>
      </c>
      <c r="AF686" s="22">
        <f>IF(AND($A686="",$B686=""),"",IF(Z686=1,IF(AE686=1,N($R686),AD686),0))</f>
        <v/>
      </c>
      <c r="AG686" s="22">
        <f>IF(AND($A686="",$B686=""),"",IF(Z686=1,IF(AE686=1,N($S686),AC686),0))</f>
        <v/>
      </c>
      <c r="AH686" s="21">
        <f>IF(AND($A686="",$B686=""),"",IF(AND(ISNUMBER($I686),N($I686)&gt;0),$I686,0))</f>
        <v/>
      </c>
      <c r="AI686" s="23">
        <f>IF(AND(NOT(AND($A686="",$B686="")),$K686="Point",N($L686)&gt;0),SQRT(N($L686)/PI()),"")</f>
        <v/>
      </c>
      <c r="AJ686" s="21">
        <f>IF(AND($A686="",$B686=""),"",IFERROR(VLOOKUP($G686,Lists!$D$4:$E$15,2,FALSE),"Not reported"))</f>
        <v/>
      </c>
      <c r="AK686" s="21">
        <f>IF(AND($A686="",$B686=""),"",IF($X686&lt;&gt;"",$X686,IF($T686&lt;&gt;"Y","Not assessed",IF(AND(ISNUMBER($V686),Setup!$B$6-$V686&gt;Setup!$B$26),"Assessment outdated",IF(NOT(ISNUMBER($W686)),"Assessed – no score",IF($W686&gt;=Setup!$B$24,"High",IF($W686&gt;=Setup!$B$25,"Moderate","Low")))))))</f>
        <v/>
      </c>
      <c r="AL686" s="21">
        <f>IF(AND($A686="",$B686=""),"",IF(Z686=0,"",IF(AND(AE686=1,N($R686)&gt;AD686*1.01+0.001),"Net terrestrial &gt; gross; ","")&amp;IF(AND(AE686=1,N($S686)&gt;AC686*1.01+0.001),"Net marine &gt; gross; ","")&amp;IF(AE686=0,"No net area – gross used, overlaps may be double-counted; ","")&amp;IF(AH686=0,"STATUS_YR missing – imputed in time series; ","")&amp;IF(AND(ISNUMBER($I686),N($I686)&gt;Setup!$B$6),"STATUS_YR after reporting year; ","")&amp;IF(OR($G686="",$G686="Not Reported"),"GOV_TYPE not reported; ","")&amp;IF(AND(N($J686)=1,$K686="Point",N($M686)&lt;=0),"Coastal point without REP_M_AREA – land/sea split unknown; ","")&amp;IF(AND(N($J686)=0,N($S686)&gt;0),"MARINE=0 but net marine &gt;0; ","")&amp;IF(AND(N($J686)=2,N($R686)&gt;0),"MARINE=2 but net terrestrial &gt;0; ","")&amp;IF($K686="Point","Buffered point – coverage approximate; ","")))</f>
        <v/>
      </c>
    </row>
    <row r="687">
      <c r="A687" s="19" t="n"/>
      <c r="B687" s="19" t="n"/>
      <c r="C687" s="19" t="n"/>
      <c r="D687" s="19" t="n"/>
      <c r="E687" s="19" t="n"/>
      <c r="F687" s="19" t="n"/>
      <c r="G687" s="19" t="n"/>
      <c r="H687" s="19" t="n"/>
      <c r="I687" s="19" t="n"/>
      <c r="J687" s="19" t="n"/>
      <c r="K687" s="19" t="n"/>
      <c r="L687" s="20" t="n"/>
      <c r="M687" s="20" t="n"/>
      <c r="N687" s="20" t="n"/>
      <c r="O687" s="20" t="n"/>
      <c r="P687" s="19" t="n"/>
      <c r="Q687" s="19" t="n"/>
      <c r="R687" s="20" t="n"/>
      <c r="S687" s="20" t="n"/>
      <c r="T687" s="19" t="n"/>
      <c r="U687" s="19" t="n"/>
      <c r="V687" s="19" t="n"/>
      <c r="W687" s="19" t="n"/>
      <c r="X687" s="19" t="n"/>
      <c r="Y687" s="19" t="n"/>
      <c r="Z687" s="21">
        <f>IF(AND($A687="",$B687=""),"",IF(OR($E687="",$H687="",$H687="Proposed",$H687="Not Reported"),0,IF(AND($P687="Y",$Q687&lt;&gt;"Y"),0,IF(AND($K687="Point",N($L687)&lt;=0),0,IF(AND(N($L687)&lt;=0,N($N687)&lt;=0,N($R687)+N($S687)&lt;=0),0,1)))))</f>
        <v/>
      </c>
      <c r="AA687" s="21">
        <f>IF(AND($A687="",$B687=""),"",IF($E687="","Site type missing",IF($H687="","STATUS missing",IF($H687="Proposed","STATUS = Proposed",IF($H687="Not Reported","STATUS = Not Reported",IF(AND($P687="Y",$Q687&lt;&gt;"Y"),"UNESCO-MAB Biosphere Reserve",IF(AND($K687="Point",N($L687)&lt;=0),"Point without REP_AREA",IF(AND(N($L687)&lt;=0,N($N687)&lt;=0,N($R687)+N($S687)&lt;=0),"No area information",""))))))))</f>
        <v/>
      </c>
      <c r="AB687" s="22">
        <f>IF(AND($A687="",$B687=""),"",IF($K687="Point",N($L687),IF(N($N687)&gt;0,N($N687),N($L687))))</f>
        <v/>
      </c>
      <c r="AC687" s="22">
        <f>IF(AND($A687="",$B687=""),"",MIN(AB687,IF(N($J687)=0,0,IF(N($J687)=2,AB687,IF(AND($K687&lt;&gt;"Point",N($O687)&gt;0),N($O687),N($M687))))))</f>
        <v/>
      </c>
      <c r="AD687" s="22">
        <f>IF(AND($A687="",$B687=""),"",MAX(0,AB687-AC687))</f>
        <v/>
      </c>
      <c r="AE687" s="21">
        <f>IF(AND($A687="",$B687=""),"",IF(OR($R687&lt;&gt;"",$S687&lt;&gt;""),1,0))</f>
        <v/>
      </c>
      <c r="AF687" s="22">
        <f>IF(AND($A687="",$B687=""),"",IF(Z687=1,IF(AE687=1,N($R687),AD687),0))</f>
        <v/>
      </c>
      <c r="AG687" s="22">
        <f>IF(AND($A687="",$B687=""),"",IF(Z687=1,IF(AE687=1,N($S687),AC687),0))</f>
        <v/>
      </c>
      <c r="AH687" s="21">
        <f>IF(AND($A687="",$B687=""),"",IF(AND(ISNUMBER($I687),N($I687)&gt;0),$I687,0))</f>
        <v/>
      </c>
      <c r="AI687" s="23">
        <f>IF(AND(NOT(AND($A687="",$B687="")),$K687="Point",N($L687)&gt;0),SQRT(N($L687)/PI()),"")</f>
        <v/>
      </c>
      <c r="AJ687" s="21">
        <f>IF(AND($A687="",$B687=""),"",IFERROR(VLOOKUP($G687,Lists!$D$4:$E$15,2,FALSE),"Not reported"))</f>
        <v/>
      </c>
      <c r="AK687" s="21">
        <f>IF(AND($A687="",$B687=""),"",IF($X687&lt;&gt;"",$X687,IF($T687&lt;&gt;"Y","Not assessed",IF(AND(ISNUMBER($V687),Setup!$B$6-$V687&gt;Setup!$B$26),"Assessment outdated",IF(NOT(ISNUMBER($W687)),"Assessed – no score",IF($W687&gt;=Setup!$B$24,"High",IF($W687&gt;=Setup!$B$25,"Moderate","Low")))))))</f>
        <v/>
      </c>
      <c r="AL687" s="21">
        <f>IF(AND($A687="",$B687=""),"",IF(Z687=0,"",IF(AND(AE687=1,N($R687)&gt;AD687*1.01+0.001),"Net terrestrial &gt; gross; ","")&amp;IF(AND(AE687=1,N($S687)&gt;AC687*1.01+0.001),"Net marine &gt; gross; ","")&amp;IF(AE687=0,"No net area – gross used, overlaps may be double-counted; ","")&amp;IF(AH687=0,"STATUS_YR missing – imputed in time series; ","")&amp;IF(AND(ISNUMBER($I687),N($I687)&gt;Setup!$B$6),"STATUS_YR after reporting year; ","")&amp;IF(OR($G687="",$G687="Not Reported"),"GOV_TYPE not reported; ","")&amp;IF(AND(N($J687)=1,$K687="Point",N($M687)&lt;=0),"Coastal point without REP_M_AREA – land/sea split unknown; ","")&amp;IF(AND(N($J687)=0,N($S687)&gt;0),"MARINE=0 but net marine &gt;0; ","")&amp;IF(AND(N($J687)=2,N($R687)&gt;0),"MARINE=2 but net terrestrial &gt;0; ","")&amp;IF($K687="Point","Buffered point – coverage approximate; ","")))</f>
        <v/>
      </c>
    </row>
    <row r="688">
      <c r="A688" s="19" t="n"/>
      <c r="B688" s="19" t="n"/>
      <c r="C688" s="19" t="n"/>
      <c r="D688" s="19" t="n"/>
      <c r="E688" s="19" t="n"/>
      <c r="F688" s="19" t="n"/>
      <c r="G688" s="19" t="n"/>
      <c r="H688" s="19" t="n"/>
      <c r="I688" s="19" t="n"/>
      <c r="J688" s="19" t="n"/>
      <c r="K688" s="19" t="n"/>
      <c r="L688" s="20" t="n"/>
      <c r="M688" s="20" t="n"/>
      <c r="N688" s="20" t="n"/>
      <c r="O688" s="20" t="n"/>
      <c r="P688" s="19" t="n"/>
      <c r="Q688" s="19" t="n"/>
      <c r="R688" s="20" t="n"/>
      <c r="S688" s="20" t="n"/>
      <c r="T688" s="19" t="n"/>
      <c r="U688" s="19" t="n"/>
      <c r="V688" s="19" t="n"/>
      <c r="W688" s="19" t="n"/>
      <c r="X688" s="19" t="n"/>
      <c r="Y688" s="19" t="n"/>
      <c r="Z688" s="21">
        <f>IF(AND($A688="",$B688=""),"",IF(OR($E688="",$H688="",$H688="Proposed",$H688="Not Reported"),0,IF(AND($P688="Y",$Q688&lt;&gt;"Y"),0,IF(AND($K688="Point",N($L688)&lt;=0),0,IF(AND(N($L688)&lt;=0,N($N688)&lt;=0,N($R688)+N($S688)&lt;=0),0,1)))))</f>
        <v/>
      </c>
      <c r="AA688" s="21">
        <f>IF(AND($A688="",$B688=""),"",IF($E688="","Site type missing",IF($H688="","STATUS missing",IF($H688="Proposed","STATUS = Proposed",IF($H688="Not Reported","STATUS = Not Reported",IF(AND($P688="Y",$Q688&lt;&gt;"Y"),"UNESCO-MAB Biosphere Reserve",IF(AND($K688="Point",N($L688)&lt;=0),"Point without REP_AREA",IF(AND(N($L688)&lt;=0,N($N688)&lt;=0,N($R688)+N($S688)&lt;=0),"No area information",""))))))))</f>
        <v/>
      </c>
      <c r="AB688" s="22">
        <f>IF(AND($A688="",$B688=""),"",IF($K688="Point",N($L688),IF(N($N688)&gt;0,N($N688),N($L688))))</f>
        <v/>
      </c>
      <c r="AC688" s="22">
        <f>IF(AND($A688="",$B688=""),"",MIN(AB688,IF(N($J688)=0,0,IF(N($J688)=2,AB688,IF(AND($K688&lt;&gt;"Point",N($O688)&gt;0),N($O688),N($M688))))))</f>
        <v/>
      </c>
      <c r="AD688" s="22">
        <f>IF(AND($A688="",$B688=""),"",MAX(0,AB688-AC688))</f>
        <v/>
      </c>
      <c r="AE688" s="21">
        <f>IF(AND($A688="",$B688=""),"",IF(OR($R688&lt;&gt;"",$S688&lt;&gt;""),1,0))</f>
        <v/>
      </c>
      <c r="AF688" s="22">
        <f>IF(AND($A688="",$B688=""),"",IF(Z688=1,IF(AE688=1,N($R688),AD688),0))</f>
        <v/>
      </c>
      <c r="AG688" s="22">
        <f>IF(AND($A688="",$B688=""),"",IF(Z688=1,IF(AE688=1,N($S688),AC688),0))</f>
        <v/>
      </c>
      <c r="AH688" s="21">
        <f>IF(AND($A688="",$B688=""),"",IF(AND(ISNUMBER($I688),N($I688)&gt;0),$I688,0))</f>
        <v/>
      </c>
      <c r="AI688" s="23">
        <f>IF(AND(NOT(AND($A688="",$B688="")),$K688="Point",N($L688)&gt;0),SQRT(N($L688)/PI()),"")</f>
        <v/>
      </c>
      <c r="AJ688" s="21">
        <f>IF(AND($A688="",$B688=""),"",IFERROR(VLOOKUP($G688,Lists!$D$4:$E$15,2,FALSE),"Not reported"))</f>
        <v/>
      </c>
      <c r="AK688" s="21">
        <f>IF(AND($A688="",$B688=""),"",IF($X688&lt;&gt;"",$X688,IF($T688&lt;&gt;"Y","Not assessed",IF(AND(ISNUMBER($V688),Setup!$B$6-$V688&gt;Setup!$B$26),"Assessment outdated",IF(NOT(ISNUMBER($W688)),"Assessed – no score",IF($W688&gt;=Setup!$B$24,"High",IF($W688&gt;=Setup!$B$25,"Moderate","Low")))))))</f>
        <v/>
      </c>
      <c r="AL688" s="21">
        <f>IF(AND($A688="",$B688=""),"",IF(Z688=0,"",IF(AND(AE688=1,N($R688)&gt;AD688*1.01+0.001),"Net terrestrial &gt; gross; ","")&amp;IF(AND(AE688=1,N($S688)&gt;AC688*1.01+0.001),"Net marine &gt; gross; ","")&amp;IF(AE688=0,"No net area – gross used, overlaps may be double-counted; ","")&amp;IF(AH688=0,"STATUS_YR missing – imputed in time series; ","")&amp;IF(AND(ISNUMBER($I688),N($I688)&gt;Setup!$B$6),"STATUS_YR after reporting year; ","")&amp;IF(OR($G688="",$G688="Not Reported"),"GOV_TYPE not reported; ","")&amp;IF(AND(N($J688)=1,$K688="Point",N($M688)&lt;=0),"Coastal point without REP_M_AREA – land/sea split unknown; ","")&amp;IF(AND(N($J688)=0,N($S688)&gt;0),"MARINE=0 but net marine &gt;0; ","")&amp;IF(AND(N($J688)=2,N($R688)&gt;0),"MARINE=2 but net terrestrial &gt;0; ","")&amp;IF($K688="Point","Buffered point – coverage approximate; ","")))</f>
        <v/>
      </c>
    </row>
    <row r="689">
      <c r="A689" s="19" t="n"/>
      <c r="B689" s="19" t="n"/>
      <c r="C689" s="19" t="n"/>
      <c r="D689" s="19" t="n"/>
      <c r="E689" s="19" t="n"/>
      <c r="F689" s="19" t="n"/>
      <c r="G689" s="19" t="n"/>
      <c r="H689" s="19" t="n"/>
      <c r="I689" s="19" t="n"/>
      <c r="J689" s="19" t="n"/>
      <c r="K689" s="19" t="n"/>
      <c r="L689" s="20" t="n"/>
      <c r="M689" s="20" t="n"/>
      <c r="N689" s="20" t="n"/>
      <c r="O689" s="20" t="n"/>
      <c r="P689" s="19" t="n"/>
      <c r="Q689" s="19" t="n"/>
      <c r="R689" s="20" t="n"/>
      <c r="S689" s="20" t="n"/>
      <c r="T689" s="19" t="n"/>
      <c r="U689" s="19" t="n"/>
      <c r="V689" s="19" t="n"/>
      <c r="W689" s="19" t="n"/>
      <c r="X689" s="19" t="n"/>
      <c r="Y689" s="19" t="n"/>
      <c r="Z689" s="21">
        <f>IF(AND($A689="",$B689=""),"",IF(OR($E689="",$H689="",$H689="Proposed",$H689="Not Reported"),0,IF(AND($P689="Y",$Q689&lt;&gt;"Y"),0,IF(AND($K689="Point",N($L689)&lt;=0),0,IF(AND(N($L689)&lt;=0,N($N689)&lt;=0,N($R689)+N($S689)&lt;=0),0,1)))))</f>
        <v/>
      </c>
      <c r="AA689" s="21">
        <f>IF(AND($A689="",$B689=""),"",IF($E689="","Site type missing",IF($H689="","STATUS missing",IF($H689="Proposed","STATUS = Proposed",IF($H689="Not Reported","STATUS = Not Reported",IF(AND($P689="Y",$Q689&lt;&gt;"Y"),"UNESCO-MAB Biosphere Reserve",IF(AND($K689="Point",N($L689)&lt;=0),"Point without REP_AREA",IF(AND(N($L689)&lt;=0,N($N689)&lt;=0,N($R689)+N($S689)&lt;=0),"No area information",""))))))))</f>
        <v/>
      </c>
      <c r="AB689" s="22">
        <f>IF(AND($A689="",$B689=""),"",IF($K689="Point",N($L689),IF(N($N689)&gt;0,N($N689),N($L689))))</f>
        <v/>
      </c>
      <c r="AC689" s="22">
        <f>IF(AND($A689="",$B689=""),"",MIN(AB689,IF(N($J689)=0,0,IF(N($J689)=2,AB689,IF(AND($K689&lt;&gt;"Point",N($O689)&gt;0),N($O689),N($M689))))))</f>
        <v/>
      </c>
      <c r="AD689" s="22">
        <f>IF(AND($A689="",$B689=""),"",MAX(0,AB689-AC689))</f>
        <v/>
      </c>
      <c r="AE689" s="21">
        <f>IF(AND($A689="",$B689=""),"",IF(OR($R689&lt;&gt;"",$S689&lt;&gt;""),1,0))</f>
        <v/>
      </c>
      <c r="AF689" s="22">
        <f>IF(AND($A689="",$B689=""),"",IF(Z689=1,IF(AE689=1,N($R689),AD689),0))</f>
        <v/>
      </c>
      <c r="AG689" s="22">
        <f>IF(AND($A689="",$B689=""),"",IF(Z689=1,IF(AE689=1,N($S689),AC689),0))</f>
        <v/>
      </c>
      <c r="AH689" s="21">
        <f>IF(AND($A689="",$B689=""),"",IF(AND(ISNUMBER($I689),N($I689)&gt;0),$I689,0))</f>
        <v/>
      </c>
      <c r="AI689" s="23">
        <f>IF(AND(NOT(AND($A689="",$B689="")),$K689="Point",N($L689)&gt;0),SQRT(N($L689)/PI()),"")</f>
        <v/>
      </c>
      <c r="AJ689" s="21">
        <f>IF(AND($A689="",$B689=""),"",IFERROR(VLOOKUP($G689,Lists!$D$4:$E$15,2,FALSE),"Not reported"))</f>
        <v/>
      </c>
      <c r="AK689" s="21">
        <f>IF(AND($A689="",$B689=""),"",IF($X689&lt;&gt;"",$X689,IF($T689&lt;&gt;"Y","Not assessed",IF(AND(ISNUMBER($V689),Setup!$B$6-$V689&gt;Setup!$B$26),"Assessment outdated",IF(NOT(ISNUMBER($W689)),"Assessed – no score",IF($W689&gt;=Setup!$B$24,"High",IF($W689&gt;=Setup!$B$25,"Moderate","Low")))))))</f>
        <v/>
      </c>
      <c r="AL689" s="21">
        <f>IF(AND($A689="",$B689=""),"",IF(Z689=0,"",IF(AND(AE689=1,N($R689)&gt;AD689*1.01+0.001),"Net terrestrial &gt; gross; ","")&amp;IF(AND(AE689=1,N($S689)&gt;AC689*1.01+0.001),"Net marine &gt; gross; ","")&amp;IF(AE689=0,"No net area – gross used, overlaps may be double-counted; ","")&amp;IF(AH689=0,"STATUS_YR missing – imputed in time series; ","")&amp;IF(AND(ISNUMBER($I689),N($I689)&gt;Setup!$B$6),"STATUS_YR after reporting year; ","")&amp;IF(OR($G689="",$G689="Not Reported"),"GOV_TYPE not reported; ","")&amp;IF(AND(N($J689)=1,$K689="Point",N($M689)&lt;=0),"Coastal point without REP_M_AREA – land/sea split unknown; ","")&amp;IF(AND(N($J689)=0,N($S689)&gt;0),"MARINE=0 but net marine &gt;0; ","")&amp;IF(AND(N($J689)=2,N($R689)&gt;0),"MARINE=2 but net terrestrial &gt;0; ","")&amp;IF($K689="Point","Buffered point – coverage approximate; ","")))</f>
        <v/>
      </c>
    </row>
    <row r="690">
      <c r="A690" s="19" t="n"/>
      <c r="B690" s="19" t="n"/>
      <c r="C690" s="19" t="n"/>
      <c r="D690" s="19" t="n"/>
      <c r="E690" s="19" t="n"/>
      <c r="F690" s="19" t="n"/>
      <c r="G690" s="19" t="n"/>
      <c r="H690" s="19" t="n"/>
      <c r="I690" s="19" t="n"/>
      <c r="J690" s="19" t="n"/>
      <c r="K690" s="19" t="n"/>
      <c r="L690" s="20" t="n"/>
      <c r="M690" s="20" t="n"/>
      <c r="N690" s="20" t="n"/>
      <c r="O690" s="20" t="n"/>
      <c r="P690" s="19" t="n"/>
      <c r="Q690" s="19" t="n"/>
      <c r="R690" s="20" t="n"/>
      <c r="S690" s="20" t="n"/>
      <c r="T690" s="19" t="n"/>
      <c r="U690" s="19" t="n"/>
      <c r="V690" s="19" t="n"/>
      <c r="W690" s="19" t="n"/>
      <c r="X690" s="19" t="n"/>
      <c r="Y690" s="19" t="n"/>
      <c r="Z690" s="21">
        <f>IF(AND($A690="",$B690=""),"",IF(OR($E690="",$H690="",$H690="Proposed",$H690="Not Reported"),0,IF(AND($P690="Y",$Q690&lt;&gt;"Y"),0,IF(AND($K690="Point",N($L690)&lt;=0),0,IF(AND(N($L690)&lt;=0,N($N690)&lt;=0,N($R690)+N($S690)&lt;=0),0,1)))))</f>
        <v/>
      </c>
      <c r="AA690" s="21">
        <f>IF(AND($A690="",$B690=""),"",IF($E690="","Site type missing",IF($H690="","STATUS missing",IF($H690="Proposed","STATUS = Proposed",IF($H690="Not Reported","STATUS = Not Reported",IF(AND($P690="Y",$Q690&lt;&gt;"Y"),"UNESCO-MAB Biosphere Reserve",IF(AND($K690="Point",N($L690)&lt;=0),"Point without REP_AREA",IF(AND(N($L690)&lt;=0,N($N690)&lt;=0,N($R690)+N($S690)&lt;=0),"No area information",""))))))))</f>
        <v/>
      </c>
      <c r="AB690" s="22">
        <f>IF(AND($A690="",$B690=""),"",IF($K690="Point",N($L690),IF(N($N690)&gt;0,N($N690),N($L690))))</f>
        <v/>
      </c>
      <c r="AC690" s="22">
        <f>IF(AND($A690="",$B690=""),"",MIN(AB690,IF(N($J690)=0,0,IF(N($J690)=2,AB690,IF(AND($K690&lt;&gt;"Point",N($O690)&gt;0),N($O690),N($M690))))))</f>
        <v/>
      </c>
      <c r="AD690" s="22">
        <f>IF(AND($A690="",$B690=""),"",MAX(0,AB690-AC690))</f>
        <v/>
      </c>
      <c r="AE690" s="21">
        <f>IF(AND($A690="",$B690=""),"",IF(OR($R690&lt;&gt;"",$S690&lt;&gt;""),1,0))</f>
        <v/>
      </c>
      <c r="AF690" s="22">
        <f>IF(AND($A690="",$B690=""),"",IF(Z690=1,IF(AE690=1,N($R690),AD690),0))</f>
        <v/>
      </c>
      <c r="AG690" s="22">
        <f>IF(AND($A690="",$B690=""),"",IF(Z690=1,IF(AE690=1,N($S690),AC690),0))</f>
        <v/>
      </c>
      <c r="AH690" s="21">
        <f>IF(AND($A690="",$B690=""),"",IF(AND(ISNUMBER($I690),N($I690)&gt;0),$I690,0))</f>
        <v/>
      </c>
      <c r="AI690" s="23">
        <f>IF(AND(NOT(AND($A690="",$B690="")),$K690="Point",N($L690)&gt;0),SQRT(N($L690)/PI()),"")</f>
        <v/>
      </c>
      <c r="AJ690" s="21">
        <f>IF(AND($A690="",$B690=""),"",IFERROR(VLOOKUP($G690,Lists!$D$4:$E$15,2,FALSE),"Not reported"))</f>
        <v/>
      </c>
      <c r="AK690" s="21">
        <f>IF(AND($A690="",$B690=""),"",IF($X690&lt;&gt;"",$X690,IF($T690&lt;&gt;"Y","Not assessed",IF(AND(ISNUMBER($V690),Setup!$B$6-$V690&gt;Setup!$B$26),"Assessment outdated",IF(NOT(ISNUMBER($W690)),"Assessed – no score",IF($W690&gt;=Setup!$B$24,"High",IF($W690&gt;=Setup!$B$25,"Moderate","Low")))))))</f>
        <v/>
      </c>
      <c r="AL690" s="21">
        <f>IF(AND($A690="",$B690=""),"",IF(Z690=0,"",IF(AND(AE690=1,N($R690)&gt;AD690*1.01+0.001),"Net terrestrial &gt; gross; ","")&amp;IF(AND(AE690=1,N($S690)&gt;AC690*1.01+0.001),"Net marine &gt; gross; ","")&amp;IF(AE690=0,"No net area – gross used, overlaps may be double-counted; ","")&amp;IF(AH690=0,"STATUS_YR missing – imputed in time series; ","")&amp;IF(AND(ISNUMBER($I690),N($I690)&gt;Setup!$B$6),"STATUS_YR after reporting year; ","")&amp;IF(OR($G690="",$G690="Not Reported"),"GOV_TYPE not reported; ","")&amp;IF(AND(N($J690)=1,$K690="Point",N($M690)&lt;=0),"Coastal point without REP_M_AREA – land/sea split unknown; ","")&amp;IF(AND(N($J690)=0,N($S690)&gt;0),"MARINE=0 but net marine &gt;0; ","")&amp;IF(AND(N($J690)=2,N($R690)&gt;0),"MARINE=2 but net terrestrial &gt;0; ","")&amp;IF($K690="Point","Buffered point – coverage approximate; ","")))</f>
        <v/>
      </c>
    </row>
    <row r="691">
      <c r="A691" s="19" t="n"/>
      <c r="B691" s="19" t="n"/>
      <c r="C691" s="19" t="n"/>
      <c r="D691" s="19" t="n"/>
      <c r="E691" s="19" t="n"/>
      <c r="F691" s="19" t="n"/>
      <c r="G691" s="19" t="n"/>
      <c r="H691" s="19" t="n"/>
      <c r="I691" s="19" t="n"/>
      <c r="J691" s="19" t="n"/>
      <c r="K691" s="19" t="n"/>
      <c r="L691" s="20" t="n"/>
      <c r="M691" s="20" t="n"/>
      <c r="N691" s="20" t="n"/>
      <c r="O691" s="20" t="n"/>
      <c r="P691" s="19" t="n"/>
      <c r="Q691" s="19" t="n"/>
      <c r="R691" s="20" t="n"/>
      <c r="S691" s="20" t="n"/>
      <c r="T691" s="19" t="n"/>
      <c r="U691" s="19" t="n"/>
      <c r="V691" s="19" t="n"/>
      <c r="W691" s="19" t="n"/>
      <c r="X691" s="19" t="n"/>
      <c r="Y691" s="19" t="n"/>
      <c r="Z691" s="21">
        <f>IF(AND($A691="",$B691=""),"",IF(OR($E691="",$H691="",$H691="Proposed",$H691="Not Reported"),0,IF(AND($P691="Y",$Q691&lt;&gt;"Y"),0,IF(AND($K691="Point",N($L691)&lt;=0),0,IF(AND(N($L691)&lt;=0,N($N691)&lt;=0,N($R691)+N($S691)&lt;=0),0,1)))))</f>
        <v/>
      </c>
      <c r="AA691" s="21">
        <f>IF(AND($A691="",$B691=""),"",IF($E691="","Site type missing",IF($H691="","STATUS missing",IF($H691="Proposed","STATUS = Proposed",IF($H691="Not Reported","STATUS = Not Reported",IF(AND($P691="Y",$Q691&lt;&gt;"Y"),"UNESCO-MAB Biosphere Reserve",IF(AND($K691="Point",N($L691)&lt;=0),"Point without REP_AREA",IF(AND(N($L691)&lt;=0,N($N691)&lt;=0,N($R691)+N($S691)&lt;=0),"No area information",""))))))))</f>
        <v/>
      </c>
      <c r="AB691" s="22">
        <f>IF(AND($A691="",$B691=""),"",IF($K691="Point",N($L691),IF(N($N691)&gt;0,N($N691),N($L691))))</f>
        <v/>
      </c>
      <c r="AC691" s="22">
        <f>IF(AND($A691="",$B691=""),"",MIN(AB691,IF(N($J691)=0,0,IF(N($J691)=2,AB691,IF(AND($K691&lt;&gt;"Point",N($O691)&gt;0),N($O691),N($M691))))))</f>
        <v/>
      </c>
      <c r="AD691" s="22">
        <f>IF(AND($A691="",$B691=""),"",MAX(0,AB691-AC691))</f>
        <v/>
      </c>
      <c r="AE691" s="21">
        <f>IF(AND($A691="",$B691=""),"",IF(OR($R691&lt;&gt;"",$S691&lt;&gt;""),1,0))</f>
        <v/>
      </c>
      <c r="AF691" s="22">
        <f>IF(AND($A691="",$B691=""),"",IF(Z691=1,IF(AE691=1,N($R691),AD691),0))</f>
        <v/>
      </c>
      <c r="AG691" s="22">
        <f>IF(AND($A691="",$B691=""),"",IF(Z691=1,IF(AE691=1,N($S691),AC691),0))</f>
        <v/>
      </c>
      <c r="AH691" s="21">
        <f>IF(AND($A691="",$B691=""),"",IF(AND(ISNUMBER($I691),N($I691)&gt;0),$I691,0))</f>
        <v/>
      </c>
      <c r="AI691" s="23">
        <f>IF(AND(NOT(AND($A691="",$B691="")),$K691="Point",N($L691)&gt;0),SQRT(N($L691)/PI()),"")</f>
        <v/>
      </c>
      <c r="AJ691" s="21">
        <f>IF(AND($A691="",$B691=""),"",IFERROR(VLOOKUP($G691,Lists!$D$4:$E$15,2,FALSE),"Not reported"))</f>
        <v/>
      </c>
      <c r="AK691" s="21">
        <f>IF(AND($A691="",$B691=""),"",IF($X691&lt;&gt;"",$X691,IF($T691&lt;&gt;"Y","Not assessed",IF(AND(ISNUMBER($V691),Setup!$B$6-$V691&gt;Setup!$B$26),"Assessment outdated",IF(NOT(ISNUMBER($W691)),"Assessed – no score",IF($W691&gt;=Setup!$B$24,"High",IF($W691&gt;=Setup!$B$25,"Moderate","Low")))))))</f>
        <v/>
      </c>
      <c r="AL691" s="21">
        <f>IF(AND($A691="",$B691=""),"",IF(Z691=0,"",IF(AND(AE691=1,N($R691)&gt;AD691*1.01+0.001),"Net terrestrial &gt; gross; ","")&amp;IF(AND(AE691=1,N($S691)&gt;AC691*1.01+0.001),"Net marine &gt; gross; ","")&amp;IF(AE691=0,"No net area – gross used, overlaps may be double-counted; ","")&amp;IF(AH691=0,"STATUS_YR missing – imputed in time series; ","")&amp;IF(AND(ISNUMBER($I691),N($I691)&gt;Setup!$B$6),"STATUS_YR after reporting year; ","")&amp;IF(OR($G691="",$G691="Not Reported"),"GOV_TYPE not reported; ","")&amp;IF(AND(N($J691)=1,$K691="Point",N($M691)&lt;=0),"Coastal point without REP_M_AREA – land/sea split unknown; ","")&amp;IF(AND(N($J691)=0,N($S691)&gt;0),"MARINE=0 but net marine &gt;0; ","")&amp;IF(AND(N($J691)=2,N($R691)&gt;0),"MARINE=2 but net terrestrial &gt;0; ","")&amp;IF($K691="Point","Buffered point – coverage approximate; ","")))</f>
        <v/>
      </c>
    </row>
    <row r="692">
      <c r="A692" s="19" t="n"/>
      <c r="B692" s="19" t="n"/>
      <c r="C692" s="19" t="n"/>
      <c r="D692" s="19" t="n"/>
      <c r="E692" s="19" t="n"/>
      <c r="F692" s="19" t="n"/>
      <c r="G692" s="19" t="n"/>
      <c r="H692" s="19" t="n"/>
      <c r="I692" s="19" t="n"/>
      <c r="J692" s="19" t="n"/>
      <c r="K692" s="19" t="n"/>
      <c r="L692" s="20" t="n"/>
      <c r="M692" s="20" t="n"/>
      <c r="N692" s="20" t="n"/>
      <c r="O692" s="20" t="n"/>
      <c r="P692" s="19" t="n"/>
      <c r="Q692" s="19" t="n"/>
      <c r="R692" s="20" t="n"/>
      <c r="S692" s="20" t="n"/>
      <c r="T692" s="19" t="n"/>
      <c r="U692" s="19" t="n"/>
      <c r="V692" s="19" t="n"/>
      <c r="W692" s="19" t="n"/>
      <c r="X692" s="19" t="n"/>
      <c r="Y692" s="19" t="n"/>
      <c r="Z692" s="21">
        <f>IF(AND($A692="",$B692=""),"",IF(OR($E692="",$H692="",$H692="Proposed",$H692="Not Reported"),0,IF(AND($P692="Y",$Q692&lt;&gt;"Y"),0,IF(AND($K692="Point",N($L692)&lt;=0),0,IF(AND(N($L692)&lt;=0,N($N692)&lt;=0,N($R692)+N($S692)&lt;=0),0,1)))))</f>
        <v/>
      </c>
      <c r="AA692" s="21">
        <f>IF(AND($A692="",$B692=""),"",IF($E692="","Site type missing",IF($H692="","STATUS missing",IF($H692="Proposed","STATUS = Proposed",IF($H692="Not Reported","STATUS = Not Reported",IF(AND($P692="Y",$Q692&lt;&gt;"Y"),"UNESCO-MAB Biosphere Reserve",IF(AND($K692="Point",N($L692)&lt;=0),"Point without REP_AREA",IF(AND(N($L692)&lt;=0,N($N692)&lt;=0,N($R692)+N($S692)&lt;=0),"No area information",""))))))))</f>
        <v/>
      </c>
      <c r="AB692" s="22">
        <f>IF(AND($A692="",$B692=""),"",IF($K692="Point",N($L692),IF(N($N692)&gt;0,N($N692),N($L692))))</f>
        <v/>
      </c>
      <c r="AC692" s="22">
        <f>IF(AND($A692="",$B692=""),"",MIN(AB692,IF(N($J692)=0,0,IF(N($J692)=2,AB692,IF(AND($K692&lt;&gt;"Point",N($O692)&gt;0),N($O692),N($M692))))))</f>
        <v/>
      </c>
      <c r="AD692" s="22">
        <f>IF(AND($A692="",$B692=""),"",MAX(0,AB692-AC692))</f>
        <v/>
      </c>
      <c r="AE692" s="21">
        <f>IF(AND($A692="",$B692=""),"",IF(OR($R692&lt;&gt;"",$S692&lt;&gt;""),1,0))</f>
        <v/>
      </c>
      <c r="AF692" s="22">
        <f>IF(AND($A692="",$B692=""),"",IF(Z692=1,IF(AE692=1,N($R692),AD692),0))</f>
        <v/>
      </c>
      <c r="AG692" s="22">
        <f>IF(AND($A692="",$B692=""),"",IF(Z692=1,IF(AE692=1,N($S692),AC692),0))</f>
        <v/>
      </c>
      <c r="AH692" s="21">
        <f>IF(AND($A692="",$B692=""),"",IF(AND(ISNUMBER($I692),N($I692)&gt;0),$I692,0))</f>
        <v/>
      </c>
      <c r="AI692" s="23">
        <f>IF(AND(NOT(AND($A692="",$B692="")),$K692="Point",N($L692)&gt;0),SQRT(N($L692)/PI()),"")</f>
        <v/>
      </c>
      <c r="AJ692" s="21">
        <f>IF(AND($A692="",$B692=""),"",IFERROR(VLOOKUP($G692,Lists!$D$4:$E$15,2,FALSE),"Not reported"))</f>
        <v/>
      </c>
      <c r="AK692" s="21">
        <f>IF(AND($A692="",$B692=""),"",IF($X692&lt;&gt;"",$X692,IF($T692&lt;&gt;"Y","Not assessed",IF(AND(ISNUMBER($V692),Setup!$B$6-$V692&gt;Setup!$B$26),"Assessment outdated",IF(NOT(ISNUMBER($W692)),"Assessed – no score",IF($W692&gt;=Setup!$B$24,"High",IF($W692&gt;=Setup!$B$25,"Moderate","Low")))))))</f>
        <v/>
      </c>
      <c r="AL692" s="21">
        <f>IF(AND($A692="",$B692=""),"",IF(Z692=0,"",IF(AND(AE692=1,N($R692)&gt;AD692*1.01+0.001),"Net terrestrial &gt; gross; ","")&amp;IF(AND(AE692=1,N($S692)&gt;AC692*1.01+0.001),"Net marine &gt; gross; ","")&amp;IF(AE692=0,"No net area – gross used, overlaps may be double-counted; ","")&amp;IF(AH692=0,"STATUS_YR missing – imputed in time series; ","")&amp;IF(AND(ISNUMBER($I692),N($I692)&gt;Setup!$B$6),"STATUS_YR after reporting year; ","")&amp;IF(OR($G692="",$G692="Not Reported"),"GOV_TYPE not reported; ","")&amp;IF(AND(N($J692)=1,$K692="Point",N($M692)&lt;=0),"Coastal point without REP_M_AREA – land/sea split unknown; ","")&amp;IF(AND(N($J692)=0,N($S692)&gt;0),"MARINE=0 but net marine &gt;0; ","")&amp;IF(AND(N($J692)=2,N($R692)&gt;0),"MARINE=2 but net terrestrial &gt;0; ","")&amp;IF($K692="Point","Buffered point – coverage approximate; ","")))</f>
        <v/>
      </c>
    </row>
    <row r="693">
      <c r="A693" s="19" t="n"/>
      <c r="B693" s="19" t="n"/>
      <c r="C693" s="19" t="n"/>
      <c r="D693" s="19" t="n"/>
      <c r="E693" s="19" t="n"/>
      <c r="F693" s="19" t="n"/>
      <c r="G693" s="19" t="n"/>
      <c r="H693" s="19" t="n"/>
      <c r="I693" s="19" t="n"/>
      <c r="J693" s="19" t="n"/>
      <c r="K693" s="19" t="n"/>
      <c r="L693" s="20" t="n"/>
      <c r="M693" s="20" t="n"/>
      <c r="N693" s="20" t="n"/>
      <c r="O693" s="20" t="n"/>
      <c r="P693" s="19" t="n"/>
      <c r="Q693" s="19" t="n"/>
      <c r="R693" s="20" t="n"/>
      <c r="S693" s="20" t="n"/>
      <c r="T693" s="19" t="n"/>
      <c r="U693" s="19" t="n"/>
      <c r="V693" s="19" t="n"/>
      <c r="W693" s="19" t="n"/>
      <c r="X693" s="19" t="n"/>
      <c r="Y693" s="19" t="n"/>
      <c r="Z693" s="21">
        <f>IF(AND($A693="",$B693=""),"",IF(OR($E693="",$H693="",$H693="Proposed",$H693="Not Reported"),0,IF(AND($P693="Y",$Q693&lt;&gt;"Y"),0,IF(AND($K693="Point",N($L693)&lt;=0),0,IF(AND(N($L693)&lt;=0,N($N693)&lt;=0,N($R693)+N($S693)&lt;=0),0,1)))))</f>
        <v/>
      </c>
      <c r="AA693" s="21">
        <f>IF(AND($A693="",$B693=""),"",IF($E693="","Site type missing",IF($H693="","STATUS missing",IF($H693="Proposed","STATUS = Proposed",IF($H693="Not Reported","STATUS = Not Reported",IF(AND($P693="Y",$Q693&lt;&gt;"Y"),"UNESCO-MAB Biosphere Reserve",IF(AND($K693="Point",N($L693)&lt;=0),"Point without REP_AREA",IF(AND(N($L693)&lt;=0,N($N693)&lt;=0,N($R693)+N($S693)&lt;=0),"No area information",""))))))))</f>
        <v/>
      </c>
      <c r="AB693" s="22">
        <f>IF(AND($A693="",$B693=""),"",IF($K693="Point",N($L693),IF(N($N693)&gt;0,N($N693),N($L693))))</f>
        <v/>
      </c>
      <c r="AC693" s="22">
        <f>IF(AND($A693="",$B693=""),"",MIN(AB693,IF(N($J693)=0,0,IF(N($J693)=2,AB693,IF(AND($K693&lt;&gt;"Point",N($O693)&gt;0),N($O693),N($M693))))))</f>
        <v/>
      </c>
      <c r="AD693" s="22">
        <f>IF(AND($A693="",$B693=""),"",MAX(0,AB693-AC693))</f>
        <v/>
      </c>
      <c r="AE693" s="21">
        <f>IF(AND($A693="",$B693=""),"",IF(OR($R693&lt;&gt;"",$S693&lt;&gt;""),1,0))</f>
        <v/>
      </c>
      <c r="AF693" s="22">
        <f>IF(AND($A693="",$B693=""),"",IF(Z693=1,IF(AE693=1,N($R693),AD693),0))</f>
        <v/>
      </c>
      <c r="AG693" s="22">
        <f>IF(AND($A693="",$B693=""),"",IF(Z693=1,IF(AE693=1,N($S693),AC693),0))</f>
        <v/>
      </c>
      <c r="AH693" s="21">
        <f>IF(AND($A693="",$B693=""),"",IF(AND(ISNUMBER($I693),N($I693)&gt;0),$I693,0))</f>
        <v/>
      </c>
      <c r="AI693" s="23">
        <f>IF(AND(NOT(AND($A693="",$B693="")),$K693="Point",N($L693)&gt;0),SQRT(N($L693)/PI()),"")</f>
        <v/>
      </c>
      <c r="AJ693" s="21">
        <f>IF(AND($A693="",$B693=""),"",IFERROR(VLOOKUP($G693,Lists!$D$4:$E$15,2,FALSE),"Not reported"))</f>
        <v/>
      </c>
      <c r="AK693" s="21">
        <f>IF(AND($A693="",$B693=""),"",IF($X693&lt;&gt;"",$X693,IF($T693&lt;&gt;"Y","Not assessed",IF(AND(ISNUMBER($V693),Setup!$B$6-$V693&gt;Setup!$B$26),"Assessment outdated",IF(NOT(ISNUMBER($W693)),"Assessed – no score",IF($W693&gt;=Setup!$B$24,"High",IF($W693&gt;=Setup!$B$25,"Moderate","Low")))))))</f>
        <v/>
      </c>
      <c r="AL693" s="21">
        <f>IF(AND($A693="",$B693=""),"",IF(Z693=0,"",IF(AND(AE693=1,N($R693)&gt;AD693*1.01+0.001),"Net terrestrial &gt; gross; ","")&amp;IF(AND(AE693=1,N($S693)&gt;AC693*1.01+0.001),"Net marine &gt; gross; ","")&amp;IF(AE693=0,"No net area – gross used, overlaps may be double-counted; ","")&amp;IF(AH693=0,"STATUS_YR missing – imputed in time series; ","")&amp;IF(AND(ISNUMBER($I693),N($I693)&gt;Setup!$B$6),"STATUS_YR after reporting year; ","")&amp;IF(OR($G693="",$G693="Not Reported"),"GOV_TYPE not reported; ","")&amp;IF(AND(N($J693)=1,$K693="Point",N($M693)&lt;=0),"Coastal point without REP_M_AREA – land/sea split unknown; ","")&amp;IF(AND(N($J693)=0,N($S693)&gt;0),"MARINE=0 but net marine &gt;0; ","")&amp;IF(AND(N($J693)=2,N($R693)&gt;0),"MARINE=2 but net terrestrial &gt;0; ","")&amp;IF($K693="Point","Buffered point – coverage approximate; ","")))</f>
        <v/>
      </c>
    </row>
    <row r="694">
      <c r="A694" s="19" t="n"/>
      <c r="B694" s="19" t="n"/>
      <c r="C694" s="19" t="n"/>
      <c r="D694" s="19" t="n"/>
      <c r="E694" s="19" t="n"/>
      <c r="F694" s="19" t="n"/>
      <c r="G694" s="19" t="n"/>
      <c r="H694" s="19" t="n"/>
      <c r="I694" s="19" t="n"/>
      <c r="J694" s="19" t="n"/>
      <c r="K694" s="19" t="n"/>
      <c r="L694" s="20" t="n"/>
      <c r="M694" s="20" t="n"/>
      <c r="N694" s="20" t="n"/>
      <c r="O694" s="20" t="n"/>
      <c r="P694" s="19" t="n"/>
      <c r="Q694" s="19" t="n"/>
      <c r="R694" s="20" t="n"/>
      <c r="S694" s="20" t="n"/>
      <c r="T694" s="19" t="n"/>
      <c r="U694" s="19" t="n"/>
      <c r="V694" s="19" t="n"/>
      <c r="W694" s="19" t="n"/>
      <c r="X694" s="19" t="n"/>
      <c r="Y694" s="19" t="n"/>
      <c r="Z694" s="21">
        <f>IF(AND($A694="",$B694=""),"",IF(OR($E694="",$H694="",$H694="Proposed",$H694="Not Reported"),0,IF(AND($P694="Y",$Q694&lt;&gt;"Y"),0,IF(AND($K694="Point",N($L694)&lt;=0),0,IF(AND(N($L694)&lt;=0,N($N694)&lt;=0,N($R694)+N($S694)&lt;=0),0,1)))))</f>
        <v/>
      </c>
      <c r="AA694" s="21">
        <f>IF(AND($A694="",$B694=""),"",IF($E694="","Site type missing",IF($H694="","STATUS missing",IF($H694="Proposed","STATUS = Proposed",IF($H694="Not Reported","STATUS = Not Reported",IF(AND($P694="Y",$Q694&lt;&gt;"Y"),"UNESCO-MAB Biosphere Reserve",IF(AND($K694="Point",N($L694)&lt;=0),"Point without REP_AREA",IF(AND(N($L694)&lt;=0,N($N694)&lt;=0,N($R694)+N($S694)&lt;=0),"No area information",""))))))))</f>
        <v/>
      </c>
      <c r="AB694" s="22">
        <f>IF(AND($A694="",$B694=""),"",IF($K694="Point",N($L694),IF(N($N694)&gt;0,N($N694),N($L694))))</f>
        <v/>
      </c>
      <c r="AC694" s="22">
        <f>IF(AND($A694="",$B694=""),"",MIN(AB694,IF(N($J694)=0,0,IF(N($J694)=2,AB694,IF(AND($K694&lt;&gt;"Point",N($O694)&gt;0),N($O694),N($M694))))))</f>
        <v/>
      </c>
      <c r="AD694" s="22">
        <f>IF(AND($A694="",$B694=""),"",MAX(0,AB694-AC694))</f>
        <v/>
      </c>
      <c r="AE694" s="21">
        <f>IF(AND($A694="",$B694=""),"",IF(OR($R694&lt;&gt;"",$S694&lt;&gt;""),1,0))</f>
        <v/>
      </c>
      <c r="AF694" s="22">
        <f>IF(AND($A694="",$B694=""),"",IF(Z694=1,IF(AE694=1,N($R694),AD694),0))</f>
        <v/>
      </c>
      <c r="AG694" s="22">
        <f>IF(AND($A694="",$B694=""),"",IF(Z694=1,IF(AE694=1,N($S694),AC694),0))</f>
        <v/>
      </c>
      <c r="AH694" s="21">
        <f>IF(AND($A694="",$B694=""),"",IF(AND(ISNUMBER($I694),N($I694)&gt;0),$I694,0))</f>
        <v/>
      </c>
      <c r="AI694" s="23">
        <f>IF(AND(NOT(AND($A694="",$B694="")),$K694="Point",N($L694)&gt;0),SQRT(N($L694)/PI()),"")</f>
        <v/>
      </c>
      <c r="AJ694" s="21">
        <f>IF(AND($A694="",$B694=""),"",IFERROR(VLOOKUP($G694,Lists!$D$4:$E$15,2,FALSE),"Not reported"))</f>
        <v/>
      </c>
      <c r="AK694" s="21">
        <f>IF(AND($A694="",$B694=""),"",IF($X694&lt;&gt;"",$X694,IF($T694&lt;&gt;"Y","Not assessed",IF(AND(ISNUMBER($V694),Setup!$B$6-$V694&gt;Setup!$B$26),"Assessment outdated",IF(NOT(ISNUMBER($W694)),"Assessed – no score",IF($W694&gt;=Setup!$B$24,"High",IF($W694&gt;=Setup!$B$25,"Moderate","Low")))))))</f>
        <v/>
      </c>
      <c r="AL694" s="21">
        <f>IF(AND($A694="",$B694=""),"",IF(Z694=0,"",IF(AND(AE694=1,N($R694)&gt;AD694*1.01+0.001),"Net terrestrial &gt; gross; ","")&amp;IF(AND(AE694=1,N($S694)&gt;AC694*1.01+0.001),"Net marine &gt; gross; ","")&amp;IF(AE694=0,"No net area – gross used, overlaps may be double-counted; ","")&amp;IF(AH694=0,"STATUS_YR missing – imputed in time series; ","")&amp;IF(AND(ISNUMBER($I694),N($I694)&gt;Setup!$B$6),"STATUS_YR after reporting year; ","")&amp;IF(OR($G694="",$G694="Not Reported"),"GOV_TYPE not reported; ","")&amp;IF(AND(N($J694)=1,$K694="Point",N($M694)&lt;=0),"Coastal point without REP_M_AREA – land/sea split unknown; ","")&amp;IF(AND(N($J694)=0,N($S694)&gt;0),"MARINE=0 but net marine &gt;0; ","")&amp;IF(AND(N($J694)=2,N($R694)&gt;0),"MARINE=2 but net terrestrial &gt;0; ","")&amp;IF($K694="Point","Buffered point – coverage approximate; ","")))</f>
        <v/>
      </c>
    </row>
    <row r="695">
      <c r="A695" s="19" t="n"/>
      <c r="B695" s="19" t="n"/>
      <c r="C695" s="19" t="n"/>
      <c r="D695" s="19" t="n"/>
      <c r="E695" s="19" t="n"/>
      <c r="F695" s="19" t="n"/>
      <c r="G695" s="19" t="n"/>
      <c r="H695" s="19" t="n"/>
      <c r="I695" s="19" t="n"/>
      <c r="J695" s="19" t="n"/>
      <c r="K695" s="19" t="n"/>
      <c r="L695" s="20" t="n"/>
      <c r="M695" s="20" t="n"/>
      <c r="N695" s="20" t="n"/>
      <c r="O695" s="20" t="n"/>
      <c r="P695" s="19" t="n"/>
      <c r="Q695" s="19" t="n"/>
      <c r="R695" s="20" t="n"/>
      <c r="S695" s="20" t="n"/>
      <c r="T695" s="19" t="n"/>
      <c r="U695" s="19" t="n"/>
      <c r="V695" s="19" t="n"/>
      <c r="W695" s="19" t="n"/>
      <c r="X695" s="19" t="n"/>
      <c r="Y695" s="19" t="n"/>
      <c r="Z695" s="21">
        <f>IF(AND($A695="",$B695=""),"",IF(OR($E695="",$H695="",$H695="Proposed",$H695="Not Reported"),0,IF(AND($P695="Y",$Q695&lt;&gt;"Y"),0,IF(AND($K695="Point",N($L695)&lt;=0),0,IF(AND(N($L695)&lt;=0,N($N695)&lt;=0,N($R695)+N($S695)&lt;=0),0,1)))))</f>
        <v/>
      </c>
      <c r="AA695" s="21">
        <f>IF(AND($A695="",$B695=""),"",IF($E695="","Site type missing",IF($H695="","STATUS missing",IF($H695="Proposed","STATUS = Proposed",IF($H695="Not Reported","STATUS = Not Reported",IF(AND($P695="Y",$Q695&lt;&gt;"Y"),"UNESCO-MAB Biosphere Reserve",IF(AND($K695="Point",N($L695)&lt;=0),"Point without REP_AREA",IF(AND(N($L695)&lt;=0,N($N695)&lt;=0,N($R695)+N($S695)&lt;=0),"No area information",""))))))))</f>
        <v/>
      </c>
      <c r="AB695" s="22">
        <f>IF(AND($A695="",$B695=""),"",IF($K695="Point",N($L695),IF(N($N695)&gt;0,N($N695),N($L695))))</f>
        <v/>
      </c>
      <c r="AC695" s="22">
        <f>IF(AND($A695="",$B695=""),"",MIN(AB695,IF(N($J695)=0,0,IF(N($J695)=2,AB695,IF(AND($K695&lt;&gt;"Point",N($O695)&gt;0),N($O695),N($M695))))))</f>
        <v/>
      </c>
      <c r="AD695" s="22">
        <f>IF(AND($A695="",$B695=""),"",MAX(0,AB695-AC695))</f>
        <v/>
      </c>
      <c r="AE695" s="21">
        <f>IF(AND($A695="",$B695=""),"",IF(OR($R695&lt;&gt;"",$S695&lt;&gt;""),1,0))</f>
        <v/>
      </c>
      <c r="AF695" s="22">
        <f>IF(AND($A695="",$B695=""),"",IF(Z695=1,IF(AE695=1,N($R695),AD695),0))</f>
        <v/>
      </c>
      <c r="AG695" s="22">
        <f>IF(AND($A695="",$B695=""),"",IF(Z695=1,IF(AE695=1,N($S695),AC695),0))</f>
        <v/>
      </c>
      <c r="AH695" s="21">
        <f>IF(AND($A695="",$B695=""),"",IF(AND(ISNUMBER($I695),N($I695)&gt;0),$I695,0))</f>
        <v/>
      </c>
      <c r="AI695" s="23">
        <f>IF(AND(NOT(AND($A695="",$B695="")),$K695="Point",N($L695)&gt;0),SQRT(N($L695)/PI()),"")</f>
        <v/>
      </c>
      <c r="AJ695" s="21">
        <f>IF(AND($A695="",$B695=""),"",IFERROR(VLOOKUP($G695,Lists!$D$4:$E$15,2,FALSE),"Not reported"))</f>
        <v/>
      </c>
      <c r="AK695" s="21">
        <f>IF(AND($A695="",$B695=""),"",IF($X695&lt;&gt;"",$X695,IF($T695&lt;&gt;"Y","Not assessed",IF(AND(ISNUMBER($V695),Setup!$B$6-$V695&gt;Setup!$B$26),"Assessment outdated",IF(NOT(ISNUMBER($W695)),"Assessed – no score",IF($W695&gt;=Setup!$B$24,"High",IF($W695&gt;=Setup!$B$25,"Moderate","Low")))))))</f>
        <v/>
      </c>
      <c r="AL695" s="21">
        <f>IF(AND($A695="",$B695=""),"",IF(Z695=0,"",IF(AND(AE695=1,N($R695)&gt;AD695*1.01+0.001),"Net terrestrial &gt; gross; ","")&amp;IF(AND(AE695=1,N($S695)&gt;AC695*1.01+0.001),"Net marine &gt; gross; ","")&amp;IF(AE695=0,"No net area – gross used, overlaps may be double-counted; ","")&amp;IF(AH695=0,"STATUS_YR missing – imputed in time series; ","")&amp;IF(AND(ISNUMBER($I695),N($I695)&gt;Setup!$B$6),"STATUS_YR after reporting year; ","")&amp;IF(OR($G695="",$G695="Not Reported"),"GOV_TYPE not reported; ","")&amp;IF(AND(N($J695)=1,$K695="Point",N($M695)&lt;=0),"Coastal point without REP_M_AREA – land/sea split unknown; ","")&amp;IF(AND(N($J695)=0,N($S695)&gt;0),"MARINE=0 but net marine &gt;0; ","")&amp;IF(AND(N($J695)=2,N($R695)&gt;0),"MARINE=2 but net terrestrial &gt;0; ","")&amp;IF($K695="Point","Buffered point – coverage approximate; ","")))</f>
        <v/>
      </c>
    </row>
    <row r="696">
      <c r="A696" s="19" t="n"/>
      <c r="B696" s="19" t="n"/>
      <c r="C696" s="19" t="n"/>
      <c r="D696" s="19" t="n"/>
      <c r="E696" s="19" t="n"/>
      <c r="F696" s="19" t="n"/>
      <c r="G696" s="19" t="n"/>
      <c r="H696" s="19" t="n"/>
      <c r="I696" s="19" t="n"/>
      <c r="J696" s="19" t="n"/>
      <c r="K696" s="19" t="n"/>
      <c r="L696" s="20" t="n"/>
      <c r="M696" s="20" t="n"/>
      <c r="N696" s="20" t="n"/>
      <c r="O696" s="20" t="n"/>
      <c r="P696" s="19" t="n"/>
      <c r="Q696" s="19" t="n"/>
      <c r="R696" s="20" t="n"/>
      <c r="S696" s="20" t="n"/>
      <c r="T696" s="19" t="n"/>
      <c r="U696" s="19" t="n"/>
      <c r="V696" s="19" t="n"/>
      <c r="W696" s="19" t="n"/>
      <c r="X696" s="19" t="n"/>
      <c r="Y696" s="19" t="n"/>
      <c r="Z696" s="21">
        <f>IF(AND($A696="",$B696=""),"",IF(OR($E696="",$H696="",$H696="Proposed",$H696="Not Reported"),0,IF(AND($P696="Y",$Q696&lt;&gt;"Y"),0,IF(AND($K696="Point",N($L696)&lt;=0),0,IF(AND(N($L696)&lt;=0,N($N696)&lt;=0,N($R696)+N($S696)&lt;=0),0,1)))))</f>
        <v/>
      </c>
      <c r="AA696" s="21">
        <f>IF(AND($A696="",$B696=""),"",IF($E696="","Site type missing",IF($H696="","STATUS missing",IF($H696="Proposed","STATUS = Proposed",IF($H696="Not Reported","STATUS = Not Reported",IF(AND($P696="Y",$Q696&lt;&gt;"Y"),"UNESCO-MAB Biosphere Reserve",IF(AND($K696="Point",N($L696)&lt;=0),"Point without REP_AREA",IF(AND(N($L696)&lt;=0,N($N696)&lt;=0,N($R696)+N($S696)&lt;=0),"No area information",""))))))))</f>
        <v/>
      </c>
      <c r="AB696" s="22">
        <f>IF(AND($A696="",$B696=""),"",IF($K696="Point",N($L696),IF(N($N696)&gt;0,N($N696),N($L696))))</f>
        <v/>
      </c>
      <c r="AC696" s="22">
        <f>IF(AND($A696="",$B696=""),"",MIN(AB696,IF(N($J696)=0,0,IF(N($J696)=2,AB696,IF(AND($K696&lt;&gt;"Point",N($O696)&gt;0),N($O696),N($M696))))))</f>
        <v/>
      </c>
      <c r="AD696" s="22">
        <f>IF(AND($A696="",$B696=""),"",MAX(0,AB696-AC696))</f>
        <v/>
      </c>
      <c r="AE696" s="21">
        <f>IF(AND($A696="",$B696=""),"",IF(OR($R696&lt;&gt;"",$S696&lt;&gt;""),1,0))</f>
        <v/>
      </c>
      <c r="AF696" s="22">
        <f>IF(AND($A696="",$B696=""),"",IF(Z696=1,IF(AE696=1,N($R696),AD696),0))</f>
        <v/>
      </c>
      <c r="AG696" s="22">
        <f>IF(AND($A696="",$B696=""),"",IF(Z696=1,IF(AE696=1,N($S696),AC696),0))</f>
        <v/>
      </c>
      <c r="AH696" s="21">
        <f>IF(AND($A696="",$B696=""),"",IF(AND(ISNUMBER($I696),N($I696)&gt;0),$I696,0))</f>
        <v/>
      </c>
      <c r="AI696" s="23">
        <f>IF(AND(NOT(AND($A696="",$B696="")),$K696="Point",N($L696)&gt;0),SQRT(N($L696)/PI()),"")</f>
        <v/>
      </c>
      <c r="AJ696" s="21">
        <f>IF(AND($A696="",$B696=""),"",IFERROR(VLOOKUP($G696,Lists!$D$4:$E$15,2,FALSE),"Not reported"))</f>
        <v/>
      </c>
      <c r="AK696" s="21">
        <f>IF(AND($A696="",$B696=""),"",IF($X696&lt;&gt;"",$X696,IF($T696&lt;&gt;"Y","Not assessed",IF(AND(ISNUMBER($V696),Setup!$B$6-$V696&gt;Setup!$B$26),"Assessment outdated",IF(NOT(ISNUMBER($W696)),"Assessed – no score",IF($W696&gt;=Setup!$B$24,"High",IF($W696&gt;=Setup!$B$25,"Moderate","Low")))))))</f>
        <v/>
      </c>
      <c r="AL696" s="21">
        <f>IF(AND($A696="",$B696=""),"",IF(Z696=0,"",IF(AND(AE696=1,N($R696)&gt;AD696*1.01+0.001),"Net terrestrial &gt; gross; ","")&amp;IF(AND(AE696=1,N($S696)&gt;AC696*1.01+0.001),"Net marine &gt; gross; ","")&amp;IF(AE696=0,"No net area – gross used, overlaps may be double-counted; ","")&amp;IF(AH696=0,"STATUS_YR missing – imputed in time series; ","")&amp;IF(AND(ISNUMBER($I696),N($I696)&gt;Setup!$B$6),"STATUS_YR after reporting year; ","")&amp;IF(OR($G696="",$G696="Not Reported"),"GOV_TYPE not reported; ","")&amp;IF(AND(N($J696)=1,$K696="Point",N($M696)&lt;=0),"Coastal point without REP_M_AREA – land/sea split unknown; ","")&amp;IF(AND(N($J696)=0,N($S696)&gt;0),"MARINE=0 but net marine &gt;0; ","")&amp;IF(AND(N($J696)=2,N($R696)&gt;0),"MARINE=2 but net terrestrial &gt;0; ","")&amp;IF($K696="Point","Buffered point – coverage approximate; ","")))</f>
        <v/>
      </c>
    </row>
    <row r="697">
      <c r="A697" s="19" t="n"/>
      <c r="B697" s="19" t="n"/>
      <c r="C697" s="19" t="n"/>
      <c r="D697" s="19" t="n"/>
      <c r="E697" s="19" t="n"/>
      <c r="F697" s="19" t="n"/>
      <c r="G697" s="19" t="n"/>
      <c r="H697" s="19" t="n"/>
      <c r="I697" s="19" t="n"/>
      <c r="J697" s="19" t="n"/>
      <c r="K697" s="19" t="n"/>
      <c r="L697" s="20" t="n"/>
      <c r="M697" s="20" t="n"/>
      <c r="N697" s="20" t="n"/>
      <c r="O697" s="20" t="n"/>
      <c r="P697" s="19" t="n"/>
      <c r="Q697" s="19" t="n"/>
      <c r="R697" s="20" t="n"/>
      <c r="S697" s="20" t="n"/>
      <c r="T697" s="19" t="n"/>
      <c r="U697" s="19" t="n"/>
      <c r="V697" s="19" t="n"/>
      <c r="W697" s="19" t="n"/>
      <c r="X697" s="19" t="n"/>
      <c r="Y697" s="19" t="n"/>
      <c r="Z697" s="21">
        <f>IF(AND($A697="",$B697=""),"",IF(OR($E697="",$H697="",$H697="Proposed",$H697="Not Reported"),0,IF(AND($P697="Y",$Q697&lt;&gt;"Y"),0,IF(AND($K697="Point",N($L697)&lt;=0),0,IF(AND(N($L697)&lt;=0,N($N697)&lt;=0,N($R697)+N($S697)&lt;=0),0,1)))))</f>
        <v/>
      </c>
      <c r="AA697" s="21">
        <f>IF(AND($A697="",$B697=""),"",IF($E697="","Site type missing",IF($H697="","STATUS missing",IF($H697="Proposed","STATUS = Proposed",IF($H697="Not Reported","STATUS = Not Reported",IF(AND($P697="Y",$Q697&lt;&gt;"Y"),"UNESCO-MAB Biosphere Reserve",IF(AND($K697="Point",N($L697)&lt;=0),"Point without REP_AREA",IF(AND(N($L697)&lt;=0,N($N697)&lt;=0,N($R697)+N($S697)&lt;=0),"No area information",""))))))))</f>
        <v/>
      </c>
      <c r="AB697" s="22">
        <f>IF(AND($A697="",$B697=""),"",IF($K697="Point",N($L697),IF(N($N697)&gt;0,N($N697),N($L697))))</f>
        <v/>
      </c>
      <c r="AC697" s="22">
        <f>IF(AND($A697="",$B697=""),"",MIN(AB697,IF(N($J697)=0,0,IF(N($J697)=2,AB697,IF(AND($K697&lt;&gt;"Point",N($O697)&gt;0),N($O697),N($M697))))))</f>
        <v/>
      </c>
      <c r="AD697" s="22">
        <f>IF(AND($A697="",$B697=""),"",MAX(0,AB697-AC697))</f>
        <v/>
      </c>
      <c r="AE697" s="21">
        <f>IF(AND($A697="",$B697=""),"",IF(OR($R697&lt;&gt;"",$S697&lt;&gt;""),1,0))</f>
        <v/>
      </c>
      <c r="AF697" s="22">
        <f>IF(AND($A697="",$B697=""),"",IF(Z697=1,IF(AE697=1,N($R697),AD697),0))</f>
        <v/>
      </c>
      <c r="AG697" s="22">
        <f>IF(AND($A697="",$B697=""),"",IF(Z697=1,IF(AE697=1,N($S697),AC697),0))</f>
        <v/>
      </c>
      <c r="AH697" s="21">
        <f>IF(AND($A697="",$B697=""),"",IF(AND(ISNUMBER($I697),N($I697)&gt;0),$I697,0))</f>
        <v/>
      </c>
      <c r="AI697" s="23">
        <f>IF(AND(NOT(AND($A697="",$B697="")),$K697="Point",N($L697)&gt;0),SQRT(N($L697)/PI()),"")</f>
        <v/>
      </c>
      <c r="AJ697" s="21">
        <f>IF(AND($A697="",$B697=""),"",IFERROR(VLOOKUP($G697,Lists!$D$4:$E$15,2,FALSE),"Not reported"))</f>
        <v/>
      </c>
      <c r="AK697" s="21">
        <f>IF(AND($A697="",$B697=""),"",IF($X697&lt;&gt;"",$X697,IF($T697&lt;&gt;"Y","Not assessed",IF(AND(ISNUMBER($V697),Setup!$B$6-$V697&gt;Setup!$B$26),"Assessment outdated",IF(NOT(ISNUMBER($W697)),"Assessed – no score",IF($W697&gt;=Setup!$B$24,"High",IF($W697&gt;=Setup!$B$25,"Moderate","Low")))))))</f>
        <v/>
      </c>
      <c r="AL697" s="21">
        <f>IF(AND($A697="",$B697=""),"",IF(Z697=0,"",IF(AND(AE697=1,N($R697)&gt;AD697*1.01+0.001),"Net terrestrial &gt; gross; ","")&amp;IF(AND(AE697=1,N($S697)&gt;AC697*1.01+0.001),"Net marine &gt; gross; ","")&amp;IF(AE697=0,"No net area – gross used, overlaps may be double-counted; ","")&amp;IF(AH697=0,"STATUS_YR missing – imputed in time series; ","")&amp;IF(AND(ISNUMBER($I697),N($I697)&gt;Setup!$B$6),"STATUS_YR after reporting year; ","")&amp;IF(OR($G697="",$G697="Not Reported"),"GOV_TYPE not reported; ","")&amp;IF(AND(N($J697)=1,$K697="Point",N($M697)&lt;=0),"Coastal point without REP_M_AREA – land/sea split unknown; ","")&amp;IF(AND(N($J697)=0,N($S697)&gt;0),"MARINE=0 but net marine &gt;0; ","")&amp;IF(AND(N($J697)=2,N($R697)&gt;0),"MARINE=2 but net terrestrial &gt;0; ","")&amp;IF($K697="Point","Buffered point – coverage approximate; ","")))</f>
        <v/>
      </c>
    </row>
    <row r="698">
      <c r="A698" s="19" t="n"/>
      <c r="B698" s="19" t="n"/>
      <c r="C698" s="19" t="n"/>
      <c r="D698" s="19" t="n"/>
      <c r="E698" s="19" t="n"/>
      <c r="F698" s="19" t="n"/>
      <c r="G698" s="19" t="n"/>
      <c r="H698" s="19" t="n"/>
      <c r="I698" s="19" t="n"/>
      <c r="J698" s="19" t="n"/>
      <c r="K698" s="19" t="n"/>
      <c r="L698" s="20" t="n"/>
      <c r="M698" s="20" t="n"/>
      <c r="N698" s="20" t="n"/>
      <c r="O698" s="20" t="n"/>
      <c r="P698" s="19" t="n"/>
      <c r="Q698" s="19" t="n"/>
      <c r="R698" s="20" t="n"/>
      <c r="S698" s="20" t="n"/>
      <c r="T698" s="19" t="n"/>
      <c r="U698" s="19" t="n"/>
      <c r="V698" s="19" t="n"/>
      <c r="W698" s="19" t="n"/>
      <c r="X698" s="19" t="n"/>
      <c r="Y698" s="19" t="n"/>
      <c r="Z698" s="21">
        <f>IF(AND($A698="",$B698=""),"",IF(OR($E698="",$H698="",$H698="Proposed",$H698="Not Reported"),0,IF(AND($P698="Y",$Q698&lt;&gt;"Y"),0,IF(AND($K698="Point",N($L698)&lt;=0),0,IF(AND(N($L698)&lt;=0,N($N698)&lt;=0,N($R698)+N($S698)&lt;=0),0,1)))))</f>
        <v/>
      </c>
      <c r="AA698" s="21">
        <f>IF(AND($A698="",$B698=""),"",IF($E698="","Site type missing",IF($H698="","STATUS missing",IF($H698="Proposed","STATUS = Proposed",IF($H698="Not Reported","STATUS = Not Reported",IF(AND($P698="Y",$Q698&lt;&gt;"Y"),"UNESCO-MAB Biosphere Reserve",IF(AND($K698="Point",N($L698)&lt;=0),"Point without REP_AREA",IF(AND(N($L698)&lt;=0,N($N698)&lt;=0,N($R698)+N($S698)&lt;=0),"No area information",""))))))))</f>
        <v/>
      </c>
      <c r="AB698" s="22">
        <f>IF(AND($A698="",$B698=""),"",IF($K698="Point",N($L698),IF(N($N698)&gt;0,N($N698),N($L698))))</f>
        <v/>
      </c>
      <c r="AC698" s="22">
        <f>IF(AND($A698="",$B698=""),"",MIN(AB698,IF(N($J698)=0,0,IF(N($J698)=2,AB698,IF(AND($K698&lt;&gt;"Point",N($O698)&gt;0),N($O698),N($M698))))))</f>
        <v/>
      </c>
      <c r="AD698" s="22">
        <f>IF(AND($A698="",$B698=""),"",MAX(0,AB698-AC698))</f>
        <v/>
      </c>
      <c r="AE698" s="21">
        <f>IF(AND($A698="",$B698=""),"",IF(OR($R698&lt;&gt;"",$S698&lt;&gt;""),1,0))</f>
        <v/>
      </c>
      <c r="AF698" s="22">
        <f>IF(AND($A698="",$B698=""),"",IF(Z698=1,IF(AE698=1,N($R698),AD698),0))</f>
        <v/>
      </c>
      <c r="AG698" s="22">
        <f>IF(AND($A698="",$B698=""),"",IF(Z698=1,IF(AE698=1,N($S698),AC698),0))</f>
        <v/>
      </c>
      <c r="AH698" s="21">
        <f>IF(AND($A698="",$B698=""),"",IF(AND(ISNUMBER($I698),N($I698)&gt;0),$I698,0))</f>
        <v/>
      </c>
      <c r="AI698" s="23">
        <f>IF(AND(NOT(AND($A698="",$B698="")),$K698="Point",N($L698)&gt;0),SQRT(N($L698)/PI()),"")</f>
        <v/>
      </c>
      <c r="AJ698" s="21">
        <f>IF(AND($A698="",$B698=""),"",IFERROR(VLOOKUP($G698,Lists!$D$4:$E$15,2,FALSE),"Not reported"))</f>
        <v/>
      </c>
      <c r="AK698" s="21">
        <f>IF(AND($A698="",$B698=""),"",IF($X698&lt;&gt;"",$X698,IF($T698&lt;&gt;"Y","Not assessed",IF(AND(ISNUMBER($V698),Setup!$B$6-$V698&gt;Setup!$B$26),"Assessment outdated",IF(NOT(ISNUMBER($W698)),"Assessed – no score",IF($W698&gt;=Setup!$B$24,"High",IF($W698&gt;=Setup!$B$25,"Moderate","Low")))))))</f>
        <v/>
      </c>
      <c r="AL698" s="21">
        <f>IF(AND($A698="",$B698=""),"",IF(Z698=0,"",IF(AND(AE698=1,N($R698)&gt;AD698*1.01+0.001),"Net terrestrial &gt; gross; ","")&amp;IF(AND(AE698=1,N($S698)&gt;AC698*1.01+0.001),"Net marine &gt; gross; ","")&amp;IF(AE698=0,"No net area – gross used, overlaps may be double-counted; ","")&amp;IF(AH698=0,"STATUS_YR missing – imputed in time series; ","")&amp;IF(AND(ISNUMBER($I698),N($I698)&gt;Setup!$B$6),"STATUS_YR after reporting year; ","")&amp;IF(OR($G698="",$G698="Not Reported"),"GOV_TYPE not reported; ","")&amp;IF(AND(N($J698)=1,$K698="Point",N($M698)&lt;=0),"Coastal point without REP_M_AREA – land/sea split unknown; ","")&amp;IF(AND(N($J698)=0,N($S698)&gt;0),"MARINE=0 but net marine &gt;0; ","")&amp;IF(AND(N($J698)=2,N($R698)&gt;0),"MARINE=2 but net terrestrial &gt;0; ","")&amp;IF($K698="Point","Buffered point – coverage approximate; ","")))</f>
        <v/>
      </c>
    </row>
    <row r="699">
      <c r="A699" s="19" t="n"/>
      <c r="B699" s="19" t="n"/>
      <c r="C699" s="19" t="n"/>
      <c r="D699" s="19" t="n"/>
      <c r="E699" s="19" t="n"/>
      <c r="F699" s="19" t="n"/>
      <c r="G699" s="19" t="n"/>
      <c r="H699" s="19" t="n"/>
      <c r="I699" s="19" t="n"/>
      <c r="J699" s="19" t="n"/>
      <c r="K699" s="19" t="n"/>
      <c r="L699" s="20" t="n"/>
      <c r="M699" s="20" t="n"/>
      <c r="N699" s="20" t="n"/>
      <c r="O699" s="20" t="n"/>
      <c r="P699" s="19" t="n"/>
      <c r="Q699" s="19" t="n"/>
      <c r="R699" s="20" t="n"/>
      <c r="S699" s="20" t="n"/>
      <c r="T699" s="19" t="n"/>
      <c r="U699" s="19" t="n"/>
      <c r="V699" s="19" t="n"/>
      <c r="W699" s="19" t="n"/>
      <c r="X699" s="19" t="n"/>
      <c r="Y699" s="19" t="n"/>
      <c r="Z699" s="21">
        <f>IF(AND($A699="",$B699=""),"",IF(OR($E699="",$H699="",$H699="Proposed",$H699="Not Reported"),0,IF(AND($P699="Y",$Q699&lt;&gt;"Y"),0,IF(AND($K699="Point",N($L699)&lt;=0),0,IF(AND(N($L699)&lt;=0,N($N699)&lt;=0,N($R699)+N($S699)&lt;=0),0,1)))))</f>
        <v/>
      </c>
      <c r="AA699" s="21">
        <f>IF(AND($A699="",$B699=""),"",IF($E699="","Site type missing",IF($H699="","STATUS missing",IF($H699="Proposed","STATUS = Proposed",IF($H699="Not Reported","STATUS = Not Reported",IF(AND($P699="Y",$Q699&lt;&gt;"Y"),"UNESCO-MAB Biosphere Reserve",IF(AND($K699="Point",N($L699)&lt;=0),"Point without REP_AREA",IF(AND(N($L699)&lt;=0,N($N699)&lt;=0,N($R699)+N($S699)&lt;=0),"No area information",""))))))))</f>
        <v/>
      </c>
      <c r="AB699" s="22">
        <f>IF(AND($A699="",$B699=""),"",IF($K699="Point",N($L699),IF(N($N699)&gt;0,N($N699),N($L699))))</f>
        <v/>
      </c>
      <c r="AC699" s="22">
        <f>IF(AND($A699="",$B699=""),"",MIN(AB699,IF(N($J699)=0,0,IF(N($J699)=2,AB699,IF(AND($K699&lt;&gt;"Point",N($O699)&gt;0),N($O699),N($M699))))))</f>
        <v/>
      </c>
      <c r="AD699" s="22">
        <f>IF(AND($A699="",$B699=""),"",MAX(0,AB699-AC699))</f>
        <v/>
      </c>
      <c r="AE699" s="21">
        <f>IF(AND($A699="",$B699=""),"",IF(OR($R699&lt;&gt;"",$S699&lt;&gt;""),1,0))</f>
        <v/>
      </c>
      <c r="AF699" s="22">
        <f>IF(AND($A699="",$B699=""),"",IF(Z699=1,IF(AE699=1,N($R699),AD699),0))</f>
        <v/>
      </c>
      <c r="AG699" s="22">
        <f>IF(AND($A699="",$B699=""),"",IF(Z699=1,IF(AE699=1,N($S699),AC699),0))</f>
        <v/>
      </c>
      <c r="AH699" s="21">
        <f>IF(AND($A699="",$B699=""),"",IF(AND(ISNUMBER($I699),N($I699)&gt;0),$I699,0))</f>
        <v/>
      </c>
      <c r="AI699" s="23">
        <f>IF(AND(NOT(AND($A699="",$B699="")),$K699="Point",N($L699)&gt;0),SQRT(N($L699)/PI()),"")</f>
        <v/>
      </c>
      <c r="AJ699" s="21">
        <f>IF(AND($A699="",$B699=""),"",IFERROR(VLOOKUP($G699,Lists!$D$4:$E$15,2,FALSE),"Not reported"))</f>
        <v/>
      </c>
      <c r="AK699" s="21">
        <f>IF(AND($A699="",$B699=""),"",IF($X699&lt;&gt;"",$X699,IF($T699&lt;&gt;"Y","Not assessed",IF(AND(ISNUMBER($V699),Setup!$B$6-$V699&gt;Setup!$B$26),"Assessment outdated",IF(NOT(ISNUMBER($W699)),"Assessed – no score",IF($W699&gt;=Setup!$B$24,"High",IF($W699&gt;=Setup!$B$25,"Moderate","Low")))))))</f>
        <v/>
      </c>
      <c r="AL699" s="21">
        <f>IF(AND($A699="",$B699=""),"",IF(Z699=0,"",IF(AND(AE699=1,N($R699)&gt;AD699*1.01+0.001),"Net terrestrial &gt; gross; ","")&amp;IF(AND(AE699=1,N($S699)&gt;AC699*1.01+0.001),"Net marine &gt; gross; ","")&amp;IF(AE699=0,"No net area – gross used, overlaps may be double-counted; ","")&amp;IF(AH699=0,"STATUS_YR missing – imputed in time series; ","")&amp;IF(AND(ISNUMBER($I699),N($I699)&gt;Setup!$B$6),"STATUS_YR after reporting year; ","")&amp;IF(OR($G699="",$G699="Not Reported"),"GOV_TYPE not reported; ","")&amp;IF(AND(N($J699)=1,$K699="Point",N($M699)&lt;=0),"Coastal point without REP_M_AREA – land/sea split unknown; ","")&amp;IF(AND(N($J699)=0,N($S699)&gt;0),"MARINE=0 but net marine &gt;0; ","")&amp;IF(AND(N($J699)=2,N($R699)&gt;0),"MARINE=2 but net terrestrial &gt;0; ","")&amp;IF($K699="Point","Buffered point – coverage approximate; ","")))</f>
        <v/>
      </c>
    </row>
    <row r="700">
      <c r="A700" s="19" t="n"/>
      <c r="B700" s="19" t="n"/>
      <c r="C700" s="19" t="n"/>
      <c r="D700" s="19" t="n"/>
      <c r="E700" s="19" t="n"/>
      <c r="F700" s="19" t="n"/>
      <c r="G700" s="19" t="n"/>
      <c r="H700" s="19" t="n"/>
      <c r="I700" s="19" t="n"/>
      <c r="J700" s="19" t="n"/>
      <c r="K700" s="19" t="n"/>
      <c r="L700" s="20" t="n"/>
      <c r="M700" s="20" t="n"/>
      <c r="N700" s="20" t="n"/>
      <c r="O700" s="20" t="n"/>
      <c r="P700" s="19" t="n"/>
      <c r="Q700" s="19" t="n"/>
      <c r="R700" s="20" t="n"/>
      <c r="S700" s="20" t="n"/>
      <c r="T700" s="19" t="n"/>
      <c r="U700" s="19" t="n"/>
      <c r="V700" s="19" t="n"/>
      <c r="W700" s="19" t="n"/>
      <c r="X700" s="19" t="n"/>
      <c r="Y700" s="19" t="n"/>
      <c r="Z700" s="21">
        <f>IF(AND($A700="",$B700=""),"",IF(OR($E700="",$H700="",$H700="Proposed",$H700="Not Reported"),0,IF(AND($P700="Y",$Q700&lt;&gt;"Y"),0,IF(AND($K700="Point",N($L700)&lt;=0),0,IF(AND(N($L700)&lt;=0,N($N700)&lt;=0,N($R700)+N($S700)&lt;=0),0,1)))))</f>
        <v/>
      </c>
      <c r="AA700" s="21">
        <f>IF(AND($A700="",$B700=""),"",IF($E700="","Site type missing",IF($H700="","STATUS missing",IF($H700="Proposed","STATUS = Proposed",IF($H700="Not Reported","STATUS = Not Reported",IF(AND($P700="Y",$Q700&lt;&gt;"Y"),"UNESCO-MAB Biosphere Reserve",IF(AND($K700="Point",N($L700)&lt;=0),"Point without REP_AREA",IF(AND(N($L700)&lt;=0,N($N700)&lt;=0,N($R700)+N($S700)&lt;=0),"No area information",""))))))))</f>
        <v/>
      </c>
      <c r="AB700" s="22">
        <f>IF(AND($A700="",$B700=""),"",IF($K700="Point",N($L700),IF(N($N700)&gt;0,N($N700),N($L700))))</f>
        <v/>
      </c>
      <c r="AC700" s="22">
        <f>IF(AND($A700="",$B700=""),"",MIN(AB700,IF(N($J700)=0,0,IF(N($J700)=2,AB700,IF(AND($K700&lt;&gt;"Point",N($O700)&gt;0),N($O700),N($M700))))))</f>
        <v/>
      </c>
      <c r="AD700" s="22">
        <f>IF(AND($A700="",$B700=""),"",MAX(0,AB700-AC700))</f>
        <v/>
      </c>
      <c r="AE700" s="21">
        <f>IF(AND($A700="",$B700=""),"",IF(OR($R700&lt;&gt;"",$S700&lt;&gt;""),1,0))</f>
        <v/>
      </c>
      <c r="AF700" s="22">
        <f>IF(AND($A700="",$B700=""),"",IF(Z700=1,IF(AE700=1,N($R700),AD700),0))</f>
        <v/>
      </c>
      <c r="AG700" s="22">
        <f>IF(AND($A700="",$B700=""),"",IF(Z700=1,IF(AE700=1,N($S700),AC700),0))</f>
        <v/>
      </c>
      <c r="AH700" s="21">
        <f>IF(AND($A700="",$B700=""),"",IF(AND(ISNUMBER($I700),N($I700)&gt;0),$I700,0))</f>
        <v/>
      </c>
      <c r="AI700" s="23">
        <f>IF(AND(NOT(AND($A700="",$B700="")),$K700="Point",N($L700)&gt;0),SQRT(N($L700)/PI()),"")</f>
        <v/>
      </c>
      <c r="AJ700" s="21">
        <f>IF(AND($A700="",$B700=""),"",IFERROR(VLOOKUP($G700,Lists!$D$4:$E$15,2,FALSE),"Not reported"))</f>
        <v/>
      </c>
      <c r="AK700" s="21">
        <f>IF(AND($A700="",$B700=""),"",IF($X700&lt;&gt;"",$X700,IF($T700&lt;&gt;"Y","Not assessed",IF(AND(ISNUMBER($V700),Setup!$B$6-$V700&gt;Setup!$B$26),"Assessment outdated",IF(NOT(ISNUMBER($W700)),"Assessed – no score",IF($W700&gt;=Setup!$B$24,"High",IF($W700&gt;=Setup!$B$25,"Moderate","Low")))))))</f>
        <v/>
      </c>
      <c r="AL700" s="21">
        <f>IF(AND($A700="",$B700=""),"",IF(Z700=0,"",IF(AND(AE700=1,N($R700)&gt;AD700*1.01+0.001),"Net terrestrial &gt; gross; ","")&amp;IF(AND(AE700=1,N($S700)&gt;AC700*1.01+0.001),"Net marine &gt; gross; ","")&amp;IF(AE700=0,"No net area – gross used, overlaps may be double-counted; ","")&amp;IF(AH700=0,"STATUS_YR missing – imputed in time series; ","")&amp;IF(AND(ISNUMBER($I700),N($I700)&gt;Setup!$B$6),"STATUS_YR after reporting year; ","")&amp;IF(OR($G700="",$G700="Not Reported"),"GOV_TYPE not reported; ","")&amp;IF(AND(N($J700)=1,$K700="Point",N($M700)&lt;=0),"Coastal point without REP_M_AREA – land/sea split unknown; ","")&amp;IF(AND(N($J700)=0,N($S700)&gt;0),"MARINE=0 but net marine &gt;0; ","")&amp;IF(AND(N($J700)=2,N($R700)&gt;0),"MARINE=2 but net terrestrial &gt;0; ","")&amp;IF($K700="Point","Buffered point – coverage approximate; ","")))</f>
        <v/>
      </c>
    </row>
    <row r="701">
      <c r="A701" s="19" t="n"/>
      <c r="B701" s="19" t="n"/>
      <c r="C701" s="19" t="n"/>
      <c r="D701" s="19" t="n"/>
      <c r="E701" s="19" t="n"/>
      <c r="F701" s="19" t="n"/>
      <c r="G701" s="19" t="n"/>
      <c r="H701" s="19" t="n"/>
      <c r="I701" s="19" t="n"/>
      <c r="J701" s="19" t="n"/>
      <c r="K701" s="19" t="n"/>
      <c r="L701" s="20" t="n"/>
      <c r="M701" s="20" t="n"/>
      <c r="N701" s="20" t="n"/>
      <c r="O701" s="20" t="n"/>
      <c r="P701" s="19" t="n"/>
      <c r="Q701" s="19" t="n"/>
      <c r="R701" s="20" t="n"/>
      <c r="S701" s="20" t="n"/>
      <c r="T701" s="19" t="n"/>
      <c r="U701" s="19" t="n"/>
      <c r="V701" s="19" t="n"/>
      <c r="W701" s="19" t="n"/>
      <c r="X701" s="19" t="n"/>
      <c r="Y701" s="19" t="n"/>
      <c r="Z701" s="21">
        <f>IF(AND($A701="",$B701=""),"",IF(OR($E701="",$H701="",$H701="Proposed",$H701="Not Reported"),0,IF(AND($P701="Y",$Q701&lt;&gt;"Y"),0,IF(AND($K701="Point",N($L701)&lt;=0),0,IF(AND(N($L701)&lt;=0,N($N701)&lt;=0,N($R701)+N($S701)&lt;=0),0,1)))))</f>
        <v/>
      </c>
      <c r="AA701" s="21">
        <f>IF(AND($A701="",$B701=""),"",IF($E701="","Site type missing",IF($H701="","STATUS missing",IF($H701="Proposed","STATUS = Proposed",IF($H701="Not Reported","STATUS = Not Reported",IF(AND($P701="Y",$Q701&lt;&gt;"Y"),"UNESCO-MAB Biosphere Reserve",IF(AND($K701="Point",N($L701)&lt;=0),"Point without REP_AREA",IF(AND(N($L701)&lt;=0,N($N701)&lt;=0,N($R701)+N($S701)&lt;=0),"No area information",""))))))))</f>
        <v/>
      </c>
      <c r="AB701" s="22">
        <f>IF(AND($A701="",$B701=""),"",IF($K701="Point",N($L701),IF(N($N701)&gt;0,N($N701),N($L701))))</f>
        <v/>
      </c>
      <c r="AC701" s="22">
        <f>IF(AND($A701="",$B701=""),"",MIN(AB701,IF(N($J701)=0,0,IF(N($J701)=2,AB701,IF(AND($K701&lt;&gt;"Point",N($O701)&gt;0),N($O701),N($M701))))))</f>
        <v/>
      </c>
      <c r="AD701" s="22">
        <f>IF(AND($A701="",$B701=""),"",MAX(0,AB701-AC701))</f>
        <v/>
      </c>
      <c r="AE701" s="21">
        <f>IF(AND($A701="",$B701=""),"",IF(OR($R701&lt;&gt;"",$S701&lt;&gt;""),1,0))</f>
        <v/>
      </c>
      <c r="AF701" s="22">
        <f>IF(AND($A701="",$B701=""),"",IF(Z701=1,IF(AE701=1,N($R701),AD701),0))</f>
        <v/>
      </c>
      <c r="AG701" s="22">
        <f>IF(AND($A701="",$B701=""),"",IF(Z701=1,IF(AE701=1,N($S701),AC701),0))</f>
        <v/>
      </c>
      <c r="AH701" s="21">
        <f>IF(AND($A701="",$B701=""),"",IF(AND(ISNUMBER($I701),N($I701)&gt;0),$I701,0))</f>
        <v/>
      </c>
      <c r="AI701" s="23">
        <f>IF(AND(NOT(AND($A701="",$B701="")),$K701="Point",N($L701)&gt;0),SQRT(N($L701)/PI()),"")</f>
        <v/>
      </c>
      <c r="AJ701" s="21">
        <f>IF(AND($A701="",$B701=""),"",IFERROR(VLOOKUP($G701,Lists!$D$4:$E$15,2,FALSE),"Not reported"))</f>
        <v/>
      </c>
      <c r="AK701" s="21">
        <f>IF(AND($A701="",$B701=""),"",IF($X701&lt;&gt;"",$X701,IF($T701&lt;&gt;"Y","Not assessed",IF(AND(ISNUMBER($V701),Setup!$B$6-$V701&gt;Setup!$B$26),"Assessment outdated",IF(NOT(ISNUMBER($W701)),"Assessed – no score",IF($W701&gt;=Setup!$B$24,"High",IF($W701&gt;=Setup!$B$25,"Moderate","Low")))))))</f>
        <v/>
      </c>
      <c r="AL701" s="21">
        <f>IF(AND($A701="",$B701=""),"",IF(Z701=0,"",IF(AND(AE701=1,N($R701)&gt;AD701*1.01+0.001),"Net terrestrial &gt; gross; ","")&amp;IF(AND(AE701=1,N($S701)&gt;AC701*1.01+0.001),"Net marine &gt; gross; ","")&amp;IF(AE701=0,"No net area – gross used, overlaps may be double-counted; ","")&amp;IF(AH701=0,"STATUS_YR missing – imputed in time series; ","")&amp;IF(AND(ISNUMBER($I701),N($I701)&gt;Setup!$B$6),"STATUS_YR after reporting year; ","")&amp;IF(OR($G701="",$G701="Not Reported"),"GOV_TYPE not reported; ","")&amp;IF(AND(N($J701)=1,$K701="Point",N($M701)&lt;=0),"Coastal point without REP_M_AREA – land/sea split unknown; ","")&amp;IF(AND(N($J701)=0,N($S701)&gt;0),"MARINE=0 but net marine &gt;0; ","")&amp;IF(AND(N($J701)=2,N($R701)&gt;0),"MARINE=2 but net terrestrial &gt;0; ","")&amp;IF($K701="Point","Buffered point – coverage approximate; ","")))</f>
        <v/>
      </c>
    </row>
    <row r="702">
      <c r="A702" s="19" t="n"/>
      <c r="B702" s="19" t="n"/>
      <c r="C702" s="19" t="n"/>
      <c r="D702" s="19" t="n"/>
      <c r="E702" s="19" t="n"/>
      <c r="F702" s="19" t="n"/>
      <c r="G702" s="19" t="n"/>
      <c r="H702" s="19" t="n"/>
      <c r="I702" s="19" t="n"/>
      <c r="J702" s="19" t="n"/>
      <c r="K702" s="19" t="n"/>
      <c r="L702" s="20" t="n"/>
      <c r="M702" s="20" t="n"/>
      <c r="N702" s="20" t="n"/>
      <c r="O702" s="20" t="n"/>
      <c r="P702" s="19" t="n"/>
      <c r="Q702" s="19" t="n"/>
      <c r="R702" s="20" t="n"/>
      <c r="S702" s="20" t="n"/>
      <c r="T702" s="19" t="n"/>
      <c r="U702" s="19" t="n"/>
      <c r="V702" s="19" t="n"/>
      <c r="W702" s="19" t="n"/>
      <c r="X702" s="19" t="n"/>
      <c r="Y702" s="19" t="n"/>
      <c r="Z702" s="21">
        <f>IF(AND($A702="",$B702=""),"",IF(OR($E702="",$H702="",$H702="Proposed",$H702="Not Reported"),0,IF(AND($P702="Y",$Q702&lt;&gt;"Y"),0,IF(AND($K702="Point",N($L702)&lt;=0),0,IF(AND(N($L702)&lt;=0,N($N702)&lt;=0,N($R702)+N($S702)&lt;=0),0,1)))))</f>
        <v/>
      </c>
      <c r="AA702" s="21">
        <f>IF(AND($A702="",$B702=""),"",IF($E702="","Site type missing",IF($H702="","STATUS missing",IF($H702="Proposed","STATUS = Proposed",IF($H702="Not Reported","STATUS = Not Reported",IF(AND($P702="Y",$Q702&lt;&gt;"Y"),"UNESCO-MAB Biosphere Reserve",IF(AND($K702="Point",N($L702)&lt;=0),"Point without REP_AREA",IF(AND(N($L702)&lt;=0,N($N702)&lt;=0,N($R702)+N($S702)&lt;=0),"No area information",""))))))))</f>
        <v/>
      </c>
      <c r="AB702" s="22">
        <f>IF(AND($A702="",$B702=""),"",IF($K702="Point",N($L702),IF(N($N702)&gt;0,N($N702),N($L702))))</f>
        <v/>
      </c>
      <c r="AC702" s="22">
        <f>IF(AND($A702="",$B702=""),"",MIN(AB702,IF(N($J702)=0,0,IF(N($J702)=2,AB702,IF(AND($K702&lt;&gt;"Point",N($O702)&gt;0),N($O702),N($M702))))))</f>
        <v/>
      </c>
      <c r="AD702" s="22">
        <f>IF(AND($A702="",$B702=""),"",MAX(0,AB702-AC702))</f>
        <v/>
      </c>
      <c r="AE702" s="21">
        <f>IF(AND($A702="",$B702=""),"",IF(OR($R702&lt;&gt;"",$S702&lt;&gt;""),1,0))</f>
        <v/>
      </c>
      <c r="AF702" s="22">
        <f>IF(AND($A702="",$B702=""),"",IF(Z702=1,IF(AE702=1,N($R702),AD702),0))</f>
        <v/>
      </c>
      <c r="AG702" s="22">
        <f>IF(AND($A702="",$B702=""),"",IF(Z702=1,IF(AE702=1,N($S702),AC702),0))</f>
        <v/>
      </c>
      <c r="AH702" s="21">
        <f>IF(AND($A702="",$B702=""),"",IF(AND(ISNUMBER($I702),N($I702)&gt;0),$I702,0))</f>
        <v/>
      </c>
      <c r="AI702" s="23">
        <f>IF(AND(NOT(AND($A702="",$B702="")),$K702="Point",N($L702)&gt;0),SQRT(N($L702)/PI()),"")</f>
        <v/>
      </c>
      <c r="AJ702" s="21">
        <f>IF(AND($A702="",$B702=""),"",IFERROR(VLOOKUP($G702,Lists!$D$4:$E$15,2,FALSE),"Not reported"))</f>
        <v/>
      </c>
      <c r="AK702" s="21">
        <f>IF(AND($A702="",$B702=""),"",IF($X702&lt;&gt;"",$X702,IF($T702&lt;&gt;"Y","Not assessed",IF(AND(ISNUMBER($V702),Setup!$B$6-$V702&gt;Setup!$B$26),"Assessment outdated",IF(NOT(ISNUMBER($W702)),"Assessed – no score",IF($W702&gt;=Setup!$B$24,"High",IF($W702&gt;=Setup!$B$25,"Moderate","Low")))))))</f>
        <v/>
      </c>
      <c r="AL702" s="21">
        <f>IF(AND($A702="",$B702=""),"",IF(Z702=0,"",IF(AND(AE702=1,N($R702)&gt;AD702*1.01+0.001),"Net terrestrial &gt; gross; ","")&amp;IF(AND(AE702=1,N($S702)&gt;AC702*1.01+0.001),"Net marine &gt; gross; ","")&amp;IF(AE702=0,"No net area – gross used, overlaps may be double-counted; ","")&amp;IF(AH702=0,"STATUS_YR missing – imputed in time series; ","")&amp;IF(AND(ISNUMBER($I702),N($I702)&gt;Setup!$B$6),"STATUS_YR after reporting year; ","")&amp;IF(OR($G702="",$G702="Not Reported"),"GOV_TYPE not reported; ","")&amp;IF(AND(N($J702)=1,$K702="Point",N($M702)&lt;=0),"Coastal point without REP_M_AREA – land/sea split unknown; ","")&amp;IF(AND(N($J702)=0,N($S702)&gt;0),"MARINE=0 but net marine &gt;0; ","")&amp;IF(AND(N($J702)=2,N($R702)&gt;0),"MARINE=2 but net terrestrial &gt;0; ","")&amp;IF($K702="Point","Buffered point – coverage approximate; ","")))</f>
        <v/>
      </c>
    </row>
    <row r="703">
      <c r="A703" s="19" t="n"/>
      <c r="B703" s="19" t="n"/>
      <c r="C703" s="19" t="n"/>
      <c r="D703" s="19" t="n"/>
      <c r="E703" s="19" t="n"/>
      <c r="F703" s="19" t="n"/>
      <c r="G703" s="19" t="n"/>
      <c r="H703" s="19" t="n"/>
      <c r="I703" s="19" t="n"/>
      <c r="J703" s="19" t="n"/>
      <c r="K703" s="19" t="n"/>
      <c r="L703" s="20" t="n"/>
      <c r="M703" s="20" t="n"/>
      <c r="N703" s="20" t="n"/>
      <c r="O703" s="20" t="n"/>
      <c r="P703" s="19" t="n"/>
      <c r="Q703" s="19" t="n"/>
      <c r="R703" s="20" t="n"/>
      <c r="S703" s="20" t="n"/>
      <c r="T703" s="19" t="n"/>
      <c r="U703" s="19" t="n"/>
      <c r="V703" s="19" t="n"/>
      <c r="W703" s="19" t="n"/>
      <c r="X703" s="19" t="n"/>
      <c r="Y703" s="19" t="n"/>
      <c r="Z703" s="21">
        <f>IF(AND($A703="",$B703=""),"",IF(OR($E703="",$H703="",$H703="Proposed",$H703="Not Reported"),0,IF(AND($P703="Y",$Q703&lt;&gt;"Y"),0,IF(AND($K703="Point",N($L703)&lt;=0),0,IF(AND(N($L703)&lt;=0,N($N703)&lt;=0,N($R703)+N($S703)&lt;=0),0,1)))))</f>
        <v/>
      </c>
      <c r="AA703" s="21">
        <f>IF(AND($A703="",$B703=""),"",IF($E703="","Site type missing",IF($H703="","STATUS missing",IF($H703="Proposed","STATUS = Proposed",IF($H703="Not Reported","STATUS = Not Reported",IF(AND($P703="Y",$Q703&lt;&gt;"Y"),"UNESCO-MAB Biosphere Reserve",IF(AND($K703="Point",N($L703)&lt;=0),"Point without REP_AREA",IF(AND(N($L703)&lt;=0,N($N703)&lt;=0,N($R703)+N($S703)&lt;=0),"No area information",""))))))))</f>
        <v/>
      </c>
      <c r="AB703" s="22">
        <f>IF(AND($A703="",$B703=""),"",IF($K703="Point",N($L703),IF(N($N703)&gt;0,N($N703),N($L703))))</f>
        <v/>
      </c>
      <c r="AC703" s="22">
        <f>IF(AND($A703="",$B703=""),"",MIN(AB703,IF(N($J703)=0,0,IF(N($J703)=2,AB703,IF(AND($K703&lt;&gt;"Point",N($O703)&gt;0),N($O703),N($M703))))))</f>
        <v/>
      </c>
      <c r="AD703" s="22">
        <f>IF(AND($A703="",$B703=""),"",MAX(0,AB703-AC703))</f>
        <v/>
      </c>
      <c r="AE703" s="21">
        <f>IF(AND($A703="",$B703=""),"",IF(OR($R703&lt;&gt;"",$S703&lt;&gt;""),1,0))</f>
        <v/>
      </c>
      <c r="AF703" s="22">
        <f>IF(AND($A703="",$B703=""),"",IF(Z703=1,IF(AE703=1,N($R703),AD703),0))</f>
        <v/>
      </c>
      <c r="AG703" s="22">
        <f>IF(AND($A703="",$B703=""),"",IF(Z703=1,IF(AE703=1,N($S703),AC703),0))</f>
        <v/>
      </c>
      <c r="AH703" s="21">
        <f>IF(AND($A703="",$B703=""),"",IF(AND(ISNUMBER($I703),N($I703)&gt;0),$I703,0))</f>
        <v/>
      </c>
      <c r="AI703" s="23">
        <f>IF(AND(NOT(AND($A703="",$B703="")),$K703="Point",N($L703)&gt;0),SQRT(N($L703)/PI()),"")</f>
        <v/>
      </c>
      <c r="AJ703" s="21">
        <f>IF(AND($A703="",$B703=""),"",IFERROR(VLOOKUP($G703,Lists!$D$4:$E$15,2,FALSE),"Not reported"))</f>
        <v/>
      </c>
      <c r="AK703" s="21">
        <f>IF(AND($A703="",$B703=""),"",IF($X703&lt;&gt;"",$X703,IF($T703&lt;&gt;"Y","Not assessed",IF(AND(ISNUMBER($V703),Setup!$B$6-$V703&gt;Setup!$B$26),"Assessment outdated",IF(NOT(ISNUMBER($W703)),"Assessed – no score",IF($W703&gt;=Setup!$B$24,"High",IF($W703&gt;=Setup!$B$25,"Moderate","Low")))))))</f>
        <v/>
      </c>
      <c r="AL703" s="21">
        <f>IF(AND($A703="",$B703=""),"",IF(Z703=0,"",IF(AND(AE703=1,N($R703)&gt;AD703*1.01+0.001),"Net terrestrial &gt; gross; ","")&amp;IF(AND(AE703=1,N($S703)&gt;AC703*1.01+0.001),"Net marine &gt; gross; ","")&amp;IF(AE703=0,"No net area – gross used, overlaps may be double-counted; ","")&amp;IF(AH703=0,"STATUS_YR missing – imputed in time series; ","")&amp;IF(AND(ISNUMBER($I703),N($I703)&gt;Setup!$B$6),"STATUS_YR after reporting year; ","")&amp;IF(OR($G703="",$G703="Not Reported"),"GOV_TYPE not reported; ","")&amp;IF(AND(N($J703)=1,$K703="Point",N($M703)&lt;=0),"Coastal point without REP_M_AREA – land/sea split unknown; ","")&amp;IF(AND(N($J703)=0,N($S703)&gt;0),"MARINE=0 but net marine &gt;0; ","")&amp;IF(AND(N($J703)=2,N($R703)&gt;0),"MARINE=2 but net terrestrial &gt;0; ","")&amp;IF($K703="Point","Buffered point – coverage approximate; ","")))</f>
        <v/>
      </c>
    </row>
    <row r="704">
      <c r="A704" s="19" t="n"/>
      <c r="B704" s="19" t="n"/>
      <c r="C704" s="19" t="n"/>
      <c r="D704" s="19" t="n"/>
      <c r="E704" s="19" t="n"/>
      <c r="F704" s="19" t="n"/>
      <c r="G704" s="19" t="n"/>
      <c r="H704" s="19" t="n"/>
      <c r="I704" s="19" t="n"/>
      <c r="J704" s="19" t="n"/>
      <c r="K704" s="19" t="n"/>
      <c r="L704" s="20" t="n"/>
      <c r="M704" s="20" t="n"/>
      <c r="N704" s="20" t="n"/>
      <c r="O704" s="20" t="n"/>
      <c r="P704" s="19" t="n"/>
      <c r="Q704" s="19" t="n"/>
      <c r="R704" s="20" t="n"/>
      <c r="S704" s="20" t="n"/>
      <c r="T704" s="19" t="n"/>
      <c r="U704" s="19" t="n"/>
      <c r="V704" s="19" t="n"/>
      <c r="W704" s="19" t="n"/>
      <c r="X704" s="19" t="n"/>
      <c r="Y704" s="19" t="n"/>
      <c r="Z704" s="21">
        <f>IF(AND($A704="",$B704=""),"",IF(OR($E704="",$H704="",$H704="Proposed",$H704="Not Reported"),0,IF(AND($P704="Y",$Q704&lt;&gt;"Y"),0,IF(AND($K704="Point",N($L704)&lt;=0),0,IF(AND(N($L704)&lt;=0,N($N704)&lt;=0,N($R704)+N($S704)&lt;=0),0,1)))))</f>
        <v/>
      </c>
      <c r="AA704" s="21">
        <f>IF(AND($A704="",$B704=""),"",IF($E704="","Site type missing",IF($H704="","STATUS missing",IF($H704="Proposed","STATUS = Proposed",IF($H704="Not Reported","STATUS = Not Reported",IF(AND($P704="Y",$Q704&lt;&gt;"Y"),"UNESCO-MAB Biosphere Reserve",IF(AND($K704="Point",N($L704)&lt;=0),"Point without REP_AREA",IF(AND(N($L704)&lt;=0,N($N704)&lt;=0,N($R704)+N($S704)&lt;=0),"No area information",""))))))))</f>
        <v/>
      </c>
      <c r="AB704" s="22">
        <f>IF(AND($A704="",$B704=""),"",IF($K704="Point",N($L704),IF(N($N704)&gt;0,N($N704),N($L704))))</f>
        <v/>
      </c>
      <c r="AC704" s="22">
        <f>IF(AND($A704="",$B704=""),"",MIN(AB704,IF(N($J704)=0,0,IF(N($J704)=2,AB704,IF(AND($K704&lt;&gt;"Point",N($O704)&gt;0),N($O704),N($M704))))))</f>
        <v/>
      </c>
      <c r="AD704" s="22">
        <f>IF(AND($A704="",$B704=""),"",MAX(0,AB704-AC704))</f>
        <v/>
      </c>
      <c r="AE704" s="21">
        <f>IF(AND($A704="",$B704=""),"",IF(OR($R704&lt;&gt;"",$S704&lt;&gt;""),1,0))</f>
        <v/>
      </c>
      <c r="AF704" s="22">
        <f>IF(AND($A704="",$B704=""),"",IF(Z704=1,IF(AE704=1,N($R704),AD704),0))</f>
        <v/>
      </c>
      <c r="AG704" s="22">
        <f>IF(AND($A704="",$B704=""),"",IF(Z704=1,IF(AE704=1,N($S704),AC704),0))</f>
        <v/>
      </c>
      <c r="AH704" s="21">
        <f>IF(AND($A704="",$B704=""),"",IF(AND(ISNUMBER($I704),N($I704)&gt;0),$I704,0))</f>
        <v/>
      </c>
      <c r="AI704" s="23">
        <f>IF(AND(NOT(AND($A704="",$B704="")),$K704="Point",N($L704)&gt;0),SQRT(N($L704)/PI()),"")</f>
        <v/>
      </c>
      <c r="AJ704" s="21">
        <f>IF(AND($A704="",$B704=""),"",IFERROR(VLOOKUP($G704,Lists!$D$4:$E$15,2,FALSE),"Not reported"))</f>
        <v/>
      </c>
      <c r="AK704" s="21">
        <f>IF(AND($A704="",$B704=""),"",IF($X704&lt;&gt;"",$X704,IF($T704&lt;&gt;"Y","Not assessed",IF(AND(ISNUMBER($V704),Setup!$B$6-$V704&gt;Setup!$B$26),"Assessment outdated",IF(NOT(ISNUMBER($W704)),"Assessed – no score",IF($W704&gt;=Setup!$B$24,"High",IF($W704&gt;=Setup!$B$25,"Moderate","Low")))))))</f>
        <v/>
      </c>
      <c r="AL704" s="21">
        <f>IF(AND($A704="",$B704=""),"",IF(Z704=0,"",IF(AND(AE704=1,N($R704)&gt;AD704*1.01+0.001),"Net terrestrial &gt; gross; ","")&amp;IF(AND(AE704=1,N($S704)&gt;AC704*1.01+0.001),"Net marine &gt; gross; ","")&amp;IF(AE704=0,"No net area – gross used, overlaps may be double-counted; ","")&amp;IF(AH704=0,"STATUS_YR missing – imputed in time series; ","")&amp;IF(AND(ISNUMBER($I704),N($I704)&gt;Setup!$B$6),"STATUS_YR after reporting year; ","")&amp;IF(OR($G704="",$G704="Not Reported"),"GOV_TYPE not reported; ","")&amp;IF(AND(N($J704)=1,$K704="Point",N($M704)&lt;=0),"Coastal point without REP_M_AREA – land/sea split unknown; ","")&amp;IF(AND(N($J704)=0,N($S704)&gt;0),"MARINE=0 but net marine &gt;0; ","")&amp;IF(AND(N($J704)=2,N($R704)&gt;0),"MARINE=2 but net terrestrial &gt;0; ","")&amp;IF($K704="Point","Buffered point – coverage approximate; ","")))</f>
        <v/>
      </c>
    </row>
    <row r="705">
      <c r="A705" s="19" t="n"/>
      <c r="B705" s="19" t="n"/>
      <c r="C705" s="19" t="n"/>
      <c r="D705" s="19" t="n"/>
      <c r="E705" s="19" t="n"/>
      <c r="F705" s="19" t="n"/>
      <c r="G705" s="19" t="n"/>
      <c r="H705" s="19" t="n"/>
      <c r="I705" s="19" t="n"/>
      <c r="J705" s="19" t="n"/>
      <c r="K705" s="19" t="n"/>
      <c r="L705" s="20" t="n"/>
      <c r="M705" s="20" t="n"/>
      <c r="N705" s="20" t="n"/>
      <c r="O705" s="20" t="n"/>
      <c r="P705" s="19" t="n"/>
      <c r="Q705" s="19" t="n"/>
      <c r="R705" s="20" t="n"/>
      <c r="S705" s="20" t="n"/>
      <c r="T705" s="19" t="n"/>
      <c r="U705" s="19" t="n"/>
      <c r="V705" s="19" t="n"/>
      <c r="W705" s="19" t="n"/>
      <c r="X705" s="19" t="n"/>
      <c r="Y705" s="19" t="n"/>
      <c r="Z705" s="21">
        <f>IF(AND($A705="",$B705=""),"",IF(OR($E705="",$H705="",$H705="Proposed",$H705="Not Reported"),0,IF(AND($P705="Y",$Q705&lt;&gt;"Y"),0,IF(AND($K705="Point",N($L705)&lt;=0),0,IF(AND(N($L705)&lt;=0,N($N705)&lt;=0,N($R705)+N($S705)&lt;=0),0,1)))))</f>
        <v/>
      </c>
      <c r="AA705" s="21">
        <f>IF(AND($A705="",$B705=""),"",IF($E705="","Site type missing",IF($H705="","STATUS missing",IF($H705="Proposed","STATUS = Proposed",IF($H705="Not Reported","STATUS = Not Reported",IF(AND($P705="Y",$Q705&lt;&gt;"Y"),"UNESCO-MAB Biosphere Reserve",IF(AND($K705="Point",N($L705)&lt;=0),"Point without REP_AREA",IF(AND(N($L705)&lt;=0,N($N705)&lt;=0,N($R705)+N($S705)&lt;=0),"No area information",""))))))))</f>
        <v/>
      </c>
      <c r="AB705" s="22">
        <f>IF(AND($A705="",$B705=""),"",IF($K705="Point",N($L705),IF(N($N705)&gt;0,N($N705),N($L705))))</f>
        <v/>
      </c>
      <c r="AC705" s="22">
        <f>IF(AND($A705="",$B705=""),"",MIN(AB705,IF(N($J705)=0,0,IF(N($J705)=2,AB705,IF(AND($K705&lt;&gt;"Point",N($O705)&gt;0),N($O705),N($M705))))))</f>
        <v/>
      </c>
      <c r="AD705" s="22">
        <f>IF(AND($A705="",$B705=""),"",MAX(0,AB705-AC705))</f>
        <v/>
      </c>
      <c r="AE705" s="21">
        <f>IF(AND($A705="",$B705=""),"",IF(OR($R705&lt;&gt;"",$S705&lt;&gt;""),1,0))</f>
        <v/>
      </c>
      <c r="AF705" s="22">
        <f>IF(AND($A705="",$B705=""),"",IF(Z705=1,IF(AE705=1,N($R705),AD705),0))</f>
        <v/>
      </c>
      <c r="AG705" s="22">
        <f>IF(AND($A705="",$B705=""),"",IF(Z705=1,IF(AE705=1,N($S705),AC705),0))</f>
        <v/>
      </c>
      <c r="AH705" s="21">
        <f>IF(AND($A705="",$B705=""),"",IF(AND(ISNUMBER($I705),N($I705)&gt;0),$I705,0))</f>
        <v/>
      </c>
      <c r="AI705" s="23">
        <f>IF(AND(NOT(AND($A705="",$B705="")),$K705="Point",N($L705)&gt;0),SQRT(N($L705)/PI()),"")</f>
        <v/>
      </c>
      <c r="AJ705" s="21">
        <f>IF(AND($A705="",$B705=""),"",IFERROR(VLOOKUP($G705,Lists!$D$4:$E$15,2,FALSE),"Not reported"))</f>
        <v/>
      </c>
      <c r="AK705" s="21">
        <f>IF(AND($A705="",$B705=""),"",IF($X705&lt;&gt;"",$X705,IF($T705&lt;&gt;"Y","Not assessed",IF(AND(ISNUMBER($V705),Setup!$B$6-$V705&gt;Setup!$B$26),"Assessment outdated",IF(NOT(ISNUMBER($W705)),"Assessed – no score",IF($W705&gt;=Setup!$B$24,"High",IF($W705&gt;=Setup!$B$25,"Moderate","Low")))))))</f>
        <v/>
      </c>
      <c r="AL705" s="21">
        <f>IF(AND($A705="",$B705=""),"",IF(Z705=0,"",IF(AND(AE705=1,N($R705)&gt;AD705*1.01+0.001),"Net terrestrial &gt; gross; ","")&amp;IF(AND(AE705=1,N($S705)&gt;AC705*1.01+0.001),"Net marine &gt; gross; ","")&amp;IF(AE705=0,"No net area – gross used, overlaps may be double-counted; ","")&amp;IF(AH705=0,"STATUS_YR missing – imputed in time series; ","")&amp;IF(AND(ISNUMBER($I705),N($I705)&gt;Setup!$B$6),"STATUS_YR after reporting year; ","")&amp;IF(OR($G705="",$G705="Not Reported"),"GOV_TYPE not reported; ","")&amp;IF(AND(N($J705)=1,$K705="Point",N($M705)&lt;=0),"Coastal point without REP_M_AREA – land/sea split unknown; ","")&amp;IF(AND(N($J705)=0,N($S705)&gt;0),"MARINE=0 but net marine &gt;0; ","")&amp;IF(AND(N($J705)=2,N($R705)&gt;0),"MARINE=2 but net terrestrial &gt;0; ","")&amp;IF($K705="Point","Buffered point – coverage approximate; ","")))</f>
        <v/>
      </c>
    </row>
    <row r="706">
      <c r="A706" s="19" t="n"/>
      <c r="B706" s="19" t="n"/>
      <c r="C706" s="19" t="n"/>
      <c r="D706" s="19" t="n"/>
      <c r="E706" s="19" t="n"/>
      <c r="F706" s="19" t="n"/>
      <c r="G706" s="19" t="n"/>
      <c r="H706" s="19" t="n"/>
      <c r="I706" s="19" t="n"/>
      <c r="J706" s="19" t="n"/>
      <c r="K706" s="19" t="n"/>
      <c r="L706" s="20" t="n"/>
      <c r="M706" s="20" t="n"/>
      <c r="N706" s="20" t="n"/>
      <c r="O706" s="20" t="n"/>
      <c r="P706" s="19" t="n"/>
      <c r="Q706" s="19" t="n"/>
      <c r="R706" s="20" t="n"/>
      <c r="S706" s="20" t="n"/>
      <c r="T706" s="19" t="n"/>
      <c r="U706" s="19" t="n"/>
      <c r="V706" s="19" t="n"/>
      <c r="W706" s="19" t="n"/>
      <c r="X706" s="19" t="n"/>
      <c r="Y706" s="19" t="n"/>
      <c r="Z706" s="21">
        <f>IF(AND($A706="",$B706=""),"",IF(OR($E706="",$H706="",$H706="Proposed",$H706="Not Reported"),0,IF(AND($P706="Y",$Q706&lt;&gt;"Y"),0,IF(AND($K706="Point",N($L706)&lt;=0),0,IF(AND(N($L706)&lt;=0,N($N706)&lt;=0,N($R706)+N($S706)&lt;=0),0,1)))))</f>
        <v/>
      </c>
      <c r="AA706" s="21">
        <f>IF(AND($A706="",$B706=""),"",IF($E706="","Site type missing",IF($H706="","STATUS missing",IF($H706="Proposed","STATUS = Proposed",IF($H706="Not Reported","STATUS = Not Reported",IF(AND($P706="Y",$Q706&lt;&gt;"Y"),"UNESCO-MAB Biosphere Reserve",IF(AND($K706="Point",N($L706)&lt;=0),"Point without REP_AREA",IF(AND(N($L706)&lt;=0,N($N706)&lt;=0,N($R706)+N($S706)&lt;=0),"No area information",""))))))))</f>
        <v/>
      </c>
      <c r="AB706" s="22">
        <f>IF(AND($A706="",$B706=""),"",IF($K706="Point",N($L706),IF(N($N706)&gt;0,N($N706),N($L706))))</f>
        <v/>
      </c>
      <c r="AC706" s="22">
        <f>IF(AND($A706="",$B706=""),"",MIN(AB706,IF(N($J706)=0,0,IF(N($J706)=2,AB706,IF(AND($K706&lt;&gt;"Point",N($O706)&gt;0),N($O706),N($M706))))))</f>
        <v/>
      </c>
      <c r="AD706" s="22">
        <f>IF(AND($A706="",$B706=""),"",MAX(0,AB706-AC706))</f>
        <v/>
      </c>
      <c r="AE706" s="21">
        <f>IF(AND($A706="",$B706=""),"",IF(OR($R706&lt;&gt;"",$S706&lt;&gt;""),1,0))</f>
        <v/>
      </c>
      <c r="AF706" s="22">
        <f>IF(AND($A706="",$B706=""),"",IF(Z706=1,IF(AE706=1,N($R706),AD706),0))</f>
        <v/>
      </c>
      <c r="AG706" s="22">
        <f>IF(AND($A706="",$B706=""),"",IF(Z706=1,IF(AE706=1,N($S706),AC706),0))</f>
        <v/>
      </c>
      <c r="AH706" s="21">
        <f>IF(AND($A706="",$B706=""),"",IF(AND(ISNUMBER($I706),N($I706)&gt;0),$I706,0))</f>
        <v/>
      </c>
      <c r="AI706" s="23">
        <f>IF(AND(NOT(AND($A706="",$B706="")),$K706="Point",N($L706)&gt;0),SQRT(N($L706)/PI()),"")</f>
        <v/>
      </c>
      <c r="AJ706" s="21">
        <f>IF(AND($A706="",$B706=""),"",IFERROR(VLOOKUP($G706,Lists!$D$4:$E$15,2,FALSE),"Not reported"))</f>
        <v/>
      </c>
      <c r="AK706" s="21">
        <f>IF(AND($A706="",$B706=""),"",IF($X706&lt;&gt;"",$X706,IF($T706&lt;&gt;"Y","Not assessed",IF(AND(ISNUMBER($V706),Setup!$B$6-$V706&gt;Setup!$B$26),"Assessment outdated",IF(NOT(ISNUMBER($W706)),"Assessed – no score",IF($W706&gt;=Setup!$B$24,"High",IF($W706&gt;=Setup!$B$25,"Moderate","Low")))))))</f>
        <v/>
      </c>
      <c r="AL706" s="21">
        <f>IF(AND($A706="",$B706=""),"",IF(Z706=0,"",IF(AND(AE706=1,N($R706)&gt;AD706*1.01+0.001),"Net terrestrial &gt; gross; ","")&amp;IF(AND(AE706=1,N($S706)&gt;AC706*1.01+0.001),"Net marine &gt; gross; ","")&amp;IF(AE706=0,"No net area – gross used, overlaps may be double-counted; ","")&amp;IF(AH706=0,"STATUS_YR missing – imputed in time series; ","")&amp;IF(AND(ISNUMBER($I706),N($I706)&gt;Setup!$B$6),"STATUS_YR after reporting year; ","")&amp;IF(OR($G706="",$G706="Not Reported"),"GOV_TYPE not reported; ","")&amp;IF(AND(N($J706)=1,$K706="Point",N($M706)&lt;=0),"Coastal point without REP_M_AREA – land/sea split unknown; ","")&amp;IF(AND(N($J706)=0,N($S706)&gt;0),"MARINE=0 but net marine &gt;0; ","")&amp;IF(AND(N($J706)=2,N($R706)&gt;0),"MARINE=2 but net terrestrial &gt;0; ","")&amp;IF($K706="Point","Buffered point – coverage approximate; ","")))</f>
        <v/>
      </c>
    </row>
    <row r="707">
      <c r="A707" s="19" t="n"/>
      <c r="B707" s="19" t="n"/>
      <c r="C707" s="19" t="n"/>
      <c r="D707" s="19" t="n"/>
      <c r="E707" s="19" t="n"/>
      <c r="F707" s="19" t="n"/>
      <c r="G707" s="19" t="n"/>
      <c r="H707" s="19" t="n"/>
      <c r="I707" s="19" t="n"/>
      <c r="J707" s="19" t="n"/>
      <c r="K707" s="19" t="n"/>
      <c r="L707" s="20" t="n"/>
      <c r="M707" s="20" t="n"/>
      <c r="N707" s="20" t="n"/>
      <c r="O707" s="20" t="n"/>
      <c r="P707" s="19" t="n"/>
      <c r="Q707" s="19" t="n"/>
      <c r="R707" s="20" t="n"/>
      <c r="S707" s="20" t="n"/>
      <c r="T707" s="19" t="n"/>
      <c r="U707" s="19" t="n"/>
      <c r="V707" s="19" t="n"/>
      <c r="W707" s="19" t="n"/>
      <c r="X707" s="19" t="n"/>
      <c r="Y707" s="19" t="n"/>
      <c r="Z707" s="21">
        <f>IF(AND($A707="",$B707=""),"",IF(OR($E707="",$H707="",$H707="Proposed",$H707="Not Reported"),0,IF(AND($P707="Y",$Q707&lt;&gt;"Y"),0,IF(AND($K707="Point",N($L707)&lt;=0),0,IF(AND(N($L707)&lt;=0,N($N707)&lt;=0,N($R707)+N($S707)&lt;=0),0,1)))))</f>
        <v/>
      </c>
      <c r="AA707" s="21">
        <f>IF(AND($A707="",$B707=""),"",IF($E707="","Site type missing",IF($H707="","STATUS missing",IF($H707="Proposed","STATUS = Proposed",IF($H707="Not Reported","STATUS = Not Reported",IF(AND($P707="Y",$Q707&lt;&gt;"Y"),"UNESCO-MAB Biosphere Reserve",IF(AND($K707="Point",N($L707)&lt;=0),"Point without REP_AREA",IF(AND(N($L707)&lt;=0,N($N707)&lt;=0,N($R707)+N($S707)&lt;=0),"No area information",""))))))))</f>
        <v/>
      </c>
      <c r="AB707" s="22">
        <f>IF(AND($A707="",$B707=""),"",IF($K707="Point",N($L707),IF(N($N707)&gt;0,N($N707),N($L707))))</f>
        <v/>
      </c>
      <c r="AC707" s="22">
        <f>IF(AND($A707="",$B707=""),"",MIN(AB707,IF(N($J707)=0,0,IF(N($J707)=2,AB707,IF(AND($K707&lt;&gt;"Point",N($O707)&gt;0),N($O707),N($M707))))))</f>
        <v/>
      </c>
      <c r="AD707" s="22">
        <f>IF(AND($A707="",$B707=""),"",MAX(0,AB707-AC707))</f>
        <v/>
      </c>
      <c r="AE707" s="21">
        <f>IF(AND($A707="",$B707=""),"",IF(OR($R707&lt;&gt;"",$S707&lt;&gt;""),1,0))</f>
        <v/>
      </c>
      <c r="AF707" s="22">
        <f>IF(AND($A707="",$B707=""),"",IF(Z707=1,IF(AE707=1,N($R707),AD707),0))</f>
        <v/>
      </c>
      <c r="AG707" s="22">
        <f>IF(AND($A707="",$B707=""),"",IF(Z707=1,IF(AE707=1,N($S707),AC707),0))</f>
        <v/>
      </c>
      <c r="AH707" s="21">
        <f>IF(AND($A707="",$B707=""),"",IF(AND(ISNUMBER($I707),N($I707)&gt;0),$I707,0))</f>
        <v/>
      </c>
      <c r="AI707" s="23">
        <f>IF(AND(NOT(AND($A707="",$B707="")),$K707="Point",N($L707)&gt;0),SQRT(N($L707)/PI()),"")</f>
        <v/>
      </c>
      <c r="AJ707" s="21">
        <f>IF(AND($A707="",$B707=""),"",IFERROR(VLOOKUP($G707,Lists!$D$4:$E$15,2,FALSE),"Not reported"))</f>
        <v/>
      </c>
      <c r="AK707" s="21">
        <f>IF(AND($A707="",$B707=""),"",IF($X707&lt;&gt;"",$X707,IF($T707&lt;&gt;"Y","Not assessed",IF(AND(ISNUMBER($V707),Setup!$B$6-$V707&gt;Setup!$B$26),"Assessment outdated",IF(NOT(ISNUMBER($W707)),"Assessed – no score",IF($W707&gt;=Setup!$B$24,"High",IF($W707&gt;=Setup!$B$25,"Moderate","Low")))))))</f>
        <v/>
      </c>
      <c r="AL707" s="21">
        <f>IF(AND($A707="",$B707=""),"",IF(Z707=0,"",IF(AND(AE707=1,N($R707)&gt;AD707*1.01+0.001),"Net terrestrial &gt; gross; ","")&amp;IF(AND(AE707=1,N($S707)&gt;AC707*1.01+0.001),"Net marine &gt; gross; ","")&amp;IF(AE707=0,"No net area – gross used, overlaps may be double-counted; ","")&amp;IF(AH707=0,"STATUS_YR missing – imputed in time series; ","")&amp;IF(AND(ISNUMBER($I707),N($I707)&gt;Setup!$B$6),"STATUS_YR after reporting year; ","")&amp;IF(OR($G707="",$G707="Not Reported"),"GOV_TYPE not reported; ","")&amp;IF(AND(N($J707)=1,$K707="Point",N($M707)&lt;=0),"Coastal point without REP_M_AREA – land/sea split unknown; ","")&amp;IF(AND(N($J707)=0,N($S707)&gt;0),"MARINE=0 but net marine &gt;0; ","")&amp;IF(AND(N($J707)=2,N($R707)&gt;0),"MARINE=2 but net terrestrial &gt;0; ","")&amp;IF($K707="Point","Buffered point – coverage approximate; ","")))</f>
        <v/>
      </c>
    </row>
    <row r="708">
      <c r="A708" s="19" t="n"/>
      <c r="B708" s="19" t="n"/>
      <c r="C708" s="19" t="n"/>
      <c r="D708" s="19" t="n"/>
      <c r="E708" s="19" t="n"/>
      <c r="F708" s="19" t="n"/>
      <c r="G708" s="19" t="n"/>
      <c r="H708" s="19" t="n"/>
      <c r="I708" s="19" t="n"/>
      <c r="J708" s="19" t="n"/>
      <c r="K708" s="19" t="n"/>
      <c r="L708" s="20" t="n"/>
      <c r="M708" s="20" t="n"/>
      <c r="N708" s="20" t="n"/>
      <c r="O708" s="20" t="n"/>
      <c r="P708" s="19" t="n"/>
      <c r="Q708" s="19" t="n"/>
      <c r="R708" s="20" t="n"/>
      <c r="S708" s="20" t="n"/>
      <c r="T708" s="19" t="n"/>
      <c r="U708" s="19" t="n"/>
      <c r="V708" s="19" t="n"/>
      <c r="W708" s="19" t="n"/>
      <c r="X708" s="19" t="n"/>
      <c r="Y708" s="19" t="n"/>
      <c r="Z708" s="21">
        <f>IF(AND($A708="",$B708=""),"",IF(OR($E708="",$H708="",$H708="Proposed",$H708="Not Reported"),0,IF(AND($P708="Y",$Q708&lt;&gt;"Y"),0,IF(AND($K708="Point",N($L708)&lt;=0),0,IF(AND(N($L708)&lt;=0,N($N708)&lt;=0,N($R708)+N($S708)&lt;=0),0,1)))))</f>
        <v/>
      </c>
      <c r="AA708" s="21">
        <f>IF(AND($A708="",$B708=""),"",IF($E708="","Site type missing",IF($H708="","STATUS missing",IF($H708="Proposed","STATUS = Proposed",IF($H708="Not Reported","STATUS = Not Reported",IF(AND($P708="Y",$Q708&lt;&gt;"Y"),"UNESCO-MAB Biosphere Reserve",IF(AND($K708="Point",N($L708)&lt;=0),"Point without REP_AREA",IF(AND(N($L708)&lt;=0,N($N708)&lt;=0,N($R708)+N($S708)&lt;=0),"No area information",""))))))))</f>
        <v/>
      </c>
      <c r="AB708" s="22">
        <f>IF(AND($A708="",$B708=""),"",IF($K708="Point",N($L708),IF(N($N708)&gt;0,N($N708),N($L708))))</f>
        <v/>
      </c>
      <c r="AC708" s="22">
        <f>IF(AND($A708="",$B708=""),"",MIN(AB708,IF(N($J708)=0,0,IF(N($J708)=2,AB708,IF(AND($K708&lt;&gt;"Point",N($O708)&gt;0),N($O708),N($M708))))))</f>
        <v/>
      </c>
      <c r="AD708" s="22">
        <f>IF(AND($A708="",$B708=""),"",MAX(0,AB708-AC708))</f>
        <v/>
      </c>
      <c r="AE708" s="21">
        <f>IF(AND($A708="",$B708=""),"",IF(OR($R708&lt;&gt;"",$S708&lt;&gt;""),1,0))</f>
        <v/>
      </c>
      <c r="AF708" s="22">
        <f>IF(AND($A708="",$B708=""),"",IF(Z708=1,IF(AE708=1,N($R708),AD708),0))</f>
        <v/>
      </c>
      <c r="AG708" s="22">
        <f>IF(AND($A708="",$B708=""),"",IF(Z708=1,IF(AE708=1,N($S708),AC708),0))</f>
        <v/>
      </c>
      <c r="AH708" s="21">
        <f>IF(AND($A708="",$B708=""),"",IF(AND(ISNUMBER($I708),N($I708)&gt;0),$I708,0))</f>
        <v/>
      </c>
      <c r="AI708" s="23">
        <f>IF(AND(NOT(AND($A708="",$B708="")),$K708="Point",N($L708)&gt;0),SQRT(N($L708)/PI()),"")</f>
        <v/>
      </c>
      <c r="AJ708" s="21">
        <f>IF(AND($A708="",$B708=""),"",IFERROR(VLOOKUP($G708,Lists!$D$4:$E$15,2,FALSE),"Not reported"))</f>
        <v/>
      </c>
      <c r="AK708" s="21">
        <f>IF(AND($A708="",$B708=""),"",IF($X708&lt;&gt;"",$X708,IF($T708&lt;&gt;"Y","Not assessed",IF(AND(ISNUMBER($V708),Setup!$B$6-$V708&gt;Setup!$B$26),"Assessment outdated",IF(NOT(ISNUMBER($W708)),"Assessed – no score",IF($W708&gt;=Setup!$B$24,"High",IF($W708&gt;=Setup!$B$25,"Moderate","Low")))))))</f>
        <v/>
      </c>
      <c r="AL708" s="21">
        <f>IF(AND($A708="",$B708=""),"",IF(Z708=0,"",IF(AND(AE708=1,N($R708)&gt;AD708*1.01+0.001),"Net terrestrial &gt; gross; ","")&amp;IF(AND(AE708=1,N($S708)&gt;AC708*1.01+0.001),"Net marine &gt; gross; ","")&amp;IF(AE708=0,"No net area – gross used, overlaps may be double-counted; ","")&amp;IF(AH708=0,"STATUS_YR missing – imputed in time series; ","")&amp;IF(AND(ISNUMBER($I708),N($I708)&gt;Setup!$B$6),"STATUS_YR after reporting year; ","")&amp;IF(OR($G708="",$G708="Not Reported"),"GOV_TYPE not reported; ","")&amp;IF(AND(N($J708)=1,$K708="Point",N($M708)&lt;=0),"Coastal point without REP_M_AREA – land/sea split unknown; ","")&amp;IF(AND(N($J708)=0,N($S708)&gt;0),"MARINE=0 but net marine &gt;0; ","")&amp;IF(AND(N($J708)=2,N($R708)&gt;0),"MARINE=2 but net terrestrial &gt;0; ","")&amp;IF($K708="Point","Buffered point – coverage approximate; ","")))</f>
        <v/>
      </c>
    </row>
    <row r="709">
      <c r="A709" s="19" t="n"/>
      <c r="B709" s="19" t="n"/>
      <c r="C709" s="19" t="n"/>
      <c r="D709" s="19" t="n"/>
      <c r="E709" s="19" t="n"/>
      <c r="F709" s="19" t="n"/>
      <c r="G709" s="19" t="n"/>
      <c r="H709" s="19" t="n"/>
      <c r="I709" s="19" t="n"/>
      <c r="J709" s="19" t="n"/>
      <c r="K709" s="19" t="n"/>
      <c r="L709" s="20" t="n"/>
      <c r="M709" s="20" t="n"/>
      <c r="N709" s="20" t="n"/>
      <c r="O709" s="20" t="n"/>
      <c r="P709" s="19" t="n"/>
      <c r="Q709" s="19" t="n"/>
      <c r="R709" s="20" t="n"/>
      <c r="S709" s="20" t="n"/>
      <c r="T709" s="19" t="n"/>
      <c r="U709" s="19" t="n"/>
      <c r="V709" s="19" t="n"/>
      <c r="W709" s="19" t="n"/>
      <c r="X709" s="19" t="n"/>
      <c r="Y709" s="19" t="n"/>
      <c r="Z709" s="21">
        <f>IF(AND($A709="",$B709=""),"",IF(OR($E709="",$H709="",$H709="Proposed",$H709="Not Reported"),0,IF(AND($P709="Y",$Q709&lt;&gt;"Y"),0,IF(AND($K709="Point",N($L709)&lt;=0),0,IF(AND(N($L709)&lt;=0,N($N709)&lt;=0,N($R709)+N($S709)&lt;=0),0,1)))))</f>
        <v/>
      </c>
      <c r="AA709" s="21">
        <f>IF(AND($A709="",$B709=""),"",IF($E709="","Site type missing",IF($H709="","STATUS missing",IF($H709="Proposed","STATUS = Proposed",IF($H709="Not Reported","STATUS = Not Reported",IF(AND($P709="Y",$Q709&lt;&gt;"Y"),"UNESCO-MAB Biosphere Reserve",IF(AND($K709="Point",N($L709)&lt;=0),"Point without REP_AREA",IF(AND(N($L709)&lt;=0,N($N709)&lt;=0,N($R709)+N($S709)&lt;=0),"No area information",""))))))))</f>
        <v/>
      </c>
      <c r="AB709" s="22">
        <f>IF(AND($A709="",$B709=""),"",IF($K709="Point",N($L709),IF(N($N709)&gt;0,N($N709),N($L709))))</f>
        <v/>
      </c>
      <c r="AC709" s="22">
        <f>IF(AND($A709="",$B709=""),"",MIN(AB709,IF(N($J709)=0,0,IF(N($J709)=2,AB709,IF(AND($K709&lt;&gt;"Point",N($O709)&gt;0),N($O709),N($M709))))))</f>
        <v/>
      </c>
      <c r="AD709" s="22">
        <f>IF(AND($A709="",$B709=""),"",MAX(0,AB709-AC709))</f>
        <v/>
      </c>
      <c r="AE709" s="21">
        <f>IF(AND($A709="",$B709=""),"",IF(OR($R709&lt;&gt;"",$S709&lt;&gt;""),1,0))</f>
        <v/>
      </c>
      <c r="AF709" s="22">
        <f>IF(AND($A709="",$B709=""),"",IF(Z709=1,IF(AE709=1,N($R709),AD709),0))</f>
        <v/>
      </c>
      <c r="AG709" s="22">
        <f>IF(AND($A709="",$B709=""),"",IF(Z709=1,IF(AE709=1,N($S709),AC709),0))</f>
        <v/>
      </c>
      <c r="AH709" s="21">
        <f>IF(AND($A709="",$B709=""),"",IF(AND(ISNUMBER($I709),N($I709)&gt;0),$I709,0))</f>
        <v/>
      </c>
      <c r="AI709" s="23">
        <f>IF(AND(NOT(AND($A709="",$B709="")),$K709="Point",N($L709)&gt;0),SQRT(N($L709)/PI()),"")</f>
        <v/>
      </c>
      <c r="AJ709" s="21">
        <f>IF(AND($A709="",$B709=""),"",IFERROR(VLOOKUP($G709,Lists!$D$4:$E$15,2,FALSE),"Not reported"))</f>
        <v/>
      </c>
      <c r="AK709" s="21">
        <f>IF(AND($A709="",$B709=""),"",IF($X709&lt;&gt;"",$X709,IF($T709&lt;&gt;"Y","Not assessed",IF(AND(ISNUMBER($V709),Setup!$B$6-$V709&gt;Setup!$B$26),"Assessment outdated",IF(NOT(ISNUMBER($W709)),"Assessed – no score",IF($W709&gt;=Setup!$B$24,"High",IF($W709&gt;=Setup!$B$25,"Moderate","Low")))))))</f>
        <v/>
      </c>
      <c r="AL709" s="21">
        <f>IF(AND($A709="",$B709=""),"",IF(Z709=0,"",IF(AND(AE709=1,N($R709)&gt;AD709*1.01+0.001),"Net terrestrial &gt; gross; ","")&amp;IF(AND(AE709=1,N($S709)&gt;AC709*1.01+0.001),"Net marine &gt; gross; ","")&amp;IF(AE709=0,"No net area – gross used, overlaps may be double-counted; ","")&amp;IF(AH709=0,"STATUS_YR missing – imputed in time series; ","")&amp;IF(AND(ISNUMBER($I709),N($I709)&gt;Setup!$B$6),"STATUS_YR after reporting year; ","")&amp;IF(OR($G709="",$G709="Not Reported"),"GOV_TYPE not reported; ","")&amp;IF(AND(N($J709)=1,$K709="Point",N($M709)&lt;=0),"Coastal point without REP_M_AREA – land/sea split unknown; ","")&amp;IF(AND(N($J709)=0,N($S709)&gt;0),"MARINE=0 but net marine &gt;0; ","")&amp;IF(AND(N($J709)=2,N($R709)&gt;0),"MARINE=2 but net terrestrial &gt;0; ","")&amp;IF($K709="Point","Buffered point – coverage approximate; ","")))</f>
        <v/>
      </c>
    </row>
    <row r="710">
      <c r="A710" s="19" t="n"/>
      <c r="B710" s="19" t="n"/>
      <c r="C710" s="19" t="n"/>
      <c r="D710" s="19" t="n"/>
      <c r="E710" s="19" t="n"/>
      <c r="F710" s="19" t="n"/>
      <c r="G710" s="19" t="n"/>
      <c r="H710" s="19" t="n"/>
      <c r="I710" s="19" t="n"/>
      <c r="J710" s="19" t="n"/>
      <c r="K710" s="19" t="n"/>
      <c r="L710" s="20" t="n"/>
      <c r="M710" s="20" t="n"/>
      <c r="N710" s="20" t="n"/>
      <c r="O710" s="20" t="n"/>
      <c r="P710" s="19" t="n"/>
      <c r="Q710" s="19" t="n"/>
      <c r="R710" s="20" t="n"/>
      <c r="S710" s="20" t="n"/>
      <c r="T710" s="19" t="n"/>
      <c r="U710" s="19" t="n"/>
      <c r="V710" s="19" t="n"/>
      <c r="W710" s="19" t="n"/>
      <c r="X710" s="19" t="n"/>
      <c r="Y710" s="19" t="n"/>
      <c r="Z710" s="21">
        <f>IF(AND($A710="",$B710=""),"",IF(OR($E710="",$H710="",$H710="Proposed",$H710="Not Reported"),0,IF(AND($P710="Y",$Q710&lt;&gt;"Y"),0,IF(AND($K710="Point",N($L710)&lt;=0),0,IF(AND(N($L710)&lt;=0,N($N710)&lt;=0,N($R710)+N($S710)&lt;=0),0,1)))))</f>
        <v/>
      </c>
      <c r="AA710" s="21">
        <f>IF(AND($A710="",$B710=""),"",IF($E710="","Site type missing",IF($H710="","STATUS missing",IF($H710="Proposed","STATUS = Proposed",IF($H710="Not Reported","STATUS = Not Reported",IF(AND($P710="Y",$Q710&lt;&gt;"Y"),"UNESCO-MAB Biosphere Reserve",IF(AND($K710="Point",N($L710)&lt;=0),"Point without REP_AREA",IF(AND(N($L710)&lt;=0,N($N710)&lt;=0,N($R710)+N($S710)&lt;=0),"No area information",""))))))))</f>
        <v/>
      </c>
      <c r="AB710" s="22">
        <f>IF(AND($A710="",$B710=""),"",IF($K710="Point",N($L710),IF(N($N710)&gt;0,N($N710),N($L710))))</f>
        <v/>
      </c>
      <c r="AC710" s="22">
        <f>IF(AND($A710="",$B710=""),"",MIN(AB710,IF(N($J710)=0,0,IF(N($J710)=2,AB710,IF(AND($K710&lt;&gt;"Point",N($O710)&gt;0),N($O710),N($M710))))))</f>
        <v/>
      </c>
      <c r="AD710" s="22">
        <f>IF(AND($A710="",$B710=""),"",MAX(0,AB710-AC710))</f>
        <v/>
      </c>
      <c r="AE710" s="21">
        <f>IF(AND($A710="",$B710=""),"",IF(OR($R710&lt;&gt;"",$S710&lt;&gt;""),1,0))</f>
        <v/>
      </c>
      <c r="AF710" s="22">
        <f>IF(AND($A710="",$B710=""),"",IF(Z710=1,IF(AE710=1,N($R710),AD710),0))</f>
        <v/>
      </c>
      <c r="AG710" s="22">
        <f>IF(AND($A710="",$B710=""),"",IF(Z710=1,IF(AE710=1,N($S710),AC710),0))</f>
        <v/>
      </c>
      <c r="AH710" s="21">
        <f>IF(AND($A710="",$B710=""),"",IF(AND(ISNUMBER($I710),N($I710)&gt;0),$I710,0))</f>
        <v/>
      </c>
      <c r="AI710" s="23">
        <f>IF(AND(NOT(AND($A710="",$B710="")),$K710="Point",N($L710)&gt;0),SQRT(N($L710)/PI()),"")</f>
        <v/>
      </c>
      <c r="AJ710" s="21">
        <f>IF(AND($A710="",$B710=""),"",IFERROR(VLOOKUP($G710,Lists!$D$4:$E$15,2,FALSE),"Not reported"))</f>
        <v/>
      </c>
      <c r="AK710" s="21">
        <f>IF(AND($A710="",$B710=""),"",IF($X710&lt;&gt;"",$X710,IF($T710&lt;&gt;"Y","Not assessed",IF(AND(ISNUMBER($V710),Setup!$B$6-$V710&gt;Setup!$B$26),"Assessment outdated",IF(NOT(ISNUMBER($W710)),"Assessed – no score",IF($W710&gt;=Setup!$B$24,"High",IF($W710&gt;=Setup!$B$25,"Moderate","Low")))))))</f>
        <v/>
      </c>
      <c r="AL710" s="21">
        <f>IF(AND($A710="",$B710=""),"",IF(Z710=0,"",IF(AND(AE710=1,N($R710)&gt;AD710*1.01+0.001),"Net terrestrial &gt; gross; ","")&amp;IF(AND(AE710=1,N($S710)&gt;AC710*1.01+0.001),"Net marine &gt; gross; ","")&amp;IF(AE710=0,"No net area – gross used, overlaps may be double-counted; ","")&amp;IF(AH710=0,"STATUS_YR missing – imputed in time series; ","")&amp;IF(AND(ISNUMBER($I710),N($I710)&gt;Setup!$B$6),"STATUS_YR after reporting year; ","")&amp;IF(OR($G710="",$G710="Not Reported"),"GOV_TYPE not reported; ","")&amp;IF(AND(N($J710)=1,$K710="Point",N($M710)&lt;=0),"Coastal point without REP_M_AREA – land/sea split unknown; ","")&amp;IF(AND(N($J710)=0,N($S710)&gt;0),"MARINE=0 but net marine &gt;0; ","")&amp;IF(AND(N($J710)=2,N($R710)&gt;0),"MARINE=2 but net terrestrial &gt;0; ","")&amp;IF($K710="Point","Buffered point – coverage approximate; ","")))</f>
        <v/>
      </c>
    </row>
    <row r="711">
      <c r="A711" s="19" t="n"/>
      <c r="B711" s="19" t="n"/>
      <c r="C711" s="19" t="n"/>
      <c r="D711" s="19" t="n"/>
      <c r="E711" s="19" t="n"/>
      <c r="F711" s="19" t="n"/>
      <c r="G711" s="19" t="n"/>
      <c r="H711" s="19" t="n"/>
      <c r="I711" s="19" t="n"/>
      <c r="J711" s="19" t="n"/>
      <c r="K711" s="19" t="n"/>
      <c r="L711" s="20" t="n"/>
      <c r="M711" s="20" t="n"/>
      <c r="N711" s="20" t="n"/>
      <c r="O711" s="20" t="n"/>
      <c r="P711" s="19" t="n"/>
      <c r="Q711" s="19" t="n"/>
      <c r="R711" s="20" t="n"/>
      <c r="S711" s="20" t="n"/>
      <c r="T711" s="19" t="n"/>
      <c r="U711" s="19" t="n"/>
      <c r="V711" s="19" t="n"/>
      <c r="W711" s="19" t="n"/>
      <c r="X711" s="19" t="n"/>
      <c r="Y711" s="19" t="n"/>
      <c r="Z711" s="21">
        <f>IF(AND($A711="",$B711=""),"",IF(OR($E711="",$H711="",$H711="Proposed",$H711="Not Reported"),0,IF(AND($P711="Y",$Q711&lt;&gt;"Y"),0,IF(AND($K711="Point",N($L711)&lt;=0),0,IF(AND(N($L711)&lt;=0,N($N711)&lt;=0,N($R711)+N($S711)&lt;=0),0,1)))))</f>
        <v/>
      </c>
      <c r="AA711" s="21">
        <f>IF(AND($A711="",$B711=""),"",IF($E711="","Site type missing",IF($H711="","STATUS missing",IF($H711="Proposed","STATUS = Proposed",IF($H711="Not Reported","STATUS = Not Reported",IF(AND($P711="Y",$Q711&lt;&gt;"Y"),"UNESCO-MAB Biosphere Reserve",IF(AND($K711="Point",N($L711)&lt;=0),"Point without REP_AREA",IF(AND(N($L711)&lt;=0,N($N711)&lt;=0,N($R711)+N($S711)&lt;=0),"No area information",""))))))))</f>
        <v/>
      </c>
      <c r="AB711" s="22">
        <f>IF(AND($A711="",$B711=""),"",IF($K711="Point",N($L711),IF(N($N711)&gt;0,N($N711),N($L711))))</f>
        <v/>
      </c>
      <c r="AC711" s="22">
        <f>IF(AND($A711="",$B711=""),"",MIN(AB711,IF(N($J711)=0,0,IF(N($J711)=2,AB711,IF(AND($K711&lt;&gt;"Point",N($O711)&gt;0),N($O711),N($M711))))))</f>
        <v/>
      </c>
      <c r="AD711" s="22">
        <f>IF(AND($A711="",$B711=""),"",MAX(0,AB711-AC711))</f>
        <v/>
      </c>
      <c r="AE711" s="21">
        <f>IF(AND($A711="",$B711=""),"",IF(OR($R711&lt;&gt;"",$S711&lt;&gt;""),1,0))</f>
        <v/>
      </c>
      <c r="AF711" s="22">
        <f>IF(AND($A711="",$B711=""),"",IF(Z711=1,IF(AE711=1,N($R711),AD711),0))</f>
        <v/>
      </c>
      <c r="AG711" s="22">
        <f>IF(AND($A711="",$B711=""),"",IF(Z711=1,IF(AE711=1,N($S711),AC711),0))</f>
        <v/>
      </c>
      <c r="AH711" s="21">
        <f>IF(AND($A711="",$B711=""),"",IF(AND(ISNUMBER($I711),N($I711)&gt;0),$I711,0))</f>
        <v/>
      </c>
      <c r="AI711" s="23">
        <f>IF(AND(NOT(AND($A711="",$B711="")),$K711="Point",N($L711)&gt;0),SQRT(N($L711)/PI()),"")</f>
        <v/>
      </c>
      <c r="AJ711" s="21">
        <f>IF(AND($A711="",$B711=""),"",IFERROR(VLOOKUP($G711,Lists!$D$4:$E$15,2,FALSE),"Not reported"))</f>
        <v/>
      </c>
      <c r="AK711" s="21">
        <f>IF(AND($A711="",$B711=""),"",IF($X711&lt;&gt;"",$X711,IF($T711&lt;&gt;"Y","Not assessed",IF(AND(ISNUMBER($V711),Setup!$B$6-$V711&gt;Setup!$B$26),"Assessment outdated",IF(NOT(ISNUMBER($W711)),"Assessed – no score",IF($W711&gt;=Setup!$B$24,"High",IF($W711&gt;=Setup!$B$25,"Moderate","Low")))))))</f>
        <v/>
      </c>
      <c r="AL711" s="21">
        <f>IF(AND($A711="",$B711=""),"",IF(Z711=0,"",IF(AND(AE711=1,N($R711)&gt;AD711*1.01+0.001),"Net terrestrial &gt; gross; ","")&amp;IF(AND(AE711=1,N($S711)&gt;AC711*1.01+0.001),"Net marine &gt; gross; ","")&amp;IF(AE711=0,"No net area – gross used, overlaps may be double-counted; ","")&amp;IF(AH711=0,"STATUS_YR missing – imputed in time series; ","")&amp;IF(AND(ISNUMBER($I711),N($I711)&gt;Setup!$B$6),"STATUS_YR after reporting year; ","")&amp;IF(OR($G711="",$G711="Not Reported"),"GOV_TYPE not reported; ","")&amp;IF(AND(N($J711)=1,$K711="Point",N($M711)&lt;=0),"Coastal point without REP_M_AREA – land/sea split unknown; ","")&amp;IF(AND(N($J711)=0,N($S711)&gt;0),"MARINE=0 but net marine &gt;0; ","")&amp;IF(AND(N($J711)=2,N($R711)&gt;0),"MARINE=2 but net terrestrial &gt;0; ","")&amp;IF($K711="Point","Buffered point – coverage approximate; ","")))</f>
        <v/>
      </c>
    </row>
    <row r="712">
      <c r="A712" s="19" t="n"/>
      <c r="B712" s="19" t="n"/>
      <c r="C712" s="19" t="n"/>
      <c r="D712" s="19" t="n"/>
      <c r="E712" s="19" t="n"/>
      <c r="F712" s="19" t="n"/>
      <c r="G712" s="19" t="n"/>
      <c r="H712" s="19" t="n"/>
      <c r="I712" s="19" t="n"/>
      <c r="J712" s="19" t="n"/>
      <c r="K712" s="19" t="n"/>
      <c r="L712" s="20" t="n"/>
      <c r="M712" s="20" t="n"/>
      <c r="N712" s="20" t="n"/>
      <c r="O712" s="20" t="n"/>
      <c r="P712" s="19" t="n"/>
      <c r="Q712" s="19" t="n"/>
      <c r="R712" s="20" t="n"/>
      <c r="S712" s="20" t="n"/>
      <c r="T712" s="19" t="n"/>
      <c r="U712" s="19" t="n"/>
      <c r="V712" s="19" t="n"/>
      <c r="W712" s="19" t="n"/>
      <c r="X712" s="19" t="n"/>
      <c r="Y712" s="19" t="n"/>
      <c r="Z712" s="21">
        <f>IF(AND($A712="",$B712=""),"",IF(OR($E712="",$H712="",$H712="Proposed",$H712="Not Reported"),0,IF(AND($P712="Y",$Q712&lt;&gt;"Y"),0,IF(AND($K712="Point",N($L712)&lt;=0),0,IF(AND(N($L712)&lt;=0,N($N712)&lt;=0,N($R712)+N($S712)&lt;=0),0,1)))))</f>
        <v/>
      </c>
      <c r="AA712" s="21">
        <f>IF(AND($A712="",$B712=""),"",IF($E712="","Site type missing",IF($H712="","STATUS missing",IF($H712="Proposed","STATUS = Proposed",IF($H712="Not Reported","STATUS = Not Reported",IF(AND($P712="Y",$Q712&lt;&gt;"Y"),"UNESCO-MAB Biosphere Reserve",IF(AND($K712="Point",N($L712)&lt;=0),"Point without REP_AREA",IF(AND(N($L712)&lt;=0,N($N712)&lt;=0,N($R712)+N($S712)&lt;=0),"No area information",""))))))))</f>
        <v/>
      </c>
      <c r="AB712" s="22">
        <f>IF(AND($A712="",$B712=""),"",IF($K712="Point",N($L712),IF(N($N712)&gt;0,N($N712),N($L712))))</f>
        <v/>
      </c>
      <c r="AC712" s="22">
        <f>IF(AND($A712="",$B712=""),"",MIN(AB712,IF(N($J712)=0,0,IF(N($J712)=2,AB712,IF(AND($K712&lt;&gt;"Point",N($O712)&gt;0),N($O712),N($M712))))))</f>
        <v/>
      </c>
      <c r="AD712" s="22">
        <f>IF(AND($A712="",$B712=""),"",MAX(0,AB712-AC712))</f>
        <v/>
      </c>
      <c r="AE712" s="21">
        <f>IF(AND($A712="",$B712=""),"",IF(OR($R712&lt;&gt;"",$S712&lt;&gt;""),1,0))</f>
        <v/>
      </c>
      <c r="AF712" s="22">
        <f>IF(AND($A712="",$B712=""),"",IF(Z712=1,IF(AE712=1,N($R712),AD712),0))</f>
        <v/>
      </c>
      <c r="AG712" s="22">
        <f>IF(AND($A712="",$B712=""),"",IF(Z712=1,IF(AE712=1,N($S712),AC712),0))</f>
        <v/>
      </c>
      <c r="AH712" s="21">
        <f>IF(AND($A712="",$B712=""),"",IF(AND(ISNUMBER($I712),N($I712)&gt;0),$I712,0))</f>
        <v/>
      </c>
      <c r="AI712" s="23">
        <f>IF(AND(NOT(AND($A712="",$B712="")),$K712="Point",N($L712)&gt;0),SQRT(N($L712)/PI()),"")</f>
        <v/>
      </c>
      <c r="AJ712" s="21">
        <f>IF(AND($A712="",$B712=""),"",IFERROR(VLOOKUP($G712,Lists!$D$4:$E$15,2,FALSE),"Not reported"))</f>
        <v/>
      </c>
      <c r="AK712" s="21">
        <f>IF(AND($A712="",$B712=""),"",IF($X712&lt;&gt;"",$X712,IF($T712&lt;&gt;"Y","Not assessed",IF(AND(ISNUMBER($V712),Setup!$B$6-$V712&gt;Setup!$B$26),"Assessment outdated",IF(NOT(ISNUMBER($W712)),"Assessed – no score",IF($W712&gt;=Setup!$B$24,"High",IF($W712&gt;=Setup!$B$25,"Moderate","Low")))))))</f>
        <v/>
      </c>
      <c r="AL712" s="21">
        <f>IF(AND($A712="",$B712=""),"",IF(Z712=0,"",IF(AND(AE712=1,N($R712)&gt;AD712*1.01+0.001),"Net terrestrial &gt; gross; ","")&amp;IF(AND(AE712=1,N($S712)&gt;AC712*1.01+0.001),"Net marine &gt; gross; ","")&amp;IF(AE712=0,"No net area – gross used, overlaps may be double-counted; ","")&amp;IF(AH712=0,"STATUS_YR missing – imputed in time series; ","")&amp;IF(AND(ISNUMBER($I712),N($I712)&gt;Setup!$B$6),"STATUS_YR after reporting year; ","")&amp;IF(OR($G712="",$G712="Not Reported"),"GOV_TYPE not reported; ","")&amp;IF(AND(N($J712)=1,$K712="Point",N($M712)&lt;=0),"Coastal point without REP_M_AREA – land/sea split unknown; ","")&amp;IF(AND(N($J712)=0,N($S712)&gt;0),"MARINE=0 but net marine &gt;0; ","")&amp;IF(AND(N($J712)=2,N($R712)&gt;0),"MARINE=2 but net terrestrial &gt;0; ","")&amp;IF($K712="Point","Buffered point – coverage approximate; ","")))</f>
        <v/>
      </c>
    </row>
    <row r="713">
      <c r="A713" s="19" t="n"/>
      <c r="B713" s="19" t="n"/>
      <c r="C713" s="19" t="n"/>
      <c r="D713" s="19" t="n"/>
      <c r="E713" s="19" t="n"/>
      <c r="F713" s="19" t="n"/>
      <c r="G713" s="19" t="n"/>
      <c r="H713" s="19" t="n"/>
      <c r="I713" s="19" t="n"/>
      <c r="J713" s="19" t="n"/>
      <c r="K713" s="19" t="n"/>
      <c r="L713" s="20" t="n"/>
      <c r="M713" s="20" t="n"/>
      <c r="N713" s="20" t="n"/>
      <c r="O713" s="20" t="n"/>
      <c r="P713" s="19" t="n"/>
      <c r="Q713" s="19" t="n"/>
      <c r="R713" s="20" t="n"/>
      <c r="S713" s="20" t="n"/>
      <c r="T713" s="19" t="n"/>
      <c r="U713" s="19" t="n"/>
      <c r="V713" s="19" t="n"/>
      <c r="W713" s="19" t="n"/>
      <c r="X713" s="19" t="n"/>
      <c r="Y713" s="19" t="n"/>
      <c r="Z713" s="21">
        <f>IF(AND($A713="",$B713=""),"",IF(OR($E713="",$H713="",$H713="Proposed",$H713="Not Reported"),0,IF(AND($P713="Y",$Q713&lt;&gt;"Y"),0,IF(AND($K713="Point",N($L713)&lt;=0),0,IF(AND(N($L713)&lt;=0,N($N713)&lt;=0,N($R713)+N($S713)&lt;=0),0,1)))))</f>
        <v/>
      </c>
      <c r="AA713" s="21">
        <f>IF(AND($A713="",$B713=""),"",IF($E713="","Site type missing",IF($H713="","STATUS missing",IF($H713="Proposed","STATUS = Proposed",IF($H713="Not Reported","STATUS = Not Reported",IF(AND($P713="Y",$Q713&lt;&gt;"Y"),"UNESCO-MAB Biosphere Reserve",IF(AND($K713="Point",N($L713)&lt;=0),"Point without REP_AREA",IF(AND(N($L713)&lt;=0,N($N713)&lt;=0,N($R713)+N($S713)&lt;=0),"No area information",""))))))))</f>
        <v/>
      </c>
      <c r="AB713" s="22">
        <f>IF(AND($A713="",$B713=""),"",IF($K713="Point",N($L713),IF(N($N713)&gt;0,N($N713),N($L713))))</f>
        <v/>
      </c>
      <c r="AC713" s="22">
        <f>IF(AND($A713="",$B713=""),"",MIN(AB713,IF(N($J713)=0,0,IF(N($J713)=2,AB713,IF(AND($K713&lt;&gt;"Point",N($O713)&gt;0),N($O713),N($M713))))))</f>
        <v/>
      </c>
      <c r="AD713" s="22">
        <f>IF(AND($A713="",$B713=""),"",MAX(0,AB713-AC713))</f>
        <v/>
      </c>
      <c r="AE713" s="21">
        <f>IF(AND($A713="",$B713=""),"",IF(OR($R713&lt;&gt;"",$S713&lt;&gt;""),1,0))</f>
        <v/>
      </c>
      <c r="AF713" s="22">
        <f>IF(AND($A713="",$B713=""),"",IF(Z713=1,IF(AE713=1,N($R713),AD713),0))</f>
        <v/>
      </c>
      <c r="AG713" s="22">
        <f>IF(AND($A713="",$B713=""),"",IF(Z713=1,IF(AE713=1,N($S713),AC713),0))</f>
        <v/>
      </c>
      <c r="AH713" s="21">
        <f>IF(AND($A713="",$B713=""),"",IF(AND(ISNUMBER($I713),N($I713)&gt;0),$I713,0))</f>
        <v/>
      </c>
      <c r="AI713" s="23">
        <f>IF(AND(NOT(AND($A713="",$B713="")),$K713="Point",N($L713)&gt;0),SQRT(N($L713)/PI()),"")</f>
        <v/>
      </c>
      <c r="AJ713" s="21">
        <f>IF(AND($A713="",$B713=""),"",IFERROR(VLOOKUP($G713,Lists!$D$4:$E$15,2,FALSE),"Not reported"))</f>
        <v/>
      </c>
      <c r="AK713" s="21">
        <f>IF(AND($A713="",$B713=""),"",IF($X713&lt;&gt;"",$X713,IF($T713&lt;&gt;"Y","Not assessed",IF(AND(ISNUMBER($V713),Setup!$B$6-$V713&gt;Setup!$B$26),"Assessment outdated",IF(NOT(ISNUMBER($W713)),"Assessed – no score",IF($W713&gt;=Setup!$B$24,"High",IF($W713&gt;=Setup!$B$25,"Moderate","Low")))))))</f>
        <v/>
      </c>
      <c r="AL713" s="21">
        <f>IF(AND($A713="",$B713=""),"",IF(Z713=0,"",IF(AND(AE713=1,N($R713)&gt;AD713*1.01+0.001),"Net terrestrial &gt; gross; ","")&amp;IF(AND(AE713=1,N($S713)&gt;AC713*1.01+0.001),"Net marine &gt; gross; ","")&amp;IF(AE713=0,"No net area – gross used, overlaps may be double-counted; ","")&amp;IF(AH713=0,"STATUS_YR missing – imputed in time series; ","")&amp;IF(AND(ISNUMBER($I713),N($I713)&gt;Setup!$B$6),"STATUS_YR after reporting year; ","")&amp;IF(OR($G713="",$G713="Not Reported"),"GOV_TYPE not reported; ","")&amp;IF(AND(N($J713)=1,$K713="Point",N($M713)&lt;=0),"Coastal point without REP_M_AREA – land/sea split unknown; ","")&amp;IF(AND(N($J713)=0,N($S713)&gt;0),"MARINE=0 but net marine &gt;0; ","")&amp;IF(AND(N($J713)=2,N($R713)&gt;0),"MARINE=2 but net terrestrial &gt;0; ","")&amp;IF($K713="Point","Buffered point – coverage approximate; ","")))</f>
        <v/>
      </c>
    </row>
    <row r="714">
      <c r="A714" s="19" t="n"/>
      <c r="B714" s="19" t="n"/>
      <c r="C714" s="19" t="n"/>
      <c r="D714" s="19" t="n"/>
      <c r="E714" s="19" t="n"/>
      <c r="F714" s="19" t="n"/>
      <c r="G714" s="19" t="n"/>
      <c r="H714" s="19" t="n"/>
      <c r="I714" s="19" t="n"/>
      <c r="J714" s="19" t="n"/>
      <c r="K714" s="19" t="n"/>
      <c r="L714" s="20" t="n"/>
      <c r="M714" s="20" t="n"/>
      <c r="N714" s="20" t="n"/>
      <c r="O714" s="20" t="n"/>
      <c r="P714" s="19" t="n"/>
      <c r="Q714" s="19" t="n"/>
      <c r="R714" s="20" t="n"/>
      <c r="S714" s="20" t="n"/>
      <c r="T714" s="19" t="n"/>
      <c r="U714" s="19" t="n"/>
      <c r="V714" s="19" t="n"/>
      <c r="W714" s="19" t="n"/>
      <c r="X714" s="19" t="n"/>
      <c r="Y714" s="19" t="n"/>
      <c r="Z714" s="21">
        <f>IF(AND($A714="",$B714=""),"",IF(OR($E714="",$H714="",$H714="Proposed",$H714="Not Reported"),0,IF(AND($P714="Y",$Q714&lt;&gt;"Y"),0,IF(AND($K714="Point",N($L714)&lt;=0),0,IF(AND(N($L714)&lt;=0,N($N714)&lt;=0,N($R714)+N($S714)&lt;=0),0,1)))))</f>
        <v/>
      </c>
      <c r="AA714" s="21">
        <f>IF(AND($A714="",$B714=""),"",IF($E714="","Site type missing",IF($H714="","STATUS missing",IF($H714="Proposed","STATUS = Proposed",IF($H714="Not Reported","STATUS = Not Reported",IF(AND($P714="Y",$Q714&lt;&gt;"Y"),"UNESCO-MAB Biosphere Reserve",IF(AND($K714="Point",N($L714)&lt;=0),"Point without REP_AREA",IF(AND(N($L714)&lt;=0,N($N714)&lt;=0,N($R714)+N($S714)&lt;=0),"No area information",""))))))))</f>
        <v/>
      </c>
      <c r="AB714" s="22">
        <f>IF(AND($A714="",$B714=""),"",IF($K714="Point",N($L714),IF(N($N714)&gt;0,N($N714),N($L714))))</f>
        <v/>
      </c>
      <c r="AC714" s="22">
        <f>IF(AND($A714="",$B714=""),"",MIN(AB714,IF(N($J714)=0,0,IF(N($J714)=2,AB714,IF(AND($K714&lt;&gt;"Point",N($O714)&gt;0),N($O714),N($M714))))))</f>
        <v/>
      </c>
      <c r="AD714" s="22">
        <f>IF(AND($A714="",$B714=""),"",MAX(0,AB714-AC714))</f>
        <v/>
      </c>
      <c r="AE714" s="21">
        <f>IF(AND($A714="",$B714=""),"",IF(OR($R714&lt;&gt;"",$S714&lt;&gt;""),1,0))</f>
        <v/>
      </c>
      <c r="AF714" s="22">
        <f>IF(AND($A714="",$B714=""),"",IF(Z714=1,IF(AE714=1,N($R714),AD714),0))</f>
        <v/>
      </c>
      <c r="AG714" s="22">
        <f>IF(AND($A714="",$B714=""),"",IF(Z714=1,IF(AE714=1,N($S714),AC714),0))</f>
        <v/>
      </c>
      <c r="AH714" s="21">
        <f>IF(AND($A714="",$B714=""),"",IF(AND(ISNUMBER($I714),N($I714)&gt;0),$I714,0))</f>
        <v/>
      </c>
      <c r="AI714" s="23">
        <f>IF(AND(NOT(AND($A714="",$B714="")),$K714="Point",N($L714)&gt;0),SQRT(N($L714)/PI()),"")</f>
        <v/>
      </c>
      <c r="AJ714" s="21">
        <f>IF(AND($A714="",$B714=""),"",IFERROR(VLOOKUP($G714,Lists!$D$4:$E$15,2,FALSE),"Not reported"))</f>
        <v/>
      </c>
      <c r="AK714" s="21">
        <f>IF(AND($A714="",$B714=""),"",IF($X714&lt;&gt;"",$X714,IF($T714&lt;&gt;"Y","Not assessed",IF(AND(ISNUMBER($V714),Setup!$B$6-$V714&gt;Setup!$B$26),"Assessment outdated",IF(NOT(ISNUMBER($W714)),"Assessed – no score",IF($W714&gt;=Setup!$B$24,"High",IF($W714&gt;=Setup!$B$25,"Moderate","Low")))))))</f>
        <v/>
      </c>
      <c r="AL714" s="21">
        <f>IF(AND($A714="",$B714=""),"",IF(Z714=0,"",IF(AND(AE714=1,N($R714)&gt;AD714*1.01+0.001),"Net terrestrial &gt; gross; ","")&amp;IF(AND(AE714=1,N($S714)&gt;AC714*1.01+0.001),"Net marine &gt; gross; ","")&amp;IF(AE714=0,"No net area – gross used, overlaps may be double-counted; ","")&amp;IF(AH714=0,"STATUS_YR missing – imputed in time series; ","")&amp;IF(AND(ISNUMBER($I714),N($I714)&gt;Setup!$B$6),"STATUS_YR after reporting year; ","")&amp;IF(OR($G714="",$G714="Not Reported"),"GOV_TYPE not reported; ","")&amp;IF(AND(N($J714)=1,$K714="Point",N($M714)&lt;=0),"Coastal point without REP_M_AREA – land/sea split unknown; ","")&amp;IF(AND(N($J714)=0,N($S714)&gt;0),"MARINE=0 but net marine &gt;0; ","")&amp;IF(AND(N($J714)=2,N($R714)&gt;0),"MARINE=2 but net terrestrial &gt;0; ","")&amp;IF($K714="Point","Buffered point – coverage approximate; ","")))</f>
        <v/>
      </c>
    </row>
    <row r="715">
      <c r="A715" s="19" t="n"/>
      <c r="B715" s="19" t="n"/>
      <c r="C715" s="19" t="n"/>
      <c r="D715" s="19" t="n"/>
      <c r="E715" s="19" t="n"/>
      <c r="F715" s="19" t="n"/>
      <c r="G715" s="19" t="n"/>
      <c r="H715" s="19" t="n"/>
      <c r="I715" s="19" t="n"/>
      <c r="J715" s="19" t="n"/>
      <c r="K715" s="19" t="n"/>
      <c r="L715" s="20" t="n"/>
      <c r="M715" s="20" t="n"/>
      <c r="N715" s="20" t="n"/>
      <c r="O715" s="20" t="n"/>
      <c r="P715" s="19" t="n"/>
      <c r="Q715" s="19" t="n"/>
      <c r="R715" s="20" t="n"/>
      <c r="S715" s="20" t="n"/>
      <c r="T715" s="19" t="n"/>
      <c r="U715" s="19" t="n"/>
      <c r="V715" s="19" t="n"/>
      <c r="W715" s="19" t="n"/>
      <c r="X715" s="19" t="n"/>
      <c r="Y715" s="19" t="n"/>
      <c r="Z715" s="21">
        <f>IF(AND($A715="",$B715=""),"",IF(OR($E715="",$H715="",$H715="Proposed",$H715="Not Reported"),0,IF(AND($P715="Y",$Q715&lt;&gt;"Y"),0,IF(AND($K715="Point",N($L715)&lt;=0),0,IF(AND(N($L715)&lt;=0,N($N715)&lt;=0,N($R715)+N($S715)&lt;=0),0,1)))))</f>
        <v/>
      </c>
      <c r="AA715" s="21">
        <f>IF(AND($A715="",$B715=""),"",IF($E715="","Site type missing",IF($H715="","STATUS missing",IF($H715="Proposed","STATUS = Proposed",IF($H715="Not Reported","STATUS = Not Reported",IF(AND($P715="Y",$Q715&lt;&gt;"Y"),"UNESCO-MAB Biosphere Reserve",IF(AND($K715="Point",N($L715)&lt;=0),"Point without REP_AREA",IF(AND(N($L715)&lt;=0,N($N715)&lt;=0,N($R715)+N($S715)&lt;=0),"No area information",""))))))))</f>
        <v/>
      </c>
      <c r="AB715" s="22">
        <f>IF(AND($A715="",$B715=""),"",IF($K715="Point",N($L715),IF(N($N715)&gt;0,N($N715),N($L715))))</f>
        <v/>
      </c>
      <c r="AC715" s="22">
        <f>IF(AND($A715="",$B715=""),"",MIN(AB715,IF(N($J715)=0,0,IF(N($J715)=2,AB715,IF(AND($K715&lt;&gt;"Point",N($O715)&gt;0),N($O715),N($M715))))))</f>
        <v/>
      </c>
      <c r="AD715" s="22">
        <f>IF(AND($A715="",$B715=""),"",MAX(0,AB715-AC715))</f>
        <v/>
      </c>
      <c r="AE715" s="21">
        <f>IF(AND($A715="",$B715=""),"",IF(OR($R715&lt;&gt;"",$S715&lt;&gt;""),1,0))</f>
        <v/>
      </c>
      <c r="AF715" s="22">
        <f>IF(AND($A715="",$B715=""),"",IF(Z715=1,IF(AE715=1,N($R715),AD715),0))</f>
        <v/>
      </c>
      <c r="AG715" s="22">
        <f>IF(AND($A715="",$B715=""),"",IF(Z715=1,IF(AE715=1,N($S715),AC715),0))</f>
        <v/>
      </c>
      <c r="AH715" s="21">
        <f>IF(AND($A715="",$B715=""),"",IF(AND(ISNUMBER($I715),N($I715)&gt;0),$I715,0))</f>
        <v/>
      </c>
      <c r="AI715" s="23">
        <f>IF(AND(NOT(AND($A715="",$B715="")),$K715="Point",N($L715)&gt;0),SQRT(N($L715)/PI()),"")</f>
        <v/>
      </c>
      <c r="AJ715" s="21">
        <f>IF(AND($A715="",$B715=""),"",IFERROR(VLOOKUP($G715,Lists!$D$4:$E$15,2,FALSE),"Not reported"))</f>
        <v/>
      </c>
      <c r="AK715" s="21">
        <f>IF(AND($A715="",$B715=""),"",IF($X715&lt;&gt;"",$X715,IF($T715&lt;&gt;"Y","Not assessed",IF(AND(ISNUMBER($V715),Setup!$B$6-$V715&gt;Setup!$B$26),"Assessment outdated",IF(NOT(ISNUMBER($W715)),"Assessed – no score",IF($W715&gt;=Setup!$B$24,"High",IF($W715&gt;=Setup!$B$25,"Moderate","Low")))))))</f>
        <v/>
      </c>
      <c r="AL715" s="21">
        <f>IF(AND($A715="",$B715=""),"",IF(Z715=0,"",IF(AND(AE715=1,N($R715)&gt;AD715*1.01+0.001),"Net terrestrial &gt; gross; ","")&amp;IF(AND(AE715=1,N($S715)&gt;AC715*1.01+0.001),"Net marine &gt; gross; ","")&amp;IF(AE715=0,"No net area – gross used, overlaps may be double-counted; ","")&amp;IF(AH715=0,"STATUS_YR missing – imputed in time series; ","")&amp;IF(AND(ISNUMBER($I715),N($I715)&gt;Setup!$B$6),"STATUS_YR after reporting year; ","")&amp;IF(OR($G715="",$G715="Not Reported"),"GOV_TYPE not reported; ","")&amp;IF(AND(N($J715)=1,$K715="Point",N($M715)&lt;=0),"Coastal point without REP_M_AREA – land/sea split unknown; ","")&amp;IF(AND(N($J715)=0,N($S715)&gt;0),"MARINE=0 but net marine &gt;0; ","")&amp;IF(AND(N($J715)=2,N($R715)&gt;0),"MARINE=2 but net terrestrial &gt;0; ","")&amp;IF($K715="Point","Buffered point – coverage approximate; ","")))</f>
        <v/>
      </c>
    </row>
    <row r="716">
      <c r="A716" s="19" t="n"/>
      <c r="B716" s="19" t="n"/>
      <c r="C716" s="19" t="n"/>
      <c r="D716" s="19" t="n"/>
      <c r="E716" s="19" t="n"/>
      <c r="F716" s="19" t="n"/>
      <c r="G716" s="19" t="n"/>
      <c r="H716" s="19" t="n"/>
      <c r="I716" s="19" t="n"/>
      <c r="J716" s="19" t="n"/>
      <c r="K716" s="19" t="n"/>
      <c r="L716" s="20" t="n"/>
      <c r="M716" s="20" t="n"/>
      <c r="N716" s="20" t="n"/>
      <c r="O716" s="20" t="n"/>
      <c r="P716" s="19" t="n"/>
      <c r="Q716" s="19" t="n"/>
      <c r="R716" s="20" t="n"/>
      <c r="S716" s="20" t="n"/>
      <c r="T716" s="19" t="n"/>
      <c r="U716" s="19" t="n"/>
      <c r="V716" s="19" t="n"/>
      <c r="W716" s="19" t="n"/>
      <c r="X716" s="19" t="n"/>
      <c r="Y716" s="19" t="n"/>
      <c r="Z716" s="21">
        <f>IF(AND($A716="",$B716=""),"",IF(OR($E716="",$H716="",$H716="Proposed",$H716="Not Reported"),0,IF(AND($P716="Y",$Q716&lt;&gt;"Y"),0,IF(AND($K716="Point",N($L716)&lt;=0),0,IF(AND(N($L716)&lt;=0,N($N716)&lt;=0,N($R716)+N($S716)&lt;=0),0,1)))))</f>
        <v/>
      </c>
      <c r="AA716" s="21">
        <f>IF(AND($A716="",$B716=""),"",IF($E716="","Site type missing",IF($H716="","STATUS missing",IF($H716="Proposed","STATUS = Proposed",IF($H716="Not Reported","STATUS = Not Reported",IF(AND($P716="Y",$Q716&lt;&gt;"Y"),"UNESCO-MAB Biosphere Reserve",IF(AND($K716="Point",N($L716)&lt;=0),"Point without REP_AREA",IF(AND(N($L716)&lt;=0,N($N716)&lt;=0,N($R716)+N($S716)&lt;=0),"No area information",""))))))))</f>
        <v/>
      </c>
      <c r="AB716" s="22">
        <f>IF(AND($A716="",$B716=""),"",IF($K716="Point",N($L716),IF(N($N716)&gt;0,N($N716),N($L716))))</f>
        <v/>
      </c>
      <c r="AC716" s="22">
        <f>IF(AND($A716="",$B716=""),"",MIN(AB716,IF(N($J716)=0,0,IF(N($J716)=2,AB716,IF(AND($K716&lt;&gt;"Point",N($O716)&gt;0),N($O716),N($M716))))))</f>
        <v/>
      </c>
      <c r="AD716" s="22">
        <f>IF(AND($A716="",$B716=""),"",MAX(0,AB716-AC716))</f>
        <v/>
      </c>
      <c r="AE716" s="21">
        <f>IF(AND($A716="",$B716=""),"",IF(OR($R716&lt;&gt;"",$S716&lt;&gt;""),1,0))</f>
        <v/>
      </c>
      <c r="AF716" s="22">
        <f>IF(AND($A716="",$B716=""),"",IF(Z716=1,IF(AE716=1,N($R716),AD716),0))</f>
        <v/>
      </c>
      <c r="AG716" s="22">
        <f>IF(AND($A716="",$B716=""),"",IF(Z716=1,IF(AE716=1,N($S716),AC716),0))</f>
        <v/>
      </c>
      <c r="AH716" s="21">
        <f>IF(AND($A716="",$B716=""),"",IF(AND(ISNUMBER($I716),N($I716)&gt;0),$I716,0))</f>
        <v/>
      </c>
      <c r="AI716" s="23">
        <f>IF(AND(NOT(AND($A716="",$B716="")),$K716="Point",N($L716)&gt;0),SQRT(N($L716)/PI()),"")</f>
        <v/>
      </c>
      <c r="AJ716" s="21">
        <f>IF(AND($A716="",$B716=""),"",IFERROR(VLOOKUP($G716,Lists!$D$4:$E$15,2,FALSE),"Not reported"))</f>
        <v/>
      </c>
      <c r="AK716" s="21">
        <f>IF(AND($A716="",$B716=""),"",IF($X716&lt;&gt;"",$X716,IF($T716&lt;&gt;"Y","Not assessed",IF(AND(ISNUMBER($V716),Setup!$B$6-$V716&gt;Setup!$B$26),"Assessment outdated",IF(NOT(ISNUMBER($W716)),"Assessed – no score",IF($W716&gt;=Setup!$B$24,"High",IF($W716&gt;=Setup!$B$25,"Moderate","Low")))))))</f>
        <v/>
      </c>
      <c r="AL716" s="21">
        <f>IF(AND($A716="",$B716=""),"",IF(Z716=0,"",IF(AND(AE716=1,N($R716)&gt;AD716*1.01+0.001),"Net terrestrial &gt; gross; ","")&amp;IF(AND(AE716=1,N($S716)&gt;AC716*1.01+0.001),"Net marine &gt; gross; ","")&amp;IF(AE716=0,"No net area – gross used, overlaps may be double-counted; ","")&amp;IF(AH716=0,"STATUS_YR missing – imputed in time series; ","")&amp;IF(AND(ISNUMBER($I716),N($I716)&gt;Setup!$B$6),"STATUS_YR after reporting year; ","")&amp;IF(OR($G716="",$G716="Not Reported"),"GOV_TYPE not reported; ","")&amp;IF(AND(N($J716)=1,$K716="Point",N($M716)&lt;=0),"Coastal point without REP_M_AREA – land/sea split unknown; ","")&amp;IF(AND(N($J716)=0,N($S716)&gt;0),"MARINE=0 but net marine &gt;0; ","")&amp;IF(AND(N($J716)=2,N($R716)&gt;0),"MARINE=2 but net terrestrial &gt;0; ","")&amp;IF($K716="Point","Buffered point – coverage approximate; ","")))</f>
        <v/>
      </c>
    </row>
    <row r="717">
      <c r="A717" s="19" t="n"/>
      <c r="B717" s="19" t="n"/>
      <c r="C717" s="19" t="n"/>
      <c r="D717" s="19" t="n"/>
      <c r="E717" s="19" t="n"/>
      <c r="F717" s="19" t="n"/>
      <c r="G717" s="19" t="n"/>
      <c r="H717" s="19" t="n"/>
      <c r="I717" s="19" t="n"/>
      <c r="J717" s="19" t="n"/>
      <c r="K717" s="19" t="n"/>
      <c r="L717" s="20" t="n"/>
      <c r="M717" s="20" t="n"/>
      <c r="N717" s="20" t="n"/>
      <c r="O717" s="20" t="n"/>
      <c r="P717" s="19" t="n"/>
      <c r="Q717" s="19" t="n"/>
      <c r="R717" s="20" t="n"/>
      <c r="S717" s="20" t="n"/>
      <c r="T717" s="19" t="n"/>
      <c r="U717" s="19" t="n"/>
      <c r="V717" s="19" t="n"/>
      <c r="W717" s="19" t="n"/>
      <c r="X717" s="19" t="n"/>
      <c r="Y717" s="19" t="n"/>
      <c r="Z717" s="21">
        <f>IF(AND($A717="",$B717=""),"",IF(OR($E717="",$H717="",$H717="Proposed",$H717="Not Reported"),0,IF(AND($P717="Y",$Q717&lt;&gt;"Y"),0,IF(AND($K717="Point",N($L717)&lt;=0),0,IF(AND(N($L717)&lt;=0,N($N717)&lt;=0,N($R717)+N($S717)&lt;=0),0,1)))))</f>
        <v/>
      </c>
      <c r="AA717" s="21">
        <f>IF(AND($A717="",$B717=""),"",IF($E717="","Site type missing",IF($H717="","STATUS missing",IF($H717="Proposed","STATUS = Proposed",IF($H717="Not Reported","STATUS = Not Reported",IF(AND($P717="Y",$Q717&lt;&gt;"Y"),"UNESCO-MAB Biosphere Reserve",IF(AND($K717="Point",N($L717)&lt;=0),"Point without REP_AREA",IF(AND(N($L717)&lt;=0,N($N717)&lt;=0,N($R717)+N($S717)&lt;=0),"No area information",""))))))))</f>
        <v/>
      </c>
      <c r="AB717" s="22">
        <f>IF(AND($A717="",$B717=""),"",IF($K717="Point",N($L717),IF(N($N717)&gt;0,N($N717),N($L717))))</f>
        <v/>
      </c>
      <c r="AC717" s="22">
        <f>IF(AND($A717="",$B717=""),"",MIN(AB717,IF(N($J717)=0,0,IF(N($J717)=2,AB717,IF(AND($K717&lt;&gt;"Point",N($O717)&gt;0),N($O717),N($M717))))))</f>
        <v/>
      </c>
      <c r="AD717" s="22">
        <f>IF(AND($A717="",$B717=""),"",MAX(0,AB717-AC717))</f>
        <v/>
      </c>
      <c r="AE717" s="21">
        <f>IF(AND($A717="",$B717=""),"",IF(OR($R717&lt;&gt;"",$S717&lt;&gt;""),1,0))</f>
        <v/>
      </c>
      <c r="AF717" s="22">
        <f>IF(AND($A717="",$B717=""),"",IF(Z717=1,IF(AE717=1,N($R717),AD717),0))</f>
        <v/>
      </c>
      <c r="AG717" s="22">
        <f>IF(AND($A717="",$B717=""),"",IF(Z717=1,IF(AE717=1,N($S717),AC717),0))</f>
        <v/>
      </c>
      <c r="AH717" s="21">
        <f>IF(AND($A717="",$B717=""),"",IF(AND(ISNUMBER($I717),N($I717)&gt;0),$I717,0))</f>
        <v/>
      </c>
      <c r="AI717" s="23">
        <f>IF(AND(NOT(AND($A717="",$B717="")),$K717="Point",N($L717)&gt;0),SQRT(N($L717)/PI()),"")</f>
        <v/>
      </c>
      <c r="AJ717" s="21">
        <f>IF(AND($A717="",$B717=""),"",IFERROR(VLOOKUP($G717,Lists!$D$4:$E$15,2,FALSE),"Not reported"))</f>
        <v/>
      </c>
      <c r="AK717" s="21">
        <f>IF(AND($A717="",$B717=""),"",IF($X717&lt;&gt;"",$X717,IF($T717&lt;&gt;"Y","Not assessed",IF(AND(ISNUMBER($V717),Setup!$B$6-$V717&gt;Setup!$B$26),"Assessment outdated",IF(NOT(ISNUMBER($W717)),"Assessed – no score",IF($W717&gt;=Setup!$B$24,"High",IF($W717&gt;=Setup!$B$25,"Moderate","Low")))))))</f>
        <v/>
      </c>
      <c r="AL717" s="21">
        <f>IF(AND($A717="",$B717=""),"",IF(Z717=0,"",IF(AND(AE717=1,N($R717)&gt;AD717*1.01+0.001),"Net terrestrial &gt; gross; ","")&amp;IF(AND(AE717=1,N($S717)&gt;AC717*1.01+0.001),"Net marine &gt; gross; ","")&amp;IF(AE717=0,"No net area – gross used, overlaps may be double-counted; ","")&amp;IF(AH717=0,"STATUS_YR missing – imputed in time series; ","")&amp;IF(AND(ISNUMBER($I717),N($I717)&gt;Setup!$B$6),"STATUS_YR after reporting year; ","")&amp;IF(OR($G717="",$G717="Not Reported"),"GOV_TYPE not reported; ","")&amp;IF(AND(N($J717)=1,$K717="Point",N($M717)&lt;=0),"Coastal point without REP_M_AREA – land/sea split unknown; ","")&amp;IF(AND(N($J717)=0,N($S717)&gt;0),"MARINE=0 but net marine &gt;0; ","")&amp;IF(AND(N($J717)=2,N($R717)&gt;0),"MARINE=2 but net terrestrial &gt;0; ","")&amp;IF($K717="Point","Buffered point – coverage approximate; ","")))</f>
        <v/>
      </c>
    </row>
    <row r="718">
      <c r="A718" s="19" t="n"/>
      <c r="B718" s="19" t="n"/>
      <c r="C718" s="19" t="n"/>
      <c r="D718" s="19" t="n"/>
      <c r="E718" s="19" t="n"/>
      <c r="F718" s="19" t="n"/>
      <c r="G718" s="19" t="n"/>
      <c r="H718" s="19" t="n"/>
      <c r="I718" s="19" t="n"/>
      <c r="J718" s="19" t="n"/>
      <c r="K718" s="19" t="n"/>
      <c r="L718" s="20" t="n"/>
      <c r="M718" s="20" t="n"/>
      <c r="N718" s="20" t="n"/>
      <c r="O718" s="20" t="n"/>
      <c r="P718" s="19" t="n"/>
      <c r="Q718" s="19" t="n"/>
      <c r="R718" s="20" t="n"/>
      <c r="S718" s="20" t="n"/>
      <c r="T718" s="19" t="n"/>
      <c r="U718" s="19" t="n"/>
      <c r="V718" s="19" t="n"/>
      <c r="W718" s="19" t="n"/>
      <c r="X718" s="19" t="n"/>
      <c r="Y718" s="19" t="n"/>
      <c r="Z718" s="21">
        <f>IF(AND($A718="",$B718=""),"",IF(OR($E718="",$H718="",$H718="Proposed",$H718="Not Reported"),0,IF(AND($P718="Y",$Q718&lt;&gt;"Y"),0,IF(AND($K718="Point",N($L718)&lt;=0),0,IF(AND(N($L718)&lt;=0,N($N718)&lt;=0,N($R718)+N($S718)&lt;=0),0,1)))))</f>
        <v/>
      </c>
      <c r="AA718" s="21">
        <f>IF(AND($A718="",$B718=""),"",IF($E718="","Site type missing",IF($H718="","STATUS missing",IF($H718="Proposed","STATUS = Proposed",IF($H718="Not Reported","STATUS = Not Reported",IF(AND($P718="Y",$Q718&lt;&gt;"Y"),"UNESCO-MAB Biosphere Reserve",IF(AND($K718="Point",N($L718)&lt;=0),"Point without REP_AREA",IF(AND(N($L718)&lt;=0,N($N718)&lt;=0,N($R718)+N($S718)&lt;=0),"No area information",""))))))))</f>
        <v/>
      </c>
      <c r="AB718" s="22">
        <f>IF(AND($A718="",$B718=""),"",IF($K718="Point",N($L718),IF(N($N718)&gt;0,N($N718),N($L718))))</f>
        <v/>
      </c>
      <c r="AC718" s="22">
        <f>IF(AND($A718="",$B718=""),"",MIN(AB718,IF(N($J718)=0,0,IF(N($J718)=2,AB718,IF(AND($K718&lt;&gt;"Point",N($O718)&gt;0),N($O718),N($M718))))))</f>
        <v/>
      </c>
      <c r="AD718" s="22">
        <f>IF(AND($A718="",$B718=""),"",MAX(0,AB718-AC718))</f>
        <v/>
      </c>
      <c r="AE718" s="21">
        <f>IF(AND($A718="",$B718=""),"",IF(OR($R718&lt;&gt;"",$S718&lt;&gt;""),1,0))</f>
        <v/>
      </c>
      <c r="AF718" s="22">
        <f>IF(AND($A718="",$B718=""),"",IF(Z718=1,IF(AE718=1,N($R718),AD718),0))</f>
        <v/>
      </c>
      <c r="AG718" s="22">
        <f>IF(AND($A718="",$B718=""),"",IF(Z718=1,IF(AE718=1,N($S718),AC718),0))</f>
        <v/>
      </c>
      <c r="AH718" s="21">
        <f>IF(AND($A718="",$B718=""),"",IF(AND(ISNUMBER($I718),N($I718)&gt;0),$I718,0))</f>
        <v/>
      </c>
      <c r="AI718" s="23">
        <f>IF(AND(NOT(AND($A718="",$B718="")),$K718="Point",N($L718)&gt;0),SQRT(N($L718)/PI()),"")</f>
        <v/>
      </c>
      <c r="AJ718" s="21">
        <f>IF(AND($A718="",$B718=""),"",IFERROR(VLOOKUP($G718,Lists!$D$4:$E$15,2,FALSE),"Not reported"))</f>
        <v/>
      </c>
      <c r="AK718" s="21">
        <f>IF(AND($A718="",$B718=""),"",IF($X718&lt;&gt;"",$X718,IF($T718&lt;&gt;"Y","Not assessed",IF(AND(ISNUMBER($V718),Setup!$B$6-$V718&gt;Setup!$B$26),"Assessment outdated",IF(NOT(ISNUMBER($W718)),"Assessed – no score",IF($W718&gt;=Setup!$B$24,"High",IF($W718&gt;=Setup!$B$25,"Moderate","Low")))))))</f>
        <v/>
      </c>
      <c r="AL718" s="21">
        <f>IF(AND($A718="",$B718=""),"",IF(Z718=0,"",IF(AND(AE718=1,N($R718)&gt;AD718*1.01+0.001),"Net terrestrial &gt; gross; ","")&amp;IF(AND(AE718=1,N($S718)&gt;AC718*1.01+0.001),"Net marine &gt; gross; ","")&amp;IF(AE718=0,"No net area – gross used, overlaps may be double-counted; ","")&amp;IF(AH718=0,"STATUS_YR missing – imputed in time series; ","")&amp;IF(AND(ISNUMBER($I718),N($I718)&gt;Setup!$B$6),"STATUS_YR after reporting year; ","")&amp;IF(OR($G718="",$G718="Not Reported"),"GOV_TYPE not reported; ","")&amp;IF(AND(N($J718)=1,$K718="Point",N($M718)&lt;=0),"Coastal point without REP_M_AREA – land/sea split unknown; ","")&amp;IF(AND(N($J718)=0,N($S718)&gt;0),"MARINE=0 but net marine &gt;0; ","")&amp;IF(AND(N($J718)=2,N($R718)&gt;0),"MARINE=2 but net terrestrial &gt;0; ","")&amp;IF($K718="Point","Buffered point – coverage approximate; ","")))</f>
        <v/>
      </c>
    </row>
    <row r="719">
      <c r="A719" s="19" t="n"/>
      <c r="B719" s="19" t="n"/>
      <c r="C719" s="19" t="n"/>
      <c r="D719" s="19" t="n"/>
      <c r="E719" s="19" t="n"/>
      <c r="F719" s="19" t="n"/>
      <c r="G719" s="19" t="n"/>
      <c r="H719" s="19" t="n"/>
      <c r="I719" s="19" t="n"/>
      <c r="J719" s="19" t="n"/>
      <c r="K719" s="19" t="n"/>
      <c r="L719" s="20" t="n"/>
      <c r="M719" s="20" t="n"/>
      <c r="N719" s="20" t="n"/>
      <c r="O719" s="20" t="n"/>
      <c r="P719" s="19" t="n"/>
      <c r="Q719" s="19" t="n"/>
      <c r="R719" s="20" t="n"/>
      <c r="S719" s="20" t="n"/>
      <c r="T719" s="19" t="n"/>
      <c r="U719" s="19" t="n"/>
      <c r="V719" s="19" t="n"/>
      <c r="W719" s="19" t="n"/>
      <c r="X719" s="19" t="n"/>
      <c r="Y719" s="19" t="n"/>
      <c r="Z719" s="21">
        <f>IF(AND($A719="",$B719=""),"",IF(OR($E719="",$H719="",$H719="Proposed",$H719="Not Reported"),0,IF(AND($P719="Y",$Q719&lt;&gt;"Y"),0,IF(AND($K719="Point",N($L719)&lt;=0),0,IF(AND(N($L719)&lt;=0,N($N719)&lt;=0,N($R719)+N($S719)&lt;=0),0,1)))))</f>
        <v/>
      </c>
      <c r="AA719" s="21">
        <f>IF(AND($A719="",$B719=""),"",IF($E719="","Site type missing",IF($H719="","STATUS missing",IF($H719="Proposed","STATUS = Proposed",IF($H719="Not Reported","STATUS = Not Reported",IF(AND($P719="Y",$Q719&lt;&gt;"Y"),"UNESCO-MAB Biosphere Reserve",IF(AND($K719="Point",N($L719)&lt;=0),"Point without REP_AREA",IF(AND(N($L719)&lt;=0,N($N719)&lt;=0,N($R719)+N($S719)&lt;=0),"No area information",""))))))))</f>
        <v/>
      </c>
      <c r="AB719" s="22">
        <f>IF(AND($A719="",$B719=""),"",IF($K719="Point",N($L719),IF(N($N719)&gt;0,N($N719),N($L719))))</f>
        <v/>
      </c>
      <c r="AC719" s="22">
        <f>IF(AND($A719="",$B719=""),"",MIN(AB719,IF(N($J719)=0,0,IF(N($J719)=2,AB719,IF(AND($K719&lt;&gt;"Point",N($O719)&gt;0),N($O719),N($M719))))))</f>
        <v/>
      </c>
      <c r="AD719" s="22">
        <f>IF(AND($A719="",$B719=""),"",MAX(0,AB719-AC719))</f>
        <v/>
      </c>
      <c r="AE719" s="21">
        <f>IF(AND($A719="",$B719=""),"",IF(OR($R719&lt;&gt;"",$S719&lt;&gt;""),1,0))</f>
        <v/>
      </c>
      <c r="AF719" s="22">
        <f>IF(AND($A719="",$B719=""),"",IF(Z719=1,IF(AE719=1,N($R719),AD719),0))</f>
        <v/>
      </c>
      <c r="AG719" s="22">
        <f>IF(AND($A719="",$B719=""),"",IF(Z719=1,IF(AE719=1,N($S719),AC719),0))</f>
        <v/>
      </c>
      <c r="AH719" s="21">
        <f>IF(AND($A719="",$B719=""),"",IF(AND(ISNUMBER($I719),N($I719)&gt;0),$I719,0))</f>
        <v/>
      </c>
      <c r="AI719" s="23">
        <f>IF(AND(NOT(AND($A719="",$B719="")),$K719="Point",N($L719)&gt;0),SQRT(N($L719)/PI()),"")</f>
        <v/>
      </c>
      <c r="AJ719" s="21">
        <f>IF(AND($A719="",$B719=""),"",IFERROR(VLOOKUP($G719,Lists!$D$4:$E$15,2,FALSE),"Not reported"))</f>
        <v/>
      </c>
      <c r="AK719" s="21">
        <f>IF(AND($A719="",$B719=""),"",IF($X719&lt;&gt;"",$X719,IF($T719&lt;&gt;"Y","Not assessed",IF(AND(ISNUMBER($V719),Setup!$B$6-$V719&gt;Setup!$B$26),"Assessment outdated",IF(NOT(ISNUMBER($W719)),"Assessed – no score",IF($W719&gt;=Setup!$B$24,"High",IF($W719&gt;=Setup!$B$25,"Moderate","Low")))))))</f>
        <v/>
      </c>
      <c r="AL719" s="21">
        <f>IF(AND($A719="",$B719=""),"",IF(Z719=0,"",IF(AND(AE719=1,N($R719)&gt;AD719*1.01+0.001),"Net terrestrial &gt; gross; ","")&amp;IF(AND(AE719=1,N($S719)&gt;AC719*1.01+0.001),"Net marine &gt; gross; ","")&amp;IF(AE719=0,"No net area – gross used, overlaps may be double-counted; ","")&amp;IF(AH719=0,"STATUS_YR missing – imputed in time series; ","")&amp;IF(AND(ISNUMBER($I719),N($I719)&gt;Setup!$B$6),"STATUS_YR after reporting year; ","")&amp;IF(OR($G719="",$G719="Not Reported"),"GOV_TYPE not reported; ","")&amp;IF(AND(N($J719)=1,$K719="Point",N($M719)&lt;=0),"Coastal point without REP_M_AREA – land/sea split unknown; ","")&amp;IF(AND(N($J719)=0,N($S719)&gt;0),"MARINE=0 but net marine &gt;0; ","")&amp;IF(AND(N($J719)=2,N($R719)&gt;0),"MARINE=2 but net terrestrial &gt;0; ","")&amp;IF($K719="Point","Buffered point – coverage approximate; ","")))</f>
        <v/>
      </c>
    </row>
    <row r="720">
      <c r="A720" s="19" t="n"/>
      <c r="B720" s="19" t="n"/>
      <c r="C720" s="19" t="n"/>
      <c r="D720" s="19" t="n"/>
      <c r="E720" s="19" t="n"/>
      <c r="F720" s="19" t="n"/>
      <c r="G720" s="19" t="n"/>
      <c r="H720" s="19" t="n"/>
      <c r="I720" s="19" t="n"/>
      <c r="J720" s="19" t="n"/>
      <c r="K720" s="19" t="n"/>
      <c r="L720" s="20" t="n"/>
      <c r="M720" s="20" t="n"/>
      <c r="N720" s="20" t="n"/>
      <c r="O720" s="20" t="n"/>
      <c r="P720" s="19" t="n"/>
      <c r="Q720" s="19" t="n"/>
      <c r="R720" s="20" t="n"/>
      <c r="S720" s="20" t="n"/>
      <c r="T720" s="19" t="n"/>
      <c r="U720" s="19" t="n"/>
      <c r="V720" s="19" t="n"/>
      <c r="W720" s="19" t="n"/>
      <c r="X720" s="19" t="n"/>
      <c r="Y720" s="19" t="n"/>
      <c r="Z720" s="21">
        <f>IF(AND($A720="",$B720=""),"",IF(OR($E720="",$H720="",$H720="Proposed",$H720="Not Reported"),0,IF(AND($P720="Y",$Q720&lt;&gt;"Y"),0,IF(AND($K720="Point",N($L720)&lt;=0),0,IF(AND(N($L720)&lt;=0,N($N720)&lt;=0,N($R720)+N($S720)&lt;=0),0,1)))))</f>
        <v/>
      </c>
      <c r="AA720" s="21">
        <f>IF(AND($A720="",$B720=""),"",IF($E720="","Site type missing",IF($H720="","STATUS missing",IF($H720="Proposed","STATUS = Proposed",IF($H720="Not Reported","STATUS = Not Reported",IF(AND($P720="Y",$Q720&lt;&gt;"Y"),"UNESCO-MAB Biosphere Reserve",IF(AND($K720="Point",N($L720)&lt;=0),"Point without REP_AREA",IF(AND(N($L720)&lt;=0,N($N720)&lt;=0,N($R720)+N($S720)&lt;=0),"No area information",""))))))))</f>
        <v/>
      </c>
      <c r="AB720" s="22">
        <f>IF(AND($A720="",$B720=""),"",IF($K720="Point",N($L720),IF(N($N720)&gt;0,N($N720),N($L720))))</f>
        <v/>
      </c>
      <c r="AC720" s="22">
        <f>IF(AND($A720="",$B720=""),"",MIN(AB720,IF(N($J720)=0,0,IF(N($J720)=2,AB720,IF(AND($K720&lt;&gt;"Point",N($O720)&gt;0),N($O720),N($M720))))))</f>
        <v/>
      </c>
      <c r="AD720" s="22">
        <f>IF(AND($A720="",$B720=""),"",MAX(0,AB720-AC720))</f>
        <v/>
      </c>
      <c r="AE720" s="21">
        <f>IF(AND($A720="",$B720=""),"",IF(OR($R720&lt;&gt;"",$S720&lt;&gt;""),1,0))</f>
        <v/>
      </c>
      <c r="AF720" s="22">
        <f>IF(AND($A720="",$B720=""),"",IF(Z720=1,IF(AE720=1,N($R720),AD720),0))</f>
        <v/>
      </c>
      <c r="AG720" s="22">
        <f>IF(AND($A720="",$B720=""),"",IF(Z720=1,IF(AE720=1,N($S720),AC720),0))</f>
        <v/>
      </c>
      <c r="AH720" s="21">
        <f>IF(AND($A720="",$B720=""),"",IF(AND(ISNUMBER($I720),N($I720)&gt;0),$I720,0))</f>
        <v/>
      </c>
      <c r="AI720" s="23">
        <f>IF(AND(NOT(AND($A720="",$B720="")),$K720="Point",N($L720)&gt;0),SQRT(N($L720)/PI()),"")</f>
        <v/>
      </c>
      <c r="AJ720" s="21">
        <f>IF(AND($A720="",$B720=""),"",IFERROR(VLOOKUP($G720,Lists!$D$4:$E$15,2,FALSE),"Not reported"))</f>
        <v/>
      </c>
      <c r="AK720" s="21">
        <f>IF(AND($A720="",$B720=""),"",IF($X720&lt;&gt;"",$X720,IF($T720&lt;&gt;"Y","Not assessed",IF(AND(ISNUMBER($V720),Setup!$B$6-$V720&gt;Setup!$B$26),"Assessment outdated",IF(NOT(ISNUMBER($W720)),"Assessed – no score",IF($W720&gt;=Setup!$B$24,"High",IF($W720&gt;=Setup!$B$25,"Moderate","Low")))))))</f>
        <v/>
      </c>
      <c r="AL720" s="21">
        <f>IF(AND($A720="",$B720=""),"",IF(Z720=0,"",IF(AND(AE720=1,N($R720)&gt;AD720*1.01+0.001),"Net terrestrial &gt; gross; ","")&amp;IF(AND(AE720=1,N($S720)&gt;AC720*1.01+0.001),"Net marine &gt; gross; ","")&amp;IF(AE720=0,"No net area – gross used, overlaps may be double-counted; ","")&amp;IF(AH720=0,"STATUS_YR missing – imputed in time series; ","")&amp;IF(AND(ISNUMBER($I720),N($I720)&gt;Setup!$B$6),"STATUS_YR after reporting year; ","")&amp;IF(OR($G720="",$G720="Not Reported"),"GOV_TYPE not reported; ","")&amp;IF(AND(N($J720)=1,$K720="Point",N($M720)&lt;=0),"Coastal point without REP_M_AREA – land/sea split unknown; ","")&amp;IF(AND(N($J720)=0,N($S720)&gt;0),"MARINE=0 but net marine &gt;0; ","")&amp;IF(AND(N($J720)=2,N($R720)&gt;0),"MARINE=2 but net terrestrial &gt;0; ","")&amp;IF($K720="Point","Buffered point – coverage approximate; ","")))</f>
        <v/>
      </c>
    </row>
    <row r="721">
      <c r="A721" s="19" t="n"/>
      <c r="B721" s="19" t="n"/>
      <c r="C721" s="19" t="n"/>
      <c r="D721" s="19" t="n"/>
      <c r="E721" s="19" t="n"/>
      <c r="F721" s="19" t="n"/>
      <c r="G721" s="19" t="n"/>
      <c r="H721" s="19" t="n"/>
      <c r="I721" s="19" t="n"/>
      <c r="J721" s="19" t="n"/>
      <c r="K721" s="19" t="n"/>
      <c r="L721" s="20" t="n"/>
      <c r="M721" s="20" t="n"/>
      <c r="N721" s="20" t="n"/>
      <c r="O721" s="20" t="n"/>
      <c r="P721" s="19" t="n"/>
      <c r="Q721" s="19" t="n"/>
      <c r="R721" s="20" t="n"/>
      <c r="S721" s="20" t="n"/>
      <c r="T721" s="19" t="n"/>
      <c r="U721" s="19" t="n"/>
      <c r="V721" s="19" t="n"/>
      <c r="W721" s="19" t="n"/>
      <c r="X721" s="19" t="n"/>
      <c r="Y721" s="19" t="n"/>
      <c r="Z721" s="21">
        <f>IF(AND($A721="",$B721=""),"",IF(OR($E721="",$H721="",$H721="Proposed",$H721="Not Reported"),0,IF(AND($P721="Y",$Q721&lt;&gt;"Y"),0,IF(AND($K721="Point",N($L721)&lt;=0),0,IF(AND(N($L721)&lt;=0,N($N721)&lt;=0,N($R721)+N($S721)&lt;=0),0,1)))))</f>
        <v/>
      </c>
      <c r="AA721" s="21">
        <f>IF(AND($A721="",$B721=""),"",IF($E721="","Site type missing",IF($H721="","STATUS missing",IF($H721="Proposed","STATUS = Proposed",IF($H721="Not Reported","STATUS = Not Reported",IF(AND($P721="Y",$Q721&lt;&gt;"Y"),"UNESCO-MAB Biosphere Reserve",IF(AND($K721="Point",N($L721)&lt;=0),"Point without REP_AREA",IF(AND(N($L721)&lt;=0,N($N721)&lt;=0,N($R721)+N($S721)&lt;=0),"No area information",""))))))))</f>
        <v/>
      </c>
      <c r="AB721" s="22">
        <f>IF(AND($A721="",$B721=""),"",IF($K721="Point",N($L721),IF(N($N721)&gt;0,N($N721),N($L721))))</f>
        <v/>
      </c>
      <c r="AC721" s="22">
        <f>IF(AND($A721="",$B721=""),"",MIN(AB721,IF(N($J721)=0,0,IF(N($J721)=2,AB721,IF(AND($K721&lt;&gt;"Point",N($O721)&gt;0),N($O721),N($M721))))))</f>
        <v/>
      </c>
      <c r="AD721" s="22">
        <f>IF(AND($A721="",$B721=""),"",MAX(0,AB721-AC721))</f>
        <v/>
      </c>
      <c r="AE721" s="21">
        <f>IF(AND($A721="",$B721=""),"",IF(OR($R721&lt;&gt;"",$S721&lt;&gt;""),1,0))</f>
        <v/>
      </c>
      <c r="AF721" s="22">
        <f>IF(AND($A721="",$B721=""),"",IF(Z721=1,IF(AE721=1,N($R721),AD721),0))</f>
        <v/>
      </c>
      <c r="AG721" s="22">
        <f>IF(AND($A721="",$B721=""),"",IF(Z721=1,IF(AE721=1,N($S721),AC721),0))</f>
        <v/>
      </c>
      <c r="AH721" s="21">
        <f>IF(AND($A721="",$B721=""),"",IF(AND(ISNUMBER($I721),N($I721)&gt;0),$I721,0))</f>
        <v/>
      </c>
      <c r="AI721" s="23">
        <f>IF(AND(NOT(AND($A721="",$B721="")),$K721="Point",N($L721)&gt;0),SQRT(N($L721)/PI()),"")</f>
        <v/>
      </c>
      <c r="AJ721" s="21">
        <f>IF(AND($A721="",$B721=""),"",IFERROR(VLOOKUP($G721,Lists!$D$4:$E$15,2,FALSE),"Not reported"))</f>
        <v/>
      </c>
      <c r="AK721" s="21">
        <f>IF(AND($A721="",$B721=""),"",IF($X721&lt;&gt;"",$X721,IF($T721&lt;&gt;"Y","Not assessed",IF(AND(ISNUMBER($V721),Setup!$B$6-$V721&gt;Setup!$B$26),"Assessment outdated",IF(NOT(ISNUMBER($W721)),"Assessed – no score",IF($W721&gt;=Setup!$B$24,"High",IF($W721&gt;=Setup!$B$25,"Moderate","Low")))))))</f>
        <v/>
      </c>
      <c r="AL721" s="21">
        <f>IF(AND($A721="",$B721=""),"",IF(Z721=0,"",IF(AND(AE721=1,N($R721)&gt;AD721*1.01+0.001),"Net terrestrial &gt; gross; ","")&amp;IF(AND(AE721=1,N($S721)&gt;AC721*1.01+0.001),"Net marine &gt; gross; ","")&amp;IF(AE721=0,"No net area – gross used, overlaps may be double-counted; ","")&amp;IF(AH721=0,"STATUS_YR missing – imputed in time series; ","")&amp;IF(AND(ISNUMBER($I721),N($I721)&gt;Setup!$B$6),"STATUS_YR after reporting year; ","")&amp;IF(OR($G721="",$G721="Not Reported"),"GOV_TYPE not reported; ","")&amp;IF(AND(N($J721)=1,$K721="Point",N($M721)&lt;=0),"Coastal point without REP_M_AREA – land/sea split unknown; ","")&amp;IF(AND(N($J721)=0,N($S721)&gt;0),"MARINE=0 but net marine &gt;0; ","")&amp;IF(AND(N($J721)=2,N($R721)&gt;0),"MARINE=2 but net terrestrial &gt;0; ","")&amp;IF($K721="Point","Buffered point – coverage approximate; ","")))</f>
        <v/>
      </c>
    </row>
    <row r="722">
      <c r="A722" s="19" t="n"/>
      <c r="B722" s="19" t="n"/>
      <c r="C722" s="19" t="n"/>
      <c r="D722" s="19" t="n"/>
      <c r="E722" s="19" t="n"/>
      <c r="F722" s="19" t="n"/>
      <c r="G722" s="19" t="n"/>
      <c r="H722" s="19" t="n"/>
      <c r="I722" s="19" t="n"/>
      <c r="J722" s="19" t="n"/>
      <c r="K722" s="19" t="n"/>
      <c r="L722" s="20" t="n"/>
      <c r="M722" s="20" t="n"/>
      <c r="N722" s="20" t="n"/>
      <c r="O722" s="20" t="n"/>
      <c r="P722" s="19" t="n"/>
      <c r="Q722" s="19" t="n"/>
      <c r="R722" s="20" t="n"/>
      <c r="S722" s="20" t="n"/>
      <c r="T722" s="19" t="n"/>
      <c r="U722" s="19" t="n"/>
      <c r="V722" s="19" t="n"/>
      <c r="W722" s="19" t="n"/>
      <c r="X722" s="19" t="n"/>
      <c r="Y722" s="19" t="n"/>
      <c r="Z722" s="21">
        <f>IF(AND($A722="",$B722=""),"",IF(OR($E722="",$H722="",$H722="Proposed",$H722="Not Reported"),0,IF(AND($P722="Y",$Q722&lt;&gt;"Y"),0,IF(AND($K722="Point",N($L722)&lt;=0),0,IF(AND(N($L722)&lt;=0,N($N722)&lt;=0,N($R722)+N($S722)&lt;=0),0,1)))))</f>
        <v/>
      </c>
      <c r="AA722" s="21">
        <f>IF(AND($A722="",$B722=""),"",IF($E722="","Site type missing",IF($H722="","STATUS missing",IF($H722="Proposed","STATUS = Proposed",IF($H722="Not Reported","STATUS = Not Reported",IF(AND($P722="Y",$Q722&lt;&gt;"Y"),"UNESCO-MAB Biosphere Reserve",IF(AND($K722="Point",N($L722)&lt;=0),"Point without REP_AREA",IF(AND(N($L722)&lt;=0,N($N722)&lt;=0,N($R722)+N($S722)&lt;=0),"No area information",""))))))))</f>
        <v/>
      </c>
      <c r="AB722" s="22">
        <f>IF(AND($A722="",$B722=""),"",IF($K722="Point",N($L722),IF(N($N722)&gt;0,N($N722),N($L722))))</f>
        <v/>
      </c>
      <c r="AC722" s="22">
        <f>IF(AND($A722="",$B722=""),"",MIN(AB722,IF(N($J722)=0,0,IF(N($J722)=2,AB722,IF(AND($K722&lt;&gt;"Point",N($O722)&gt;0),N($O722),N($M722))))))</f>
        <v/>
      </c>
      <c r="AD722" s="22">
        <f>IF(AND($A722="",$B722=""),"",MAX(0,AB722-AC722))</f>
        <v/>
      </c>
      <c r="AE722" s="21">
        <f>IF(AND($A722="",$B722=""),"",IF(OR($R722&lt;&gt;"",$S722&lt;&gt;""),1,0))</f>
        <v/>
      </c>
      <c r="AF722" s="22">
        <f>IF(AND($A722="",$B722=""),"",IF(Z722=1,IF(AE722=1,N($R722),AD722),0))</f>
        <v/>
      </c>
      <c r="AG722" s="22">
        <f>IF(AND($A722="",$B722=""),"",IF(Z722=1,IF(AE722=1,N($S722),AC722),0))</f>
        <v/>
      </c>
      <c r="AH722" s="21">
        <f>IF(AND($A722="",$B722=""),"",IF(AND(ISNUMBER($I722),N($I722)&gt;0),$I722,0))</f>
        <v/>
      </c>
      <c r="AI722" s="23">
        <f>IF(AND(NOT(AND($A722="",$B722="")),$K722="Point",N($L722)&gt;0),SQRT(N($L722)/PI()),"")</f>
        <v/>
      </c>
      <c r="AJ722" s="21">
        <f>IF(AND($A722="",$B722=""),"",IFERROR(VLOOKUP($G722,Lists!$D$4:$E$15,2,FALSE),"Not reported"))</f>
        <v/>
      </c>
      <c r="AK722" s="21">
        <f>IF(AND($A722="",$B722=""),"",IF($X722&lt;&gt;"",$X722,IF($T722&lt;&gt;"Y","Not assessed",IF(AND(ISNUMBER($V722),Setup!$B$6-$V722&gt;Setup!$B$26),"Assessment outdated",IF(NOT(ISNUMBER($W722)),"Assessed – no score",IF($W722&gt;=Setup!$B$24,"High",IF($W722&gt;=Setup!$B$25,"Moderate","Low")))))))</f>
        <v/>
      </c>
      <c r="AL722" s="21">
        <f>IF(AND($A722="",$B722=""),"",IF(Z722=0,"",IF(AND(AE722=1,N($R722)&gt;AD722*1.01+0.001),"Net terrestrial &gt; gross; ","")&amp;IF(AND(AE722=1,N($S722)&gt;AC722*1.01+0.001),"Net marine &gt; gross; ","")&amp;IF(AE722=0,"No net area – gross used, overlaps may be double-counted; ","")&amp;IF(AH722=0,"STATUS_YR missing – imputed in time series; ","")&amp;IF(AND(ISNUMBER($I722),N($I722)&gt;Setup!$B$6),"STATUS_YR after reporting year; ","")&amp;IF(OR($G722="",$G722="Not Reported"),"GOV_TYPE not reported; ","")&amp;IF(AND(N($J722)=1,$K722="Point",N($M722)&lt;=0),"Coastal point without REP_M_AREA – land/sea split unknown; ","")&amp;IF(AND(N($J722)=0,N($S722)&gt;0),"MARINE=0 but net marine &gt;0; ","")&amp;IF(AND(N($J722)=2,N($R722)&gt;0),"MARINE=2 but net terrestrial &gt;0; ","")&amp;IF($K722="Point","Buffered point – coverage approximate; ","")))</f>
        <v/>
      </c>
    </row>
    <row r="723">
      <c r="A723" s="19" t="n"/>
      <c r="B723" s="19" t="n"/>
      <c r="C723" s="19" t="n"/>
      <c r="D723" s="19" t="n"/>
      <c r="E723" s="19" t="n"/>
      <c r="F723" s="19" t="n"/>
      <c r="G723" s="19" t="n"/>
      <c r="H723" s="19" t="n"/>
      <c r="I723" s="19" t="n"/>
      <c r="J723" s="19" t="n"/>
      <c r="K723" s="19" t="n"/>
      <c r="L723" s="20" t="n"/>
      <c r="M723" s="20" t="n"/>
      <c r="N723" s="20" t="n"/>
      <c r="O723" s="20" t="n"/>
      <c r="P723" s="19" t="n"/>
      <c r="Q723" s="19" t="n"/>
      <c r="R723" s="20" t="n"/>
      <c r="S723" s="20" t="n"/>
      <c r="T723" s="19" t="n"/>
      <c r="U723" s="19" t="n"/>
      <c r="V723" s="19" t="n"/>
      <c r="W723" s="19" t="n"/>
      <c r="X723" s="19" t="n"/>
      <c r="Y723" s="19" t="n"/>
      <c r="Z723" s="21">
        <f>IF(AND($A723="",$B723=""),"",IF(OR($E723="",$H723="",$H723="Proposed",$H723="Not Reported"),0,IF(AND($P723="Y",$Q723&lt;&gt;"Y"),0,IF(AND($K723="Point",N($L723)&lt;=0),0,IF(AND(N($L723)&lt;=0,N($N723)&lt;=0,N($R723)+N($S723)&lt;=0),0,1)))))</f>
        <v/>
      </c>
      <c r="AA723" s="21">
        <f>IF(AND($A723="",$B723=""),"",IF($E723="","Site type missing",IF($H723="","STATUS missing",IF($H723="Proposed","STATUS = Proposed",IF($H723="Not Reported","STATUS = Not Reported",IF(AND($P723="Y",$Q723&lt;&gt;"Y"),"UNESCO-MAB Biosphere Reserve",IF(AND($K723="Point",N($L723)&lt;=0),"Point without REP_AREA",IF(AND(N($L723)&lt;=0,N($N723)&lt;=0,N($R723)+N($S723)&lt;=0),"No area information",""))))))))</f>
        <v/>
      </c>
      <c r="AB723" s="22">
        <f>IF(AND($A723="",$B723=""),"",IF($K723="Point",N($L723),IF(N($N723)&gt;0,N($N723),N($L723))))</f>
        <v/>
      </c>
      <c r="AC723" s="22">
        <f>IF(AND($A723="",$B723=""),"",MIN(AB723,IF(N($J723)=0,0,IF(N($J723)=2,AB723,IF(AND($K723&lt;&gt;"Point",N($O723)&gt;0),N($O723),N($M723))))))</f>
        <v/>
      </c>
      <c r="AD723" s="22">
        <f>IF(AND($A723="",$B723=""),"",MAX(0,AB723-AC723))</f>
        <v/>
      </c>
      <c r="AE723" s="21">
        <f>IF(AND($A723="",$B723=""),"",IF(OR($R723&lt;&gt;"",$S723&lt;&gt;""),1,0))</f>
        <v/>
      </c>
      <c r="AF723" s="22">
        <f>IF(AND($A723="",$B723=""),"",IF(Z723=1,IF(AE723=1,N($R723),AD723),0))</f>
        <v/>
      </c>
      <c r="AG723" s="22">
        <f>IF(AND($A723="",$B723=""),"",IF(Z723=1,IF(AE723=1,N($S723),AC723),0))</f>
        <v/>
      </c>
      <c r="AH723" s="21">
        <f>IF(AND($A723="",$B723=""),"",IF(AND(ISNUMBER($I723),N($I723)&gt;0),$I723,0))</f>
        <v/>
      </c>
      <c r="AI723" s="23">
        <f>IF(AND(NOT(AND($A723="",$B723="")),$K723="Point",N($L723)&gt;0),SQRT(N($L723)/PI()),"")</f>
        <v/>
      </c>
      <c r="AJ723" s="21">
        <f>IF(AND($A723="",$B723=""),"",IFERROR(VLOOKUP($G723,Lists!$D$4:$E$15,2,FALSE),"Not reported"))</f>
        <v/>
      </c>
      <c r="AK723" s="21">
        <f>IF(AND($A723="",$B723=""),"",IF($X723&lt;&gt;"",$X723,IF($T723&lt;&gt;"Y","Not assessed",IF(AND(ISNUMBER($V723),Setup!$B$6-$V723&gt;Setup!$B$26),"Assessment outdated",IF(NOT(ISNUMBER($W723)),"Assessed – no score",IF($W723&gt;=Setup!$B$24,"High",IF($W723&gt;=Setup!$B$25,"Moderate","Low")))))))</f>
        <v/>
      </c>
      <c r="AL723" s="21">
        <f>IF(AND($A723="",$B723=""),"",IF(Z723=0,"",IF(AND(AE723=1,N($R723)&gt;AD723*1.01+0.001),"Net terrestrial &gt; gross; ","")&amp;IF(AND(AE723=1,N($S723)&gt;AC723*1.01+0.001),"Net marine &gt; gross; ","")&amp;IF(AE723=0,"No net area – gross used, overlaps may be double-counted; ","")&amp;IF(AH723=0,"STATUS_YR missing – imputed in time series; ","")&amp;IF(AND(ISNUMBER($I723),N($I723)&gt;Setup!$B$6),"STATUS_YR after reporting year; ","")&amp;IF(OR($G723="",$G723="Not Reported"),"GOV_TYPE not reported; ","")&amp;IF(AND(N($J723)=1,$K723="Point",N($M723)&lt;=0),"Coastal point without REP_M_AREA – land/sea split unknown; ","")&amp;IF(AND(N($J723)=0,N($S723)&gt;0),"MARINE=0 but net marine &gt;0; ","")&amp;IF(AND(N($J723)=2,N($R723)&gt;0),"MARINE=2 but net terrestrial &gt;0; ","")&amp;IF($K723="Point","Buffered point – coverage approximate; ","")))</f>
        <v/>
      </c>
    </row>
    <row r="724">
      <c r="A724" s="19" t="n"/>
      <c r="B724" s="19" t="n"/>
      <c r="C724" s="19" t="n"/>
      <c r="D724" s="19" t="n"/>
      <c r="E724" s="19" t="n"/>
      <c r="F724" s="19" t="n"/>
      <c r="G724" s="19" t="n"/>
      <c r="H724" s="19" t="n"/>
      <c r="I724" s="19" t="n"/>
      <c r="J724" s="19" t="n"/>
      <c r="K724" s="19" t="n"/>
      <c r="L724" s="20" t="n"/>
      <c r="M724" s="20" t="n"/>
      <c r="N724" s="20" t="n"/>
      <c r="O724" s="20" t="n"/>
      <c r="P724" s="19" t="n"/>
      <c r="Q724" s="19" t="n"/>
      <c r="R724" s="20" t="n"/>
      <c r="S724" s="20" t="n"/>
      <c r="T724" s="19" t="n"/>
      <c r="U724" s="19" t="n"/>
      <c r="V724" s="19" t="n"/>
      <c r="W724" s="19" t="n"/>
      <c r="X724" s="19" t="n"/>
      <c r="Y724" s="19" t="n"/>
      <c r="Z724" s="21">
        <f>IF(AND($A724="",$B724=""),"",IF(OR($E724="",$H724="",$H724="Proposed",$H724="Not Reported"),0,IF(AND($P724="Y",$Q724&lt;&gt;"Y"),0,IF(AND($K724="Point",N($L724)&lt;=0),0,IF(AND(N($L724)&lt;=0,N($N724)&lt;=0,N($R724)+N($S724)&lt;=0),0,1)))))</f>
        <v/>
      </c>
      <c r="AA724" s="21">
        <f>IF(AND($A724="",$B724=""),"",IF($E724="","Site type missing",IF($H724="","STATUS missing",IF($H724="Proposed","STATUS = Proposed",IF($H724="Not Reported","STATUS = Not Reported",IF(AND($P724="Y",$Q724&lt;&gt;"Y"),"UNESCO-MAB Biosphere Reserve",IF(AND($K724="Point",N($L724)&lt;=0),"Point without REP_AREA",IF(AND(N($L724)&lt;=0,N($N724)&lt;=0,N($R724)+N($S724)&lt;=0),"No area information",""))))))))</f>
        <v/>
      </c>
      <c r="AB724" s="22">
        <f>IF(AND($A724="",$B724=""),"",IF($K724="Point",N($L724),IF(N($N724)&gt;0,N($N724),N($L724))))</f>
        <v/>
      </c>
      <c r="AC724" s="22">
        <f>IF(AND($A724="",$B724=""),"",MIN(AB724,IF(N($J724)=0,0,IF(N($J724)=2,AB724,IF(AND($K724&lt;&gt;"Point",N($O724)&gt;0),N($O724),N($M724))))))</f>
        <v/>
      </c>
      <c r="AD724" s="22">
        <f>IF(AND($A724="",$B724=""),"",MAX(0,AB724-AC724))</f>
        <v/>
      </c>
      <c r="AE724" s="21">
        <f>IF(AND($A724="",$B724=""),"",IF(OR($R724&lt;&gt;"",$S724&lt;&gt;""),1,0))</f>
        <v/>
      </c>
      <c r="AF724" s="22">
        <f>IF(AND($A724="",$B724=""),"",IF(Z724=1,IF(AE724=1,N($R724),AD724),0))</f>
        <v/>
      </c>
      <c r="AG724" s="22">
        <f>IF(AND($A724="",$B724=""),"",IF(Z724=1,IF(AE724=1,N($S724),AC724),0))</f>
        <v/>
      </c>
      <c r="AH724" s="21">
        <f>IF(AND($A724="",$B724=""),"",IF(AND(ISNUMBER($I724),N($I724)&gt;0),$I724,0))</f>
        <v/>
      </c>
      <c r="AI724" s="23">
        <f>IF(AND(NOT(AND($A724="",$B724="")),$K724="Point",N($L724)&gt;0),SQRT(N($L724)/PI()),"")</f>
        <v/>
      </c>
      <c r="AJ724" s="21">
        <f>IF(AND($A724="",$B724=""),"",IFERROR(VLOOKUP($G724,Lists!$D$4:$E$15,2,FALSE),"Not reported"))</f>
        <v/>
      </c>
      <c r="AK724" s="21">
        <f>IF(AND($A724="",$B724=""),"",IF($X724&lt;&gt;"",$X724,IF($T724&lt;&gt;"Y","Not assessed",IF(AND(ISNUMBER($V724),Setup!$B$6-$V724&gt;Setup!$B$26),"Assessment outdated",IF(NOT(ISNUMBER($W724)),"Assessed – no score",IF($W724&gt;=Setup!$B$24,"High",IF($W724&gt;=Setup!$B$25,"Moderate","Low")))))))</f>
        <v/>
      </c>
      <c r="AL724" s="21">
        <f>IF(AND($A724="",$B724=""),"",IF(Z724=0,"",IF(AND(AE724=1,N($R724)&gt;AD724*1.01+0.001),"Net terrestrial &gt; gross; ","")&amp;IF(AND(AE724=1,N($S724)&gt;AC724*1.01+0.001),"Net marine &gt; gross; ","")&amp;IF(AE724=0,"No net area – gross used, overlaps may be double-counted; ","")&amp;IF(AH724=0,"STATUS_YR missing – imputed in time series; ","")&amp;IF(AND(ISNUMBER($I724),N($I724)&gt;Setup!$B$6),"STATUS_YR after reporting year; ","")&amp;IF(OR($G724="",$G724="Not Reported"),"GOV_TYPE not reported; ","")&amp;IF(AND(N($J724)=1,$K724="Point",N($M724)&lt;=0),"Coastal point without REP_M_AREA – land/sea split unknown; ","")&amp;IF(AND(N($J724)=0,N($S724)&gt;0),"MARINE=0 but net marine &gt;0; ","")&amp;IF(AND(N($J724)=2,N($R724)&gt;0),"MARINE=2 but net terrestrial &gt;0; ","")&amp;IF($K724="Point","Buffered point – coverage approximate; ","")))</f>
        <v/>
      </c>
    </row>
    <row r="725">
      <c r="A725" s="19" t="n"/>
      <c r="B725" s="19" t="n"/>
      <c r="C725" s="19" t="n"/>
      <c r="D725" s="19" t="n"/>
      <c r="E725" s="19" t="n"/>
      <c r="F725" s="19" t="n"/>
      <c r="G725" s="19" t="n"/>
      <c r="H725" s="19" t="n"/>
      <c r="I725" s="19" t="n"/>
      <c r="J725" s="19" t="n"/>
      <c r="K725" s="19" t="n"/>
      <c r="L725" s="20" t="n"/>
      <c r="M725" s="20" t="n"/>
      <c r="N725" s="20" t="n"/>
      <c r="O725" s="20" t="n"/>
      <c r="P725" s="19" t="n"/>
      <c r="Q725" s="19" t="n"/>
      <c r="R725" s="20" t="n"/>
      <c r="S725" s="20" t="n"/>
      <c r="T725" s="19" t="n"/>
      <c r="U725" s="19" t="n"/>
      <c r="V725" s="19" t="n"/>
      <c r="W725" s="19" t="n"/>
      <c r="X725" s="19" t="n"/>
      <c r="Y725" s="19" t="n"/>
      <c r="Z725" s="21">
        <f>IF(AND($A725="",$B725=""),"",IF(OR($E725="",$H725="",$H725="Proposed",$H725="Not Reported"),0,IF(AND($P725="Y",$Q725&lt;&gt;"Y"),0,IF(AND($K725="Point",N($L725)&lt;=0),0,IF(AND(N($L725)&lt;=0,N($N725)&lt;=0,N($R725)+N($S725)&lt;=0),0,1)))))</f>
        <v/>
      </c>
      <c r="AA725" s="21">
        <f>IF(AND($A725="",$B725=""),"",IF($E725="","Site type missing",IF($H725="","STATUS missing",IF($H725="Proposed","STATUS = Proposed",IF($H725="Not Reported","STATUS = Not Reported",IF(AND($P725="Y",$Q725&lt;&gt;"Y"),"UNESCO-MAB Biosphere Reserve",IF(AND($K725="Point",N($L725)&lt;=0),"Point without REP_AREA",IF(AND(N($L725)&lt;=0,N($N725)&lt;=0,N($R725)+N($S725)&lt;=0),"No area information",""))))))))</f>
        <v/>
      </c>
      <c r="AB725" s="22">
        <f>IF(AND($A725="",$B725=""),"",IF($K725="Point",N($L725),IF(N($N725)&gt;0,N($N725),N($L725))))</f>
        <v/>
      </c>
      <c r="AC725" s="22">
        <f>IF(AND($A725="",$B725=""),"",MIN(AB725,IF(N($J725)=0,0,IF(N($J725)=2,AB725,IF(AND($K725&lt;&gt;"Point",N($O725)&gt;0),N($O725),N($M725))))))</f>
        <v/>
      </c>
      <c r="AD725" s="22">
        <f>IF(AND($A725="",$B725=""),"",MAX(0,AB725-AC725))</f>
        <v/>
      </c>
      <c r="AE725" s="21">
        <f>IF(AND($A725="",$B725=""),"",IF(OR($R725&lt;&gt;"",$S725&lt;&gt;""),1,0))</f>
        <v/>
      </c>
      <c r="AF725" s="22">
        <f>IF(AND($A725="",$B725=""),"",IF(Z725=1,IF(AE725=1,N($R725),AD725),0))</f>
        <v/>
      </c>
      <c r="AG725" s="22">
        <f>IF(AND($A725="",$B725=""),"",IF(Z725=1,IF(AE725=1,N($S725),AC725),0))</f>
        <v/>
      </c>
      <c r="AH725" s="21">
        <f>IF(AND($A725="",$B725=""),"",IF(AND(ISNUMBER($I725),N($I725)&gt;0),$I725,0))</f>
        <v/>
      </c>
      <c r="AI725" s="23">
        <f>IF(AND(NOT(AND($A725="",$B725="")),$K725="Point",N($L725)&gt;0),SQRT(N($L725)/PI()),"")</f>
        <v/>
      </c>
      <c r="AJ725" s="21">
        <f>IF(AND($A725="",$B725=""),"",IFERROR(VLOOKUP($G725,Lists!$D$4:$E$15,2,FALSE),"Not reported"))</f>
        <v/>
      </c>
      <c r="AK725" s="21">
        <f>IF(AND($A725="",$B725=""),"",IF($X725&lt;&gt;"",$X725,IF($T725&lt;&gt;"Y","Not assessed",IF(AND(ISNUMBER($V725),Setup!$B$6-$V725&gt;Setup!$B$26),"Assessment outdated",IF(NOT(ISNUMBER($W725)),"Assessed – no score",IF($W725&gt;=Setup!$B$24,"High",IF($W725&gt;=Setup!$B$25,"Moderate","Low")))))))</f>
        <v/>
      </c>
      <c r="AL725" s="21">
        <f>IF(AND($A725="",$B725=""),"",IF(Z725=0,"",IF(AND(AE725=1,N($R725)&gt;AD725*1.01+0.001),"Net terrestrial &gt; gross; ","")&amp;IF(AND(AE725=1,N($S725)&gt;AC725*1.01+0.001),"Net marine &gt; gross; ","")&amp;IF(AE725=0,"No net area – gross used, overlaps may be double-counted; ","")&amp;IF(AH725=0,"STATUS_YR missing – imputed in time series; ","")&amp;IF(AND(ISNUMBER($I725),N($I725)&gt;Setup!$B$6),"STATUS_YR after reporting year; ","")&amp;IF(OR($G725="",$G725="Not Reported"),"GOV_TYPE not reported; ","")&amp;IF(AND(N($J725)=1,$K725="Point",N($M725)&lt;=0),"Coastal point without REP_M_AREA – land/sea split unknown; ","")&amp;IF(AND(N($J725)=0,N($S725)&gt;0),"MARINE=0 but net marine &gt;0; ","")&amp;IF(AND(N($J725)=2,N($R725)&gt;0),"MARINE=2 but net terrestrial &gt;0; ","")&amp;IF($K725="Point","Buffered point – coverage approximate; ","")))</f>
        <v/>
      </c>
    </row>
    <row r="726">
      <c r="A726" s="19" t="n"/>
      <c r="B726" s="19" t="n"/>
      <c r="C726" s="19" t="n"/>
      <c r="D726" s="19" t="n"/>
      <c r="E726" s="19" t="n"/>
      <c r="F726" s="19" t="n"/>
      <c r="G726" s="19" t="n"/>
      <c r="H726" s="19" t="n"/>
      <c r="I726" s="19" t="n"/>
      <c r="J726" s="19" t="n"/>
      <c r="K726" s="19" t="n"/>
      <c r="L726" s="20" t="n"/>
      <c r="M726" s="20" t="n"/>
      <c r="N726" s="20" t="n"/>
      <c r="O726" s="20" t="n"/>
      <c r="P726" s="19" t="n"/>
      <c r="Q726" s="19" t="n"/>
      <c r="R726" s="20" t="n"/>
      <c r="S726" s="20" t="n"/>
      <c r="T726" s="19" t="n"/>
      <c r="U726" s="19" t="n"/>
      <c r="V726" s="19" t="n"/>
      <c r="W726" s="19" t="n"/>
      <c r="X726" s="19" t="n"/>
      <c r="Y726" s="19" t="n"/>
      <c r="Z726" s="21">
        <f>IF(AND($A726="",$B726=""),"",IF(OR($E726="",$H726="",$H726="Proposed",$H726="Not Reported"),0,IF(AND($P726="Y",$Q726&lt;&gt;"Y"),0,IF(AND($K726="Point",N($L726)&lt;=0),0,IF(AND(N($L726)&lt;=0,N($N726)&lt;=0,N($R726)+N($S726)&lt;=0),0,1)))))</f>
        <v/>
      </c>
      <c r="AA726" s="21">
        <f>IF(AND($A726="",$B726=""),"",IF($E726="","Site type missing",IF($H726="","STATUS missing",IF($H726="Proposed","STATUS = Proposed",IF($H726="Not Reported","STATUS = Not Reported",IF(AND($P726="Y",$Q726&lt;&gt;"Y"),"UNESCO-MAB Biosphere Reserve",IF(AND($K726="Point",N($L726)&lt;=0),"Point without REP_AREA",IF(AND(N($L726)&lt;=0,N($N726)&lt;=0,N($R726)+N($S726)&lt;=0),"No area information",""))))))))</f>
        <v/>
      </c>
      <c r="AB726" s="22">
        <f>IF(AND($A726="",$B726=""),"",IF($K726="Point",N($L726),IF(N($N726)&gt;0,N($N726),N($L726))))</f>
        <v/>
      </c>
      <c r="AC726" s="22">
        <f>IF(AND($A726="",$B726=""),"",MIN(AB726,IF(N($J726)=0,0,IF(N($J726)=2,AB726,IF(AND($K726&lt;&gt;"Point",N($O726)&gt;0),N($O726),N($M726))))))</f>
        <v/>
      </c>
      <c r="AD726" s="22">
        <f>IF(AND($A726="",$B726=""),"",MAX(0,AB726-AC726))</f>
        <v/>
      </c>
      <c r="AE726" s="21">
        <f>IF(AND($A726="",$B726=""),"",IF(OR($R726&lt;&gt;"",$S726&lt;&gt;""),1,0))</f>
        <v/>
      </c>
      <c r="AF726" s="22">
        <f>IF(AND($A726="",$B726=""),"",IF(Z726=1,IF(AE726=1,N($R726),AD726),0))</f>
        <v/>
      </c>
      <c r="AG726" s="22">
        <f>IF(AND($A726="",$B726=""),"",IF(Z726=1,IF(AE726=1,N($S726),AC726),0))</f>
        <v/>
      </c>
      <c r="AH726" s="21">
        <f>IF(AND($A726="",$B726=""),"",IF(AND(ISNUMBER($I726),N($I726)&gt;0),$I726,0))</f>
        <v/>
      </c>
      <c r="AI726" s="23">
        <f>IF(AND(NOT(AND($A726="",$B726="")),$K726="Point",N($L726)&gt;0),SQRT(N($L726)/PI()),"")</f>
        <v/>
      </c>
      <c r="AJ726" s="21">
        <f>IF(AND($A726="",$B726=""),"",IFERROR(VLOOKUP($G726,Lists!$D$4:$E$15,2,FALSE),"Not reported"))</f>
        <v/>
      </c>
      <c r="AK726" s="21">
        <f>IF(AND($A726="",$B726=""),"",IF($X726&lt;&gt;"",$X726,IF($T726&lt;&gt;"Y","Not assessed",IF(AND(ISNUMBER($V726),Setup!$B$6-$V726&gt;Setup!$B$26),"Assessment outdated",IF(NOT(ISNUMBER($W726)),"Assessed – no score",IF($W726&gt;=Setup!$B$24,"High",IF($W726&gt;=Setup!$B$25,"Moderate","Low")))))))</f>
        <v/>
      </c>
      <c r="AL726" s="21">
        <f>IF(AND($A726="",$B726=""),"",IF(Z726=0,"",IF(AND(AE726=1,N($R726)&gt;AD726*1.01+0.001),"Net terrestrial &gt; gross; ","")&amp;IF(AND(AE726=1,N($S726)&gt;AC726*1.01+0.001),"Net marine &gt; gross; ","")&amp;IF(AE726=0,"No net area – gross used, overlaps may be double-counted; ","")&amp;IF(AH726=0,"STATUS_YR missing – imputed in time series; ","")&amp;IF(AND(ISNUMBER($I726),N($I726)&gt;Setup!$B$6),"STATUS_YR after reporting year; ","")&amp;IF(OR($G726="",$G726="Not Reported"),"GOV_TYPE not reported; ","")&amp;IF(AND(N($J726)=1,$K726="Point",N($M726)&lt;=0),"Coastal point without REP_M_AREA – land/sea split unknown; ","")&amp;IF(AND(N($J726)=0,N($S726)&gt;0),"MARINE=0 but net marine &gt;0; ","")&amp;IF(AND(N($J726)=2,N($R726)&gt;0),"MARINE=2 but net terrestrial &gt;0; ","")&amp;IF($K726="Point","Buffered point – coverage approximate; ","")))</f>
        <v/>
      </c>
    </row>
    <row r="727">
      <c r="A727" s="19" t="n"/>
      <c r="B727" s="19" t="n"/>
      <c r="C727" s="19" t="n"/>
      <c r="D727" s="19" t="n"/>
      <c r="E727" s="19" t="n"/>
      <c r="F727" s="19" t="n"/>
      <c r="G727" s="19" t="n"/>
      <c r="H727" s="19" t="n"/>
      <c r="I727" s="19" t="n"/>
      <c r="J727" s="19" t="n"/>
      <c r="K727" s="19" t="n"/>
      <c r="L727" s="20" t="n"/>
      <c r="M727" s="20" t="n"/>
      <c r="N727" s="20" t="n"/>
      <c r="O727" s="20" t="n"/>
      <c r="P727" s="19" t="n"/>
      <c r="Q727" s="19" t="n"/>
      <c r="R727" s="20" t="n"/>
      <c r="S727" s="20" t="n"/>
      <c r="T727" s="19" t="n"/>
      <c r="U727" s="19" t="n"/>
      <c r="V727" s="19" t="n"/>
      <c r="W727" s="19" t="n"/>
      <c r="X727" s="19" t="n"/>
      <c r="Y727" s="19" t="n"/>
      <c r="Z727" s="21">
        <f>IF(AND($A727="",$B727=""),"",IF(OR($E727="",$H727="",$H727="Proposed",$H727="Not Reported"),0,IF(AND($P727="Y",$Q727&lt;&gt;"Y"),0,IF(AND($K727="Point",N($L727)&lt;=0),0,IF(AND(N($L727)&lt;=0,N($N727)&lt;=0,N($R727)+N($S727)&lt;=0),0,1)))))</f>
        <v/>
      </c>
      <c r="AA727" s="21">
        <f>IF(AND($A727="",$B727=""),"",IF($E727="","Site type missing",IF($H727="","STATUS missing",IF($H727="Proposed","STATUS = Proposed",IF($H727="Not Reported","STATUS = Not Reported",IF(AND($P727="Y",$Q727&lt;&gt;"Y"),"UNESCO-MAB Biosphere Reserve",IF(AND($K727="Point",N($L727)&lt;=0),"Point without REP_AREA",IF(AND(N($L727)&lt;=0,N($N727)&lt;=0,N($R727)+N($S727)&lt;=0),"No area information",""))))))))</f>
        <v/>
      </c>
      <c r="AB727" s="22">
        <f>IF(AND($A727="",$B727=""),"",IF($K727="Point",N($L727),IF(N($N727)&gt;0,N($N727),N($L727))))</f>
        <v/>
      </c>
      <c r="AC727" s="22">
        <f>IF(AND($A727="",$B727=""),"",MIN(AB727,IF(N($J727)=0,0,IF(N($J727)=2,AB727,IF(AND($K727&lt;&gt;"Point",N($O727)&gt;0),N($O727),N($M727))))))</f>
        <v/>
      </c>
      <c r="AD727" s="22">
        <f>IF(AND($A727="",$B727=""),"",MAX(0,AB727-AC727))</f>
        <v/>
      </c>
      <c r="AE727" s="21">
        <f>IF(AND($A727="",$B727=""),"",IF(OR($R727&lt;&gt;"",$S727&lt;&gt;""),1,0))</f>
        <v/>
      </c>
      <c r="AF727" s="22">
        <f>IF(AND($A727="",$B727=""),"",IF(Z727=1,IF(AE727=1,N($R727),AD727),0))</f>
        <v/>
      </c>
      <c r="AG727" s="22">
        <f>IF(AND($A727="",$B727=""),"",IF(Z727=1,IF(AE727=1,N($S727),AC727),0))</f>
        <v/>
      </c>
      <c r="AH727" s="21">
        <f>IF(AND($A727="",$B727=""),"",IF(AND(ISNUMBER($I727),N($I727)&gt;0),$I727,0))</f>
        <v/>
      </c>
      <c r="AI727" s="23">
        <f>IF(AND(NOT(AND($A727="",$B727="")),$K727="Point",N($L727)&gt;0),SQRT(N($L727)/PI()),"")</f>
        <v/>
      </c>
      <c r="AJ727" s="21">
        <f>IF(AND($A727="",$B727=""),"",IFERROR(VLOOKUP($G727,Lists!$D$4:$E$15,2,FALSE),"Not reported"))</f>
        <v/>
      </c>
      <c r="AK727" s="21">
        <f>IF(AND($A727="",$B727=""),"",IF($X727&lt;&gt;"",$X727,IF($T727&lt;&gt;"Y","Not assessed",IF(AND(ISNUMBER($V727),Setup!$B$6-$V727&gt;Setup!$B$26),"Assessment outdated",IF(NOT(ISNUMBER($W727)),"Assessed – no score",IF($W727&gt;=Setup!$B$24,"High",IF($W727&gt;=Setup!$B$25,"Moderate","Low")))))))</f>
        <v/>
      </c>
      <c r="AL727" s="21">
        <f>IF(AND($A727="",$B727=""),"",IF(Z727=0,"",IF(AND(AE727=1,N($R727)&gt;AD727*1.01+0.001),"Net terrestrial &gt; gross; ","")&amp;IF(AND(AE727=1,N($S727)&gt;AC727*1.01+0.001),"Net marine &gt; gross; ","")&amp;IF(AE727=0,"No net area – gross used, overlaps may be double-counted; ","")&amp;IF(AH727=0,"STATUS_YR missing – imputed in time series; ","")&amp;IF(AND(ISNUMBER($I727),N($I727)&gt;Setup!$B$6),"STATUS_YR after reporting year; ","")&amp;IF(OR($G727="",$G727="Not Reported"),"GOV_TYPE not reported; ","")&amp;IF(AND(N($J727)=1,$K727="Point",N($M727)&lt;=0),"Coastal point without REP_M_AREA – land/sea split unknown; ","")&amp;IF(AND(N($J727)=0,N($S727)&gt;0),"MARINE=0 but net marine &gt;0; ","")&amp;IF(AND(N($J727)=2,N($R727)&gt;0),"MARINE=2 but net terrestrial &gt;0; ","")&amp;IF($K727="Point","Buffered point – coverage approximate; ","")))</f>
        <v/>
      </c>
    </row>
    <row r="728">
      <c r="A728" s="19" t="n"/>
      <c r="B728" s="19" t="n"/>
      <c r="C728" s="19" t="n"/>
      <c r="D728" s="19" t="n"/>
      <c r="E728" s="19" t="n"/>
      <c r="F728" s="19" t="n"/>
      <c r="G728" s="19" t="n"/>
      <c r="H728" s="19" t="n"/>
      <c r="I728" s="19" t="n"/>
      <c r="J728" s="19" t="n"/>
      <c r="K728" s="19" t="n"/>
      <c r="L728" s="20" t="n"/>
      <c r="M728" s="20" t="n"/>
      <c r="N728" s="20" t="n"/>
      <c r="O728" s="20" t="n"/>
      <c r="P728" s="19" t="n"/>
      <c r="Q728" s="19" t="n"/>
      <c r="R728" s="20" t="n"/>
      <c r="S728" s="20" t="n"/>
      <c r="T728" s="19" t="n"/>
      <c r="U728" s="19" t="n"/>
      <c r="V728" s="19" t="n"/>
      <c r="W728" s="19" t="n"/>
      <c r="X728" s="19" t="n"/>
      <c r="Y728" s="19" t="n"/>
      <c r="Z728" s="21">
        <f>IF(AND($A728="",$B728=""),"",IF(OR($E728="",$H728="",$H728="Proposed",$H728="Not Reported"),0,IF(AND($P728="Y",$Q728&lt;&gt;"Y"),0,IF(AND($K728="Point",N($L728)&lt;=0),0,IF(AND(N($L728)&lt;=0,N($N728)&lt;=0,N($R728)+N($S728)&lt;=0),0,1)))))</f>
        <v/>
      </c>
      <c r="AA728" s="21">
        <f>IF(AND($A728="",$B728=""),"",IF($E728="","Site type missing",IF($H728="","STATUS missing",IF($H728="Proposed","STATUS = Proposed",IF($H728="Not Reported","STATUS = Not Reported",IF(AND($P728="Y",$Q728&lt;&gt;"Y"),"UNESCO-MAB Biosphere Reserve",IF(AND($K728="Point",N($L728)&lt;=0),"Point without REP_AREA",IF(AND(N($L728)&lt;=0,N($N728)&lt;=0,N($R728)+N($S728)&lt;=0),"No area information",""))))))))</f>
        <v/>
      </c>
      <c r="AB728" s="22">
        <f>IF(AND($A728="",$B728=""),"",IF($K728="Point",N($L728),IF(N($N728)&gt;0,N($N728),N($L728))))</f>
        <v/>
      </c>
      <c r="AC728" s="22">
        <f>IF(AND($A728="",$B728=""),"",MIN(AB728,IF(N($J728)=0,0,IF(N($J728)=2,AB728,IF(AND($K728&lt;&gt;"Point",N($O728)&gt;0),N($O728),N($M728))))))</f>
        <v/>
      </c>
      <c r="AD728" s="22">
        <f>IF(AND($A728="",$B728=""),"",MAX(0,AB728-AC728))</f>
        <v/>
      </c>
      <c r="AE728" s="21">
        <f>IF(AND($A728="",$B728=""),"",IF(OR($R728&lt;&gt;"",$S728&lt;&gt;""),1,0))</f>
        <v/>
      </c>
      <c r="AF728" s="22">
        <f>IF(AND($A728="",$B728=""),"",IF(Z728=1,IF(AE728=1,N($R728),AD728),0))</f>
        <v/>
      </c>
      <c r="AG728" s="22">
        <f>IF(AND($A728="",$B728=""),"",IF(Z728=1,IF(AE728=1,N($S728),AC728),0))</f>
        <v/>
      </c>
      <c r="AH728" s="21">
        <f>IF(AND($A728="",$B728=""),"",IF(AND(ISNUMBER($I728),N($I728)&gt;0),$I728,0))</f>
        <v/>
      </c>
      <c r="AI728" s="23">
        <f>IF(AND(NOT(AND($A728="",$B728="")),$K728="Point",N($L728)&gt;0),SQRT(N($L728)/PI()),"")</f>
        <v/>
      </c>
      <c r="AJ728" s="21">
        <f>IF(AND($A728="",$B728=""),"",IFERROR(VLOOKUP($G728,Lists!$D$4:$E$15,2,FALSE),"Not reported"))</f>
        <v/>
      </c>
      <c r="AK728" s="21">
        <f>IF(AND($A728="",$B728=""),"",IF($X728&lt;&gt;"",$X728,IF($T728&lt;&gt;"Y","Not assessed",IF(AND(ISNUMBER($V728),Setup!$B$6-$V728&gt;Setup!$B$26),"Assessment outdated",IF(NOT(ISNUMBER($W728)),"Assessed – no score",IF($W728&gt;=Setup!$B$24,"High",IF($W728&gt;=Setup!$B$25,"Moderate","Low")))))))</f>
        <v/>
      </c>
      <c r="AL728" s="21">
        <f>IF(AND($A728="",$B728=""),"",IF(Z728=0,"",IF(AND(AE728=1,N($R728)&gt;AD728*1.01+0.001),"Net terrestrial &gt; gross; ","")&amp;IF(AND(AE728=1,N($S728)&gt;AC728*1.01+0.001),"Net marine &gt; gross; ","")&amp;IF(AE728=0,"No net area – gross used, overlaps may be double-counted; ","")&amp;IF(AH728=0,"STATUS_YR missing – imputed in time series; ","")&amp;IF(AND(ISNUMBER($I728),N($I728)&gt;Setup!$B$6),"STATUS_YR after reporting year; ","")&amp;IF(OR($G728="",$G728="Not Reported"),"GOV_TYPE not reported; ","")&amp;IF(AND(N($J728)=1,$K728="Point",N($M728)&lt;=0),"Coastal point without REP_M_AREA – land/sea split unknown; ","")&amp;IF(AND(N($J728)=0,N($S728)&gt;0),"MARINE=0 but net marine &gt;0; ","")&amp;IF(AND(N($J728)=2,N($R728)&gt;0),"MARINE=2 but net terrestrial &gt;0; ","")&amp;IF($K728="Point","Buffered point – coverage approximate; ","")))</f>
        <v/>
      </c>
    </row>
    <row r="729">
      <c r="A729" s="19" t="n"/>
      <c r="B729" s="19" t="n"/>
      <c r="C729" s="19" t="n"/>
      <c r="D729" s="19" t="n"/>
      <c r="E729" s="19" t="n"/>
      <c r="F729" s="19" t="n"/>
      <c r="G729" s="19" t="n"/>
      <c r="H729" s="19" t="n"/>
      <c r="I729" s="19" t="n"/>
      <c r="J729" s="19" t="n"/>
      <c r="K729" s="19" t="n"/>
      <c r="L729" s="20" t="n"/>
      <c r="M729" s="20" t="n"/>
      <c r="N729" s="20" t="n"/>
      <c r="O729" s="20" t="n"/>
      <c r="P729" s="19" t="n"/>
      <c r="Q729" s="19" t="n"/>
      <c r="R729" s="20" t="n"/>
      <c r="S729" s="20" t="n"/>
      <c r="T729" s="19" t="n"/>
      <c r="U729" s="19" t="n"/>
      <c r="V729" s="19" t="n"/>
      <c r="W729" s="19" t="n"/>
      <c r="X729" s="19" t="n"/>
      <c r="Y729" s="19" t="n"/>
      <c r="Z729" s="21">
        <f>IF(AND($A729="",$B729=""),"",IF(OR($E729="",$H729="",$H729="Proposed",$H729="Not Reported"),0,IF(AND($P729="Y",$Q729&lt;&gt;"Y"),0,IF(AND($K729="Point",N($L729)&lt;=0),0,IF(AND(N($L729)&lt;=0,N($N729)&lt;=0,N($R729)+N($S729)&lt;=0),0,1)))))</f>
        <v/>
      </c>
      <c r="AA729" s="21">
        <f>IF(AND($A729="",$B729=""),"",IF($E729="","Site type missing",IF($H729="","STATUS missing",IF($H729="Proposed","STATUS = Proposed",IF($H729="Not Reported","STATUS = Not Reported",IF(AND($P729="Y",$Q729&lt;&gt;"Y"),"UNESCO-MAB Biosphere Reserve",IF(AND($K729="Point",N($L729)&lt;=0),"Point without REP_AREA",IF(AND(N($L729)&lt;=0,N($N729)&lt;=0,N($R729)+N($S729)&lt;=0),"No area information",""))))))))</f>
        <v/>
      </c>
      <c r="AB729" s="22">
        <f>IF(AND($A729="",$B729=""),"",IF($K729="Point",N($L729),IF(N($N729)&gt;0,N($N729),N($L729))))</f>
        <v/>
      </c>
      <c r="AC729" s="22">
        <f>IF(AND($A729="",$B729=""),"",MIN(AB729,IF(N($J729)=0,0,IF(N($J729)=2,AB729,IF(AND($K729&lt;&gt;"Point",N($O729)&gt;0),N($O729),N($M729))))))</f>
        <v/>
      </c>
      <c r="AD729" s="22">
        <f>IF(AND($A729="",$B729=""),"",MAX(0,AB729-AC729))</f>
        <v/>
      </c>
      <c r="AE729" s="21">
        <f>IF(AND($A729="",$B729=""),"",IF(OR($R729&lt;&gt;"",$S729&lt;&gt;""),1,0))</f>
        <v/>
      </c>
      <c r="AF729" s="22">
        <f>IF(AND($A729="",$B729=""),"",IF(Z729=1,IF(AE729=1,N($R729),AD729),0))</f>
        <v/>
      </c>
      <c r="AG729" s="22">
        <f>IF(AND($A729="",$B729=""),"",IF(Z729=1,IF(AE729=1,N($S729),AC729),0))</f>
        <v/>
      </c>
      <c r="AH729" s="21">
        <f>IF(AND($A729="",$B729=""),"",IF(AND(ISNUMBER($I729),N($I729)&gt;0),$I729,0))</f>
        <v/>
      </c>
      <c r="AI729" s="23">
        <f>IF(AND(NOT(AND($A729="",$B729="")),$K729="Point",N($L729)&gt;0),SQRT(N($L729)/PI()),"")</f>
        <v/>
      </c>
      <c r="AJ729" s="21">
        <f>IF(AND($A729="",$B729=""),"",IFERROR(VLOOKUP($G729,Lists!$D$4:$E$15,2,FALSE),"Not reported"))</f>
        <v/>
      </c>
      <c r="AK729" s="21">
        <f>IF(AND($A729="",$B729=""),"",IF($X729&lt;&gt;"",$X729,IF($T729&lt;&gt;"Y","Not assessed",IF(AND(ISNUMBER($V729),Setup!$B$6-$V729&gt;Setup!$B$26),"Assessment outdated",IF(NOT(ISNUMBER($W729)),"Assessed – no score",IF($W729&gt;=Setup!$B$24,"High",IF($W729&gt;=Setup!$B$25,"Moderate","Low")))))))</f>
        <v/>
      </c>
      <c r="AL729" s="21">
        <f>IF(AND($A729="",$B729=""),"",IF(Z729=0,"",IF(AND(AE729=1,N($R729)&gt;AD729*1.01+0.001),"Net terrestrial &gt; gross; ","")&amp;IF(AND(AE729=1,N($S729)&gt;AC729*1.01+0.001),"Net marine &gt; gross; ","")&amp;IF(AE729=0,"No net area – gross used, overlaps may be double-counted; ","")&amp;IF(AH729=0,"STATUS_YR missing – imputed in time series; ","")&amp;IF(AND(ISNUMBER($I729),N($I729)&gt;Setup!$B$6),"STATUS_YR after reporting year; ","")&amp;IF(OR($G729="",$G729="Not Reported"),"GOV_TYPE not reported; ","")&amp;IF(AND(N($J729)=1,$K729="Point",N($M729)&lt;=0),"Coastal point without REP_M_AREA – land/sea split unknown; ","")&amp;IF(AND(N($J729)=0,N($S729)&gt;0),"MARINE=0 but net marine &gt;0; ","")&amp;IF(AND(N($J729)=2,N($R729)&gt;0),"MARINE=2 but net terrestrial &gt;0; ","")&amp;IF($K729="Point","Buffered point – coverage approximate; ","")))</f>
        <v/>
      </c>
    </row>
    <row r="730">
      <c r="A730" s="19" t="n"/>
      <c r="B730" s="19" t="n"/>
      <c r="C730" s="19" t="n"/>
      <c r="D730" s="19" t="n"/>
      <c r="E730" s="19" t="n"/>
      <c r="F730" s="19" t="n"/>
      <c r="G730" s="19" t="n"/>
      <c r="H730" s="19" t="n"/>
      <c r="I730" s="19" t="n"/>
      <c r="J730" s="19" t="n"/>
      <c r="K730" s="19" t="n"/>
      <c r="L730" s="20" t="n"/>
      <c r="M730" s="20" t="n"/>
      <c r="N730" s="20" t="n"/>
      <c r="O730" s="20" t="n"/>
      <c r="P730" s="19" t="n"/>
      <c r="Q730" s="19" t="n"/>
      <c r="R730" s="20" t="n"/>
      <c r="S730" s="20" t="n"/>
      <c r="T730" s="19" t="n"/>
      <c r="U730" s="19" t="n"/>
      <c r="V730" s="19" t="n"/>
      <c r="W730" s="19" t="n"/>
      <c r="X730" s="19" t="n"/>
      <c r="Y730" s="19" t="n"/>
      <c r="Z730" s="21">
        <f>IF(AND($A730="",$B730=""),"",IF(OR($E730="",$H730="",$H730="Proposed",$H730="Not Reported"),0,IF(AND($P730="Y",$Q730&lt;&gt;"Y"),0,IF(AND($K730="Point",N($L730)&lt;=0),0,IF(AND(N($L730)&lt;=0,N($N730)&lt;=0,N($R730)+N($S730)&lt;=0),0,1)))))</f>
        <v/>
      </c>
      <c r="AA730" s="21">
        <f>IF(AND($A730="",$B730=""),"",IF($E730="","Site type missing",IF($H730="","STATUS missing",IF($H730="Proposed","STATUS = Proposed",IF($H730="Not Reported","STATUS = Not Reported",IF(AND($P730="Y",$Q730&lt;&gt;"Y"),"UNESCO-MAB Biosphere Reserve",IF(AND($K730="Point",N($L730)&lt;=0),"Point without REP_AREA",IF(AND(N($L730)&lt;=0,N($N730)&lt;=0,N($R730)+N($S730)&lt;=0),"No area information",""))))))))</f>
        <v/>
      </c>
      <c r="AB730" s="22">
        <f>IF(AND($A730="",$B730=""),"",IF($K730="Point",N($L730),IF(N($N730)&gt;0,N($N730),N($L730))))</f>
        <v/>
      </c>
      <c r="AC730" s="22">
        <f>IF(AND($A730="",$B730=""),"",MIN(AB730,IF(N($J730)=0,0,IF(N($J730)=2,AB730,IF(AND($K730&lt;&gt;"Point",N($O730)&gt;0),N($O730),N($M730))))))</f>
        <v/>
      </c>
      <c r="AD730" s="22">
        <f>IF(AND($A730="",$B730=""),"",MAX(0,AB730-AC730))</f>
        <v/>
      </c>
      <c r="AE730" s="21">
        <f>IF(AND($A730="",$B730=""),"",IF(OR($R730&lt;&gt;"",$S730&lt;&gt;""),1,0))</f>
        <v/>
      </c>
      <c r="AF730" s="22">
        <f>IF(AND($A730="",$B730=""),"",IF(Z730=1,IF(AE730=1,N($R730),AD730),0))</f>
        <v/>
      </c>
      <c r="AG730" s="22">
        <f>IF(AND($A730="",$B730=""),"",IF(Z730=1,IF(AE730=1,N($S730),AC730),0))</f>
        <v/>
      </c>
      <c r="AH730" s="21">
        <f>IF(AND($A730="",$B730=""),"",IF(AND(ISNUMBER($I730),N($I730)&gt;0),$I730,0))</f>
        <v/>
      </c>
      <c r="AI730" s="23">
        <f>IF(AND(NOT(AND($A730="",$B730="")),$K730="Point",N($L730)&gt;0),SQRT(N($L730)/PI()),"")</f>
        <v/>
      </c>
      <c r="AJ730" s="21">
        <f>IF(AND($A730="",$B730=""),"",IFERROR(VLOOKUP($G730,Lists!$D$4:$E$15,2,FALSE),"Not reported"))</f>
        <v/>
      </c>
      <c r="AK730" s="21">
        <f>IF(AND($A730="",$B730=""),"",IF($X730&lt;&gt;"",$X730,IF($T730&lt;&gt;"Y","Not assessed",IF(AND(ISNUMBER($V730),Setup!$B$6-$V730&gt;Setup!$B$26),"Assessment outdated",IF(NOT(ISNUMBER($W730)),"Assessed – no score",IF($W730&gt;=Setup!$B$24,"High",IF($W730&gt;=Setup!$B$25,"Moderate","Low")))))))</f>
        <v/>
      </c>
      <c r="AL730" s="21">
        <f>IF(AND($A730="",$B730=""),"",IF(Z730=0,"",IF(AND(AE730=1,N($R730)&gt;AD730*1.01+0.001),"Net terrestrial &gt; gross; ","")&amp;IF(AND(AE730=1,N($S730)&gt;AC730*1.01+0.001),"Net marine &gt; gross; ","")&amp;IF(AE730=0,"No net area – gross used, overlaps may be double-counted; ","")&amp;IF(AH730=0,"STATUS_YR missing – imputed in time series; ","")&amp;IF(AND(ISNUMBER($I730),N($I730)&gt;Setup!$B$6),"STATUS_YR after reporting year; ","")&amp;IF(OR($G730="",$G730="Not Reported"),"GOV_TYPE not reported; ","")&amp;IF(AND(N($J730)=1,$K730="Point",N($M730)&lt;=0),"Coastal point without REP_M_AREA – land/sea split unknown; ","")&amp;IF(AND(N($J730)=0,N($S730)&gt;0),"MARINE=0 but net marine &gt;0; ","")&amp;IF(AND(N($J730)=2,N($R730)&gt;0),"MARINE=2 but net terrestrial &gt;0; ","")&amp;IF($K730="Point","Buffered point – coverage approximate; ","")))</f>
        <v/>
      </c>
    </row>
    <row r="731">
      <c r="A731" s="19" t="n"/>
      <c r="B731" s="19" t="n"/>
      <c r="C731" s="19" t="n"/>
      <c r="D731" s="19" t="n"/>
      <c r="E731" s="19" t="n"/>
      <c r="F731" s="19" t="n"/>
      <c r="G731" s="19" t="n"/>
      <c r="H731" s="19" t="n"/>
      <c r="I731" s="19" t="n"/>
      <c r="J731" s="19" t="n"/>
      <c r="K731" s="19" t="n"/>
      <c r="L731" s="20" t="n"/>
      <c r="M731" s="20" t="n"/>
      <c r="N731" s="20" t="n"/>
      <c r="O731" s="20" t="n"/>
      <c r="P731" s="19" t="n"/>
      <c r="Q731" s="19" t="n"/>
      <c r="R731" s="20" t="n"/>
      <c r="S731" s="20" t="n"/>
      <c r="T731" s="19" t="n"/>
      <c r="U731" s="19" t="n"/>
      <c r="V731" s="19" t="n"/>
      <c r="W731" s="19" t="n"/>
      <c r="X731" s="19" t="n"/>
      <c r="Y731" s="19" t="n"/>
      <c r="Z731" s="21">
        <f>IF(AND($A731="",$B731=""),"",IF(OR($E731="",$H731="",$H731="Proposed",$H731="Not Reported"),0,IF(AND($P731="Y",$Q731&lt;&gt;"Y"),0,IF(AND($K731="Point",N($L731)&lt;=0),0,IF(AND(N($L731)&lt;=0,N($N731)&lt;=0,N($R731)+N($S731)&lt;=0),0,1)))))</f>
        <v/>
      </c>
      <c r="AA731" s="21">
        <f>IF(AND($A731="",$B731=""),"",IF($E731="","Site type missing",IF($H731="","STATUS missing",IF($H731="Proposed","STATUS = Proposed",IF($H731="Not Reported","STATUS = Not Reported",IF(AND($P731="Y",$Q731&lt;&gt;"Y"),"UNESCO-MAB Biosphere Reserve",IF(AND($K731="Point",N($L731)&lt;=0),"Point without REP_AREA",IF(AND(N($L731)&lt;=0,N($N731)&lt;=0,N($R731)+N($S731)&lt;=0),"No area information",""))))))))</f>
        <v/>
      </c>
      <c r="AB731" s="22">
        <f>IF(AND($A731="",$B731=""),"",IF($K731="Point",N($L731),IF(N($N731)&gt;0,N($N731),N($L731))))</f>
        <v/>
      </c>
      <c r="AC731" s="22">
        <f>IF(AND($A731="",$B731=""),"",MIN(AB731,IF(N($J731)=0,0,IF(N($J731)=2,AB731,IF(AND($K731&lt;&gt;"Point",N($O731)&gt;0),N($O731),N($M731))))))</f>
        <v/>
      </c>
      <c r="AD731" s="22">
        <f>IF(AND($A731="",$B731=""),"",MAX(0,AB731-AC731))</f>
        <v/>
      </c>
      <c r="AE731" s="21">
        <f>IF(AND($A731="",$B731=""),"",IF(OR($R731&lt;&gt;"",$S731&lt;&gt;""),1,0))</f>
        <v/>
      </c>
      <c r="AF731" s="22">
        <f>IF(AND($A731="",$B731=""),"",IF(Z731=1,IF(AE731=1,N($R731),AD731),0))</f>
        <v/>
      </c>
      <c r="AG731" s="22">
        <f>IF(AND($A731="",$B731=""),"",IF(Z731=1,IF(AE731=1,N($S731),AC731),0))</f>
        <v/>
      </c>
      <c r="AH731" s="21">
        <f>IF(AND($A731="",$B731=""),"",IF(AND(ISNUMBER($I731),N($I731)&gt;0),$I731,0))</f>
        <v/>
      </c>
      <c r="AI731" s="23">
        <f>IF(AND(NOT(AND($A731="",$B731="")),$K731="Point",N($L731)&gt;0),SQRT(N($L731)/PI()),"")</f>
        <v/>
      </c>
      <c r="AJ731" s="21">
        <f>IF(AND($A731="",$B731=""),"",IFERROR(VLOOKUP($G731,Lists!$D$4:$E$15,2,FALSE),"Not reported"))</f>
        <v/>
      </c>
      <c r="AK731" s="21">
        <f>IF(AND($A731="",$B731=""),"",IF($X731&lt;&gt;"",$X731,IF($T731&lt;&gt;"Y","Not assessed",IF(AND(ISNUMBER($V731),Setup!$B$6-$V731&gt;Setup!$B$26),"Assessment outdated",IF(NOT(ISNUMBER($W731)),"Assessed – no score",IF($W731&gt;=Setup!$B$24,"High",IF($W731&gt;=Setup!$B$25,"Moderate","Low")))))))</f>
        <v/>
      </c>
      <c r="AL731" s="21">
        <f>IF(AND($A731="",$B731=""),"",IF(Z731=0,"",IF(AND(AE731=1,N($R731)&gt;AD731*1.01+0.001),"Net terrestrial &gt; gross; ","")&amp;IF(AND(AE731=1,N($S731)&gt;AC731*1.01+0.001),"Net marine &gt; gross; ","")&amp;IF(AE731=0,"No net area – gross used, overlaps may be double-counted; ","")&amp;IF(AH731=0,"STATUS_YR missing – imputed in time series; ","")&amp;IF(AND(ISNUMBER($I731),N($I731)&gt;Setup!$B$6),"STATUS_YR after reporting year; ","")&amp;IF(OR($G731="",$G731="Not Reported"),"GOV_TYPE not reported; ","")&amp;IF(AND(N($J731)=1,$K731="Point",N($M731)&lt;=0),"Coastal point without REP_M_AREA – land/sea split unknown; ","")&amp;IF(AND(N($J731)=0,N($S731)&gt;0),"MARINE=0 but net marine &gt;0; ","")&amp;IF(AND(N($J731)=2,N($R731)&gt;0),"MARINE=2 but net terrestrial &gt;0; ","")&amp;IF($K731="Point","Buffered point – coverage approximate; ","")))</f>
        <v/>
      </c>
    </row>
    <row r="732">
      <c r="A732" s="19" t="n"/>
      <c r="B732" s="19" t="n"/>
      <c r="C732" s="19" t="n"/>
      <c r="D732" s="19" t="n"/>
      <c r="E732" s="19" t="n"/>
      <c r="F732" s="19" t="n"/>
      <c r="G732" s="19" t="n"/>
      <c r="H732" s="19" t="n"/>
      <c r="I732" s="19" t="n"/>
      <c r="J732" s="19" t="n"/>
      <c r="K732" s="19" t="n"/>
      <c r="L732" s="20" t="n"/>
      <c r="M732" s="20" t="n"/>
      <c r="N732" s="20" t="n"/>
      <c r="O732" s="20" t="n"/>
      <c r="P732" s="19" t="n"/>
      <c r="Q732" s="19" t="n"/>
      <c r="R732" s="20" t="n"/>
      <c r="S732" s="20" t="n"/>
      <c r="T732" s="19" t="n"/>
      <c r="U732" s="19" t="n"/>
      <c r="V732" s="19" t="n"/>
      <c r="W732" s="19" t="n"/>
      <c r="X732" s="19" t="n"/>
      <c r="Y732" s="19" t="n"/>
      <c r="Z732" s="21">
        <f>IF(AND($A732="",$B732=""),"",IF(OR($E732="",$H732="",$H732="Proposed",$H732="Not Reported"),0,IF(AND($P732="Y",$Q732&lt;&gt;"Y"),0,IF(AND($K732="Point",N($L732)&lt;=0),0,IF(AND(N($L732)&lt;=0,N($N732)&lt;=0,N($R732)+N($S732)&lt;=0),0,1)))))</f>
        <v/>
      </c>
      <c r="AA732" s="21">
        <f>IF(AND($A732="",$B732=""),"",IF($E732="","Site type missing",IF($H732="","STATUS missing",IF($H732="Proposed","STATUS = Proposed",IF($H732="Not Reported","STATUS = Not Reported",IF(AND($P732="Y",$Q732&lt;&gt;"Y"),"UNESCO-MAB Biosphere Reserve",IF(AND($K732="Point",N($L732)&lt;=0),"Point without REP_AREA",IF(AND(N($L732)&lt;=0,N($N732)&lt;=0,N($R732)+N($S732)&lt;=0),"No area information",""))))))))</f>
        <v/>
      </c>
      <c r="AB732" s="22">
        <f>IF(AND($A732="",$B732=""),"",IF($K732="Point",N($L732),IF(N($N732)&gt;0,N($N732),N($L732))))</f>
        <v/>
      </c>
      <c r="AC732" s="22">
        <f>IF(AND($A732="",$B732=""),"",MIN(AB732,IF(N($J732)=0,0,IF(N($J732)=2,AB732,IF(AND($K732&lt;&gt;"Point",N($O732)&gt;0),N($O732),N($M732))))))</f>
        <v/>
      </c>
      <c r="AD732" s="22">
        <f>IF(AND($A732="",$B732=""),"",MAX(0,AB732-AC732))</f>
        <v/>
      </c>
      <c r="AE732" s="21">
        <f>IF(AND($A732="",$B732=""),"",IF(OR($R732&lt;&gt;"",$S732&lt;&gt;""),1,0))</f>
        <v/>
      </c>
      <c r="AF732" s="22">
        <f>IF(AND($A732="",$B732=""),"",IF(Z732=1,IF(AE732=1,N($R732),AD732),0))</f>
        <v/>
      </c>
      <c r="AG732" s="22">
        <f>IF(AND($A732="",$B732=""),"",IF(Z732=1,IF(AE732=1,N($S732),AC732),0))</f>
        <v/>
      </c>
      <c r="AH732" s="21">
        <f>IF(AND($A732="",$B732=""),"",IF(AND(ISNUMBER($I732),N($I732)&gt;0),$I732,0))</f>
        <v/>
      </c>
      <c r="AI732" s="23">
        <f>IF(AND(NOT(AND($A732="",$B732="")),$K732="Point",N($L732)&gt;0),SQRT(N($L732)/PI()),"")</f>
        <v/>
      </c>
      <c r="AJ732" s="21">
        <f>IF(AND($A732="",$B732=""),"",IFERROR(VLOOKUP($G732,Lists!$D$4:$E$15,2,FALSE),"Not reported"))</f>
        <v/>
      </c>
      <c r="AK732" s="21">
        <f>IF(AND($A732="",$B732=""),"",IF($X732&lt;&gt;"",$X732,IF($T732&lt;&gt;"Y","Not assessed",IF(AND(ISNUMBER($V732),Setup!$B$6-$V732&gt;Setup!$B$26),"Assessment outdated",IF(NOT(ISNUMBER($W732)),"Assessed – no score",IF($W732&gt;=Setup!$B$24,"High",IF($W732&gt;=Setup!$B$25,"Moderate","Low")))))))</f>
        <v/>
      </c>
      <c r="AL732" s="21">
        <f>IF(AND($A732="",$B732=""),"",IF(Z732=0,"",IF(AND(AE732=1,N($R732)&gt;AD732*1.01+0.001),"Net terrestrial &gt; gross; ","")&amp;IF(AND(AE732=1,N($S732)&gt;AC732*1.01+0.001),"Net marine &gt; gross; ","")&amp;IF(AE732=0,"No net area – gross used, overlaps may be double-counted; ","")&amp;IF(AH732=0,"STATUS_YR missing – imputed in time series; ","")&amp;IF(AND(ISNUMBER($I732),N($I732)&gt;Setup!$B$6),"STATUS_YR after reporting year; ","")&amp;IF(OR($G732="",$G732="Not Reported"),"GOV_TYPE not reported; ","")&amp;IF(AND(N($J732)=1,$K732="Point",N($M732)&lt;=0),"Coastal point without REP_M_AREA – land/sea split unknown; ","")&amp;IF(AND(N($J732)=0,N($S732)&gt;0),"MARINE=0 but net marine &gt;0; ","")&amp;IF(AND(N($J732)=2,N($R732)&gt;0),"MARINE=2 but net terrestrial &gt;0; ","")&amp;IF($K732="Point","Buffered point – coverage approximate; ","")))</f>
        <v/>
      </c>
    </row>
    <row r="733">
      <c r="A733" s="19" t="n"/>
      <c r="B733" s="19" t="n"/>
      <c r="C733" s="19" t="n"/>
      <c r="D733" s="19" t="n"/>
      <c r="E733" s="19" t="n"/>
      <c r="F733" s="19" t="n"/>
      <c r="G733" s="19" t="n"/>
      <c r="H733" s="19" t="n"/>
      <c r="I733" s="19" t="n"/>
      <c r="J733" s="19" t="n"/>
      <c r="K733" s="19" t="n"/>
      <c r="L733" s="20" t="n"/>
      <c r="M733" s="20" t="n"/>
      <c r="N733" s="20" t="n"/>
      <c r="O733" s="20" t="n"/>
      <c r="P733" s="19" t="n"/>
      <c r="Q733" s="19" t="n"/>
      <c r="R733" s="20" t="n"/>
      <c r="S733" s="20" t="n"/>
      <c r="T733" s="19" t="n"/>
      <c r="U733" s="19" t="n"/>
      <c r="V733" s="19" t="n"/>
      <c r="W733" s="19" t="n"/>
      <c r="X733" s="19" t="n"/>
      <c r="Y733" s="19" t="n"/>
      <c r="Z733" s="21">
        <f>IF(AND($A733="",$B733=""),"",IF(OR($E733="",$H733="",$H733="Proposed",$H733="Not Reported"),0,IF(AND($P733="Y",$Q733&lt;&gt;"Y"),0,IF(AND($K733="Point",N($L733)&lt;=0),0,IF(AND(N($L733)&lt;=0,N($N733)&lt;=0,N($R733)+N($S733)&lt;=0),0,1)))))</f>
        <v/>
      </c>
      <c r="AA733" s="21">
        <f>IF(AND($A733="",$B733=""),"",IF($E733="","Site type missing",IF($H733="","STATUS missing",IF($H733="Proposed","STATUS = Proposed",IF($H733="Not Reported","STATUS = Not Reported",IF(AND($P733="Y",$Q733&lt;&gt;"Y"),"UNESCO-MAB Biosphere Reserve",IF(AND($K733="Point",N($L733)&lt;=0),"Point without REP_AREA",IF(AND(N($L733)&lt;=0,N($N733)&lt;=0,N($R733)+N($S733)&lt;=0),"No area information",""))))))))</f>
        <v/>
      </c>
      <c r="AB733" s="22">
        <f>IF(AND($A733="",$B733=""),"",IF($K733="Point",N($L733),IF(N($N733)&gt;0,N($N733),N($L733))))</f>
        <v/>
      </c>
      <c r="AC733" s="22">
        <f>IF(AND($A733="",$B733=""),"",MIN(AB733,IF(N($J733)=0,0,IF(N($J733)=2,AB733,IF(AND($K733&lt;&gt;"Point",N($O733)&gt;0),N($O733),N($M733))))))</f>
        <v/>
      </c>
      <c r="AD733" s="22">
        <f>IF(AND($A733="",$B733=""),"",MAX(0,AB733-AC733))</f>
        <v/>
      </c>
      <c r="AE733" s="21">
        <f>IF(AND($A733="",$B733=""),"",IF(OR($R733&lt;&gt;"",$S733&lt;&gt;""),1,0))</f>
        <v/>
      </c>
      <c r="AF733" s="22">
        <f>IF(AND($A733="",$B733=""),"",IF(Z733=1,IF(AE733=1,N($R733),AD733),0))</f>
        <v/>
      </c>
      <c r="AG733" s="22">
        <f>IF(AND($A733="",$B733=""),"",IF(Z733=1,IF(AE733=1,N($S733),AC733),0))</f>
        <v/>
      </c>
      <c r="AH733" s="21">
        <f>IF(AND($A733="",$B733=""),"",IF(AND(ISNUMBER($I733),N($I733)&gt;0),$I733,0))</f>
        <v/>
      </c>
      <c r="AI733" s="23">
        <f>IF(AND(NOT(AND($A733="",$B733="")),$K733="Point",N($L733)&gt;0),SQRT(N($L733)/PI()),"")</f>
        <v/>
      </c>
      <c r="AJ733" s="21">
        <f>IF(AND($A733="",$B733=""),"",IFERROR(VLOOKUP($G733,Lists!$D$4:$E$15,2,FALSE),"Not reported"))</f>
        <v/>
      </c>
      <c r="AK733" s="21">
        <f>IF(AND($A733="",$B733=""),"",IF($X733&lt;&gt;"",$X733,IF($T733&lt;&gt;"Y","Not assessed",IF(AND(ISNUMBER($V733),Setup!$B$6-$V733&gt;Setup!$B$26),"Assessment outdated",IF(NOT(ISNUMBER($W733)),"Assessed – no score",IF($W733&gt;=Setup!$B$24,"High",IF($W733&gt;=Setup!$B$25,"Moderate","Low")))))))</f>
        <v/>
      </c>
      <c r="AL733" s="21">
        <f>IF(AND($A733="",$B733=""),"",IF(Z733=0,"",IF(AND(AE733=1,N($R733)&gt;AD733*1.01+0.001),"Net terrestrial &gt; gross; ","")&amp;IF(AND(AE733=1,N($S733)&gt;AC733*1.01+0.001),"Net marine &gt; gross; ","")&amp;IF(AE733=0,"No net area – gross used, overlaps may be double-counted; ","")&amp;IF(AH733=0,"STATUS_YR missing – imputed in time series; ","")&amp;IF(AND(ISNUMBER($I733),N($I733)&gt;Setup!$B$6),"STATUS_YR after reporting year; ","")&amp;IF(OR($G733="",$G733="Not Reported"),"GOV_TYPE not reported; ","")&amp;IF(AND(N($J733)=1,$K733="Point",N($M733)&lt;=0),"Coastal point without REP_M_AREA – land/sea split unknown; ","")&amp;IF(AND(N($J733)=0,N($S733)&gt;0),"MARINE=0 but net marine &gt;0; ","")&amp;IF(AND(N($J733)=2,N($R733)&gt;0),"MARINE=2 but net terrestrial &gt;0; ","")&amp;IF($K733="Point","Buffered point – coverage approximate; ","")))</f>
        <v/>
      </c>
    </row>
    <row r="734">
      <c r="A734" s="19" t="n"/>
      <c r="B734" s="19" t="n"/>
      <c r="C734" s="19" t="n"/>
      <c r="D734" s="19" t="n"/>
      <c r="E734" s="19" t="n"/>
      <c r="F734" s="19" t="n"/>
      <c r="G734" s="19" t="n"/>
      <c r="H734" s="19" t="n"/>
      <c r="I734" s="19" t="n"/>
      <c r="J734" s="19" t="n"/>
      <c r="K734" s="19" t="n"/>
      <c r="L734" s="20" t="n"/>
      <c r="M734" s="20" t="n"/>
      <c r="N734" s="20" t="n"/>
      <c r="O734" s="20" t="n"/>
      <c r="P734" s="19" t="n"/>
      <c r="Q734" s="19" t="n"/>
      <c r="R734" s="20" t="n"/>
      <c r="S734" s="20" t="n"/>
      <c r="T734" s="19" t="n"/>
      <c r="U734" s="19" t="n"/>
      <c r="V734" s="19" t="n"/>
      <c r="W734" s="19" t="n"/>
      <c r="X734" s="19" t="n"/>
      <c r="Y734" s="19" t="n"/>
      <c r="Z734" s="21">
        <f>IF(AND($A734="",$B734=""),"",IF(OR($E734="",$H734="",$H734="Proposed",$H734="Not Reported"),0,IF(AND($P734="Y",$Q734&lt;&gt;"Y"),0,IF(AND($K734="Point",N($L734)&lt;=0),0,IF(AND(N($L734)&lt;=0,N($N734)&lt;=0,N($R734)+N($S734)&lt;=0),0,1)))))</f>
        <v/>
      </c>
      <c r="AA734" s="21">
        <f>IF(AND($A734="",$B734=""),"",IF($E734="","Site type missing",IF($H734="","STATUS missing",IF($H734="Proposed","STATUS = Proposed",IF($H734="Not Reported","STATUS = Not Reported",IF(AND($P734="Y",$Q734&lt;&gt;"Y"),"UNESCO-MAB Biosphere Reserve",IF(AND($K734="Point",N($L734)&lt;=0),"Point without REP_AREA",IF(AND(N($L734)&lt;=0,N($N734)&lt;=0,N($R734)+N($S734)&lt;=0),"No area information",""))))))))</f>
        <v/>
      </c>
      <c r="AB734" s="22">
        <f>IF(AND($A734="",$B734=""),"",IF($K734="Point",N($L734),IF(N($N734)&gt;0,N($N734),N($L734))))</f>
        <v/>
      </c>
      <c r="AC734" s="22">
        <f>IF(AND($A734="",$B734=""),"",MIN(AB734,IF(N($J734)=0,0,IF(N($J734)=2,AB734,IF(AND($K734&lt;&gt;"Point",N($O734)&gt;0),N($O734),N($M734))))))</f>
        <v/>
      </c>
      <c r="AD734" s="22">
        <f>IF(AND($A734="",$B734=""),"",MAX(0,AB734-AC734))</f>
        <v/>
      </c>
      <c r="AE734" s="21">
        <f>IF(AND($A734="",$B734=""),"",IF(OR($R734&lt;&gt;"",$S734&lt;&gt;""),1,0))</f>
        <v/>
      </c>
      <c r="AF734" s="22">
        <f>IF(AND($A734="",$B734=""),"",IF(Z734=1,IF(AE734=1,N($R734),AD734),0))</f>
        <v/>
      </c>
      <c r="AG734" s="22">
        <f>IF(AND($A734="",$B734=""),"",IF(Z734=1,IF(AE734=1,N($S734),AC734),0))</f>
        <v/>
      </c>
      <c r="AH734" s="21">
        <f>IF(AND($A734="",$B734=""),"",IF(AND(ISNUMBER($I734),N($I734)&gt;0),$I734,0))</f>
        <v/>
      </c>
      <c r="AI734" s="23">
        <f>IF(AND(NOT(AND($A734="",$B734="")),$K734="Point",N($L734)&gt;0),SQRT(N($L734)/PI()),"")</f>
        <v/>
      </c>
      <c r="AJ734" s="21">
        <f>IF(AND($A734="",$B734=""),"",IFERROR(VLOOKUP($G734,Lists!$D$4:$E$15,2,FALSE),"Not reported"))</f>
        <v/>
      </c>
      <c r="AK734" s="21">
        <f>IF(AND($A734="",$B734=""),"",IF($X734&lt;&gt;"",$X734,IF($T734&lt;&gt;"Y","Not assessed",IF(AND(ISNUMBER($V734),Setup!$B$6-$V734&gt;Setup!$B$26),"Assessment outdated",IF(NOT(ISNUMBER($W734)),"Assessed – no score",IF($W734&gt;=Setup!$B$24,"High",IF($W734&gt;=Setup!$B$25,"Moderate","Low")))))))</f>
        <v/>
      </c>
      <c r="AL734" s="21">
        <f>IF(AND($A734="",$B734=""),"",IF(Z734=0,"",IF(AND(AE734=1,N($R734)&gt;AD734*1.01+0.001),"Net terrestrial &gt; gross; ","")&amp;IF(AND(AE734=1,N($S734)&gt;AC734*1.01+0.001),"Net marine &gt; gross; ","")&amp;IF(AE734=0,"No net area – gross used, overlaps may be double-counted; ","")&amp;IF(AH734=0,"STATUS_YR missing – imputed in time series; ","")&amp;IF(AND(ISNUMBER($I734),N($I734)&gt;Setup!$B$6),"STATUS_YR after reporting year; ","")&amp;IF(OR($G734="",$G734="Not Reported"),"GOV_TYPE not reported; ","")&amp;IF(AND(N($J734)=1,$K734="Point",N($M734)&lt;=0),"Coastal point without REP_M_AREA – land/sea split unknown; ","")&amp;IF(AND(N($J734)=0,N($S734)&gt;0),"MARINE=0 but net marine &gt;0; ","")&amp;IF(AND(N($J734)=2,N($R734)&gt;0),"MARINE=2 but net terrestrial &gt;0; ","")&amp;IF($K734="Point","Buffered point – coverage approximate; ","")))</f>
        <v/>
      </c>
    </row>
    <row r="735">
      <c r="A735" s="19" t="n"/>
      <c r="B735" s="19" t="n"/>
      <c r="C735" s="19" t="n"/>
      <c r="D735" s="19" t="n"/>
      <c r="E735" s="19" t="n"/>
      <c r="F735" s="19" t="n"/>
      <c r="G735" s="19" t="n"/>
      <c r="H735" s="19" t="n"/>
      <c r="I735" s="19" t="n"/>
      <c r="J735" s="19" t="n"/>
      <c r="K735" s="19" t="n"/>
      <c r="L735" s="20" t="n"/>
      <c r="M735" s="20" t="n"/>
      <c r="N735" s="20" t="n"/>
      <c r="O735" s="20" t="n"/>
      <c r="P735" s="19" t="n"/>
      <c r="Q735" s="19" t="n"/>
      <c r="R735" s="20" t="n"/>
      <c r="S735" s="20" t="n"/>
      <c r="T735" s="19" t="n"/>
      <c r="U735" s="19" t="n"/>
      <c r="V735" s="19" t="n"/>
      <c r="W735" s="19" t="n"/>
      <c r="X735" s="19" t="n"/>
      <c r="Y735" s="19" t="n"/>
      <c r="Z735" s="21">
        <f>IF(AND($A735="",$B735=""),"",IF(OR($E735="",$H735="",$H735="Proposed",$H735="Not Reported"),0,IF(AND($P735="Y",$Q735&lt;&gt;"Y"),0,IF(AND($K735="Point",N($L735)&lt;=0),0,IF(AND(N($L735)&lt;=0,N($N735)&lt;=0,N($R735)+N($S735)&lt;=0),0,1)))))</f>
        <v/>
      </c>
      <c r="AA735" s="21">
        <f>IF(AND($A735="",$B735=""),"",IF($E735="","Site type missing",IF($H735="","STATUS missing",IF($H735="Proposed","STATUS = Proposed",IF($H735="Not Reported","STATUS = Not Reported",IF(AND($P735="Y",$Q735&lt;&gt;"Y"),"UNESCO-MAB Biosphere Reserve",IF(AND($K735="Point",N($L735)&lt;=0),"Point without REP_AREA",IF(AND(N($L735)&lt;=0,N($N735)&lt;=0,N($R735)+N($S735)&lt;=0),"No area information",""))))))))</f>
        <v/>
      </c>
      <c r="AB735" s="22">
        <f>IF(AND($A735="",$B735=""),"",IF($K735="Point",N($L735),IF(N($N735)&gt;0,N($N735),N($L735))))</f>
        <v/>
      </c>
      <c r="AC735" s="22">
        <f>IF(AND($A735="",$B735=""),"",MIN(AB735,IF(N($J735)=0,0,IF(N($J735)=2,AB735,IF(AND($K735&lt;&gt;"Point",N($O735)&gt;0),N($O735),N($M735))))))</f>
        <v/>
      </c>
      <c r="AD735" s="22">
        <f>IF(AND($A735="",$B735=""),"",MAX(0,AB735-AC735))</f>
        <v/>
      </c>
      <c r="AE735" s="21">
        <f>IF(AND($A735="",$B735=""),"",IF(OR($R735&lt;&gt;"",$S735&lt;&gt;""),1,0))</f>
        <v/>
      </c>
      <c r="AF735" s="22">
        <f>IF(AND($A735="",$B735=""),"",IF(Z735=1,IF(AE735=1,N($R735),AD735),0))</f>
        <v/>
      </c>
      <c r="AG735" s="22">
        <f>IF(AND($A735="",$B735=""),"",IF(Z735=1,IF(AE735=1,N($S735),AC735),0))</f>
        <v/>
      </c>
      <c r="AH735" s="21">
        <f>IF(AND($A735="",$B735=""),"",IF(AND(ISNUMBER($I735),N($I735)&gt;0),$I735,0))</f>
        <v/>
      </c>
      <c r="AI735" s="23">
        <f>IF(AND(NOT(AND($A735="",$B735="")),$K735="Point",N($L735)&gt;0),SQRT(N($L735)/PI()),"")</f>
        <v/>
      </c>
      <c r="AJ735" s="21">
        <f>IF(AND($A735="",$B735=""),"",IFERROR(VLOOKUP($G735,Lists!$D$4:$E$15,2,FALSE),"Not reported"))</f>
        <v/>
      </c>
      <c r="AK735" s="21">
        <f>IF(AND($A735="",$B735=""),"",IF($X735&lt;&gt;"",$X735,IF($T735&lt;&gt;"Y","Not assessed",IF(AND(ISNUMBER($V735),Setup!$B$6-$V735&gt;Setup!$B$26),"Assessment outdated",IF(NOT(ISNUMBER($W735)),"Assessed – no score",IF($W735&gt;=Setup!$B$24,"High",IF($W735&gt;=Setup!$B$25,"Moderate","Low")))))))</f>
        <v/>
      </c>
      <c r="AL735" s="21">
        <f>IF(AND($A735="",$B735=""),"",IF(Z735=0,"",IF(AND(AE735=1,N($R735)&gt;AD735*1.01+0.001),"Net terrestrial &gt; gross; ","")&amp;IF(AND(AE735=1,N($S735)&gt;AC735*1.01+0.001),"Net marine &gt; gross; ","")&amp;IF(AE735=0,"No net area – gross used, overlaps may be double-counted; ","")&amp;IF(AH735=0,"STATUS_YR missing – imputed in time series; ","")&amp;IF(AND(ISNUMBER($I735),N($I735)&gt;Setup!$B$6),"STATUS_YR after reporting year; ","")&amp;IF(OR($G735="",$G735="Not Reported"),"GOV_TYPE not reported; ","")&amp;IF(AND(N($J735)=1,$K735="Point",N($M735)&lt;=0),"Coastal point without REP_M_AREA – land/sea split unknown; ","")&amp;IF(AND(N($J735)=0,N($S735)&gt;0),"MARINE=0 but net marine &gt;0; ","")&amp;IF(AND(N($J735)=2,N($R735)&gt;0),"MARINE=2 but net terrestrial &gt;0; ","")&amp;IF($K735="Point","Buffered point – coverage approximate; ","")))</f>
        <v/>
      </c>
    </row>
    <row r="736">
      <c r="A736" s="19" t="n"/>
      <c r="B736" s="19" t="n"/>
      <c r="C736" s="19" t="n"/>
      <c r="D736" s="19" t="n"/>
      <c r="E736" s="19" t="n"/>
      <c r="F736" s="19" t="n"/>
      <c r="G736" s="19" t="n"/>
      <c r="H736" s="19" t="n"/>
      <c r="I736" s="19" t="n"/>
      <c r="J736" s="19" t="n"/>
      <c r="K736" s="19" t="n"/>
      <c r="L736" s="20" t="n"/>
      <c r="M736" s="20" t="n"/>
      <c r="N736" s="20" t="n"/>
      <c r="O736" s="20" t="n"/>
      <c r="P736" s="19" t="n"/>
      <c r="Q736" s="19" t="n"/>
      <c r="R736" s="20" t="n"/>
      <c r="S736" s="20" t="n"/>
      <c r="T736" s="19" t="n"/>
      <c r="U736" s="19" t="n"/>
      <c r="V736" s="19" t="n"/>
      <c r="W736" s="19" t="n"/>
      <c r="X736" s="19" t="n"/>
      <c r="Y736" s="19" t="n"/>
      <c r="Z736" s="21">
        <f>IF(AND($A736="",$B736=""),"",IF(OR($E736="",$H736="",$H736="Proposed",$H736="Not Reported"),0,IF(AND($P736="Y",$Q736&lt;&gt;"Y"),0,IF(AND($K736="Point",N($L736)&lt;=0),0,IF(AND(N($L736)&lt;=0,N($N736)&lt;=0,N($R736)+N($S736)&lt;=0),0,1)))))</f>
        <v/>
      </c>
      <c r="AA736" s="21">
        <f>IF(AND($A736="",$B736=""),"",IF($E736="","Site type missing",IF($H736="","STATUS missing",IF($H736="Proposed","STATUS = Proposed",IF($H736="Not Reported","STATUS = Not Reported",IF(AND($P736="Y",$Q736&lt;&gt;"Y"),"UNESCO-MAB Biosphere Reserve",IF(AND($K736="Point",N($L736)&lt;=0),"Point without REP_AREA",IF(AND(N($L736)&lt;=0,N($N736)&lt;=0,N($R736)+N($S736)&lt;=0),"No area information",""))))))))</f>
        <v/>
      </c>
      <c r="AB736" s="22">
        <f>IF(AND($A736="",$B736=""),"",IF($K736="Point",N($L736),IF(N($N736)&gt;0,N($N736),N($L736))))</f>
        <v/>
      </c>
      <c r="AC736" s="22">
        <f>IF(AND($A736="",$B736=""),"",MIN(AB736,IF(N($J736)=0,0,IF(N($J736)=2,AB736,IF(AND($K736&lt;&gt;"Point",N($O736)&gt;0),N($O736),N($M736))))))</f>
        <v/>
      </c>
      <c r="AD736" s="22">
        <f>IF(AND($A736="",$B736=""),"",MAX(0,AB736-AC736))</f>
        <v/>
      </c>
      <c r="AE736" s="21">
        <f>IF(AND($A736="",$B736=""),"",IF(OR($R736&lt;&gt;"",$S736&lt;&gt;""),1,0))</f>
        <v/>
      </c>
      <c r="AF736" s="22">
        <f>IF(AND($A736="",$B736=""),"",IF(Z736=1,IF(AE736=1,N($R736),AD736),0))</f>
        <v/>
      </c>
      <c r="AG736" s="22">
        <f>IF(AND($A736="",$B736=""),"",IF(Z736=1,IF(AE736=1,N($S736),AC736),0))</f>
        <v/>
      </c>
      <c r="AH736" s="21">
        <f>IF(AND($A736="",$B736=""),"",IF(AND(ISNUMBER($I736),N($I736)&gt;0),$I736,0))</f>
        <v/>
      </c>
      <c r="AI736" s="23">
        <f>IF(AND(NOT(AND($A736="",$B736="")),$K736="Point",N($L736)&gt;0),SQRT(N($L736)/PI()),"")</f>
        <v/>
      </c>
      <c r="AJ736" s="21">
        <f>IF(AND($A736="",$B736=""),"",IFERROR(VLOOKUP($G736,Lists!$D$4:$E$15,2,FALSE),"Not reported"))</f>
        <v/>
      </c>
      <c r="AK736" s="21">
        <f>IF(AND($A736="",$B736=""),"",IF($X736&lt;&gt;"",$X736,IF($T736&lt;&gt;"Y","Not assessed",IF(AND(ISNUMBER($V736),Setup!$B$6-$V736&gt;Setup!$B$26),"Assessment outdated",IF(NOT(ISNUMBER($W736)),"Assessed – no score",IF($W736&gt;=Setup!$B$24,"High",IF($W736&gt;=Setup!$B$25,"Moderate","Low")))))))</f>
        <v/>
      </c>
      <c r="AL736" s="21">
        <f>IF(AND($A736="",$B736=""),"",IF(Z736=0,"",IF(AND(AE736=1,N($R736)&gt;AD736*1.01+0.001),"Net terrestrial &gt; gross; ","")&amp;IF(AND(AE736=1,N($S736)&gt;AC736*1.01+0.001),"Net marine &gt; gross; ","")&amp;IF(AE736=0,"No net area – gross used, overlaps may be double-counted; ","")&amp;IF(AH736=0,"STATUS_YR missing – imputed in time series; ","")&amp;IF(AND(ISNUMBER($I736),N($I736)&gt;Setup!$B$6),"STATUS_YR after reporting year; ","")&amp;IF(OR($G736="",$G736="Not Reported"),"GOV_TYPE not reported; ","")&amp;IF(AND(N($J736)=1,$K736="Point",N($M736)&lt;=0),"Coastal point without REP_M_AREA – land/sea split unknown; ","")&amp;IF(AND(N($J736)=0,N($S736)&gt;0),"MARINE=0 but net marine &gt;0; ","")&amp;IF(AND(N($J736)=2,N($R736)&gt;0),"MARINE=2 but net terrestrial &gt;0; ","")&amp;IF($K736="Point","Buffered point – coverage approximate; ","")))</f>
        <v/>
      </c>
    </row>
    <row r="737">
      <c r="A737" s="19" t="n"/>
      <c r="B737" s="19" t="n"/>
      <c r="C737" s="19" t="n"/>
      <c r="D737" s="19" t="n"/>
      <c r="E737" s="19" t="n"/>
      <c r="F737" s="19" t="n"/>
      <c r="G737" s="19" t="n"/>
      <c r="H737" s="19" t="n"/>
      <c r="I737" s="19" t="n"/>
      <c r="J737" s="19" t="n"/>
      <c r="K737" s="19" t="n"/>
      <c r="L737" s="20" t="n"/>
      <c r="M737" s="20" t="n"/>
      <c r="N737" s="20" t="n"/>
      <c r="O737" s="20" t="n"/>
      <c r="P737" s="19" t="n"/>
      <c r="Q737" s="19" t="n"/>
      <c r="R737" s="20" t="n"/>
      <c r="S737" s="20" t="n"/>
      <c r="T737" s="19" t="n"/>
      <c r="U737" s="19" t="n"/>
      <c r="V737" s="19" t="n"/>
      <c r="W737" s="19" t="n"/>
      <c r="X737" s="19" t="n"/>
      <c r="Y737" s="19" t="n"/>
      <c r="Z737" s="21">
        <f>IF(AND($A737="",$B737=""),"",IF(OR($E737="",$H737="",$H737="Proposed",$H737="Not Reported"),0,IF(AND($P737="Y",$Q737&lt;&gt;"Y"),0,IF(AND($K737="Point",N($L737)&lt;=0),0,IF(AND(N($L737)&lt;=0,N($N737)&lt;=0,N($R737)+N($S737)&lt;=0),0,1)))))</f>
        <v/>
      </c>
      <c r="AA737" s="21">
        <f>IF(AND($A737="",$B737=""),"",IF($E737="","Site type missing",IF($H737="","STATUS missing",IF($H737="Proposed","STATUS = Proposed",IF($H737="Not Reported","STATUS = Not Reported",IF(AND($P737="Y",$Q737&lt;&gt;"Y"),"UNESCO-MAB Biosphere Reserve",IF(AND($K737="Point",N($L737)&lt;=0),"Point without REP_AREA",IF(AND(N($L737)&lt;=0,N($N737)&lt;=0,N($R737)+N($S737)&lt;=0),"No area information",""))))))))</f>
        <v/>
      </c>
      <c r="AB737" s="22">
        <f>IF(AND($A737="",$B737=""),"",IF($K737="Point",N($L737),IF(N($N737)&gt;0,N($N737),N($L737))))</f>
        <v/>
      </c>
      <c r="AC737" s="22">
        <f>IF(AND($A737="",$B737=""),"",MIN(AB737,IF(N($J737)=0,0,IF(N($J737)=2,AB737,IF(AND($K737&lt;&gt;"Point",N($O737)&gt;0),N($O737),N($M737))))))</f>
        <v/>
      </c>
      <c r="AD737" s="22">
        <f>IF(AND($A737="",$B737=""),"",MAX(0,AB737-AC737))</f>
        <v/>
      </c>
      <c r="AE737" s="21">
        <f>IF(AND($A737="",$B737=""),"",IF(OR($R737&lt;&gt;"",$S737&lt;&gt;""),1,0))</f>
        <v/>
      </c>
      <c r="AF737" s="22">
        <f>IF(AND($A737="",$B737=""),"",IF(Z737=1,IF(AE737=1,N($R737),AD737),0))</f>
        <v/>
      </c>
      <c r="AG737" s="22">
        <f>IF(AND($A737="",$B737=""),"",IF(Z737=1,IF(AE737=1,N($S737),AC737),0))</f>
        <v/>
      </c>
      <c r="AH737" s="21">
        <f>IF(AND($A737="",$B737=""),"",IF(AND(ISNUMBER($I737),N($I737)&gt;0),$I737,0))</f>
        <v/>
      </c>
      <c r="AI737" s="23">
        <f>IF(AND(NOT(AND($A737="",$B737="")),$K737="Point",N($L737)&gt;0),SQRT(N($L737)/PI()),"")</f>
        <v/>
      </c>
      <c r="AJ737" s="21">
        <f>IF(AND($A737="",$B737=""),"",IFERROR(VLOOKUP($G737,Lists!$D$4:$E$15,2,FALSE),"Not reported"))</f>
        <v/>
      </c>
      <c r="AK737" s="21">
        <f>IF(AND($A737="",$B737=""),"",IF($X737&lt;&gt;"",$X737,IF($T737&lt;&gt;"Y","Not assessed",IF(AND(ISNUMBER($V737),Setup!$B$6-$V737&gt;Setup!$B$26),"Assessment outdated",IF(NOT(ISNUMBER($W737)),"Assessed – no score",IF($W737&gt;=Setup!$B$24,"High",IF($W737&gt;=Setup!$B$25,"Moderate","Low")))))))</f>
        <v/>
      </c>
      <c r="AL737" s="21">
        <f>IF(AND($A737="",$B737=""),"",IF(Z737=0,"",IF(AND(AE737=1,N($R737)&gt;AD737*1.01+0.001),"Net terrestrial &gt; gross; ","")&amp;IF(AND(AE737=1,N($S737)&gt;AC737*1.01+0.001),"Net marine &gt; gross; ","")&amp;IF(AE737=0,"No net area – gross used, overlaps may be double-counted; ","")&amp;IF(AH737=0,"STATUS_YR missing – imputed in time series; ","")&amp;IF(AND(ISNUMBER($I737),N($I737)&gt;Setup!$B$6),"STATUS_YR after reporting year; ","")&amp;IF(OR($G737="",$G737="Not Reported"),"GOV_TYPE not reported; ","")&amp;IF(AND(N($J737)=1,$K737="Point",N($M737)&lt;=0),"Coastal point without REP_M_AREA – land/sea split unknown; ","")&amp;IF(AND(N($J737)=0,N($S737)&gt;0),"MARINE=0 but net marine &gt;0; ","")&amp;IF(AND(N($J737)=2,N($R737)&gt;0),"MARINE=2 but net terrestrial &gt;0; ","")&amp;IF($K737="Point","Buffered point – coverage approximate; ","")))</f>
        <v/>
      </c>
    </row>
    <row r="738">
      <c r="A738" s="19" t="n"/>
      <c r="B738" s="19" t="n"/>
      <c r="C738" s="19" t="n"/>
      <c r="D738" s="19" t="n"/>
      <c r="E738" s="19" t="n"/>
      <c r="F738" s="19" t="n"/>
      <c r="G738" s="19" t="n"/>
      <c r="H738" s="19" t="n"/>
      <c r="I738" s="19" t="n"/>
      <c r="J738" s="19" t="n"/>
      <c r="K738" s="19" t="n"/>
      <c r="L738" s="20" t="n"/>
      <c r="M738" s="20" t="n"/>
      <c r="N738" s="20" t="n"/>
      <c r="O738" s="20" t="n"/>
      <c r="P738" s="19" t="n"/>
      <c r="Q738" s="19" t="n"/>
      <c r="R738" s="20" t="n"/>
      <c r="S738" s="20" t="n"/>
      <c r="T738" s="19" t="n"/>
      <c r="U738" s="19" t="n"/>
      <c r="V738" s="19" t="n"/>
      <c r="W738" s="19" t="n"/>
      <c r="X738" s="19" t="n"/>
      <c r="Y738" s="19" t="n"/>
      <c r="Z738" s="21">
        <f>IF(AND($A738="",$B738=""),"",IF(OR($E738="",$H738="",$H738="Proposed",$H738="Not Reported"),0,IF(AND($P738="Y",$Q738&lt;&gt;"Y"),0,IF(AND($K738="Point",N($L738)&lt;=0),0,IF(AND(N($L738)&lt;=0,N($N738)&lt;=0,N($R738)+N($S738)&lt;=0),0,1)))))</f>
        <v/>
      </c>
      <c r="AA738" s="21">
        <f>IF(AND($A738="",$B738=""),"",IF($E738="","Site type missing",IF($H738="","STATUS missing",IF($H738="Proposed","STATUS = Proposed",IF($H738="Not Reported","STATUS = Not Reported",IF(AND($P738="Y",$Q738&lt;&gt;"Y"),"UNESCO-MAB Biosphere Reserve",IF(AND($K738="Point",N($L738)&lt;=0),"Point without REP_AREA",IF(AND(N($L738)&lt;=0,N($N738)&lt;=0,N($R738)+N($S738)&lt;=0),"No area information",""))))))))</f>
        <v/>
      </c>
      <c r="AB738" s="22">
        <f>IF(AND($A738="",$B738=""),"",IF($K738="Point",N($L738),IF(N($N738)&gt;0,N($N738),N($L738))))</f>
        <v/>
      </c>
      <c r="AC738" s="22">
        <f>IF(AND($A738="",$B738=""),"",MIN(AB738,IF(N($J738)=0,0,IF(N($J738)=2,AB738,IF(AND($K738&lt;&gt;"Point",N($O738)&gt;0),N($O738),N($M738))))))</f>
        <v/>
      </c>
      <c r="AD738" s="22">
        <f>IF(AND($A738="",$B738=""),"",MAX(0,AB738-AC738))</f>
        <v/>
      </c>
      <c r="AE738" s="21">
        <f>IF(AND($A738="",$B738=""),"",IF(OR($R738&lt;&gt;"",$S738&lt;&gt;""),1,0))</f>
        <v/>
      </c>
      <c r="AF738" s="22">
        <f>IF(AND($A738="",$B738=""),"",IF(Z738=1,IF(AE738=1,N($R738),AD738),0))</f>
        <v/>
      </c>
      <c r="AG738" s="22">
        <f>IF(AND($A738="",$B738=""),"",IF(Z738=1,IF(AE738=1,N($S738),AC738),0))</f>
        <v/>
      </c>
      <c r="AH738" s="21">
        <f>IF(AND($A738="",$B738=""),"",IF(AND(ISNUMBER($I738),N($I738)&gt;0),$I738,0))</f>
        <v/>
      </c>
      <c r="AI738" s="23">
        <f>IF(AND(NOT(AND($A738="",$B738="")),$K738="Point",N($L738)&gt;0),SQRT(N($L738)/PI()),"")</f>
        <v/>
      </c>
      <c r="AJ738" s="21">
        <f>IF(AND($A738="",$B738=""),"",IFERROR(VLOOKUP($G738,Lists!$D$4:$E$15,2,FALSE),"Not reported"))</f>
        <v/>
      </c>
      <c r="AK738" s="21">
        <f>IF(AND($A738="",$B738=""),"",IF($X738&lt;&gt;"",$X738,IF($T738&lt;&gt;"Y","Not assessed",IF(AND(ISNUMBER($V738),Setup!$B$6-$V738&gt;Setup!$B$26),"Assessment outdated",IF(NOT(ISNUMBER($W738)),"Assessed – no score",IF($W738&gt;=Setup!$B$24,"High",IF($W738&gt;=Setup!$B$25,"Moderate","Low")))))))</f>
        <v/>
      </c>
      <c r="AL738" s="21">
        <f>IF(AND($A738="",$B738=""),"",IF(Z738=0,"",IF(AND(AE738=1,N($R738)&gt;AD738*1.01+0.001),"Net terrestrial &gt; gross; ","")&amp;IF(AND(AE738=1,N($S738)&gt;AC738*1.01+0.001),"Net marine &gt; gross; ","")&amp;IF(AE738=0,"No net area – gross used, overlaps may be double-counted; ","")&amp;IF(AH738=0,"STATUS_YR missing – imputed in time series; ","")&amp;IF(AND(ISNUMBER($I738),N($I738)&gt;Setup!$B$6),"STATUS_YR after reporting year; ","")&amp;IF(OR($G738="",$G738="Not Reported"),"GOV_TYPE not reported; ","")&amp;IF(AND(N($J738)=1,$K738="Point",N($M738)&lt;=0),"Coastal point without REP_M_AREA – land/sea split unknown; ","")&amp;IF(AND(N($J738)=0,N($S738)&gt;0),"MARINE=0 but net marine &gt;0; ","")&amp;IF(AND(N($J738)=2,N($R738)&gt;0),"MARINE=2 but net terrestrial &gt;0; ","")&amp;IF($K738="Point","Buffered point – coverage approximate; ","")))</f>
        <v/>
      </c>
    </row>
    <row r="739">
      <c r="A739" s="19" t="n"/>
      <c r="B739" s="19" t="n"/>
      <c r="C739" s="19" t="n"/>
      <c r="D739" s="19" t="n"/>
      <c r="E739" s="19" t="n"/>
      <c r="F739" s="19" t="n"/>
      <c r="G739" s="19" t="n"/>
      <c r="H739" s="19" t="n"/>
      <c r="I739" s="19" t="n"/>
      <c r="J739" s="19" t="n"/>
      <c r="K739" s="19" t="n"/>
      <c r="L739" s="20" t="n"/>
      <c r="M739" s="20" t="n"/>
      <c r="N739" s="20" t="n"/>
      <c r="O739" s="20" t="n"/>
      <c r="P739" s="19" t="n"/>
      <c r="Q739" s="19" t="n"/>
      <c r="R739" s="20" t="n"/>
      <c r="S739" s="20" t="n"/>
      <c r="T739" s="19" t="n"/>
      <c r="U739" s="19" t="n"/>
      <c r="V739" s="19" t="n"/>
      <c r="W739" s="19" t="n"/>
      <c r="X739" s="19" t="n"/>
      <c r="Y739" s="19" t="n"/>
      <c r="Z739" s="21">
        <f>IF(AND($A739="",$B739=""),"",IF(OR($E739="",$H739="",$H739="Proposed",$H739="Not Reported"),0,IF(AND($P739="Y",$Q739&lt;&gt;"Y"),0,IF(AND($K739="Point",N($L739)&lt;=0),0,IF(AND(N($L739)&lt;=0,N($N739)&lt;=0,N($R739)+N($S739)&lt;=0),0,1)))))</f>
        <v/>
      </c>
      <c r="AA739" s="21">
        <f>IF(AND($A739="",$B739=""),"",IF($E739="","Site type missing",IF($H739="","STATUS missing",IF($H739="Proposed","STATUS = Proposed",IF($H739="Not Reported","STATUS = Not Reported",IF(AND($P739="Y",$Q739&lt;&gt;"Y"),"UNESCO-MAB Biosphere Reserve",IF(AND($K739="Point",N($L739)&lt;=0),"Point without REP_AREA",IF(AND(N($L739)&lt;=0,N($N739)&lt;=0,N($R739)+N($S739)&lt;=0),"No area information",""))))))))</f>
        <v/>
      </c>
      <c r="AB739" s="22">
        <f>IF(AND($A739="",$B739=""),"",IF($K739="Point",N($L739),IF(N($N739)&gt;0,N($N739),N($L739))))</f>
        <v/>
      </c>
      <c r="AC739" s="22">
        <f>IF(AND($A739="",$B739=""),"",MIN(AB739,IF(N($J739)=0,0,IF(N($J739)=2,AB739,IF(AND($K739&lt;&gt;"Point",N($O739)&gt;0),N($O739),N($M739))))))</f>
        <v/>
      </c>
      <c r="AD739" s="22">
        <f>IF(AND($A739="",$B739=""),"",MAX(0,AB739-AC739))</f>
        <v/>
      </c>
      <c r="AE739" s="21">
        <f>IF(AND($A739="",$B739=""),"",IF(OR($R739&lt;&gt;"",$S739&lt;&gt;""),1,0))</f>
        <v/>
      </c>
      <c r="AF739" s="22">
        <f>IF(AND($A739="",$B739=""),"",IF(Z739=1,IF(AE739=1,N($R739),AD739),0))</f>
        <v/>
      </c>
      <c r="AG739" s="22">
        <f>IF(AND($A739="",$B739=""),"",IF(Z739=1,IF(AE739=1,N($S739),AC739),0))</f>
        <v/>
      </c>
      <c r="AH739" s="21">
        <f>IF(AND($A739="",$B739=""),"",IF(AND(ISNUMBER($I739),N($I739)&gt;0),$I739,0))</f>
        <v/>
      </c>
      <c r="AI739" s="23">
        <f>IF(AND(NOT(AND($A739="",$B739="")),$K739="Point",N($L739)&gt;0),SQRT(N($L739)/PI()),"")</f>
        <v/>
      </c>
      <c r="AJ739" s="21">
        <f>IF(AND($A739="",$B739=""),"",IFERROR(VLOOKUP($G739,Lists!$D$4:$E$15,2,FALSE),"Not reported"))</f>
        <v/>
      </c>
      <c r="AK739" s="21">
        <f>IF(AND($A739="",$B739=""),"",IF($X739&lt;&gt;"",$X739,IF($T739&lt;&gt;"Y","Not assessed",IF(AND(ISNUMBER($V739),Setup!$B$6-$V739&gt;Setup!$B$26),"Assessment outdated",IF(NOT(ISNUMBER($W739)),"Assessed – no score",IF($W739&gt;=Setup!$B$24,"High",IF($W739&gt;=Setup!$B$25,"Moderate","Low")))))))</f>
        <v/>
      </c>
      <c r="AL739" s="21">
        <f>IF(AND($A739="",$B739=""),"",IF(Z739=0,"",IF(AND(AE739=1,N($R739)&gt;AD739*1.01+0.001),"Net terrestrial &gt; gross; ","")&amp;IF(AND(AE739=1,N($S739)&gt;AC739*1.01+0.001),"Net marine &gt; gross; ","")&amp;IF(AE739=0,"No net area – gross used, overlaps may be double-counted; ","")&amp;IF(AH739=0,"STATUS_YR missing – imputed in time series; ","")&amp;IF(AND(ISNUMBER($I739),N($I739)&gt;Setup!$B$6),"STATUS_YR after reporting year; ","")&amp;IF(OR($G739="",$G739="Not Reported"),"GOV_TYPE not reported; ","")&amp;IF(AND(N($J739)=1,$K739="Point",N($M739)&lt;=0),"Coastal point without REP_M_AREA – land/sea split unknown; ","")&amp;IF(AND(N($J739)=0,N($S739)&gt;0),"MARINE=0 but net marine &gt;0; ","")&amp;IF(AND(N($J739)=2,N($R739)&gt;0),"MARINE=2 but net terrestrial &gt;0; ","")&amp;IF($K739="Point","Buffered point – coverage approximate; ","")))</f>
        <v/>
      </c>
    </row>
    <row r="740">
      <c r="A740" s="19" t="n"/>
      <c r="B740" s="19" t="n"/>
      <c r="C740" s="19" t="n"/>
      <c r="D740" s="19" t="n"/>
      <c r="E740" s="19" t="n"/>
      <c r="F740" s="19" t="n"/>
      <c r="G740" s="19" t="n"/>
      <c r="H740" s="19" t="n"/>
      <c r="I740" s="19" t="n"/>
      <c r="J740" s="19" t="n"/>
      <c r="K740" s="19" t="n"/>
      <c r="L740" s="20" t="n"/>
      <c r="M740" s="20" t="n"/>
      <c r="N740" s="20" t="n"/>
      <c r="O740" s="20" t="n"/>
      <c r="P740" s="19" t="n"/>
      <c r="Q740" s="19" t="n"/>
      <c r="R740" s="20" t="n"/>
      <c r="S740" s="20" t="n"/>
      <c r="T740" s="19" t="n"/>
      <c r="U740" s="19" t="n"/>
      <c r="V740" s="19" t="n"/>
      <c r="W740" s="19" t="n"/>
      <c r="X740" s="19" t="n"/>
      <c r="Y740" s="19" t="n"/>
      <c r="Z740" s="21">
        <f>IF(AND($A740="",$B740=""),"",IF(OR($E740="",$H740="",$H740="Proposed",$H740="Not Reported"),0,IF(AND($P740="Y",$Q740&lt;&gt;"Y"),0,IF(AND($K740="Point",N($L740)&lt;=0),0,IF(AND(N($L740)&lt;=0,N($N740)&lt;=0,N($R740)+N($S740)&lt;=0),0,1)))))</f>
        <v/>
      </c>
      <c r="AA740" s="21">
        <f>IF(AND($A740="",$B740=""),"",IF($E740="","Site type missing",IF($H740="","STATUS missing",IF($H740="Proposed","STATUS = Proposed",IF($H740="Not Reported","STATUS = Not Reported",IF(AND($P740="Y",$Q740&lt;&gt;"Y"),"UNESCO-MAB Biosphere Reserve",IF(AND($K740="Point",N($L740)&lt;=0),"Point without REP_AREA",IF(AND(N($L740)&lt;=0,N($N740)&lt;=0,N($R740)+N($S740)&lt;=0),"No area information",""))))))))</f>
        <v/>
      </c>
      <c r="AB740" s="22">
        <f>IF(AND($A740="",$B740=""),"",IF($K740="Point",N($L740),IF(N($N740)&gt;0,N($N740),N($L740))))</f>
        <v/>
      </c>
      <c r="AC740" s="22">
        <f>IF(AND($A740="",$B740=""),"",MIN(AB740,IF(N($J740)=0,0,IF(N($J740)=2,AB740,IF(AND($K740&lt;&gt;"Point",N($O740)&gt;0),N($O740),N($M740))))))</f>
        <v/>
      </c>
      <c r="AD740" s="22">
        <f>IF(AND($A740="",$B740=""),"",MAX(0,AB740-AC740))</f>
        <v/>
      </c>
      <c r="AE740" s="21">
        <f>IF(AND($A740="",$B740=""),"",IF(OR($R740&lt;&gt;"",$S740&lt;&gt;""),1,0))</f>
        <v/>
      </c>
      <c r="AF740" s="22">
        <f>IF(AND($A740="",$B740=""),"",IF(Z740=1,IF(AE740=1,N($R740),AD740),0))</f>
        <v/>
      </c>
      <c r="AG740" s="22">
        <f>IF(AND($A740="",$B740=""),"",IF(Z740=1,IF(AE740=1,N($S740),AC740),0))</f>
        <v/>
      </c>
      <c r="AH740" s="21">
        <f>IF(AND($A740="",$B740=""),"",IF(AND(ISNUMBER($I740),N($I740)&gt;0),$I740,0))</f>
        <v/>
      </c>
      <c r="AI740" s="23">
        <f>IF(AND(NOT(AND($A740="",$B740="")),$K740="Point",N($L740)&gt;0),SQRT(N($L740)/PI()),"")</f>
        <v/>
      </c>
      <c r="AJ740" s="21">
        <f>IF(AND($A740="",$B740=""),"",IFERROR(VLOOKUP($G740,Lists!$D$4:$E$15,2,FALSE),"Not reported"))</f>
        <v/>
      </c>
      <c r="AK740" s="21">
        <f>IF(AND($A740="",$B740=""),"",IF($X740&lt;&gt;"",$X740,IF($T740&lt;&gt;"Y","Not assessed",IF(AND(ISNUMBER($V740),Setup!$B$6-$V740&gt;Setup!$B$26),"Assessment outdated",IF(NOT(ISNUMBER($W740)),"Assessed – no score",IF($W740&gt;=Setup!$B$24,"High",IF($W740&gt;=Setup!$B$25,"Moderate","Low")))))))</f>
        <v/>
      </c>
      <c r="AL740" s="21">
        <f>IF(AND($A740="",$B740=""),"",IF(Z740=0,"",IF(AND(AE740=1,N($R740)&gt;AD740*1.01+0.001),"Net terrestrial &gt; gross; ","")&amp;IF(AND(AE740=1,N($S740)&gt;AC740*1.01+0.001),"Net marine &gt; gross; ","")&amp;IF(AE740=0,"No net area – gross used, overlaps may be double-counted; ","")&amp;IF(AH740=0,"STATUS_YR missing – imputed in time series; ","")&amp;IF(AND(ISNUMBER($I740),N($I740)&gt;Setup!$B$6),"STATUS_YR after reporting year; ","")&amp;IF(OR($G740="",$G740="Not Reported"),"GOV_TYPE not reported; ","")&amp;IF(AND(N($J740)=1,$K740="Point",N($M740)&lt;=0),"Coastal point without REP_M_AREA – land/sea split unknown; ","")&amp;IF(AND(N($J740)=0,N($S740)&gt;0),"MARINE=0 but net marine &gt;0; ","")&amp;IF(AND(N($J740)=2,N($R740)&gt;0),"MARINE=2 but net terrestrial &gt;0; ","")&amp;IF($K740="Point","Buffered point – coverage approximate; ","")))</f>
        <v/>
      </c>
    </row>
    <row r="741">
      <c r="A741" s="19" t="n"/>
      <c r="B741" s="19" t="n"/>
      <c r="C741" s="19" t="n"/>
      <c r="D741" s="19" t="n"/>
      <c r="E741" s="19" t="n"/>
      <c r="F741" s="19" t="n"/>
      <c r="G741" s="19" t="n"/>
      <c r="H741" s="19" t="n"/>
      <c r="I741" s="19" t="n"/>
      <c r="J741" s="19" t="n"/>
      <c r="K741" s="19" t="n"/>
      <c r="L741" s="20" t="n"/>
      <c r="M741" s="20" t="n"/>
      <c r="N741" s="20" t="n"/>
      <c r="O741" s="20" t="n"/>
      <c r="P741" s="19" t="n"/>
      <c r="Q741" s="19" t="n"/>
      <c r="R741" s="20" t="n"/>
      <c r="S741" s="20" t="n"/>
      <c r="T741" s="19" t="n"/>
      <c r="U741" s="19" t="n"/>
      <c r="V741" s="19" t="n"/>
      <c r="W741" s="19" t="n"/>
      <c r="X741" s="19" t="n"/>
      <c r="Y741" s="19" t="n"/>
      <c r="Z741" s="21">
        <f>IF(AND($A741="",$B741=""),"",IF(OR($E741="",$H741="",$H741="Proposed",$H741="Not Reported"),0,IF(AND($P741="Y",$Q741&lt;&gt;"Y"),0,IF(AND($K741="Point",N($L741)&lt;=0),0,IF(AND(N($L741)&lt;=0,N($N741)&lt;=0,N($R741)+N($S741)&lt;=0),0,1)))))</f>
        <v/>
      </c>
      <c r="AA741" s="21">
        <f>IF(AND($A741="",$B741=""),"",IF($E741="","Site type missing",IF($H741="","STATUS missing",IF($H741="Proposed","STATUS = Proposed",IF($H741="Not Reported","STATUS = Not Reported",IF(AND($P741="Y",$Q741&lt;&gt;"Y"),"UNESCO-MAB Biosphere Reserve",IF(AND($K741="Point",N($L741)&lt;=0),"Point without REP_AREA",IF(AND(N($L741)&lt;=0,N($N741)&lt;=0,N($R741)+N($S741)&lt;=0),"No area information",""))))))))</f>
        <v/>
      </c>
      <c r="AB741" s="22">
        <f>IF(AND($A741="",$B741=""),"",IF($K741="Point",N($L741),IF(N($N741)&gt;0,N($N741),N($L741))))</f>
        <v/>
      </c>
      <c r="AC741" s="22">
        <f>IF(AND($A741="",$B741=""),"",MIN(AB741,IF(N($J741)=0,0,IF(N($J741)=2,AB741,IF(AND($K741&lt;&gt;"Point",N($O741)&gt;0),N($O741),N($M741))))))</f>
        <v/>
      </c>
      <c r="AD741" s="22">
        <f>IF(AND($A741="",$B741=""),"",MAX(0,AB741-AC741))</f>
        <v/>
      </c>
      <c r="AE741" s="21">
        <f>IF(AND($A741="",$B741=""),"",IF(OR($R741&lt;&gt;"",$S741&lt;&gt;""),1,0))</f>
        <v/>
      </c>
      <c r="AF741" s="22">
        <f>IF(AND($A741="",$B741=""),"",IF(Z741=1,IF(AE741=1,N($R741),AD741),0))</f>
        <v/>
      </c>
      <c r="AG741" s="22">
        <f>IF(AND($A741="",$B741=""),"",IF(Z741=1,IF(AE741=1,N($S741),AC741),0))</f>
        <v/>
      </c>
      <c r="AH741" s="21">
        <f>IF(AND($A741="",$B741=""),"",IF(AND(ISNUMBER($I741),N($I741)&gt;0),$I741,0))</f>
        <v/>
      </c>
      <c r="AI741" s="23">
        <f>IF(AND(NOT(AND($A741="",$B741="")),$K741="Point",N($L741)&gt;0),SQRT(N($L741)/PI()),"")</f>
        <v/>
      </c>
      <c r="AJ741" s="21">
        <f>IF(AND($A741="",$B741=""),"",IFERROR(VLOOKUP($G741,Lists!$D$4:$E$15,2,FALSE),"Not reported"))</f>
        <v/>
      </c>
      <c r="AK741" s="21">
        <f>IF(AND($A741="",$B741=""),"",IF($X741&lt;&gt;"",$X741,IF($T741&lt;&gt;"Y","Not assessed",IF(AND(ISNUMBER($V741),Setup!$B$6-$V741&gt;Setup!$B$26),"Assessment outdated",IF(NOT(ISNUMBER($W741)),"Assessed – no score",IF($W741&gt;=Setup!$B$24,"High",IF($W741&gt;=Setup!$B$25,"Moderate","Low")))))))</f>
        <v/>
      </c>
      <c r="AL741" s="21">
        <f>IF(AND($A741="",$B741=""),"",IF(Z741=0,"",IF(AND(AE741=1,N($R741)&gt;AD741*1.01+0.001),"Net terrestrial &gt; gross; ","")&amp;IF(AND(AE741=1,N($S741)&gt;AC741*1.01+0.001),"Net marine &gt; gross; ","")&amp;IF(AE741=0,"No net area – gross used, overlaps may be double-counted; ","")&amp;IF(AH741=0,"STATUS_YR missing – imputed in time series; ","")&amp;IF(AND(ISNUMBER($I741),N($I741)&gt;Setup!$B$6),"STATUS_YR after reporting year; ","")&amp;IF(OR($G741="",$G741="Not Reported"),"GOV_TYPE not reported; ","")&amp;IF(AND(N($J741)=1,$K741="Point",N($M741)&lt;=0),"Coastal point without REP_M_AREA – land/sea split unknown; ","")&amp;IF(AND(N($J741)=0,N($S741)&gt;0),"MARINE=0 but net marine &gt;0; ","")&amp;IF(AND(N($J741)=2,N($R741)&gt;0),"MARINE=2 but net terrestrial &gt;0; ","")&amp;IF($K741="Point","Buffered point – coverage approximate; ","")))</f>
        <v/>
      </c>
    </row>
    <row r="742">
      <c r="A742" s="19" t="n"/>
      <c r="B742" s="19" t="n"/>
      <c r="C742" s="19" t="n"/>
      <c r="D742" s="19" t="n"/>
      <c r="E742" s="19" t="n"/>
      <c r="F742" s="19" t="n"/>
      <c r="G742" s="19" t="n"/>
      <c r="H742" s="19" t="n"/>
      <c r="I742" s="19" t="n"/>
      <c r="J742" s="19" t="n"/>
      <c r="K742" s="19" t="n"/>
      <c r="L742" s="20" t="n"/>
      <c r="M742" s="20" t="n"/>
      <c r="N742" s="20" t="n"/>
      <c r="O742" s="20" t="n"/>
      <c r="P742" s="19" t="n"/>
      <c r="Q742" s="19" t="n"/>
      <c r="R742" s="20" t="n"/>
      <c r="S742" s="20" t="n"/>
      <c r="T742" s="19" t="n"/>
      <c r="U742" s="19" t="n"/>
      <c r="V742" s="19" t="n"/>
      <c r="W742" s="19" t="n"/>
      <c r="X742" s="19" t="n"/>
      <c r="Y742" s="19" t="n"/>
      <c r="Z742" s="21">
        <f>IF(AND($A742="",$B742=""),"",IF(OR($E742="",$H742="",$H742="Proposed",$H742="Not Reported"),0,IF(AND($P742="Y",$Q742&lt;&gt;"Y"),0,IF(AND($K742="Point",N($L742)&lt;=0),0,IF(AND(N($L742)&lt;=0,N($N742)&lt;=0,N($R742)+N($S742)&lt;=0),0,1)))))</f>
        <v/>
      </c>
      <c r="AA742" s="21">
        <f>IF(AND($A742="",$B742=""),"",IF($E742="","Site type missing",IF($H742="","STATUS missing",IF($H742="Proposed","STATUS = Proposed",IF($H742="Not Reported","STATUS = Not Reported",IF(AND($P742="Y",$Q742&lt;&gt;"Y"),"UNESCO-MAB Biosphere Reserve",IF(AND($K742="Point",N($L742)&lt;=0),"Point without REP_AREA",IF(AND(N($L742)&lt;=0,N($N742)&lt;=0,N($R742)+N($S742)&lt;=0),"No area information",""))))))))</f>
        <v/>
      </c>
      <c r="AB742" s="22">
        <f>IF(AND($A742="",$B742=""),"",IF($K742="Point",N($L742),IF(N($N742)&gt;0,N($N742),N($L742))))</f>
        <v/>
      </c>
      <c r="AC742" s="22">
        <f>IF(AND($A742="",$B742=""),"",MIN(AB742,IF(N($J742)=0,0,IF(N($J742)=2,AB742,IF(AND($K742&lt;&gt;"Point",N($O742)&gt;0),N($O742),N($M742))))))</f>
        <v/>
      </c>
      <c r="AD742" s="22">
        <f>IF(AND($A742="",$B742=""),"",MAX(0,AB742-AC742))</f>
        <v/>
      </c>
      <c r="AE742" s="21">
        <f>IF(AND($A742="",$B742=""),"",IF(OR($R742&lt;&gt;"",$S742&lt;&gt;""),1,0))</f>
        <v/>
      </c>
      <c r="AF742" s="22">
        <f>IF(AND($A742="",$B742=""),"",IF(Z742=1,IF(AE742=1,N($R742),AD742),0))</f>
        <v/>
      </c>
      <c r="AG742" s="22">
        <f>IF(AND($A742="",$B742=""),"",IF(Z742=1,IF(AE742=1,N($S742),AC742),0))</f>
        <v/>
      </c>
      <c r="AH742" s="21">
        <f>IF(AND($A742="",$B742=""),"",IF(AND(ISNUMBER($I742),N($I742)&gt;0),$I742,0))</f>
        <v/>
      </c>
      <c r="AI742" s="23">
        <f>IF(AND(NOT(AND($A742="",$B742="")),$K742="Point",N($L742)&gt;0),SQRT(N($L742)/PI()),"")</f>
        <v/>
      </c>
      <c r="AJ742" s="21">
        <f>IF(AND($A742="",$B742=""),"",IFERROR(VLOOKUP($G742,Lists!$D$4:$E$15,2,FALSE),"Not reported"))</f>
        <v/>
      </c>
      <c r="AK742" s="21">
        <f>IF(AND($A742="",$B742=""),"",IF($X742&lt;&gt;"",$X742,IF($T742&lt;&gt;"Y","Not assessed",IF(AND(ISNUMBER($V742),Setup!$B$6-$V742&gt;Setup!$B$26),"Assessment outdated",IF(NOT(ISNUMBER($W742)),"Assessed – no score",IF($W742&gt;=Setup!$B$24,"High",IF($W742&gt;=Setup!$B$25,"Moderate","Low")))))))</f>
        <v/>
      </c>
      <c r="AL742" s="21">
        <f>IF(AND($A742="",$B742=""),"",IF(Z742=0,"",IF(AND(AE742=1,N($R742)&gt;AD742*1.01+0.001),"Net terrestrial &gt; gross; ","")&amp;IF(AND(AE742=1,N($S742)&gt;AC742*1.01+0.001),"Net marine &gt; gross; ","")&amp;IF(AE742=0,"No net area – gross used, overlaps may be double-counted; ","")&amp;IF(AH742=0,"STATUS_YR missing – imputed in time series; ","")&amp;IF(AND(ISNUMBER($I742),N($I742)&gt;Setup!$B$6),"STATUS_YR after reporting year; ","")&amp;IF(OR($G742="",$G742="Not Reported"),"GOV_TYPE not reported; ","")&amp;IF(AND(N($J742)=1,$K742="Point",N($M742)&lt;=0),"Coastal point without REP_M_AREA – land/sea split unknown; ","")&amp;IF(AND(N($J742)=0,N($S742)&gt;0),"MARINE=0 but net marine &gt;0; ","")&amp;IF(AND(N($J742)=2,N($R742)&gt;0),"MARINE=2 but net terrestrial &gt;0; ","")&amp;IF($K742="Point","Buffered point – coverage approximate; ","")))</f>
        <v/>
      </c>
    </row>
    <row r="743">
      <c r="A743" s="19" t="n"/>
      <c r="B743" s="19" t="n"/>
      <c r="C743" s="19" t="n"/>
      <c r="D743" s="19" t="n"/>
      <c r="E743" s="19" t="n"/>
      <c r="F743" s="19" t="n"/>
      <c r="G743" s="19" t="n"/>
      <c r="H743" s="19" t="n"/>
      <c r="I743" s="19" t="n"/>
      <c r="J743" s="19" t="n"/>
      <c r="K743" s="19" t="n"/>
      <c r="L743" s="20" t="n"/>
      <c r="M743" s="20" t="n"/>
      <c r="N743" s="20" t="n"/>
      <c r="O743" s="20" t="n"/>
      <c r="P743" s="19" t="n"/>
      <c r="Q743" s="19" t="n"/>
      <c r="R743" s="20" t="n"/>
      <c r="S743" s="20" t="n"/>
      <c r="T743" s="19" t="n"/>
      <c r="U743" s="19" t="n"/>
      <c r="V743" s="19" t="n"/>
      <c r="W743" s="19" t="n"/>
      <c r="X743" s="19" t="n"/>
      <c r="Y743" s="19" t="n"/>
      <c r="Z743" s="21">
        <f>IF(AND($A743="",$B743=""),"",IF(OR($E743="",$H743="",$H743="Proposed",$H743="Not Reported"),0,IF(AND($P743="Y",$Q743&lt;&gt;"Y"),0,IF(AND($K743="Point",N($L743)&lt;=0),0,IF(AND(N($L743)&lt;=0,N($N743)&lt;=0,N($R743)+N($S743)&lt;=0),0,1)))))</f>
        <v/>
      </c>
      <c r="AA743" s="21">
        <f>IF(AND($A743="",$B743=""),"",IF($E743="","Site type missing",IF($H743="","STATUS missing",IF($H743="Proposed","STATUS = Proposed",IF($H743="Not Reported","STATUS = Not Reported",IF(AND($P743="Y",$Q743&lt;&gt;"Y"),"UNESCO-MAB Biosphere Reserve",IF(AND($K743="Point",N($L743)&lt;=0),"Point without REP_AREA",IF(AND(N($L743)&lt;=0,N($N743)&lt;=0,N($R743)+N($S743)&lt;=0),"No area information",""))))))))</f>
        <v/>
      </c>
      <c r="AB743" s="22">
        <f>IF(AND($A743="",$B743=""),"",IF($K743="Point",N($L743),IF(N($N743)&gt;0,N($N743),N($L743))))</f>
        <v/>
      </c>
      <c r="AC743" s="22">
        <f>IF(AND($A743="",$B743=""),"",MIN(AB743,IF(N($J743)=0,0,IF(N($J743)=2,AB743,IF(AND($K743&lt;&gt;"Point",N($O743)&gt;0),N($O743),N($M743))))))</f>
        <v/>
      </c>
      <c r="AD743" s="22">
        <f>IF(AND($A743="",$B743=""),"",MAX(0,AB743-AC743))</f>
        <v/>
      </c>
      <c r="AE743" s="21">
        <f>IF(AND($A743="",$B743=""),"",IF(OR($R743&lt;&gt;"",$S743&lt;&gt;""),1,0))</f>
        <v/>
      </c>
      <c r="AF743" s="22">
        <f>IF(AND($A743="",$B743=""),"",IF(Z743=1,IF(AE743=1,N($R743),AD743),0))</f>
        <v/>
      </c>
      <c r="AG743" s="22">
        <f>IF(AND($A743="",$B743=""),"",IF(Z743=1,IF(AE743=1,N($S743),AC743),0))</f>
        <v/>
      </c>
      <c r="AH743" s="21">
        <f>IF(AND($A743="",$B743=""),"",IF(AND(ISNUMBER($I743),N($I743)&gt;0),$I743,0))</f>
        <v/>
      </c>
      <c r="AI743" s="23">
        <f>IF(AND(NOT(AND($A743="",$B743="")),$K743="Point",N($L743)&gt;0),SQRT(N($L743)/PI()),"")</f>
        <v/>
      </c>
      <c r="AJ743" s="21">
        <f>IF(AND($A743="",$B743=""),"",IFERROR(VLOOKUP($G743,Lists!$D$4:$E$15,2,FALSE),"Not reported"))</f>
        <v/>
      </c>
      <c r="AK743" s="21">
        <f>IF(AND($A743="",$B743=""),"",IF($X743&lt;&gt;"",$X743,IF($T743&lt;&gt;"Y","Not assessed",IF(AND(ISNUMBER($V743),Setup!$B$6-$V743&gt;Setup!$B$26),"Assessment outdated",IF(NOT(ISNUMBER($W743)),"Assessed – no score",IF($W743&gt;=Setup!$B$24,"High",IF($W743&gt;=Setup!$B$25,"Moderate","Low")))))))</f>
        <v/>
      </c>
      <c r="AL743" s="21">
        <f>IF(AND($A743="",$B743=""),"",IF(Z743=0,"",IF(AND(AE743=1,N($R743)&gt;AD743*1.01+0.001),"Net terrestrial &gt; gross; ","")&amp;IF(AND(AE743=1,N($S743)&gt;AC743*1.01+0.001),"Net marine &gt; gross; ","")&amp;IF(AE743=0,"No net area – gross used, overlaps may be double-counted; ","")&amp;IF(AH743=0,"STATUS_YR missing – imputed in time series; ","")&amp;IF(AND(ISNUMBER($I743),N($I743)&gt;Setup!$B$6),"STATUS_YR after reporting year; ","")&amp;IF(OR($G743="",$G743="Not Reported"),"GOV_TYPE not reported; ","")&amp;IF(AND(N($J743)=1,$K743="Point",N($M743)&lt;=0),"Coastal point without REP_M_AREA – land/sea split unknown; ","")&amp;IF(AND(N($J743)=0,N($S743)&gt;0),"MARINE=0 but net marine &gt;0; ","")&amp;IF(AND(N($J743)=2,N($R743)&gt;0),"MARINE=2 but net terrestrial &gt;0; ","")&amp;IF($K743="Point","Buffered point – coverage approximate; ","")))</f>
        <v/>
      </c>
    </row>
    <row r="744">
      <c r="A744" s="19" t="n"/>
      <c r="B744" s="19" t="n"/>
      <c r="C744" s="19" t="n"/>
      <c r="D744" s="19" t="n"/>
      <c r="E744" s="19" t="n"/>
      <c r="F744" s="19" t="n"/>
      <c r="G744" s="19" t="n"/>
      <c r="H744" s="19" t="n"/>
      <c r="I744" s="19" t="n"/>
      <c r="J744" s="19" t="n"/>
      <c r="K744" s="19" t="n"/>
      <c r="L744" s="20" t="n"/>
      <c r="M744" s="20" t="n"/>
      <c r="N744" s="20" t="n"/>
      <c r="O744" s="20" t="n"/>
      <c r="P744" s="19" t="n"/>
      <c r="Q744" s="19" t="n"/>
      <c r="R744" s="20" t="n"/>
      <c r="S744" s="20" t="n"/>
      <c r="T744" s="19" t="n"/>
      <c r="U744" s="19" t="n"/>
      <c r="V744" s="19" t="n"/>
      <c r="W744" s="19" t="n"/>
      <c r="X744" s="19" t="n"/>
      <c r="Y744" s="19" t="n"/>
      <c r="Z744" s="21">
        <f>IF(AND($A744="",$B744=""),"",IF(OR($E744="",$H744="",$H744="Proposed",$H744="Not Reported"),0,IF(AND($P744="Y",$Q744&lt;&gt;"Y"),0,IF(AND($K744="Point",N($L744)&lt;=0),0,IF(AND(N($L744)&lt;=0,N($N744)&lt;=0,N($R744)+N($S744)&lt;=0),0,1)))))</f>
        <v/>
      </c>
      <c r="AA744" s="21">
        <f>IF(AND($A744="",$B744=""),"",IF($E744="","Site type missing",IF($H744="","STATUS missing",IF($H744="Proposed","STATUS = Proposed",IF($H744="Not Reported","STATUS = Not Reported",IF(AND($P744="Y",$Q744&lt;&gt;"Y"),"UNESCO-MAB Biosphere Reserve",IF(AND($K744="Point",N($L744)&lt;=0),"Point without REP_AREA",IF(AND(N($L744)&lt;=0,N($N744)&lt;=0,N($R744)+N($S744)&lt;=0),"No area information",""))))))))</f>
        <v/>
      </c>
      <c r="AB744" s="22">
        <f>IF(AND($A744="",$B744=""),"",IF($K744="Point",N($L744),IF(N($N744)&gt;0,N($N744),N($L744))))</f>
        <v/>
      </c>
      <c r="AC744" s="22">
        <f>IF(AND($A744="",$B744=""),"",MIN(AB744,IF(N($J744)=0,0,IF(N($J744)=2,AB744,IF(AND($K744&lt;&gt;"Point",N($O744)&gt;0),N($O744),N($M744))))))</f>
        <v/>
      </c>
      <c r="AD744" s="22">
        <f>IF(AND($A744="",$B744=""),"",MAX(0,AB744-AC744))</f>
        <v/>
      </c>
      <c r="AE744" s="21">
        <f>IF(AND($A744="",$B744=""),"",IF(OR($R744&lt;&gt;"",$S744&lt;&gt;""),1,0))</f>
        <v/>
      </c>
      <c r="AF744" s="22">
        <f>IF(AND($A744="",$B744=""),"",IF(Z744=1,IF(AE744=1,N($R744),AD744),0))</f>
        <v/>
      </c>
      <c r="AG744" s="22">
        <f>IF(AND($A744="",$B744=""),"",IF(Z744=1,IF(AE744=1,N($S744),AC744),0))</f>
        <v/>
      </c>
      <c r="AH744" s="21">
        <f>IF(AND($A744="",$B744=""),"",IF(AND(ISNUMBER($I744),N($I744)&gt;0),$I744,0))</f>
        <v/>
      </c>
      <c r="AI744" s="23">
        <f>IF(AND(NOT(AND($A744="",$B744="")),$K744="Point",N($L744)&gt;0),SQRT(N($L744)/PI()),"")</f>
        <v/>
      </c>
      <c r="AJ744" s="21">
        <f>IF(AND($A744="",$B744=""),"",IFERROR(VLOOKUP($G744,Lists!$D$4:$E$15,2,FALSE),"Not reported"))</f>
        <v/>
      </c>
      <c r="AK744" s="21">
        <f>IF(AND($A744="",$B744=""),"",IF($X744&lt;&gt;"",$X744,IF($T744&lt;&gt;"Y","Not assessed",IF(AND(ISNUMBER($V744),Setup!$B$6-$V744&gt;Setup!$B$26),"Assessment outdated",IF(NOT(ISNUMBER($W744)),"Assessed – no score",IF($W744&gt;=Setup!$B$24,"High",IF($W744&gt;=Setup!$B$25,"Moderate","Low")))))))</f>
        <v/>
      </c>
      <c r="AL744" s="21">
        <f>IF(AND($A744="",$B744=""),"",IF(Z744=0,"",IF(AND(AE744=1,N($R744)&gt;AD744*1.01+0.001),"Net terrestrial &gt; gross; ","")&amp;IF(AND(AE744=1,N($S744)&gt;AC744*1.01+0.001),"Net marine &gt; gross; ","")&amp;IF(AE744=0,"No net area – gross used, overlaps may be double-counted; ","")&amp;IF(AH744=0,"STATUS_YR missing – imputed in time series; ","")&amp;IF(AND(ISNUMBER($I744),N($I744)&gt;Setup!$B$6),"STATUS_YR after reporting year; ","")&amp;IF(OR($G744="",$G744="Not Reported"),"GOV_TYPE not reported; ","")&amp;IF(AND(N($J744)=1,$K744="Point",N($M744)&lt;=0),"Coastal point without REP_M_AREA – land/sea split unknown; ","")&amp;IF(AND(N($J744)=0,N($S744)&gt;0),"MARINE=0 but net marine &gt;0; ","")&amp;IF(AND(N($J744)=2,N($R744)&gt;0),"MARINE=2 but net terrestrial &gt;0; ","")&amp;IF($K744="Point","Buffered point – coverage approximate; ","")))</f>
        <v/>
      </c>
    </row>
    <row r="745">
      <c r="A745" s="19" t="n"/>
      <c r="B745" s="19" t="n"/>
      <c r="C745" s="19" t="n"/>
      <c r="D745" s="19" t="n"/>
      <c r="E745" s="19" t="n"/>
      <c r="F745" s="19" t="n"/>
      <c r="G745" s="19" t="n"/>
      <c r="H745" s="19" t="n"/>
      <c r="I745" s="19" t="n"/>
      <c r="J745" s="19" t="n"/>
      <c r="K745" s="19" t="n"/>
      <c r="L745" s="20" t="n"/>
      <c r="M745" s="20" t="n"/>
      <c r="N745" s="20" t="n"/>
      <c r="O745" s="20" t="n"/>
      <c r="P745" s="19" t="n"/>
      <c r="Q745" s="19" t="n"/>
      <c r="R745" s="20" t="n"/>
      <c r="S745" s="20" t="n"/>
      <c r="T745" s="19" t="n"/>
      <c r="U745" s="19" t="n"/>
      <c r="V745" s="19" t="n"/>
      <c r="W745" s="19" t="n"/>
      <c r="X745" s="19" t="n"/>
      <c r="Y745" s="19" t="n"/>
      <c r="Z745" s="21">
        <f>IF(AND($A745="",$B745=""),"",IF(OR($E745="",$H745="",$H745="Proposed",$H745="Not Reported"),0,IF(AND($P745="Y",$Q745&lt;&gt;"Y"),0,IF(AND($K745="Point",N($L745)&lt;=0),0,IF(AND(N($L745)&lt;=0,N($N745)&lt;=0,N($R745)+N($S745)&lt;=0),0,1)))))</f>
        <v/>
      </c>
      <c r="AA745" s="21">
        <f>IF(AND($A745="",$B745=""),"",IF($E745="","Site type missing",IF($H745="","STATUS missing",IF($H745="Proposed","STATUS = Proposed",IF($H745="Not Reported","STATUS = Not Reported",IF(AND($P745="Y",$Q745&lt;&gt;"Y"),"UNESCO-MAB Biosphere Reserve",IF(AND($K745="Point",N($L745)&lt;=0),"Point without REP_AREA",IF(AND(N($L745)&lt;=0,N($N745)&lt;=0,N($R745)+N($S745)&lt;=0),"No area information",""))))))))</f>
        <v/>
      </c>
      <c r="AB745" s="22">
        <f>IF(AND($A745="",$B745=""),"",IF($K745="Point",N($L745),IF(N($N745)&gt;0,N($N745),N($L745))))</f>
        <v/>
      </c>
      <c r="AC745" s="22">
        <f>IF(AND($A745="",$B745=""),"",MIN(AB745,IF(N($J745)=0,0,IF(N($J745)=2,AB745,IF(AND($K745&lt;&gt;"Point",N($O745)&gt;0),N($O745),N($M745))))))</f>
        <v/>
      </c>
      <c r="AD745" s="22">
        <f>IF(AND($A745="",$B745=""),"",MAX(0,AB745-AC745))</f>
        <v/>
      </c>
      <c r="AE745" s="21">
        <f>IF(AND($A745="",$B745=""),"",IF(OR($R745&lt;&gt;"",$S745&lt;&gt;""),1,0))</f>
        <v/>
      </c>
      <c r="AF745" s="22">
        <f>IF(AND($A745="",$B745=""),"",IF(Z745=1,IF(AE745=1,N($R745),AD745),0))</f>
        <v/>
      </c>
      <c r="AG745" s="22">
        <f>IF(AND($A745="",$B745=""),"",IF(Z745=1,IF(AE745=1,N($S745),AC745),0))</f>
        <v/>
      </c>
      <c r="AH745" s="21">
        <f>IF(AND($A745="",$B745=""),"",IF(AND(ISNUMBER($I745),N($I745)&gt;0),$I745,0))</f>
        <v/>
      </c>
      <c r="AI745" s="23">
        <f>IF(AND(NOT(AND($A745="",$B745="")),$K745="Point",N($L745)&gt;0),SQRT(N($L745)/PI()),"")</f>
        <v/>
      </c>
      <c r="AJ745" s="21">
        <f>IF(AND($A745="",$B745=""),"",IFERROR(VLOOKUP($G745,Lists!$D$4:$E$15,2,FALSE),"Not reported"))</f>
        <v/>
      </c>
      <c r="AK745" s="21">
        <f>IF(AND($A745="",$B745=""),"",IF($X745&lt;&gt;"",$X745,IF($T745&lt;&gt;"Y","Not assessed",IF(AND(ISNUMBER($V745),Setup!$B$6-$V745&gt;Setup!$B$26),"Assessment outdated",IF(NOT(ISNUMBER($W745)),"Assessed – no score",IF($W745&gt;=Setup!$B$24,"High",IF($W745&gt;=Setup!$B$25,"Moderate","Low")))))))</f>
        <v/>
      </c>
      <c r="AL745" s="21">
        <f>IF(AND($A745="",$B745=""),"",IF(Z745=0,"",IF(AND(AE745=1,N($R745)&gt;AD745*1.01+0.001),"Net terrestrial &gt; gross; ","")&amp;IF(AND(AE745=1,N($S745)&gt;AC745*1.01+0.001),"Net marine &gt; gross; ","")&amp;IF(AE745=0,"No net area – gross used, overlaps may be double-counted; ","")&amp;IF(AH745=0,"STATUS_YR missing – imputed in time series; ","")&amp;IF(AND(ISNUMBER($I745),N($I745)&gt;Setup!$B$6),"STATUS_YR after reporting year; ","")&amp;IF(OR($G745="",$G745="Not Reported"),"GOV_TYPE not reported; ","")&amp;IF(AND(N($J745)=1,$K745="Point",N($M745)&lt;=0),"Coastal point without REP_M_AREA – land/sea split unknown; ","")&amp;IF(AND(N($J745)=0,N($S745)&gt;0),"MARINE=0 but net marine &gt;0; ","")&amp;IF(AND(N($J745)=2,N($R745)&gt;0),"MARINE=2 but net terrestrial &gt;0; ","")&amp;IF($K745="Point","Buffered point – coverage approximate; ","")))</f>
        <v/>
      </c>
    </row>
    <row r="746">
      <c r="A746" s="19" t="n"/>
      <c r="B746" s="19" t="n"/>
      <c r="C746" s="19" t="n"/>
      <c r="D746" s="19" t="n"/>
      <c r="E746" s="19" t="n"/>
      <c r="F746" s="19" t="n"/>
      <c r="G746" s="19" t="n"/>
      <c r="H746" s="19" t="n"/>
      <c r="I746" s="19" t="n"/>
      <c r="J746" s="19" t="n"/>
      <c r="K746" s="19" t="n"/>
      <c r="L746" s="20" t="n"/>
      <c r="M746" s="20" t="n"/>
      <c r="N746" s="20" t="n"/>
      <c r="O746" s="20" t="n"/>
      <c r="P746" s="19" t="n"/>
      <c r="Q746" s="19" t="n"/>
      <c r="R746" s="20" t="n"/>
      <c r="S746" s="20" t="n"/>
      <c r="T746" s="19" t="n"/>
      <c r="U746" s="19" t="n"/>
      <c r="V746" s="19" t="n"/>
      <c r="W746" s="19" t="n"/>
      <c r="X746" s="19" t="n"/>
      <c r="Y746" s="19" t="n"/>
      <c r="Z746" s="21">
        <f>IF(AND($A746="",$B746=""),"",IF(OR($E746="",$H746="",$H746="Proposed",$H746="Not Reported"),0,IF(AND($P746="Y",$Q746&lt;&gt;"Y"),0,IF(AND($K746="Point",N($L746)&lt;=0),0,IF(AND(N($L746)&lt;=0,N($N746)&lt;=0,N($R746)+N($S746)&lt;=0),0,1)))))</f>
        <v/>
      </c>
      <c r="AA746" s="21">
        <f>IF(AND($A746="",$B746=""),"",IF($E746="","Site type missing",IF($H746="","STATUS missing",IF($H746="Proposed","STATUS = Proposed",IF($H746="Not Reported","STATUS = Not Reported",IF(AND($P746="Y",$Q746&lt;&gt;"Y"),"UNESCO-MAB Biosphere Reserve",IF(AND($K746="Point",N($L746)&lt;=0),"Point without REP_AREA",IF(AND(N($L746)&lt;=0,N($N746)&lt;=0,N($R746)+N($S746)&lt;=0),"No area information",""))))))))</f>
        <v/>
      </c>
      <c r="AB746" s="22">
        <f>IF(AND($A746="",$B746=""),"",IF($K746="Point",N($L746),IF(N($N746)&gt;0,N($N746),N($L746))))</f>
        <v/>
      </c>
      <c r="AC746" s="22">
        <f>IF(AND($A746="",$B746=""),"",MIN(AB746,IF(N($J746)=0,0,IF(N($J746)=2,AB746,IF(AND($K746&lt;&gt;"Point",N($O746)&gt;0),N($O746),N($M746))))))</f>
        <v/>
      </c>
      <c r="AD746" s="22">
        <f>IF(AND($A746="",$B746=""),"",MAX(0,AB746-AC746))</f>
        <v/>
      </c>
      <c r="AE746" s="21">
        <f>IF(AND($A746="",$B746=""),"",IF(OR($R746&lt;&gt;"",$S746&lt;&gt;""),1,0))</f>
        <v/>
      </c>
      <c r="AF746" s="22">
        <f>IF(AND($A746="",$B746=""),"",IF(Z746=1,IF(AE746=1,N($R746),AD746),0))</f>
        <v/>
      </c>
      <c r="AG746" s="22">
        <f>IF(AND($A746="",$B746=""),"",IF(Z746=1,IF(AE746=1,N($S746),AC746),0))</f>
        <v/>
      </c>
      <c r="AH746" s="21">
        <f>IF(AND($A746="",$B746=""),"",IF(AND(ISNUMBER($I746),N($I746)&gt;0),$I746,0))</f>
        <v/>
      </c>
      <c r="AI746" s="23">
        <f>IF(AND(NOT(AND($A746="",$B746="")),$K746="Point",N($L746)&gt;0),SQRT(N($L746)/PI()),"")</f>
        <v/>
      </c>
      <c r="AJ746" s="21">
        <f>IF(AND($A746="",$B746=""),"",IFERROR(VLOOKUP($G746,Lists!$D$4:$E$15,2,FALSE),"Not reported"))</f>
        <v/>
      </c>
      <c r="AK746" s="21">
        <f>IF(AND($A746="",$B746=""),"",IF($X746&lt;&gt;"",$X746,IF($T746&lt;&gt;"Y","Not assessed",IF(AND(ISNUMBER($V746),Setup!$B$6-$V746&gt;Setup!$B$26),"Assessment outdated",IF(NOT(ISNUMBER($W746)),"Assessed – no score",IF($W746&gt;=Setup!$B$24,"High",IF($W746&gt;=Setup!$B$25,"Moderate","Low")))))))</f>
        <v/>
      </c>
      <c r="AL746" s="21">
        <f>IF(AND($A746="",$B746=""),"",IF(Z746=0,"",IF(AND(AE746=1,N($R746)&gt;AD746*1.01+0.001),"Net terrestrial &gt; gross; ","")&amp;IF(AND(AE746=1,N($S746)&gt;AC746*1.01+0.001),"Net marine &gt; gross; ","")&amp;IF(AE746=0,"No net area – gross used, overlaps may be double-counted; ","")&amp;IF(AH746=0,"STATUS_YR missing – imputed in time series; ","")&amp;IF(AND(ISNUMBER($I746),N($I746)&gt;Setup!$B$6),"STATUS_YR after reporting year; ","")&amp;IF(OR($G746="",$G746="Not Reported"),"GOV_TYPE not reported; ","")&amp;IF(AND(N($J746)=1,$K746="Point",N($M746)&lt;=0),"Coastal point without REP_M_AREA – land/sea split unknown; ","")&amp;IF(AND(N($J746)=0,N($S746)&gt;0),"MARINE=0 but net marine &gt;0; ","")&amp;IF(AND(N($J746)=2,N($R746)&gt;0),"MARINE=2 but net terrestrial &gt;0; ","")&amp;IF($K746="Point","Buffered point – coverage approximate; ","")))</f>
        <v/>
      </c>
    </row>
    <row r="747">
      <c r="A747" s="19" t="n"/>
      <c r="B747" s="19" t="n"/>
      <c r="C747" s="19" t="n"/>
      <c r="D747" s="19" t="n"/>
      <c r="E747" s="19" t="n"/>
      <c r="F747" s="19" t="n"/>
      <c r="G747" s="19" t="n"/>
      <c r="H747" s="19" t="n"/>
      <c r="I747" s="19" t="n"/>
      <c r="J747" s="19" t="n"/>
      <c r="K747" s="19" t="n"/>
      <c r="L747" s="20" t="n"/>
      <c r="M747" s="20" t="n"/>
      <c r="N747" s="20" t="n"/>
      <c r="O747" s="20" t="n"/>
      <c r="P747" s="19" t="n"/>
      <c r="Q747" s="19" t="n"/>
      <c r="R747" s="20" t="n"/>
      <c r="S747" s="20" t="n"/>
      <c r="T747" s="19" t="n"/>
      <c r="U747" s="19" t="n"/>
      <c r="V747" s="19" t="n"/>
      <c r="W747" s="19" t="n"/>
      <c r="X747" s="19" t="n"/>
      <c r="Y747" s="19" t="n"/>
      <c r="Z747" s="21">
        <f>IF(AND($A747="",$B747=""),"",IF(OR($E747="",$H747="",$H747="Proposed",$H747="Not Reported"),0,IF(AND($P747="Y",$Q747&lt;&gt;"Y"),0,IF(AND($K747="Point",N($L747)&lt;=0),0,IF(AND(N($L747)&lt;=0,N($N747)&lt;=0,N($R747)+N($S747)&lt;=0),0,1)))))</f>
        <v/>
      </c>
      <c r="AA747" s="21">
        <f>IF(AND($A747="",$B747=""),"",IF($E747="","Site type missing",IF($H747="","STATUS missing",IF($H747="Proposed","STATUS = Proposed",IF($H747="Not Reported","STATUS = Not Reported",IF(AND($P747="Y",$Q747&lt;&gt;"Y"),"UNESCO-MAB Biosphere Reserve",IF(AND($K747="Point",N($L747)&lt;=0),"Point without REP_AREA",IF(AND(N($L747)&lt;=0,N($N747)&lt;=0,N($R747)+N($S747)&lt;=0),"No area information",""))))))))</f>
        <v/>
      </c>
      <c r="AB747" s="22">
        <f>IF(AND($A747="",$B747=""),"",IF($K747="Point",N($L747),IF(N($N747)&gt;0,N($N747),N($L747))))</f>
        <v/>
      </c>
      <c r="AC747" s="22">
        <f>IF(AND($A747="",$B747=""),"",MIN(AB747,IF(N($J747)=0,0,IF(N($J747)=2,AB747,IF(AND($K747&lt;&gt;"Point",N($O747)&gt;0),N($O747),N($M747))))))</f>
        <v/>
      </c>
      <c r="AD747" s="22">
        <f>IF(AND($A747="",$B747=""),"",MAX(0,AB747-AC747))</f>
        <v/>
      </c>
      <c r="AE747" s="21">
        <f>IF(AND($A747="",$B747=""),"",IF(OR($R747&lt;&gt;"",$S747&lt;&gt;""),1,0))</f>
        <v/>
      </c>
      <c r="AF747" s="22">
        <f>IF(AND($A747="",$B747=""),"",IF(Z747=1,IF(AE747=1,N($R747),AD747),0))</f>
        <v/>
      </c>
      <c r="AG747" s="22">
        <f>IF(AND($A747="",$B747=""),"",IF(Z747=1,IF(AE747=1,N($S747),AC747),0))</f>
        <v/>
      </c>
      <c r="AH747" s="21">
        <f>IF(AND($A747="",$B747=""),"",IF(AND(ISNUMBER($I747),N($I747)&gt;0),$I747,0))</f>
        <v/>
      </c>
      <c r="AI747" s="23">
        <f>IF(AND(NOT(AND($A747="",$B747="")),$K747="Point",N($L747)&gt;0),SQRT(N($L747)/PI()),"")</f>
        <v/>
      </c>
      <c r="AJ747" s="21">
        <f>IF(AND($A747="",$B747=""),"",IFERROR(VLOOKUP($G747,Lists!$D$4:$E$15,2,FALSE),"Not reported"))</f>
        <v/>
      </c>
      <c r="AK747" s="21">
        <f>IF(AND($A747="",$B747=""),"",IF($X747&lt;&gt;"",$X747,IF($T747&lt;&gt;"Y","Not assessed",IF(AND(ISNUMBER($V747),Setup!$B$6-$V747&gt;Setup!$B$26),"Assessment outdated",IF(NOT(ISNUMBER($W747)),"Assessed – no score",IF($W747&gt;=Setup!$B$24,"High",IF($W747&gt;=Setup!$B$25,"Moderate","Low")))))))</f>
        <v/>
      </c>
      <c r="AL747" s="21">
        <f>IF(AND($A747="",$B747=""),"",IF(Z747=0,"",IF(AND(AE747=1,N($R747)&gt;AD747*1.01+0.001),"Net terrestrial &gt; gross; ","")&amp;IF(AND(AE747=1,N($S747)&gt;AC747*1.01+0.001),"Net marine &gt; gross; ","")&amp;IF(AE747=0,"No net area – gross used, overlaps may be double-counted; ","")&amp;IF(AH747=0,"STATUS_YR missing – imputed in time series; ","")&amp;IF(AND(ISNUMBER($I747),N($I747)&gt;Setup!$B$6),"STATUS_YR after reporting year; ","")&amp;IF(OR($G747="",$G747="Not Reported"),"GOV_TYPE not reported; ","")&amp;IF(AND(N($J747)=1,$K747="Point",N($M747)&lt;=0),"Coastal point without REP_M_AREA – land/sea split unknown; ","")&amp;IF(AND(N($J747)=0,N($S747)&gt;0),"MARINE=0 but net marine &gt;0; ","")&amp;IF(AND(N($J747)=2,N($R747)&gt;0),"MARINE=2 but net terrestrial &gt;0; ","")&amp;IF($K747="Point","Buffered point – coverage approximate; ","")))</f>
        <v/>
      </c>
    </row>
    <row r="748">
      <c r="A748" s="19" t="n"/>
      <c r="B748" s="19" t="n"/>
      <c r="C748" s="19" t="n"/>
      <c r="D748" s="19" t="n"/>
      <c r="E748" s="19" t="n"/>
      <c r="F748" s="19" t="n"/>
      <c r="G748" s="19" t="n"/>
      <c r="H748" s="19" t="n"/>
      <c r="I748" s="19" t="n"/>
      <c r="J748" s="19" t="n"/>
      <c r="K748" s="19" t="n"/>
      <c r="L748" s="20" t="n"/>
      <c r="M748" s="20" t="n"/>
      <c r="N748" s="20" t="n"/>
      <c r="O748" s="20" t="n"/>
      <c r="P748" s="19" t="n"/>
      <c r="Q748" s="19" t="n"/>
      <c r="R748" s="20" t="n"/>
      <c r="S748" s="20" t="n"/>
      <c r="T748" s="19" t="n"/>
      <c r="U748" s="19" t="n"/>
      <c r="V748" s="19" t="n"/>
      <c r="W748" s="19" t="n"/>
      <c r="X748" s="19" t="n"/>
      <c r="Y748" s="19" t="n"/>
      <c r="Z748" s="21">
        <f>IF(AND($A748="",$B748=""),"",IF(OR($E748="",$H748="",$H748="Proposed",$H748="Not Reported"),0,IF(AND($P748="Y",$Q748&lt;&gt;"Y"),0,IF(AND($K748="Point",N($L748)&lt;=0),0,IF(AND(N($L748)&lt;=0,N($N748)&lt;=0,N($R748)+N($S748)&lt;=0),0,1)))))</f>
        <v/>
      </c>
      <c r="AA748" s="21">
        <f>IF(AND($A748="",$B748=""),"",IF($E748="","Site type missing",IF($H748="","STATUS missing",IF($H748="Proposed","STATUS = Proposed",IF($H748="Not Reported","STATUS = Not Reported",IF(AND($P748="Y",$Q748&lt;&gt;"Y"),"UNESCO-MAB Biosphere Reserve",IF(AND($K748="Point",N($L748)&lt;=0),"Point without REP_AREA",IF(AND(N($L748)&lt;=0,N($N748)&lt;=0,N($R748)+N($S748)&lt;=0),"No area information",""))))))))</f>
        <v/>
      </c>
      <c r="AB748" s="22">
        <f>IF(AND($A748="",$B748=""),"",IF($K748="Point",N($L748),IF(N($N748)&gt;0,N($N748),N($L748))))</f>
        <v/>
      </c>
      <c r="AC748" s="22">
        <f>IF(AND($A748="",$B748=""),"",MIN(AB748,IF(N($J748)=0,0,IF(N($J748)=2,AB748,IF(AND($K748&lt;&gt;"Point",N($O748)&gt;0),N($O748),N($M748))))))</f>
        <v/>
      </c>
      <c r="AD748" s="22">
        <f>IF(AND($A748="",$B748=""),"",MAX(0,AB748-AC748))</f>
        <v/>
      </c>
      <c r="AE748" s="21">
        <f>IF(AND($A748="",$B748=""),"",IF(OR($R748&lt;&gt;"",$S748&lt;&gt;""),1,0))</f>
        <v/>
      </c>
      <c r="AF748" s="22">
        <f>IF(AND($A748="",$B748=""),"",IF(Z748=1,IF(AE748=1,N($R748),AD748),0))</f>
        <v/>
      </c>
      <c r="AG748" s="22">
        <f>IF(AND($A748="",$B748=""),"",IF(Z748=1,IF(AE748=1,N($S748),AC748),0))</f>
        <v/>
      </c>
      <c r="AH748" s="21">
        <f>IF(AND($A748="",$B748=""),"",IF(AND(ISNUMBER($I748),N($I748)&gt;0),$I748,0))</f>
        <v/>
      </c>
      <c r="AI748" s="23">
        <f>IF(AND(NOT(AND($A748="",$B748="")),$K748="Point",N($L748)&gt;0),SQRT(N($L748)/PI()),"")</f>
        <v/>
      </c>
      <c r="AJ748" s="21">
        <f>IF(AND($A748="",$B748=""),"",IFERROR(VLOOKUP($G748,Lists!$D$4:$E$15,2,FALSE),"Not reported"))</f>
        <v/>
      </c>
      <c r="AK748" s="21">
        <f>IF(AND($A748="",$B748=""),"",IF($X748&lt;&gt;"",$X748,IF($T748&lt;&gt;"Y","Not assessed",IF(AND(ISNUMBER($V748),Setup!$B$6-$V748&gt;Setup!$B$26),"Assessment outdated",IF(NOT(ISNUMBER($W748)),"Assessed – no score",IF($W748&gt;=Setup!$B$24,"High",IF($W748&gt;=Setup!$B$25,"Moderate","Low")))))))</f>
        <v/>
      </c>
      <c r="AL748" s="21">
        <f>IF(AND($A748="",$B748=""),"",IF(Z748=0,"",IF(AND(AE748=1,N($R748)&gt;AD748*1.01+0.001),"Net terrestrial &gt; gross; ","")&amp;IF(AND(AE748=1,N($S748)&gt;AC748*1.01+0.001),"Net marine &gt; gross; ","")&amp;IF(AE748=0,"No net area – gross used, overlaps may be double-counted; ","")&amp;IF(AH748=0,"STATUS_YR missing – imputed in time series; ","")&amp;IF(AND(ISNUMBER($I748),N($I748)&gt;Setup!$B$6),"STATUS_YR after reporting year; ","")&amp;IF(OR($G748="",$G748="Not Reported"),"GOV_TYPE not reported; ","")&amp;IF(AND(N($J748)=1,$K748="Point",N($M748)&lt;=0),"Coastal point without REP_M_AREA – land/sea split unknown; ","")&amp;IF(AND(N($J748)=0,N($S748)&gt;0),"MARINE=0 but net marine &gt;0; ","")&amp;IF(AND(N($J748)=2,N($R748)&gt;0),"MARINE=2 but net terrestrial &gt;0; ","")&amp;IF($K748="Point","Buffered point – coverage approximate; ","")))</f>
        <v/>
      </c>
    </row>
    <row r="749">
      <c r="A749" s="19" t="n"/>
      <c r="B749" s="19" t="n"/>
      <c r="C749" s="19" t="n"/>
      <c r="D749" s="19" t="n"/>
      <c r="E749" s="19" t="n"/>
      <c r="F749" s="19" t="n"/>
      <c r="G749" s="19" t="n"/>
      <c r="H749" s="19" t="n"/>
      <c r="I749" s="19" t="n"/>
      <c r="J749" s="19" t="n"/>
      <c r="K749" s="19" t="n"/>
      <c r="L749" s="20" t="n"/>
      <c r="M749" s="20" t="n"/>
      <c r="N749" s="20" t="n"/>
      <c r="O749" s="20" t="n"/>
      <c r="P749" s="19" t="n"/>
      <c r="Q749" s="19" t="n"/>
      <c r="R749" s="20" t="n"/>
      <c r="S749" s="20" t="n"/>
      <c r="T749" s="19" t="n"/>
      <c r="U749" s="19" t="n"/>
      <c r="V749" s="19" t="n"/>
      <c r="W749" s="19" t="n"/>
      <c r="X749" s="19" t="n"/>
      <c r="Y749" s="19" t="n"/>
      <c r="Z749" s="21">
        <f>IF(AND($A749="",$B749=""),"",IF(OR($E749="",$H749="",$H749="Proposed",$H749="Not Reported"),0,IF(AND($P749="Y",$Q749&lt;&gt;"Y"),0,IF(AND($K749="Point",N($L749)&lt;=0),0,IF(AND(N($L749)&lt;=0,N($N749)&lt;=0,N($R749)+N($S749)&lt;=0),0,1)))))</f>
        <v/>
      </c>
      <c r="AA749" s="21">
        <f>IF(AND($A749="",$B749=""),"",IF($E749="","Site type missing",IF($H749="","STATUS missing",IF($H749="Proposed","STATUS = Proposed",IF($H749="Not Reported","STATUS = Not Reported",IF(AND($P749="Y",$Q749&lt;&gt;"Y"),"UNESCO-MAB Biosphere Reserve",IF(AND($K749="Point",N($L749)&lt;=0),"Point without REP_AREA",IF(AND(N($L749)&lt;=0,N($N749)&lt;=0,N($R749)+N($S749)&lt;=0),"No area information",""))))))))</f>
        <v/>
      </c>
      <c r="AB749" s="22">
        <f>IF(AND($A749="",$B749=""),"",IF($K749="Point",N($L749),IF(N($N749)&gt;0,N($N749),N($L749))))</f>
        <v/>
      </c>
      <c r="AC749" s="22">
        <f>IF(AND($A749="",$B749=""),"",MIN(AB749,IF(N($J749)=0,0,IF(N($J749)=2,AB749,IF(AND($K749&lt;&gt;"Point",N($O749)&gt;0),N($O749),N($M749))))))</f>
        <v/>
      </c>
      <c r="AD749" s="22">
        <f>IF(AND($A749="",$B749=""),"",MAX(0,AB749-AC749))</f>
        <v/>
      </c>
      <c r="AE749" s="21">
        <f>IF(AND($A749="",$B749=""),"",IF(OR($R749&lt;&gt;"",$S749&lt;&gt;""),1,0))</f>
        <v/>
      </c>
      <c r="AF749" s="22">
        <f>IF(AND($A749="",$B749=""),"",IF(Z749=1,IF(AE749=1,N($R749),AD749),0))</f>
        <v/>
      </c>
      <c r="AG749" s="22">
        <f>IF(AND($A749="",$B749=""),"",IF(Z749=1,IF(AE749=1,N($S749),AC749),0))</f>
        <v/>
      </c>
      <c r="AH749" s="21">
        <f>IF(AND($A749="",$B749=""),"",IF(AND(ISNUMBER($I749),N($I749)&gt;0),$I749,0))</f>
        <v/>
      </c>
      <c r="AI749" s="23">
        <f>IF(AND(NOT(AND($A749="",$B749="")),$K749="Point",N($L749)&gt;0),SQRT(N($L749)/PI()),"")</f>
        <v/>
      </c>
      <c r="AJ749" s="21">
        <f>IF(AND($A749="",$B749=""),"",IFERROR(VLOOKUP($G749,Lists!$D$4:$E$15,2,FALSE),"Not reported"))</f>
        <v/>
      </c>
      <c r="AK749" s="21">
        <f>IF(AND($A749="",$B749=""),"",IF($X749&lt;&gt;"",$X749,IF($T749&lt;&gt;"Y","Not assessed",IF(AND(ISNUMBER($V749),Setup!$B$6-$V749&gt;Setup!$B$26),"Assessment outdated",IF(NOT(ISNUMBER($W749)),"Assessed – no score",IF($W749&gt;=Setup!$B$24,"High",IF($W749&gt;=Setup!$B$25,"Moderate","Low")))))))</f>
        <v/>
      </c>
      <c r="AL749" s="21">
        <f>IF(AND($A749="",$B749=""),"",IF(Z749=0,"",IF(AND(AE749=1,N($R749)&gt;AD749*1.01+0.001),"Net terrestrial &gt; gross; ","")&amp;IF(AND(AE749=1,N($S749)&gt;AC749*1.01+0.001),"Net marine &gt; gross; ","")&amp;IF(AE749=0,"No net area – gross used, overlaps may be double-counted; ","")&amp;IF(AH749=0,"STATUS_YR missing – imputed in time series; ","")&amp;IF(AND(ISNUMBER($I749),N($I749)&gt;Setup!$B$6),"STATUS_YR after reporting year; ","")&amp;IF(OR($G749="",$G749="Not Reported"),"GOV_TYPE not reported; ","")&amp;IF(AND(N($J749)=1,$K749="Point",N($M749)&lt;=0),"Coastal point without REP_M_AREA – land/sea split unknown; ","")&amp;IF(AND(N($J749)=0,N($S749)&gt;0),"MARINE=0 but net marine &gt;0; ","")&amp;IF(AND(N($J749)=2,N($R749)&gt;0),"MARINE=2 but net terrestrial &gt;0; ","")&amp;IF($K749="Point","Buffered point – coverage approximate; ","")))</f>
        <v/>
      </c>
    </row>
    <row r="750">
      <c r="A750" s="19" t="n"/>
      <c r="B750" s="19" t="n"/>
      <c r="C750" s="19" t="n"/>
      <c r="D750" s="19" t="n"/>
      <c r="E750" s="19" t="n"/>
      <c r="F750" s="19" t="n"/>
      <c r="G750" s="19" t="n"/>
      <c r="H750" s="19" t="n"/>
      <c r="I750" s="19" t="n"/>
      <c r="J750" s="19" t="n"/>
      <c r="K750" s="19" t="n"/>
      <c r="L750" s="20" t="n"/>
      <c r="M750" s="20" t="n"/>
      <c r="N750" s="20" t="n"/>
      <c r="O750" s="20" t="n"/>
      <c r="P750" s="19" t="n"/>
      <c r="Q750" s="19" t="n"/>
      <c r="R750" s="20" t="n"/>
      <c r="S750" s="20" t="n"/>
      <c r="T750" s="19" t="n"/>
      <c r="U750" s="19" t="n"/>
      <c r="V750" s="19" t="n"/>
      <c r="W750" s="19" t="n"/>
      <c r="X750" s="19" t="n"/>
      <c r="Y750" s="19" t="n"/>
      <c r="Z750" s="21">
        <f>IF(AND($A750="",$B750=""),"",IF(OR($E750="",$H750="",$H750="Proposed",$H750="Not Reported"),0,IF(AND($P750="Y",$Q750&lt;&gt;"Y"),0,IF(AND($K750="Point",N($L750)&lt;=0),0,IF(AND(N($L750)&lt;=0,N($N750)&lt;=0,N($R750)+N($S750)&lt;=0),0,1)))))</f>
        <v/>
      </c>
      <c r="AA750" s="21">
        <f>IF(AND($A750="",$B750=""),"",IF($E750="","Site type missing",IF($H750="","STATUS missing",IF($H750="Proposed","STATUS = Proposed",IF($H750="Not Reported","STATUS = Not Reported",IF(AND($P750="Y",$Q750&lt;&gt;"Y"),"UNESCO-MAB Biosphere Reserve",IF(AND($K750="Point",N($L750)&lt;=0),"Point without REP_AREA",IF(AND(N($L750)&lt;=0,N($N750)&lt;=0,N($R750)+N($S750)&lt;=0),"No area information",""))))))))</f>
        <v/>
      </c>
      <c r="AB750" s="22">
        <f>IF(AND($A750="",$B750=""),"",IF($K750="Point",N($L750),IF(N($N750)&gt;0,N($N750),N($L750))))</f>
        <v/>
      </c>
      <c r="AC750" s="22">
        <f>IF(AND($A750="",$B750=""),"",MIN(AB750,IF(N($J750)=0,0,IF(N($J750)=2,AB750,IF(AND($K750&lt;&gt;"Point",N($O750)&gt;0),N($O750),N($M750))))))</f>
        <v/>
      </c>
      <c r="AD750" s="22">
        <f>IF(AND($A750="",$B750=""),"",MAX(0,AB750-AC750))</f>
        <v/>
      </c>
      <c r="AE750" s="21">
        <f>IF(AND($A750="",$B750=""),"",IF(OR($R750&lt;&gt;"",$S750&lt;&gt;""),1,0))</f>
        <v/>
      </c>
      <c r="AF750" s="22">
        <f>IF(AND($A750="",$B750=""),"",IF(Z750=1,IF(AE750=1,N($R750),AD750),0))</f>
        <v/>
      </c>
      <c r="AG750" s="22">
        <f>IF(AND($A750="",$B750=""),"",IF(Z750=1,IF(AE750=1,N($S750),AC750),0))</f>
        <v/>
      </c>
      <c r="AH750" s="21">
        <f>IF(AND($A750="",$B750=""),"",IF(AND(ISNUMBER($I750),N($I750)&gt;0),$I750,0))</f>
        <v/>
      </c>
      <c r="AI750" s="23">
        <f>IF(AND(NOT(AND($A750="",$B750="")),$K750="Point",N($L750)&gt;0),SQRT(N($L750)/PI()),"")</f>
        <v/>
      </c>
      <c r="AJ750" s="21">
        <f>IF(AND($A750="",$B750=""),"",IFERROR(VLOOKUP($G750,Lists!$D$4:$E$15,2,FALSE),"Not reported"))</f>
        <v/>
      </c>
      <c r="AK750" s="21">
        <f>IF(AND($A750="",$B750=""),"",IF($X750&lt;&gt;"",$X750,IF($T750&lt;&gt;"Y","Not assessed",IF(AND(ISNUMBER($V750),Setup!$B$6-$V750&gt;Setup!$B$26),"Assessment outdated",IF(NOT(ISNUMBER($W750)),"Assessed – no score",IF($W750&gt;=Setup!$B$24,"High",IF($W750&gt;=Setup!$B$25,"Moderate","Low")))))))</f>
        <v/>
      </c>
      <c r="AL750" s="21">
        <f>IF(AND($A750="",$B750=""),"",IF(Z750=0,"",IF(AND(AE750=1,N($R750)&gt;AD750*1.01+0.001),"Net terrestrial &gt; gross; ","")&amp;IF(AND(AE750=1,N($S750)&gt;AC750*1.01+0.001),"Net marine &gt; gross; ","")&amp;IF(AE750=0,"No net area – gross used, overlaps may be double-counted; ","")&amp;IF(AH750=0,"STATUS_YR missing – imputed in time series; ","")&amp;IF(AND(ISNUMBER($I750),N($I750)&gt;Setup!$B$6),"STATUS_YR after reporting year; ","")&amp;IF(OR($G750="",$G750="Not Reported"),"GOV_TYPE not reported; ","")&amp;IF(AND(N($J750)=1,$K750="Point",N($M750)&lt;=0),"Coastal point without REP_M_AREA – land/sea split unknown; ","")&amp;IF(AND(N($J750)=0,N($S750)&gt;0),"MARINE=0 but net marine &gt;0; ","")&amp;IF(AND(N($J750)=2,N($R750)&gt;0),"MARINE=2 but net terrestrial &gt;0; ","")&amp;IF($K750="Point","Buffered point – coverage approximate; ","")))</f>
        <v/>
      </c>
    </row>
    <row r="751">
      <c r="A751" s="19" t="n"/>
      <c r="B751" s="19" t="n"/>
      <c r="C751" s="19" t="n"/>
      <c r="D751" s="19" t="n"/>
      <c r="E751" s="19" t="n"/>
      <c r="F751" s="19" t="n"/>
      <c r="G751" s="19" t="n"/>
      <c r="H751" s="19" t="n"/>
      <c r="I751" s="19" t="n"/>
      <c r="J751" s="19" t="n"/>
      <c r="K751" s="19" t="n"/>
      <c r="L751" s="20" t="n"/>
      <c r="M751" s="20" t="n"/>
      <c r="N751" s="20" t="n"/>
      <c r="O751" s="20" t="n"/>
      <c r="P751" s="19" t="n"/>
      <c r="Q751" s="19" t="n"/>
      <c r="R751" s="20" t="n"/>
      <c r="S751" s="20" t="n"/>
      <c r="T751" s="19" t="n"/>
      <c r="U751" s="19" t="n"/>
      <c r="V751" s="19" t="n"/>
      <c r="W751" s="19" t="n"/>
      <c r="X751" s="19" t="n"/>
      <c r="Y751" s="19" t="n"/>
      <c r="Z751" s="21">
        <f>IF(AND($A751="",$B751=""),"",IF(OR($E751="",$H751="",$H751="Proposed",$H751="Not Reported"),0,IF(AND($P751="Y",$Q751&lt;&gt;"Y"),0,IF(AND($K751="Point",N($L751)&lt;=0),0,IF(AND(N($L751)&lt;=0,N($N751)&lt;=0,N($R751)+N($S751)&lt;=0),0,1)))))</f>
        <v/>
      </c>
      <c r="AA751" s="21">
        <f>IF(AND($A751="",$B751=""),"",IF($E751="","Site type missing",IF($H751="","STATUS missing",IF($H751="Proposed","STATUS = Proposed",IF($H751="Not Reported","STATUS = Not Reported",IF(AND($P751="Y",$Q751&lt;&gt;"Y"),"UNESCO-MAB Biosphere Reserve",IF(AND($K751="Point",N($L751)&lt;=0),"Point without REP_AREA",IF(AND(N($L751)&lt;=0,N($N751)&lt;=0,N($R751)+N($S751)&lt;=0),"No area information",""))))))))</f>
        <v/>
      </c>
      <c r="AB751" s="22">
        <f>IF(AND($A751="",$B751=""),"",IF($K751="Point",N($L751),IF(N($N751)&gt;0,N($N751),N($L751))))</f>
        <v/>
      </c>
      <c r="AC751" s="22">
        <f>IF(AND($A751="",$B751=""),"",MIN(AB751,IF(N($J751)=0,0,IF(N($J751)=2,AB751,IF(AND($K751&lt;&gt;"Point",N($O751)&gt;0),N($O751),N($M751))))))</f>
        <v/>
      </c>
      <c r="AD751" s="22">
        <f>IF(AND($A751="",$B751=""),"",MAX(0,AB751-AC751))</f>
        <v/>
      </c>
      <c r="AE751" s="21">
        <f>IF(AND($A751="",$B751=""),"",IF(OR($R751&lt;&gt;"",$S751&lt;&gt;""),1,0))</f>
        <v/>
      </c>
      <c r="AF751" s="22">
        <f>IF(AND($A751="",$B751=""),"",IF(Z751=1,IF(AE751=1,N($R751),AD751),0))</f>
        <v/>
      </c>
      <c r="AG751" s="22">
        <f>IF(AND($A751="",$B751=""),"",IF(Z751=1,IF(AE751=1,N($S751),AC751),0))</f>
        <v/>
      </c>
      <c r="AH751" s="21">
        <f>IF(AND($A751="",$B751=""),"",IF(AND(ISNUMBER($I751),N($I751)&gt;0),$I751,0))</f>
        <v/>
      </c>
      <c r="AI751" s="23">
        <f>IF(AND(NOT(AND($A751="",$B751="")),$K751="Point",N($L751)&gt;0),SQRT(N($L751)/PI()),"")</f>
        <v/>
      </c>
      <c r="AJ751" s="21">
        <f>IF(AND($A751="",$B751=""),"",IFERROR(VLOOKUP($G751,Lists!$D$4:$E$15,2,FALSE),"Not reported"))</f>
        <v/>
      </c>
      <c r="AK751" s="21">
        <f>IF(AND($A751="",$B751=""),"",IF($X751&lt;&gt;"",$X751,IF($T751&lt;&gt;"Y","Not assessed",IF(AND(ISNUMBER($V751),Setup!$B$6-$V751&gt;Setup!$B$26),"Assessment outdated",IF(NOT(ISNUMBER($W751)),"Assessed – no score",IF($W751&gt;=Setup!$B$24,"High",IF($W751&gt;=Setup!$B$25,"Moderate","Low")))))))</f>
        <v/>
      </c>
      <c r="AL751" s="21">
        <f>IF(AND($A751="",$B751=""),"",IF(Z751=0,"",IF(AND(AE751=1,N($R751)&gt;AD751*1.01+0.001),"Net terrestrial &gt; gross; ","")&amp;IF(AND(AE751=1,N($S751)&gt;AC751*1.01+0.001),"Net marine &gt; gross; ","")&amp;IF(AE751=0,"No net area – gross used, overlaps may be double-counted; ","")&amp;IF(AH751=0,"STATUS_YR missing – imputed in time series; ","")&amp;IF(AND(ISNUMBER($I751),N($I751)&gt;Setup!$B$6),"STATUS_YR after reporting year; ","")&amp;IF(OR($G751="",$G751="Not Reported"),"GOV_TYPE not reported; ","")&amp;IF(AND(N($J751)=1,$K751="Point",N($M751)&lt;=0),"Coastal point without REP_M_AREA – land/sea split unknown; ","")&amp;IF(AND(N($J751)=0,N($S751)&gt;0),"MARINE=0 but net marine &gt;0; ","")&amp;IF(AND(N($J751)=2,N($R751)&gt;0),"MARINE=2 but net terrestrial &gt;0; ","")&amp;IF($K751="Point","Buffered point – coverage approximate; ","")))</f>
        <v/>
      </c>
    </row>
    <row r="752">
      <c r="A752" s="19" t="n"/>
      <c r="B752" s="19" t="n"/>
      <c r="C752" s="19" t="n"/>
      <c r="D752" s="19" t="n"/>
      <c r="E752" s="19" t="n"/>
      <c r="F752" s="19" t="n"/>
      <c r="G752" s="19" t="n"/>
      <c r="H752" s="19" t="n"/>
      <c r="I752" s="19" t="n"/>
      <c r="J752" s="19" t="n"/>
      <c r="K752" s="19" t="n"/>
      <c r="L752" s="20" t="n"/>
      <c r="M752" s="20" t="n"/>
      <c r="N752" s="20" t="n"/>
      <c r="O752" s="20" t="n"/>
      <c r="P752" s="19" t="n"/>
      <c r="Q752" s="19" t="n"/>
      <c r="R752" s="20" t="n"/>
      <c r="S752" s="20" t="n"/>
      <c r="T752" s="19" t="n"/>
      <c r="U752" s="19" t="n"/>
      <c r="V752" s="19" t="n"/>
      <c r="W752" s="19" t="n"/>
      <c r="X752" s="19" t="n"/>
      <c r="Y752" s="19" t="n"/>
      <c r="Z752" s="21">
        <f>IF(AND($A752="",$B752=""),"",IF(OR($E752="",$H752="",$H752="Proposed",$H752="Not Reported"),0,IF(AND($P752="Y",$Q752&lt;&gt;"Y"),0,IF(AND($K752="Point",N($L752)&lt;=0),0,IF(AND(N($L752)&lt;=0,N($N752)&lt;=0,N($R752)+N($S752)&lt;=0),0,1)))))</f>
        <v/>
      </c>
      <c r="AA752" s="21">
        <f>IF(AND($A752="",$B752=""),"",IF($E752="","Site type missing",IF($H752="","STATUS missing",IF($H752="Proposed","STATUS = Proposed",IF($H752="Not Reported","STATUS = Not Reported",IF(AND($P752="Y",$Q752&lt;&gt;"Y"),"UNESCO-MAB Biosphere Reserve",IF(AND($K752="Point",N($L752)&lt;=0),"Point without REP_AREA",IF(AND(N($L752)&lt;=0,N($N752)&lt;=0,N($R752)+N($S752)&lt;=0),"No area information",""))))))))</f>
        <v/>
      </c>
      <c r="AB752" s="22">
        <f>IF(AND($A752="",$B752=""),"",IF($K752="Point",N($L752),IF(N($N752)&gt;0,N($N752),N($L752))))</f>
        <v/>
      </c>
      <c r="AC752" s="22">
        <f>IF(AND($A752="",$B752=""),"",MIN(AB752,IF(N($J752)=0,0,IF(N($J752)=2,AB752,IF(AND($K752&lt;&gt;"Point",N($O752)&gt;0),N($O752),N($M752))))))</f>
        <v/>
      </c>
      <c r="AD752" s="22">
        <f>IF(AND($A752="",$B752=""),"",MAX(0,AB752-AC752))</f>
        <v/>
      </c>
      <c r="AE752" s="21">
        <f>IF(AND($A752="",$B752=""),"",IF(OR($R752&lt;&gt;"",$S752&lt;&gt;""),1,0))</f>
        <v/>
      </c>
      <c r="AF752" s="22">
        <f>IF(AND($A752="",$B752=""),"",IF(Z752=1,IF(AE752=1,N($R752),AD752),0))</f>
        <v/>
      </c>
      <c r="AG752" s="22">
        <f>IF(AND($A752="",$B752=""),"",IF(Z752=1,IF(AE752=1,N($S752),AC752),0))</f>
        <v/>
      </c>
      <c r="AH752" s="21">
        <f>IF(AND($A752="",$B752=""),"",IF(AND(ISNUMBER($I752),N($I752)&gt;0),$I752,0))</f>
        <v/>
      </c>
      <c r="AI752" s="23">
        <f>IF(AND(NOT(AND($A752="",$B752="")),$K752="Point",N($L752)&gt;0),SQRT(N($L752)/PI()),"")</f>
        <v/>
      </c>
      <c r="AJ752" s="21">
        <f>IF(AND($A752="",$B752=""),"",IFERROR(VLOOKUP($G752,Lists!$D$4:$E$15,2,FALSE),"Not reported"))</f>
        <v/>
      </c>
      <c r="AK752" s="21">
        <f>IF(AND($A752="",$B752=""),"",IF($X752&lt;&gt;"",$X752,IF($T752&lt;&gt;"Y","Not assessed",IF(AND(ISNUMBER($V752),Setup!$B$6-$V752&gt;Setup!$B$26),"Assessment outdated",IF(NOT(ISNUMBER($W752)),"Assessed – no score",IF($W752&gt;=Setup!$B$24,"High",IF($W752&gt;=Setup!$B$25,"Moderate","Low")))))))</f>
        <v/>
      </c>
      <c r="AL752" s="21">
        <f>IF(AND($A752="",$B752=""),"",IF(Z752=0,"",IF(AND(AE752=1,N($R752)&gt;AD752*1.01+0.001),"Net terrestrial &gt; gross; ","")&amp;IF(AND(AE752=1,N($S752)&gt;AC752*1.01+0.001),"Net marine &gt; gross; ","")&amp;IF(AE752=0,"No net area – gross used, overlaps may be double-counted; ","")&amp;IF(AH752=0,"STATUS_YR missing – imputed in time series; ","")&amp;IF(AND(ISNUMBER($I752),N($I752)&gt;Setup!$B$6),"STATUS_YR after reporting year; ","")&amp;IF(OR($G752="",$G752="Not Reported"),"GOV_TYPE not reported; ","")&amp;IF(AND(N($J752)=1,$K752="Point",N($M752)&lt;=0),"Coastal point without REP_M_AREA – land/sea split unknown; ","")&amp;IF(AND(N($J752)=0,N($S752)&gt;0),"MARINE=0 but net marine &gt;0; ","")&amp;IF(AND(N($J752)=2,N($R752)&gt;0),"MARINE=2 but net terrestrial &gt;0; ","")&amp;IF($K752="Point","Buffered point – coverage approximate; ","")))</f>
        <v/>
      </c>
    </row>
    <row r="753">
      <c r="A753" s="19" t="n"/>
      <c r="B753" s="19" t="n"/>
      <c r="C753" s="19" t="n"/>
      <c r="D753" s="19" t="n"/>
      <c r="E753" s="19" t="n"/>
      <c r="F753" s="19" t="n"/>
      <c r="G753" s="19" t="n"/>
      <c r="H753" s="19" t="n"/>
      <c r="I753" s="19" t="n"/>
      <c r="J753" s="19" t="n"/>
      <c r="K753" s="19" t="n"/>
      <c r="L753" s="20" t="n"/>
      <c r="M753" s="20" t="n"/>
      <c r="N753" s="20" t="n"/>
      <c r="O753" s="20" t="n"/>
      <c r="P753" s="19" t="n"/>
      <c r="Q753" s="19" t="n"/>
      <c r="R753" s="20" t="n"/>
      <c r="S753" s="20" t="n"/>
      <c r="T753" s="19" t="n"/>
      <c r="U753" s="19" t="n"/>
      <c r="V753" s="19" t="n"/>
      <c r="W753" s="19" t="n"/>
      <c r="X753" s="19" t="n"/>
      <c r="Y753" s="19" t="n"/>
      <c r="Z753" s="21">
        <f>IF(AND($A753="",$B753=""),"",IF(OR($E753="",$H753="",$H753="Proposed",$H753="Not Reported"),0,IF(AND($P753="Y",$Q753&lt;&gt;"Y"),0,IF(AND($K753="Point",N($L753)&lt;=0),0,IF(AND(N($L753)&lt;=0,N($N753)&lt;=0,N($R753)+N($S753)&lt;=0),0,1)))))</f>
        <v/>
      </c>
      <c r="AA753" s="21">
        <f>IF(AND($A753="",$B753=""),"",IF($E753="","Site type missing",IF($H753="","STATUS missing",IF($H753="Proposed","STATUS = Proposed",IF($H753="Not Reported","STATUS = Not Reported",IF(AND($P753="Y",$Q753&lt;&gt;"Y"),"UNESCO-MAB Biosphere Reserve",IF(AND($K753="Point",N($L753)&lt;=0),"Point without REP_AREA",IF(AND(N($L753)&lt;=0,N($N753)&lt;=0,N($R753)+N($S753)&lt;=0),"No area information",""))))))))</f>
        <v/>
      </c>
      <c r="AB753" s="22">
        <f>IF(AND($A753="",$B753=""),"",IF($K753="Point",N($L753),IF(N($N753)&gt;0,N($N753),N($L753))))</f>
        <v/>
      </c>
      <c r="AC753" s="22">
        <f>IF(AND($A753="",$B753=""),"",MIN(AB753,IF(N($J753)=0,0,IF(N($J753)=2,AB753,IF(AND($K753&lt;&gt;"Point",N($O753)&gt;0),N($O753),N($M753))))))</f>
        <v/>
      </c>
      <c r="AD753" s="22">
        <f>IF(AND($A753="",$B753=""),"",MAX(0,AB753-AC753))</f>
        <v/>
      </c>
      <c r="AE753" s="21">
        <f>IF(AND($A753="",$B753=""),"",IF(OR($R753&lt;&gt;"",$S753&lt;&gt;""),1,0))</f>
        <v/>
      </c>
      <c r="AF753" s="22">
        <f>IF(AND($A753="",$B753=""),"",IF(Z753=1,IF(AE753=1,N($R753),AD753),0))</f>
        <v/>
      </c>
      <c r="AG753" s="22">
        <f>IF(AND($A753="",$B753=""),"",IF(Z753=1,IF(AE753=1,N($S753),AC753),0))</f>
        <v/>
      </c>
      <c r="AH753" s="21">
        <f>IF(AND($A753="",$B753=""),"",IF(AND(ISNUMBER($I753),N($I753)&gt;0),$I753,0))</f>
        <v/>
      </c>
      <c r="AI753" s="23">
        <f>IF(AND(NOT(AND($A753="",$B753="")),$K753="Point",N($L753)&gt;0),SQRT(N($L753)/PI()),"")</f>
        <v/>
      </c>
      <c r="AJ753" s="21">
        <f>IF(AND($A753="",$B753=""),"",IFERROR(VLOOKUP($G753,Lists!$D$4:$E$15,2,FALSE),"Not reported"))</f>
        <v/>
      </c>
      <c r="AK753" s="21">
        <f>IF(AND($A753="",$B753=""),"",IF($X753&lt;&gt;"",$X753,IF($T753&lt;&gt;"Y","Not assessed",IF(AND(ISNUMBER($V753),Setup!$B$6-$V753&gt;Setup!$B$26),"Assessment outdated",IF(NOT(ISNUMBER($W753)),"Assessed – no score",IF($W753&gt;=Setup!$B$24,"High",IF($W753&gt;=Setup!$B$25,"Moderate","Low")))))))</f>
        <v/>
      </c>
      <c r="AL753" s="21">
        <f>IF(AND($A753="",$B753=""),"",IF(Z753=0,"",IF(AND(AE753=1,N($R753)&gt;AD753*1.01+0.001),"Net terrestrial &gt; gross; ","")&amp;IF(AND(AE753=1,N($S753)&gt;AC753*1.01+0.001),"Net marine &gt; gross; ","")&amp;IF(AE753=0,"No net area – gross used, overlaps may be double-counted; ","")&amp;IF(AH753=0,"STATUS_YR missing – imputed in time series; ","")&amp;IF(AND(ISNUMBER($I753),N($I753)&gt;Setup!$B$6),"STATUS_YR after reporting year; ","")&amp;IF(OR($G753="",$G753="Not Reported"),"GOV_TYPE not reported; ","")&amp;IF(AND(N($J753)=1,$K753="Point",N($M753)&lt;=0),"Coastal point without REP_M_AREA – land/sea split unknown; ","")&amp;IF(AND(N($J753)=0,N($S753)&gt;0),"MARINE=0 but net marine &gt;0; ","")&amp;IF(AND(N($J753)=2,N($R753)&gt;0),"MARINE=2 but net terrestrial &gt;0; ","")&amp;IF($K753="Point","Buffered point – coverage approximate; ","")))</f>
        <v/>
      </c>
    </row>
    <row r="754">
      <c r="A754" s="19" t="n"/>
      <c r="B754" s="19" t="n"/>
      <c r="C754" s="19" t="n"/>
      <c r="D754" s="19" t="n"/>
      <c r="E754" s="19" t="n"/>
      <c r="F754" s="19" t="n"/>
      <c r="G754" s="19" t="n"/>
      <c r="H754" s="19" t="n"/>
      <c r="I754" s="19" t="n"/>
      <c r="J754" s="19" t="n"/>
      <c r="K754" s="19" t="n"/>
      <c r="L754" s="20" t="n"/>
      <c r="M754" s="20" t="n"/>
      <c r="N754" s="20" t="n"/>
      <c r="O754" s="20" t="n"/>
      <c r="P754" s="19" t="n"/>
      <c r="Q754" s="19" t="n"/>
      <c r="R754" s="20" t="n"/>
      <c r="S754" s="20" t="n"/>
      <c r="T754" s="19" t="n"/>
      <c r="U754" s="19" t="n"/>
      <c r="V754" s="19" t="n"/>
      <c r="W754" s="19" t="n"/>
      <c r="X754" s="19" t="n"/>
      <c r="Y754" s="19" t="n"/>
      <c r="Z754" s="21">
        <f>IF(AND($A754="",$B754=""),"",IF(OR($E754="",$H754="",$H754="Proposed",$H754="Not Reported"),0,IF(AND($P754="Y",$Q754&lt;&gt;"Y"),0,IF(AND($K754="Point",N($L754)&lt;=0),0,IF(AND(N($L754)&lt;=0,N($N754)&lt;=0,N($R754)+N($S754)&lt;=0),0,1)))))</f>
        <v/>
      </c>
      <c r="AA754" s="21">
        <f>IF(AND($A754="",$B754=""),"",IF($E754="","Site type missing",IF($H754="","STATUS missing",IF($H754="Proposed","STATUS = Proposed",IF($H754="Not Reported","STATUS = Not Reported",IF(AND($P754="Y",$Q754&lt;&gt;"Y"),"UNESCO-MAB Biosphere Reserve",IF(AND($K754="Point",N($L754)&lt;=0),"Point without REP_AREA",IF(AND(N($L754)&lt;=0,N($N754)&lt;=0,N($R754)+N($S754)&lt;=0),"No area information",""))))))))</f>
        <v/>
      </c>
      <c r="AB754" s="22">
        <f>IF(AND($A754="",$B754=""),"",IF($K754="Point",N($L754),IF(N($N754)&gt;0,N($N754),N($L754))))</f>
        <v/>
      </c>
      <c r="AC754" s="22">
        <f>IF(AND($A754="",$B754=""),"",MIN(AB754,IF(N($J754)=0,0,IF(N($J754)=2,AB754,IF(AND($K754&lt;&gt;"Point",N($O754)&gt;0),N($O754),N($M754))))))</f>
        <v/>
      </c>
      <c r="AD754" s="22">
        <f>IF(AND($A754="",$B754=""),"",MAX(0,AB754-AC754))</f>
        <v/>
      </c>
      <c r="AE754" s="21">
        <f>IF(AND($A754="",$B754=""),"",IF(OR($R754&lt;&gt;"",$S754&lt;&gt;""),1,0))</f>
        <v/>
      </c>
      <c r="AF754" s="22">
        <f>IF(AND($A754="",$B754=""),"",IF(Z754=1,IF(AE754=1,N($R754),AD754),0))</f>
        <v/>
      </c>
      <c r="AG754" s="22">
        <f>IF(AND($A754="",$B754=""),"",IF(Z754=1,IF(AE754=1,N($S754),AC754),0))</f>
        <v/>
      </c>
      <c r="AH754" s="21">
        <f>IF(AND($A754="",$B754=""),"",IF(AND(ISNUMBER($I754),N($I754)&gt;0),$I754,0))</f>
        <v/>
      </c>
      <c r="AI754" s="23">
        <f>IF(AND(NOT(AND($A754="",$B754="")),$K754="Point",N($L754)&gt;0),SQRT(N($L754)/PI()),"")</f>
        <v/>
      </c>
      <c r="AJ754" s="21">
        <f>IF(AND($A754="",$B754=""),"",IFERROR(VLOOKUP($G754,Lists!$D$4:$E$15,2,FALSE),"Not reported"))</f>
        <v/>
      </c>
      <c r="AK754" s="21">
        <f>IF(AND($A754="",$B754=""),"",IF($X754&lt;&gt;"",$X754,IF($T754&lt;&gt;"Y","Not assessed",IF(AND(ISNUMBER($V754),Setup!$B$6-$V754&gt;Setup!$B$26),"Assessment outdated",IF(NOT(ISNUMBER($W754)),"Assessed – no score",IF($W754&gt;=Setup!$B$24,"High",IF($W754&gt;=Setup!$B$25,"Moderate","Low")))))))</f>
        <v/>
      </c>
      <c r="AL754" s="21">
        <f>IF(AND($A754="",$B754=""),"",IF(Z754=0,"",IF(AND(AE754=1,N($R754)&gt;AD754*1.01+0.001),"Net terrestrial &gt; gross; ","")&amp;IF(AND(AE754=1,N($S754)&gt;AC754*1.01+0.001),"Net marine &gt; gross; ","")&amp;IF(AE754=0,"No net area – gross used, overlaps may be double-counted; ","")&amp;IF(AH754=0,"STATUS_YR missing – imputed in time series; ","")&amp;IF(AND(ISNUMBER($I754),N($I754)&gt;Setup!$B$6),"STATUS_YR after reporting year; ","")&amp;IF(OR($G754="",$G754="Not Reported"),"GOV_TYPE not reported; ","")&amp;IF(AND(N($J754)=1,$K754="Point",N($M754)&lt;=0),"Coastal point without REP_M_AREA – land/sea split unknown; ","")&amp;IF(AND(N($J754)=0,N($S754)&gt;0),"MARINE=0 but net marine &gt;0; ","")&amp;IF(AND(N($J754)=2,N($R754)&gt;0),"MARINE=2 but net terrestrial &gt;0; ","")&amp;IF($K754="Point","Buffered point – coverage approximate; ","")))</f>
        <v/>
      </c>
    </row>
    <row r="755">
      <c r="A755" s="19" t="n"/>
      <c r="B755" s="19" t="n"/>
      <c r="C755" s="19" t="n"/>
      <c r="D755" s="19" t="n"/>
      <c r="E755" s="19" t="n"/>
      <c r="F755" s="19" t="n"/>
      <c r="G755" s="19" t="n"/>
      <c r="H755" s="19" t="n"/>
      <c r="I755" s="19" t="n"/>
      <c r="J755" s="19" t="n"/>
      <c r="K755" s="19" t="n"/>
      <c r="L755" s="20" t="n"/>
      <c r="M755" s="20" t="n"/>
      <c r="N755" s="20" t="n"/>
      <c r="O755" s="20" t="n"/>
      <c r="P755" s="19" t="n"/>
      <c r="Q755" s="19" t="n"/>
      <c r="R755" s="20" t="n"/>
      <c r="S755" s="20" t="n"/>
      <c r="T755" s="19" t="n"/>
      <c r="U755" s="19" t="n"/>
      <c r="V755" s="19" t="n"/>
      <c r="W755" s="19" t="n"/>
      <c r="X755" s="19" t="n"/>
      <c r="Y755" s="19" t="n"/>
      <c r="Z755" s="21">
        <f>IF(AND($A755="",$B755=""),"",IF(OR($E755="",$H755="",$H755="Proposed",$H755="Not Reported"),0,IF(AND($P755="Y",$Q755&lt;&gt;"Y"),0,IF(AND($K755="Point",N($L755)&lt;=0),0,IF(AND(N($L755)&lt;=0,N($N755)&lt;=0,N($R755)+N($S755)&lt;=0),0,1)))))</f>
        <v/>
      </c>
      <c r="AA755" s="21">
        <f>IF(AND($A755="",$B755=""),"",IF($E755="","Site type missing",IF($H755="","STATUS missing",IF($H755="Proposed","STATUS = Proposed",IF($H755="Not Reported","STATUS = Not Reported",IF(AND($P755="Y",$Q755&lt;&gt;"Y"),"UNESCO-MAB Biosphere Reserve",IF(AND($K755="Point",N($L755)&lt;=0),"Point without REP_AREA",IF(AND(N($L755)&lt;=0,N($N755)&lt;=0,N($R755)+N($S755)&lt;=0),"No area information",""))))))))</f>
        <v/>
      </c>
      <c r="AB755" s="22">
        <f>IF(AND($A755="",$B755=""),"",IF($K755="Point",N($L755),IF(N($N755)&gt;0,N($N755),N($L755))))</f>
        <v/>
      </c>
      <c r="AC755" s="22">
        <f>IF(AND($A755="",$B755=""),"",MIN(AB755,IF(N($J755)=0,0,IF(N($J755)=2,AB755,IF(AND($K755&lt;&gt;"Point",N($O755)&gt;0),N($O755),N($M755))))))</f>
        <v/>
      </c>
      <c r="AD755" s="22">
        <f>IF(AND($A755="",$B755=""),"",MAX(0,AB755-AC755))</f>
        <v/>
      </c>
      <c r="AE755" s="21">
        <f>IF(AND($A755="",$B755=""),"",IF(OR($R755&lt;&gt;"",$S755&lt;&gt;""),1,0))</f>
        <v/>
      </c>
      <c r="AF755" s="22">
        <f>IF(AND($A755="",$B755=""),"",IF(Z755=1,IF(AE755=1,N($R755),AD755),0))</f>
        <v/>
      </c>
      <c r="AG755" s="22">
        <f>IF(AND($A755="",$B755=""),"",IF(Z755=1,IF(AE755=1,N($S755),AC755),0))</f>
        <v/>
      </c>
      <c r="AH755" s="21">
        <f>IF(AND($A755="",$B755=""),"",IF(AND(ISNUMBER($I755),N($I755)&gt;0),$I755,0))</f>
        <v/>
      </c>
      <c r="AI755" s="23">
        <f>IF(AND(NOT(AND($A755="",$B755="")),$K755="Point",N($L755)&gt;0),SQRT(N($L755)/PI()),"")</f>
        <v/>
      </c>
      <c r="AJ755" s="21">
        <f>IF(AND($A755="",$B755=""),"",IFERROR(VLOOKUP($G755,Lists!$D$4:$E$15,2,FALSE),"Not reported"))</f>
        <v/>
      </c>
      <c r="AK755" s="21">
        <f>IF(AND($A755="",$B755=""),"",IF($X755&lt;&gt;"",$X755,IF($T755&lt;&gt;"Y","Not assessed",IF(AND(ISNUMBER($V755),Setup!$B$6-$V755&gt;Setup!$B$26),"Assessment outdated",IF(NOT(ISNUMBER($W755)),"Assessed – no score",IF($W755&gt;=Setup!$B$24,"High",IF($W755&gt;=Setup!$B$25,"Moderate","Low")))))))</f>
        <v/>
      </c>
      <c r="AL755" s="21">
        <f>IF(AND($A755="",$B755=""),"",IF(Z755=0,"",IF(AND(AE755=1,N($R755)&gt;AD755*1.01+0.001),"Net terrestrial &gt; gross; ","")&amp;IF(AND(AE755=1,N($S755)&gt;AC755*1.01+0.001),"Net marine &gt; gross; ","")&amp;IF(AE755=0,"No net area – gross used, overlaps may be double-counted; ","")&amp;IF(AH755=0,"STATUS_YR missing – imputed in time series; ","")&amp;IF(AND(ISNUMBER($I755),N($I755)&gt;Setup!$B$6),"STATUS_YR after reporting year; ","")&amp;IF(OR($G755="",$G755="Not Reported"),"GOV_TYPE not reported; ","")&amp;IF(AND(N($J755)=1,$K755="Point",N($M755)&lt;=0),"Coastal point without REP_M_AREA – land/sea split unknown; ","")&amp;IF(AND(N($J755)=0,N($S755)&gt;0),"MARINE=0 but net marine &gt;0; ","")&amp;IF(AND(N($J755)=2,N($R755)&gt;0),"MARINE=2 but net terrestrial &gt;0; ","")&amp;IF($K755="Point","Buffered point – coverage approximate; ","")))</f>
        <v/>
      </c>
    </row>
    <row r="756">
      <c r="A756" s="19" t="n"/>
      <c r="B756" s="19" t="n"/>
      <c r="C756" s="19" t="n"/>
      <c r="D756" s="19" t="n"/>
      <c r="E756" s="19" t="n"/>
      <c r="F756" s="19" t="n"/>
      <c r="G756" s="19" t="n"/>
      <c r="H756" s="19" t="n"/>
      <c r="I756" s="19" t="n"/>
      <c r="J756" s="19" t="n"/>
      <c r="K756" s="19" t="n"/>
      <c r="L756" s="20" t="n"/>
      <c r="M756" s="20" t="n"/>
      <c r="N756" s="20" t="n"/>
      <c r="O756" s="20" t="n"/>
      <c r="P756" s="19" t="n"/>
      <c r="Q756" s="19" t="n"/>
      <c r="R756" s="20" t="n"/>
      <c r="S756" s="20" t="n"/>
      <c r="T756" s="19" t="n"/>
      <c r="U756" s="19" t="n"/>
      <c r="V756" s="19" t="n"/>
      <c r="W756" s="19" t="n"/>
      <c r="X756" s="19" t="n"/>
      <c r="Y756" s="19" t="n"/>
      <c r="Z756" s="21">
        <f>IF(AND($A756="",$B756=""),"",IF(OR($E756="",$H756="",$H756="Proposed",$H756="Not Reported"),0,IF(AND($P756="Y",$Q756&lt;&gt;"Y"),0,IF(AND($K756="Point",N($L756)&lt;=0),0,IF(AND(N($L756)&lt;=0,N($N756)&lt;=0,N($R756)+N($S756)&lt;=0),0,1)))))</f>
        <v/>
      </c>
      <c r="AA756" s="21">
        <f>IF(AND($A756="",$B756=""),"",IF($E756="","Site type missing",IF($H756="","STATUS missing",IF($H756="Proposed","STATUS = Proposed",IF($H756="Not Reported","STATUS = Not Reported",IF(AND($P756="Y",$Q756&lt;&gt;"Y"),"UNESCO-MAB Biosphere Reserve",IF(AND($K756="Point",N($L756)&lt;=0),"Point without REP_AREA",IF(AND(N($L756)&lt;=0,N($N756)&lt;=0,N($R756)+N($S756)&lt;=0),"No area information",""))))))))</f>
        <v/>
      </c>
      <c r="AB756" s="22">
        <f>IF(AND($A756="",$B756=""),"",IF($K756="Point",N($L756),IF(N($N756)&gt;0,N($N756),N($L756))))</f>
        <v/>
      </c>
      <c r="AC756" s="22">
        <f>IF(AND($A756="",$B756=""),"",MIN(AB756,IF(N($J756)=0,0,IF(N($J756)=2,AB756,IF(AND($K756&lt;&gt;"Point",N($O756)&gt;0),N($O756),N($M756))))))</f>
        <v/>
      </c>
      <c r="AD756" s="22">
        <f>IF(AND($A756="",$B756=""),"",MAX(0,AB756-AC756))</f>
        <v/>
      </c>
      <c r="AE756" s="21">
        <f>IF(AND($A756="",$B756=""),"",IF(OR($R756&lt;&gt;"",$S756&lt;&gt;""),1,0))</f>
        <v/>
      </c>
      <c r="AF756" s="22">
        <f>IF(AND($A756="",$B756=""),"",IF(Z756=1,IF(AE756=1,N($R756),AD756),0))</f>
        <v/>
      </c>
      <c r="AG756" s="22">
        <f>IF(AND($A756="",$B756=""),"",IF(Z756=1,IF(AE756=1,N($S756),AC756),0))</f>
        <v/>
      </c>
      <c r="AH756" s="21">
        <f>IF(AND($A756="",$B756=""),"",IF(AND(ISNUMBER($I756),N($I756)&gt;0),$I756,0))</f>
        <v/>
      </c>
      <c r="AI756" s="23">
        <f>IF(AND(NOT(AND($A756="",$B756="")),$K756="Point",N($L756)&gt;0),SQRT(N($L756)/PI()),"")</f>
        <v/>
      </c>
      <c r="AJ756" s="21">
        <f>IF(AND($A756="",$B756=""),"",IFERROR(VLOOKUP($G756,Lists!$D$4:$E$15,2,FALSE),"Not reported"))</f>
        <v/>
      </c>
      <c r="AK756" s="21">
        <f>IF(AND($A756="",$B756=""),"",IF($X756&lt;&gt;"",$X756,IF($T756&lt;&gt;"Y","Not assessed",IF(AND(ISNUMBER($V756),Setup!$B$6-$V756&gt;Setup!$B$26),"Assessment outdated",IF(NOT(ISNUMBER($W756)),"Assessed – no score",IF($W756&gt;=Setup!$B$24,"High",IF($W756&gt;=Setup!$B$25,"Moderate","Low")))))))</f>
        <v/>
      </c>
      <c r="AL756" s="21">
        <f>IF(AND($A756="",$B756=""),"",IF(Z756=0,"",IF(AND(AE756=1,N($R756)&gt;AD756*1.01+0.001),"Net terrestrial &gt; gross; ","")&amp;IF(AND(AE756=1,N($S756)&gt;AC756*1.01+0.001),"Net marine &gt; gross; ","")&amp;IF(AE756=0,"No net area – gross used, overlaps may be double-counted; ","")&amp;IF(AH756=0,"STATUS_YR missing – imputed in time series; ","")&amp;IF(AND(ISNUMBER($I756),N($I756)&gt;Setup!$B$6),"STATUS_YR after reporting year; ","")&amp;IF(OR($G756="",$G756="Not Reported"),"GOV_TYPE not reported; ","")&amp;IF(AND(N($J756)=1,$K756="Point",N($M756)&lt;=0),"Coastal point without REP_M_AREA – land/sea split unknown; ","")&amp;IF(AND(N($J756)=0,N($S756)&gt;0),"MARINE=0 but net marine &gt;0; ","")&amp;IF(AND(N($J756)=2,N($R756)&gt;0),"MARINE=2 but net terrestrial &gt;0; ","")&amp;IF($K756="Point","Buffered point – coverage approximate; ","")))</f>
        <v/>
      </c>
    </row>
    <row r="757">
      <c r="A757" s="19" t="n"/>
      <c r="B757" s="19" t="n"/>
      <c r="C757" s="19" t="n"/>
      <c r="D757" s="19" t="n"/>
      <c r="E757" s="19" t="n"/>
      <c r="F757" s="19" t="n"/>
      <c r="G757" s="19" t="n"/>
      <c r="H757" s="19" t="n"/>
      <c r="I757" s="19" t="n"/>
      <c r="J757" s="19" t="n"/>
      <c r="K757" s="19" t="n"/>
      <c r="L757" s="20" t="n"/>
      <c r="M757" s="20" t="n"/>
      <c r="N757" s="20" t="n"/>
      <c r="O757" s="20" t="n"/>
      <c r="P757" s="19" t="n"/>
      <c r="Q757" s="19" t="n"/>
      <c r="R757" s="20" t="n"/>
      <c r="S757" s="20" t="n"/>
      <c r="T757" s="19" t="n"/>
      <c r="U757" s="19" t="n"/>
      <c r="V757" s="19" t="n"/>
      <c r="W757" s="19" t="n"/>
      <c r="X757" s="19" t="n"/>
      <c r="Y757" s="19" t="n"/>
      <c r="Z757" s="21">
        <f>IF(AND($A757="",$B757=""),"",IF(OR($E757="",$H757="",$H757="Proposed",$H757="Not Reported"),0,IF(AND($P757="Y",$Q757&lt;&gt;"Y"),0,IF(AND($K757="Point",N($L757)&lt;=0),0,IF(AND(N($L757)&lt;=0,N($N757)&lt;=0,N($R757)+N($S757)&lt;=0),0,1)))))</f>
        <v/>
      </c>
      <c r="AA757" s="21">
        <f>IF(AND($A757="",$B757=""),"",IF($E757="","Site type missing",IF($H757="","STATUS missing",IF($H757="Proposed","STATUS = Proposed",IF($H757="Not Reported","STATUS = Not Reported",IF(AND($P757="Y",$Q757&lt;&gt;"Y"),"UNESCO-MAB Biosphere Reserve",IF(AND($K757="Point",N($L757)&lt;=0),"Point without REP_AREA",IF(AND(N($L757)&lt;=0,N($N757)&lt;=0,N($R757)+N($S757)&lt;=0),"No area information",""))))))))</f>
        <v/>
      </c>
      <c r="AB757" s="22">
        <f>IF(AND($A757="",$B757=""),"",IF($K757="Point",N($L757),IF(N($N757)&gt;0,N($N757),N($L757))))</f>
        <v/>
      </c>
      <c r="AC757" s="22">
        <f>IF(AND($A757="",$B757=""),"",MIN(AB757,IF(N($J757)=0,0,IF(N($J757)=2,AB757,IF(AND($K757&lt;&gt;"Point",N($O757)&gt;0),N($O757),N($M757))))))</f>
        <v/>
      </c>
      <c r="AD757" s="22">
        <f>IF(AND($A757="",$B757=""),"",MAX(0,AB757-AC757))</f>
        <v/>
      </c>
      <c r="AE757" s="21">
        <f>IF(AND($A757="",$B757=""),"",IF(OR($R757&lt;&gt;"",$S757&lt;&gt;""),1,0))</f>
        <v/>
      </c>
      <c r="AF757" s="22">
        <f>IF(AND($A757="",$B757=""),"",IF(Z757=1,IF(AE757=1,N($R757),AD757),0))</f>
        <v/>
      </c>
      <c r="AG757" s="22">
        <f>IF(AND($A757="",$B757=""),"",IF(Z757=1,IF(AE757=1,N($S757),AC757),0))</f>
        <v/>
      </c>
      <c r="AH757" s="21">
        <f>IF(AND($A757="",$B757=""),"",IF(AND(ISNUMBER($I757),N($I757)&gt;0),$I757,0))</f>
        <v/>
      </c>
      <c r="AI757" s="23">
        <f>IF(AND(NOT(AND($A757="",$B757="")),$K757="Point",N($L757)&gt;0),SQRT(N($L757)/PI()),"")</f>
        <v/>
      </c>
      <c r="AJ757" s="21">
        <f>IF(AND($A757="",$B757=""),"",IFERROR(VLOOKUP($G757,Lists!$D$4:$E$15,2,FALSE),"Not reported"))</f>
        <v/>
      </c>
      <c r="AK757" s="21">
        <f>IF(AND($A757="",$B757=""),"",IF($X757&lt;&gt;"",$X757,IF($T757&lt;&gt;"Y","Not assessed",IF(AND(ISNUMBER($V757),Setup!$B$6-$V757&gt;Setup!$B$26),"Assessment outdated",IF(NOT(ISNUMBER($W757)),"Assessed – no score",IF($W757&gt;=Setup!$B$24,"High",IF($W757&gt;=Setup!$B$25,"Moderate","Low")))))))</f>
        <v/>
      </c>
      <c r="AL757" s="21">
        <f>IF(AND($A757="",$B757=""),"",IF(Z757=0,"",IF(AND(AE757=1,N($R757)&gt;AD757*1.01+0.001),"Net terrestrial &gt; gross; ","")&amp;IF(AND(AE757=1,N($S757)&gt;AC757*1.01+0.001),"Net marine &gt; gross; ","")&amp;IF(AE757=0,"No net area – gross used, overlaps may be double-counted; ","")&amp;IF(AH757=0,"STATUS_YR missing – imputed in time series; ","")&amp;IF(AND(ISNUMBER($I757),N($I757)&gt;Setup!$B$6),"STATUS_YR after reporting year; ","")&amp;IF(OR($G757="",$G757="Not Reported"),"GOV_TYPE not reported; ","")&amp;IF(AND(N($J757)=1,$K757="Point",N($M757)&lt;=0),"Coastal point without REP_M_AREA – land/sea split unknown; ","")&amp;IF(AND(N($J757)=0,N($S757)&gt;0),"MARINE=0 but net marine &gt;0; ","")&amp;IF(AND(N($J757)=2,N($R757)&gt;0),"MARINE=2 but net terrestrial &gt;0; ","")&amp;IF($K757="Point","Buffered point – coverage approximate; ","")))</f>
        <v/>
      </c>
    </row>
    <row r="758">
      <c r="A758" s="19" t="n"/>
      <c r="B758" s="19" t="n"/>
      <c r="C758" s="19" t="n"/>
      <c r="D758" s="19" t="n"/>
      <c r="E758" s="19" t="n"/>
      <c r="F758" s="19" t="n"/>
      <c r="G758" s="19" t="n"/>
      <c r="H758" s="19" t="n"/>
      <c r="I758" s="19" t="n"/>
      <c r="J758" s="19" t="n"/>
      <c r="K758" s="19" t="n"/>
      <c r="L758" s="20" t="n"/>
      <c r="M758" s="20" t="n"/>
      <c r="N758" s="20" t="n"/>
      <c r="O758" s="20" t="n"/>
      <c r="P758" s="19" t="n"/>
      <c r="Q758" s="19" t="n"/>
      <c r="R758" s="20" t="n"/>
      <c r="S758" s="20" t="n"/>
      <c r="T758" s="19" t="n"/>
      <c r="U758" s="19" t="n"/>
      <c r="V758" s="19" t="n"/>
      <c r="W758" s="19" t="n"/>
      <c r="X758" s="19" t="n"/>
      <c r="Y758" s="19" t="n"/>
      <c r="Z758" s="21">
        <f>IF(AND($A758="",$B758=""),"",IF(OR($E758="",$H758="",$H758="Proposed",$H758="Not Reported"),0,IF(AND($P758="Y",$Q758&lt;&gt;"Y"),0,IF(AND($K758="Point",N($L758)&lt;=0),0,IF(AND(N($L758)&lt;=0,N($N758)&lt;=0,N($R758)+N($S758)&lt;=0),0,1)))))</f>
        <v/>
      </c>
      <c r="AA758" s="21">
        <f>IF(AND($A758="",$B758=""),"",IF($E758="","Site type missing",IF($H758="","STATUS missing",IF($H758="Proposed","STATUS = Proposed",IF($H758="Not Reported","STATUS = Not Reported",IF(AND($P758="Y",$Q758&lt;&gt;"Y"),"UNESCO-MAB Biosphere Reserve",IF(AND($K758="Point",N($L758)&lt;=0),"Point without REP_AREA",IF(AND(N($L758)&lt;=0,N($N758)&lt;=0,N($R758)+N($S758)&lt;=0),"No area information",""))))))))</f>
        <v/>
      </c>
      <c r="AB758" s="22">
        <f>IF(AND($A758="",$B758=""),"",IF($K758="Point",N($L758),IF(N($N758)&gt;0,N($N758),N($L758))))</f>
        <v/>
      </c>
      <c r="AC758" s="22">
        <f>IF(AND($A758="",$B758=""),"",MIN(AB758,IF(N($J758)=0,0,IF(N($J758)=2,AB758,IF(AND($K758&lt;&gt;"Point",N($O758)&gt;0),N($O758),N($M758))))))</f>
        <v/>
      </c>
      <c r="AD758" s="22">
        <f>IF(AND($A758="",$B758=""),"",MAX(0,AB758-AC758))</f>
        <v/>
      </c>
      <c r="AE758" s="21">
        <f>IF(AND($A758="",$B758=""),"",IF(OR($R758&lt;&gt;"",$S758&lt;&gt;""),1,0))</f>
        <v/>
      </c>
      <c r="AF758" s="22">
        <f>IF(AND($A758="",$B758=""),"",IF(Z758=1,IF(AE758=1,N($R758),AD758),0))</f>
        <v/>
      </c>
      <c r="AG758" s="22">
        <f>IF(AND($A758="",$B758=""),"",IF(Z758=1,IF(AE758=1,N($S758),AC758),0))</f>
        <v/>
      </c>
      <c r="AH758" s="21">
        <f>IF(AND($A758="",$B758=""),"",IF(AND(ISNUMBER($I758),N($I758)&gt;0),$I758,0))</f>
        <v/>
      </c>
      <c r="AI758" s="23">
        <f>IF(AND(NOT(AND($A758="",$B758="")),$K758="Point",N($L758)&gt;0),SQRT(N($L758)/PI()),"")</f>
        <v/>
      </c>
      <c r="AJ758" s="21">
        <f>IF(AND($A758="",$B758=""),"",IFERROR(VLOOKUP($G758,Lists!$D$4:$E$15,2,FALSE),"Not reported"))</f>
        <v/>
      </c>
      <c r="AK758" s="21">
        <f>IF(AND($A758="",$B758=""),"",IF($X758&lt;&gt;"",$X758,IF($T758&lt;&gt;"Y","Not assessed",IF(AND(ISNUMBER($V758),Setup!$B$6-$V758&gt;Setup!$B$26),"Assessment outdated",IF(NOT(ISNUMBER($W758)),"Assessed – no score",IF($W758&gt;=Setup!$B$24,"High",IF($W758&gt;=Setup!$B$25,"Moderate","Low")))))))</f>
        <v/>
      </c>
      <c r="AL758" s="21">
        <f>IF(AND($A758="",$B758=""),"",IF(Z758=0,"",IF(AND(AE758=1,N($R758)&gt;AD758*1.01+0.001),"Net terrestrial &gt; gross; ","")&amp;IF(AND(AE758=1,N($S758)&gt;AC758*1.01+0.001),"Net marine &gt; gross; ","")&amp;IF(AE758=0,"No net area – gross used, overlaps may be double-counted; ","")&amp;IF(AH758=0,"STATUS_YR missing – imputed in time series; ","")&amp;IF(AND(ISNUMBER($I758),N($I758)&gt;Setup!$B$6),"STATUS_YR after reporting year; ","")&amp;IF(OR($G758="",$G758="Not Reported"),"GOV_TYPE not reported; ","")&amp;IF(AND(N($J758)=1,$K758="Point",N($M758)&lt;=0),"Coastal point without REP_M_AREA – land/sea split unknown; ","")&amp;IF(AND(N($J758)=0,N($S758)&gt;0),"MARINE=0 but net marine &gt;0; ","")&amp;IF(AND(N($J758)=2,N($R758)&gt;0),"MARINE=2 but net terrestrial &gt;0; ","")&amp;IF($K758="Point","Buffered point – coverage approximate; ","")))</f>
        <v/>
      </c>
    </row>
    <row r="759">
      <c r="A759" s="19" t="n"/>
      <c r="B759" s="19" t="n"/>
      <c r="C759" s="19" t="n"/>
      <c r="D759" s="19" t="n"/>
      <c r="E759" s="19" t="n"/>
      <c r="F759" s="19" t="n"/>
      <c r="G759" s="19" t="n"/>
      <c r="H759" s="19" t="n"/>
      <c r="I759" s="19" t="n"/>
      <c r="J759" s="19" t="n"/>
      <c r="K759" s="19" t="n"/>
      <c r="L759" s="20" t="n"/>
      <c r="M759" s="20" t="n"/>
      <c r="N759" s="20" t="n"/>
      <c r="O759" s="20" t="n"/>
      <c r="P759" s="19" t="n"/>
      <c r="Q759" s="19" t="n"/>
      <c r="R759" s="20" t="n"/>
      <c r="S759" s="20" t="n"/>
      <c r="T759" s="19" t="n"/>
      <c r="U759" s="19" t="n"/>
      <c r="V759" s="19" t="n"/>
      <c r="W759" s="19" t="n"/>
      <c r="X759" s="19" t="n"/>
      <c r="Y759" s="19" t="n"/>
      <c r="Z759" s="21">
        <f>IF(AND($A759="",$B759=""),"",IF(OR($E759="",$H759="",$H759="Proposed",$H759="Not Reported"),0,IF(AND($P759="Y",$Q759&lt;&gt;"Y"),0,IF(AND($K759="Point",N($L759)&lt;=0),0,IF(AND(N($L759)&lt;=0,N($N759)&lt;=0,N($R759)+N($S759)&lt;=0),0,1)))))</f>
        <v/>
      </c>
      <c r="AA759" s="21">
        <f>IF(AND($A759="",$B759=""),"",IF($E759="","Site type missing",IF($H759="","STATUS missing",IF($H759="Proposed","STATUS = Proposed",IF($H759="Not Reported","STATUS = Not Reported",IF(AND($P759="Y",$Q759&lt;&gt;"Y"),"UNESCO-MAB Biosphere Reserve",IF(AND($K759="Point",N($L759)&lt;=0),"Point without REP_AREA",IF(AND(N($L759)&lt;=0,N($N759)&lt;=0,N($R759)+N($S759)&lt;=0),"No area information",""))))))))</f>
        <v/>
      </c>
      <c r="AB759" s="22">
        <f>IF(AND($A759="",$B759=""),"",IF($K759="Point",N($L759),IF(N($N759)&gt;0,N($N759),N($L759))))</f>
        <v/>
      </c>
      <c r="AC759" s="22">
        <f>IF(AND($A759="",$B759=""),"",MIN(AB759,IF(N($J759)=0,0,IF(N($J759)=2,AB759,IF(AND($K759&lt;&gt;"Point",N($O759)&gt;0),N($O759),N($M759))))))</f>
        <v/>
      </c>
      <c r="AD759" s="22">
        <f>IF(AND($A759="",$B759=""),"",MAX(0,AB759-AC759))</f>
        <v/>
      </c>
      <c r="AE759" s="21">
        <f>IF(AND($A759="",$B759=""),"",IF(OR($R759&lt;&gt;"",$S759&lt;&gt;""),1,0))</f>
        <v/>
      </c>
      <c r="AF759" s="22">
        <f>IF(AND($A759="",$B759=""),"",IF(Z759=1,IF(AE759=1,N($R759),AD759),0))</f>
        <v/>
      </c>
      <c r="AG759" s="22">
        <f>IF(AND($A759="",$B759=""),"",IF(Z759=1,IF(AE759=1,N($S759),AC759),0))</f>
        <v/>
      </c>
      <c r="AH759" s="21">
        <f>IF(AND($A759="",$B759=""),"",IF(AND(ISNUMBER($I759),N($I759)&gt;0),$I759,0))</f>
        <v/>
      </c>
      <c r="AI759" s="23">
        <f>IF(AND(NOT(AND($A759="",$B759="")),$K759="Point",N($L759)&gt;0),SQRT(N($L759)/PI()),"")</f>
        <v/>
      </c>
      <c r="AJ759" s="21">
        <f>IF(AND($A759="",$B759=""),"",IFERROR(VLOOKUP($G759,Lists!$D$4:$E$15,2,FALSE),"Not reported"))</f>
        <v/>
      </c>
      <c r="AK759" s="21">
        <f>IF(AND($A759="",$B759=""),"",IF($X759&lt;&gt;"",$X759,IF($T759&lt;&gt;"Y","Not assessed",IF(AND(ISNUMBER($V759),Setup!$B$6-$V759&gt;Setup!$B$26),"Assessment outdated",IF(NOT(ISNUMBER($W759)),"Assessed – no score",IF($W759&gt;=Setup!$B$24,"High",IF($W759&gt;=Setup!$B$25,"Moderate","Low")))))))</f>
        <v/>
      </c>
      <c r="AL759" s="21">
        <f>IF(AND($A759="",$B759=""),"",IF(Z759=0,"",IF(AND(AE759=1,N($R759)&gt;AD759*1.01+0.001),"Net terrestrial &gt; gross; ","")&amp;IF(AND(AE759=1,N($S759)&gt;AC759*1.01+0.001),"Net marine &gt; gross; ","")&amp;IF(AE759=0,"No net area – gross used, overlaps may be double-counted; ","")&amp;IF(AH759=0,"STATUS_YR missing – imputed in time series; ","")&amp;IF(AND(ISNUMBER($I759),N($I759)&gt;Setup!$B$6),"STATUS_YR after reporting year; ","")&amp;IF(OR($G759="",$G759="Not Reported"),"GOV_TYPE not reported; ","")&amp;IF(AND(N($J759)=1,$K759="Point",N($M759)&lt;=0),"Coastal point without REP_M_AREA – land/sea split unknown; ","")&amp;IF(AND(N($J759)=0,N($S759)&gt;0),"MARINE=0 but net marine &gt;0; ","")&amp;IF(AND(N($J759)=2,N($R759)&gt;0),"MARINE=2 but net terrestrial &gt;0; ","")&amp;IF($K759="Point","Buffered point – coverage approximate; ","")))</f>
        <v/>
      </c>
    </row>
    <row r="760">
      <c r="A760" s="19" t="n"/>
      <c r="B760" s="19" t="n"/>
      <c r="C760" s="19" t="n"/>
      <c r="D760" s="19" t="n"/>
      <c r="E760" s="19" t="n"/>
      <c r="F760" s="19" t="n"/>
      <c r="G760" s="19" t="n"/>
      <c r="H760" s="19" t="n"/>
      <c r="I760" s="19" t="n"/>
      <c r="J760" s="19" t="n"/>
      <c r="K760" s="19" t="n"/>
      <c r="L760" s="20" t="n"/>
      <c r="M760" s="20" t="n"/>
      <c r="N760" s="20" t="n"/>
      <c r="O760" s="20" t="n"/>
      <c r="P760" s="19" t="n"/>
      <c r="Q760" s="19" t="n"/>
      <c r="R760" s="20" t="n"/>
      <c r="S760" s="20" t="n"/>
      <c r="T760" s="19" t="n"/>
      <c r="U760" s="19" t="n"/>
      <c r="V760" s="19" t="n"/>
      <c r="W760" s="19" t="n"/>
      <c r="X760" s="19" t="n"/>
      <c r="Y760" s="19" t="n"/>
      <c r="Z760" s="21">
        <f>IF(AND($A760="",$B760=""),"",IF(OR($E760="",$H760="",$H760="Proposed",$H760="Not Reported"),0,IF(AND($P760="Y",$Q760&lt;&gt;"Y"),0,IF(AND($K760="Point",N($L760)&lt;=0),0,IF(AND(N($L760)&lt;=0,N($N760)&lt;=0,N($R760)+N($S760)&lt;=0),0,1)))))</f>
        <v/>
      </c>
      <c r="AA760" s="21">
        <f>IF(AND($A760="",$B760=""),"",IF($E760="","Site type missing",IF($H760="","STATUS missing",IF($H760="Proposed","STATUS = Proposed",IF($H760="Not Reported","STATUS = Not Reported",IF(AND($P760="Y",$Q760&lt;&gt;"Y"),"UNESCO-MAB Biosphere Reserve",IF(AND($K760="Point",N($L760)&lt;=0),"Point without REP_AREA",IF(AND(N($L760)&lt;=0,N($N760)&lt;=0,N($R760)+N($S760)&lt;=0),"No area information",""))))))))</f>
        <v/>
      </c>
      <c r="AB760" s="22">
        <f>IF(AND($A760="",$B760=""),"",IF($K760="Point",N($L760),IF(N($N760)&gt;0,N($N760),N($L760))))</f>
        <v/>
      </c>
      <c r="AC760" s="22">
        <f>IF(AND($A760="",$B760=""),"",MIN(AB760,IF(N($J760)=0,0,IF(N($J760)=2,AB760,IF(AND($K760&lt;&gt;"Point",N($O760)&gt;0),N($O760),N($M760))))))</f>
        <v/>
      </c>
      <c r="AD760" s="22">
        <f>IF(AND($A760="",$B760=""),"",MAX(0,AB760-AC760))</f>
        <v/>
      </c>
      <c r="AE760" s="21">
        <f>IF(AND($A760="",$B760=""),"",IF(OR($R760&lt;&gt;"",$S760&lt;&gt;""),1,0))</f>
        <v/>
      </c>
      <c r="AF760" s="22">
        <f>IF(AND($A760="",$B760=""),"",IF(Z760=1,IF(AE760=1,N($R760),AD760),0))</f>
        <v/>
      </c>
      <c r="AG760" s="22">
        <f>IF(AND($A760="",$B760=""),"",IF(Z760=1,IF(AE760=1,N($S760),AC760),0))</f>
        <v/>
      </c>
      <c r="AH760" s="21">
        <f>IF(AND($A760="",$B760=""),"",IF(AND(ISNUMBER($I760),N($I760)&gt;0),$I760,0))</f>
        <v/>
      </c>
      <c r="AI760" s="23">
        <f>IF(AND(NOT(AND($A760="",$B760="")),$K760="Point",N($L760)&gt;0),SQRT(N($L760)/PI()),"")</f>
        <v/>
      </c>
      <c r="AJ760" s="21">
        <f>IF(AND($A760="",$B760=""),"",IFERROR(VLOOKUP($G760,Lists!$D$4:$E$15,2,FALSE),"Not reported"))</f>
        <v/>
      </c>
      <c r="AK760" s="21">
        <f>IF(AND($A760="",$B760=""),"",IF($X760&lt;&gt;"",$X760,IF($T760&lt;&gt;"Y","Not assessed",IF(AND(ISNUMBER($V760),Setup!$B$6-$V760&gt;Setup!$B$26),"Assessment outdated",IF(NOT(ISNUMBER($W760)),"Assessed – no score",IF($W760&gt;=Setup!$B$24,"High",IF($W760&gt;=Setup!$B$25,"Moderate","Low")))))))</f>
        <v/>
      </c>
      <c r="AL760" s="21">
        <f>IF(AND($A760="",$B760=""),"",IF(Z760=0,"",IF(AND(AE760=1,N($R760)&gt;AD760*1.01+0.001),"Net terrestrial &gt; gross; ","")&amp;IF(AND(AE760=1,N($S760)&gt;AC760*1.01+0.001),"Net marine &gt; gross; ","")&amp;IF(AE760=0,"No net area – gross used, overlaps may be double-counted; ","")&amp;IF(AH760=0,"STATUS_YR missing – imputed in time series; ","")&amp;IF(AND(ISNUMBER($I760),N($I760)&gt;Setup!$B$6),"STATUS_YR after reporting year; ","")&amp;IF(OR($G760="",$G760="Not Reported"),"GOV_TYPE not reported; ","")&amp;IF(AND(N($J760)=1,$K760="Point",N($M760)&lt;=0),"Coastal point without REP_M_AREA – land/sea split unknown; ","")&amp;IF(AND(N($J760)=0,N($S760)&gt;0),"MARINE=0 but net marine &gt;0; ","")&amp;IF(AND(N($J760)=2,N($R760)&gt;0),"MARINE=2 but net terrestrial &gt;0; ","")&amp;IF($K760="Point","Buffered point – coverage approximate; ","")))</f>
        <v/>
      </c>
    </row>
    <row r="761">
      <c r="A761" s="19" t="n"/>
      <c r="B761" s="19" t="n"/>
      <c r="C761" s="19" t="n"/>
      <c r="D761" s="19" t="n"/>
      <c r="E761" s="19" t="n"/>
      <c r="F761" s="19" t="n"/>
      <c r="G761" s="19" t="n"/>
      <c r="H761" s="19" t="n"/>
      <c r="I761" s="19" t="n"/>
      <c r="J761" s="19" t="n"/>
      <c r="K761" s="19" t="n"/>
      <c r="L761" s="20" t="n"/>
      <c r="M761" s="20" t="n"/>
      <c r="N761" s="20" t="n"/>
      <c r="O761" s="20" t="n"/>
      <c r="P761" s="19" t="n"/>
      <c r="Q761" s="19" t="n"/>
      <c r="R761" s="20" t="n"/>
      <c r="S761" s="20" t="n"/>
      <c r="T761" s="19" t="n"/>
      <c r="U761" s="19" t="n"/>
      <c r="V761" s="19" t="n"/>
      <c r="W761" s="19" t="n"/>
      <c r="X761" s="19" t="n"/>
      <c r="Y761" s="19" t="n"/>
      <c r="Z761" s="21">
        <f>IF(AND($A761="",$B761=""),"",IF(OR($E761="",$H761="",$H761="Proposed",$H761="Not Reported"),0,IF(AND($P761="Y",$Q761&lt;&gt;"Y"),0,IF(AND($K761="Point",N($L761)&lt;=0),0,IF(AND(N($L761)&lt;=0,N($N761)&lt;=0,N($R761)+N($S761)&lt;=0),0,1)))))</f>
        <v/>
      </c>
      <c r="AA761" s="21">
        <f>IF(AND($A761="",$B761=""),"",IF($E761="","Site type missing",IF($H761="","STATUS missing",IF($H761="Proposed","STATUS = Proposed",IF($H761="Not Reported","STATUS = Not Reported",IF(AND($P761="Y",$Q761&lt;&gt;"Y"),"UNESCO-MAB Biosphere Reserve",IF(AND($K761="Point",N($L761)&lt;=0),"Point without REP_AREA",IF(AND(N($L761)&lt;=0,N($N761)&lt;=0,N($R761)+N($S761)&lt;=0),"No area information",""))))))))</f>
        <v/>
      </c>
      <c r="AB761" s="22">
        <f>IF(AND($A761="",$B761=""),"",IF($K761="Point",N($L761),IF(N($N761)&gt;0,N($N761),N($L761))))</f>
        <v/>
      </c>
      <c r="AC761" s="22">
        <f>IF(AND($A761="",$B761=""),"",MIN(AB761,IF(N($J761)=0,0,IF(N($J761)=2,AB761,IF(AND($K761&lt;&gt;"Point",N($O761)&gt;0),N($O761),N($M761))))))</f>
        <v/>
      </c>
      <c r="AD761" s="22">
        <f>IF(AND($A761="",$B761=""),"",MAX(0,AB761-AC761))</f>
        <v/>
      </c>
      <c r="AE761" s="21">
        <f>IF(AND($A761="",$B761=""),"",IF(OR($R761&lt;&gt;"",$S761&lt;&gt;""),1,0))</f>
        <v/>
      </c>
      <c r="AF761" s="22">
        <f>IF(AND($A761="",$B761=""),"",IF(Z761=1,IF(AE761=1,N($R761),AD761),0))</f>
        <v/>
      </c>
      <c r="AG761" s="22">
        <f>IF(AND($A761="",$B761=""),"",IF(Z761=1,IF(AE761=1,N($S761),AC761),0))</f>
        <v/>
      </c>
      <c r="AH761" s="21">
        <f>IF(AND($A761="",$B761=""),"",IF(AND(ISNUMBER($I761),N($I761)&gt;0),$I761,0))</f>
        <v/>
      </c>
      <c r="AI761" s="23">
        <f>IF(AND(NOT(AND($A761="",$B761="")),$K761="Point",N($L761)&gt;0),SQRT(N($L761)/PI()),"")</f>
        <v/>
      </c>
      <c r="AJ761" s="21">
        <f>IF(AND($A761="",$B761=""),"",IFERROR(VLOOKUP($G761,Lists!$D$4:$E$15,2,FALSE),"Not reported"))</f>
        <v/>
      </c>
      <c r="AK761" s="21">
        <f>IF(AND($A761="",$B761=""),"",IF($X761&lt;&gt;"",$X761,IF($T761&lt;&gt;"Y","Not assessed",IF(AND(ISNUMBER($V761),Setup!$B$6-$V761&gt;Setup!$B$26),"Assessment outdated",IF(NOT(ISNUMBER($W761)),"Assessed – no score",IF($W761&gt;=Setup!$B$24,"High",IF($W761&gt;=Setup!$B$25,"Moderate","Low")))))))</f>
        <v/>
      </c>
      <c r="AL761" s="21">
        <f>IF(AND($A761="",$B761=""),"",IF(Z761=0,"",IF(AND(AE761=1,N($R761)&gt;AD761*1.01+0.001),"Net terrestrial &gt; gross; ","")&amp;IF(AND(AE761=1,N($S761)&gt;AC761*1.01+0.001),"Net marine &gt; gross; ","")&amp;IF(AE761=0,"No net area – gross used, overlaps may be double-counted; ","")&amp;IF(AH761=0,"STATUS_YR missing – imputed in time series; ","")&amp;IF(AND(ISNUMBER($I761),N($I761)&gt;Setup!$B$6),"STATUS_YR after reporting year; ","")&amp;IF(OR($G761="",$G761="Not Reported"),"GOV_TYPE not reported; ","")&amp;IF(AND(N($J761)=1,$K761="Point",N($M761)&lt;=0),"Coastal point without REP_M_AREA – land/sea split unknown; ","")&amp;IF(AND(N($J761)=0,N($S761)&gt;0),"MARINE=0 but net marine &gt;0; ","")&amp;IF(AND(N($J761)=2,N($R761)&gt;0),"MARINE=2 but net terrestrial &gt;0; ","")&amp;IF($K761="Point","Buffered point – coverage approximate; ","")))</f>
        <v/>
      </c>
    </row>
    <row r="762">
      <c r="A762" s="19" t="n"/>
      <c r="B762" s="19" t="n"/>
      <c r="C762" s="19" t="n"/>
      <c r="D762" s="19" t="n"/>
      <c r="E762" s="19" t="n"/>
      <c r="F762" s="19" t="n"/>
      <c r="G762" s="19" t="n"/>
      <c r="H762" s="19" t="n"/>
      <c r="I762" s="19" t="n"/>
      <c r="J762" s="19" t="n"/>
      <c r="K762" s="19" t="n"/>
      <c r="L762" s="20" t="n"/>
      <c r="M762" s="20" t="n"/>
      <c r="N762" s="20" t="n"/>
      <c r="O762" s="20" t="n"/>
      <c r="P762" s="19" t="n"/>
      <c r="Q762" s="19" t="n"/>
      <c r="R762" s="20" t="n"/>
      <c r="S762" s="20" t="n"/>
      <c r="T762" s="19" t="n"/>
      <c r="U762" s="19" t="n"/>
      <c r="V762" s="19" t="n"/>
      <c r="W762" s="19" t="n"/>
      <c r="X762" s="19" t="n"/>
      <c r="Y762" s="19" t="n"/>
      <c r="Z762" s="21">
        <f>IF(AND($A762="",$B762=""),"",IF(OR($E762="",$H762="",$H762="Proposed",$H762="Not Reported"),0,IF(AND($P762="Y",$Q762&lt;&gt;"Y"),0,IF(AND($K762="Point",N($L762)&lt;=0),0,IF(AND(N($L762)&lt;=0,N($N762)&lt;=0,N($R762)+N($S762)&lt;=0),0,1)))))</f>
        <v/>
      </c>
      <c r="AA762" s="21">
        <f>IF(AND($A762="",$B762=""),"",IF($E762="","Site type missing",IF($H762="","STATUS missing",IF($H762="Proposed","STATUS = Proposed",IF($H762="Not Reported","STATUS = Not Reported",IF(AND($P762="Y",$Q762&lt;&gt;"Y"),"UNESCO-MAB Biosphere Reserve",IF(AND($K762="Point",N($L762)&lt;=0),"Point without REP_AREA",IF(AND(N($L762)&lt;=0,N($N762)&lt;=0,N($R762)+N($S762)&lt;=0),"No area information",""))))))))</f>
        <v/>
      </c>
      <c r="AB762" s="22">
        <f>IF(AND($A762="",$B762=""),"",IF($K762="Point",N($L762),IF(N($N762)&gt;0,N($N762),N($L762))))</f>
        <v/>
      </c>
      <c r="AC762" s="22">
        <f>IF(AND($A762="",$B762=""),"",MIN(AB762,IF(N($J762)=0,0,IF(N($J762)=2,AB762,IF(AND($K762&lt;&gt;"Point",N($O762)&gt;0),N($O762),N($M762))))))</f>
        <v/>
      </c>
      <c r="AD762" s="22">
        <f>IF(AND($A762="",$B762=""),"",MAX(0,AB762-AC762))</f>
        <v/>
      </c>
      <c r="AE762" s="21">
        <f>IF(AND($A762="",$B762=""),"",IF(OR($R762&lt;&gt;"",$S762&lt;&gt;""),1,0))</f>
        <v/>
      </c>
      <c r="AF762" s="22">
        <f>IF(AND($A762="",$B762=""),"",IF(Z762=1,IF(AE762=1,N($R762),AD762),0))</f>
        <v/>
      </c>
      <c r="AG762" s="22">
        <f>IF(AND($A762="",$B762=""),"",IF(Z762=1,IF(AE762=1,N($S762),AC762),0))</f>
        <v/>
      </c>
      <c r="AH762" s="21">
        <f>IF(AND($A762="",$B762=""),"",IF(AND(ISNUMBER($I762),N($I762)&gt;0),$I762,0))</f>
        <v/>
      </c>
      <c r="AI762" s="23">
        <f>IF(AND(NOT(AND($A762="",$B762="")),$K762="Point",N($L762)&gt;0),SQRT(N($L762)/PI()),"")</f>
        <v/>
      </c>
      <c r="AJ762" s="21">
        <f>IF(AND($A762="",$B762=""),"",IFERROR(VLOOKUP($G762,Lists!$D$4:$E$15,2,FALSE),"Not reported"))</f>
        <v/>
      </c>
      <c r="AK762" s="21">
        <f>IF(AND($A762="",$B762=""),"",IF($X762&lt;&gt;"",$X762,IF($T762&lt;&gt;"Y","Not assessed",IF(AND(ISNUMBER($V762),Setup!$B$6-$V762&gt;Setup!$B$26),"Assessment outdated",IF(NOT(ISNUMBER($W762)),"Assessed – no score",IF($W762&gt;=Setup!$B$24,"High",IF($W762&gt;=Setup!$B$25,"Moderate","Low")))))))</f>
        <v/>
      </c>
      <c r="AL762" s="21">
        <f>IF(AND($A762="",$B762=""),"",IF(Z762=0,"",IF(AND(AE762=1,N($R762)&gt;AD762*1.01+0.001),"Net terrestrial &gt; gross; ","")&amp;IF(AND(AE762=1,N($S762)&gt;AC762*1.01+0.001),"Net marine &gt; gross; ","")&amp;IF(AE762=0,"No net area – gross used, overlaps may be double-counted; ","")&amp;IF(AH762=0,"STATUS_YR missing – imputed in time series; ","")&amp;IF(AND(ISNUMBER($I762),N($I762)&gt;Setup!$B$6),"STATUS_YR after reporting year; ","")&amp;IF(OR($G762="",$G762="Not Reported"),"GOV_TYPE not reported; ","")&amp;IF(AND(N($J762)=1,$K762="Point",N($M762)&lt;=0),"Coastal point without REP_M_AREA – land/sea split unknown; ","")&amp;IF(AND(N($J762)=0,N($S762)&gt;0),"MARINE=0 but net marine &gt;0; ","")&amp;IF(AND(N($J762)=2,N($R762)&gt;0),"MARINE=2 but net terrestrial &gt;0; ","")&amp;IF($K762="Point","Buffered point – coverage approximate; ","")))</f>
        <v/>
      </c>
    </row>
    <row r="763">
      <c r="A763" s="19" t="n"/>
      <c r="B763" s="19" t="n"/>
      <c r="C763" s="19" t="n"/>
      <c r="D763" s="19" t="n"/>
      <c r="E763" s="19" t="n"/>
      <c r="F763" s="19" t="n"/>
      <c r="G763" s="19" t="n"/>
      <c r="H763" s="19" t="n"/>
      <c r="I763" s="19" t="n"/>
      <c r="J763" s="19" t="n"/>
      <c r="K763" s="19" t="n"/>
      <c r="L763" s="20" t="n"/>
      <c r="M763" s="20" t="n"/>
      <c r="N763" s="20" t="n"/>
      <c r="O763" s="20" t="n"/>
      <c r="P763" s="19" t="n"/>
      <c r="Q763" s="19" t="n"/>
      <c r="R763" s="20" t="n"/>
      <c r="S763" s="20" t="n"/>
      <c r="T763" s="19" t="n"/>
      <c r="U763" s="19" t="n"/>
      <c r="V763" s="19" t="n"/>
      <c r="W763" s="19" t="n"/>
      <c r="X763" s="19" t="n"/>
      <c r="Y763" s="19" t="n"/>
      <c r="Z763" s="21">
        <f>IF(AND($A763="",$B763=""),"",IF(OR($E763="",$H763="",$H763="Proposed",$H763="Not Reported"),0,IF(AND($P763="Y",$Q763&lt;&gt;"Y"),0,IF(AND($K763="Point",N($L763)&lt;=0),0,IF(AND(N($L763)&lt;=0,N($N763)&lt;=0,N($R763)+N($S763)&lt;=0),0,1)))))</f>
        <v/>
      </c>
      <c r="AA763" s="21">
        <f>IF(AND($A763="",$B763=""),"",IF($E763="","Site type missing",IF($H763="","STATUS missing",IF($H763="Proposed","STATUS = Proposed",IF($H763="Not Reported","STATUS = Not Reported",IF(AND($P763="Y",$Q763&lt;&gt;"Y"),"UNESCO-MAB Biosphere Reserve",IF(AND($K763="Point",N($L763)&lt;=0),"Point without REP_AREA",IF(AND(N($L763)&lt;=0,N($N763)&lt;=0,N($R763)+N($S763)&lt;=0),"No area information",""))))))))</f>
        <v/>
      </c>
      <c r="AB763" s="22">
        <f>IF(AND($A763="",$B763=""),"",IF($K763="Point",N($L763),IF(N($N763)&gt;0,N($N763),N($L763))))</f>
        <v/>
      </c>
      <c r="AC763" s="22">
        <f>IF(AND($A763="",$B763=""),"",MIN(AB763,IF(N($J763)=0,0,IF(N($J763)=2,AB763,IF(AND($K763&lt;&gt;"Point",N($O763)&gt;0),N($O763),N($M763))))))</f>
        <v/>
      </c>
      <c r="AD763" s="22">
        <f>IF(AND($A763="",$B763=""),"",MAX(0,AB763-AC763))</f>
        <v/>
      </c>
      <c r="AE763" s="21">
        <f>IF(AND($A763="",$B763=""),"",IF(OR($R763&lt;&gt;"",$S763&lt;&gt;""),1,0))</f>
        <v/>
      </c>
      <c r="AF763" s="22">
        <f>IF(AND($A763="",$B763=""),"",IF(Z763=1,IF(AE763=1,N($R763),AD763),0))</f>
        <v/>
      </c>
      <c r="AG763" s="22">
        <f>IF(AND($A763="",$B763=""),"",IF(Z763=1,IF(AE763=1,N($S763),AC763),0))</f>
        <v/>
      </c>
      <c r="AH763" s="21">
        <f>IF(AND($A763="",$B763=""),"",IF(AND(ISNUMBER($I763),N($I763)&gt;0),$I763,0))</f>
        <v/>
      </c>
      <c r="AI763" s="23">
        <f>IF(AND(NOT(AND($A763="",$B763="")),$K763="Point",N($L763)&gt;0),SQRT(N($L763)/PI()),"")</f>
        <v/>
      </c>
      <c r="AJ763" s="21">
        <f>IF(AND($A763="",$B763=""),"",IFERROR(VLOOKUP($G763,Lists!$D$4:$E$15,2,FALSE),"Not reported"))</f>
        <v/>
      </c>
      <c r="AK763" s="21">
        <f>IF(AND($A763="",$B763=""),"",IF($X763&lt;&gt;"",$X763,IF($T763&lt;&gt;"Y","Not assessed",IF(AND(ISNUMBER($V763),Setup!$B$6-$V763&gt;Setup!$B$26),"Assessment outdated",IF(NOT(ISNUMBER($W763)),"Assessed – no score",IF($W763&gt;=Setup!$B$24,"High",IF($W763&gt;=Setup!$B$25,"Moderate","Low")))))))</f>
        <v/>
      </c>
      <c r="AL763" s="21">
        <f>IF(AND($A763="",$B763=""),"",IF(Z763=0,"",IF(AND(AE763=1,N($R763)&gt;AD763*1.01+0.001),"Net terrestrial &gt; gross; ","")&amp;IF(AND(AE763=1,N($S763)&gt;AC763*1.01+0.001),"Net marine &gt; gross; ","")&amp;IF(AE763=0,"No net area – gross used, overlaps may be double-counted; ","")&amp;IF(AH763=0,"STATUS_YR missing – imputed in time series; ","")&amp;IF(AND(ISNUMBER($I763),N($I763)&gt;Setup!$B$6),"STATUS_YR after reporting year; ","")&amp;IF(OR($G763="",$G763="Not Reported"),"GOV_TYPE not reported; ","")&amp;IF(AND(N($J763)=1,$K763="Point",N($M763)&lt;=0),"Coastal point without REP_M_AREA – land/sea split unknown; ","")&amp;IF(AND(N($J763)=0,N($S763)&gt;0),"MARINE=0 but net marine &gt;0; ","")&amp;IF(AND(N($J763)=2,N($R763)&gt;0),"MARINE=2 but net terrestrial &gt;0; ","")&amp;IF($K763="Point","Buffered point – coverage approximate; ","")))</f>
        <v/>
      </c>
    </row>
    <row r="764">
      <c r="A764" s="19" t="n"/>
      <c r="B764" s="19" t="n"/>
      <c r="C764" s="19" t="n"/>
      <c r="D764" s="19" t="n"/>
      <c r="E764" s="19" t="n"/>
      <c r="F764" s="19" t="n"/>
      <c r="G764" s="19" t="n"/>
      <c r="H764" s="19" t="n"/>
      <c r="I764" s="19" t="n"/>
      <c r="J764" s="19" t="n"/>
      <c r="K764" s="19" t="n"/>
      <c r="L764" s="20" t="n"/>
      <c r="M764" s="20" t="n"/>
      <c r="N764" s="20" t="n"/>
      <c r="O764" s="20" t="n"/>
      <c r="P764" s="19" t="n"/>
      <c r="Q764" s="19" t="n"/>
      <c r="R764" s="20" t="n"/>
      <c r="S764" s="20" t="n"/>
      <c r="T764" s="19" t="n"/>
      <c r="U764" s="19" t="n"/>
      <c r="V764" s="19" t="n"/>
      <c r="W764" s="19" t="n"/>
      <c r="X764" s="19" t="n"/>
      <c r="Y764" s="19" t="n"/>
      <c r="Z764" s="21">
        <f>IF(AND($A764="",$B764=""),"",IF(OR($E764="",$H764="",$H764="Proposed",$H764="Not Reported"),0,IF(AND($P764="Y",$Q764&lt;&gt;"Y"),0,IF(AND($K764="Point",N($L764)&lt;=0),0,IF(AND(N($L764)&lt;=0,N($N764)&lt;=0,N($R764)+N($S764)&lt;=0),0,1)))))</f>
        <v/>
      </c>
      <c r="AA764" s="21">
        <f>IF(AND($A764="",$B764=""),"",IF($E764="","Site type missing",IF($H764="","STATUS missing",IF($H764="Proposed","STATUS = Proposed",IF($H764="Not Reported","STATUS = Not Reported",IF(AND($P764="Y",$Q764&lt;&gt;"Y"),"UNESCO-MAB Biosphere Reserve",IF(AND($K764="Point",N($L764)&lt;=0),"Point without REP_AREA",IF(AND(N($L764)&lt;=0,N($N764)&lt;=0,N($R764)+N($S764)&lt;=0),"No area information",""))))))))</f>
        <v/>
      </c>
      <c r="AB764" s="22">
        <f>IF(AND($A764="",$B764=""),"",IF($K764="Point",N($L764),IF(N($N764)&gt;0,N($N764),N($L764))))</f>
        <v/>
      </c>
      <c r="AC764" s="22">
        <f>IF(AND($A764="",$B764=""),"",MIN(AB764,IF(N($J764)=0,0,IF(N($J764)=2,AB764,IF(AND($K764&lt;&gt;"Point",N($O764)&gt;0),N($O764),N($M764))))))</f>
        <v/>
      </c>
      <c r="AD764" s="22">
        <f>IF(AND($A764="",$B764=""),"",MAX(0,AB764-AC764))</f>
        <v/>
      </c>
      <c r="AE764" s="21">
        <f>IF(AND($A764="",$B764=""),"",IF(OR($R764&lt;&gt;"",$S764&lt;&gt;""),1,0))</f>
        <v/>
      </c>
      <c r="AF764" s="22">
        <f>IF(AND($A764="",$B764=""),"",IF(Z764=1,IF(AE764=1,N($R764),AD764),0))</f>
        <v/>
      </c>
      <c r="AG764" s="22">
        <f>IF(AND($A764="",$B764=""),"",IF(Z764=1,IF(AE764=1,N($S764),AC764),0))</f>
        <v/>
      </c>
      <c r="AH764" s="21">
        <f>IF(AND($A764="",$B764=""),"",IF(AND(ISNUMBER($I764),N($I764)&gt;0),$I764,0))</f>
        <v/>
      </c>
      <c r="AI764" s="23">
        <f>IF(AND(NOT(AND($A764="",$B764="")),$K764="Point",N($L764)&gt;0),SQRT(N($L764)/PI()),"")</f>
        <v/>
      </c>
      <c r="AJ764" s="21">
        <f>IF(AND($A764="",$B764=""),"",IFERROR(VLOOKUP($G764,Lists!$D$4:$E$15,2,FALSE),"Not reported"))</f>
        <v/>
      </c>
      <c r="AK764" s="21">
        <f>IF(AND($A764="",$B764=""),"",IF($X764&lt;&gt;"",$X764,IF($T764&lt;&gt;"Y","Not assessed",IF(AND(ISNUMBER($V764),Setup!$B$6-$V764&gt;Setup!$B$26),"Assessment outdated",IF(NOT(ISNUMBER($W764)),"Assessed – no score",IF($W764&gt;=Setup!$B$24,"High",IF($W764&gt;=Setup!$B$25,"Moderate","Low")))))))</f>
        <v/>
      </c>
      <c r="AL764" s="21">
        <f>IF(AND($A764="",$B764=""),"",IF(Z764=0,"",IF(AND(AE764=1,N($R764)&gt;AD764*1.01+0.001),"Net terrestrial &gt; gross; ","")&amp;IF(AND(AE764=1,N($S764)&gt;AC764*1.01+0.001),"Net marine &gt; gross; ","")&amp;IF(AE764=0,"No net area – gross used, overlaps may be double-counted; ","")&amp;IF(AH764=0,"STATUS_YR missing – imputed in time series; ","")&amp;IF(AND(ISNUMBER($I764),N($I764)&gt;Setup!$B$6),"STATUS_YR after reporting year; ","")&amp;IF(OR($G764="",$G764="Not Reported"),"GOV_TYPE not reported; ","")&amp;IF(AND(N($J764)=1,$K764="Point",N($M764)&lt;=0),"Coastal point without REP_M_AREA – land/sea split unknown; ","")&amp;IF(AND(N($J764)=0,N($S764)&gt;0),"MARINE=0 but net marine &gt;0; ","")&amp;IF(AND(N($J764)=2,N($R764)&gt;0),"MARINE=2 but net terrestrial &gt;0; ","")&amp;IF($K764="Point","Buffered point – coverage approximate; ","")))</f>
        <v/>
      </c>
    </row>
    <row r="765">
      <c r="A765" s="19" t="n"/>
      <c r="B765" s="19" t="n"/>
      <c r="C765" s="19" t="n"/>
      <c r="D765" s="19" t="n"/>
      <c r="E765" s="19" t="n"/>
      <c r="F765" s="19" t="n"/>
      <c r="G765" s="19" t="n"/>
      <c r="H765" s="19" t="n"/>
      <c r="I765" s="19" t="n"/>
      <c r="J765" s="19" t="n"/>
      <c r="K765" s="19" t="n"/>
      <c r="L765" s="20" t="n"/>
      <c r="M765" s="20" t="n"/>
      <c r="N765" s="20" t="n"/>
      <c r="O765" s="20" t="n"/>
      <c r="P765" s="19" t="n"/>
      <c r="Q765" s="19" t="n"/>
      <c r="R765" s="20" t="n"/>
      <c r="S765" s="20" t="n"/>
      <c r="T765" s="19" t="n"/>
      <c r="U765" s="19" t="n"/>
      <c r="V765" s="19" t="n"/>
      <c r="W765" s="19" t="n"/>
      <c r="X765" s="19" t="n"/>
      <c r="Y765" s="19" t="n"/>
      <c r="Z765" s="21">
        <f>IF(AND($A765="",$B765=""),"",IF(OR($E765="",$H765="",$H765="Proposed",$H765="Not Reported"),0,IF(AND($P765="Y",$Q765&lt;&gt;"Y"),0,IF(AND($K765="Point",N($L765)&lt;=0),0,IF(AND(N($L765)&lt;=0,N($N765)&lt;=0,N($R765)+N($S765)&lt;=0),0,1)))))</f>
        <v/>
      </c>
      <c r="AA765" s="21">
        <f>IF(AND($A765="",$B765=""),"",IF($E765="","Site type missing",IF($H765="","STATUS missing",IF($H765="Proposed","STATUS = Proposed",IF($H765="Not Reported","STATUS = Not Reported",IF(AND($P765="Y",$Q765&lt;&gt;"Y"),"UNESCO-MAB Biosphere Reserve",IF(AND($K765="Point",N($L765)&lt;=0),"Point without REP_AREA",IF(AND(N($L765)&lt;=0,N($N765)&lt;=0,N($R765)+N($S765)&lt;=0),"No area information",""))))))))</f>
        <v/>
      </c>
      <c r="AB765" s="22">
        <f>IF(AND($A765="",$B765=""),"",IF($K765="Point",N($L765),IF(N($N765)&gt;0,N($N765),N($L765))))</f>
        <v/>
      </c>
      <c r="AC765" s="22">
        <f>IF(AND($A765="",$B765=""),"",MIN(AB765,IF(N($J765)=0,0,IF(N($J765)=2,AB765,IF(AND($K765&lt;&gt;"Point",N($O765)&gt;0),N($O765),N($M765))))))</f>
        <v/>
      </c>
      <c r="AD765" s="22">
        <f>IF(AND($A765="",$B765=""),"",MAX(0,AB765-AC765))</f>
        <v/>
      </c>
      <c r="AE765" s="21">
        <f>IF(AND($A765="",$B765=""),"",IF(OR($R765&lt;&gt;"",$S765&lt;&gt;""),1,0))</f>
        <v/>
      </c>
      <c r="AF765" s="22">
        <f>IF(AND($A765="",$B765=""),"",IF(Z765=1,IF(AE765=1,N($R765),AD765),0))</f>
        <v/>
      </c>
      <c r="AG765" s="22">
        <f>IF(AND($A765="",$B765=""),"",IF(Z765=1,IF(AE765=1,N($S765),AC765),0))</f>
        <v/>
      </c>
      <c r="AH765" s="21">
        <f>IF(AND($A765="",$B765=""),"",IF(AND(ISNUMBER($I765),N($I765)&gt;0),$I765,0))</f>
        <v/>
      </c>
      <c r="AI765" s="23">
        <f>IF(AND(NOT(AND($A765="",$B765="")),$K765="Point",N($L765)&gt;0),SQRT(N($L765)/PI()),"")</f>
        <v/>
      </c>
      <c r="AJ765" s="21">
        <f>IF(AND($A765="",$B765=""),"",IFERROR(VLOOKUP($G765,Lists!$D$4:$E$15,2,FALSE),"Not reported"))</f>
        <v/>
      </c>
      <c r="AK765" s="21">
        <f>IF(AND($A765="",$B765=""),"",IF($X765&lt;&gt;"",$X765,IF($T765&lt;&gt;"Y","Not assessed",IF(AND(ISNUMBER($V765),Setup!$B$6-$V765&gt;Setup!$B$26),"Assessment outdated",IF(NOT(ISNUMBER($W765)),"Assessed – no score",IF($W765&gt;=Setup!$B$24,"High",IF($W765&gt;=Setup!$B$25,"Moderate","Low")))))))</f>
        <v/>
      </c>
      <c r="AL765" s="21">
        <f>IF(AND($A765="",$B765=""),"",IF(Z765=0,"",IF(AND(AE765=1,N($R765)&gt;AD765*1.01+0.001),"Net terrestrial &gt; gross; ","")&amp;IF(AND(AE765=1,N($S765)&gt;AC765*1.01+0.001),"Net marine &gt; gross; ","")&amp;IF(AE765=0,"No net area – gross used, overlaps may be double-counted; ","")&amp;IF(AH765=0,"STATUS_YR missing – imputed in time series; ","")&amp;IF(AND(ISNUMBER($I765),N($I765)&gt;Setup!$B$6),"STATUS_YR after reporting year; ","")&amp;IF(OR($G765="",$G765="Not Reported"),"GOV_TYPE not reported; ","")&amp;IF(AND(N($J765)=1,$K765="Point",N($M765)&lt;=0),"Coastal point without REP_M_AREA – land/sea split unknown; ","")&amp;IF(AND(N($J765)=0,N($S765)&gt;0),"MARINE=0 but net marine &gt;0; ","")&amp;IF(AND(N($J765)=2,N($R765)&gt;0),"MARINE=2 but net terrestrial &gt;0; ","")&amp;IF($K765="Point","Buffered point – coverage approximate; ","")))</f>
        <v/>
      </c>
    </row>
    <row r="766">
      <c r="A766" s="19" t="n"/>
      <c r="B766" s="19" t="n"/>
      <c r="C766" s="19" t="n"/>
      <c r="D766" s="19" t="n"/>
      <c r="E766" s="19" t="n"/>
      <c r="F766" s="19" t="n"/>
      <c r="G766" s="19" t="n"/>
      <c r="H766" s="19" t="n"/>
      <c r="I766" s="19" t="n"/>
      <c r="J766" s="19" t="n"/>
      <c r="K766" s="19" t="n"/>
      <c r="L766" s="20" t="n"/>
      <c r="M766" s="20" t="n"/>
      <c r="N766" s="20" t="n"/>
      <c r="O766" s="20" t="n"/>
      <c r="P766" s="19" t="n"/>
      <c r="Q766" s="19" t="n"/>
      <c r="R766" s="20" t="n"/>
      <c r="S766" s="20" t="n"/>
      <c r="T766" s="19" t="n"/>
      <c r="U766" s="19" t="n"/>
      <c r="V766" s="19" t="n"/>
      <c r="W766" s="19" t="n"/>
      <c r="X766" s="19" t="n"/>
      <c r="Y766" s="19" t="n"/>
      <c r="Z766" s="21">
        <f>IF(AND($A766="",$B766=""),"",IF(OR($E766="",$H766="",$H766="Proposed",$H766="Not Reported"),0,IF(AND($P766="Y",$Q766&lt;&gt;"Y"),0,IF(AND($K766="Point",N($L766)&lt;=0),0,IF(AND(N($L766)&lt;=0,N($N766)&lt;=0,N($R766)+N($S766)&lt;=0),0,1)))))</f>
        <v/>
      </c>
      <c r="AA766" s="21">
        <f>IF(AND($A766="",$B766=""),"",IF($E766="","Site type missing",IF($H766="","STATUS missing",IF($H766="Proposed","STATUS = Proposed",IF($H766="Not Reported","STATUS = Not Reported",IF(AND($P766="Y",$Q766&lt;&gt;"Y"),"UNESCO-MAB Biosphere Reserve",IF(AND($K766="Point",N($L766)&lt;=0),"Point without REP_AREA",IF(AND(N($L766)&lt;=0,N($N766)&lt;=0,N($R766)+N($S766)&lt;=0),"No area information",""))))))))</f>
        <v/>
      </c>
      <c r="AB766" s="22">
        <f>IF(AND($A766="",$B766=""),"",IF($K766="Point",N($L766),IF(N($N766)&gt;0,N($N766),N($L766))))</f>
        <v/>
      </c>
      <c r="AC766" s="22">
        <f>IF(AND($A766="",$B766=""),"",MIN(AB766,IF(N($J766)=0,0,IF(N($J766)=2,AB766,IF(AND($K766&lt;&gt;"Point",N($O766)&gt;0),N($O766),N($M766))))))</f>
        <v/>
      </c>
      <c r="AD766" s="22">
        <f>IF(AND($A766="",$B766=""),"",MAX(0,AB766-AC766))</f>
        <v/>
      </c>
      <c r="AE766" s="21">
        <f>IF(AND($A766="",$B766=""),"",IF(OR($R766&lt;&gt;"",$S766&lt;&gt;""),1,0))</f>
        <v/>
      </c>
      <c r="AF766" s="22">
        <f>IF(AND($A766="",$B766=""),"",IF(Z766=1,IF(AE766=1,N($R766),AD766),0))</f>
        <v/>
      </c>
      <c r="AG766" s="22">
        <f>IF(AND($A766="",$B766=""),"",IF(Z766=1,IF(AE766=1,N($S766),AC766),0))</f>
        <v/>
      </c>
      <c r="AH766" s="21">
        <f>IF(AND($A766="",$B766=""),"",IF(AND(ISNUMBER($I766),N($I766)&gt;0),$I766,0))</f>
        <v/>
      </c>
      <c r="AI766" s="23">
        <f>IF(AND(NOT(AND($A766="",$B766="")),$K766="Point",N($L766)&gt;0),SQRT(N($L766)/PI()),"")</f>
        <v/>
      </c>
      <c r="AJ766" s="21">
        <f>IF(AND($A766="",$B766=""),"",IFERROR(VLOOKUP($G766,Lists!$D$4:$E$15,2,FALSE),"Not reported"))</f>
        <v/>
      </c>
      <c r="AK766" s="21">
        <f>IF(AND($A766="",$B766=""),"",IF($X766&lt;&gt;"",$X766,IF($T766&lt;&gt;"Y","Not assessed",IF(AND(ISNUMBER($V766),Setup!$B$6-$V766&gt;Setup!$B$26),"Assessment outdated",IF(NOT(ISNUMBER($W766)),"Assessed – no score",IF($W766&gt;=Setup!$B$24,"High",IF($W766&gt;=Setup!$B$25,"Moderate","Low")))))))</f>
        <v/>
      </c>
      <c r="AL766" s="21">
        <f>IF(AND($A766="",$B766=""),"",IF(Z766=0,"",IF(AND(AE766=1,N($R766)&gt;AD766*1.01+0.001),"Net terrestrial &gt; gross; ","")&amp;IF(AND(AE766=1,N($S766)&gt;AC766*1.01+0.001),"Net marine &gt; gross; ","")&amp;IF(AE766=0,"No net area – gross used, overlaps may be double-counted; ","")&amp;IF(AH766=0,"STATUS_YR missing – imputed in time series; ","")&amp;IF(AND(ISNUMBER($I766),N($I766)&gt;Setup!$B$6),"STATUS_YR after reporting year; ","")&amp;IF(OR($G766="",$G766="Not Reported"),"GOV_TYPE not reported; ","")&amp;IF(AND(N($J766)=1,$K766="Point",N($M766)&lt;=0),"Coastal point without REP_M_AREA – land/sea split unknown; ","")&amp;IF(AND(N($J766)=0,N($S766)&gt;0),"MARINE=0 but net marine &gt;0; ","")&amp;IF(AND(N($J766)=2,N($R766)&gt;0),"MARINE=2 but net terrestrial &gt;0; ","")&amp;IF($K766="Point","Buffered point – coverage approximate; ","")))</f>
        <v/>
      </c>
    </row>
    <row r="767">
      <c r="A767" s="19" t="n"/>
      <c r="B767" s="19" t="n"/>
      <c r="C767" s="19" t="n"/>
      <c r="D767" s="19" t="n"/>
      <c r="E767" s="19" t="n"/>
      <c r="F767" s="19" t="n"/>
      <c r="G767" s="19" t="n"/>
      <c r="H767" s="19" t="n"/>
      <c r="I767" s="19" t="n"/>
      <c r="J767" s="19" t="n"/>
      <c r="K767" s="19" t="n"/>
      <c r="L767" s="20" t="n"/>
      <c r="M767" s="20" t="n"/>
      <c r="N767" s="20" t="n"/>
      <c r="O767" s="20" t="n"/>
      <c r="P767" s="19" t="n"/>
      <c r="Q767" s="19" t="n"/>
      <c r="R767" s="20" t="n"/>
      <c r="S767" s="20" t="n"/>
      <c r="T767" s="19" t="n"/>
      <c r="U767" s="19" t="n"/>
      <c r="V767" s="19" t="n"/>
      <c r="W767" s="19" t="n"/>
      <c r="X767" s="19" t="n"/>
      <c r="Y767" s="19" t="n"/>
      <c r="Z767" s="21">
        <f>IF(AND($A767="",$B767=""),"",IF(OR($E767="",$H767="",$H767="Proposed",$H767="Not Reported"),0,IF(AND($P767="Y",$Q767&lt;&gt;"Y"),0,IF(AND($K767="Point",N($L767)&lt;=0),0,IF(AND(N($L767)&lt;=0,N($N767)&lt;=0,N($R767)+N($S767)&lt;=0),0,1)))))</f>
        <v/>
      </c>
      <c r="AA767" s="21">
        <f>IF(AND($A767="",$B767=""),"",IF($E767="","Site type missing",IF($H767="","STATUS missing",IF($H767="Proposed","STATUS = Proposed",IF($H767="Not Reported","STATUS = Not Reported",IF(AND($P767="Y",$Q767&lt;&gt;"Y"),"UNESCO-MAB Biosphere Reserve",IF(AND($K767="Point",N($L767)&lt;=0),"Point without REP_AREA",IF(AND(N($L767)&lt;=0,N($N767)&lt;=0,N($R767)+N($S767)&lt;=0),"No area information",""))))))))</f>
        <v/>
      </c>
      <c r="AB767" s="22">
        <f>IF(AND($A767="",$B767=""),"",IF($K767="Point",N($L767),IF(N($N767)&gt;0,N($N767),N($L767))))</f>
        <v/>
      </c>
      <c r="AC767" s="22">
        <f>IF(AND($A767="",$B767=""),"",MIN(AB767,IF(N($J767)=0,0,IF(N($J767)=2,AB767,IF(AND($K767&lt;&gt;"Point",N($O767)&gt;0),N($O767),N($M767))))))</f>
        <v/>
      </c>
      <c r="AD767" s="22">
        <f>IF(AND($A767="",$B767=""),"",MAX(0,AB767-AC767))</f>
        <v/>
      </c>
      <c r="AE767" s="21">
        <f>IF(AND($A767="",$B767=""),"",IF(OR($R767&lt;&gt;"",$S767&lt;&gt;""),1,0))</f>
        <v/>
      </c>
      <c r="AF767" s="22">
        <f>IF(AND($A767="",$B767=""),"",IF(Z767=1,IF(AE767=1,N($R767),AD767),0))</f>
        <v/>
      </c>
      <c r="AG767" s="22">
        <f>IF(AND($A767="",$B767=""),"",IF(Z767=1,IF(AE767=1,N($S767),AC767),0))</f>
        <v/>
      </c>
      <c r="AH767" s="21">
        <f>IF(AND($A767="",$B767=""),"",IF(AND(ISNUMBER($I767),N($I767)&gt;0),$I767,0))</f>
        <v/>
      </c>
      <c r="AI767" s="23">
        <f>IF(AND(NOT(AND($A767="",$B767="")),$K767="Point",N($L767)&gt;0),SQRT(N($L767)/PI()),"")</f>
        <v/>
      </c>
      <c r="AJ767" s="21">
        <f>IF(AND($A767="",$B767=""),"",IFERROR(VLOOKUP($G767,Lists!$D$4:$E$15,2,FALSE),"Not reported"))</f>
        <v/>
      </c>
      <c r="AK767" s="21">
        <f>IF(AND($A767="",$B767=""),"",IF($X767&lt;&gt;"",$X767,IF($T767&lt;&gt;"Y","Not assessed",IF(AND(ISNUMBER($V767),Setup!$B$6-$V767&gt;Setup!$B$26),"Assessment outdated",IF(NOT(ISNUMBER($W767)),"Assessed – no score",IF($W767&gt;=Setup!$B$24,"High",IF($W767&gt;=Setup!$B$25,"Moderate","Low")))))))</f>
        <v/>
      </c>
      <c r="AL767" s="21">
        <f>IF(AND($A767="",$B767=""),"",IF(Z767=0,"",IF(AND(AE767=1,N($R767)&gt;AD767*1.01+0.001),"Net terrestrial &gt; gross; ","")&amp;IF(AND(AE767=1,N($S767)&gt;AC767*1.01+0.001),"Net marine &gt; gross; ","")&amp;IF(AE767=0,"No net area – gross used, overlaps may be double-counted; ","")&amp;IF(AH767=0,"STATUS_YR missing – imputed in time series; ","")&amp;IF(AND(ISNUMBER($I767),N($I767)&gt;Setup!$B$6),"STATUS_YR after reporting year; ","")&amp;IF(OR($G767="",$G767="Not Reported"),"GOV_TYPE not reported; ","")&amp;IF(AND(N($J767)=1,$K767="Point",N($M767)&lt;=0),"Coastal point without REP_M_AREA – land/sea split unknown; ","")&amp;IF(AND(N($J767)=0,N($S767)&gt;0),"MARINE=0 but net marine &gt;0; ","")&amp;IF(AND(N($J767)=2,N($R767)&gt;0),"MARINE=2 but net terrestrial &gt;0; ","")&amp;IF($K767="Point","Buffered point – coverage approximate; ","")))</f>
        <v/>
      </c>
    </row>
    <row r="768">
      <c r="A768" s="19" t="n"/>
      <c r="B768" s="19" t="n"/>
      <c r="C768" s="19" t="n"/>
      <c r="D768" s="19" t="n"/>
      <c r="E768" s="19" t="n"/>
      <c r="F768" s="19" t="n"/>
      <c r="G768" s="19" t="n"/>
      <c r="H768" s="19" t="n"/>
      <c r="I768" s="19" t="n"/>
      <c r="J768" s="19" t="n"/>
      <c r="K768" s="19" t="n"/>
      <c r="L768" s="20" t="n"/>
      <c r="M768" s="20" t="n"/>
      <c r="N768" s="20" t="n"/>
      <c r="O768" s="20" t="n"/>
      <c r="P768" s="19" t="n"/>
      <c r="Q768" s="19" t="n"/>
      <c r="R768" s="20" t="n"/>
      <c r="S768" s="20" t="n"/>
      <c r="T768" s="19" t="n"/>
      <c r="U768" s="19" t="n"/>
      <c r="V768" s="19" t="n"/>
      <c r="W768" s="19" t="n"/>
      <c r="X768" s="19" t="n"/>
      <c r="Y768" s="19" t="n"/>
      <c r="Z768" s="21">
        <f>IF(AND($A768="",$B768=""),"",IF(OR($E768="",$H768="",$H768="Proposed",$H768="Not Reported"),0,IF(AND($P768="Y",$Q768&lt;&gt;"Y"),0,IF(AND($K768="Point",N($L768)&lt;=0),0,IF(AND(N($L768)&lt;=0,N($N768)&lt;=0,N($R768)+N($S768)&lt;=0),0,1)))))</f>
        <v/>
      </c>
      <c r="AA768" s="21">
        <f>IF(AND($A768="",$B768=""),"",IF($E768="","Site type missing",IF($H768="","STATUS missing",IF($H768="Proposed","STATUS = Proposed",IF($H768="Not Reported","STATUS = Not Reported",IF(AND($P768="Y",$Q768&lt;&gt;"Y"),"UNESCO-MAB Biosphere Reserve",IF(AND($K768="Point",N($L768)&lt;=0),"Point without REP_AREA",IF(AND(N($L768)&lt;=0,N($N768)&lt;=0,N($R768)+N($S768)&lt;=0),"No area information",""))))))))</f>
        <v/>
      </c>
      <c r="AB768" s="22">
        <f>IF(AND($A768="",$B768=""),"",IF($K768="Point",N($L768),IF(N($N768)&gt;0,N($N768),N($L768))))</f>
        <v/>
      </c>
      <c r="AC768" s="22">
        <f>IF(AND($A768="",$B768=""),"",MIN(AB768,IF(N($J768)=0,0,IF(N($J768)=2,AB768,IF(AND($K768&lt;&gt;"Point",N($O768)&gt;0),N($O768),N($M768))))))</f>
        <v/>
      </c>
      <c r="AD768" s="22">
        <f>IF(AND($A768="",$B768=""),"",MAX(0,AB768-AC768))</f>
        <v/>
      </c>
      <c r="AE768" s="21">
        <f>IF(AND($A768="",$B768=""),"",IF(OR($R768&lt;&gt;"",$S768&lt;&gt;""),1,0))</f>
        <v/>
      </c>
      <c r="AF768" s="22">
        <f>IF(AND($A768="",$B768=""),"",IF(Z768=1,IF(AE768=1,N($R768),AD768),0))</f>
        <v/>
      </c>
      <c r="AG768" s="22">
        <f>IF(AND($A768="",$B768=""),"",IF(Z768=1,IF(AE768=1,N($S768),AC768),0))</f>
        <v/>
      </c>
      <c r="AH768" s="21">
        <f>IF(AND($A768="",$B768=""),"",IF(AND(ISNUMBER($I768),N($I768)&gt;0),$I768,0))</f>
        <v/>
      </c>
      <c r="AI768" s="23">
        <f>IF(AND(NOT(AND($A768="",$B768="")),$K768="Point",N($L768)&gt;0),SQRT(N($L768)/PI()),"")</f>
        <v/>
      </c>
      <c r="AJ768" s="21">
        <f>IF(AND($A768="",$B768=""),"",IFERROR(VLOOKUP($G768,Lists!$D$4:$E$15,2,FALSE),"Not reported"))</f>
        <v/>
      </c>
      <c r="AK768" s="21">
        <f>IF(AND($A768="",$B768=""),"",IF($X768&lt;&gt;"",$X768,IF($T768&lt;&gt;"Y","Not assessed",IF(AND(ISNUMBER($V768),Setup!$B$6-$V768&gt;Setup!$B$26),"Assessment outdated",IF(NOT(ISNUMBER($W768)),"Assessed – no score",IF($W768&gt;=Setup!$B$24,"High",IF($W768&gt;=Setup!$B$25,"Moderate","Low")))))))</f>
        <v/>
      </c>
      <c r="AL768" s="21">
        <f>IF(AND($A768="",$B768=""),"",IF(Z768=0,"",IF(AND(AE768=1,N($R768)&gt;AD768*1.01+0.001),"Net terrestrial &gt; gross; ","")&amp;IF(AND(AE768=1,N($S768)&gt;AC768*1.01+0.001),"Net marine &gt; gross; ","")&amp;IF(AE768=0,"No net area – gross used, overlaps may be double-counted; ","")&amp;IF(AH768=0,"STATUS_YR missing – imputed in time series; ","")&amp;IF(AND(ISNUMBER($I768),N($I768)&gt;Setup!$B$6),"STATUS_YR after reporting year; ","")&amp;IF(OR($G768="",$G768="Not Reported"),"GOV_TYPE not reported; ","")&amp;IF(AND(N($J768)=1,$K768="Point",N($M768)&lt;=0),"Coastal point without REP_M_AREA – land/sea split unknown; ","")&amp;IF(AND(N($J768)=0,N($S768)&gt;0),"MARINE=0 but net marine &gt;0; ","")&amp;IF(AND(N($J768)=2,N($R768)&gt;0),"MARINE=2 but net terrestrial &gt;0; ","")&amp;IF($K768="Point","Buffered point – coverage approximate; ","")))</f>
        <v/>
      </c>
    </row>
    <row r="769">
      <c r="A769" s="19" t="n"/>
      <c r="B769" s="19" t="n"/>
      <c r="C769" s="19" t="n"/>
      <c r="D769" s="19" t="n"/>
      <c r="E769" s="19" t="n"/>
      <c r="F769" s="19" t="n"/>
      <c r="G769" s="19" t="n"/>
      <c r="H769" s="19" t="n"/>
      <c r="I769" s="19" t="n"/>
      <c r="J769" s="19" t="n"/>
      <c r="K769" s="19" t="n"/>
      <c r="L769" s="20" t="n"/>
      <c r="M769" s="20" t="n"/>
      <c r="N769" s="20" t="n"/>
      <c r="O769" s="20" t="n"/>
      <c r="P769" s="19" t="n"/>
      <c r="Q769" s="19" t="n"/>
      <c r="R769" s="20" t="n"/>
      <c r="S769" s="20" t="n"/>
      <c r="T769" s="19" t="n"/>
      <c r="U769" s="19" t="n"/>
      <c r="V769" s="19" t="n"/>
      <c r="W769" s="19" t="n"/>
      <c r="X769" s="19" t="n"/>
      <c r="Y769" s="19" t="n"/>
      <c r="Z769" s="21">
        <f>IF(AND($A769="",$B769=""),"",IF(OR($E769="",$H769="",$H769="Proposed",$H769="Not Reported"),0,IF(AND($P769="Y",$Q769&lt;&gt;"Y"),0,IF(AND($K769="Point",N($L769)&lt;=0),0,IF(AND(N($L769)&lt;=0,N($N769)&lt;=0,N($R769)+N($S769)&lt;=0),0,1)))))</f>
        <v/>
      </c>
      <c r="AA769" s="21">
        <f>IF(AND($A769="",$B769=""),"",IF($E769="","Site type missing",IF($H769="","STATUS missing",IF($H769="Proposed","STATUS = Proposed",IF($H769="Not Reported","STATUS = Not Reported",IF(AND($P769="Y",$Q769&lt;&gt;"Y"),"UNESCO-MAB Biosphere Reserve",IF(AND($K769="Point",N($L769)&lt;=0),"Point without REP_AREA",IF(AND(N($L769)&lt;=0,N($N769)&lt;=0,N($R769)+N($S769)&lt;=0),"No area information",""))))))))</f>
        <v/>
      </c>
      <c r="AB769" s="22">
        <f>IF(AND($A769="",$B769=""),"",IF($K769="Point",N($L769),IF(N($N769)&gt;0,N($N769),N($L769))))</f>
        <v/>
      </c>
      <c r="AC769" s="22">
        <f>IF(AND($A769="",$B769=""),"",MIN(AB769,IF(N($J769)=0,0,IF(N($J769)=2,AB769,IF(AND($K769&lt;&gt;"Point",N($O769)&gt;0),N($O769),N($M769))))))</f>
        <v/>
      </c>
      <c r="AD769" s="22">
        <f>IF(AND($A769="",$B769=""),"",MAX(0,AB769-AC769))</f>
        <v/>
      </c>
      <c r="AE769" s="21">
        <f>IF(AND($A769="",$B769=""),"",IF(OR($R769&lt;&gt;"",$S769&lt;&gt;""),1,0))</f>
        <v/>
      </c>
      <c r="AF769" s="22">
        <f>IF(AND($A769="",$B769=""),"",IF(Z769=1,IF(AE769=1,N($R769),AD769),0))</f>
        <v/>
      </c>
      <c r="AG769" s="22">
        <f>IF(AND($A769="",$B769=""),"",IF(Z769=1,IF(AE769=1,N($S769),AC769),0))</f>
        <v/>
      </c>
      <c r="AH769" s="21">
        <f>IF(AND($A769="",$B769=""),"",IF(AND(ISNUMBER($I769),N($I769)&gt;0),$I769,0))</f>
        <v/>
      </c>
      <c r="AI769" s="23">
        <f>IF(AND(NOT(AND($A769="",$B769="")),$K769="Point",N($L769)&gt;0),SQRT(N($L769)/PI()),"")</f>
        <v/>
      </c>
      <c r="AJ769" s="21">
        <f>IF(AND($A769="",$B769=""),"",IFERROR(VLOOKUP($G769,Lists!$D$4:$E$15,2,FALSE),"Not reported"))</f>
        <v/>
      </c>
      <c r="AK769" s="21">
        <f>IF(AND($A769="",$B769=""),"",IF($X769&lt;&gt;"",$X769,IF($T769&lt;&gt;"Y","Not assessed",IF(AND(ISNUMBER($V769),Setup!$B$6-$V769&gt;Setup!$B$26),"Assessment outdated",IF(NOT(ISNUMBER($W769)),"Assessed – no score",IF($W769&gt;=Setup!$B$24,"High",IF($W769&gt;=Setup!$B$25,"Moderate","Low")))))))</f>
        <v/>
      </c>
      <c r="AL769" s="21">
        <f>IF(AND($A769="",$B769=""),"",IF(Z769=0,"",IF(AND(AE769=1,N($R769)&gt;AD769*1.01+0.001),"Net terrestrial &gt; gross; ","")&amp;IF(AND(AE769=1,N($S769)&gt;AC769*1.01+0.001),"Net marine &gt; gross; ","")&amp;IF(AE769=0,"No net area – gross used, overlaps may be double-counted; ","")&amp;IF(AH769=0,"STATUS_YR missing – imputed in time series; ","")&amp;IF(AND(ISNUMBER($I769),N($I769)&gt;Setup!$B$6),"STATUS_YR after reporting year; ","")&amp;IF(OR($G769="",$G769="Not Reported"),"GOV_TYPE not reported; ","")&amp;IF(AND(N($J769)=1,$K769="Point",N($M769)&lt;=0),"Coastal point without REP_M_AREA – land/sea split unknown; ","")&amp;IF(AND(N($J769)=0,N($S769)&gt;0),"MARINE=0 but net marine &gt;0; ","")&amp;IF(AND(N($J769)=2,N($R769)&gt;0),"MARINE=2 but net terrestrial &gt;0; ","")&amp;IF($K769="Point","Buffered point – coverage approximate; ","")))</f>
        <v/>
      </c>
    </row>
    <row r="770">
      <c r="A770" s="19" t="n"/>
      <c r="B770" s="19" t="n"/>
      <c r="C770" s="19" t="n"/>
      <c r="D770" s="19" t="n"/>
      <c r="E770" s="19" t="n"/>
      <c r="F770" s="19" t="n"/>
      <c r="G770" s="19" t="n"/>
      <c r="H770" s="19" t="n"/>
      <c r="I770" s="19" t="n"/>
      <c r="J770" s="19" t="n"/>
      <c r="K770" s="19" t="n"/>
      <c r="L770" s="20" t="n"/>
      <c r="M770" s="20" t="n"/>
      <c r="N770" s="20" t="n"/>
      <c r="O770" s="20" t="n"/>
      <c r="P770" s="19" t="n"/>
      <c r="Q770" s="19" t="n"/>
      <c r="R770" s="20" t="n"/>
      <c r="S770" s="20" t="n"/>
      <c r="T770" s="19" t="n"/>
      <c r="U770" s="19" t="n"/>
      <c r="V770" s="19" t="n"/>
      <c r="W770" s="19" t="n"/>
      <c r="X770" s="19" t="n"/>
      <c r="Y770" s="19" t="n"/>
      <c r="Z770" s="21">
        <f>IF(AND($A770="",$B770=""),"",IF(OR($E770="",$H770="",$H770="Proposed",$H770="Not Reported"),0,IF(AND($P770="Y",$Q770&lt;&gt;"Y"),0,IF(AND($K770="Point",N($L770)&lt;=0),0,IF(AND(N($L770)&lt;=0,N($N770)&lt;=0,N($R770)+N($S770)&lt;=0),0,1)))))</f>
        <v/>
      </c>
      <c r="AA770" s="21">
        <f>IF(AND($A770="",$B770=""),"",IF($E770="","Site type missing",IF($H770="","STATUS missing",IF($H770="Proposed","STATUS = Proposed",IF($H770="Not Reported","STATUS = Not Reported",IF(AND($P770="Y",$Q770&lt;&gt;"Y"),"UNESCO-MAB Biosphere Reserve",IF(AND($K770="Point",N($L770)&lt;=0),"Point without REP_AREA",IF(AND(N($L770)&lt;=0,N($N770)&lt;=0,N($R770)+N($S770)&lt;=0),"No area information",""))))))))</f>
        <v/>
      </c>
      <c r="AB770" s="22">
        <f>IF(AND($A770="",$B770=""),"",IF($K770="Point",N($L770),IF(N($N770)&gt;0,N($N770),N($L770))))</f>
        <v/>
      </c>
      <c r="AC770" s="22">
        <f>IF(AND($A770="",$B770=""),"",MIN(AB770,IF(N($J770)=0,0,IF(N($J770)=2,AB770,IF(AND($K770&lt;&gt;"Point",N($O770)&gt;0),N($O770),N($M770))))))</f>
        <v/>
      </c>
      <c r="AD770" s="22">
        <f>IF(AND($A770="",$B770=""),"",MAX(0,AB770-AC770))</f>
        <v/>
      </c>
      <c r="AE770" s="21">
        <f>IF(AND($A770="",$B770=""),"",IF(OR($R770&lt;&gt;"",$S770&lt;&gt;""),1,0))</f>
        <v/>
      </c>
      <c r="AF770" s="22">
        <f>IF(AND($A770="",$B770=""),"",IF(Z770=1,IF(AE770=1,N($R770),AD770),0))</f>
        <v/>
      </c>
      <c r="AG770" s="22">
        <f>IF(AND($A770="",$B770=""),"",IF(Z770=1,IF(AE770=1,N($S770),AC770),0))</f>
        <v/>
      </c>
      <c r="AH770" s="21">
        <f>IF(AND($A770="",$B770=""),"",IF(AND(ISNUMBER($I770),N($I770)&gt;0),$I770,0))</f>
        <v/>
      </c>
      <c r="AI770" s="23">
        <f>IF(AND(NOT(AND($A770="",$B770="")),$K770="Point",N($L770)&gt;0),SQRT(N($L770)/PI()),"")</f>
        <v/>
      </c>
      <c r="AJ770" s="21">
        <f>IF(AND($A770="",$B770=""),"",IFERROR(VLOOKUP($G770,Lists!$D$4:$E$15,2,FALSE),"Not reported"))</f>
        <v/>
      </c>
      <c r="AK770" s="21">
        <f>IF(AND($A770="",$B770=""),"",IF($X770&lt;&gt;"",$X770,IF($T770&lt;&gt;"Y","Not assessed",IF(AND(ISNUMBER($V770),Setup!$B$6-$V770&gt;Setup!$B$26),"Assessment outdated",IF(NOT(ISNUMBER($W770)),"Assessed – no score",IF($W770&gt;=Setup!$B$24,"High",IF($W770&gt;=Setup!$B$25,"Moderate","Low")))))))</f>
        <v/>
      </c>
      <c r="AL770" s="21">
        <f>IF(AND($A770="",$B770=""),"",IF(Z770=0,"",IF(AND(AE770=1,N($R770)&gt;AD770*1.01+0.001),"Net terrestrial &gt; gross; ","")&amp;IF(AND(AE770=1,N($S770)&gt;AC770*1.01+0.001),"Net marine &gt; gross; ","")&amp;IF(AE770=0,"No net area – gross used, overlaps may be double-counted; ","")&amp;IF(AH770=0,"STATUS_YR missing – imputed in time series; ","")&amp;IF(AND(ISNUMBER($I770),N($I770)&gt;Setup!$B$6),"STATUS_YR after reporting year; ","")&amp;IF(OR($G770="",$G770="Not Reported"),"GOV_TYPE not reported; ","")&amp;IF(AND(N($J770)=1,$K770="Point",N($M770)&lt;=0),"Coastal point without REP_M_AREA – land/sea split unknown; ","")&amp;IF(AND(N($J770)=0,N($S770)&gt;0),"MARINE=0 but net marine &gt;0; ","")&amp;IF(AND(N($J770)=2,N($R770)&gt;0),"MARINE=2 but net terrestrial &gt;0; ","")&amp;IF($K770="Point","Buffered point – coverage approximate; ","")))</f>
        <v/>
      </c>
    </row>
    <row r="771">
      <c r="A771" s="19" t="n"/>
      <c r="B771" s="19" t="n"/>
      <c r="C771" s="19" t="n"/>
      <c r="D771" s="19" t="n"/>
      <c r="E771" s="19" t="n"/>
      <c r="F771" s="19" t="n"/>
      <c r="G771" s="19" t="n"/>
      <c r="H771" s="19" t="n"/>
      <c r="I771" s="19" t="n"/>
      <c r="J771" s="19" t="n"/>
      <c r="K771" s="19" t="n"/>
      <c r="L771" s="20" t="n"/>
      <c r="M771" s="20" t="n"/>
      <c r="N771" s="20" t="n"/>
      <c r="O771" s="20" t="n"/>
      <c r="P771" s="19" t="n"/>
      <c r="Q771" s="19" t="n"/>
      <c r="R771" s="20" t="n"/>
      <c r="S771" s="20" t="n"/>
      <c r="T771" s="19" t="n"/>
      <c r="U771" s="19" t="n"/>
      <c r="V771" s="19" t="n"/>
      <c r="W771" s="19" t="n"/>
      <c r="X771" s="19" t="n"/>
      <c r="Y771" s="19" t="n"/>
      <c r="Z771" s="21">
        <f>IF(AND($A771="",$B771=""),"",IF(OR($E771="",$H771="",$H771="Proposed",$H771="Not Reported"),0,IF(AND($P771="Y",$Q771&lt;&gt;"Y"),0,IF(AND($K771="Point",N($L771)&lt;=0),0,IF(AND(N($L771)&lt;=0,N($N771)&lt;=0,N($R771)+N($S771)&lt;=0),0,1)))))</f>
        <v/>
      </c>
      <c r="AA771" s="21">
        <f>IF(AND($A771="",$B771=""),"",IF($E771="","Site type missing",IF($H771="","STATUS missing",IF($H771="Proposed","STATUS = Proposed",IF($H771="Not Reported","STATUS = Not Reported",IF(AND($P771="Y",$Q771&lt;&gt;"Y"),"UNESCO-MAB Biosphere Reserve",IF(AND($K771="Point",N($L771)&lt;=0),"Point without REP_AREA",IF(AND(N($L771)&lt;=0,N($N771)&lt;=0,N($R771)+N($S771)&lt;=0),"No area information",""))))))))</f>
        <v/>
      </c>
      <c r="AB771" s="22">
        <f>IF(AND($A771="",$B771=""),"",IF($K771="Point",N($L771),IF(N($N771)&gt;0,N($N771),N($L771))))</f>
        <v/>
      </c>
      <c r="AC771" s="22">
        <f>IF(AND($A771="",$B771=""),"",MIN(AB771,IF(N($J771)=0,0,IF(N($J771)=2,AB771,IF(AND($K771&lt;&gt;"Point",N($O771)&gt;0),N($O771),N($M771))))))</f>
        <v/>
      </c>
      <c r="AD771" s="22">
        <f>IF(AND($A771="",$B771=""),"",MAX(0,AB771-AC771))</f>
        <v/>
      </c>
      <c r="AE771" s="21">
        <f>IF(AND($A771="",$B771=""),"",IF(OR($R771&lt;&gt;"",$S771&lt;&gt;""),1,0))</f>
        <v/>
      </c>
      <c r="AF771" s="22">
        <f>IF(AND($A771="",$B771=""),"",IF(Z771=1,IF(AE771=1,N($R771),AD771),0))</f>
        <v/>
      </c>
      <c r="AG771" s="22">
        <f>IF(AND($A771="",$B771=""),"",IF(Z771=1,IF(AE771=1,N($S771),AC771),0))</f>
        <v/>
      </c>
      <c r="AH771" s="21">
        <f>IF(AND($A771="",$B771=""),"",IF(AND(ISNUMBER($I771),N($I771)&gt;0),$I771,0))</f>
        <v/>
      </c>
      <c r="AI771" s="23">
        <f>IF(AND(NOT(AND($A771="",$B771="")),$K771="Point",N($L771)&gt;0),SQRT(N($L771)/PI()),"")</f>
        <v/>
      </c>
      <c r="AJ771" s="21">
        <f>IF(AND($A771="",$B771=""),"",IFERROR(VLOOKUP($G771,Lists!$D$4:$E$15,2,FALSE),"Not reported"))</f>
        <v/>
      </c>
      <c r="AK771" s="21">
        <f>IF(AND($A771="",$B771=""),"",IF($X771&lt;&gt;"",$X771,IF($T771&lt;&gt;"Y","Not assessed",IF(AND(ISNUMBER($V771),Setup!$B$6-$V771&gt;Setup!$B$26),"Assessment outdated",IF(NOT(ISNUMBER($W771)),"Assessed – no score",IF($W771&gt;=Setup!$B$24,"High",IF($W771&gt;=Setup!$B$25,"Moderate","Low")))))))</f>
        <v/>
      </c>
      <c r="AL771" s="21">
        <f>IF(AND($A771="",$B771=""),"",IF(Z771=0,"",IF(AND(AE771=1,N($R771)&gt;AD771*1.01+0.001),"Net terrestrial &gt; gross; ","")&amp;IF(AND(AE771=1,N($S771)&gt;AC771*1.01+0.001),"Net marine &gt; gross; ","")&amp;IF(AE771=0,"No net area – gross used, overlaps may be double-counted; ","")&amp;IF(AH771=0,"STATUS_YR missing – imputed in time series; ","")&amp;IF(AND(ISNUMBER($I771),N($I771)&gt;Setup!$B$6),"STATUS_YR after reporting year; ","")&amp;IF(OR($G771="",$G771="Not Reported"),"GOV_TYPE not reported; ","")&amp;IF(AND(N($J771)=1,$K771="Point",N($M771)&lt;=0),"Coastal point without REP_M_AREA – land/sea split unknown; ","")&amp;IF(AND(N($J771)=0,N($S771)&gt;0),"MARINE=0 but net marine &gt;0; ","")&amp;IF(AND(N($J771)=2,N($R771)&gt;0),"MARINE=2 but net terrestrial &gt;0; ","")&amp;IF($K771="Point","Buffered point – coverage approximate; ","")))</f>
        <v/>
      </c>
    </row>
    <row r="772">
      <c r="A772" s="19" t="n"/>
      <c r="B772" s="19" t="n"/>
      <c r="C772" s="19" t="n"/>
      <c r="D772" s="19" t="n"/>
      <c r="E772" s="19" t="n"/>
      <c r="F772" s="19" t="n"/>
      <c r="G772" s="19" t="n"/>
      <c r="H772" s="19" t="n"/>
      <c r="I772" s="19" t="n"/>
      <c r="J772" s="19" t="n"/>
      <c r="K772" s="19" t="n"/>
      <c r="L772" s="20" t="n"/>
      <c r="M772" s="20" t="n"/>
      <c r="N772" s="20" t="n"/>
      <c r="O772" s="20" t="n"/>
      <c r="P772" s="19" t="n"/>
      <c r="Q772" s="19" t="n"/>
      <c r="R772" s="20" t="n"/>
      <c r="S772" s="20" t="n"/>
      <c r="T772" s="19" t="n"/>
      <c r="U772" s="19" t="n"/>
      <c r="V772" s="19" t="n"/>
      <c r="W772" s="19" t="n"/>
      <c r="X772" s="19" t="n"/>
      <c r="Y772" s="19" t="n"/>
      <c r="Z772" s="21">
        <f>IF(AND($A772="",$B772=""),"",IF(OR($E772="",$H772="",$H772="Proposed",$H772="Not Reported"),0,IF(AND($P772="Y",$Q772&lt;&gt;"Y"),0,IF(AND($K772="Point",N($L772)&lt;=0),0,IF(AND(N($L772)&lt;=0,N($N772)&lt;=0,N($R772)+N($S772)&lt;=0),0,1)))))</f>
        <v/>
      </c>
      <c r="AA772" s="21">
        <f>IF(AND($A772="",$B772=""),"",IF($E772="","Site type missing",IF($H772="","STATUS missing",IF($H772="Proposed","STATUS = Proposed",IF($H772="Not Reported","STATUS = Not Reported",IF(AND($P772="Y",$Q772&lt;&gt;"Y"),"UNESCO-MAB Biosphere Reserve",IF(AND($K772="Point",N($L772)&lt;=0),"Point without REP_AREA",IF(AND(N($L772)&lt;=0,N($N772)&lt;=0,N($R772)+N($S772)&lt;=0),"No area information",""))))))))</f>
        <v/>
      </c>
      <c r="AB772" s="22">
        <f>IF(AND($A772="",$B772=""),"",IF($K772="Point",N($L772),IF(N($N772)&gt;0,N($N772),N($L772))))</f>
        <v/>
      </c>
      <c r="AC772" s="22">
        <f>IF(AND($A772="",$B772=""),"",MIN(AB772,IF(N($J772)=0,0,IF(N($J772)=2,AB772,IF(AND($K772&lt;&gt;"Point",N($O772)&gt;0),N($O772),N($M772))))))</f>
        <v/>
      </c>
      <c r="AD772" s="22">
        <f>IF(AND($A772="",$B772=""),"",MAX(0,AB772-AC772))</f>
        <v/>
      </c>
      <c r="AE772" s="21">
        <f>IF(AND($A772="",$B772=""),"",IF(OR($R772&lt;&gt;"",$S772&lt;&gt;""),1,0))</f>
        <v/>
      </c>
      <c r="AF772" s="22">
        <f>IF(AND($A772="",$B772=""),"",IF(Z772=1,IF(AE772=1,N($R772),AD772),0))</f>
        <v/>
      </c>
      <c r="AG772" s="22">
        <f>IF(AND($A772="",$B772=""),"",IF(Z772=1,IF(AE772=1,N($S772),AC772),0))</f>
        <v/>
      </c>
      <c r="AH772" s="21">
        <f>IF(AND($A772="",$B772=""),"",IF(AND(ISNUMBER($I772),N($I772)&gt;0),$I772,0))</f>
        <v/>
      </c>
      <c r="AI772" s="23">
        <f>IF(AND(NOT(AND($A772="",$B772="")),$K772="Point",N($L772)&gt;0),SQRT(N($L772)/PI()),"")</f>
        <v/>
      </c>
      <c r="AJ772" s="21">
        <f>IF(AND($A772="",$B772=""),"",IFERROR(VLOOKUP($G772,Lists!$D$4:$E$15,2,FALSE),"Not reported"))</f>
        <v/>
      </c>
      <c r="AK772" s="21">
        <f>IF(AND($A772="",$B772=""),"",IF($X772&lt;&gt;"",$X772,IF($T772&lt;&gt;"Y","Not assessed",IF(AND(ISNUMBER($V772),Setup!$B$6-$V772&gt;Setup!$B$26),"Assessment outdated",IF(NOT(ISNUMBER($W772)),"Assessed – no score",IF($W772&gt;=Setup!$B$24,"High",IF($W772&gt;=Setup!$B$25,"Moderate","Low")))))))</f>
        <v/>
      </c>
      <c r="AL772" s="21">
        <f>IF(AND($A772="",$B772=""),"",IF(Z772=0,"",IF(AND(AE772=1,N($R772)&gt;AD772*1.01+0.001),"Net terrestrial &gt; gross; ","")&amp;IF(AND(AE772=1,N($S772)&gt;AC772*1.01+0.001),"Net marine &gt; gross; ","")&amp;IF(AE772=0,"No net area – gross used, overlaps may be double-counted; ","")&amp;IF(AH772=0,"STATUS_YR missing – imputed in time series; ","")&amp;IF(AND(ISNUMBER($I772),N($I772)&gt;Setup!$B$6),"STATUS_YR after reporting year; ","")&amp;IF(OR($G772="",$G772="Not Reported"),"GOV_TYPE not reported; ","")&amp;IF(AND(N($J772)=1,$K772="Point",N($M772)&lt;=0),"Coastal point without REP_M_AREA – land/sea split unknown; ","")&amp;IF(AND(N($J772)=0,N($S772)&gt;0),"MARINE=0 but net marine &gt;0; ","")&amp;IF(AND(N($J772)=2,N($R772)&gt;0),"MARINE=2 but net terrestrial &gt;0; ","")&amp;IF($K772="Point","Buffered point – coverage approximate; ","")))</f>
        <v/>
      </c>
    </row>
    <row r="773">
      <c r="A773" s="19" t="n"/>
      <c r="B773" s="19" t="n"/>
      <c r="C773" s="19" t="n"/>
      <c r="D773" s="19" t="n"/>
      <c r="E773" s="19" t="n"/>
      <c r="F773" s="19" t="n"/>
      <c r="G773" s="19" t="n"/>
      <c r="H773" s="19" t="n"/>
      <c r="I773" s="19" t="n"/>
      <c r="J773" s="19" t="n"/>
      <c r="K773" s="19" t="n"/>
      <c r="L773" s="20" t="n"/>
      <c r="M773" s="20" t="n"/>
      <c r="N773" s="20" t="n"/>
      <c r="O773" s="20" t="n"/>
      <c r="P773" s="19" t="n"/>
      <c r="Q773" s="19" t="n"/>
      <c r="R773" s="20" t="n"/>
      <c r="S773" s="20" t="n"/>
      <c r="T773" s="19" t="n"/>
      <c r="U773" s="19" t="n"/>
      <c r="V773" s="19" t="n"/>
      <c r="W773" s="19" t="n"/>
      <c r="X773" s="19" t="n"/>
      <c r="Y773" s="19" t="n"/>
      <c r="Z773" s="21">
        <f>IF(AND($A773="",$B773=""),"",IF(OR($E773="",$H773="",$H773="Proposed",$H773="Not Reported"),0,IF(AND($P773="Y",$Q773&lt;&gt;"Y"),0,IF(AND($K773="Point",N($L773)&lt;=0),0,IF(AND(N($L773)&lt;=0,N($N773)&lt;=0,N($R773)+N($S773)&lt;=0),0,1)))))</f>
        <v/>
      </c>
      <c r="AA773" s="21">
        <f>IF(AND($A773="",$B773=""),"",IF($E773="","Site type missing",IF($H773="","STATUS missing",IF($H773="Proposed","STATUS = Proposed",IF($H773="Not Reported","STATUS = Not Reported",IF(AND($P773="Y",$Q773&lt;&gt;"Y"),"UNESCO-MAB Biosphere Reserve",IF(AND($K773="Point",N($L773)&lt;=0),"Point without REP_AREA",IF(AND(N($L773)&lt;=0,N($N773)&lt;=0,N($R773)+N($S773)&lt;=0),"No area information",""))))))))</f>
        <v/>
      </c>
      <c r="AB773" s="22">
        <f>IF(AND($A773="",$B773=""),"",IF($K773="Point",N($L773),IF(N($N773)&gt;0,N($N773),N($L773))))</f>
        <v/>
      </c>
      <c r="AC773" s="22">
        <f>IF(AND($A773="",$B773=""),"",MIN(AB773,IF(N($J773)=0,0,IF(N($J773)=2,AB773,IF(AND($K773&lt;&gt;"Point",N($O773)&gt;0),N($O773),N($M773))))))</f>
        <v/>
      </c>
      <c r="AD773" s="22">
        <f>IF(AND($A773="",$B773=""),"",MAX(0,AB773-AC773))</f>
        <v/>
      </c>
      <c r="AE773" s="21">
        <f>IF(AND($A773="",$B773=""),"",IF(OR($R773&lt;&gt;"",$S773&lt;&gt;""),1,0))</f>
        <v/>
      </c>
      <c r="AF773" s="22">
        <f>IF(AND($A773="",$B773=""),"",IF(Z773=1,IF(AE773=1,N($R773),AD773),0))</f>
        <v/>
      </c>
      <c r="AG773" s="22">
        <f>IF(AND($A773="",$B773=""),"",IF(Z773=1,IF(AE773=1,N($S773),AC773),0))</f>
        <v/>
      </c>
      <c r="AH773" s="21">
        <f>IF(AND($A773="",$B773=""),"",IF(AND(ISNUMBER($I773),N($I773)&gt;0),$I773,0))</f>
        <v/>
      </c>
      <c r="AI773" s="23">
        <f>IF(AND(NOT(AND($A773="",$B773="")),$K773="Point",N($L773)&gt;0),SQRT(N($L773)/PI()),"")</f>
        <v/>
      </c>
      <c r="AJ773" s="21">
        <f>IF(AND($A773="",$B773=""),"",IFERROR(VLOOKUP($G773,Lists!$D$4:$E$15,2,FALSE),"Not reported"))</f>
        <v/>
      </c>
      <c r="AK773" s="21">
        <f>IF(AND($A773="",$B773=""),"",IF($X773&lt;&gt;"",$X773,IF($T773&lt;&gt;"Y","Not assessed",IF(AND(ISNUMBER($V773),Setup!$B$6-$V773&gt;Setup!$B$26),"Assessment outdated",IF(NOT(ISNUMBER($W773)),"Assessed – no score",IF($W773&gt;=Setup!$B$24,"High",IF($W773&gt;=Setup!$B$25,"Moderate","Low")))))))</f>
        <v/>
      </c>
      <c r="AL773" s="21">
        <f>IF(AND($A773="",$B773=""),"",IF(Z773=0,"",IF(AND(AE773=1,N($R773)&gt;AD773*1.01+0.001),"Net terrestrial &gt; gross; ","")&amp;IF(AND(AE773=1,N($S773)&gt;AC773*1.01+0.001),"Net marine &gt; gross; ","")&amp;IF(AE773=0,"No net area – gross used, overlaps may be double-counted; ","")&amp;IF(AH773=0,"STATUS_YR missing – imputed in time series; ","")&amp;IF(AND(ISNUMBER($I773),N($I773)&gt;Setup!$B$6),"STATUS_YR after reporting year; ","")&amp;IF(OR($G773="",$G773="Not Reported"),"GOV_TYPE not reported; ","")&amp;IF(AND(N($J773)=1,$K773="Point",N($M773)&lt;=0),"Coastal point without REP_M_AREA – land/sea split unknown; ","")&amp;IF(AND(N($J773)=0,N($S773)&gt;0),"MARINE=0 but net marine &gt;0; ","")&amp;IF(AND(N($J773)=2,N($R773)&gt;0),"MARINE=2 but net terrestrial &gt;0; ","")&amp;IF($K773="Point","Buffered point – coverage approximate; ","")))</f>
        <v/>
      </c>
    </row>
    <row r="774">
      <c r="A774" s="19" t="n"/>
      <c r="B774" s="19" t="n"/>
      <c r="C774" s="19" t="n"/>
      <c r="D774" s="19" t="n"/>
      <c r="E774" s="19" t="n"/>
      <c r="F774" s="19" t="n"/>
      <c r="G774" s="19" t="n"/>
      <c r="H774" s="19" t="n"/>
      <c r="I774" s="19" t="n"/>
      <c r="J774" s="19" t="n"/>
      <c r="K774" s="19" t="n"/>
      <c r="L774" s="20" t="n"/>
      <c r="M774" s="20" t="n"/>
      <c r="N774" s="20" t="n"/>
      <c r="O774" s="20" t="n"/>
      <c r="P774" s="19" t="n"/>
      <c r="Q774" s="19" t="n"/>
      <c r="R774" s="20" t="n"/>
      <c r="S774" s="20" t="n"/>
      <c r="T774" s="19" t="n"/>
      <c r="U774" s="19" t="n"/>
      <c r="V774" s="19" t="n"/>
      <c r="W774" s="19" t="n"/>
      <c r="X774" s="19" t="n"/>
      <c r="Y774" s="19" t="n"/>
      <c r="Z774" s="21">
        <f>IF(AND($A774="",$B774=""),"",IF(OR($E774="",$H774="",$H774="Proposed",$H774="Not Reported"),0,IF(AND($P774="Y",$Q774&lt;&gt;"Y"),0,IF(AND($K774="Point",N($L774)&lt;=0),0,IF(AND(N($L774)&lt;=0,N($N774)&lt;=0,N($R774)+N($S774)&lt;=0),0,1)))))</f>
        <v/>
      </c>
      <c r="AA774" s="21">
        <f>IF(AND($A774="",$B774=""),"",IF($E774="","Site type missing",IF($H774="","STATUS missing",IF($H774="Proposed","STATUS = Proposed",IF($H774="Not Reported","STATUS = Not Reported",IF(AND($P774="Y",$Q774&lt;&gt;"Y"),"UNESCO-MAB Biosphere Reserve",IF(AND($K774="Point",N($L774)&lt;=0),"Point without REP_AREA",IF(AND(N($L774)&lt;=0,N($N774)&lt;=0,N($R774)+N($S774)&lt;=0),"No area information",""))))))))</f>
        <v/>
      </c>
      <c r="AB774" s="22">
        <f>IF(AND($A774="",$B774=""),"",IF($K774="Point",N($L774),IF(N($N774)&gt;0,N($N774),N($L774))))</f>
        <v/>
      </c>
      <c r="AC774" s="22">
        <f>IF(AND($A774="",$B774=""),"",MIN(AB774,IF(N($J774)=0,0,IF(N($J774)=2,AB774,IF(AND($K774&lt;&gt;"Point",N($O774)&gt;0),N($O774),N($M774))))))</f>
        <v/>
      </c>
      <c r="AD774" s="22">
        <f>IF(AND($A774="",$B774=""),"",MAX(0,AB774-AC774))</f>
        <v/>
      </c>
      <c r="AE774" s="21">
        <f>IF(AND($A774="",$B774=""),"",IF(OR($R774&lt;&gt;"",$S774&lt;&gt;""),1,0))</f>
        <v/>
      </c>
      <c r="AF774" s="22">
        <f>IF(AND($A774="",$B774=""),"",IF(Z774=1,IF(AE774=1,N($R774),AD774),0))</f>
        <v/>
      </c>
      <c r="AG774" s="22">
        <f>IF(AND($A774="",$B774=""),"",IF(Z774=1,IF(AE774=1,N($S774),AC774),0))</f>
        <v/>
      </c>
      <c r="AH774" s="21">
        <f>IF(AND($A774="",$B774=""),"",IF(AND(ISNUMBER($I774),N($I774)&gt;0),$I774,0))</f>
        <v/>
      </c>
      <c r="AI774" s="23">
        <f>IF(AND(NOT(AND($A774="",$B774="")),$K774="Point",N($L774)&gt;0),SQRT(N($L774)/PI()),"")</f>
        <v/>
      </c>
      <c r="AJ774" s="21">
        <f>IF(AND($A774="",$B774=""),"",IFERROR(VLOOKUP($G774,Lists!$D$4:$E$15,2,FALSE),"Not reported"))</f>
        <v/>
      </c>
      <c r="AK774" s="21">
        <f>IF(AND($A774="",$B774=""),"",IF($X774&lt;&gt;"",$X774,IF($T774&lt;&gt;"Y","Not assessed",IF(AND(ISNUMBER($V774),Setup!$B$6-$V774&gt;Setup!$B$26),"Assessment outdated",IF(NOT(ISNUMBER($W774)),"Assessed – no score",IF($W774&gt;=Setup!$B$24,"High",IF($W774&gt;=Setup!$B$25,"Moderate","Low")))))))</f>
        <v/>
      </c>
      <c r="AL774" s="21">
        <f>IF(AND($A774="",$B774=""),"",IF(Z774=0,"",IF(AND(AE774=1,N($R774)&gt;AD774*1.01+0.001),"Net terrestrial &gt; gross; ","")&amp;IF(AND(AE774=1,N($S774)&gt;AC774*1.01+0.001),"Net marine &gt; gross; ","")&amp;IF(AE774=0,"No net area – gross used, overlaps may be double-counted; ","")&amp;IF(AH774=0,"STATUS_YR missing – imputed in time series; ","")&amp;IF(AND(ISNUMBER($I774),N($I774)&gt;Setup!$B$6),"STATUS_YR after reporting year; ","")&amp;IF(OR($G774="",$G774="Not Reported"),"GOV_TYPE not reported; ","")&amp;IF(AND(N($J774)=1,$K774="Point",N($M774)&lt;=0),"Coastal point without REP_M_AREA – land/sea split unknown; ","")&amp;IF(AND(N($J774)=0,N($S774)&gt;0),"MARINE=0 but net marine &gt;0; ","")&amp;IF(AND(N($J774)=2,N($R774)&gt;0),"MARINE=2 but net terrestrial &gt;0; ","")&amp;IF($K774="Point","Buffered point – coverage approximate; ","")))</f>
        <v/>
      </c>
    </row>
    <row r="775">
      <c r="A775" s="19" t="n"/>
      <c r="B775" s="19" t="n"/>
      <c r="C775" s="19" t="n"/>
      <c r="D775" s="19" t="n"/>
      <c r="E775" s="19" t="n"/>
      <c r="F775" s="19" t="n"/>
      <c r="G775" s="19" t="n"/>
      <c r="H775" s="19" t="n"/>
      <c r="I775" s="19" t="n"/>
      <c r="J775" s="19" t="n"/>
      <c r="K775" s="19" t="n"/>
      <c r="L775" s="20" t="n"/>
      <c r="M775" s="20" t="n"/>
      <c r="N775" s="20" t="n"/>
      <c r="O775" s="20" t="n"/>
      <c r="P775" s="19" t="n"/>
      <c r="Q775" s="19" t="n"/>
      <c r="R775" s="20" t="n"/>
      <c r="S775" s="20" t="n"/>
      <c r="T775" s="19" t="n"/>
      <c r="U775" s="19" t="n"/>
      <c r="V775" s="19" t="n"/>
      <c r="W775" s="19" t="n"/>
      <c r="X775" s="19" t="n"/>
      <c r="Y775" s="19" t="n"/>
      <c r="Z775" s="21">
        <f>IF(AND($A775="",$B775=""),"",IF(OR($E775="",$H775="",$H775="Proposed",$H775="Not Reported"),0,IF(AND($P775="Y",$Q775&lt;&gt;"Y"),0,IF(AND($K775="Point",N($L775)&lt;=0),0,IF(AND(N($L775)&lt;=0,N($N775)&lt;=0,N($R775)+N($S775)&lt;=0),0,1)))))</f>
        <v/>
      </c>
      <c r="AA775" s="21">
        <f>IF(AND($A775="",$B775=""),"",IF($E775="","Site type missing",IF($H775="","STATUS missing",IF($H775="Proposed","STATUS = Proposed",IF($H775="Not Reported","STATUS = Not Reported",IF(AND($P775="Y",$Q775&lt;&gt;"Y"),"UNESCO-MAB Biosphere Reserve",IF(AND($K775="Point",N($L775)&lt;=0),"Point without REP_AREA",IF(AND(N($L775)&lt;=0,N($N775)&lt;=0,N($R775)+N($S775)&lt;=0),"No area information",""))))))))</f>
        <v/>
      </c>
      <c r="AB775" s="22">
        <f>IF(AND($A775="",$B775=""),"",IF($K775="Point",N($L775),IF(N($N775)&gt;0,N($N775),N($L775))))</f>
        <v/>
      </c>
      <c r="AC775" s="22">
        <f>IF(AND($A775="",$B775=""),"",MIN(AB775,IF(N($J775)=0,0,IF(N($J775)=2,AB775,IF(AND($K775&lt;&gt;"Point",N($O775)&gt;0),N($O775),N($M775))))))</f>
        <v/>
      </c>
      <c r="AD775" s="22">
        <f>IF(AND($A775="",$B775=""),"",MAX(0,AB775-AC775))</f>
        <v/>
      </c>
      <c r="AE775" s="21">
        <f>IF(AND($A775="",$B775=""),"",IF(OR($R775&lt;&gt;"",$S775&lt;&gt;""),1,0))</f>
        <v/>
      </c>
      <c r="AF775" s="22">
        <f>IF(AND($A775="",$B775=""),"",IF(Z775=1,IF(AE775=1,N($R775),AD775),0))</f>
        <v/>
      </c>
      <c r="AG775" s="22">
        <f>IF(AND($A775="",$B775=""),"",IF(Z775=1,IF(AE775=1,N($S775),AC775),0))</f>
        <v/>
      </c>
      <c r="AH775" s="21">
        <f>IF(AND($A775="",$B775=""),"",IF(AND(ISNUMBER($I775),N($I775)&gt;0),$I775,0))</f>
        <v/>
      </c>
      <c r="AI775" s="23">
        <f>IF(AND(NOT(AND($A775="",$B775="")),$K775="Point",N($L775)&gt;0),SQRT(N($L775)/PI()),"")</f>
        <v/>
      </c>
      <c r="AJ775" s="21">
        <f>IF(AND($A775="",$B775=""),"",IFERROR(VLOOKUP($G775,Lists!$D$4:$E$15,2,FALSE),"Not reported"))</f>
        <v/>
      </c>
      <c r="AK775" s="21">
        <f>IF(AND($A775="",$B775=""),"",IF($X775&lt;&gt;"",$X775,IF($T775&lt;&gt;"Y","Not assessed",IF(AND(ISNUMBER($V775),Setup!$B$6-$V775&gt;Setup!$B$26),"Assessment outdated",IF(NOT(ISNUMBER($W775)),"Assessed – no score",IF($W775&gt;=Setup!$B$24,"High",IF($W775&gt;=Setup!$B$25,"Moderate","Low")))))))</f>
        <v/>
      </c>
      <c r="AL775" s="21">
        <f>IF(AND($A775="",$B775=""),"",IF(Z775=0,"",IF(AND(AE775=1,N($R775)&gt;AD775*1.01+0.001),"Net terrestrial &gt; gross; ","")&amp;IF(AND(AE775=1,N($S775)&gt;AC775*1.01+0.001),"Net marine &gt; gross; ","")&amp;IF(AE775=0,"No net area – gross used, overlaps may be double-counted; ","")&amp;IF(AH775=0,"STATUS_YR missing – imputed in time series; ","")&amp;IF(AND(ISNUMBER($I775),N($I775)&gt;Setup!$B$6),"STATUS_YR after reporting year; ","")&amp;IF(OR($G775="",$G775="Not Reported"),"GOV_TYPE not reported; ","")&amp;IF(AND(N($J775)=1,$K775="Point",N($M775)&lt;=0),"Coastal point without REP_M_AREA – land/sea split unknown; ","")&amp;IF(AND(N($J775)=0,N($S775)&gt;0),"MARINE=0 but net marine &gt;0; ","")&amp;IF(AND(N($J775)=2,N($R775)&gt;0),"MARINE=2 but net terrestrial &gt;0; ","")&amp;IF($K775="Point","Buffered point – coverage approximate; ","")))</f>
        <v/>
      </c>
    </row>
    <row r="776">
      <c r="A776" s="19" t="n"/>
      <c r="B776" s="19" t="n"/>
      <c r="C776" s="19" t="n"/>
      <c r="D776" s="19" t="n"/>
      <c r="E776" s="19" t="n"/>
      <c r="F776" s="19" t="n"/>
      <c r="G776" s="19" t="n"/>
      <c r="H776" s="19" t="n"/>
      <c r="I776" s="19" t="n"/>
      <c r="J776" s="19" t="n"/>
      <c r="K776" s="19" t="n"/>
      <c r="L776" s="20" t="n"/>
      <c r="M776" s="20" t="n"/>
      <c r="N776" s="20" t="n"/>
      <c r="O776" s="20" t="n"/>
      <c r="P776" s="19" t="n"/>
      <c r="Q776" s="19" t="n"/>
      <c r="R776" s="20" t="n"/>
      <c r="S776" s="20" t="n"/>
      <c r="T776" s="19" t="n"/>
      <c r="U776" s="19" t="n"/>
      <c r="V776" s="19" t="n"/>
      <c r="W776" s="19" t="n"/>
      <c r="X776" s="19" t="n"/>
      <c r="Y776" s="19" t="n"/>
      <c r="Z776" s="21">
        <f>IF(AND($A776="",$B776=""),"",IF(OR($E776="",$H776="",$H776="Proposed",$H776="Not Reported"),0,IF(AND($P776="Y",$Q776&lt;&gt;"Y"),0,IF(AND($K776="Point",N($L776)&lt;=0),0,IF(AND(N($L776)&lt;=0,N($N776)&lt;=0,N($R776)+N($S776)&lt;=0),0,1)))))</f>
        <v/>
      </c>
      <c r="AA776" s="21">
        <f>IF(AND($A776="",$B776=""),"",IF($E776="","Site type missing",IF($H776="","STATUS missing",IF($H776="Proposed","STATUS = Proposed",IF($H776="Not Reported","STATUS = Not Reported",IF(AND($P776="Y",$Q776&lt;&gt;"Y"),"UNESCO-MAB Biosphere Reserve",IF(AND($K776="Point",N($L776)&lt;=0),"Point without REP_AREA",IF(AND(N($L776)&lt;=0,N($N776)&lt;=0,N($R776)+N($S776)&lt;=0),"No area information",""))))))))</f>
        <v/>
      </c>
      <c r="AB776" s="22">
        <f>IF(AND($A776="",$B776=""),"",IF($K776="Point",N($L776),IF(N($N776)&gt;0,N($N776),N($L776))))</f>
        <v/>
      </c>
      <c r="AC776" s="22">
        <f>IF(AND($A776="",$B776=""),"",MIN(AB776,IF(N($J776)=0,0,IF(N($J776)=2,AB776,IF(AND($K776&lt;&gt;"Point",N($O776)&gt;0),N($O776),N($M776))))))</f>
        <v/>
      </c>
      <c r="AD776" s="22">
        <f>IF(AND($A776="",$B776=""),"",MAX(0,AB776-AC776))</f>
        <v/>
      </c>
      <c r="AE776" s="21">
        <f>IF(AND($A776="",$B776=""),"",IF(OR($R776&lt;&gt;"",$S776&lt;&gt;""),1,0))</f>
        <v/>
      </c>
      <c r="AF776" s="22">
        <f>IF(AND($A776="",$B776=""),"",IF(Z776=1,IF(AE776=1,N($R776),AD776),0))</f>
        <v/>
      </c>
      <c r="AG776" s="22">
        <f>IF(AND($A776="",$B776=""),"",IF(Z776=1,IF(AE776=1,N($S776),AC776),0))</f>
        <v/>
      </c>
      <c r="AH776" s="21">
        <f>IF(AND($A776="",$B776=""),"",IF(AND(ISNUMBER($I776),N($I776)&gt;0),$I776,0))</f>
        <v/>
      </c>
      <c r="AI776" s="23">
        <f>IF(AND(NOT(AND($A776="",$B776="")),$K776="Point",N($L776)&gt;0),SQRT(N($L776)/PI()),"")</f>
        <v/>
      </c>
      <c r="AJ776" s="21">
        <f>IF(AND($A776="",$B776=""),"",IFERROR(VLOOKUP($G776,Lists!$D$4:$E$15,2,FALSE),"Not reported"))</f>
        <v/>
      </c>
      <c r="AK776" s="21">
        <f>IF(AND($A776="",$B776=""),"",IF($X776&lt;&gt;"",$X776,IF($T776&lt;&gt;"Y","Not assessed",IF(AND(ISNUMBER($V776),Setup!$B$6-$V776&gt;Setup!$B$26),"Assessment outdated",IF(NOT(ISNUMBER($W776)),"Assessed – no score",IF($W776&gt;=Setup!$B$24,"High",IF($W776&gt;=Setup!$B$25,"Moderate","Low")))))))</f>
        <v/>
      </c>
      <c r="AL776" s="21">
        <f>IF(AND($A776="",$B776=""),"",IF(Z776=0,"",IF(AND(AE776=1,N($R776)&gt;AD776*1.01+0.001),"Net terrestrial &gt; gross; ","")&amp;IF(AND(AE776=1,N($S776)&gt;AC776*1.01+0.001),"Net marine &gt; gross; ","")&amp;IF(AE776=0,"No net area – gross used, overlaps may be double-counted; ","")&amp;IF(AH776=0,"STATUS_YR missing – imputed in time series; ","")&amp;IF(AND(ISNUMBER($I776),N($I776)&gt;Setup!$B$6),"STATUS_YR after reporting year; ","")&amp;IF(OR($G776="",$G776="Not Reported"),"GOV_TYPE not reported; ","")&amp;IF(AND(N($J776)=1,$K776="Point",N($M776)&lt;=0),"Coastal point without REP_M_AREA – land/sea split unknown; ","")&amp;IF(AND(N($J776)=0,N($S776)&gt;0),"MARINE=0 but net marine &gt;0; ","")&amp;IF(AND(N($J776)=2,N($R776)&gt;0),"MARINE=2 but net terrestrial &gt;0; ","")&amp;IF($K776="Point","Buffered point – coverage approximate; ","")))</f>
        <v/>
      </c>
    </row>
    <row r="777">
      <c r="A777" s="19" t="n"/>
      <c r="B777" s="19" t="n"/>
      <c r="C777" s="19" t="n"/>
      <c r="D777" s="19" t="n"/>
      <c r="E777" s="19" t="n"/>
      <c r="F777" s="19" t="n"/>
      <c r="G777" s="19" t="n"/>
      <c r="H777" s="19" t="n"/>
      <c r="I777" s="19" t="n"/>
      <c r="J777" s="19" t="n"/>
      <c r="K777" s="19" t="n"/>
      <c r="L777" s="20" t="n"/>
      <c r="M777" s="20" t="n"/>
      <c r="N777" s="20" t="n"/>
      <c r="O777" s="20" t="n"/>
      <c r="P777" s="19" t="n"/>
      <c r="Q777" s="19" t="n"/>
      <c r="R777" s="20" t="n"/>
      <c r="S777" s="20" t="n"/>
      <c r="T777" s="19" t="n"/>
      <c r="U777" s="19" t="n"/>
      <c r="V777" s="19" t="n"/>
      <c r="W777" s="19" t="n"/>
      <c r="X777" s="19" t="n"/>
      <c r="Y777" s="19" t="n"/>
      <c r="Z777" s="21">
        <f>IF(AND($A777="",$B777=""),"",IF(OR($E777="",$H777="",$H777="Proposed",$H777="Not Reported"),0,IF(AND($P777="Y",$Q777&lt;&gt;"Y"),0,IF(AND($K777="Point",N($L777)&lt;=0),0,IF(AND(N($L777)&lt;=0,N($N777)&lt;=0,N($R777)+N($S777)&lt;=0),0,1)))))</f>
        <v/>
      </c>
      <c r="AA777" s="21">
        <f>IF(AND($A777="",$B777=""),"",IF($E777="","Site type missing",IF($H777="","STATUS missing",IF($H777="Proposed","STATUS = Proposed",IF($H777="Not Reported","STATUS = Not Reported",IF(AND($P777="Y",$Q777&lt;&gt;"Y"),"UNESCO-MAB Biosphere Reserve",IF(AND($K777="Point",N($L777)&lt;=0),"Point without REP_AREA",IF(AND(N($L777)&lt;=0,N($N777)&lt;=0,N($R777)+N($S777)&lt;=0),"No area information",""))))))))</f>
        <v/>
      </c>
      <c r="AB777" s="22">
        <f>IF(AND($A777="",$B777=""),"",IF($K777="Point",N($L777),IF(N($N777)&gt;0,N($N777),N($L777))))</f>
        <v/>
      </c>
      <c r="AC777" s="22">
        <f>IF(AND($A777="",$B777=""),"",MIN(AB777,IF(N($J777)=0,0,IF(N($J777)=2,AB777,IF(AND($K777&lt;&gt;"Point",N($O777)&gt;0),N($O777),N($M777))))))</f>
        <v/>
      </c>
      <c r="AD777" s="22">
        <f>IF(AND($A777="",$B777=""),"",MAX(0,AB777-AC777))</f>
        <v/>
      </c>
      <c r="AE777" s="21">
        <f>IF(AND($A777="",$B777=""),"",IF(OR($R777&lt;&gt;"",$S777&lt;&gt;""),1,0))</f>
        <v/>
      </c>
      <c r="AF777" s="22">
        <f>IF(AND($A777="",$B777=""),"",IF(Z777=1,IF(AE777=1,N($R777),AD777),0))</f>
        <v/>
      </c>
      <c r="AG777" s="22">
        <f>IF(AND($A777="",$B777=""),"",IF(Z777=1,IF(AE777=1,N($S777),AC777),0))</f>
        <v/>
      </c>
      <c r="AH777" s="21">
        <f>IF(AND($A777="",$B777=""),"",IF(AND(ISNUMBER($I777),N($I777)&gt;0),$I777,0))</f>
        <v/>
      </c>
      <c r="AI777" s="23">
        <f>IF(AND(NOT(AND($A777="",$B777="")),$K777="Point",N($L777)&gt;0),SQRT(N($L777)/PI()),"")</f>
        <v/>
      </c>
      <c r="AJ777" s="21">
        <f>IF(AND($A777="",$B777=""),"",IFERROR(VLOOKUP($G777,Lists!$D$4:$E$15,2,FALSE),"Not reported"))</f>
        <v/>
      </c>
      <c r="AK777" s="21">
        <f>IF(AND($A777="",$B777=""),"",IF($X777&lt;&gt;"",$X777,IF($T777&lt;&gt;"Y","Not assessed",IF(AND(ISNUMBER($V777),Setup!$B$6-$V777&gt;Setup!$B$26),"Assessment outdated",IF(NOT(ISNUMBER($W777)),"Assessed – no score",IF($W777&gt;=Setup!$B$24,"High",IF($W777&gt;=Setup!$B$25,"Moderate","Low")))))))</f>
        <v/>
      </c>
      <c r="AL777" s="21">
        <f>IF(AND($A777="",$B777=""),"",IF(Z777=0,"",IF(AND(AE777=1,N($R777)&gt;AD777*1.01+0.001),"Net terrestrial &gt; gross; ","")&amp;IF(AND(AE777=1,N($S777)&gt;AC777*1.01+0.001),"Net marine &gt; gross; ","")&amp;IF(AE777=0,"No net area – gross used, overlaps may be double-counted; ","")&amp;IF(AH777=0,"STATUS_YR missing – imputed in time series; ","")&amp;IF(AND(ISNUMBER($I777),N($I777)&gt;Setup!$B$6),"STATUS_YR after reporting year; ","")&amp;IF(OR($G777="",$G777="Not Reported"),"GOV_TYPE not reported; ","")&amp;IF(AND(N($J777)=1,$K777="Point",N($M777)&lt;=0),"Coastal point without REP_M_AREA – land/sea split unknown; ","")&amp;IF(AND(N($J777)=0,N($S777)&gt;0),"MARINE=0 but net marine &gt;0; ","")&amp;IF(AND(N($J777)=2,N($R777)&gt;0),"MARINE=2 but net terrestrial &gt;0; ","")&amp;IF($K777="Point","Buffered point – coverage approximate; ","")))</f>
        <v/>
      </c>
    </row>
    <row r="778">
      <c r="A778" s="19" t="n"/>
      <c r="B778" s="19" t="n"/>
      <c r="C778" s="19" t="n"/>
      <c r="D778" s="19" t="n"/>
      <c r="E778" s="19" t="n"/>
      <c r="F778" s="19" t="n"/>
      <c r="G778" s="19" t="n"/>
      <c r="H778" s="19" t="n"/>
      <c r="I778" s="19" t="n"/>
      <c r="J778" s="19" t="n"/>
      <c r="K778" s="19" t="n"/>
      <c r="L778" s="20" t="n"/>
      <c r="M778" s="20" t="n"/>
      <c r="N778" s="20" t="n"/>
      <c r="O778" s="20" t="n"/>
      <c r="P778" s="19" t="n"/>
      <c r="Q778" s="19" t="n"/>
      <c r="R778" s="20" t="n"/>
      <c r="S778" s="20" t="n"/>
      <c r="T778" s="19" t="n"/>
      <c r="U778" s="19" t="n"/>
      <c r="V778" s="19" t="n"/>
      <c r="W778" s="19" t="n"/>
      <c r="X778" s="19" t="n"/>
      <c r="Y778" s="19" t="n"/>
      <c r="Z778" s="21">
        <f>IF(AND($A778="",$B778=""),"",IF(OR($E778="",$H778="",$H778="Proposed",$H778="Not Reported"),0,IF(AND($P778="Y",$Q778&lt;&gt;"Y"),0,IF(AND($K778="Point",N($L778)&lt;=0),0,IF(AND(N($L778)&lt;=0,N($N778)&lt;=0,N($R778)+N($S778)&lt;=0),0,1)))))</f>
        <v/>
      </c>
      <c r="AA778" s="21">
        <f>IF(AND($A778="",$B778=""),"",IF($E778="","Site type missing",IF($H778="","STATUS missing",IF($H778="Proposed","STATUS = Proposed",IF($H778="Not Reported","STATUS = Not Reported",IF(AND($P778="Y",$Q778&lt;&gt;"Y"),"UNESCO-MAB Biosphere Reserve",IF(AND($K778="Point",N($L778)&lt;=0),"Point without REP_AREA",IF(AND(N($L778)&lt;=0,N($N778)&lt;=0,N($R778)+N($S778)&lt;=0),"No area information",""))))))))</f>
        <v/>
      </c>
      <c r="AB778" s="22">
        <f>IF(AND($A778="",$B778=""),"",IF($K778="Point",N($L778),IF(N($N778)&gt;0,N($N778),N($L778))))</f>
        <v/>
      </c>
      <c r="AC778" s="22">
        <f>IF(AND($A778="",$B778=""),"",MIN(AB778,IF(N($J778)=0,0,IF(N($J778)=2,AB778,IF(AND($K778&lt;&gt;"Point",N($O778)&gt;0),N($O778),N($M778))))))</f>
        <v/>
      </c>
      <c r="AD778" s="22">
        <f>IF(AND($A778="",$B778=""),"",MAX(0,AB778-AC778))</f>
        <v/>
      </c>
      <c r="AE778" s="21">
        <f>IF(AND($A778="",$B778=""),"",IF(OR($R778&lt;&gt;"",$S778&lt;&gt;""),1,0))</f>
        <v/>
      </c>
      <c r="AF778" s="22">
        <f>IF(AND($A778="",$B778=""),"",IF(Z778=1,IF(AE778=1,N($R778),AD778),0))</f>
        <v/>
      </c>
      <c r="AG778" s="22">
        <f>IF(AND($A778="",$B778=""),"",IF(Z778=1,IF(AE778=1,N($S778),AC778),0))</f>
        <v/>
      </c>
      <c r="AH778" s="21">
        <f>IF(AND($A778="",$B778=""),"",IF(AND(ISNUMBER($I778),N($I778)&gt;0),$I778,0))</f>
        <v/>
      </c>
      <c r="AI778" s="23">
        <f>IF(AND(NOT(AND($A778="",$B778="")),$K778="Point",N($L778)&gt;0),SQRT(N($L778)/PI()),"")</f>
        <v/>
      </c>
      <c r="AJ778" s="21">
        <f>IF(AND($A778="",$B778=""),"",IFERROR(VLOOKUP($G778,Lists!$D$4:$E$15,2,FALSE),"Not reported"))</f>
        <v/>
      </c>
      <c r="AK778" s="21">
        <f>IF(AND($A778="",$B778=""),"",IF($X778&lt;&gt;"",$X778,IF($T778&lt;&gt;"Y","Not assessed",IF(AND(ISNUMBER($V778),Setup!$B$6-$V778&gt;Setup!$B$26),"Assessment outdated",IF(NOT(ISNUMBER($W778)),"Assessed – no score",IF($W778&gt;=Setup!$B$24,"High",IF($W778&gt;=Setup!$B$25,"Moderate","Low")))))))</f>
        <v/>
      </c>
      <c r="AL778" s="21">
        <f>IF(AND($A778="",$B778=""),"",IF(Z778=0,"",IF(AND(AE778=1,N($R778)&gt;AD778*1.01+0.001),"Net terrestrial &gt; gross; ","")&amp;IF(AND(AE778=1,N($S778)&gt;AC778*1.01+0.001),"Net marine &gt; gross; ","")&amp;IF(AE778=0,"No net area – gross used, overlaps may be double-counted; ","")&amp;IF(AH778=0,"STATUS_YR missing – imputed in time series; ","")&amp;IF(AND(ISNUMBER($I778),N($I778)&gt;Setup!$B$6),"STATUS_YR after reporting year; ","")&amp;IF(OR($G778="",$G778="Not Reported"),"GOV_TYPE not reported; ","")&amp;IF(AND(N($J778)=1,$K778="Point",N($M778)&lt;=0),"Coastal point without REP_M_AREA – land/sea split unknown; ","")&amp;IF(AND(N($J778)=0,N($S778)&gt;0),"MARINE=0 but net marine &gt;0; ","")&amp;IF(AND(N($J778)=2,N($R778)&gt;0),"MARINE=2 but net terrestrial &gt;0; ","")&amp;IF($K778="Point","Buffered point – coverage approximate; ","")))</f>
        <v/>
      </c>
    </row>
    <row r="779">
      <c r="A779" s="19" t="n"/>
      <c r="B779" s="19" t="n"/>
      <c r="C779" s="19" t="n"/>
      <c r="D779" s="19" t="n"/>
      <c r="E779" s="19" t="n"/>
      <c r="F779" s="19" t="n"/>
      <c r="G779" s="19" t="n"/>
      <c r="H779" s="19" t="n"/>
      <c r="I779" s="19" t="n"/>
      <c r="J779" s="19" t="n"/>
      <c r="K779" s="19" t="n"/>
      <c r="L779" s="20" t="n"/>
      <c r="M779" s="20" t="n"/>
      <c r="N779" s="20" t="n"/>
      <c r="O779" s="20" t="n"/>
      <c r="P779" s="19" t="n"/>
      <c r="Q779" s="19" t="n"/>
      <c r="R779" s="20" t="n"/>
      <c r="S779" s="20" t="n"/>
      <c r="T779" s="19" t="n"/>
      <c r="U779" s="19" t="n"/>
      <c r="V779" s="19" t="n"/>
      <c r="W779" s="19" t="n"/>
      <c r="X779" s="19" t="n"/>
      <c r="Y779" s="19" t="n"/>
      <c r="Z779" s="21">
        <f>IF(AND($A779="",$B779=""),"",IF(OR($E779="",$H779="",$H779="Proposed",$H779="Not Reported"),0,IF(AND($P779="Y",$Q779&lt;&gt;"Y"),0,IF(AND($K779="Point",N($L779)&lt;=0),0,IF(AND(N($L779)&lt;=0,N($N779)&lt;=0,N($R779)+N($S779)&lt;=0),0,1)))))</f>
        <v/>
      </c>
      <c r="AA779" s="21">
        <f>IF(AND($A779="",$B779=""),"",IF($E779="","Site type missing",IF($H779="","STATUS missing",IF($H779="Proposed","STATUS = Proposed",IF($H779="Not Reported","STATUS = Not Reported",IF(AND($P779="Y",$Q779&lt;&gt;"Y"),"UNESCO-MAB Biosphere Reserve",IF(AND($K779="Point",N($L779)&lt;=0),"Point without REP_AREA",IF(AND(N($L779)&lt;=0,N($N779)&lt;=0,N($R779)+N($S779)&lt;=0),"No area information",""))))))))</f>
        <v/>
      </c>
      <c r="AB779" s="22">
        <f>IF(AND($A779="",$B779=""),"",IF($K779="Point",N($L779),IF(N($N779)&gt;0,N($N779),N($L779))))</f>
        <v/>
      </c>
      <c r="AC779" s="22">
        <f>IF(AND($A779="",$B779=""),"",MIN(AB779,IF(N($J779)=0,0,IF(N($J779)=2,AB779,IF(AND($K779&lt;&gt;"Point",N($O779)&gt;0),N($O779),N($M779))))))</f>
        <v/>
      </c>
      <c r="AD779" s="22">
        <f>IF(AND($A779="",$B779=""),"",MAX(0,AB779-AC779))</f>
        <v/>
      </c>
      <c r="AE779" s="21">
        <f>IF(AND($A779="",$B779=""),"",IF(OR($R779&lt;&gt;"",$S779&lt;&gt;""),1,0))</f>
        <v/>
      </c>
      <c r="AF779" s="22">
        <f>IF(AND($A779="",$B779=""),"",IF(Z779=1,IF(AE779=1,N($R779),AD779),0))</f>
        <v/>
      </c>
      <c r="AG779" s="22">
        <f>IF(AND($A779="",$B779=""),"",IF(Z779=1,IF(AE779=1,N($S779),AC779),0))</f>
        <v/>
      </c>
      <c r="AH779" s="21">
        <f>IF(AND($A779="",$B779=""),"",IF(AND(ISNUMBER($I779),N($I779)&gt;0),$I779,0))</f>
        <v/>
      </c>
      <c r="AI779" s="23">
        <f>IF(AND(NOT(AND($A779="",$B779="")),$K779="Point",N($L779)&gt;0),SQRT(N($L779)/PI()),"")</f>
        <v/>
      </c>
      <c r="AJ779" s="21">
        <f>IF(AND($A779="",$B779=""),"",IFERROR(VLOOKUP($G779,Lists!$D$4:$E$15,2,FALSE),"Not reported"))</f>
        <v/>
      </c>
      <c r="AK779" s="21">
        <f>IF(AND($A779="",$B779=""),"",IF($X779&lt;&gt;"",$X779,IF($T779&lt;&gt;"Y","Not assessed",IF(AND(ISNUMBER($V779),Setup!$B$6-$V779&gt;Setup!$B$26),"Assessment outdated",IF(NOT(ISNUMBER($W779)),"Assessed – no score",IF($W779&gt;=Setup!$B$24,"High",IF($W779&gt;=Setup!$B$25,"Moderate","Low")))))))</f>
        <v/>
      </c>
      <c r="AL779" s="21">
        <f>IF(AND($A779="",$B779=""),"",IF(Z779=0,"",IF(AND(AE779=1,N($R779)&gt;AD779*1.01+0.001),"Net terrestrial &gt; gross; ","")&amp;IF(AND(AE779=1,N($S779)&gt;AC779*1.01+0.001),"Net marine &gt; gross; ","")&amp;IF(AE779=0,"No net area – gross used, overlaps may be double-counted; ","")&amp;IF(AH779=0,"STATUS_YR missing – imputed in time series; ","")&amp;IF(AND(ISNUMBER($I779),N($I779)&gt;Setup!$B$6),"STATUS_YR after reporting year; ","")&amp;IF(OR($G779="",$G779="Not Reported"),"GOV_TYPE not reported; ","")&amp;IF(AND(N($J779)=1,$K779="Point",N($M779)&lt;=0),"Coastal point without REP_M_AREA – land/sea split unknown; ","")&amp;IF(AND(N($J779)=0,N($S779)&gt;0),"MARINE=0 but net marine &gt;0; ","")&amp;IF(AND(N($J779)=2,N($R779)&gt;0),"MARINE=2 but net terrestrial &gt;0; ","")&amp;IF($K779="Point","Buffered point – coverage approximate; ","")))</f>
        <v/>
      </c>
    </row>
    <row r="780">
      <c r="A780" s="19" t="n"/>
      <c r="B780" s="19" t="n"/>
      <c r="C780" s="19" t="n"/>
      <c r="D780" s="19" t="n"/>
      <c r="E780" s="19" t="n"/>
      <c r="F780" s="19" t="n"/>
      <c r="G780" s="19" t="n"/>
      <c r="H780" s="19" t="n"/>
      <c r="I780" s="19" t="n"/>
      <c r="J780" s="19" t="n"/>
      <c r="K780" s="19" t="n"/>
      <c r="L780" s="20" t="n"/>
      <c r="M780" s="20" t="n"/>
      <c r="N780" s="20" t="n"/>
      <c r="O780" s="20" t="n"/>
      <c r="P780" s="19" t="n"/>
      <c r="Q780" s="19" t="n"/>
      <c r="R780" s="20" t="n"/>
      <c r="S780" s="20" t="n"/>
      <c r="T780" s="19" t="n"/>
      <c r="U780" s="19" t="n"/>
      <c r="V780" s="19" t="n"/>
      <c r="W780" s="19" t="n"/>
      <c r="X780" s="19" t="n"/>
      <c r="Y780" s="19" t="n"/>
      <c r="Z780" s="21">
        <f>IF(AND($A780="",$B780=""),"",IF(OR($E780="",$H780="",$H780="Proposed",$H780="Not Reported"),0,IF(AND($P780="Y",$Q780&lt;&gt;"Y"),0,IF(AND($K780="Point",N($L780)&lt;=0),0,IF(AND(N($L780)&lt;=0,N($N780)&lt;=0,N($R780)+N($S780)&lt;=0),0,1)))))</f>
        <v/>
      </c>
      <c r="AA780" s="21">
        <f>IF(AND($A780="",$B780=""),"",IF($E780="","Site type missing",IF($H780="","STATUS missing",IF($H780="Proposed","STATUS = Proposed",IF($H780="Not Reported","STATUS = Not Reported",IF(AND($P780="Y",$Q780&lt;&gt;"Y"),"UNESCO-MAB Biosphere Reserve",IF(AND($K780="Point",N($L780)&lt;=0),"Point without REP_AREA",IF(AND(N($L780)&lt;=0,N($N780)&lt;=0,N($R780)+N($S780)&lt;=0),"No area information",""))))))))</f>
        <v/>
      </c>
      <c r="AB780" s="22">
        <f>IF(AND($A780="",$B780=""),"",IF($K780="Point",N($L780),IF(N($N780)&gt;0,N($N780),N($L780))))</f>
        <v/>
      </c>
      <c r="AC780" s="22">
        <f>IF(AND($A780="",$B780=""),"",MIN(AB780,IF(N($J780)=0,0,IF(N($J780)=2,AB780,IF(AND($K780&lt;&gt;"Point",N($O780)&gt;0),N($O780),N($M780))))))</f>
        <v/>
      </c>
      <c r="AD780" s="22">
        <f>IF(AND($A780="",$B780=""),"",MAX(0,AB780-AC780))</f>
        <v/>
      </c>
      <c r="AE780" s="21">
        <f>IF(AND($A780="",$B780=""),"",IF(OR($R780&lt;&gt;"",$S780&lt;&gt;""),1,0))</f>
        <v/>
      </c>
      <c r="AF780" s="22">
        <f>IF(AND($A780="",$B780=""),"",IF(Z780=1,IF(AE780=1,N($R780),AD780),0))</f>
        <v/>
      </c>
      <c r="AG780" s="22">
        <f>IF(AND($A780="",$B780=""),"",IF(Z780=1,IF(AE780=1,N($S780),AC780),0))</f>
        <v/>
      </c>
      <c r="AH780" s="21">
        <f>IF(AND($A780="",$B780=""),"",IF(AND(ISNUMBER($I780),N($I780)&gt;0),$I780,0))</f>
        <v/>
      </c>
      <c r="AI780" s="23">
        <f>IF(AND(NOT(AND($A780="",$B780="")),$K780="Point",N($L780)&gt;0),SQRT(N($L780)/PI()),"")</f>
        <v/>
      </c>
      <c r="AJ780" s="21">
        <f>IF(AND($A780="",$B780=""),"",IFERROR(VLOOKUP($G780,Lists!$D$4:$E$15,2,FALSE),"Not reported"))</f>
        <v/>
      </c>
      <c r="AK780" s="21">
        <f>IF(AND($A780="",$B780=""),"",IF($X780&lt;&gt;"",$X780,IF($T780&lt;&gt;"Y","Not assessed",IF(AND(ISNUMBER($V780),Setup!$B$6-$V780&gt;Setup!$B$26),"Assessment outdated",IF(NOT(ISNUMBER($W780)),"Assessed – no score",IF($W780&gt;=Setup!$B$24,"High",IF($W780&gt;=Setup!$B$25,"Moderate","Low")))))))</f>
        <v/>
      </c>
      <c r="AL780" s="21">
        <f>IF(AND($A780="",$B780=""),"",IF(Z780=0,"",IF(AND(AE780=1,N($R780)&gt;AD780*1.01+0.001),"Net terrestrial &gt; gross; ","")&amp;IF(AND(AE780=1,N($S780)&gt;AC780*1.01+0.001),"Net marine &gt; gross; ","")&amp;IF(AE780=0,"No net area – gross used, overlaps may be double-counted; ","")&amp;IF(AH780=0,"STATUS_YR missing – imputed in time series; ","")&amp;IF(AND(ISNUMBER($I780),N($I780)&gt;Setup!$B$6),"STATUS_YR after reporting year; ","")&amp;IF(OR($G780="",$G780="Not Reported"),"GOV_TYPE not reported; ","")&amp;IF(AND(N($J780)=1,$K780="Point",N($M780)&lt;=0),"Coastal point without REP_M_AREA – land/sea split unknown; ","")&amp;IF(AND(N($J780)=0,N($S780)&gt;0),"MARINE=0 but net marine &gt;0; ","")&amp;IF(AND(N($J780)=2,N($R780)&gt;0),"MARINE=2 but net terrestrial &gt;0; ","")&amp;IF($K780="Point","Buffered point – coverage approximate; ","")))</f>
        <v/>
      </c>
    </row>
    <row r="781">
      <c r="A781" s="19" t="n"/>
      <c r="B781" s="19" t="n"/>
      <c r="C781" s="19" t="n"/>
      <c r="D781" s="19" t="n"/>
      <c r="E781" s="19" t="n"/>
      <c r="F781" s="19" t="n"/>
      <c r="G781" s="19" t="n"/>
      <c r="H781" s="19" t="n"/>
      <c r="I781" s="19" t="n"/>
      <c r="J781" s="19" t="n"/>
      <c r="K781" s="19" t="n"/>
      <c r="L781" s="20" t="n"/>
      <c r="M781" s="20" t="n"/>
      <c r="N781" s="20" t="n"/>
      <c r="O781" s="20" t="n"/>
      <c r="P781" s="19" t="n"/>
      <c r="Q781" s="19" t="n"/>
      <c r="R781" s="20" t="n"/>
      <c r="S781" s="20" t="n"/>
      <c r="T781" s="19" t="n"/>
      <c r="U781" s="19" t="n"/>
      <c r="V781" s="19" t="n"/>
      <c r="W781" s="19" t="n"/>
      <c r="X781" s="19" t="n"/>
      <c r="Y781" s="19" t="n"/>
      <c r="Z781" s="21">
        <f>IF(AND($A781="",$B781=""),"",IF(OR($E781="",$H781="",$H781="Proposed",$H781="Not Reported"),0,IF(AND($P781="Y",$Q781&lt;&gt;"Y"),0,IF(AND($K781="Point",N($L781)&lt;=0),0,IF(AND(N($L781)&lt;=0,N($N781)&lt;=0,N($R781)+N($S781)&lt;=0),0,1)))))</f>
        <v/>
      </c>
      <c r="AA781" s="21">
        <f>IF(AND($A781="",$B781=""),"",IF($E781="","Site type missing",IF($H781="","STATUS missing",IF($H781="Proposed","STATUS = Proposed",IF($H781="Not Reported","STATUS = Not Reported",IF(AND($P781="Y",$Q781&lt;&gt;"Y"),"UNESCO-MAB Biosphere Reserve",IF(AND($K781="Point",N($L781)&lt;=0),"Point without REP_AREA",IF(AND(N($L781)&lt;=0,N($N781)&lt;=0,N($R781)+N($S781)&lt;=0),"No area information",""))))))))</f>
        <v/>
      </c>
      <c r="AB781" s="22">
        <f>IF(AND($A781="",$B781=""),"",IF($K781="Point",N($L781),IF(N($N781)&gt;0,N($N781),N($L781))))</f>
        <v/>
      </c>
      <c r="AC781" s="22">
        <f>IF(AND($A781="",$B781=""),"",MIN(AB781,IF(N($J781)=0,0,IF(N($J781)=2,AB781,IF(AND($K781&lt;&gt;"Point",N($O781)&gt;0),N($O781),N($M781))))))</f>
        <v/>
      </c>
      <c r="AD781" s="22">
        <f>IF(AND($A781="",$B781=""),"",MAX(0,AB781-AC781))</f>
        <v/>
      </c>
      <c r="AE781" s="21">
        <f>IF(AND($A781="",$B781=""),"",IF(OR($R781&lt;&gt;"",$S781&lt;&gt;""),1,0))</f>
        <v/>
      </c>
      <c r="AF781" s="22">
        <f>IF(AND($A781="",$B781=""),"",IF(Z781=1,IF(AE781=1,N($R781),AD781),0))</f>
        <v/>
      </c>
      <c r="AG781" s="22">
        <f>IF(AND($A781="",$B781=""),"",IF(Z781=1,IF(AE781=1,N($S781),AC781),0))</f>
        <v/>
      </c>
      <c r="AH781" s="21">
        <f>IF(AND($A781="",$B781=""),"",IF(AND(ISNUMBER($I781),N($I781)&gt;0),$I781,0))</f>
        <v/>
      </c>
      <c r="AI781" s="23">
        <f>IF(AND(NOT(AND($A781="",$B781="")),$K781="Point",N($L781)&gt;0),SQRT(N($L781)/PI()),"")</f>
        <v/>
      </c>
      <c r="AJ781" s="21">
        <f>IF(AND($A781="",$B781=""),"",IFERROR(VLOOKUP($G781,Lists!$D$4:$E$15,2,FALSE),"Not reported"))</f>
        <v/>
      </c>
      <c r="AK781" s="21">
        <f>IF(AND($A781="",$B781=""),"",IF($X781&lt;&gt;"",$X781,IF($T781&lt;&gt;"Y","Not assessed",IF(AND(ISNUMBER($V781),Setup!$B$6-$V781&gt;Setup!$B$26),"Assessment outdated",IF(NOT(ISNUMBER($W781)),"Assessed – no score",IF($W781&gt;=Setup!$B$24,"High",IF($W781&gt;=Setup!$B$25,"Moderate","Low")))))))</f>
        <v/>
      </c>
      <c r="AL781" s="21">
        <f>IF(AND($A781="",$B781=""),"",IF(Z781=0,"",IF(AND(AE781=1,N($R781)&gt;AD781*1.01+0.001),"Net terrestrial &gt; gross; ","")&amp;IF(AND(AE781=1,N($S781)&gt;AC781*1.01+0.001),"Net marine &gt; gross; ","")&amp;IF(AE781=0,"No net area – gross used, overlaps may be double-counted; ","")&amp;IF(AH781=0,"STATUS_YR missing – imputed in time series; ","")&amp;IF(AND(ISNUMBER($I781),N($I781)&gt;Setup!$B$6),"STATUS_YR after reporting year; ","")&amp;IF(OR($G781="",$G781="Not Reported"),"GOV_TYPE not reported; ","")&amp;IF(AND(N($J781)=1,$K781="Point",N($M781)&lt;=0),"Coastal point without REP_M_AREA – land/sea split unknown; ","")&amp;IF(AND(N($J781)=0,N($S781)&gt;0),"MARINE=0 but net marine &gt;0; ","")&amp;IF(AND(N($J781)=2,N($R781)&gt;0),"MARINE=2 but net terrestrial &gt;0; ","")&amp;IF($K781="Point","Buffered point – coverage approximate; ","")))</f>
        <v/>
      </c>
    </row>
    <row r="782">
      <c r="A782" s="19" t="n"/>
      <c r="B782" s="19" t="n"/>
      <c r="C782" s="19" t="n"/>
      <c r="D782" s="19" t="n"/>
      <c r="E782" s="19" t="n"/>
      <c r="F782" s="19" t="n"/>
      <c r="G782" s="19" t="n"/>
      <c r="H782" s="19" t="n"/>
      <c r="I782" s="19" t="n"/>
      <c r="J782" s="19" t="n"/>
      <c r="K782" s="19" t="n"/>
      <c r="L782" s="20" t="n"/>
      <c r="M782" s="20" t="n"/>
      <c r="N782" s="20" t="n"/>
      <c r="O782" s="20" t="n"/>
      <c r="P782" s="19" t="n"/>
      <c r="Q782" s="19" t="n"/>
      <c r="R782" s="20" t="n"/>
      <c r="S782" s="20" t="n"/>
      <c r="T782" s="19" t="n"/>
      <c r="U782" s="19" t="n"/>
      <c r="V782" s="19" t="n"/>
      <c r="W782" s="19" t="n"/>
      <c r="X782" s="19" t="n"/>
      <c r="Y782" s="19" t="n"/>
      <c r="Z782" s="21">
        <f>IF(AND($A782="",$B782=""),"",IF(OR($E782="",$H782="",$H782="Proposed",$H782="Not Reported"),0,IF(AND($P782="Y",$Q782&lt;&gt;"Y"),0,IF(AND($K782="Point",N($L782)&lt;=0),0,IF(AND(N($L782)&lt;=0,N($N782)&lt;=0,N($R782)+N($S782)&lt;=0),0,1)))))</f>
        <v/>
      </c>
      <c r="AA782" s="21">
        <f>IF(AND($A782="",$B782=""),"",IF($E782="","Site type missing",IF($H782="","STATUS missing",IF($H782="Proposed","STATUS = Proposed",IF($H782="Not Reported","STATUS = Not Reported",IF(AND($P782="Y",$Q782&lt;&gt;"Y"),"UNESCO-MAB Biosphere Reserve",IF(AND($K782="Point",N($L782)&lt;=0),"Point without REP_AREA",IF(AND(N($L782)&lt;=0,N($N782)&lt;=0,N($R782)+N($S782)&lt;=0),"No area information",""))))))))</f>
        <v/>
      </c>
      <c r="AB782" s="22">
        <f>IF(AND($A782="",$B782=""),"",IF($K782="Point",N($L782),IF(N($N782)&gt;0,N($N782),N($L782))))</f>
        <v/>
      </c>
      <c r="AC782" s="22">
        <f>IF(AND($A782="",$B782=""),"",MIN(AB782,IF(N($J782)=0,0,IF(N($J782)=2,AB782,IF(AND($K782&lt;&gt;"Point",N($O782)&gt;0),N($O782),N($M782))))))</f>
        <v/>
      </c>
      <c r="AD782" s="22">
        <f>IF(AND($A782="",$B782=""),"",MAX(0,AB782-AC782))</f>
        <v/>
      </c>
      <c r="AE782" s="21">
        <f>IF(AND($A782="",$B782=""),"",IF(OR($R782&lt;&gt;"",$S782&lt;&gt;""),1,0))</f>
        <v/>
      </c>
      <c r="AF782" s="22">
        <f>IF(AND($A782="",$B782=""),"",IF(Z782=1,IF(AE782=1,N($R782),AD782),0))</f>
        <v/>
      </c>
      <c r="AG782" s="22">
        <f>IF(AND($A782="",$B782=""),"",IF(Z782=1,IF(AE782=1,N($S782),AC782),0))</f>
        <v/>
      </c>
      <c r="AH782" s="21">
        <f>IF(AND($A782="",$B782=""),"",IF(AND(ISNUMBER($I782),N($I782)&gt;0),$I782,0))</f>
        <v/>
      </c>
      <c r="AI782" s="23">
        <f>IF(AND(NOT(AND($A782="",$B782="")),$K782="Point",N($L782)&gt;0),SQRT(N($L782)/PI()),"")</f>
        <v/>
      </c>
      <c r="AJ782" s="21">
        <f>IF(AND($A782="",$B782=""),"",IFERROR(VLOOKUP($G782,Lists!$D$4:$E$15,2,FALSE),"Not reported"))</f>
        <v/>
      </c>
      <c r="AK782" s="21">
        <f>IF(AND($A782="",$B782=""),"",IF($X782&lt;&gt;"",$X782,IF($T782&lt;&gt;"Y","Not assessed",IF(AND(ISNUMBER($V782),Setup!$B$6-$V782&gt;Setup!$B$26),"Assessment outdated",IF(NOT(ISNUMBER($W782)),"Assessed – no score",IF($W782&gt;=Setup!$B$24,"High",IF($W782&gt;=Setup!$B$25,"Moderate","Low")))))))</f>
        <v/>
      </c>
      <c r="AL782" s="21">
        <f>IF(AND($A782="",$B782=""),"",IF(Z782=0,"",IF(AND(AE782=1,N($R782)&gt;AD782*1.01+0.001),"Net terrestrial &gt; gross; ","")&amp;IF(AND(AE782=1,N($S782)&gt;AC782*1.01+0.001),"Net marine &gt; gross; ","")&amp;IF(AE782=0,"No net area – gross used, overlaps may be double-counted; ","")&amp;IF(AH782=0,"STATUS_YR missing – imputed in time series; ","")&amp;IF(AND(ISNUMBER($I782),N($I782)&gt;Setup!$B$6),"STATUS_YR after reporting year; ","")&amp;IF(OR($G782="",$G782="Not Reported"),"GOV_TYPE not reported; ","")&amp;IF(AND(N($J782)=1,$K782="Point",N($M782)&lt;=0),"Coastal point without REP_M_AREA – land/sea split unknown; ","")&amp;IF(AND(N($J782)=0,N($S782)&gt;0),"MARINE=0 but net marine &gt;0; ","")&amp;IF(AND(N($J782)=2,N($R782)&gt;0),"MARINE=2 but net terrestrial &gt;0; ","")&amp;IF($K782="Point","Buffered point – coverage approximate; ","")))</f>
        <v/>
      </c>
    </row>
    <row r="783">
      <c r="A783" s="19" t="n"/>
      <c r="B783" s="19" t="n"/>
      <c r="C783" s="19" t="n"/>
      <c r="D783" s="19" t="n"/>
      <c r="E783" s="19" t="n"/>
      <c r="F783" s="19" t="n"/>
      <c r="G783" s="19" t="n"/>
      <c r="H783" s="19" t="n"/>
      <c r="I783" s="19" t="n"/>
      <c r="J783" s="19" t="n"/>
      <c r="K783" s="19" t="n"/>
      <c r="L783" s="20" t="n"/>
      <c r="M783" s="20" t="n"/>
      <c r="N783" s="20" t="n"/>
      <c r="O783" s="20" t="n"/>
      <c r="P783" s="19" t="n"/>
      <c r="Q783" s="19" t="n"/>
      <c r="R783" s="20" t="n"/>
      <c r="S783" s="20" t="n"/>
      <c r="T783" s="19" t="n"/>
      <c r="U783" s="19" t="n"/>
      <c r="V783" s="19" t="n"/>
      <c r="W783" s="19" t="n"/>
      <c r="X783" s="19" t="n"/>
      <c r="Y783" s="19" t="n"/>
      <c r="Z783" s="21">
        <f>IF(AND($A783="",$B783=""),"",IF(OR($E783="",$H783="",$H783="Proposed",$H783="Not Reported"),0,IF(AND($P783="Y",$Q783&lt;&gt;"Y"),0,IF(AND($K783="Point",N($L783)&lt;=0),0,IF(AND(N($L783)&lt;=0,N($N783)&lt;=0,N($R783)+N($S783)&lt;=0),0,1)))))</f>
        <v/>
      </c>
      <c r="AA783" s="21">
        <f>IF(AND($A783="",$B783=""),"",IF($E783="","Site type missing",IF($H783="","STATUS missing",IF($H783="Proposed","STATUS = Proposed",IF($H783="Not Reported","STATUS = Not Reported",IF(AND($P783="Y",$Q783&lt;&gt;"Y"),"UNESCO-MAB Biosphere Reserve",IF(AND($K783="Point",N($L783)&lt;=0),"Point without REP_AREA",IF(AND(N($L783)&lt;=0,N($N783)&lt;=0,N($R783)+N($S783)&lt;=0),"No area information",""))))))))</f>
        <v/>
      </c>
      <c r="AB783" s="22">
        <f>IF(AND($A783="",$B783=""),"",IF($K783="Point",N($L783),IF(N($N783)&gt;0,N($N783),N($L783))))</f>
        <v/>
      </c>
      <c r="AC783" s="22">
        <f>IF(AND($A783="",$B783=""),"",MIN(AB783,IF(N($J783)=0,0,IF(N($J783)=2,AB783,IF(AND($K783&lt;&gt;"Point",N($O783)&gt;0),N($O783),N($M783))))))</f>
        <v/>
      </c>
      <c r="AD783" s="22">
        <f>IF(AND($A783="",$B783=""),"",MAX(0,AB783-AC783))</f>
        <v/>
      </c>
      <c r="AE783" s="21">
        <f>IF(AND($A783="",$B783=""),"",IF(OR($R783&lt;&gt;"",$S783&lt;&gt;""),1,0))</f>
        <v/>
      </c>
      <c r="AF783" s="22">
        <f>IF(AND($A783="",$B783=""),"",IF(Z783=1,IF(AE783=1,N($R783),AD783),0))</f>
        <v/>
      </c>
      <c r="AG783" s="22">
        <f>IF(AND($A783="",$B783=""),"",IF(Z783=1,IF(AE783=1,N($S783),AC783),0))</f>
        <v/>
      </c>
      <c r="AH783" s="21">
        <f>IF(AND($A783="",$B783=""),"",IF(AND(ISNUMBER($I783),N($I783)&gt;0),$I783,0))</f>
        <v/>
      </c>
      <c r="AI783" s="23">
        <f>IF(AND(NOT(AND($A783="",$B783="")),$K783="Point",N($L783)&gt;0),SQRT(N($L783)/PI()),"")</f>
        <v/>
      </c>
      <c r="AJ783" s="21">
        <f>IF(AND($A783="",$B783=""),"",IFERROR(VLOOKUP($G783,Lists!$D$4:$E$15,2,FALSE),"Not reported"))</f>
        <v/>
      </c>
      <c r="AK783" s="21">
        <f>IF(AND($A783="",$B783=""),"",IF($X783&lt;&gt;"",$X783,IF($T783&lt;&gt;"Y","Not assessed",IF(AND(ISNUMBER($V783),Setup!$B$6-$V783&gt;Setup!$B$26),"Assessment outdated",IF(NOT(ISNUMBER($W783)),"Assessed – no score",IF($W783&gt;=Setup!$B$24,"High",IF($W783&gt;=Setup!$B$25,"Moderate","Low")))))))</f>
        <v/>
      </c>
      <c r="AL783" s="21">
        <f>IF(AND($A783="",$B783=""),"",IF(Z783=0,"",IF(AND(AE783=1,N($R783)&gt;AD783*1.01+0.001),"Net terrestrial &gt; gross; ","")&amp;IF(AND(AE783=1,N($S783)&gt;AC783*1.01+0.001),"Net marine &gt; gross; ","")&amp;IF(AE783=0,"No net area – gross used, overlaps may be double-counted; ","")&amp;IF(AH783=0,"STATUS_YR missing – imputed in time series; ","")&amp;IF(AND(ISNUMBER($I783),N($I783)&gt;Setup!$B$6),"STATUS_YR after reporting year; ","")&amp;IF(OR($G783="",$G783="Not Reported"),"GOV_TYPE not reported; ","")&amp;IF(AND(N($J783)=1,$K783="Point",N($M783)&lt;=0),"Coastal point without REP_M_AREA – land/sea split unknown; ","")&amp;IF(AND(N($J783)=0,N($S783)&gt;0),"MARINE=0 but net marine &gt;0; ","")&amp;IF(AND(N($J783)=2,N($R783)&gt;0),"MARINE=2 but net terrestrial &gt;0; ","")&amp;IF($K783="Point","Buffered point – coverage approximate; ","")))</f>
        <v/>
      </c>
    </row>
    <row r="784">
      <c r="A784" s="19" t="n"/>
      <c r="B784" s="19" t="n"/>
      <c r="C784" s="19" t="n"/>
      <c r="D784" s="19" t="n"/>
      <c r="E784" s="19" t="n"/>
      <c r="F784" s="19" t="n"/>
      <c r="G784" s="19" t="n"/>
      <c r="H784" s="19" t="n"/>
      <c r="I784" s="19" t="n"/>
      <c r="J784" s="19" t="n"/>
      <c r="K784" s="19" t="n"/>
      <c r="L784" s="20" t="n"/>
      <c r="M784" s="20" t="n"/>
      <c r="N784" s="20" t="n"/>
      <c r="O784" s="20" t="n"/>
      <c r="P784" s="19" t="n"/>
      <c r="Q784" s="19" t="n"/>
      <c r="R784" s="20" t="n"/>
      <c r="S784" s="20" t="n"/>
      <c r="T784" s="19" t="n"/>
      <c r="U784" s="19" t="n"/>
      <c r="V784" s="19" t="n"/>
      <c r="W784" s="19" t="n"/>
      <c r="X784" s="19" t="n"/>
      <c r="Y784" s="19" t="n"/>
      <c r="Z784" s="21">
        <f>IF(AND($A784="",$B784=""),"",IF(OR($E784="",$H784="",$H784="Proposed",$H784="Not Reported"),0,IF(AND($P784="Y",$Q784&lt;&gt;"Y"),0,IF(AND($K784="Point",N($L784)&lt;=0),0,IF(AND(N($L784)&lt;=0,N($N784)&lt;=0,N($R784)+N($S784)&lt;=0),0,1)))))</f>
        <v/>
      </c>
      <c r="AA784" s="21">
        <f>IF(AND($A784="",$B784=""),"",IF($E784="","Site type missing",IF($H784="","STATUS missing",IF($H784="Proposed","STATUS = Proposed",IF($H784="Not Reported","STATUS = Not Reported",IF(AND($P784="Y",$Q784&lt;&gt;"Y"),"UNESCO-MAB Biosphere Reserve",IF(AND($K784="Point",N($L784)&lt;=0),"Point without REP_AREA",IF(AND(N($L784)&lt;=0,N($N784)&lt;=0,N($R784)+N($S784)&lt;=0),"No area information",""))))))))</f>
        <v/>
      </c>
      <c r="AB784" s="22">
        <f>IF(AND($A784="",$B784=""),"",IF($K784="Point",N($L784),IF(N($N784)&gt;0,N($N784),N($L784))))</f>
        <v/>
      </c>
      <c r="AC784" s="22">
        <f>IF(AND($A784="",$B784=""),"",MIN(AB784,IF(N($J784)=0,0,IF(N($J784)=2,AB784,IF(AND($K784&lt;&gt;"Point",N($O784)&gt;0),N($O784),N($M784))))))</f>
        <v/>
      </c>
      <c r="AD784" s="22">
        <f>IF(AND($A784="",$B784=""),"",MAX(0,AB784-AC784))</f>
        <v/>
      </c>
      <c r="AE784" s="21">
        <f>IF(AND($A784="",$B784=""),"",IF(OR($R784&lt;&gt;"",$S784&lt;&gt;""),1,0))</f>
        <v/>
      </c>
      <c r="AF784" s="22">
        <f>IF(AND($A784="",$B784=""),"",IF(Z784=1,IF(AE784=1,N($R784),AD784),0))</f>
        <v/>
      </c>
      <c r="AG784" s="22">
        <f>IF(AND($A784="",$B784=""),"",IF(Z784=1,IF(AE784=1,N($S784),AC784),0))</f>
        <v/>
      </c>
      <c r="AH784" s="21">
        <f>IF(AND($A784="",$B784=""),"",IF(AND(ISNUMBER($I784),N($I784)&gt;0),$I784,0))</f>
        <v/>
      </c>
      <c r="AI784" s="23">
        <f>IF(AND(NOT(AND($A784="",$B784="")),$K784="Point",N($L784)&gt;0),SQRT(N($L784)/PI()),"")</f>
        <v/>
      </c>
      <c r="AJ784" s="21">
        <f>IF(AND($A784="",$B784=""),"",IFERROR(VLOOKUP($G784,Lists!$D$4:$E$15,2,FALSE),"Not reported"))</f>
        <v/>
      </c>
      <c r="AK784" s="21">
        <f>IF(AND($A784="",$B784=""),"",IF($X784&lt;&gt;"",$X784,IF($T784&lt;&gt;"Y","Not assessed",IF(AND(ISNUMBER($V784),Setup!$B$6-$V784&gt;Setup!$B$26),"Assessment outdated",IF(NOT(ISNUMBER($W784)),"Assessed – no score",IF($W784&gt;=Setup!$B$24,"High",IF($W784&gt;=Setup!$B$25,"Moderate","Low")))))))</f>
        <v/>
      </c>
      <c r="AL784" s="21">
        <f>IF(AND($A784="",$B784=""),"",IF(Z784=0,"",IF(AND(AE784=1,N($R784)&gt;AD784*1.01+0.001),"Net terrestrial &gt; gross; ","")&amp;IF(AND(AE784=1,N($S784)&gt;AC784*1.01+0.001),"Net marine &gt; gross; ","")&amp;IF(AE784=0,"No net area – gross used, overlaps may be double-counted; ","")&amp;IF(AH784=0,"STATUS_YR missing – imputed in time series; ","")&amp;IF(AND(ISNUMBER($I784),N($I784)&gt;Setup!$B$6),"STATUS_YR after reporting year; ","")&amp;IF(OR($G784="",$G784="Not Reported"),"GOV_TYPE not reported; ","")&amp;IF(AND(N($J784)=1,$K784="Point",N($M784)&lt;=0),"Coastal point without REP_M_AREA – land/sea split unknown; ","")&amp;IF(AND(N($J784)=0,N($S784)&gt;0),"MARINE=0 but net marine &gt;0; ","")&amp;IF(AND(N($J784)=2,N($R784)&gt;0),"MARINE=2 but net terrestrial &gt;0; ","")&amp;IF($K784="Point","Buffered point – coverage approximate; ","")))</f>
        <v/>
      </c>
    </row>
    <row r="785">
      <c r="A785" s="19" t="n"/>
      <c r="B785" s="19" t="n"/>
      <c r="C785" s="19" t="n"/>
      <c r="D785" s="19" t="n"/>
      <c r="E785" s="19" t="n"/>
      <c r="F785" s="19" t="n"/>
      <c r="G785" s="19" t="n"/>
      <c r="H785" s="19" t="n"/>
      <c r="I785" s="19" t="n"/>
      <c r="J785" s="19" t="n"/>
      <c r="K785" s="19" t="n"/>
      <c r="L785" s="20" t="n"/>
      <c r="M785" s="20" t="n"/>
      <c r="N785" s="20" t="n"/>
      <c r="O785" s="20" t="n"/>
      <c r="P785" s="19" t="n"/>
      <c r="Q785" s="19" t="n"/>
      <c r="R785" s="20" t="n"/>
      <c r="S785" s="20" t="n"/>
      <c r="T785" s="19" t="n"/>
      <c r="U785" s="19" t="n"/>
      <c r="V785" s="19" t="n"/>
      <c r="W785" s="19" t="n"/>
      <c r="X785" s="19" t="n"/>
      <c r="Y785" s="19" t="n"/>
      <c r="Z785" s="21">
        <f>IF(AND($A785="",$B785=""),"",IF(OR($E785="",$H785="",$H785="Proposed",$H785="Not Reported"),0,IF(AND($P785="Y",$Q785&lt;&gt;"Y"),0,IF(AND($K785="Point",N($L785)&lt;=0),0,IF(AND(N($L785)&lt;=0,N($N785)&lt;=0,N($R785)+N($S785)&lt;=0),0,1)))))</f>
        <v/>
      </c>
      <c r="AA785" s="21">
        <f>IF(AND($A785="",$B785=""),"",IF($E785="","Site type missing",IF($H785="","STATUS missing",IF($H785="Proposed","STATUS = Proposed",IF($H785="Not Reported","STATUS = Not Reported",IF(AND($P785="Y",$Q785&lt;&gt;"Y"),"UNESCO-MAB Biosphere Reserve",IF(AND($K785="Point",N($L785)&lt;=0),"Point without REP_AREA",IF(AND(N($L785)&lt;=0,N($N785)&lt;=0,N($R785)+N($S785)&lt;=0),"No area information",""))))))))</f>
        <v/>
      </c>
      <c r="AB785" s="22">
        <f>IF(AND($A785="",$B785=""),"",IF($K785="Point",N($L785),IF(N($N785)&gt;0,N($N785),N($L785))))</f>
        <v/>
      </c>
      <c r="AC785" s="22">
        <f>IF(AND($A785="",$B785=""),"",MIN(AB785,IF(N($J785)=0,0,IF(N($J785)=2,AB785,IF(AND($K785&lt;&gt;"Point",N($O785)&gt;0),N($O785),N($M785))))))</f>
        <v/>
      </c>
      <c r="AD785" s="22">
        <f>IF(AND($A785="",$B785=""),"",MAX(0,AB785-AC785))</f>
        <v/>
      </c>
      <c r="AE785" s="21">
        <f>IF(AND($A785="",$B785=""),"",IF(OR($R785&lt;&gt;"",$S785&lt;&gt;""),1,0))</f>
        <v/>
      </c>
      <c r="AF785" s="22">
        <f>IF(AND($A785="",$B785=""),"",IF(Z785=1,IF(AE785=1,N($R785),AD785),0))</f>
        <v/>
      </c>
      <c r="AG785" s="22">
        <f>IF(AND($A785="",$B785=""),"",IF(Z785=1,IF(AE785=1,N($S785),AC785),0))</f>
        <v/>
      </c>
      <c r="AH785" s="21">
        <f>IF(AND($A785="",$B785=""),"",IF(AND(ISNUMBER($I785),N($I785)&gt;0),$I785,0))</f>
        <v/>
      </c>
      <c r="AI785" s="23">
        <f>IF(AND(NOT(AND($A785="",$B785="")),$K785="Point",N($L785)&gt;0),SQRT(N($L785)/PI()),"")</f>
        <v/>
      </c>
      <c r="AJ785" s="21">
        <f>IF(AND($A785="",$B785=""),"",IFERROR(VLOOKUP($G785,Lists!$D$4:$E$15,2,FALSE),"Not reported"))</f>
        <v/>
      </c>
      <c r="AK785" s="21">
        <f>IF(AND($A785="",$B785=""),"",IF($X785&lt;&gt;"",$X785,IF($T785&lt;&gt;"Y","Not assessed",IF(AND(ISNUMBER($V785),Setup!$B$6-$V785&gt;Setup!$B$26),"Assessment outdated",IF(NOT(ISNUMBER($W785)),"Assessed – no score",IF($W785&gt;=Setup!$B$24,"High",IF($W785&gt;=Setup!$B$25,"Moderate","Low")))))))</f>
        <v/>
      </c>
      <c r="AL785" s="21">
        <f>IF(AND($A785="",$B785=""),"",IF(Z785=0,"",IF(AND(AE785=1,N($R785)&gt;AD785*1.01+0.001),"Net terrestrial &gt; gross; ","")&amp;IF(AND(AE785=1,N($S785)&gt;AC785*1.01+0.001),"Net marine &gt; gross; ","")&amp;IF(AE785=0,"No net area – gross used, overlaps may be double-counted; ","")&amp;IF(AH785=0,"STATUS_YR missing – imputed in time series; ","")&amp;IF(AND(ISNUMBER($I785),N($I785)&gt;Setup!$B$6),"STATUS_YR after reporting year; ","")&amp;IF(OR($G785="",$G785="Not Reported"),"GOV_TYPE not reported; ","")&amp;IF(AND(N($J785)=1,$K785="Point",N($M785)&lt;=0),"Coastal point without REP_M_AREA – land/sea split unknown; ","")&amp;IF(AND(N($J785)=0,N($S785)&gt;0),"MARINE=0 but net marine &gt;0; ","")&amp;IF(AND(N($J785)=2,N($R785)&gt;0),"MARINE=2 but net terrestrial &gt;0; ","")&amp;IF($K785="Point","Buffered point – coverage approximate; ","")))</f>
        <v/>
      </c>
    </row>
    <row r="786">
      <c r="A786" s="19" t="n"/>
      <c r="B786" s="19" t="n"/>
      <c r="C786" s="19" t="n"/>
      <c r="D786" s="19" t="n"/>
      <c r="E786" s="19" t="n"/>
      <c r="F786" s="19" t="n"/>
      <c r="G786" s="19" t="n"/>
      <c r="H786" s="19" t="n"/>
      <c r="I786" s="19" t="n"/>
      <c r="J786" s="19" t="n"/>
      <c r="K786" s="19" t="n"/>
      <c r="L786" s="20" t="n"/>
      <c r="M786" s="20" t="n"/>
      <c r="N786" s="20" t="n"/>
      <c r="O786" s="20" t="n"/>
      <c r="P786" s="19" t="n"/>
      <c r="Q786" s="19" t="n"/>
      <c r="R786" s="20" t="n"/>
      <c r="S786" s="20" t="n"/>
      <c r="T786" s="19" t="n"/>
      <c r="U786" s="19" t="n"/>
      <c r="V786" s="19" t="n"/>
      <c r="W786" s="19" t="n"/>
      <c r="X786" s="19" t="n"/>
      <c r="Y786" s="19" t="n"/>
      <c r="Z786" s="21">
        <f>IF(AND($A786="",$B786=""),"",IF(OR($E786="",$H786="",$H786="Proposed",$H786="Not Reported"),0,IF(AND($P786="Y",$Q786&lt;&gt;"Y"),0,IF(AND($K786="Point",N($L786)&lt;=0),0,IF(AND(N($L786)&lt;=0,N($N786)&lt;=0,N($R786)+N($S786)&lt;=0),0,1)))))</f>
        <v/>
      </c>
      <c r="AA786" s="21">
        <f>IF(AND($A786="",$B786=""),"",IF($E786="","Site type missing",IF($H786="","STATUS missing",IF($H786="Proposed","STATUS = Proposed",IF($H786="Not Reported","STATUS = Not Reported",IF(AND($P786="Y",$Q786&lt;&gt;"Y"),"UNESCO-MAB Biosphere Reserve",IF(AND($K786="Point",N($L786)&lt;=0),"Point without REP_AREA",IF(AND(N($L786)&lt;=0,N($N786)&lt;=0,N($R786)+N($S786)&lt;=0),"No area information",""))))))))</f>
        <v/>
      </c>
      <c r="AB786" s="22">
        <f>IF(AND($A786="",$B786=""),"",IF($K786="Point",N($L786),IF(N($N786)&gt;0,N($N786),N($L786))))</f>
        <v/>
      </c>
      <c r="AC786" s="22">
        <f>IF(AND($A786="",$B786=""),"",MIN(AB786,IF(N($J786)=0,0,IF(N($J786)=2,AB786,IF(AND($K786&lt;&gt;"Point",N($O786)&gt;0),N($O786),N($M786))))))</f>
        <v/>
      </c>
      <c r="AD786" s="22">
        <f>IF(AND($A786="",$B786=""),"",MAX(0,AB786-AC786))</f>
        <v/>
      </c>
      <c r="AE786" s="21">
        <f>IF(AND($A786="",$B786=""),"",IF(OR($R786&lt;&gt;"",$S786&lt;&gt;""),1,0))</f>
        <v/>
      </c>
      <c r="AF786" s="22">
        <f>IF(AND($A786="",$B786=""),"",IF(Z786=1,IF(AE786=1,N($R786),AD786),0))</f>
        <v/>
      </c>
      <c r="AG786" s="22">
        <f>IF(AND($A786="",$B786=""),"",IF(Z786=1,IF(AE786=1,N($S786),AC786),0))</f>
        <v/>
      </c>
      <c r="AH786" s="21">
        <f>IF(AND($A786="",$B786=""),"",IF(AND(ISNUMBER($I786),N($I786)&gt;0),$I786,0))</f>
        <v/>
      </c>
      <c r="AI786" s="23">
        <f>IF(AND(NOT(AND($A786="",$B786="")),$K786="Point",N($L786)&gt;0),SQRT(N($L786)/PI()),"")</f>
        <v/>
      </c>
      <c r="AJ786" s="21">
        <f>IF(AND($A786="",$B786=""),"",IFERROR(VLOOKUP($G786,Lists!$D$4:$E$15,2,FALSE),"Not reported"))</f>
        <v/>
      </c>
      <c r="AK786" s="21">
        <f>IF(AND($A786="",$B786=""),"",IF($X786&lt;&gt;"",$X786,IF($T786&lt;&gt;"Y","Not assessed",IF(AND(ISNUMBER($V786),Setup!$B$6-$V786&gt;Setup!$B$26),"Assessment outdated",IF(NOT(ISNUMBER($W786)),"Assessed – no score",IF($W786&gt;=Setup!$B$24,"High",IF($W786&gt;=Setup!$B$25,"Moderate","Low")))))))</f>
        <v/>
      </c>
      <c r="AL786" s="21">
        <f>IF(AND($A786="",$B786=""),"",IF(Z786=0,"",IF(AND(AE786=1,N($R786)&gt;AD786*1.01+0.001),"Net terrestrial &gt; gross; ","")&amp;IF(AND(AE786=1,N($S786)&gt;AC786*1.01+0.001),"Net marine &gt; gross; ","")&amp;IF(AE786=0,"No net area – gross used, overlaps may be double-counted; ","")&amp;IF(AH786=0,"STATUS_YR missing – imputed in time series; ","")&amp;IF(AND(ISNUMBER($I786),N($I786)&gt;Setup!$B$6),"STATUS_YR after reporting year; ","")&amp;IF(OR($G786="",$G786="Not Reported"),"GOV_TYPE not reported; ","")&amp;IF(AND(N($J786)=1,$K786="Point",N($M786)&lt;=0),"Coastal point without REP_M_AREA – land/sea split unknown; ","")&amp;IF(AND(N($J786)=0,N($S786)&gt;0),"MARINE=0 but net marine &gt;0; ","")&amp;IF(AND(N($J786)=2,N($R786)&gt;0),"MARINE=2 but net terrestrial &gt;0; ","")&amp;IF($K786="Point","Buffered point – coverage approximate; ","")))</f>
        <v/>
      </c>
    </row>
    <row r="787">
      <c r="A787" s="19" t="n"/>
      <c r="B787" s="19" t="n"/>
      <c r="C787" s="19" t="n"/>
      <c r="D787" s="19" t="n"/>
      <c r="E787" s="19" t="n"/>
      <c r="F787" s="19" t="n"/>
      <c r="G787" s="19" t="n"/>
      <c r="H787" s="19" t="n"/>
      <c r="I787" s="19" t="n"/>
      <c r="J787" s="19" t="n"/>
      <c r="K787" s="19" t="n"/>
      <c r="L787" s="20" t="n"/>
      <c r="M787" s="20" t="n"/>
      <c r="N787" s="20" t="n"/>
      <c r="O787" s="20" t="n"/>
      <c r="P787" s="19" t="n"/>
      <c r="Q787" s="19" t="n"/>
      <c r="R787" s="20" t="n"/>
      <c r="S787" s="20" t="n"/>
      <c r="T787" s="19" t="n"/>
      <c r="U787" s="19" t="n"/>
      <c r="V787" s="19" t="n"/>
      <c r="W787" s="19" t="n"/>
      <c r="X787" s="19" t="n"/>
      <c r="Y787" s="19" t="n"/>
      <c r="Z787" s="21">
        <f>IF(AND($A787="",$B787=""),"",IF(OR($E787="",$H787="",$H787="Proposed",$H787="Not Reported"),0,IF(AND($P787="Y",$Q787&lt;&gt;"Y"),0,IF(AND($K787="Point",N($L787)&lt;=0),0,IF(AND(N($L787)&lt;=0,N($N787)&lt;=0,N($R787)+N($S787)&lt;=0),0,1)))))</f>
        <v/>
      </c>
      <c r="AA787" s="21">
        <f>IF(AND($A787="",$B787=""),"",IF($E787="","Site type missing",IF($H787="","STATUS missing",IF($H787="Proposed","STATUS = Proposed",IF($H787="Not Reported","STATUS = Not Reported",IF(AND($P787="Y",$Q787&lt;&gt;"Y"),"UNESCO-MAB Biosphere Reserve",IF(AND($K787="Point",N($L787)&lt;=0),"Point without REP_AREA",IF(AND(N($L787)&lt;=0,N($N787)&lt;=0,N($R787)+N($S787)&lt;=0),"No area information",""))))))))</f>
        <v/>
      </c>
      <c r="AB787" s="22">
        <f>IF(AND($A787="",$B787=""),"",IF($K787="Point",N($L787),IF(N($N787)&gt;0,N($N787),N($L787))))</f>
        <v/>
      </c>
      <c r="AC787" s="22">
        <f>IF(AND($A787="",$B787=""),"",MIN(AB787,IF(N($J787)=0,0,IF(N($J787)=2,AB787,IF(AND($K787&lt;&gt;"Point",N($O787)&gt;0),N($O787),N($M787))))))</f>
        <v/>
      </c>
      <c r="AD787" s="22">
        <f>IF(AND($A787="",$B787=""),"",MAX(0,AB787-AC787))</f>
        <v/>
      </c>
      <c r="AE787" s="21">
        <f>IF(AND($A787="",$B787=""),"",IF(OR($R787&lt;&gt;"",$S787&lt;&gt;""),1,0))</f>
        <v/>
      </c>
      <c r="AF787" s="22">
        <f>IF(AND($A787="",$B787=""),"",IF(Z787=1,IF(AE787=1,N($R787),AD787),0))</f>
        <v/>
      </c>
      <c r="AG787" s="22">
        <f>IF(AND($A787="",$B787=""),"",IF(Z787=1,IF(AE787=1,N($S787),AC787),0))</f>
        <v/>
      </c>
      <c r="AH787" s="21">
        <f>IF(AND($A787="",$B787=""),"",IF(AND(ISNUMBER($I787),N($I787)&gt;0),$I787,0))</f>
        <v/>
      </c>
      <c r="AI787" s="23">
        <f>IF(AND(NOT(AND($A787="",$B787="")),$K787="Point",N($L787)&gt;0),SQRT(N($L787)/PI()),"")</f>
        <v/>
      </c>
      <c r="AJ787" s="21">
        <f>IF(AND($A787="",$B787=""),"",IFERROR(VLOOKUP($G787,Lists!$D$4:$E$15,2,FALSE),"Not reported"))</f>
        <v/>
      </c>
      <c r="AK787" s="21">
        <f>IF(AND($A787="",$B787=""),"",IF($X787&lt;&gt;"",$X787,IF($T787&lt;&gt;"Y","Not assessed",IF(AND(ISNUMBER($V787),Setup!$B$6-$V787&gt;Setup!$B$26),"Assessment outdated",IF(NOT(ISNUMBER($W787)),"Assessed – no score",IF($W787&gt;=Setup!$B$24,"High",IF($W787&gt;=Setup!$B$25,"Moderate","Low")))))))</f>
        <v/>
      </c>
      <c r="AL787" s="21">
        <f>IF(AND($A787="",$B787=""),"",IF(Z787=0,"",IF(AND(AE787=1,N($R787)&gt;AD787*1.01+0.001),"Net terrestrial &gt; gross; ","")&amp;IF(AND(AE787=1,N($S787)&gt;AC787*1.01+0.001),"Net marine &gt; gross; ","")&amp;IF(AE787=0,"No net area – gross used, overlaps may be double-counted; ","")&amp;IF(AH787=0,"STATUS_YR missing – imputed in time series; ","")&amp;IF(AND(ISNUMBER($I787),N($I787)&gt;Setup!$B$6),"STATUS_YR after reporting year; ","")&amp;IF(OR($G787="",$G787="Not Reported"),"GOV_TYPE not reported; ","")&amp;IF(AND(N($J787)=1,$K787="Point",N($M787)&lt;=0),"Coastal point without REP_M_AREA – land/sea split unknown; ","")&amp;IF(AND(N($J787)=0,N($S787)&gt;0),"MARINE=0 but net marine &gt;0; ","")&amp;IF(AND(N($J787)=2,N($R787)&gt;0),"MARINE=2 but net terrestrial &gt;0; ","")&amp;IF($K787="Point","Buffered point – coverage approximate; ","")))</f>
        <v/>
      </c>
    </row>
    <row r="788">
      <c r="A788" s="19" t="n"/>
      <c r="B788" s="19" t="n"/>
      <c r="C788" s="19" t="n"/>
      <c r="D788" s="19" t="n"/>
      <c r="E788" s="19" t="n"/>
      <c r="F788" s="19" t="n"/>
      <c r="G788" s="19" t="n"/>
      <c r="H788" s="19" t="n"/>
      <c r="I788" s="19" t="n"/>
      <c r="J788" s="19" t="n"/>
      <c r="K788" s="19" t="n"/>
      <c r="L788" s="20" t="n"/>
      <c r="M788" s="20" t="n"/>
      <c r="N788" s="20" t="n"/>
      <c r="O788" s="20" t="n"/>
      <c r="P788" s="19" t="n"/>
      <c r="Q788" s="19" t="n"/>
      <c r="R788" s="20" t="n"/>
      <c r="S788" s="20" t="n"/>
      <c r="T788" s="19" t="n"/>
      <c r="U788" s="19" t="n"/>
      <c r="V788" s="19" t="n"/>
      <c r="W788" s="19" t="n"/>
      <c r="X788" s="19" t="n"/>
      <c r="Y788" s="19" t="n"/>
      <c r="Z788" s="21">
        <f>IF(AND($A788="",$B788=""),"",IF(OR($E788="",$H788="",$H788="Proposed",$H788="Not Reported"),0,IF(AND($P788="Y",$Q788&lt;&gt;"Y"),0,IF(AND($K788="Point",N($L788)&lt;=0),0,IF(AND(N($L788)&lt;=0,N($N788)&lt;=0,N($R788)+N($S788)&lt;=0),0,1)))))</f>
        <v/>
      </c>
      <c r="AA788" s="21">
        <f>IF(AND($A788="",$B788=""),"",IF($E788="","Site type missing",IF($H788="","STATUS missing",IF($H788="Proposed","STATUS = Proposed",IF($H788="Not Reported","STATUS = Not Reported",IF(AND($P788="Y",$Q788&lt;&gt;"Y"),"UNESCO-MAB Biosphere Reserve",IF(AND($K788="Point",N($L788)&lt;=0),"Point without REP_AREA",IF(AND(N($L788)&lt;=0,N($N788)&lt;=0,N($R788)+N($S788)&lt;=0),"No area information",""))))))))</f>
        <v/>
      </c>
      <c r="AB788" s="22">
        <f>IF(AND($A788="",$B788=""),"",IF($K788="Point",N($L788),IF(N($N788)&gt;0,N($N788),N($L788))))</f>
        <v/>
      </c>
      <c r="AC788" s="22">
        <f>IF(AND($A788="",$B788=""),"",MIN(AB788,IF(N($J788)=0,0,IF(N($J788)=2,AB788,IF(AND($K788&lt;&gt;"Point",N($O788)&gt;0),N($O788),N($M788))))))</f>
        <v/>
      </c>
      <c r="AD788" s="22">
        <f>IF(AND($A788="",$B788=""),"",MAX(0,AB788-AC788))</f>
        <v/>
      </c>
      <c r="AE788" s="21">
        <f>IF(AND($A788="",$B788=""),"",IF(OR($R788&lt;&gt;"",$S788&lt;&gt;""),1,0))</f>
        <v/>
      </c>
      <c r="AF788" s="22">
        <f>IF(AND($A788="",$B788=""),"",IF(Z788=1,IF(AE788=1,N($R788),AD788),0))</f>
        <v/>
      </c>
      <c r="AG788" s="22">
        <f>IF(AND($A788="",$B788=""),"",IF(Z788=1,IF(AE788=1,N($S788),AC788),0))</f>
        <v/>
      </c>
      <c r="AH788" s="21">
        <f>IF(AND($A788="",$B788=""),"",IF(AND(ISNUMBER($I788),N($I788)&gt;0),$I788,0))</f>
        <v/>
      </c>
      <c r="AI788" s="23">
        <f>IF(AND(NOT(AND($A788="",$B788="")),$K788="Point",N($L788)&gt;0),SQRT(N($L788)/PI()),"")</f>
        <v/>
      </c>
      <c r="AJ788" s="21">
        <f>IF(AND($A788="",$B788=""),"",IFERROR(VLOOKUP($G788,Lists!$D$4:$E$15,2,FALSE),"Not reported"))</f>
        <v/>
      </c>
      <c r="AK788" s="21">
        <f>IF(AND($A788="",$B788=""),"",IF($X788&lt;&gt;"",$X788,IF($T788&lt;&gt;"Y","Not assessed",IF(AND(ISNUMBER($V788),Setup!$B$6-$V788&gt;Setup!$B$26),"Assessment outdated",IF(NOT(ISNUMBER($W788)),"Assessed – no score",IF($W788&gt;=Setup!$B$24,"High",IF($W788&gt;=Setup!$B$25,"Moderate","Low")))))))</f>
        <v/>
      </c>
      <c r="AL788" s="21">
        <f>IF(AND($A788="",$B788=""),"",IF(Z788=0,"",IF(AND(AE788=1,N($R788)&gt;AD788*1.01+0.001),"Net terrestrial &gt; gross; ","")&amp;IF(AND(AE788=1,N($S788)&gt;AC788*1.01+0.001),"Net marine &gt; gross; ","")&amp;IF(AE788=0,"No net area – gross used, overlaps may be double-counted; ","")&amp;IF(AH788=0,"STATUS_YR missing – imputed in time series; ","")&amp;IF(AND(ISNUMBER($I788),N($I788)&gt;Setup!$B$6),"STATUS_YR after reporting year; ","")&amp;IF(OR($G788="",$G788="Not Reported"),"GOV_TYPE not reported; ","")&amp;IF(AND(N($J788)=1,$K788="Point",N($M788)&lt;=0),"Coastal point without REP_M_AREA – land/sea split unknown; ","")&amp;IF(AND(N($J788)=0,N($S788)&gt;0),"MARINE=0 but net marine &gt;0; ","")&amp;IF(AND(N($J788)=2,N($R788)&gt;0),"MARINE=2 but net terrestrial &gt;0; ","")&amp;IF($K788="Point","Buffered point – coverage approximate; ","")))</f>
        <v/>
      </c>
    </row>
    <row r="789">
      <c r="A789" s="19" t="n"/>
      <c r="B789" s="19" t="n"/>
      <c r="C789" s="19" t="n"/>
      <c r="D789" s="19" t="n"/>
      <c r="E789" s="19" t="n"/>
      <c r="F789" s="19" t="n"/>
      <c r="G789" s="19" t="n"/>
      <c r="H789" s="19" t="n"/>
      <c r="I789" s="19" t="n"/>
      <c r="J789" s="19" t="n"/>
      <c r="K789" s="19" t="n"/>
      <c r="L789" s="20" t="n"/>
      <c r="M789" s="20" t="n"/>
      <c r="N789" s="20" t="n"/>
      <c r="O789" s="20" t="n"/>
      <c r="P789" s="19" t="n"/>
      <c r="Q789" s="19" t="n"/>
      <c r="R789" s="20" t="n"/>
      <c r="S789" s="20" t="n"/>
      <c r="T789" s="19" t="n"/>
      <c r="U789" s="19" t="n"/>
      <c r="V789" s="19" t="n"/>
      <c r="W789" s="19" t="n"/>
      <c r="X789" s="19" t="n"/>
      <c r="Y789" s="19" t="n"/>
      <c r="Z789" s="21">
        <f>IF(AND($A789="",$B789=""),"",IF(OR($E789="",$H789="",$H789="Proposed",$H789="Not Reported"),0,IF(AND($P789="Y",$Q789&lt;&gt;"Y"),0,IF(AND($K789="Point",N($L789)&lt;=0),0,IF(AND(N($L789)&lt;=0,N($N789)&lt;=0,N($R789)+N($S789)&lt;=0),0,1)))))</f>
        <v/>
      </c>
      <c r="AA789" s="21">
        <f>IF(AND($A789="",$B789=""),"",IF($E789="","Site type missing",IF($H789="","STATUS missing",IF($H789="Proposed","STATUS = Proposed",IF($H789="Not Reported","STATUS = Not Reported",IF(AND($P789="Y",$Q789&lt;&gt;"Y"),"UNESCO-MAB Biosphere Reserve",IF(AND($K789="Point",N($L789)&lt;=0),"Point without REP_AREA",IF(AND(N($L789)&lt;=0,N($N789)&lt;=0,N($R789)+N($S789)&lt;=0),"No area information",""))))))))</f>
        <v/>
      </c>
      <c r="AB789" s="22">
        <f>IF(AND($A789="",$B789=""),"",IF($K789="Point",N($L789),IF(N($N789)&gt;0,N($N789),N($L789))))</f>
        <v/>
      </c>
      <c r="AC789" s="22">
        <f>IF(AND($A789="",$B789=""),"",MIN(AB789,IF(N($J789)=0,0,IF(N($J789)=2,AB789,IF(AND($K789&lt;&gt;"Point",N($O789)&gt;0),N($O789),N($M789))))))</f>
        <v/>
      </c>
      <c r="AD789" s="22">
        <f>IF(AND($A789="",$B789=""),"",MAX(0,AB789-AC789))</f>
        <v/>
      </c>
      <c r="AE789" s="21">
        <f>IF(AND($A789="",$B789=""),"",IF(OR($R789&lt;&gt;"",$S789&lt;&gt;""),1,0))</f>
        <v/>
      </c>
      <c r="AF789" s="22">
        <f>IF(AND($A789="",$B789=""),"",IF(Z789=1,IF(AE789=1,N($R789),AD789),0))</f>
        <v/>
      </c>
      <c r="AG789" s="22">
        <f>IF(AND($A789="",$B789=""),"",IF(Z789=1,IF(AE789=1,N($S789),AC789),0))</f>
        <v/>
      </c>
      <c r="AH789" s="21">
        <f>IF(AND($A789="",$B789=""),"",IF(AND(ISNUMBER($I789),N($I789)&gt;0),$I789,0))</f>
        <v/>
      </c>
      <c r="AI789" s="23">
        <f>IF(AND(NOT(AND($A789="",$B789="")),$K789="Point",N($L789)&gt;0),SQRT(N($L789)/PI()),"")</f>
        <v/>
      </c>
      <c r="AJ789" s="21">
        <f>IF(AND($A789="",$B789=""),"",IFERROR(VLOOKUP($G789,Lists!$D$4:$E$15,2,FALSE),"Not reported"))</f>
        <v/>
      </c>
      <c r="AK789" s="21">
        <f>IF(AND($A789="",$B789=""),"",IF($X789&lt;&gt;"",$X789,IF($T789&lt;&gt;"Y","Not assessed",IF(AND(ISNUMBER($V789),Setup!$B$6-$V789&gt;Setup!$B$26),"Assessment outdated",IF(NOT(ISNUMBER($W789)),"Assessed – no score",IF($W789&gt;=Setup!$B$24,"High",IF($W789&gt;=Setup!$B$25,"Moderate","Low")))))))</f>
        <v/>
      </c>
      <c r="AL789" s="21">
        <f>IF(AND($A789="",$B789=""),"",IF(Z789=0,"",IF(AND(AE789=1,N($R789)&gt;AD789*1.01+0.001),"Net terrestrial &gt; gross; ","")&amp;IF(AND(AE789=1,N($S789)&gt;AC789*1.01+0.001),"Net marine &gt; gross; ","")&amp;IF(AE789=0,"No net area – gross used, overlaps may be double-counted; ","")&amp;IF(AH789=0,"STATUS_YR missing – imputed in time series; ","")&amp;IF(AND(ISNUMBER($I789),N($I789)&gt;Setup!$B$6),"STATUS_YR after reporting year; ","")&amp;IF(OR($G789="",$G789="Not Reported"),"GOV_TYPE not reported; ","")&amp;IF(AND(N($J789)=1,$K789="Point",N($M789)&lt;=0),"Coastal point without REP_M_AREA – land/sea split unknown; ","")&amp;IF(AND(N($J789)=0,N($S789)&gt;0),"MARINE=0 but net marine &gt;0; ","")&amp;IF(AND(N($J789)=2,N($R789)&gt;0),"MARINE=2 but net terrestrial &gt;0; ","")&amp;IF($K789="Point","Buffered point – coverage approximate; ","")))</f>
        <v/>
      </c>
    </row>
    <row r="790">
      <c r="A790" s="19" t="n"/>
      <c r="B790" s="19" t="n"/>
      <c r="C790" s="19" t="n"/>
      <c r="D790" s="19" t="n"/>
      <c r="E790" s="19" t="n"/>
      <c r="F790" s="19" t="n"/>
      <c r="G790" s="19" t="n"/>
      <c r="H790" s="19" t="n"/>
      <c r="I790" s="19" t="n"/>
      <c r="J790" s="19" t="n"/>
      <c r="K790" s="19" t="n"/>
      <c r="L790" s="20" t="n"/>
      <c r="M790" s="20" t="n"/>
      <c r="N790" s="20" t="n"/>
      <c r="O790" s="20" t="n"/>
      <c r="P790" s="19" t="n"/>
      <c r="Q790" s="19" t="n"/>
      <c r="R790" s="20" t="n"/>
      <c r="S790" s="20" t="n"/>
      <c r="T790" s="19" t="n"/>
      <c r="U790" s="19" t="n"/>
      <c r="V790" s="19" t="n"/>
      <c r="W790" s="19" t="n"/>
      <c r="X790" s="19" t="n"/>
      <c r="Y790" s="19" t="n"/>
      <c r="Z790" s="21">
        <f>IF(AND($A790="",$B790=""),"",IF(OR($E790="",$H790="",$H790="Proposed",$H790="Not Reported"),0,IF(AND($P790="Y",$Q790&lt;&gt;"Y"),0,IF(AND($K790="Point",N($L790)&lt;=0),0,IF(AND(N($L790)&lt;=0,N($N790)&lt;=0,N($R790)+N($S790)&lt;=0),0,1)))))</f>
        <v/>
      </c>
      <c r="AA790" s="21">
        <f>IF(AND($A790="",$B790=""),"",IF($E790="","Site type missing",IF($H790="","STATUS missing",IF($H790="Proposed","STATUS = Proposed",IF($H790="Not Reported","STATUS = Not Reported",IF(AND($P790="Y",$Q790&lt;&gt;"Y"),"UNESCO-MAB Biosphere Reserve",IF(AND($K790="Point",N($L790)&lt;=0),"Point without REP_AREA",IF(AND(N($L790)&lt;=0,N($N790)&lt;=0,N($R790)+N($S790)&lt;=0),"No area information",""))))))))</f>
        <v/>
      </c>
      <c r="AB790" s="22">
        <f>IF(AND($A790="",$B790=""),"",IF($K790="Point",N($L790),IF(N($N790)&gt;0,N($N790),N($L790))))</f>
        <v/>
      </c>
      <c r="AC790" s="22">
        <f>IF(AND($A790="",$B790=""),"",MIN(AB790,IF(N($J790)=0,0,IF(N($J790)=2,AB790,IF(AND($K790&lt;&gt;"Point",N($O790)&gt;0),N($O790),N($M790))))))</f>
        <v/>
      </c>
      <c r="AD790" s="22">
        <f>IF(AND($A790="",$B790=""),"",MAX(0,AB790-AC790))</f>
        <v/>
      </c>
      <c r="AE790" s="21">
        <f>IF(AND($A790="",$B790=""),"",IF(OR($R790&lt;&gt;"",$S790&lt;&gt;""),1,0))</f>
        <v/>
      </c>
      <c r="AF790" s="22">
        <f>IF(AND($A790="",$B790=""),"",IF(Z790=1,IF(AE790=1,N($R790),AD790),0))</f>
        <v/>
      </c>
      <c r="AG790" s="22">
        <f>IF(AND($A790="",$B790=""),"",IF(Z790=1,IF(AE790=1,N($S790),AC790),0))</f>
        <v/>
      </c>
      <c r="AH790" s="21">
        <f>IF(AND($A790="",$B790=""),"",IF(AND(ISNUMBER($I790),N($I790)&gt;0),$I790,0))</f>
        <v/>
      </c>
      <c r="AI790" s="23">
        <f>IF(AND(NOT(AND($A790="",$B790="")),$K790="Point",N($L790)&gt;0),SQRT(N($L790)/PI()),"")</f>
        <v/>
      </c>
      <c r="AJ790" s="21">
        <f>IF(AND($A790="",$B790=""),"",IFERROR(VLOOKUP($G790,Lists!$D$4:$E$15,2,FALSE),"Not reported"))</f>
        <v/>
      </c>
      <c r="AK790" s="21">
        <f>IF(AND($A790="",$B790=""),"",IF($X790&lt;&gt;"",$X790,IF($T790&lt;&gt;"Y","Not assessed",IF(AND(ISNUMBER($V790),Setup!$B$6-$V790&gt;Setup!$B$26),"Assessment outdated",IF(NOT(ISNUMBER($W790)),"Assessed – no score",IF($W790&gt;=Setup!$B$24,"High",IF($W790&gt;=Setup!$B$25,"Moderate","Low")))))))</f>
        <v/>
      </c>
      <c r="AL790" s="21">
        <f>IF(AND($A790="",$B790=""),"",IF(Z790=0,"",IF(AND(AE790=1,N($R790)&gt;AD790*1.01+0.001),"Net terrestrial &gt; gross; ","")&amp;IF(AND(AE790=1,N($S790)&gt;AC790*1.01+0.001),"Net marine &gt; gross; ","")&amp;IF(AE790=0,"No net area – gross used, overlaps may be double-counted; ","")&amp;IF(AH790=0,"STATUS_YR missing – imputed in time series; ","")&amp;IF(AND(ISNUMBER($I790),N($I790)&gt;Setup!$B$6),"STATUS_YR after reporting year; ","")&amp;IF(OR($G790="",$G790="Not Reported"),"GOV_TYPE not reported; ","")&amp;IF(AND(N($J790)=1,$K790="Point",N($M790)&lt;=0),"Coastal point without REP_M_AREA – land/sea split unknown; ","")&amp;IF(AND(N($J790)=0,N($S790)&gt;0),"MARINE=0 but net marine &gt;0; ","")&amp;IF(AND(N($J790)=2,N($R790)&gt;0),"MARINE=2 but net terrestrial &gt;0; ","")&amp;IF($K790="Point","Buffered point – coverage approximate; ","")))</f>
        <v/>
      </c>
    </row>
    <row r="791">
      <c r="A791" s="19" t="n"/>
      <c r="B791" s="19" t="n"/>
      <c r="C791" s="19" t="n"/>
      <c r="D791" s="19" t="n"/>
      <c r="E791" s="19" t="n"/>
      <c r="F791" s="19" t="n"/>
      <c r="G791" s="19" t="n"/>
      <c r="H791" s="19" t="n"/>
      <c r="I791" s="19" t="n"/>
      <c r="J791" s="19" t="n"/>
      <c r="K791" s="19" t="n"/>
      <c r="L791" s="20" t="n"/>
      <c r="M791" s="20" t="n"/>
      <c r="N791" s="20" t="n"/>
      <c r="O791" s="20" t="n"/>
      <c r="P791" s="19" t="n"/>
      <c r="Q791" s="19" t="n"/>
      <c r="R791" s="20" t="n"/>
      <c r="S791" s="20" t="n"/>
      <c r="T791" s="19" t="n"/>
      <c r="U791" s="19" t="n"/>
      <c r="V791" s="19" t="n"/>
      <c r="W791" s="19" t="n"/>
      <c r="X791" s="19" t="n"/>
      <c r="Y791" s="19" t="n"/>
      <c r="Z791" s="21">
        <f>IF(AND($A791="",$B791=""),"",IF(OR($E791="",$H791="",$H791="Proposed",$H791="Not Reported"),0,IF(AND($P791="Y",$Q791&lt;&gt;"Y"),0,IF(AND($K791="Point",N($L791)&lt;=0),0,IF(AND(N($L791)&lt;=0,N($N791)&lt;=0,N($R791)+N($S791)&lt;=0),0,1)))))</f>
        <v/>
      </c>
      <c r="AA791" s="21">
        <f>IF(AND($A791="",$B791=""),"",IF($E791="","Site type missing",IF($H791="","STATUS missing",IF($H791="Proposed","STATUS = Proposed",IF($H791="Not Reported","STATUS = Not Reported",IF(AND($P791="Y",$Q791&lt;&gt;"Y"),"UNESCO-MAB Biosphere Reserve",IF(AND($K791="Point",N($L791)&lt;=0),"Point without REP_AREA",IF(AND(N($L791)&lt;=0,N($N791)&lt;=0,N($R791)+N($S791)&lt;=0),"No area information",""))))))))</f>
        <v/>
      </c>
      <c r="AB791" s="22">
        <f>IF(AND($A791="",$B791=""),"",IF($K791="Point",N($L791),IF(N($N791)&gt;0,N($N791),N($L791))))</f>
        <v/>
      </c>
      <c r="AC791" s="22">
        <f>IF(AND($A791="",$B791=""),"",MIN(AB791,IF(N($J791)=0,0,IF(N($J791)=2,AB791,IF(AND($K791&lt;&gt;"Point",N($O791)&gt;0),N($O791),N($M791))))))</f>
        <v/>
      </c>
      <c r="AD791" s="22">
        <f>IF(AND($A791="",$B791=""),"",MAX(0,AB791-AC791))</f>
        <v/>
      </c>
      <c r="AE791" s="21">
        <f>IF(AND($A791="",$B791=""),"",IF(OR($R791&lt;&gt;"",$S791&lt;&gt;""),1,0))</f>
        <v/>
      </c>
      <c r="AF791" s="22">
        <f>IF(AND($A791="",$B791=""),"",IF(Z791=1,IF(AE791=1,N($R791),AD791),0))</f>
        <v/>
      </c>
      <c r="AG791" s="22">
        <f>IF(AND($A791="",$B791=""),"",IF(Z791=1,IF(AE791=1,N($S791),AC791),0))</f>
        <v/>
      </c>
      <c r="AH791" s="21">
        <f>IF(AND($A791="",$B791=""),"",IF(AND(ISNUMBER($I791),N($I791)&gt;0),$I791,0))</f>
        <v/>
      </c>
      <c r="AI791" s="23">
        <f>IF(AND(NOT(AND($A791="",$B791="")),$K791="Point",N($L791)&gt;0),SQRT(N($L791)/PI()),"")</f>
        <v/>
      </c>
      <c r="AJ791" s="21">
        <f>IF(AND($A791="",$B791=""),"",IFERROR(VLOOKUP($G791,Lists!$D$4:$E$15,2,FALSE),"Not reported"))</f>
        <v/>
      </c>
      <c r="AK791" s="21">
        <f>IF(AND($A791="",$B791=""),"",IF($X791&lt;&gt;"",$X791,IF($T791&lt;&gt;"Y","Not assessed",IF(AND(ISNUMBER($V791),Setup!$B$6-$V791&gt;Setup!$B$26),"Assessment outdated",IF(NOT(ISNUMBER($W791)),"Assessed – no score",IF($W791&gt;=Setup!$B$24,"High",IF($W791&gt;=Setup!$B$25,"Moderate","Low")))))))</f>
        <v/>
      </c>
      <c r="AL791" s="21">
        <f>IF(AND($A791="",$B791=""),"",IF(Z791=0,"",IF(AND(AE791=1,N($R791)&gt;AD791*1.01+0.001),"Net terrestrial &gt; gross; ","")&amp;IF(AND(AE791=1,N($S791)&gt;AC791*1.01+0.001),"Net marine &gt; gross; ","")&amp;IF(AE791=0,"No net area – gross used, overlaps may be double-counted; ","")&amp;IF(AH791=0,"STATUS_YR missing – imputed in time series; ","")&amp;IF(AND(ISNUMBER($I791),N($I791)&gt;Setup!$B$6),"STATUS_YR after reporting year; ","")&amp;IF(OR($G791="",$G791="Not Reported"),"GOV_TYPE not reported; ","")&amp;IF(AND(N($J791)=1,$K791="Point",N($M791)&lt;=0),"Coastal point without REP_M_AREA – land/sea split unknown; ","")&amp;IF(AND(N($J791)=0,N($S791)&gt;0),"MARINE=0 but net marine &gt;0; ","")&amp;IF(AND(N($J791)=2,N($R791)&gt;0),"MARINE=2 but net terrestrial &gt;0; ","")&amp;IF($K791="Point","Buffered point – coverage approximate; ","")))</f>
        <v/>
      </c>
    </row>
    <row r="792">
      <c r="A792" s="19" t="n"/>
      <c r="B792" s="19" t="n"/>
      <c r="C792" s="19" t="n"/>
      <c r="D792" s="19" t="n"/>
      <c r="E792" s="19" t="n"/>
      <c r="F792" s="19" t="n"/>
      <c r="G792" s="19" t="n"/>
      <c r="H792" s="19" t="n"/>
      <c r="I792" s="19" t="n"/>
      <c r="J792" s="19" t="n"/>
      <c r="K792" s="19" t="n"/>
      <c r="L792" s="20" t="n"/>
      <c r="M792" s="20" t="n"/>
      <c r="N792" s="20" t="n"/>
      <c r="O792" s="20" t="n"/>
      <c r="P792" s="19" t="n"/>
      <c r="Q792" s="19" t="n"/>
      <c r="R792" s="20" t="n"/>
      <c r="S792" s="20" t="n"/>
      <c r="T792" s="19" t="n"/>
      <c r="U792" s="19" t="n"/>
      <c r="V792" s="19" t="n"/>
      <c r="W792" s="19" t="n"/>
      <c r="X792" s="19" t="n"/>
      <c r="Y792" s="19" t="n"/>
      <c r="Z792" s="21">
        <f>IF(AND($A792="",$B792=""),"",IF(OR($E792="",$H792="",$H792="Proposed",$H792="Not Reported"),0,IF(AND($P792="Y",$Q792&lt;&gt;"Y"),0,IF(AND($K792="Point",N($L792)&lt;=0),0,IF(AND(N($L792)&lt;=0,N($N792)&lt;=0,N($R792)+N($S792)&lt;=0),0,1)))))</f>
        <v/>
      </c>
      <c r="AA792" s="21">
        <f>IF(AND($A792="",$B792=""),"",IF($E792="","Site type missing",IF($H792="","STATUS missing",IF($H792="Proposed","STATUS = Proposed",IF($H792="Not Reported","STATUS = Not Reported",IF(AND($P792="Y",$Q792&lt;&gt;"Y"),"UNESCO-MAB Biosphere Reserve",IF(AND($K792="Point",N($L792)&lt;=0),"Point without REP_AREA",IF(AND(N($L792)&lt;=0,N($N792)&lt;=0,N($R792)+N($S792)&lt;=0),"No area information",""))))))))</f>
        <v/>
      </c>
      <c r="AB792" s="22">
        <f>IF(AND($A792="",$B792=""),"",IF($K792="Point",N($L792),IF(N($N792)&gt;0,N($N792),N($L792))))</f>
        <v/>
      </c>
      <c r="AC792" s="22">
        <f>IF(AND($A792="",$B792=""),"",MIN(AB792,IF(N($J792)=0,0,IF(N($J792)=2,AB792,IF(AND($K792&lt;&gt;"Point",N($O792)&gt;0),N($O792),N($M792))))))</f>
        <v/>
      </c>
      <c r="AD792" s="22">
        <f>IF(AND($A792="",$B792=""),"",MAX(0,AB792-AC792))</f>
        <v/>
      </c>
      <c r="AE792" s="21">
        <f>IF(AND($A792="",$B792=""),"",IF(OR($R792&lt;&gt;"",$S792&lt;&gt;""),1,0))</f>
        <v/>
      </c>
      <c r="AF792" s="22">
        <f>IF(AND($A792="",$B792=""),"",IF(Z792=1,IF(AE792=1,N($R792),AD792),0))</f>
        <v/>
      </c>
      <c r="AG792" s="22">
        <f>IF(AND($A792="",$B792=""),"",IF(Z792=1,IF(AE792=1,N($S792),AC792),0))</f>
        <v/>
      </c>
      <c r="AH792" s="21">
        <f>IF(AND($A792="",$B792=""),"",IF(AND(ISNUMBER($I792),N($I792)&gt;0),$I792,0))</f>
        <v/>
      </c>
      <c r="AI792" s="23">
        <f>IF(AND(NOT(AND($A792="",$B792="")),$K792="Point",N($L792)&gt;0),SQRT(N($L792)/PI()),"")</f>
        <v/>
      </c>
      <c r="AJ792" s="21">
        <f>IF(AND($A792="",$B792=""),"",IFERROR(VLOOKUP($G792,Lists!$D$4:$E$15,2,FALSE),"Not reported"))</f>
        <v/>
      </c>
      <c r="AK792" s="21">
        <f>IF(AND($A792="",$B792=""),"",IF($X792&lt;&gt;"",$X792,IF($T792&lt;&gt;"Y","Not assessed",IF(AND(ISNUMBER($V792),Setup!$B$6-$V792&gt;Setup!$B$26),"Assessment outdated",IF(NOT(ISNUMBER($W792)),"Assessed – no score",IF($W792&gt;=Setup!$B$24,"High",IF($W792&gt;=Setup!$B$25,"Moderate","Low")))))))</f>
        <v/>
      </c>
      <c r="AL792" s="21">
        <f>IF(AND($A792="",$B792=""),"",IF(Z792=0,"",IF(AND(AE792=1,N($R792)&gt;AD792*1.01+0.001),"Net terrestrial &gt; gross; ","")&amp;IF(AND(AE792=1,N($S792)&gt;AC792*1.01+0.001),"Net marine &gt; gross; ","")&amp;IF(AE792=0,"No net area – gross used, overlaps may be double-counted; ","")&amp;IF(AH792=0,"STATUS_YR missing – imputed in time series; ","")&amp;IF(AND(ISNUMBER($I792),N($I792)&gt;Setup!$B$6),"STATUS_YR after reporting year; ","")&amp;IF(OR($G792="",$G792="Not Reported"),"GOV_TYPE not reported; ","")&amp;IF(AND(N($J792)=1,$K792="Point",N($M792)&lt;=0),"Coastal point without REP_M_AREA – land/sea split unknown; ","")&amp;IF(AND(N($J792)=0,N($S792)&gt;0),"MARINE=0 but net marine &gt;0; ","")&amp;IF(AND(N($J792)=2,N($R792)&gt;0),"MARINE=2 but net terrestrial &gt;0; ","")&amp;IF($K792="Point","Buffered point – coverage approximate; ","")))</f>
        <v/>
      </c>
    </row>
    <row r="793">
      <c r="A793" s="19" t="n"/>
      <c r="B793" s="19" t="n"/>
      <c r="C793" s="19" t="n"/>
      <c r="D793" s="19" t="n"/>
      <c r="E793" s="19" t="n"/>
      <c r="F793" s="19" t="n"/>
      <c r="G793" s="19" t="n"/>
      <c r="H793" s="19" t="n"/>
      <c r="I793" s="19" t="n"/>
      <c r="J793" s="19" t="n"/>
      <c r="K793" s="19" t="n"/>
      <c r="L793" s="20" t="n"/>
      <c r="M793" s="20" t="n"/>
      <c r="N793" s="20" t="n"/>
      <c r="O793" s="20" t="n"/>
      <c r="P793" s="19" t="n"/>
      <c r="Q793" s="19" t="n"/>
      <c r="R793" s="20" t="n"/>
      <c r="S793" s="20" t="n"/>
      <c r="T793" s="19" t="n"/>
      <c r="U793" s="19" t="n"/>
      <c r="V793" s="19" t="n"/>
      <c r="W793" s="19" t="n"/>
      <c r="X793" s="19" t="n"/>
      <c r="Y793" s="19" t="n"/>
      <c r="Z793" s="21">
        <f>IF(AND($A793="",$B793=""),"",IF(OR($E793="",$H793="",$H793="Proposed",$H793="Not Reported"),0,IF(AND($P793="Y",$Q793&lt;&gt;"Y"),0,IF(AND($K793="Point",N($L793)&lt;=0),0,IF(AND(N($L793)&lt;=0,N($N793)&lt;=0,N($R793)+N($S793)&lt;=0),0,1)))))</f>
        <v/>
      </c>
      <c r="AA793" s="21">
        <f>IF(AND($A793="",$B793=""),"",IF($E793="","Site type missing",IF($H793="","STATUS missing",IF($H793="Proposed","STATUS = Proposed",IF($H793="Not Reported","STATUS = Not Reported",IF(AND($P793="Y",$Q793&lt;&gt;"Y"),"UNESCO-MAB Biosphere Reserve",IF(AND($K793="Point",N($L793)&lt;=0),"Point without REP_AREA",IF(AND(N($L793)&lt;=0,N($N793)&lt;=0,N($R793)+N($S793)&lt;=0),"No area information",""))))))))</f>
        <v/>
      </c>
      <c r="AB793" s="22">
        <f>IF(AND($A793="",$B793=""),"",IF($K793="Point",N($L793),IF(N($N793)&gt;0,N($N793),N($L793))))</f>
        <v/>
      </c>
      <c r="AC793" s="22">
        <f>IF(AND($A793="",$B793=""),"",MIN(AB793,IF(N($J793)=0,0,IF(N($J793)=2,AB793,IF(AND($K793&lt;&gt;"Point",N($O793)&gt;0),N($O793),N($M793))))))</f>
        <v/>
      </c>
      <c r="AD793" s="22">
        <f>IF(AND($A793="",$B793=""),"",MAX(0,AB793-AC793))</f>
        <v/>
      </c>
      <c r="AE793" s="21">
        <f>IF(AND($A793="",$B793=""),"",IF(OR($R793&lt;&gt;"",$S793&lt;&gt;""),1,0))</f>
        <v/>
      </c>
      <c r="AF793" s="22">
        <f>IF(AND($A793="",$B793=""),"",IF(Z793=1,IF(AE793=1,N($R793),AD793),0))</f>
        <v/>
      </c>
      <c r="AG793" s="22">
        <f>IF(AND($A793="",$B793=""),"",IF(Z793=1,IF(AE793=1,N($S793),AC793),0))</f>
        <v/>
      </c>
      <c r="AH793" s="21">
        <f>IF(AND($A793="",$B793=""),"",IF(AND(ISNUMBER($I793),N($I793)&gt;0),$I793,0))</f>
        <v/>
      </c>
      <c r="AI793" s="23">
        <f>IF(AND(NOT(AND($A793="",$B793="")),$K793="Point",N($L793)&gt;0),SQRT(N($L793)/PI()),"")</f>
        <v/>
      </c>
      <c r="AJ793" s="21">
        <f>IF(AND($A793="",$B793=""),"",IFERROR(VLOOKUP($G793,Lists!$D$4:$E$15,2,FALSE),"Not reported"))</f>
        <v/>
      </c>
      <c r="AK793" s="21">
        <f>IF(AND($A793="",$B793=""),"",IF($X793&lt;&gt;"",$X793,IF($T793&lt;&gt;"Y","Not assessed",IF(AND(ISNUMBER($V793),Setup!$B$6-$V793&gt;Setup!$B$26),"Assessment outdated",IF(NOT(ISNUMBER($W793)),"Assessed – no score",IF($W793&gt;=Setup!$B$24,"High",IF($W793&gt;=Setup!$B$25,"Moderate","Low")))))))</f>
        <v/>
      </c>
      <c r="AL793" s="21">
        <f>IF(AND($A793="",$B793=""),"",IF(Z793=0,"",IF(AND(AE793=1,N($R793)&gt;AD793*1.01+0.001),"Net terrestrial &gt; gross; ","")&amp;IF(AND(AE793=1,N($S793)&gt;AC793*1.01+0.001),"Net marine &gt; gross; ","")&amp;IF(AE793=0,"No net area – gross used, overlaps may be double-counted; ","")&amp;IF(AH793=0,"STATUS_YR missing – imputed in time series; ","")&amp;IF(AND(ISNUMBER($I793),N($I793)&gt;Setup!$B$6),"STATUS_YR after reporting year; ","")&amp;IF(OR($G793="",$G793="Not Reported"),"GOV_TYPE not reported; ","")&amp;IF(AND(N($J793)=1,$K793="Point",N($M793)&lt;=0),"Coastal point without REP_M_AREA – land/sea split unknown; ","")&amp;IF(AND(N($J793)=0,N($S793)&gt;0),"MARINE=0 but net marine &gt;0; ","")&amp;IF(AND(N($J793)=2,N($R793)&gt;0),"MARINE=2 but net terrestrial &gt;0; ","")&amp;IF($K793="Point","Buffered point – coverage approximate; ","")))</f>
        <v/>
      </c>
    </row>
    <row r="794">
      <c r="A794" s="19" t="n"/>
      <c r="B794" s="19" t="n"/>
      <c r="C794" s="19" t="n"/>
      <c r="D794" s="19" t="n"/>
      <c r="E794" s="19" t="n"/>
      <c r="F794" s="19" t="n"/>
      <c r="G794" s="19" t="n"/>
      <c r="H794" s="19" t="n"/>
      <c r="I794" s="19" t="n"/>
      <c r="J794" s="19" t="n"/>
      <c r="K794" s="19" t="n"/>
      <c r="L794" s="20" t="n"/>
      <c r="M794" s="20" t="n"/>
      <c r="N794" s="20" t="n"/>
      <c r="O794" s="20" t="n"/>
      <c r="P794" s="19" t="n"/>
      <c r="Q794" s="19" t="n"/>
      <c r="R794" s="20" t="n"/>
      <c r="S794" s="20" t="n"/>
      <c r="T794" s="19" t="n"/>
      <c r="U794" s="19" t="n"/>
      <c r="V794" s="19" t="n"/>
      <c r="W794" s="19" t="n"/>
      <c r="X794" s="19" t="n"/>
      <c r="Y794" s="19" t="n"/>
      <c r="Z794" s="21">
        <f>IF(AND($A794="",$B794=""),"",IF(OR($E794="",$H794="",$H794="Proposed",$H794="Not Reported"),0,IF(AND($P794="Y",$Q794&lt;&gt;"Y"),0,IF(AND($K794="Point",N($L794)&lt;=0),0,IF(AND(N($L794)&lt;=0,N($N794)&lt;=0,N($R794)+N($S794)&lt;=0),0,1)))))</f>
        <v/>
      </c>
      <c r="AA794" s="21">
        <f>IF(AND($A794="",$B794=""),"",IF($E794="","Site type missing",IF($H794="","STATUS missing",IF($H794="Proposed","STATUS = Proposed",IF($H794="Not Reported","STATUS = Not Reported",IF(AND($P794="Y",$Q794&lt;&gt;"Y"),"UNESCO-MAB Biosphere Reserve",IF(AND($K794="Point",N($L794)&lt;=0),"Point without REP_AREA",IF(AND(N($L794)&lt;=0,N($N794)&lt;=0,N($R794)+N($S794)&lt;=0),"No area information",""))))))))</f>
        <v/>
      </c>
      <c r="AB794" s="22">
        <f>IF(AND($A794="",$B794=""),"",IF($K794="Point",N($L794),IF(N($N794)&gt;0,N($N794),N($L794))))</f>
        <v/>
      </c>
      <c r="AC794" s="22">
        <f>IF(AND($A794="",$B794=""),"",MIN(AB794,IF(N($J794)=0,0,IF(N($J794)=2,AB794,IF(AND($K794&lt;&gt;"Point",N($O794)&gt;0),N($O794),N($M794))))))</f>
        <v/>
      </c>
      <c r="AD794" s="22">
        <f>IF(AND($A794="",$B794=""),"",MAX(0,AB794-AC794))</f>
        <v/>
      </c>
      <c r="AE794" s="21">
        <f>IF(AND($A794="",$B794=""),"",IF(OR($R794&lt;&gt;"",$S794&lt;&gt;""),1,0))</f>
        <v/>
      </c>
      <c r="AF794" s="22">
        <f>IF(AND($A794="",$B794=""),"",IF(Z794=1,IF(AE794=1,N($R794),AD794),0))</f>
        <v/>
      </c>
      <c r="AG794" s="22">
        <f>IF(AND($A794="",$B794=""),"",IF(Z794=1,IF(AE794=1,N($S794),AC794),0))</f>
        <v/>
      </c>
      <c r="AH794" s="21">
        <f>IF(AND($A794="",$B794=""),"",IF(AND(ISNUMBER($I794),N($I794)&gt;0),$I794,0))</f>
        <v/>
      </c>
      <c r="AI794" s="23">
        <f>IF(AND(NOT(AND($A794="",$B794="")),$K794="Point",N($L794)&gt;0),SQRT(N($L794)/PI()),"")</f>
        <v/>
      </c>
      <c r="AJ794" s="21">
        <f>IF(AND($A794="",$B794=""),"",IFERROR(VLOOKUP($G794,Lists!$D$4:$E$15,2,FALSE),"Not reported"))</f>
        <v/>
      </c>
      <c r="AK794" s="21">
        <f>IF(AND($A794="",$B794=""),"",IF($X794&lt;&gt;"",$X794,IF($T794&lt;&gt;"Y","Not assessed",IF(AND(ISNUMBER($V794),Setup!$B$6-$V794&gt;Setup!$B$26),"Assessment outdated",IF(NOT(ISNUMBER($W794)),"Assessed – no score",IF($W794&gt;=Setup!$B$24,"High",IF($W794&gt;=Setup!$B$25,"Moderate","Low")))))))</f>
        <v/>
      </c>
      <c r="AL794" s="21">
        <f>IF(AND($A794="",$B794=""),"",IF(Z794=0,"",IF(AND(AE794=1,N($R794)&gt;AD794*1.01+0.001),"Net terrestrial &gt; gross; ","")&amp;IF(AND(AE794=1,N($S794)&gt;AC794*1.01+0.001),"Net marine &gt; gross; ","")&amp;IF(AE794=0,"No net area – gross used, overlaps may be double-counted; ","")&amp;IF(AH794=0,"STATUS_YR missing – imputed in time series; ","")&amp;IF(AND(ISNUMBER($I794),N($I794)&gt;Setup!$B$6),"STATUS_YR after reporting year; ","")&amp;IF(OR($G794="",$G794="Not Reported"),"GOV_TYPE not reported; ","")&amp;IF(AND(N($J794)=1,$K794="Point",N($M794)&lt;=0),"Coastal point without REP_M_AREA – land/sea split unknown; ","")&amp;IF(AND(N($J794)=0,N($S794)&gt;0),"MARINE=0 but net marine &gt;0; ","")&amp;IF(AND(N($J794)=2,N($R794)&gt;0),"MARINE=2 but net terrestrial &gt;0; ","")&amp;IF($K794="Point","Buffered point – coverage approximate; ","")))</f>
        <v/>
      </c>
    </row>
    <row r="795">
      <c r="A795" s="19" t="n"/>
      <c r="B795" s="19" t="n"/>
      <c r="C795" s="19" t="n"/>
      <c r="D795" s="19" t="n"/>
      <c r="E795" s="19" t="n"/>
      <c r="F795" s="19" t="n"/>
      <c r="G795" s="19" t="n"/>
      <c r="H795" s="19" t="n"/>
      <c r="I795" s="19" t="n"/>
      <c r="J795" s="19" t="n"/>
      <c r="K795" s="19" t="n"/>
      <c r="L795" s="20" t="n"/>
      <c r="M795" s="20" t="n"/>
      <c r="N795" s="20" t="n"/>
      <c r="O795" s="20" t="n"/>
      <c r="P795" s="19" t="n"/>
      <c r="Q795" s="19" t="n"/>
      <c r="R795" s="20" t="n"/>
      <c r="S795" s="20" t="n"/>
      <c r="T795" s="19" t="n"/>
      <c r="U795" s="19" t="n"/>
      <c r="V795" s="19" t="n"/>
      <c r="W795" s="19" t="n"/>
      <c r="X795" s="19" t="n"/>
      <c r="Y795" s="19" t="n"/>
      <c r="Z795" s="21">
        <f>IF(AND($A795="",$B795=""),"",IF(OR($E795="",$H795="",$H795="Proposed",$H795="Not Reported"),0,IF(AND($P795="Y",$Q795&lt;&gt;"Y"),0,IF(AND($K795="Point",N($L795)&lt;=0),0,IF(AND(N($L795)&lt;=0,N($N795)&lt;=0,N($R795)+N($S795)&lt;=0),0,1)))))</f>
        <v/>
      </c>
      <c r="AA795" s="21">
        <f>IF(AND($A795="",$B795=""),"",IF($E795="","Site type missing",IF($H795="","STATUS missing",IF($H795="Proposed","STATUS = Proposed",IF($H795="Not Reported","STATUS = Not Reported",IF(AND($P795="Y",$Q795&lt;&gt;"Y"),"UNESCO-MAB Biosphere Reserve",IF(AND($K795="Point",N($L795)&lt;=0),"Point without REP_AREA",IF(AND(N($L795)&lt;=0,N($N795)&lt;=0,N($R795)+N($S795)&lt;=0),"No area information",""))))))))</f>
        <v/>
      </c>
      <c r="AB795" s="22">
        <f>IF(AND($A795="",$B795=""),"",IF($K795="Point",N($L795),IF(N($N795)&gt;0,N($N795),N($L795))))</f>
        <v/>
      </c>
      <c r="AC795" s="22">
        <f>IF(AND($A795="",$B795=""),"",MIN(AB795,IF(N($J795)=0,0,IF(N($J795)=2,AB795,IF(AND($K795&lt;&gt;"Point",N($O795)&gt;0),N($O795),N($M795))))))</f>
        <v/>
      </c>
      <c r="AD795" s="22">
        <f>IF(AND($A795="",$B795=""),"",MAX(0,AB795-AC795))</f>
        <v/>
      </c>
      <c r="AE795" s="21">
        <f>IF(AND($A795="",$B795=""),"",IF(OR($R795&lt;&gt;"",$S795&lt;&gt;""),1,0))</f>
        <v/>
      </c>
      <c r="AF795" s="22">
        <f>IF(AND($A795="",$B795=""),"",IF(Z795=1,IF(AE795=1,N($R795),AD795),0))</f>
        <v/>
      </c>
      <c r="AG795" s="22">
        <f>IF(AND($A795="",$B795=""),"",IF(Z795=1,IF(AE795=1,N($S795),AC795),0))</f>
        <v/>
      </c>
      <c r="AH795" s="21">
        <f>IF(AND($A795="",$B795=""),"",IF(AND(ISNUMBER($I795),N($I795)&gt;0),$I795,0))</f>
        <v/>
      </c>
      <c r="AI795" s="23">
        <f>IF(AND(NOT(AND($A795="",$B795="")),$K795="Point",N($L795)&gt;0),SQRT(N($L795)/PI()),"")</f>
        <v/>
      </c>
      <c r="AJ795" s="21">
        <f>IF(AND($A795="",$B795=""),"",IFERROR(VLOOKUP($G795,Lists!$D$4:$E$15,2,FALSE),"Not reported"))</f>
        <v/>
      </c>
      <c r="AK795" s="21">
        <f>IF(AND($A795="",$B795=""),"",IF($X795&lt;&gt;"",$X795,IF($T795&lt;&gt;"Y","Not assessed",IF(AND(ISNUMBER($V795),Setup!$B$6-$V795&gt;Setup!$B$26),"Assessment outdated",IF(NOT(ISNUMBER($W795)),"Assessed – no score",IF($W795&gt;=Setup!$B$24,"High",IF($W795&gt;=Setup!$B$25,"Moderate","Low")))))))</f>
        <v/>
      </c>
      <c r="AL795" s="21">
        <f>IF(AND($A795="",$B795=""),"",IF(Z795=0,"",IF(AND(AE795=1,N($R795)&gt;AD795*1.01+0.001),"Net terrestrial &gt; gross; ","")&amp;IF(AND(AE795=1,N($S795)&gt;AC795*1.01+0.001),"Net marine &gt; gross; ","")&amp;IF(AE795=0,"No net area – gross used, overlaps may be double-counted; ","")&amp;IF(AH795=0,"STATUS_YR missing – imputed in time series; ","")&amp;IF(AND(ISNUMBER($I795),N($I795)&gt;Setup!$B$6),"STATUS_YR after reporting year; ","")&amp;IF(OR($G795="",$G795="Not Reported"),"GOV_TYPE not reported; ","")&amp;IF(AND(N($J795)=1,$K795="Point",N($M795)&lt;=0),"Coastal point without REP_M_AREA – land/sea split unknown; ","")&amp;IF(AND(N($J795)=0,N($S795)&gt;0),"MARINE=0 but net marine &gt;0; ","")&amp;IF(AND(N($J795)=2,N($R795)&gt;0),"MARINE=2 but net terrestrial &gt;0; ","")&amp;IF($K795="Point","Buffered point – coverage approximate; ","")))</f>
        <v/>
      </c>
    </row>
    <row r="796">
      <c r="A796" s="19" t="n"/>
      <c r="B796" s="19" t="n"/>
      <c r="C796" s="19" t="n"/>
      <c r="D796" s="19" t="n"/>
      <c r="E796" s="19" t="n"/>
      <c r="F796" s="19" t="n"/>
      <c r="G796" s="19" t="n"/>
      <c r="H796" s="19" t="n"/>
      <c r="I796" s="19" t="n"/>
      <c r="J796" s="19" t="n"/>
      <c r="K796" s="19" t="n"/>
      <c r="L796" s="20" t="n"/>
      <c r="M796" s="20" t="n"/>
      <c r="N796" s="20" t="n"/>
      <c r="O796" s="20" t="n"/>
      <c r="P796" s="19" t="n"/>
      <c r="Q796" s="19" t="n"/>
      <c r="R796" s="20" t="n"/>
      <c r="S796" s="20" t="n"/>
      <c r="T796" s="19" t="n"/>
      <c r="U796" s="19" t="n"/>
      <c r="V796" s="19" t="n"/>
      <c r="W796" s="19" t="n"/>
      <c r="X796" s="19" t="n"/>
      <c r="Y796" s="19" t="n"/>
      <c r="Z796" s="21">
        <f>IF(AND($A796="",$B796=""),"",IF(OR($E796="",$H796="",$H796="Proposed",$H796="Not Reported"),0,IF(AND($P796="Y",$Q796&lt;&gt;"Y"),0,IF(AND($K796="Point",N($L796)&lt;=0),0,IF(AND(N($L796)&lt;=0,N($N796)&lt;=0,N($R796)+N($S796)&lt;=0),0,1)))))</f>
        <v/>
      </c>
      <c r="AA796" s="21">
        <f>IF(AND($A796="",$B796=""),"",IF($E796="","Site type missing",IF($H796="","STATUS missing",IF($H796="Proposed","STATUS = Proposed",IF($H796="Not Reported","STATUS = Not Reported",IF(AND($P796="Y",$Q796&lt;&gt;"Y"),"UNESCO-MAB Biosphere Reserve",IF(AND($K796="Point",N($L796)&lt;=0),"Point without REP_AREA",IF(AND(N($L796)&lt;=0,N($N796)&lt;=0,N($R796)+N($S796)&lt;=0),"No area information",""))))))))</f>
        <v/>
      </c>
      <c r="AB796" s="22">
        <f>IF(AND($A796="",$B796=""),"",IF($K796="Point",N($L796),IF(N($N796)&gt;0,N($N796),N($L796))))</f>
        <v/>
      </c>
      <c r="AC796" s="22">
        <f>IF(AND($A796="",$B796=""),"",MIN(AB796,IF(N($J796)=0,0,IF(N($J796)=2,AB796,IF(AND($K796&lt;&gt;"Point",N($O796)&gt;0),N($O796),N($M796))))))</f>
        <v/>
      </c>
      <c r="AD796" s="22">
        <f>IF(AND($A796="",$B796=""),"",MAX(0,AB796-AC796))</f>
        <v/>
      </c>
      <c r="AE796" s="21">
        <f>IF(AND($A796="",$B796=""),"",IF(OR($R796&lt;&gt;"",$S796&lt;&gt;""),1,0))</f>
        <v/>
      </c>
      <c r="AF796" s="22">
        <f>IF(AND($A796="",$B796=""),"",IF(Z796=1,IF(AE796=1,N($R796),AD796),0))</f>
        <v/>
      </c>
      <c r="AG796" s="22">
        <f>IF(AND($A796="",$B796=""),"",IF(Z796=1,IF(AE796=1,N($S796),AC796),0))</f>
        <v/>
      </c>
      <c r="AH796" s="21">
        <f>IF(AND($A796="",$B796=""),"",IF(AND(ISNUMBER($I796),N($I796)&gt;0),$I796,0))</f>
        <v/>
      </c>
      <c r="AI796" s="23">
        <f>IF(AND(NOT(AND($A796="",$B796="")),$K796="Point",N($L796)&gt;0),SQRT(N($L796)/PI()),"")</f>
        <v/>
      </c>
      <c r="AJ796" s="21">
        <f>IF(AND($A796="",$B796=""),"",IFERROR(VLOOKUP($G796,Lists!$D$4:$E$15,2,FALSE),"Not reported"))</f>
        <v/>
      </c>
      <c r="AK796" s="21">
        <f>IF(AND($A796="",$B796=""),"",IF($X796&lt;&gt;"",$X796,IF($T796&lt;&gt;"Y","Not assessed",IF(AND(ISNUMBER($V796),Setup!$B$6-$V796&gt;Setup!$B$26),"Assessment outdated",IF(NOT(ISNUMBER($W796)),"Assessed – no score",IF($W796&gt;=Setup!$B$24,"High",IF($W796&gt;=Setup!$B$25,"Moderate","Low")))))))</f>
        <v/>
      </c>
      <c r="AL796" s="21">
        <f>IF(AND($A796="",$B796=""),"",IF(Z796=0,"",IF(AND(AE796=1,N($R796)&gt;AD796*1.01+0.001),"Net terrestrial &gt; gross; ","")&amp;IF(AND(AE796=1,N($S796)&gt;AC796*1.01+0.001),"Net marine &gt; gross; ","")&amp;IF(AE796=0,"No net area – gross used, overlaps may be double-counted; ","")&amp;IF(AH796=0,"STATUS_YR missing – imputed in time series; ","")&amp;IF(AND(ISNUMBER($I796),N($I796)&gt;Setup!$B$6),"STATUS_YR after reporting year; ","")&amp;IF(OR($G796="",$G796="Not Reported"),"GOV_TYPE not reported; ","")&amp;IF(AND(N($J796)=1,$K796="Point",N($M796)&lt;=0),"Coastal point without REP_M_AREA – land/sea split unknown; ","")&amp;IF(AND(N($J796)=0,N($S796)&gt;0),"MARINE=0 but net marine &gt;0; ","")&amp;IF(AND(N($J796)=2,N($R796)&gt;0),"MARINE=2 but net terrestrial &gt;0; ","")&amp;IF($K796="Point","Buffered point – coverage approximate; ","")))</f>
        <v/>
      </c>
    </row>
    <row r="797">
      <c r="A797" s="19" t="n"/>
      <c r="B797" s="19" t="n"/>
      <c r="C797" s="19" t="n"/>
      <c r="D797" s="19" t="n"/>
      <c r="E797" s="19" t="n"/>
      <c r="F797" s="19" t="n"/>
      <c r="G797" s="19" t="n"/>
      <c r="H797" s="19" t="n"/>
      <c r="I797" s="19" t="n"/>
      <c r="J797" s="19" t="n"/>
      <c r="K797" s="19" t="n"/>
      <c r="L797" s="20" t="n"/>
      <c r="M797" s="20" t="n"/>
      <c r="N797" s="20" t="n"/>
      <c r="O797" s="20" t="n"/>
      <c r="P797" s="19" t="n"/>
      <c r="Q797" s="19" t="n"/>
      <c r="R797" s="20" t="n"/>
      <c r="S797" s="20" t="n"/>
      <c r="T797" s="19" t="n"/>
      <c r="U797" s="19" t="n"/>
      <c r="V797" s="19" t="n"/>
      <c r="W797" s="19" t="n"/>
      <c r="X797" s="19" t="n"/>
      <c r="Y797" s="19" t="n"/>
      <c r="Z797" s="21">
        <f>IF(AND($A797="",$B797=""),"",IF(OR($E797="",$H797="",$H797="Proposed",$H797="Not Reported"),0,IF(AND($P797="Y",$Q797&lt;&gt;"Y"),0,IF(AND($K797="Point",N($L797)&lt;=0),0,IF(AND(N($L797)&lt;=0,N($N797)&lt;=0,N($R797)+N($S797)&lt;=0),0,1)))))</f>
        <v/>
      </c>
      <c r="AA797" s="21">
        <f>IF(AND($A797="",$B797=""),"",IF($E797="","Site type missing",IF($H797="","STATUS missing",IF($H797="Proposed","STATUS = Proposed",IF($H797="Not Reported","STATUS = Not Reported",IF(AND($P797="Y",$Q797&lt;&gt;"Y"),"UNESCO-MAB Biosphere Reserve",IF(AND($K797="Point",N($L797)&lt;=0),"Point without REP_AREA",IF(AND(N($L797)&lt;=0,N($N797)&lt;=0,N($R797)+N($S797)&lt;=0),"No area information",""))))))))</f>
        <v/>
      </c>
      <c r="AB797" s="22">
        <f>IF(AND($A797="",$B797=""),"",IF($K797="Point",N($L797),IF(N($N797)&gt;0,N($N797),N($L797))))</f>
        <v/>
      </c>
      <c r="AC797" s="22">
        <f>IF(AND($A797="",$B797=""),"",MIN(AB797,IF(N($J797)=0,0,IF(N($J797)=2,AB797,IF(AND($K797&lt;&gt;"Point",N($O797)&gt;0),N($O797),N($M797))))))</f>
        <v/>
      </c>
      <c r="AD797" s="22">
        <f>IF(AND($A797="",$B797=""),"",MAX(0,AB797-AC797))</f>
        <v/>
      </c>
      <c r="AE797" s="21">
        <f>IF(AND($A797="",$B797=""),"",IF(OR($R797&lt;&gt;"",$S797&lt;&gt;""),1,0))</f>
        <v/>
      </c>
      <c r="AF797" s="22">
        <f>IF(AND($A797="",$B797=""),"",IF(Z797=1,IF(AE797=1,N($R797),AD797),0))</f>
        <v/>
      </c>
      <c r="AG797" s="22">
        <f>IF(AND($A797="",$B797=""),"",IF(Z797=1,IF(AE797=1,N($S797),AC797),0))</f>
        <v/>
      </c>
      <c r="AH797" s="21">
        <f>IF(AND($A797="",$B797=""),"",IF(AND(ISNUMBER($I797),N($I797)&gt;0),$I797,0))</f>
        <v/>
      </c>
      <c r="AI797" s="23">
        <f>IF(AND(NOT(AND($A797="",$B797="")),$K797="Point",N($L797)&gt;0),SQRT(N($L797)/PI()),"")</f>
        <v/>
      </c>
      <c r="AJ797" s="21">
        <f>IF(AND($A797="",$B797=""),"",IFERROR(VLOOKUP($G797,Lists!$D$4:$E$15,2,FALSE),"Not reported"))</f>
        <v/>
      </c>
      <c r="AK797" s="21">
        <f>IF(AND($A797="",$B797=""),"",IF($X797&lt;&gt;"",$X797,IF($T797&lt;&gt;"Y","Not assessed",IF(AND(ISNUMBER($V797),Setup!$B$6-$V797&gt;Setup!$B$26),"Assessment outdated",IF(NOT(ISNUMBER($W797)),"Assessed – no score",IF($W797&gt;=Setup!$B$24,"High",IF($W797&gt;=Setup!$B$25,"Moderate","Low")))))))</f>
        <v/>
      </c>
      <c r="AL797" s="21">
        <f>IF(AND($A797="",$B797=""),"",IF(Z797=0,"",IF(AND(AE797=1,N($R797)&gt;AD797*1.01+0.001),"Net terrestrial &gt; gross; ","")&amp;IF(AND(AE797=1,N($S797)&gt;AC797*1.01+0.001),"Net marine &gt; gross; ","")&amp;IF(AE797=0,"No net area – gross used, overlaps may be double-counted; ","")&amp;IF(AH797=0,"STATUS_YR missing – imputed in time series; ","")&amp;IF(AND(ISNUMBER($I797),N($I797)&gt;Setup!$B$6),"STATUS_YR after reporting year; ","")&amp;IF(OR($G797="",$G797="Not Reported"),"GOV_TYPE not reported; ","")&amp;IF(AND(N($J797)=1,$K797="Point",N($M797)&lt;=0),"Coastal point without REP_M_AREA – land/sea split unknown; ","")&amp;IF(AND(N($J797)=0,N($S797)&gt;0),"MARINE=0 but net marine &gt;0; ","")&amp;IF(AND(N($J797)=2,N($R797)&gt;0),"MARINE=2 but net terrestrial &gt;0; ","")&amp;IF($K797="Point","Buffered point – coverage approximate; ","")))</f>
        <v/>
      </c>
    </row>
    <row r="798">
      <c r="A798" s="19" t="n"/>
      <c r="B798" s="19" t="n"/>
      <c r="C798" s="19" t="n"/>
      <c r="D798" s="19" t="n"/>
      <c r="E798" s="19" t="n"/>
      <c r="F798" s="19" t="n"/>
      <c r="G798" s="19" t="n"/>
      <c r="H798" s="19" t="n"/>
      <c r="I798" s="19" t="n"/>
      <c r="J798" s="19" t="n"/>
      <c r="K798" s="19" t="n"/>
      <c r="L798" s="20" t="n"/>
      <c r="M798" s="20" t="n"/>
      <c r="N798" s="20" t="n"/>
      <c r="O798" s="20" t="n"/>
      <c r="P798" s="19" t="n"/>
      <c r="Q798" s="19" t="n"/>
      <c r="R798" s="20" t="n"/>
      <c r="S798" s="20" t="n"/>
      <c r="T798" s="19" t="n"/>
      <c r="U798" s="19" t="n"/>
      <c r="V798" s="19" t="n"/>
      <c r="W798" s="19" t="n"/>
      <c r="X798" s="19" t="n"/>
      <c r="Y798" s="19" t="n"/>
      <c r="Z798" s="21">
        <f>IF(AND($A798="",$B798=""),"",IF(OR($E798="",$H798="",$H798="Proposed",$H798="Not Reported"),0,IF(AND($P798="Y",$Q798&lt;&gt;"Y"),0,IF(AND($K798="Point",N($L798)&lt;=0),0,IF(AND(N($L798)&lt;=0,N($N798)&lt;=0,N($R798)+N($S798)&lt;=0),0,1)))))</f>
        <v/>
      </c>
      <c r="AA798" s="21">
        <f>IF(AND($A798="",$B798=""),"",IF($E798="","Site type missing",IF($H798="","STATUS missing",IF($H798="Proposed","STATUS = Proposed",IF($H798="Not Reported","STATUS = Not Reported",IF(AND($P798="Y",$Q798&lt;&gt;"Y"),"UNESCO-MAB Biosphere Reserve",IF(AND($K798="Point",N($L798)&lt;=0),"Point without REP_AREA",IF(AND(N($L798)&lt;=0,N($N798)&lt;=0,N($R798)+N($S798)&lt;=0),"No area information",""))))))))</f>
        <v/>
      </c>
      <c r="AB798" s="22">
        <f>IF(AND($A798="",$B798=""),"",IF($K798="Point",N($L798),IF(N($N798)&gt;0,N($N798),N($L798))))</f>
        <v/>
      </c>
      <c r="AC798" s="22">
        <f>IF(AND($A798="",$B798=""),"",MIN(AB798,IF(N($J798)=0,0,IF(N($J798)=2,AB798,IF(AND($K798&lt;&gt;"Point",N($O798)&gt;0),N($O798),N($M798))))))</f>
        <v/>
      </c>
      <c r="AD798" s="22">
        <f>IF(AND($A798="",$B798=""),"",MAX(0,AB798-AC798))</f>
        <v/>
      </c>
      <c r="AE798" s="21">
        <f>IF(AND($A798="",$B798=""),"",IF(OR($R798&lt;&gt;"",$S798&lt;&gt;""),1,0))</f>
        <v/>
      </c>
      <c r="AF798" s="22">
        <f>IF(AND($A798="",$B798=""),"",IF(Z798=1,IF(AE798=1,N($R798),AD798),0))</f>
        <v/>
      </c>
      <c r="AG798" s="22">
        <f>IF(AND($A798="",$B798=""),"",IF(Z798=1,IF(AE798=1,N($S798),AC798),0))</f>
        <v/>
      </c>
      <c r="AH798" s="21">
        <f>IF(AND($A798="",$B798=""),"",IF(AND(ISNUMBER($I798),N($I798)&gt;0),$I798,0))</f>
        <v/>
      </c>
      <c r="AI798" s="23">
        <f>IF(AND(NOT(AND($A798="",$B798="")),$K798="Point",N($L798)&gt;0),SQRT(N($L798)/PI()),"")</f>
        <v/>
      </c>
      <c r="AJ798" s="21">
        <f>IF(AND($A798="",$B798=""),"",IFERROR(VLOOKUP($G798,Lists!$D$4:$E$15,2,FALSE),"Not reported"))</f>
        <v/>
      </c>
      <c r="AK798" s="21">
        <f>IF(AND($A798="",$B798=""),"",IF($X798&lt;&gt;"",$X798,IF($T798&lt;&gt;"Y","Not assessed",IF(AND(ISNUMBER($V798),Setup!$B$6-$V798&gt;Setup!$B$26),"Assessment outdated",IF(NOT(ISNUMBER($W798)),"Assessed – no score",IF($W798&gt;=Setup!$B$24,"High",IF($W798&gt;=Setup!$B$25,"Moderate","Low")))))))</f>
        <v/>
      </c>
      <c r="AL798" s="21">
        <f>IF(AND($A798="",$B798=""),"",IF(Z798=0,"",IF(AND(AE798=1,N($R798)&gt;AD798*1.01+0.001),"Net terrestrial &gt; gross; ","")&amp;IF(AND(AE798=1,N($S798)&gt;AC798*1.01+0.001),"Net marine &gt; gross; ","")&amp;IF(AE798=0,"No net area – gross used, overlaps may be double-counted; ","")&amp;IF(AH798=0,"STATUS_YR missing – imputed in time series; ","")&amp;IF(AND(ISNUMBER($I798),N($I798)&gt;Setup!$B$6),"STATUS_YR after reporting year; ","")&amp;IF(OR($G798="",$G798="Not Reported"),"GOV_TYPE not reported; ","")&amp;IF(AND(N($J798)=1,$K798="Point",N($M798)&lt;=0),"Coastal point without REP_M_AREA – land/sea split unknown; ","")&amp;IF(AND(N($J798)=0,N($S798)&gt;0),"MARINE=0 but net marine &gt;0; ","")&amp;IF(AND(N($J798)=2,N($R798)&gt;0),"MARINE=2 but net terrestrial &gt;0; ","")&amp;IF($K798="Point","Buffered point – coverage approximate; ","")))</f>
        <v/>
      </c>
    </row>
    <row r="799">
      <c r="A799" s="19" t="n"/>
      <c r="B799" s="19" t="n"/>
      <c r="C799" s="19" t="n"/>
      <c r="D799" s="19" t="n"/>
      <c r="E799" s="19" t="n"/>
      <c r="F799" s="19" t="n"/>
      <c r="G799" s="19" t="n"/>
      <c r="H799" s="19" t="n"/>
      <c r="I799" s="19" t="n"/>
      <c r="J799" s="19" t="n"/>
      <c r="K799" s="19" t="n"/>
      <c r="L799" s="20" t="n"/>
      <c r="M799" s="20" t="n"/>
      <c r="N799" s="20" t="n"/>
      <c r="O799" s="20" t="n"/>
      <c r="P799" s="19" t="n"/>
      <c r="Q799" s="19" t="n"/>
      <c r="R799" s="20" t="n"/>
      <c r="S799" s="20" t="n"/>
      <c r="T799" s="19" t="n"/>
      <c r="U799" s="19" t="n"/>
      <c r="V799" s="19" t="n"/>
      <c r="W799" s="19" t="n"/>
      <c r="X799" s="19" t="n"/>
      <c r="Y799" s="19" t="n"/>
      <c r="Z799" s="21">
        <f>IF(AND($A799="",$B799=""),"",IF(OR($E799="",$H799="",$H799="Proposed",$H799="Not Reported"),0,IF(AND($P799="Y",$Q799&lt;&gt;"Y"),0,IF(AND($K799="Point",N($L799)&lt;=0),0,IF(AND(N($L799)&lt;=0,N($N799)&lt;=0,N($R799)+N($S799)&lt;=0),0,1)))))</f>
        <v/>
      </c>
      <c r="AA799" s="21">
        <f>IF(AND($A799="",$B799=""),"",IF($E799="","Site type missing",IF($H799="","STATUS missing",IF($H799="Proposed","STATUS = Proposed",IF($H799="Not Reported","STATUS = Not Reported",IF(AND($P799="Y",$Q799&lt;&gt;"Y"),"UNESCO-MAB Biosphere Reserve",IF(AND($K799="Point",N($L799)&lt;=0),"Point without REP_AREA",IF(AND(N($L799)&lt;=0,N($N799)&lt;=0,N($R799)+N($S799)&lt;=0),"No area information",""))))))))</f>
        <v/>
      </c>
      <c r="AB799" s="22">
        <f>IF(AND($A799="",$B799=""),"",IF($K799="Point",N($L799),IF(N($N799)&gt;0,N($N799),N($L799))))</f>
        <v/>
      </c>
      <c r="AC799" s="22">
        <f>IF(AND($A799="",$B799=""),"",MIN(AB799,IF(N($J799)=0,0,IF(N($J799)=2,AB799,IF(AND($K799&lt;&gt;"Point",N($O799)&gt;0),N($O799),N($M799))))))</f>
        <v/>
      </c>
      <c r="AD799" s="22">
        <f>IF(AND($A799="",$B799=""),"",MAX(0,AB799-AC799))</f>
        <v/>
      </c>
      <c r="AE799" s="21">
        <f>IF(AND($A799="",$B799=""),"",IF(OR($R799&lt;&gt;"",$S799&lt;&gt;""),1,0))</f>
        <v/>
      </c>
      <c r="AF799" s="22">
        <f>IF(AND($A799="",$B799=""),"",IF(Z799=1,IF(AE799=1,N($R799),AD799),0))</f>
        <v/>
      </c>
      <c r="AG799" s="22">
        <f>IF(AND($A799="",$B799=""),"",IF(Z799=1,IF(AE799=1,N($S799),AC799),0))</f>
        <v/>
      </c>
      <c r="AH799" s="21">
        <f>IF(AND($A799="",$B799=""),"",IF(AND(ISNUMBER($I799),N($I799)&gt;0),$I799,0))</f>
        <v/>
      </c>
      <c r="AI799" s="23">
        <f>IF(AND(NOT(AND($A799="",$B799="")),$K799="Point",N($L799)&gt;0),SQRT(N($L799)/PI()),"")</f>
        <v/>
      </c>
      <c r="AJ799" s="21">
        <f>IF(AND($A799="",$B799=""),"",IFERROR(VLOOKUP($G799,Lists!$D$4:$E$15,2,FALSE),"Not reported"))</f>
        <v/>
      </c>
      <c r="AK799" s="21">
        <f>IF(AND($A799="",$B799=""),"",IF($X799&lt;&gt;"",$X799,IF($T799&lt;&gt;"Y","Not assessed",IF(AND(ISNUMBER($V799),Setup!$B$6-$V799&gt;Setup!$B$26),"Assessment outdated",IF(NOT(ISNUMBER($W799)),"Assessed – no score",IF($W799&gt;=Setup!$B$24,"High",IF($W799&gt;=Setup!$B$25,"Moderate","Low")))))))</f>
        <v/>
      </c>
      <c r="AL799" s="21">
        <f>IF(AND($A799="",$B799=""),"",IF(Z799=0,"",IF(AND(AE799=1,N($R799)&gt;AD799*1.01+0.001),"Net terrestrial &gt; gross; ","")&amp;IF(AND(AE799=1,N($S799)&gt;AC799*1.01+0.001),"Net marine &gt; gross; ","")&amp;IF(AE799=0,"No net area – gross used, overlaps may be double-counted; ","")&amp;IF(AH799=0,"STATUS_YR missing – imputed in time series; ","")&amp;IF(AND(ISNUMBER($I799),N($I799)&gt;Setup!$B$6),"STATUS_YR after reporting year; ","")&amp;IF(OR($G799="",$G799="Not Reported"),"GOV_TYPE not reported; ","")&amp;IF(AND(N($J799)=1,$K799="Point",N($M799)&lt;=0),"Coastal point without REP_M_AREA – land/sea split unknown; ","")&amp;IF(AND(N($J799)=0,N($S799)&gt;0),"MARINE=0 but net marine &gt;0; ","")&amp;IF(AND(N($J799)=2,N($R799)&gt;0),"MARINE=2 but net terrestrial &gt;0; ","")&amp;IF($K799="Point","Buffered point – coverage approximate; ","")))</f>
        <v/>
      </c>
    </row>
    <row r="800">
      <c r="A800" s="19" t="n"/>
      <c r="B800" s="19" t="n"/>
      <c r="C800" s="19" t="n"/>
      <c r="D800" s="19" t="n"/>
      <c r="E800" s="19" t="n"/>
      <c r="F800" s="19" t="n"/>
      <c r="G800" s="19" t="n"/>
      <c r="H800" s="19" t="n"/>
      <c r="I800" s="19" t="n"/>
      <c r="J800" s="19" t="n"/>
      <c r="K800" s="19" t="n"/>
      <c r="L800" s="20" t="n"/>
      <c r="M800" s="20" t="n"/>
      <c r="N800" s="20" t="n"/>
      <c r="O800" s="20" t="n"/>
      <c r="P800" s="19" t="n"/>
      <c r="Q800" s="19" t="n"/>
      <c r="R800" s="20" t="n"/>
      <c r="S800" s="20" t="n"/>
      <c r="T800" s="19" t="n"/>
      <c r="U800" s="19" t="n"/>
      <c r="V800" s="19" t="n"/>
      <c r="W800" s="19" t="n"/>
      <c r="X800" s="19" t="n"/>
      <c r="Y800" s="19" t="n"/>
      <c r="Z800" s="21">
        <f>IF(AND($A800="",$B800=""),"",IF(OR($E800="",$H800="",$H800="Proposed",$H800="Not Reported"),0,IF(AND($P800="Y",$Q800&lt;&gt;"Y"),0,IF(AND($K800="Point",N($L800)&lt;=0),0,IF(AND(N($L800)&lt;=0,N($N800)&lt;=0,N($R800)+N($S800)&lt;=0),0,1)))))</f>
        <v/>
      </c>
      <c r="AA800" s="21">
        <f>IF(AND($A800="",$B800=""),"",IF($E800="","Site type missing",IF($H800="","STATUS missing",IF($H800="Proposed","STATUS = Proposed",IF($H800="Not Reported","STATUS = Not Reported",IF(AND($P800="Y",$Q800&lt;&gt;"Y"),"UNESCO-MAB Biosphere Reserve",IF(AND($K800="Point",N($L800)&lt;=0),"Point without REP_AREA",IF(AND(N($L800)&lt;=0,N($N800)&lt;=0,N($R800)+N($S800)&lt;=0),"No area information",""))))))))</f>
        <v/>
      </c>
      <c r="AB800" s="22">
        <f>IF(AND($A800="",$B800=""),"",IF($K800="Point",N($L800),IF(N($N800)&gt;0,N($N800),N($L800))))</f>
        <v/>
      </c>
      <c r="AC800" s="22">
        <f>IF(AND($A800="",$B800=""),"",MIN(AB800,IF(N($J800)=0,0,IF(N($J800)=2,AB800,IF(AND($K800&lt;&gt;"Point",N($O800)&gt;0),N($O800),N($M800))))))</f>
        <v/>
      </c>
      <c r="AD800" s="22">
        <f>IF(AND($A800="",$B800=""),"",MAX(0,AB800-AC800))</f>
        <v/>
      </c>
      <c r="AE800" s="21">
        <f>IF(AND($A800="",$B800=""),"",IF(OR($R800&lt;&gt;"",$S800&lt;&gt;""),1,0))</f>
        <v/>
      </c>
      <c r="AF800" s="22">
        <f>IF(AND($A800="",$B800=""),"",IF(Z800=1,IF(AE800=1,N($R800),AD800),0))</f>
        <v/>
      </c>
      <c r="AG800" s="22">
        <f>IF(AND($A800="",$B800=""),"",IF(Z800=1,IF(AE800=1,N($S800),AC800),0))</f>
        <v/>
      </c>
      <c r="AH800" s="21">
        <f>IF(AND($A800="",$B800=""),"",IF(AND(ISNUMBER($I800),N($I800)&gt;0),$I800,0))</f>
        <v/>
      </c>
      <c r="AI800" s="23">
        <f>IF(AND(NOT(AND($A800="",$B800="")),$K800="Point",N($L800)&gt;0),SQRT(N($L800)/PI()),"")</f>
        <v/>
      </c>
      <c r="AJ800" s="21">
        <f>IF(AND($A800="",$B800=""),"",IFERROR(VLOOKUP($G800,Lists!$D$4:$E$15,2,FALSE),"Not reported"))</f>
        <v/>
      </c>
      <c r="AK800" s="21">
        <f>IF(AND($A800="",$B800=""),"",IF($X800&lt;&gt;"",$X800,IF($T800&lt;&gt;"Y","Not assessed",IF(AND(ISNUMBER($V800),Setup!$B$6-$V800&gt;Setup!$B$26),"Assessment outdated",IF(NOT(ISNUMBER($W800)),"Assessed – no score",IF($W800&gt;=Setup!$B$24,"High",IF($W800&gt;=Setup!$B$25,"Moderate","Low")))))))</f>
        <v/>
      </c>
      <c r="AL800" s="21">
        <f>IF(AND($A800="",$B800=""),"",IF(Z800=0,"",IF(AND(AE800=1,N($R800)&gt;AD800*1.01+0.001),"Net terrestrial &gt; gross; ","")&amp;IF(AND(AE800=1,N($S800)&gt;AC800*1.01+0.001),"Net marine &gt; gross; ","")&amp;IF(AE800=0,"No net area – gross used, overlaps may be double-counted; ","")&amp;IF(AH800=0,"STATUS_YR missing – imputed in time series; ","")&amp;IF(AND(ISNUMBER($I800),N($I800)&gt;Setup!$B$6),"STATUS_YR after reporting year; ","")&amp;IF(OR($G800="",$G800="Not Reported"),"GOV_TYPE not reported; ","")&amp;IF(AND(N($J800)=1,$K800="Point",N($M800)&lt;=0),"Coastal point without REP_M_AREA – land/sea split unknown; ","")&amp;IF(AND(N($J800)=0,N($S800)&gt;0),"MARINE=0 but net marine &gt;0; ","")&amp;IF(AND(N($J800)=2,N($R800)&gt;0),"MARINE=2 but net terrestrial &gt;0; ","")&amp;IF($K800="Point","Buffered point – coverage approximate; ","")))</f>
        <v/>
      </c>
    </row>
    <row r="801">
      <c r="A801" s="19" t="n"/>
      <c r="B801" s="19" t="n"/>
      <c r="C801" s="19" t="n"/>
      <c r="D801" s="19" t="n"/>
      <c r="E801" s="19" t="n"/>
      <c r="F801" s="19" t="n"/>
      <c r="G801" s="19" t="n"/>
      <c r="H801" s="19" t="n"/>
      <c r="I801" s="19" t="n"/>
      <c r="J801" s="19" t="n"/>
      <c r="K801" s="19" t="n"/>
      <c r="L801" s="20" t="n"/>
      <c r="M801" s="20" t="n"/>
      <c r="N801" s="20" t="n"/>
      <c r="O801" s="20" t="n"/>
      <c r="P801" s="19" t="n"/>
      <c r="Q801" s="19" t="n"/>
      <c r="R801" s="20" t="n"/>
      <c r="S801" s="20" t="n"/>
      <c r="T801" s="19" t="n"/>
      <c r="U801" s="19" t="n"/>
      <c r="V801" s="19" t="n"/>
      <c r="W801" s="19" t="n"/>
      <c r="X801" s="19" t="n"/>
      <c r="Y801" s="19" t="n"/>
      <c r="Z801" s="21">
        <f>IF(AND($A801="",$B801=""),"",IF(OR($E801="",$H801="",$H801="Proposed",$H801="Not Reported"),0,IF(AND($P801="Y",$Q801&lt;&gt;"Y"),0,IF(AND($K801="Point",N($L801)&lt;=0),0,IF(AND(N($L801)&lt;=0,N($N801)&lt;=0,N($R801)+N($S801)&lt;=0),0,1)))))</f>
        <v/>
      </c>
      <c r="AA801" s="21">
        <f>IF(AND($A801="",$B801=""),"",IF($E801="","Site type missing",IF($H801="","STATUS missing",IF($H801="Proposed","STATUS = Proposed",IF($H801="Not Reported","STATUS = Not Reported",IF(AND($P801="Y",$Q801&lt;&gt;"Y"),"UNESCO-MAB Biosphere Reserve",IF(AND($K801="Point",N($L801)&lt;=0),"Point without REP_AREA",IF(AND(N($L801)&lt;=0,N($N801)&lt;=0,N($R801)+N($S801)&lt;=0),"No area information",""))))))))</f>
        <v/>
      </c>
      <c r="AB801" s="22">
        <f>IF(AND($A801="",$B801=""),"",IF($K801="Point",N($L801),IF(N($N801)&gt;0,N($N801),N($L801))))</f>
        <v/>
      </c>
      <c r="AC801" s="22">
        <f>IF(AND($A801="",$B801=""),"",MIN(AB801,IF(N($J801)=0,0,IF(N($J801)=2,AB801,IF(AND($K801&lt;&gt;"Point",N($O801)&gt;0),N($O801),N($M801))))))</f>
        <v/>
      </c>
      <c r="AD801" s="22">
        <f>IF(AND($A801="",$B801=""),"",MAX(0,AB801-AC801))</f>
        <v/>
      </c>
      <c r="AE801" s="21">
        <f>IF(AND($A801="",$B801=""),"",IF(OR($R801&lt;&gt;"",$S801&lt;&gt;""),1,0))</f>
        <v/>
      </c>
      <c r="AF801" s="22">
        <f>IF(AND($A801="",$B801=""),"",IF(Z801=1,IF(AE801=1,N($R801),AD801),0))</f>
        <v/>
      </c>
      <c r="AG801" s="22">
        <f>IF(AND($A801="",$B801=""),"",IF(Z801=1,IF(AE801=1,N($S801),AC801),0))</f>
        <v/>
      </c>
      <c r="AH801" s="21">
        <f>IF(AND($A801="",$B801=""),"",IF(AND(ISNUMBER($I801),N($I801)&gt;0),$I801,0))</f>
        <v/>
      </c>
      <c r="AI801" s="23">
        <f>IF(AND(NOT(AND($A801="",$B801="")),$K801="Point",N($L801)&gt;0),SQRT(N($L801)/PI()),"")</f>
        <v/>
      </c>
      <c r="AJ801" s="21">
        <f>IF(AND($A801="",$B801=""),"",IFERROR(VLOOKUP($G801,Lists!$D$4:$E$15,2,FALSE),"Not reported"))</f>
        <v/>
      </c>
      <c r="AK801" s="21">
        <f>IF(AND($A801="",$B801=""),"",IF($X801&lt;&gt;"",$X801,IF($T801&lt;&gt;"Y","Not assessed",IF(AND(ISNUMBER($V801),Setup!$B$6-$V801&gt;Setup!$B$26),"Assessment outdated",IF(NOT(ISNUMBER($W801)),"Assessed – no score",IF($W801&gt;=Setup!$B$24,"High",IF($W801&gt;=Setup!$B$25,"Moderate","Low")))))))</f>
        <v/>
      </c>
      <c r="AL801" s="21">
        <f>IF(AND($A801="",$B801=""),"",IF(Z801=0,"",IF(AND(AE801=1,N($R801)&gt;AD801*1.01+0.001),"Net terrestrial &gt; gross; ","")&amp;IF(AND(AE801=1,N($S801)&gt;AC801*1.01+0.001),"Net marine &gt; gross; ","")&amp;IF(AE801=0,"No net area – gross used, overlaps may be double-counted; ","")&amp;IF(AH801=0,"STATUS_YR missing – imputed in time series; ","")&amp;IF(AND(ISNUMBER($I801),N($I801)&gt;Setup!$B$6),"STATUS_YR after reporting year; ","")&amp;IF(OR($G801="",$G801="Not Reported"),"GOV_TYPE not reported; ","")&amp;IF(AND(N($J801)=1,$K801="Point",N($M801)&lt;=0),"Coastal point without REP_M_AREA – land/sea split unknown; ","")&amp;IF(AND(N($J801)=0,N($S801)&gt;0),"MARINE=0 but net marine &gt;0; ","")&amp;IF(AND(N($J801)=2,N($R801)&gt;0),"MARINE=2 but net terrestrial &gt;0; ","")&amp;IF($K801="Point","Buffered point – coverage approximate; ","")))</f>
        <v/>
      </c>
    </row>
    <row r="802">
      <c r="A802" s="19" t="n"/>
      <c r="B802" s="19" t="n"/>
      <c r="C802" s="19" t="n"/>
      <c r="D802" s="19" t="n"/>
      <c r="E802" s="19" t="n"/>
      <c r="F802" s="19" t="n"/>
      <c r="G802" s="19" t="n"/>
      <c r="H802" s="19" t="n"/>
      <c r="I802" s="19" t="n"/>
      <c r="J802" s="19" t="n"/>
      <c r="K802" s="19" t="n"/>
      <c r="L802" s="20" t="n"/>
      <c r="M802" s="20" t="n"/>
      <c r="N802" s="20" t="n"/>
      <c r="O802" s="20" t="n"/>
      <c r="P802" s="19" t="n"/>
      <c r="Q802" s="19" t="n"/>
      <c r="R802" s="20" t="n"/>
      <c r="S802" s="20" t="n"/>
      <c r="T802" s="19" t="n"/>
      <c r="U802" s="19" t="n"/>
      <c r="V802" s="19" t="n"/>
      <c r="W802" s="19" t="n"/>
      <c r="X802" s="19" t="n"/>
      <c r="Y802" s="19" t="n"/>
      <c r="Z802" s="21">
        <f>IF(AND($A802="",$B802=""),"",IF(OR($E802="",$H802="",$H802="Proposed",$H802="Not Reported"),0,IF(AND($P802="Y",$Q802&lt;&gt;"Y"),0,IF(AND($K802="Point",N($L802)&lt;=0),0,IF(AND(N($L802)&lt;=0,N($N802)&lt;=0,N($R802)+N($S802)&lt;=0),0,1)))))</f>
        <v/>
      </c>
      <c r="AA802" s="21">
        <f>IF(AND($A802="",$B802=""),"",IF($E802="","Site type missing",IF($H802="","STATUS missing",IF($H802="Proposed","STATUS = Proposed",IF($H802="Not Reported","STATUS = Not Reported",IF(AND($P802="Y",$Q802&lt;&gt;"Y"),"UNESCO-MAB Biosphere Reserve",IF(AND($K802="Point",N($L802)&lt;=0),"Point without REP_AREA",IF(AND(N($L802)&lt;=0,N($N802)&lt;=0,N($R802)+N($S802)&lt;=0),"No area information",""))))))))</f>
        <v/>
      </c>
      <c r="AB802" s="22">
        <f>IF(AND($A802="",$B802=""),"",IF($K802="Point",N($L802),IF(N($N802)&gt;0,N($N802),N($L802))))</f>
        <v/>
      </c>
      <c r="AC802" s="22">
        <f>IF(AND($A802="",$B802=""),"",MIN(AB802,IF(N($J802)=0,0,IF(N($J802)=2,AB802,IF(AND($K802&lt;&gt;"Point",N($O802)&gt;0),N($O802),N($M802))))))</f>
        <v/>
      </c>
      <c r="AD802" s="22">
        <f>IF(AND($A802="",$B802=""),"",MAX(0,AB802-AC802))</f>
        <v/>
      </c>
      <c r="AE802" s="21">
        <f>IF(AND($A802="",$B802=""),"",IF(OR($R802&lt;&gt;"",$S802&lt;&gt;""),1,0))</f>
        <v/>
      </c>
      <c r="AF802" s="22">
        <f>IF(AND($A802="",$B802=""),"",IF(Z802=1,IF(AE802=1,N($R802),AD802),0))</f>
        <v/>
      </c>
      <c r="AG802" s="22">
        <f>IF(AND($A802="",$B802=""),"",IF(Z802=1,IF(AE802=1,N($S802),AC802),0))</f>
        <v/>
      </c>
      <c r="AH802" s="21">
        <f>IF(AND($A802="",$B802=""),"",IF(AND(ISNUMBER($I802),N($I802)&gt;0),$I802,0))</f>
        <v/>
      </c>
      <c r="AI802" s="23">
        <f>IF(AND(NOT(AND($A802="",$B802="")),$K802="Point",N($L802)&gt;0),SQRT(N($L802)/PI()),"")</f>
        <v/>
      </c>
      <c r="AJ802" s="21">
        <f>IF(AND($A802="",$B802=""),"",IFERROR(VLOOKUP($G802,Lists!$D$4:$E$15,2,FALSE),"Not reported"))</f>
        <v/>
      </c>
      <c r="AK802" s="21">
        <f>IF(AND($A802="",$B802=""),"",IF($X802&lt;&gt;"",$X802,IF($T802&lt;&gt;"Y","Not assessed",IF(AND(ISNUMBER($V802),Setup!$B$6-$V802&gt;Setup!$B$26),"Assessment outdated",IF(NOT(ISNUMBER($W802)),"Assessed – no score",IF($W802&gt;=Setup!$B$24,"High",IF($W802&gt;=Setup!$B$25,"Moderate","Low")))))))</f>
        <v/>
      </c>
      <c r="AL802" s="21">
        <f>IF(AND($A802="",$B802=""),"",IF(Z802=0,"",IF(AND(AE802=1,N($R802)&gt;AD802*1.01+0.001),"Net terrestrial &gt; gross; ","")&amp;IF(AND(AE802=1,N($S802)&gt;AC802*1.01+0.001),"Net marine &gt; gross; ","")&amp;IF(AE802=0,"No net area – gross used, overlaps may be double-counted; ","")&amp;IF(AH802=0,"STATUS_YR missing – imputed in time series; ","")&amp;IF(AND(ISNUMBER($I802),N($I802)&gt;Setup!$B$6),"STATUS_YR after reporting year; ","")&amp;IF(OR($G802="",$G802="Not Reported"),"GOV_TYPE not reported; ","")&amp;IF(AND(N($J802)=1,$K802="Point",N($M802)&lt;=0),"Coastal point without REP_M_AREA – land/sea split unknown; ","")&amp;IF(AND(N($J802)=0,N($S802)&gt;0),"MARINE=0 but net marine &gt;0; ","")&amp;IF(AND(N($J802)=2,N($R802)&gt;0),"MARINE=2 but net terrestrial &gt;0; ","")&amp;IF($K802="Point","Buffered point – coverage approximate; ","")))</f>
        <v/>
      </c>
    </row>
    <row r="803">
      <c r="A803" s="19" t="n"/>
      <c r="B803" s="19" t="n"/>
      <c r="C803" s="19" t="n"/>
      <c r="D803" s="19" t="n"/>
      <c r="E803" s="19" t="n"/>
      <c r="F803" s="19" t="n"/>
      <c r="G803" s="19" t="n"/>
      <c r="H803" s="19" t="n"/>
      <c r="I803" s="19" t="n"/>
      <c r="J803" s="19" t="n"/>
      <c r="K803" s="19" t="n"/>
      <c r="L803" s="20" t="n"/>
      <c r="M803" s="20" t="n"/>
      <c r="N803" s="20" t="n"/>
      <c r="O803" s="20" t="n"/>
      <c r="P803" s="19" t="n"/>
      <c r="Q803" s="19" t="n"/>
      <c r="R803" s="20" t="n"/>
      <c r="S803" s="20" t="n"/>
      <c r="T803" s="19" t="n"/>
      <c r="U803" s="19" t="n"/>
      <c r="V803" s="19" t="n"/>
      <c r="W803" s="19" t="n"/>
      <c r="X803" s="19" t="n"/>
      <c r="Y803" s="19" t="n"/>
      <c r="Z803" s="21">
        <f>IF(AND($A803="",$B803=""),"",IF(OR($E803="",$H803="",$H803="Proposed",$H803="Not Reported"),0,IF(AND($P803="Y",$Q803&lt;&gt;"Y"),0,IF(AND($K803="Point",N($L803)&lt;=0),0,IF(AND(N($L803)&lt;=0,N($N803)&lt;=0,N($R803)+N($S803)&lt;=0),0,1)))))</f>
        <v/>
      </c>
      <c r="AA803" s="21">
        <f>IF(AND($A803="",$B803=""),"",IF($E803="","Site type missing",IF($H803="","STATUS missing",IF($H803="Proposed","STATUS = Proposed",IF($H803="Not Reported","STATUS = Not Reported",IF(AND($P803="Y",$Q803&lt;&gt;"Y"),"UNESCO-MAB Biosphere Reserve",IF(AND($K803="Point",N($L803)&lt;=0),"Point without REP_AREA",IF(AND(N($L803)&lt;=0,N($N803)&lt;=0,N($R803)+N($S803)&lt;=0),"No area information",""))))))))</f>
        <v/>
      </c>
      <c r="AB803" s="22">
        <f>IF(AND($A803="",$B803=""),"",IF($K803="Point",N($L803),IF(N($N803)&gt;0,N($N803),N($L803))))</f>
        <v/>
      </c>
      <c r="AC803" s="22">
        <f>IF(AND($A803="",$B803=""),"",MIN(AB803,IF(N($J803)=0,0,IF(N($J803)=2,AB803,IF(AND($K803&lt;&gt;"Point",N($O803)&gt;0),N($O803),N($M803))))))</f>
        <v/>
      </c>
      <c r="AD803" s="22">
        <f>IF(AND($A803="",$B803=""),"",MAX(0,AB803-AC803))</f>
        <v/>
      </c>
      <c r="AE803" s="21">
        <f>IF(AND($A803="",$B803=""),"",IF(OR($R803&lt;&gt;"",$S803&lt;&gt;""),1,0))</f>
        <v/>
      </c>
      <c r="AF803" s="22">
        <f>IF(AND($A803="",$B803=""),"",IF(Z803=1,IF(AE803=1,N($R803),AD803),0))</f>
        <v/>
      </c>
      <c r="AG803" s="22">
        <f>IF(AND($A803="",$B803=""),"",IF(Z803=1,IF(AE803=1,N($S803),AC803),0))</f>
        <v/>
      </c>
      <c r="AH803" s="21">
        <f>IF(AND($A803="",$B803=""),"",IF(AND(ISNUMBER($I803),N($I803)&gt;0),$I803,0))</f>
        <v/>
      </c>
      <c r="AI803" s="23">
        <f>IF(AND(NOT(AND($A803="",$B803="")),$K803="Point",N($L803)&gt;0),SQRT(N($L803)/PI()),"")</f>
        <v/>
      </c>
      <c r="AJ803" s="21">
        <f>IF(AND($A803="",$B803=""),"",IFERROR(VLOOKUP($G803,Lists!$D$4:$E$15,2,FALSE),"Not reported"))</f>
        <v/>
      </c>
      <c r="AK803" s="21">
        <f>IF(AND($A803="",$B803=""),"",IF($X803&lt;&gt;"",$X803,IF($T803&lt;&gt;"Y","Not assessed",IF(AND(ISNUMBER($V803),Setup!$B$6-$V803&gt;Setup!$B$26),"Assessment outdated",IF(NOT(ISNUMBER($W803)),"Assessed – no score",IF($W803&gt;=Setup!$B$24,"High",IF($W803&gt;=Setup!$B$25,"Moderate","Low")))))))</f>
        <v/>
      </c>
      <c r="AL803" s="21">
        <f>IF(AND($A803="",$B803=""),"",IF(Z803=0,"",IF(AND(AE803=1,N($R803)&gt;AD803*1.01+0.001),"Net terrestrial &gt; gross; ","")&amp;IF(AND(AE803=1,N($S803)&gt;AC803*1.01+0.001),"Net marine &gt; gross; ","")&amp;IF(AE803=0,"No net area – gross used, overlaps may be double-counted; ","")&amp;IF(AH803=0,"STATUS_YR missing – imputed in time series; ","")&amp;IF(AND(ISNUMBER($I803),N($I803)&gt;Setup!$B$6),"STATUS_YR after reporting year; ","")&amp;IF(OR($G803="",$G803="Not Reported"),"GOV_TYPE not reported; ","")&amp;IF(AND(N($J803)=1,$K803="Point",N($M803)&lt;=0),"Coastal point without REP_M_AREA – land/sea split unknown; ","")&amp;IF(AND(N($J803)=0,N($S803)&gt;0),"MARINE=0 but net marine &gt;0; ","")&amp;IF(AND(N($J803)=2,N($R803)&gt;0),"MARINE=2 but net terrestrial &gt;0; ","")&amp;IF($K803="Point","Buffered point – coverage approximate; ","")))</f>
        <v/>
      </c>
    </row>
    <row r="804">
      <c r="A804" s="19" t="n"/>
      <c r="B804" s="19" t="n"/>
      <c r="C804" s="19" t="n"/>
      <c r="D804" s="19" t="n"/>
      <c r="E804" s="19" t="n"/>
      <c r="F804" s="19" t="n"/>
      <c r="G804" s="19" t="n"/>
      <c r="H804" s="19" t="n"/>
      <c r="I804" s="19" t="n"/>
      <c r="J804" s="19" t="n"/>
      <c r="K804" s="19" t="n"/>
      <c r="L804" s="20" t="n"/>
      <c r="M804" s="20" t="n"/>
      <c r="N804" s="20" t="n"/>
      <c r="O804" s="20" t="n"/>
      <c r="P804" s="19" t="n"/>
      <c r="Q804" s="19" t="n"/>
      <c r="R804" s="20" t="n"/>
      <c r="S804" s="20" t="n"/>
      <c r="T804" s="19" t="n"/>
      <c r="U804" s="19" t="n"/>
      <c r="V804" s="19" t="n"/>
      <c r="W804" s="19" t="n"/>
      <c r="X804" s="19" t="n"/>
      <c r="Y804" s="19" t="n"/>
      <c r="Z804" s="21">
        <f>IF(AND($A804="",$B804=""),"",IF(OR($E804="",$H804="",$H804="Proposed",$H804="Not Reported"),0,IF(AND($P804="Y",$Q804&lt;&gt;"Y"),0,IF(AND($K804="Point",N($L804)&lt;=0),0,IF(AND(N($L804)&lt;=0,N($N804)&lt;=0,N($R804)+N($S804)&lt;=0),0,1)))))</f>
        <v/>
      </c>
      <c r="AA804" s="21">
        <f>IF(AND($A804="",$B804=""),"",IF($E804="","Site type missing",IF($H804="","STATUS missing",IF($H804="Proposed","STATUS = Proposed",IF($H804="Not Reported","STATUS = Not Reported",IF(AND($P804="Y",$Q804&lt;&gt;"Y"),"UNESCO-MAB Biosphere Reserve",IF(AND($K804="Point",N($L804)&lt;=0),"Point without REP_AREA",IF(AND(N($L804)&lt;=0,N($N804)&lt;=0,N($R804)+N($S804)&lt;=0),"No area information",""))))))))</f>
        <v/>
      </c>
      <c r="AB804" s="22">
        <f>IF(AND($A804="",$B804=""),"",IF($K804="Point",N($L804),IF(N($N804)&gt;0,N($N804),N($L804))))</f>
        <v/>
      </c>
      <c r="AC804" s="22">
        <f>IF(AND($A804="",$B804=""),"",MIN(AB804,IF(N($J804)=0,0,IF(N($J804)=2,AB804,IF(AND($K804&lt;&gt;"Point",N($O804)&gt;0),N($O804),N($M804))))))</f>
        <v/>
      </c>
      <c r="AD804" s="22">
        <f>IF(AND($A804="",$B804=""),"",MAX(0,AB804-AC804))</f>
        <v/>
      </c>
      <c r="AE804" s="21">
        <f>IF(AND($A804="",$B804=""),"",IF(OR($R804&lt;&gt;"",$S804&lt;&gt;""),1,0))</f>
        <v/>
      </c>
      <c r="AF804" s="22">
        <f>IF(AND($A804="",$B804=""),"",IF(Z804=1,IF(AE804=1,N($R804),AD804),0))</f>
        <v/>
      </c>
      <c r="AG804" s="22">
        <f>IF(AND($A804="",$B804=""),"",IF(Z804=1,IF(AE804=1,N($S804),AC804),0))</f>
        <v/>
      </c>
      <c r="AH804" s="21">
        <f>IF(AND($A804="",$B804=""),"",IF(AND(ISNUMBER($I804),N($I804)&gt;0),$I804,0))</f>
        <v/>
      </c>
      <c r="AI804" s="23">
        <f>IF(AND(NOT(AND($A804="",$B804="")),$K804="Point",N($L804)&gt;0),SQRT(N($L804)/PI()),"")</f>
        <v/>
      </c>
      <c r="AJ804" s="21">
        <f>IF(AND($A804="",$B804=""),"",IFERROR(VLOOKUP($G804,Lists!$D$4:$E$15,2,FALSE),"Not reported"))</f>
        <v/>
      </c>
      <c r="AK804" s="21">
        <f>IF(AND($A804="",$B804=""),"",IF($X804&lt;&gt;"",$X804,IF($T804&lt;&gt;"Y","Not assessed",IF(AND(ISNUMBER($V804),Setup!$B$6-$V804&gt;Setup!$B$26),"Assessment outdated",IF(NOT(ISNUMBER($W804)),"Assessed – no score",IF($W804&gt;=Setup!$B$24,"High",IF($W804&gt;=Setup!$B$25,"Moderate","Low")))))))</f>
        <v/>
      </c>
      <c r="AL804" s="21">
        <f>IF(AND($A804="",$B804=""),"",IF(Z804=0,"",IF(AND(AE804=1,N($R804)&gt;AD804*1.01+0.001),"Net terrestrial &gt; gross; ","")&amp;IF(AND(AE804=1,N($S804)&gt;AC804*1.01+0.001),"Net marine &gt; gross; ","")&amp;IF(AE804=0,"No net area – gross used, overlaps may be double-counted; ","")&amp;IF(AH804=0,"STATUS_YR missing – imputed in time series; ","")&amp;IF(AND(ISNUMBER($I804),N($I804)&gt;Setup!$B$6),"STATUS_YR after reporting year; ","")&amp;IF(OR($G804="",$G804="Not Reported"),"GOV_TYPE not reported; ","")&amp;IF(AND(N($J804)=1,$K804="Point",N($M804)&lt;=0),"Coastal point without REP_M_AREA – land/sea split unknown; ","")&amp;IF(AND(N($J804)=0,N($S804)&gt;0),"MARINE=0 but net marine &gt;0; ","")&amp;IF(AND(N($J804)=2,N($R804)&gt;0),"MARINE=2 but net terrestrial &gt;0; ","")&amp;IF($K804="Point","Buffered point – coverage approximate; ","")))</f>
        <v/>
      </c>
    </row>
    <row r="805">
      <c r="A805" s="19" t="n"/>
      <c r="B805" s="19" t="n"/>
      <c r="C805" s="19" t="n"/>
      <c r="D805" s="19" t="n"/>
      <c r="E805" s="19" t="n"/>
      <c r="F805" s="19" t="n"/>
      <c r="G805" s="19" t="n"/>
      <c r="H805" s="19" t="n"/>
      <c r="I805" s="19" t="n"/>
      <c r="J805" s="19" t="n"/>
      <c r="K805" s="19" t="n"/>
      <c r="L805" s="20" t="n"/>
      <c r="M805" s="20" t="n"/>
      <c r="N805" s="20" t="n"/>
      <c r="O805" s="20" t="n"/>
      <c r="P805" s="19" t="n"/>
      <c r="Q805" s="19" t="n"/>
      <c r="R805" s="20" t="n"/>
      <c r="S805" s="20" t="n"/>
      <c r="T805" s="19" t="n"/>
      <c r="U805" s="19" t="n"/>
      <c r="V805" s="19" t="n"/>
      <c r="W805" s="19" t="n"/>
      <c r="X805" s="19" t="n"/>
      <c r="Y805" s="19" t="n"/>
      <c r="Z805" s="21">
        <f>IF(AND($A805="",$B805=""),"",IF(OR($E805="",$H805="",$H805="Proposed",$H805="Not Reported"),0,IF(AND($P805="Y",$Q805&lt;&gt;"Y"),0,IF(AND($K805="Point",N($L805)&lt;=0),0,IF(AND(N($L805)&lt;=0,N($N805)&lt;=0,N($R805)+N($S805)&lt;=0),0,1)))))</f>
        <v/>
      </c>
      <c r="AA805" s="21">
        <f>IF(AND($A805="",$B805=""),"",IF($E805="","Site type missing",IF($H805="","STATUS missing",IF($H805="Proposed","STATUS = Proposed",IF($H805="Not Reported","STATUS = Not Reported",IF(AND($P805="Y",$Q805&lt;&gt;"Y"),"UNESCO-MAB Biosphere Reserve",IF(AND($K805="Point",N($L805)&lt;=0),"Point without REP_AREA",IF(AND(N($L805)&lt;=0,N($N805)&lt;=0,N($R805)+N($S805)&lt;=0),"No area information",""))))))))</f>
        <v/>
      </c>
      <c r="AB805" s="22">
        <f>IF(AND($A805="",$B805=""),"",IF($K805="Point",N($L805),IF(N($N805)&gt;0,N($N805),N($L805))))</f>
        <v/>
      </c>
      <c r="AC805" s="22">
        <f>IF(AND($A805="",$B805=""),"",MIN(AB805,IF(N($J805)=0,0,IF(N($J805)=2,AB805,IF(AND($K805&lt;&gt;"Point",N($O805)&gt;0),N($O805),N($M805))))))</f>
        <v/>
      </c>
      <c r="AD805" s="22">
        <f>IF(AND($A805="",$B805=""),"",MAX(0,AB805-AC805))</f>
        <v/>
      </c>
      <c r="AE805" s="21">
        <f>IF(AND($A805="",$B805=""),"",IF(OR($R805&lt;&gt;"",$S805&lt;&gt;""),1,0))</f>
        <v/>
      </c>
      <c r="AF805" s="22">
        <f>IF(AND($A805="",$B805=""),"",IF(Z805=1,IF(AE805=1,N($R805),AD805),0))</f>
        <v/>
      </c>
      <c r="AG805" s="22">
        <f>IF(AND($A805="",$B805=""),"",IF(Z805=1,IF(AE805=1,N($S805),AC805),0))</f>
        <v/>
      </c>
      <c r="AH805" s="21">
        <f>IF(AND($A805="",$B805=""),"",IF(AND(ISNUMBER($I805),N($I805)&gt;0),$I805,0))</f>
        <v/>
      </c>
      <c r="AI805" s="23">
        <f>IF(AND(NOT(AND($A805="",$B805="")),$K805="Point",N($L805)&gt;0),SQRT(N($L805)/PI()),"")</f>
        <v/>
      </c>
      <c r="AJ805" s="21">
        <f>IF(AND($A805="",$B805=""),"",IFERROR(VLOOKUP($G805,Lists!$D$4:$E$15,2,FALSE),"Not reported"))</f>
        <v/>
      </c>
      <c r="AK805" s="21">
        <f>IF(AND($A805="",$B805=""),"",IF($X805&lt;&gt;"",$X805,IF($T805&lt;&gt;"Y","Not assessed",IF(AND(ISNUMBER($V805),Setup!$B$6-$V805&gt;Setup!$B$26),"Assessment outdated",IF(NOT(ISNUMBER($W805)),"Assessed – no score",IF($W805&gt;=Setup!$B$24,"High",IF($W805&gt;=Setup!$B$25,"Moderate","Low")))))))</f>
        <v/>
      </c>
      <c r="AL805" s="21">
        <f>IF(AND($A805="",$B805=""),"",IF(Z805=0,"",IF(AND(AE805=1,N($R805)&gt;AD805*1.01+0.001),"Net terrestrial &gt; gross; ","")&amp;IF(AND(AE805=1,N($S805)&gt;AC805*1.01+0.001),"Net marine &gt; gross; ","")&amp;IF(AE805=0,"No net area – gross used, overlaps may be double-counted; ","")&amp;IF(AH805=0,"STATUS_YR missing – imputed in time series; ","")&amp;IF(AND(ISNUMBER($I805),N($I805)&gt;Setup!$B$6),"STATUS_YR after reporting year; ","")&amp;IF(OR($G805="",$G805="Not Reported"),"GOV_TYPE not reported; ","")&amp;IF(AND(N($J805)=1,$K805="Point",N($M805)&lt;=0),"Coastal point without REP_M_AREA – land/sea split unknown; ","")&amp;IF(AND(N($J805)=0,N($S805)&gt;0),"MARINE=0 but net marine &gt;0; ","")&amp;IF(AND(N($J805)=2,N($R805)&gt;0),"MARINE=2 but net terrestrial &gt;0; ","")&amp;IF($K805="Point","Buffered point – coverage approximate; ","")))</f>
        <v/>
      </c>
    </row>
    <row r="806">
      <c r="A806" s="19" t="n"/>
      <c r="B806" s="19" t="n"/>
      <c r="C806" s="19" t="n"/>
      <c r="D806" s="19" t="n"/>
      <c r="E806" s="19" t="n"/>
      <c r="F806" s="19" t="n"/>
      <c r="G806" s="19" t="n"/>
      <c r="H806" s="19" t="n"/>
      <c r="I806" s="19" t="n"/>
      <c r="J806" s="19" t="n"/>
      <c r="K806" s="19" t="n"/>
      <c r="L806" s="20" t="n"/>
      <c r="M806" s="20" t="n"/>
      <c r="N806" s="20" t="n"/>
      <c r="O806" s="20" t="n"/>
      <c r="P806" s="19" t="n"/>
      <c r="Q806" s="19" t="n"/>
      <c r="R806" s="20" t="n"/>
      <c r="S806" s="20" t="n"/>
      <c r="T806" s="19" t="n"/>
      <c r="U806" s="19" t="n"/>
      <c r="V806" s="19" t="n"/>
      <c r="W806" s="19" t="n"/>
      <c r="X806" s="19" t="n"/>
      <c r="Y806" s="19" t="n"/>
      <c r="Z806" s="21">
        <f>IF(AND($A806="",$B806=""),"",IF(OR($E806="",$H806="",$H806="Proposed",$H806="Not Reported"),0,IF(AND($P806="Y",$Q806&lt;&gt;"Y"),0,IF(AND($K806="Point",N($L806)&lt;=0),0,IF(AND(N($L806)&lt;=0,N($N806)&lt;=0,N($R806)+N($S806)&lt;=0),0,1)))))</f>
        <v/>
      </c>
      <c r="AA806" s="21">
        <f>IF(AND($A806="",$B806=""),"",IF($E806="","Site type missing",IF($H806="","STATUS missing",IF($H806="Proposed","STATUS = Proposed",IF($H806="Not Reported","STATUS = Not Reported",IF(AND($P806="Y",$Q806&lt;&gt;"Y"),"UNESCO-MAB Biosphere Reserve",IF(AND($K806="Point",N($L806)&lt;=0),"Point without REP_AREA",IF(AND(N($L806)&lt;=0,N($N806)&lt;=0,N($R806)+N($S806)&lt;=0),"No area information",""))))))))</f>
        <v/>
      </c>
      <c r="AB806" s="22">
        <f>IF(AND($A806="",$B806=""),"",IF($K806="Point",N($L806),IF(N($N806)&gt;0,N($N806),N($L806))))</f>
        <v/>
      </c>
      <c r="AC806" s="22">
        <f>IF(AND($A806="",$B806=""),"",MIN(AB806,IF(N($J806)=0,0,IF(N($J806)=2,AB806,IF(AND($K806&lt;&gt;"Point",N($O806)&gt;0),N($O806),N($M806))))))</f>
        <v/>
      </c>
      <c r="AD806" s="22">
        <f>IF(AND($A806="",$B806=""),"",MAX(0,AB806-AC806))</f>
        <v/>
      </c>
      <c r="AE806" s="21">
        <f>IF(AND($A806="",$B806=""),"",IF(OR($R806&lt;&gt;"",$S806&lt;&gt;""),1,0))</f>
        <v/>
      </c>
      <c r="AF806" s="22">
        <f>IF(AND($A806="",$B806=""),"",IF(Z806=1,IF(AE806=1,N($R806),AD806),0))</f>
        <v/>
      </c>
      <c r="AG806" s="22">
        <f>IF(AND($A806="",$B806=""),"",IF(Z806=1,IF(AE806=1,N($S806),AC806),0))</f>
        <v/>
      </c>
      <c r="AH806" s="21">
        <f>IF(AND($A806="",$B806=""),"",IF(AND(ISNUMBER($I806),N($I806)&gt;0),$I806,0))</f>
        <v/>
      </c>
      <c r="AI806" s="23">
        <f>IF(AND(NOT(AND($A806="",$B806="")),$K806="Point",N($L806)&gt;0),SQRT(N($L806)/PI()),"")</f>
        <v/>
      </c>
      <c r="AJ806" s="21">
        <f>IF(AND($A806="",$B806=""),"",IFERROR(VLOOKUP($G806,Lists!$D$4:$E$15,2,FALSE),"Not reported"))</f>
        <v/>
      </c>
      <c r="AK806" s="21">
        <f>IF(AND($A806="",$B806=""),"",IF($X806&lt;&gt;"",$X806,IF($T806&lt;&gt;"Y","Not assessed",IF(AND(ISNUMBER($V806),Setup!$B$6-$V806&gt;Setup!$B$26),"Assessment outdated",IF(NOT(ISNUMBER($W806)),"Assessed – no score",IF($W806&gt;=Setup!$B$24,"High",IF($W806&gt;=Setup!$B$25,"Moderate","Low")))))))</f>
        <v/>
      </c>
      <c r="AL806" s="21">
        <f>IF(AND($A806="",$B806=""),"",IF(Z806=0,"",IF(AND(AE806=1,N($R806)&gt;AD806*1.01+0.001),"Net terrestrial &gt; gross; ","")&amp;IF(AND(AE806=1,N($S806)&gt;AC806*1.01+0.001),"Net marine &gt; gross; ","")&amp;IF(AE806=0,"No net area – gross used, overlaps may be double-counted; ","")&amp;IF(AH806=0,"STATUS_YR missing – imputed in time series; ","")&amp;IF(AND(ISNUMBER($I806),N($I806)&gt;Setup!$B$6),"STATUS_YR after reporting year; ","")&amp;IF(OR($G806="",$G806="Not Reported"),"GOV_TYPE not reported; ","")&amp;IF(AND(N($J806)=1,$K806="Point",N($M806)&lt;=0),"Coastal point without REP_M_AREA – land/sea split unknown; ","")&amp;IF(AND(N($J806)=0,N($S806)&gt;0),"MARINE=0 but net marine &gt;0; ","")&amp;IF(AND(N($J806)=2,N($R806)&gt;0),"MARINE=2 but net terrestrial &gt;0; ","")&amp;IF($K806="Point","Buffered point – coverage approximate; ","")))</f>
        <v/>
      </c>
    </row>
    <row r="807">
      <c r="A807" s="19" t="n"/>
      <c r="B807" s="19" t="n"/>
      <c r="C807" s="19" t="n"/>
      <c r="D807" s="19" t="n"/>
      <c r="E807" s="19" t="n"/>
      <c r="F807" s="19" t="n"/>
      <c r="G807" s="19" t="n"/>
      <c r="H807" s="19" t="n"/>
      <c r="I807" s="19" t="n"/>
      <c r="J807" s="19" t="n"/>
      <c r="K807" s="19" t="n"/>
      <c r="L807" s="20" t="n"/>
      <c r="M807" s="20" t="n"/>
      <c r="N807" s="20" t="n"/>
      <c r="O807" s="20" t="n"/>
      <c r="P807" s="19" t="n"/>
      <c r="Q807" s="19" t="n"/>
      <c r="R807" s="20" t="n"/>
      <c r="S807" s="20" t="n"/>
      <c r="T807" s="19" t="n"/>
      <c r="U807" s="19" t="n"/>
      <c r="V807" s="19" t="n"/>
      <c r="W807" s="19" t="n"/>
      <c r="X807" s="19" t="n"/>
      <c r="Y807" s="19" t="n"/>
      <c r="Z807" s="21">
        <f>IF(AND($A807="",$B807=""),"",IF(OR($E807="",$H807="",$H807="Proposed",$H807="Not Reported"),0,IF(AND($P807="Y",$Q807&lt;&gt;"Y"),0,IF(AND($K807="Point",N($L807)&lt;=0),0,IF(AND(N($L807)&lt;=0,N($N807)&lt;=0,N($R807)+N($S807)&lt;=0),0,1)))))</f>
        <v/>
      </c>
      <c r="AA807" s="21">
        <f>IF(AND($A807="",$B807=""),"",IF($E807="","Site type missing",IF($H807="","STATUS missing",IF($H807="Proposed","STATUS = Proposed",IF($H807="Not Reported","STATUS = Not Reported",IF(AND($P807="Y",$Q807&lt;&gt;"Y"),"UNESCO-MAB Biosphere Reserve",IF(AND($K807="Point",N($L807)&lt;=0),"Point without REP_AREA",IF(AND(N($L807)&lt;=0,N($N807)&lt;=0,N($R807)+N($S807)&lt;=0),"No area information",""))))))))</f>
        <v/>
      </c>
      <c r="AB807" s="22">
        <f>IF(AND($A807="",$B807=""),"",IF($K807="Point",N($L807),IF(N($N807)&gt;0,N($N807),N($L807))))</f>
        <v/>
      </c>
      <c r="AC807" s="22">
        <f>IF(AND($A807="",$B807=""),"",MIN(AB807,IF(N($J807)=0,0,IF(N($J807)=2,AB807,IF(AND($K807&lt;&gt;"Point",N($O807)&gt;0),N($O807),N($M807))))))</f>
        <v/>
      </c>
      <c r="AD807" s="22">
        <f>IF(AND($A807="",$B807=""),"",MAX(0,AB807-AC807))</f>
        <v/>
      </c>
      <c r="AE807" s="21">
        <f>IF(AND($A807="",$B807=""),"",IF(OR($R807&lt;&gt;"",$S807&lt;&gt;""),1,0))</f>
        <v/>
      </c>
      <c r="AF807" s="22">
        <f>IF(AND($A807="",$B807=""),"",IF(Z807=1,IF(AE807=1,N($R807),AD807),0))</f>
        <v/>
      </c>
      <c r="AG807" s="22">
        <f>IF(AND($A807="",$B807=""),"",IF(Z807=1,IF(AE807=1,N($S807),AC807),0))</f>
        <v/>
      </c>
      <c r="AH807" s="21">
        <f>IF(AND($A807="",$B807=""),"",IF(AND(ISNUMBER($I807),N($I807)&gt;0),$I807,0))</f>
        <v/>
      </c>
      <c r="AI807" s="23">
        <f>IF(AND(NOT(AND($A807="",$B807="")),$K807="Point",N($L807)&gt;0),SQRT(N($L807)/PI()),"")</f>
        <v/>
      </c>
      <c r="AJ807" s="21">
        <f>IF(AND($A807="",$B807=""),"",IFERROR(VLOOKUP($G807,Lists!$D$4:$E$15,2,FALSE),"Not reported"))</f>
        <v/>
      </c>
      <c r="AK807" s="21">
        <f>IF(AND($A807="",$B807=""),"",IF($X807&lt;&gt;"",$X807,IF($T807&lt;&gt;"Y","Not assessed",IF(AND(ISNUMBER($V807),Setup!$B$6-$V807&gt;Setup!$B$26),"Assessment outdated",IF(NOT(ISNUMBER($W807)),"Assessed – no score",IF($W807&gt;=Setup!$B$24,"High",IF($W807&gt;=Setup!$B$25,"Moderate","Low")))))))</f>
        <v/>
      </c>
      <c r="AL807" s="21">
        <f>IF(AND($A807="",$B807=""),"",IF(Z807=0,"",IF(AND(AE807=1,N($R807)&gt;AD807*1.01+0.001),"Net terrestrial &gt; gross; ","")&amp;IF(AND(AE807=1,N($S807)&gt;AC807*1.01+0.001),"Net marine &gt; gross; ","")&amp;IF(AE807=0,"No net area – gross used, overlaps may be double-counted; ","")&amp;IF(AH807=0,"STATUS_YR missing – imputed in time series; ","")&amp;IF(AND(ISNUMBER($I807),N($I807)&gt;Setup!$B$6),"STATUS_YR after reporting year; ","")&amp;IF(OR($G807="",$G807="Not Reported"),"GOV_TYPE not reported; ","")&amp;IF(AND(N($J807)=1,$K807="Point",N($M807)&lt;=0),"Coastal point without REP_M_AREA – land/sea split unknown; ","")&amp;IF(AND(N($J807)=0,N($S807)&gt;0),"MARINE=0 but net marine &gt;0; ","")&amp;IF(AND(N($J807)=2,N($R807)&gt;0),"MARINE=2 but net terrestrial &gt;0; ","")&amp;IF($K807="Point","Buffered point – coverage approximate; ","")))</f>
        <v/>
      </c>
    </row>
    <row r="808">
      <c r="A808" s="19" t="n"/>
      <c r="B808" s="19" t="n"/>
      <c r="C808" s="19" t="n"/>
      <c r="D808" s="19" t="n"/>
      <c r="E808" s="19" t="n"/>
      <c r="F808" s="19" t="n"/>
      <c r="G808" s="19" t="n"/>
      <c r="H808" s="19" t="n"/>
      <c r="I808" s="19" t="n"/>
      <c r="J808" s="19" t="n"/>
      <c r="K808" s="19" t="n"/>
      <c r="L808" s="20" t="n"/>
      <c r="M808" s="20" t="n"/>
      <c r="N808" s="20" t="n"/>
      <c r="O808" s="20" t="n"/>
      <c r="P808" s="19" t="n"/>
      <c r="Q808" s="19" t="n"/>
      <c r="R808" s="20" t="n"/>
      <c r="S808" s="20" t="n"/>
      <c r="T808" s="19" t="n"/>
      <c r="U808" s="19" t="n"/>
      <c r="V808" s="19" t="n"/>
      <c r="W808" s="19" t="n"/>
      <c r="X808" s="19" t="n"/>
      <c r="Y808" s="19" t="n"/>
      <c r="Z808" s="21">
        <f>IF(AND($A808="",$B808=""),"",IF(OR($E808="",$H808="",$H808="Proposed",$H808="Not Reported"),0,IF(AND($P808="Y",$Q808&lt;&gt;"Y"),0,IF(AND($K808="Point",N($L808)&lt;=0),0,IF(AND(N($L808)&lt;=0,N($N808)&lt;=0,N($R808)+N($S808)&lt;=0),0,1)))))</f>
        <v/>
      </c>
      <c r="AA808" s="21">
        <f>IF(AND($A808="",$B808=""),"",IF($E808="","Site type missing",IF($H808="","STATUS missing",IF($H808="Proposed","STATUS = Proposed",IF($H808="Not Reported","STATUS = Not Reported",IF(AND($P808="Y",$Q808&lt;&gt;"Y"),"UNESCO-MAB Biosphere Reserve",IF(AND($K808="Point",N($L808)&lt;=0),"Point without REP_AREA",IF(AND(N($L808)&lt;=0,N($N808)&lt;=0,N($R808)+N($S808)&lt;=0),"No area information",""))))))))</f>
        <v/>
      </c>
      <c r="AB808" s="22">
        <f>IF(AND($A808="",$B808=""),"",IF($K808="Point",N($L808),IF(N($N808)&gt;0,N($N808),N($L808))))</f>
        <v/>
      </c>
      <c r="AC808" s="22">
        <f>IF(AND($A808="",$B808=""),"",MIN(AB808,IF(N($J808)=0,0,IF(N($J808)=2,AB808,IF(AND($K808&lt;&gt;"Point",N($O808)&gt;0),N($O808),N($M808))))))</f>
        <v/>
      </c>
      <c r="AD808" s="22">
        <f>IF(AND($A808="",$B808=""),"",MAX(0,AB808-AC808))</f>
        <v/>
      </c>
      <c r="AE808" s="21">
        <f>IF(AND($A808="",$B808=""),"",IF(OR($R808&lt;&gt;"",$S808&lt;&gt;""),1,0))</f>
        <v/>
      </c>
      <c r="AF808" s="22">
        <f>IF(AND($A808="",$B808=""),"",IF(Z808=1,IF(AE808=1,N($R808),AD808),0))</f>
        <v/>
      </c>
      <c r="AG808" s="22">
        <f>IF(AND($A808="",$B808=""),"",IF(Z808=1,IF(AE808=1,N($S808),AC808),0))</f>
        <v/>
      </c>
      <c r="AH808" s="21">
        <f>IF(AND($A808="",$B808=""),"",IF(AND(ISNUMBER($I808),N($I808)&gt;0),$I808,0))</f>
        <v/>
      </c>
      <c r="AI808" s="23">
        <f>IF(AND(NOT(AND($A808="",$B808="")),$K808="Point",N($L808)&gt;0),SQRT(N($L808)/PI()),"")</f>
        <v/>
      </c>
      <c r="AJ808" s="21">
        <f>IF(AND($A808="",$B808=""),"",IFERROR(VLOOKUP($G808,Lists!$D$4:$E$15,2,FALSE),"Not reported"))</f>
        <v/>
      </c>
      <c r="AK808" s="21">
        <f>IF(AND($A808="",$B808=""),"",IF($X808&lt;&gt;"",$X808,IF($T808&lt;&gt;"Y","Not assessed",IF(AND(ISNUMBER($V808),Setup!$B$6-$V808&gt;Setup!$B$26),"Assessment outdated",IF(NOT(ISNUMBER($W808)),"Assessed – no score",IF($W808&gt;=Setup!$B$24,"High",IF($W808&gt;=Setup!$B$25,"Moderate","Low")))))))</f>
        <v/>
      </c>
      <c r="AL808" s="21">
        <f>IF(AND($A808="",$B808=""),"",IF(Z808=0,"",IF(AND(AE808=1,N($R808)&gt;AD808*1.01+0.001),"Net terrestrial &gt; gross; ","")&amp;IF(AND(AE808=1,N($S808)&gt;AC808*1.01+0.001),"Net marine &gt; gross; ","")&amp;IF(AE808=0,"No net area – gross used, overlaps may be double-counted; ","")&amp;IF(AH808=0,"STATUS_YR missing – imputed in time series; ","")&amp;IF(AND(ISNUMBER($I808),N($I808)&gt;Setup!$B$6),"STATUS_YR after reporting year; ","")&amp;IF(OR($G808="",$G808="Not Reported"),"GOV_TYPE not reported; ","")&amp;IF(AND(N($J808)=1,$K808="Point",N($M808)&lt;=0),"Coastal point without REP_M_AREA – land/sea split unknown; ","")&amp;IF(AND(N($J808)=0,N($S808)&gt;0),"MARINE=0 but net marine &gt;0; ","")&amp;IF(AND(N($J808)=2,N($R808)&gt;0),"MARINE=2 but net terrestrial &gt;0; ","")&amp;IF($K808="Point","Buffered point – coverage approximate; ","")))</f>
        <v/>
      </c>
    </row>
    <row r="809">
      <c r="A809" s="19" t="n"/>
      <c r="B809" s="19" t="n"/>
      <c r="C809" s="19" t="n"/>
      <c r="D809" s="19" t="n"/>
      <c r="E809" s="19" t="n"/>
      <c r="F809" s="19" t="n"/>
      <c r="G809" s="19" t="n"/>
      <c r="H809" s="19" t="n"/>
      <c r="I809" s="19" t="n"/>
      <c r="J809" s="19" t="n"/>
      <c r="K809" s="19" t="n"/>
      <c r="L809" s="20" t="n"/>
      <c r="M809" s="20" t="n"/>
      <c r="N809" s="20" t="n"/>
      <c r="O809" s="20" t="n"/>
      <c r="P809" s="19" t="n"/>
      <c r="Q809" s="19" t="n"/>
      <c r="R809" s="20" t="n"/>
      <c r="S809" s="20" t="n"/>
      <c r="T809" s="19" t="n"/>
      <c r="U809" s="19" t="n"/>
      <c r="V809" s="19" t="n"/>
      <c r="W809" s="19" t="n"/>
      <c r="X809" s="19" t="n"/>
      <c r="Y809" s="19" t="n"/>
      <c r="Z809" s="21">
        <f>IF(AND($A809="",$B809=""),"",IF(OR($E809="",$H809="",$H809="Proposed",$H809="Not Reported"),0,IF(AND($P809="Y",$Q809&lt;&gt;"Y"),0,IF(AND($K809="Point",N($L809)&lt;=0),0,IF(AND(N($L809)&lt;=0,N($N809)&lt;=0,N($R809)+N($S809)&lt;=0),0,1)))))</f>
        <v/>
      </c>
      <c r="AA809" s="21">
        <f>IF(AND($A809="",$B809=""),"",IF($E809="","Site type missing",IF($H809="","STATUS missing",IF($H809="Proposed","STATUS = Proposed",IF($H809="Not Reported","STATUS = Not Reported",IF(AND($P809="Y",$Q809&lt;&gt;"Y"),"UNESCO-MAB Biosphere Reserve",IF(AND($K809="Point",N($L809)&lt;=0),"Point without REP_AREA",IF(AND(N($L809)&lt;=0,N($N809)&lt;=0,N($R809)+N($S809)&lt;=0),"No area information",""))))))))</f>
        <v/>
      </c>
      <c r="AB809" s="22">
        <f>IF(AND($A809="",$B809=""),"",IF($K809="Point",N($L809),IF(N($N809)&gt;0,N($N809),N($L809))))</f>
        <v/>
      </c>
      <c r="AC809" s="22">
        <f>IF(AND($A809="",$B809=""),"",MIN(AB809,IF(N($J809)=0,0,IF(N($J809)=2,AB809,IF(AND($K809&lt;&gt;"Point",N($O809)&gt;0),N($O809),N($M809))))))</f>
        <v/>
      </c>
      <c r="AD809" s="22">
        <f>IF(AND($A809="",$B809=""),"",MAX(0,AB809-AC809))</f>
        <v/>
      </c>
      <c r="AE809" s="21">
        <f>IF(AND($A809="",$B809=""),"",IF(OR($R809&lt;&gt;"",$S809&lt;&gt;""),1,0))</f>
        <v/>
      </c>
      <c r="AF809" s="22">
        <f>IF(AND($A809="",$B809=""),"",IF(Z809=1,IF(AE809=1,N($R809),AD809),0))</f>
        <v/>
      </c>
      <c r="AG809" s="22">
        <f>IF(AND($A809="",$B809=""),"",IF(Z809=1,IF(AE809=1,N($S809),AC809),0))</f>
        <v/>
      </c>
      <c r="AH809" s="21">
        <f>IF(AND($A809="",$B809=""),"",IF(AND(ISNUMBER($I809),N($I809)&gt;0),$I809,0))</f>
        <v/>
      </c>
      <c r="AI809" s="23">
        <f>IF(AND(NOT(AND($A809="",$B809="")),$K809="Point",N($L809)&gt;0),SQRT(N($L809)/PI()),"")</f>
        <v/>
      </c>
      <c r="AJ809" s="21">
        <f>IF(AND($A809="",$B809=""),"",IFERROR(VLOOKUP($G809,Lists!$D$4:$E$15,2,FALSE),"Not reported"))</f>
        <v/>
      </c>
      <c r="AK809" s="21">
        <f>IF(AND($A809="",$B809=""),"",IF($X809&lt;&gt;"",$X809,IF($T809&lt;&gt;"Y","Not assessed",IF(AND(ISNUMBER($V809),Setup!$B$6-$V809&gt;Setup!$B$26),"Assessment outdated",IF(NOT(ISNUMBER($W809)),"Assessed – no score",IF($W809&gt;=Setup!$B$24,"High",IF($W809&gt;=Setup!$B$25,"Moderate","Low")))))))</f>
        <v/>
      </c>
      <c r="AL809" s="21">
        <f>IF(AND($A809="",$B809=""),"",IF(Z809=0,"",IF(AND(AE809=1,N($R809)&gt;AD809*1.01+0.001),"Net terrestrial &gt; gross; ","")&amp;IF(AND(AE809=1,N($S809)&gt;AC809*1.01+0.001),"Net marine &gt; gross; ","")&amp;IF(AE809=0,"No net area – gross used, overlaps may be double-counted; ","")&amp;IF(AH809=0,"STATUS_YR missing – imputed in time series; ","")&amp;IF(AND(ISNUMBER($I809),N($I809)&gt;Setup!$B$6),"STATUS_YR after reporting year; ","")&amp;IF(OR($G809="",$G809="Not Reported"),"GOV_TYPE not reported; ","")&amp;IF(AND(N($J809)=1,$K809="Point",N($M809)&lt;=0),"Coastal point without REP_M_AREA – land/sea split unknown; ","")&amp;IF(AND(N($J809)=0,N($S809)&gt;0),"MARINE=0 but net marine &gt;0; ","")&amp;IF(AND(N($J809)=2,N($R809)&gt;0),"MARINE=2 but net terrestrial &gt;0; ","")&amp;IF($K809="Point","Buffered point – coverage approximate; ","")))</f>
        <v/>
      </c>
    </row>
    <row r="810">
      <c r="A810" s="19" t="n"/>
      <c r="B810" s="19" t="n"/>
      <c r="C810" s="19" t="n"/>
      <c r="D810" s="19" t="n"/>
      <c r="E810" s="19" t="n"/>
      <c r="F810" s="19" t="n"/>
      <c r="G810" s="19" t="n"/>
      <c r="H810" s="19" t="n"/>
      <c r="I810" s="19" t="n"/>
      <c r="J810" s="19" t="n"/>
      <c r="K810" s="19" t="n"/>
      <c r="L810" s="20" t="n"/>
      <c r="M810" s="20" t="n"/>
      <c r="N810" s="20" t="n"/>
      <c r="O810" s="20" t="n"/>
      <c r="P810" s="19" t="n"/>
      <c r="Q810" s="19" t="n"/>
      <c r="R810" s="20" t="n"/>
      <c r="S810" s="20" t="n"/>
      <c r="T810" s="19" t="n"/>
      <c r="U810" s="19" t="n"/>
      <c r="V810" s="19" t="n"/>
      <c r="W810" s="19" t="n"/>
      <c r="X810" s="19" t="n"/>
      <c r="Y810" s="19" t="n"/>
      <c r="Z810" s="21">
        <f>IF(AND($A810="",$B810=""),"",IF(OR($E810="",$H810="",$H810="Proposed",$H810="Not Reported"),0,IF(AND($P810="Y",$Q810&lt;&gt;"Y"),0,IF(AND($K810="Point",N($L810)&lt;=0),0,IF(AND(N($L810)&lt;=0,N($N810)&lt;=0,N($R810)+N($S810)&lt;=0),0,1)))))</f>
        <v/>
      </c>
      <c r="AA810" s="21">
        <f>IF(AND($A810="",$B810=""),"",IF($E810="","Site type missing",IF($H810="","STATUS missing",IF($H810="Proposed","STATUS = Proposed",IF($H810="Not Reported","STATUS = Not Reported",IF(AND($P810="Y",$Q810&lt;&gt;"Y"),"UNESCO-MAB Biosphere Reserve",IF(AND($K810="Point",N($L810)&lt;=0),"Point without REP_AREA",IF(AND(N($L810)&lt;=0,N($N810)&lt;=0,N($R810)+N($S810)&lt;=0),"No area information",""))))))))</f>
        <v/>
      </c>
      <c r="AB810" s="22">
        <f>IF(AND($A810="",$B810=""),"",IF($K810="Point",N($L810),IF(N($N810)&gt;0,N($N810),N($L810))))</f>
        <v/>
      </c>
      <c r="AC810" s="22">
        <f>IF(AND($A810="",$B810=""),"",MIN(AB810,IF(N($J810)=0,0,IF(N($J810)=2,AB810,IF(AND($K810&lt;&gt;"Point",N($O810)&gt;0),N($O810),N($M810))))))</f>
        <v/>
      </c>
      <c r="AD810" s="22">
        <f>IF(AND($A810="",$B810=""),"",MAX(0,AB810-AC810))</f>
        <v/>
      </c>
      <c r="AE810" s="21">
        <f>IF(AND($A810="",$B810=""),"",IF(OR($R810&lt;&gt;"",$S810&lt;&gt;""),1,0))</f>
        <v/>
      </c>
      <c r="AF810" s="22">
        <f>IF(AND($A810="",$B810=""),"",IF(Z810=1,IF(AE810=1,N($R810),AD810),0))</f>
        <v/>
      </c>
      <c r="AG810" s="22">
        <f>IF(AND($A810="",$B810=""),"",IF(Z810=1,IF(AE810=1,N($S810),AC810),0))</f>
        <v/>
      </c>
      <c r="AH810" s="21">
        <f>IF(AND($A810="",$B810=""),"",IF(AND(ISNUMBER($I810),N($I810)&gt;0),$I810,0))</f>
        <v/>
      </c>
      <c r="AI810" s="23">
        <f>IF(AND(NOT(AND($A810="",$B810="")),$K810="Point",N($L810)&gt;0),SQRT(N($L810)/PI()),"")</f>
        <v/>
      </c>
      <c r="AJ810" s="21">
        <f>IF(AND($A810="",$B810=""),"",IFERROR(VLOOKUP($G810,Lists!$D$4:$E$15,2,FALSE),"Not reported"))</f>
        <v/>
      </c>
      <c r="AK810" s="21">
        <f>IF(AND($A810="",$B810=""),"",IF($X810&lt;&gt;"",$X810,IF($T810&lt;&gt;"Y","Not assessed",IF(AND(ISNUMBER($V810),Setup!$B$6-$V810&gt;Setup!$B$26),"Assessment outdated",IF(NOT(ISNUMBER($W810)),"Assessed – no score",IF($W810&gt;=Setup!$B$24,"High",IF($W810&gt;=Setup!$B$25,"Moderate","Low")))))))</f>
        <v/>
      </c>
      <c r="AL810" s="21">
        <f>IF(AND($A810="",$B810=""),"",IF(Z810=0,"",IF(AND(AE810=1,N($R810)&gt;AD810*1.01+0.001),"Net terrestrial &gt; gross; ","")&amp;IF(AND(AE810=1,N($S810)&gt;AC810*1.01+0.001),"Net marine &gt; gross; ","")&amp;IF(AE810=0,"No net area – gross used, overlaps may be double-counted; ","")&amp;IF(AH810=0,"STATUS_YR missing – imputed in time series; ","")&amp;IF(AND(ISNUMBER($I810),N($I810)&gt;Setup!$B$6),"STATUS_YR after reporting year; ","")&amp;IF(OR($G810="",$G810="Not Reported"),"GOV_TYPE not reported; ","")&amp;IF(AND(N($J810)=1,$K810="Point",N($M810)&lt;=0),"Coastal point without REP_M_AREA – land/sea split unknown; ","")&amp;IF(AND(N($J810)=0,N($S810)&gt;0),"MARINE=0 but net marine &gt;0; ","")&amp;IF(AND(N($J810)=2,N($R810)&gt;0),"MARINE=2 but net terrestrial &gt;0; ","")&amp;IF($K810="Point","Buffered point – coverage approximate; ","")))</f>
        <v/>
      </c>
    </row>
    <row r="811">
      <c r="A811" s="19" t="n"/>
      <c r="B811" s="19" t="n"/>
      <c r="C811" s="19" t="n"/>
      <c r="D811" s="19" t="n"/>
      <c r="E811" s="19" t="n"/>
      <c r="F811" s="19" t="n"/>
      <c r="G811" s="19" t="n"/>
      <c r="H811" s="19" t="n"/>
      <c r="I811" s="19" t="n"/>
      <c r="J811" s="19" t="n"/>
      <c r="K811" s="19" t="n"/>
      <c r="L811" s="20" t="n"/>
      <c r="M811" s="20" t="n"/>
      <c r="N811" s="20" t="n"/>
      <c r="O811" s="20" t="n"/>
      <c r="P811" s="19" t="n"/>
      <c r="Q811" s="19" t="n"/>
      <c r="R811" s="20" t="n"/>
      <c r="S811" s="20" t="n"/>
      <c r="T811" s="19" t="n"/>
      <c r="U811" s="19" t="n"/>
      <c r="V811" s="19" t="n"/>
      <c r="W811" s="19" t="n"/>
      <c r="X811" s="19" t="n"/>
      <c r="Y811" s="19" t="n"/>
      <c r="Z811" s="21">
        <f>IF(AND($A811="",$B811=""),"",IF(OR($E811="",$H811="",$H811="Proposed",$H811="Not Reported"),0,IF(AND($P811="Y",$Q811&lt;&gt;"Y"),0,IF(AND($K811="Point",N($L811)&lt;=0),0,IF(AND(N($L811)&lt;=0,N($N811)&lt;=0,N($R811)+N($S811)&lt;=0),0,1)))))</f>
        <v/>
      </c>
      <c r="AA811" s="21">
        <f>IF(AND($A811="",$B811=""),"",IF($E811="","Site type missing",IF($H811="","STATUS missing",IF($H811="Proposed","STATUS = Proposed",IF($H811="Not Reported","STATUS = Not Reported",IF(AND($P811="Y",$Q811&lt;&gt;"Y"),"UNESCO-MAB Biosphere Reserve",IF(AND($K811="Point",N($L811)&lt;=0),"Point without REP_AREA",IF(AND(N($L811)&lt;=0,N($N811)&lt;=0,N($R811)+N($S811)&lt;=0),"No area information",""))))))))</f>
        <v/>
      </c>
      <c r="AB811" s="22">
        <f>IF(AND($A811="",$B811=""),"",IF($K811="Point",N($L811),IF(N($N811)&gt;0,N($N811),N($L811))))</f>
        <v/>
      </c>
      <c r="AC811" s="22">
        <f>IF(AND($A811="",$B811=""),"",MIN(AB811,IF(N($J811)=0,0,IF(N($J811)=2,AB811,IF(AND($K811&lt;&gt;"Point",N($O811)&gt;0),N($O811),N($M811))))))</f>
        <v/>
      </c>
      <c r="AD811" s="22">
        <f>IF(AND($A811="",$B811=""),"",MAX(0,AB811-AC811))</f>
        <v/>
      </c>
      <c r="AE811" s="21">
        <f>IF(AND($A811="",$B811=""),"",IF(OR($R811&lt;&gt;"",$S811&lt;&gt;""),1,0))</f>
        <v/>
      </c>
      <c r="AF811" s="22">
        <f>IF(AND($A811="",$B811=""),"",IF(Z811=1,IF(AE811=1,N($R811),AD811),0))</f>
        <v/>
      </c>
      <c r="AG811" s="22">
        <f>IF(AND($A811="",$B811=""),"",IF(Z811=1,IF(AE811=1,N($S811),AC811),0))</f>
        <v/>
      </c>
      <c r="AH811" s="21">
        <f>IF(AND($A811="",$B811=""),"",IF(AND(ISNUMBER($I811),N($I811)&gt;0),$I811,0))</f>
        <v/>
      </c>
      <c r="AI811" s="23">
        <f>IF(AND(NOT(AND($A811="",$B811="")),$K811="Point",N($L811)&gt;0),SQRT(N($L811)/PI()),"")</f>
        <v/>
      </c>
      <c r="AJ811" s="21">
        <f>IF(AND($A811="",$B811=""),"",IFERROR(VLOOKUP($G811,Lists!$D$4:$E$15,2,FALSE),"Not reported"))</f>
        <v/>
      </c>
      <c r="AK811" s="21">
        <f>IF(AND($A811="",$B811=""),"",IF($X811&lt;&gt;"",$X811,IF($T811&lt;&gt;"Y","Not assessed",IF(AND(ISNUMBER($V811),Setup!$B$6-$V811&gt;Setup!$B$26),"Assessment outdated",IF(NOT(ISNUMBER($W811)),"Assessed – no score",IF($W811&gt;=Setup!$B$24,"High",IF($W811&gt;=Setup!$B$25,"Moderate","Low")))))))</f>
        <v/>
      </c>
      <c r="AL811" s="21">
        <f>IF(AND($A811="",$B811=""),"",IF(Z811=0,"",IF(AND(AE811=1,N($R811)&gt;AD811*1.01+0.001),"Net terrestrial &gt; gross; ","")&amp;IF(AND(AE811=1,N($S811)&gt;AC811*1.01+0.001),"Net marine &gt; gross; ","")&amp;IF(AE811=0,"No net area – gross used, overlaps may be double-counted; ","")&amp;IF(AH811=0,"STATUS_YR missing – imputed in time series; ","")&amp;IF(AND(ISNUMBER($I811),N($I811)&gt;Setup!$B$6),"STATUS_YR after reporting year; ","")&amp;IF(OR($G811="",$G811="Not Reported"),"GOV_TYPE not reported; ","")&amp;IF(AND(N($J811)=1,$K811="Point",N($M811)&lt;=0),"Coastal point without REP_M_AREA – land/sea split unknown; ","")&amp;IF(AND(N($J811)=0,N($S811)&gt;0),"MARINE=0 but net marine &gt;0; ","")&amp;IF(AND(N($J811)=2,N($R811)&gt;0),"MARINE=2 but net terrestrial &gt;0; ","")&amp;IF($K811="Point","Buffered point – coverage approximate; ","")))</f>
        <v/>
      </c>
    </row>
    <row r="812">
      <c r="A812" s="19" t="n"/>
      <c r="B812" s="19" t="n"/>
      <c r="C812" s="19" t="n"/>
      <c r="D812" s="19" t="n"/>
      <c r="E812" s="19" t="n"/>
      <c r="F812" s="19" t="n"/>
      <c r="G812" s="19" t="n"/>
      <c r="H812" s="19" t="n"/>
      <c r="I812" s="19" t="n"/>
      <c r="J812" s="19" t="n"/>
      <c r="K812" s="19" t="n"/>
      <c r="L812" s="20" t="n"/>
      <c r="M812" s="20" t="n"/>
      <c r="N812" s="20" t="n"/>
      <c r="O812" s="20" t="n"/>
      <c r="P812" s="19" t="n"/>
      <c r="Q812" s="19" t="n"/>
      <c r="R812" s="20" t="n"/>
      <c r="S812" s="20" t="n"/>
      <c r="T812" s="19" t="n"/>
      <c r="U812" s="19" t="n"/>
      <c r="V812" s="19" t="n"/>
      <c r="W812" s="19" t="n"/>
      <c r="X812" s="19" t="n"/>
      <c r="Y812" s="19" t="n"/>
      <c r="Z812" s="21">
        <f>IF(AND($A812="",$B812=""),"",IF(OR($E812="",$H812="",$H812="Proposed",$H812="Not Reported"),0,IF(AND($P812="Y",$Q812&lt;&gt;"Y"),0,IF(AND($K812="Point",N($L812)&lt;=0),0,IF(AND(N($L812)&lt;=0,N($N812)&lt;=0,N($R812)+N($S812)&lt;=0),0,1)))))</f>
        <v/>
      </c>
      <c r="AA812" s="21">
        <f>IF(AND($A812="",$B812=""),"",IF($E812="","Site type missing",IF($H812="","STATUS missing",IF($H812="Proposed","STATUS = Proposed",IF($H812="Not Reported","STATUS = Not Reported",IF(AND($P812="Y",$Q812&lt;&gt;"Y"),"UNESCO-MAB Biosphere Reserve",IF(AND($K812="Point",N($L812)&lt;=0),"Point without REP_AREA",IF(AND(N($L812)&lt;=0,N($N812)&lt;=0,N($R812)+N($S812)&lt;=0),"No area information",""))))))))</f>
        <v/>
      </c>
      <c r="AB812" s="22">
        <f>IF(AND($A812="",$B812=""),"",IF($K812="Point",N($L812),IF(N($N812)&gt;0,N($N812),N($L812))))</f>
        <v/>
      </c>
      <c r="AC812" s="22">
        <f>IF(AND($A812="",$B812=""),"",MIN(AB812,IF(N($J812)=0,0,IF(N($J812)=2,AB812,IF(AND($K812&lt;&gt;"Point",N($O812)&gt;0),N($O812),N($M812))))))</f>
        <v/>
      </c>
      <c r="AD812" s="22">
        <f>IF(AND($A812="",$B812=""),"",MAX(0,AB812-AC812))</f>
        <v/>
      </c>
      <c r="AE812" s="21">
        <f>IF(AND($A812="",$B812=""),"",IF(OR($R812&lt;&gt;"",$S812&lt;&gt;""),1,0))</f>
        <v/>
      </c>
      <c r="AF812" s="22">
        <f>IF(AND($A812="",$B812=""),"",IF(Z812=1,IF(AE812=1,N($R812),AD812),0))</f>
        <v/>
      </c>
      <c r="AG812" s="22">
        <f>IF(AND($A812="",$B812=""),"",IF(Z812=1,IF(AE812=1,N($S812),AC812),0))</f>
        <v/>
      </c>
      <c r="AH812" s="21">
        <f>IF(AND($A812="",$B812=""),"",IF(AND(ISNUMBER($I812),N($I812)&gt;0),$I812,0))</f>
        <v/>
      </c>
      <c r="AI812" s="23">
        <f>IF(AND(NOT(AND($A812="",$B812="")),$K812="Point",N($L812)&gt;0),SQRT(N($L812)/PI()),"")</f>
        <v/>
      </c>
      <c r="AJ812" s="21">
        <f>IF(AND($A812="",$B812=""),"",IFERROR(VLOOKUP($G812,Lists!$D$4:$E$15,2,FALSE),"Not reported"))</f>
        <v/>
      </c>
      <c r="AK812" s="21">
        <f>IF(AND($A812="",$B812=""),"",IF($X812&lt;&gt;"",$X812,IF($T812&lt;&gt;"Y","Not assessed",IF(AND(ISNUMBER($V812),Setup!$B$6-$V812&gt;Setup!$B$26),"Assessment outdated",IF(NOT(ISNUMBER($W812)),"Assessed – no score",IF($W812&gt;=Setup!$B$24,"High",IF($W812&gt;=Setup!$B$25,"Moderate","Low")))))))</f>
        <v/>
      </c>
      <c r="AL812" s="21">
        <f>IF(AND($A812="",$B812=""),"",IF(Z812=0,"",IF(AND(AE812=1,N($R812)&gt;AD812*1.01+0.001),"Net terrestrial &gt; gross; ","")&amp;IF(AND(AE812=1,N($S812)&gt;AC812*1.01+0.001),"Net marine &gt; gross; ","")&amp;IF(AE812=0,"No net area – gross used, overlaps may be double-counted; ","")&amp;IF(AH812=0,"STATUS_YR missing – imputed in time series; ","")&amp;IF(AND(ISNUMBER($I812),N($I812)&gt;Setup!$B$6),"STATUS_YR after reporting year; ","")&amp;IF(OR($G812="",$G812="Not Reported"),"GOV_TYPE not reported; ","")&amp;IF(AND(N($J812)=1,$K812="Point",N($M812)&lt;=0),"Coastal point without REP_M_AREA – land/sea split unknown; ","")&amp;IF(AND(N($J812)=0,N($S812)&gt;0),"MARINE=0 but net marine &gt;0; ","")&amp;IF(AND(N($J812)=2,N($R812)&gt;0),"MARINE=2 but net terrestrial &gt;0; ","")&amp;IF($K812="Point","Buffered point – coverage approximate; ","")))</f>
        <v/>
      </c>
    </row>
    <row r="813">
      <c r="A813" s="19" t="n"/>
      <c r="B813" s="19" t="n"/>
      <c r="C813" s="19" t="n"/>
      <c r="D813" s="19" t="n"/>
      <c r="E813" s="19" t="n"/>
      <c r="F813" s="19" t="n"/>
      <c r="G813" s="19" t="n"/>
      <c r="H813" s="19" t="n"/>
      <c r="I813" s="19" t="n"/>
      <c r="J813" s="19" t="n"/>
      <c r="K813" s="19" t="n"/>
      <c r="L813" s="20" t="n"/>
      <c r="M813" s="20" t="n"/>
      <c r="N813" s="20" t="n"/>
      <c r="O813" s="20" t="n"/>
      <c r="P813" s="19" t="n"/>
      <c r="Q813" s="19" t="n"/>
      <c r="R813" s="20" t="n"/>
      <c r="S813" s="20" t="n"/>
      <c r="T813" s="19" t="n"/>
      <c r="U813" s="19" t="n"/>
      <c r="V813" s="19" t="n"/>
      <c r="W813" s="19" t="n"/>
      <c r="X813" s="19" t="n"/>
      <c r="Y813" s="19" t="n"/>
      <c r="Z813" s="21">
        <f>IF(AND($A813="",$B813=""),"",IF(OR($E813="",$H813="",$H813="Proposed",$H813="Not Reported"),0,IF(AND($P813="Y",$Q813&lt;&gt;"Y"),0,IF(AND($K813="Point",N($L813)&lt;=0),0,IF(AND(N($L813)&lt;=0,N($N813)&lt;=0,N($R813)+N($S813)&lt;=0),0,1)))))</f>
        <v/>
      </c>
      <c r="AA813" s="21">
        <f>IF(AND($A813="",$B813=""),"",IF($E813="","Site type missing",IF($H813="","STATUS missing",IF($H813="Proposed","STATUS = Proposed",IF($H813="Not Reported","STATUS = Not Reported",IF(AND($P813="Y",$Q813&lt;&gt;"Y"),"UNESCO-MAB Biosphere Reserve",IF(AND($K813="Point",N($L813)&lt;=0),"Point without REP_AREA",IF(AND(N($L813)&lt;=0,N($N813)&lt;=0,N($R813)+N($S813)&lt;=0),"No area information",""))))))))</f>
        <v/>
      </c>
      <c r="AB813" s="22">
        <f>IF(AND($A813="",$B813=""),"",IF($K813="Point",N($L813),IF(N($N813)&gt;0,N($N813),N($L813))))</f>
        <v/>
      </c>
      <c r="AC813" s="22">
        <f>IF(AND($A813="",$B813=""),"",MIN(AB813,IF(N($J813)=0,0,IF(N($J813)=2,AB813,IF(AND($K813&lt;&gt;"Point",N($O813)&gt;0),N($O813),N($M813))))))</f>
        <v/>
      </c>
      <c r="AD813" s="22">
        <f>IF(AND($A813="",$B813=""),"",MAX(0,AB813-AC813))</f>
        <v/>
      </c>
      <c r="AE813" s="21">
        <f>IF(AND($A813="",$B813=""),"",IF(OR($R813&lt;&gt;"",$S813&lt;&gt;""),1,0))</f>
        <v/>
      </c>
      <c r="AF813" s="22">
        <f>IF(AND($A813="",$B813=""),"",IF(Z813=1,IF(AE813=1,N($R813),AD813),0))</f>
        <v/>
      </c>
      <c r="AG813" s="22">
        <f>IF(AND($A813="",$B813=""),"",IF(Z813=1,IF(AE813=1,N($S813),AC813),0))</f>
        <v/>
      </c>
      <c r="AH813" s="21">
        <f>IF(AND($A813="",$B813=""),"",IF(AND(ISNUMBER($I813),N($I813)&gt;0),$I813,0))</f>
        <v/>
      </c>
      <c r="AI813" s="23">
        <f>IF(AND(NOT(AND($A813="",$B813="")),$K813="Point",N($L813)&gt;0),SQRT(N($L813)/PI()),"")</f>
        <v/>
      </c>
      <c r="AJ813" s="21">
        <f>IF(AND($A813="",$B813=""),"",IFERROR(VLOOKUP($G813,Lists!$D$4:$E$15,2,FALSE),"Not reported"))</f>
        <v/>
      </c>
      <c r="AK813" s="21">
        <f>IF(AND($A813="",$B813=""),"",IF($X813&lt;&gt;"",$X813,IF($T813&lt;&gt;"Y","Not assessed",IF(AND(ISNUMBER($V813),Setup!$B$6-$V813&gt;Setup!$B$26),"Assessment outdated",IF(NOT(ISNUMBER($W813)),"Assessed – no score",IF($W813&gt;=Setup!$B$24,"High",IF($W813&gt;=Setup!$B$25,"Moderate","Low")))))))</f>
        <v/>
      </c>
      <c r="AL813" s="21">
        <f>IF(AND($A813="",$B813=""),"",IF(Z813=0,"",IF(AND(AE813=1,N($R813)&gt;AD813*1.01+0.001),"Net terrestrial &gt; gross; ","")&amp;IF(AND(AE813=1,N($S813)&gt;AC813*1.01+0.001),"Net marine &gt; gross; ","")&amp;IF(AE813=0,"No net area – gross used, overlaps may be double-counted; ","")&amp;IF(AH813=0,"STATUS_YR missing – imputed in time series; ","")&amp;IF(AND(ISNUMBER($I813),N($I813)&gt;Setup!$B$6),"STATUS_YR after reporting year; ","")&amp;IF(OR($G813="",$G813="Not Reported"),"GOV_TYPE not reported; ","")&amp;IF(AND(N($J813)=1,$K813="Point",N($M813)&lt;=0),"Coastal point without REP_M_AREA – land/sea split unknown; ","")&amp;IF(AND(N($J813)=0,N($S813)&gt;0),"MARINE=0 but net marine &gt;0; ","")&amp;IF(AND(N($J813)=2,N($R813)&gt;0),"MARINE=2 but net terrestrial &gt;0; ","")&amp;IF($K813="Point","Buffered point – coverage approximate; ","")))</f>
        <v/>
      </c>
    </row>
    <row r="814">
      <c r="A814" s="19" t="n"/>
      <c r="B814" s="19" t="n"/>
      <c r="C814" s="19" t="n"/>
      <c r="D814" s="19" t="n"/>
      <c r="E814" s="19" t="n"/>
      <c r="F814" s="19" t="n"/>
      <c r="G814" s="19" t="n"/>
      <c r="H814" s="19" t="n"/>
      <c r="I814" s="19" t="n"/>
      <c r="J814" s="19" t="n"/>
      <c r="K814" s="19" t="n"/>
      <c r="L814" s="20" t="n"/>
      <c r="M814" s="20" t="n"/>
      <c r="N814" s="20" t="n"/>
      <c r="O814" s="20" t="n"/>
      <c r="P814" s="19" t="n"/>
      <c r="Q814" s="19" t="n"/>
      <c r="R814" s="20" t="n"/>
      <c r="S814" s="20" t="n"/>
      <c r="T814" s="19" t="n"/>
      <c r="U814" s="19" t="n"/>
      <c r="V814" s="19" t="n"/>
      <c r="W814" s="19" t="n"/>
      <c r="X814" s="19" t="n"/>
      <c r="Y814" s="19" t="n"/>
      <c r="Z814" s="21">
        <f>IF(AND($A814="",$B814=""),"",IF(OR($E814="",$H814="",$H814="Proposed",$H814="Not Reported"),0,IF(AND($P814="Y",$Q814&lt;&gt;"Y"),0,IF(AND($K814="Point",N($L814)&lt;=0),0,IF(AND(N($L814)&lt;=0,N($N814)&lt;=0,N($R814)+N($S814)&lt;=0),0,1)))))</f>
        <v/>
      </c>
      <c r="AA814" s="21">
        <f>IF(AND($A814="",$B814=""),"",IF($E814="","Site type missing",IF($H814="","STATUS missing",IF($H814="Proposed","STATUS = Proposed",IF($H814="Not Reported","STATUS = Not Reported",IF(AND($P814="Y",$Q814&lt;&gt;"Y"),"UNESCO-MAB Biosphere Reserve",IF(AND($K814="Point",N($L814)&lt;=0),"Point without REP_AREA",IF(AND(N($L814)&lt;=0,N($N814)&lt;=0,N($R814)+N($S814)&lt;=0),"No area information",""))))))))</f>
        <v/>
      </c>
      <c r="AB814" s="22">
        <f>IF(AND($A814="",$B814=""),"",IF($K814="Point",N($L814),IF(N($N814)&gt;0,N($N814),N($L814))))</f>
        <v/>
      </c>
      <c r="AC814" s="22">
        <f>IF(AND($A814="",$B814=""),"",MIN(AB814,IF(N($J814)=0,0,IF(N($J814)=2,AB814,IF(AND($K814&lt;&gt;"Point",N($O814)&gt;0),N($O814),N($M814))))))</f>
        <v/>
      </c>
      <c r="AD814" s="22">
        <f>IF(AND($A814="",$B814=""),"",MAX(0,AB814-AC814))</f>
        <v/>
      </c>
      <c r="AE814" s="21">
        <f>IF(AND($A814="",$B814=""),"",IF(OR($R814&lt;&gt;"",$S814&lt;&gt;""),1,0))</f>
        <v/>
      </c>
      <c r="AF814" s="22">
        <f>IF(AND($A814="",$B814=""),"",IF(Z814=1,IF(AE814=1,N($R814),AD814),0))</f>
        <v/>
      </c>
      <c r="AG814" s="22">
        <f>IF(AND($A814="",$B814=""),"",IF(Z814=1,IF(AE814=1,N($S814),AC814),0))</f>
        <v/>
      </c>
      <c r="AH814" s="21">
        <f>IF(AND($A814="",$B814=""),"",IF(AND(ISNUMBER($I814),N($I814)&gt;0),$I814,0))</f>
        <v/>
      </c>
      <c r="AI814" s="23">
        <f>IF(AND(NOT(AND($A814="",$B814="")),$K814="Point",N($L814)&gt;0),SQRT(N($L814)/PI()),"")</f>
        <v/>
      </c>
      <c r="AJ814" s="21">
        <f>IF(AND($A814="",$B814=""),"",IFERROR(VLOOKUP($G814,Lists!$D$4:$E$15,2,FALSE),"Not reported"))</f>
        <v/>
      </c>
      <c r="AK814" s="21">
        <f>IF(AND($A814="",$B814=""),"",IF($X814&lt;&gt;"",$X814,IF($T814&lt;&gt;"Y","Not assessed",IF(AND(ISNUMBER($V814),Setup!$B$6-$V814&gt;Setup!$B$26),"Assessment outdated",IF(NOT(ISNUMBER($W814)),"Assessed – no score",IF($W814&gt;=Setup!$B$24,"High",IF($W814&gt;=Setup!$B$25,"Moderate","Low")))))))</f>
        <v/>
      </c>
      <c r="AL814" s="21">
        <f>IF(AND($A814="",$B814=""),"",IF(Z814=0,"",IF(AND(AE814=1,N($R814)&gt;AD814*1.01+0.001),"Net terrestrial &gt; gross; ","")&amp;IF(AND(AE814=1,N($S814)&gt;AC814*1.01+0.001),"Net marine &gt; gross; ","")&amp;IF(AE814=0,"No net area – gross used, overlaps may be double-counted; ","")&amp;IF(AH814=0,"STATUS_YR missing – imputed in time series; ","")&amp;IF(AND(ISNUMBER($I814),N($I814)&gt;Setup!$B$6),"STATUS_YR after reporting year; ","")&amp;IF(OR($G814="",$G814="Not Reported"),"GOV_TYPE not reported; ","")&amp;IF(AND(N($J814)=1,$K814="Point",N($M814)&lt;=0),"Coastal point without REP_M_AREA – land/sea split unknown; ","")&amp;IF(AND(N($J814)=0,N($S814)&gt;0),"MARINE=0 but net marine &gt;0; ","")&amp;IF(AND(N($J814)=2,N($R814)&gt;0),"MARINE=2 but net terrestrial &gt;0; ","")&amp;IF($K814="Point","Buffered point – coverage approximate; ","")))</f>
        <v/>
      </c>
    </row>
    <row r="815">
      <c r="A815" s="19" t="n"/>
      <c r="B815" s="19" t="n"/>
      <c r="C815" s="19" t="n"/>
      <c r="D815" s="19" t="n"/>
      <c r="E815" s="19" t="n"/>
      <c r="F815" s="19" t="n"/>
      <c r="G815" s="19" t="n"/>
      <c r="H815" s="19" t="n"/>
      <c r="I815" s="19" t="n"/>
      <c r="J815" s="19" t="n"/>
      <c r="K815" s="19" t="n"/>
      <c r="L815" s="20" t="n"/>
      <c r="M815" s="20" t="n"/>
      <c r="N815" s="20" t="n"/>
      <c r="O815" s="20" t="n"/>
      <c r="P815" s="19" t="n"/>
      <c r="Q815" s="19" t="n"/>
      <c r="R815" s="20" t="n"/>
      <c r="S815" s="20" t="n"/>
      <c r="T815" s="19" t="n"/>
      <c r="U815" s="19" t="n"/>
      <c r="V815" s="19" t="n"/>
      <c r="W815" s="19" t="n"/>
      <c r="X815" s="19" t="n"/>
      <c r="Y815" s="19" t="n"/>
      <c r="Z815" s="21">
        <f>IF(AND($A815="",$B815=""),"",IF(OR($E815="",$H815="",$H815="Proposed",$H815="Not Reported"),0,IF(AND($P815="Y",$Q815&lt;&gt;"Y"),0,IF(AND($K815="Point",N($L815)&lt;=0),0,IF(AND(N($L815)&lt;=0,N($N815)&lt;=0,N($R815)+N($S815)&lt;=0),0,1)))))</f>
        <v/>
      </c>
      <c r="AA815" s="21">
        <f>IF(AND($A815="",$B815=""),"",IF($E815="","Site type missing",IF($H815="","STATUS missing",IF($H815="Proposed","STATUS = Proposed",IF($H815="Not Reported","STATUS = Not Reported",IF(AND($P815="Y",$Q815&lt;&gt;"Y"),"UNESCO-MAB Biosphere Reserve",IF(AND($K815="Point",N($L815)&lt;=0),"Point without REP_AREA",IF(AND(N($L815)&lt;=0,N($N815)&lt;=0,N($R815)+N($S815)&lt;=0),"No area information",""))))))))</f>
        <v/>
      </c>
      <c r="AB815" s="22">
        <f>IF(AND($A815="",$B815=""),"",IF($K815="Point",N($L815),IF(N($N815)&gt;0,N($N815),N($L815))))</f>
        <v/>
      </c>
      <c r="AC815" s="22">
        <f>IF(AND($A815="",$B815=""),"",MIN(AB815,IF(N($J815)=0,0,IF(N($J815)=2,AB815,IF(AND($K815&lt;&gt;"Point",N($O815)&gt;0),N($O815),N($M815))))))</f>
        <v/>
      </c>
      <c r="AD815" s="22">
        <f>IF(AND($A815="",$B815=""),"",MAX(0,AB815-AC815))</f>
        <v/>
      </c>
      <c r="AE815" s="21">
        <f>IF(AND($A815="",$B815=""),"",IF(OR($R815&lt;&gt;"",$S815&lt;&gt;""),1,0))</f>
        <v/>
      </c>
      <c r="AF815" s="22">
        <f>IF(AND($A815="",$B815=""),"",IF(Z815=1,IF(AE815=1,N($R815),AD815),0))</f>
        <v/>
      </c>
      <c r="AG815" s="22">
        <f>IF(AND($A815="",$B815=""),"",IF(Z815=1,IF(AE815=1,N($S815),AC815),0))</f>
        <v/>
      </c>
      <c r="AH815" s="21">
        <f>IF(AND($A815="",$B815=""),"",IF(AND(ISNUMBER($I815),N($I815)&gt;0),$I815,0))</f>
        <v/>
      </c>
      <c r="AI815" s="23">
        <f>IF(AND(NOT(AND($A815="",$B815="")),$K815="Point",N($L815)&gt;0),SQRT(N($L815)/PI()),"")</f>
        <v/>
      </c>
      <c r="AJ815" s="21">
        <f>IF(AND($A815="",$B815=""),"",IFERROR(VLOOKUP($G815,Lists!$D$4:$E$15,2,FALSE),"Not reported"))</f>
        <v/>
      </c>
      <c r="AK815" s="21">
        <f>IF(AND($A815="",$B815=""),"",IF($X815&lt;&gt;"",$X815,IF($T815&lt;&gt;"Y","Not assessed",IF(AND(ISNUMBER($V815),Setup!$B$6-$V815&gt;Setup!$B$26),"Assessment outdated",IF(NOT(ISNUMBER($W815)),"Assessed – no score",IF($W815&gt;=Setup!$B$24,"High",IF($W815&gt;=Setup!$B$25,"Moderate","Low")))))))</f>
        <v/>
      </c>
      <c r="AL815" s="21">
        <f>IF(AND($A815="",$B815=""),"",IF(Z815=0,"",IF(AND(AE815=1,N($R815)&gt;AD815*1.01+0.001),"Net terrestrial &gt; gross; ","")&amp;IF(AND(AE815=1,N($S815)&gt;AC815*1.01+0.001),"Net marine &gt; gross; ","")&amp;IF(AE815=0,"No net area – gross used, overlaps may be double-counted; ","")&amp;IF(AH815=0,"STATUS_YR missing – imputed in time series; ","")&amp;IF(AND(ISNUMBER($I815),N($I815)&gt;Setup!$B$6),"STATUS_YR after reporting year; ","")&amp;IF(OR($G815="",$G815="Not Reported"),"GOV_TYPE not reported; ","")&amp;IF(AND(N($J815)=1,$K815="Point",N($M815)&lt;=0),"Coastal point without REP_M_AREA – land/sea split unknown; ","")&amp;IF(AND(N($J815)=0,N($S815)&gt;0),"MARINE=0 but net marine &gt;0; ","")&amp;IF(AND(N($J815)=2,N($R815)&gt;0),"MARINE=2 but net terrestrial &gt;0; ","")&amp;IF($K815="Point","Buffered point – coverage approximate; ","")))</f>
        <v/>
      </c>
    </row>
    <row r="816">
      <c r="A816" s="19" t="n"/>
      <c r="B816" s="19" t="n"/>
      <c r="C816" s="19" t="n"/>
      <c r="D816" s="19" t="n"/>
      <c r="E816" s="19" t="n"/>
      <c r="F816" s="19" t="n"/>
      <c r="G816" s="19" t="n"/>
      <c r="H816" s="19" t="n"/>
      <c r="I816" s="19" t="n"/>
      <c r="J816" s="19" t="n"/>
      <c r="K816" s="19" t="n"/>
      <c r="L816" s="20" t="n"/>
      <c r="M816" s="20" t="n"/>
      <c r="N816" s="20" t="n"/>
      <c r="O816" s="20" t="n"/>
      <c r="P816" s="19" t="n"/>
      <c r="Q816" s="19" t="n"/>
      <c r="R816" s="20" t="n"/>
      <c r="S816" s="20" t="n"/>
      <c r="T816" s="19" t="n"/>
      <c r="U816" s="19" t="n"/>
      <c r="V816" s="19" t="n"/>
      <c r="W816" s="19" t="n"/>
      <c r="X816" s="19" t="n"/>
      <c r="Y816" s="19" t="n"/>
      <c r="Z816" s="21">
        <f>IF(AND($A816="",$B816=""),"",IF(OR($E816="",$H816="",$H816="Proposed",$H816="Not Reported"),0,IF(AND($P816="Y",$Q816&lt;&gt;"Y"),0,IF(AND($K816="Point",N($L816)&lt;=0),0,IF(AND(N($L816)&lt;=0,N($N816)&lt;=0,N($R816)+N($S816)&lt;=0),0,1)))))</f>
        <v/>
      </c>
      <c r="AA816" s="21">
        <f>IF(AND($A816="",$B816=""),"",IF($E816="","Site type missing",IF($H816="","STATUS missing",IF($H816="Proposed","STATUS = Proposed",IF($H816="Not Reported","STATUS = Not Reported",IF(AND($P816="Y",$Q816&lt;&gt;"Y"),"UNESCO-MAB Biosphere Reserve",IF(AND($K816="Point",N($L816)&lt;=0),"Point without REP_AREA",IF(AND(N($L816)&lt;=0,N($N816)&lt;=0,N($R816)+N($S816)&lt;=0),"No area information",""))))))))</f>
        <v/>
      </c>
      <c r="AB816" s="22">
        <f>IF(AND($A816="",$B816=""),"",IF($K816="Point",N($L816),IF(N($N816)&gt;0,N($N816),N($L816))))</f>
        <v/>
      </c>
      <c r="AC816" s="22">
        <f>IF(AND($A816="",$B816=""),"",MIN(AB816,IF(N($J816)=0,0,IF(N($J816)=2,AB816,IF(AND($K816&lt;&gt;"Point",N($O816)&gt;0),N($O816),N($M816))))))</f>
        <v/>
      </c>
      <c r="AD816" s="22">
        <f>IF(AND($A816="",$B816=""),"",MAX(0,AB816-AC816))</f>
        <v/>
      </c>
      <c r="AE816" s="21">
        <f>IF(AND($A816="",$B816=""),"",IF(OR($R816&lt;&gt;"",$S816&lt;&gt;""),1,0))</f>
        <v/>
      </c>
      <c r="AF816" s="22">
        <f>IF(AND($A816="",$B816=""),"",IF(Z816=1,IF(AE816=1,N($R816),AD816),0))</f>
        <v/>
      </c>
      <c r="AG816" s="22">
        <f>IF(AND($A816="",$B816=""),"",IF(Z816=1,IF(AE816=1,N($S816),AC816),0))</f>
        <v/>
      </c>
      <c r="AH816" s="21">
        <f>IF(AND($A816="",$B816=""),"",IF(AND(ISNUMBER($I816),N($I816)&gt;0),$I816,0))</f>
        <v/>
      </c>
      <c r="AI816" s="23">
        <f>IF(AND(NOT(AND($A816="",$B816="")),$K816="Point",N($L816)&gt;0),SQRT(N($L816)/PI()),"")</f>
        <v/>
      </c>
      <c r="AJ816" s="21">
        <f>IF(AND($A816="",$B816=""),"",IFERROR(VLOOKUP($G816,Lists!$D$4:$E$15,2,FALSE),"Not reported"))</f>
        <v/>
      </c>
      <c r="AK816" s="21">
        <f>IF(AND($A816="",$B816=""),"",IF($X816&lt;&gt;"",$X816,IF($T816&lt;&gt;"Y","Not assessed",IF(AND(ISNUMBER($V816),Setup!$B$6-$V816&gt;Setup!$B$26),"Assessment outdated",IF(NOT(ISNUMBER($W816)),"Assessed – no score",IF($W816&gt;=Setup!$B$24,"High",IF($W816&gt;=Setup!$B$25,"Moderate","Low")))))))</f>
        <v/>
      </c>
      <c r="AL816" s="21">
        <f>IF(AND($A816="",$B816=""),"",IF(Z816=0,"",IF(AND(AE816=1,N($R816)&gt;AD816*1.01+0.001),"Net terrestrial &gt; gross; ","")&amp;IF(AND(AE816=1,N($S816)&gt;AC816*1.01+0.001),"Net marine &gt; gross; ","")&amp;IF(AE816=0,"No net area – gross used, overlaps may be double-counted; ","")&amp;IF(AH816=0,"STATUS_YR missing – imputed in time series; ","")&amp;IF(AND(ISNUMBER($I816),N($I816)&gt;Setup!$B$6),"STATUS_YR after reporting year; ","")&amp;IF(OR($G816="",$G816="Not Reported"),"GOV_TYPE not reported; ","")&amp;IF(AND(N($J816)=1,$K816="Point",N($M816)&lt;=0),"Coastal point without REP_M_AREA – land/sea split unknown; ","")&amp;IF(AND(N($J816)=0,N($S816)&gt;0),"MARINE=0 but net marine &gt;0; ","")&amp;IF(AND(N($J816)=2,N($R816)&gt;0),"MARINE=2 but net terrestrial &gt;0; ","")&amp;IF($K816="Point","Buffered point – coverage approximate; ","")))</f>
        <v/>
      </c>
    </row>
    <row r="817">
      <c r="A817" s="19" t="n"/>
      <c r="B817" s="19" t="n"/>
      <c r="C817" s="19" t="n"/>
      <c r="D817" s="19" t="n"/>
      <c r="E817" s="19" t="n"/>
      <c r="F817" s="19" t="n"/>
      <c r="G817" s="19" t="n"/>
      <c r="H817" s="19" t="n"/>
      <c r="I817" s="19" t="n"/>
      <c r="J817" s="19" t="n"/>
      <c r="K817" s="19" t="n"/>
      <c r="L817" s="20" t="n"/>
      <c r="M817" s="20" t="n"/>
      <c r="N817" s="20" t="n"/>
      <c r="O817" s="20" t="n"/>
      <c r="P817" s="19" t="n"/>
      <c r="Q817" s="19" t="n"/>
      <c r="R817" s="20" t="n"/>
      <c r="S817" s="20" t="n"/>
      <c r="T817" s="19" t="n"/>
      <c r="U817" s="19" t="n"/>
      <c r="V817" s="19" t="n"/>
      <c r="W817" s="19" t="n"/>
      <c r="X817" s="19" t="n"/>
      <c r="Y817" s="19" t="n"/>
      <c r="Z817" s="21">
        <f>IF(AND($A817="",$B817=""),"",IF(OR($E817="",$H817="",$H817="Proposed",$H817="Not Reported"),0,IF(AND($P817="Y",$Q817&lt;&gt;"Y"),0,IF(AND($K817="Point",N($L817)&lt;=0),0,IF(AND(N($L817)&lt;=0,N($N817)&lt;=0,N($R817)+N($S817)&lt;=0),0,1)))))</f>
        <v/>
      </c>
      <c r="AA817" s="21">
        <f>IF(AND($A817="",$B817=""),"",IF($E817="","Site type missing",IF($H817="","STATUS missing",IF($H817="Proposed","STATUS = Proposed",IF($H817="Not Reported","STATUS = Not Reported",IF(AND($P817="Y",$Q817&lt;&gt;"Y"),"UNESCO-MAB Biosphere Reserve",IF(AND($K817="Point",N($L817)&lt;=0),"Point without REP_AREA",IF(AND(N($L817)&lt;=0,N($N817)&lt;=0,N($R817)+N($S817)&lt;=0),"No area information",""))))))))</f>
        <v/>
      </c>
      <c r="AB817" s="22">
        <f>IF(AND($A817="",$B817=""),"",IF($K817="Point",N($L817),IF(N($N817)&gt;0,N($N817),N($L817))))</f>
        <v/>
      </c>
      <c r="AC817" s="22">
        <f>IF(AND($A817="",$B817=""),"",MIN(AB817,IF(N($J817)=0,0,IF(N($J817)=2,AB817,IF(AND($K817&lt;&gt;"Point",N($O817)&gt;0),N($O817),N($M817))))))</f>
        <v/>
      </c>
      <c r="AD817" s="22">
        <f>IF(AND($A817="",$B817=""),"",MAX(0,AB817-AC817))</f>
        <v/>
      </c>
      <c r="AE817" s="21">
        <f>IF(AND($A817="",$B817=""),"",IF(OR($R817&lt;&gt;"",$S817&lt;&gt;""),1,0))</f>
        <v/>
      </c>
      <c r="AF817" s="22">
        <f>IF(AND($A817="",$B817=""),"",IF(Z817=1,IF(AE817=1,N($R817),AD817),0))</f>
        <v/>
      </c>
      <c r="AG817" s="22">
        <f>IF(AND($A817="",$B817=""),"",IF(Z817=1,IF(AE817=1,N($S817),AC817),0))</f>
        <v/>
      </c>
      <c r="AH817" s="21">
        <f>IF(AND($A817="",$B817=""),"",IF(AND(ISNUMBER($I817),N($I817)&gt;0),$I817,0))</f>
        <v/>
      </c>
      <c r="AI817" s="23">
        <f>IF(AND(NOT(AND($A817="",$B817="")),$K817="Point",N($L817)&gt;0),SQRT(N($L817)/PI()),"")</f>
        <v/>
      </c>
      <c r="AJ817" s="21">
        <f>IF(AND($A817="",$B817=""),"",IFERROR(VLOOKUP($G817,Lists!$D$4:$E$15,2,FALSE),"Not reported"))</f>
        <v/>
      </c>
      <c r="AK817" s="21">
        <f>IF(AND($A817="",$B817=""),"",IF($X817&lt;&gt;"",$X817,IF($T817&lt;&gt;"Y","Not assessed",IF(AND(ISNUMBER($V817),Setup!$B$6-$V817&gt;Setup!$B$26),"Assessment outdated",IF(NOT(ISNUMBER($W817)),"Assessed – no score",IF($W817&gt;=Setup!$B$24,"High",IF($W817&gt;=Setup!$B$25,"Moderate","Low")))))))</f>
        <v/>
      </c>
      <c r="AL817" s="21">
        <f>IF(AND($A817="",$B817=""),"",IF(Z817=0,"",IF(AND(AE817=1,N($R817)&gt;AD817*1.01+0.001),"Net terrestrial &gt; gross; ","")&amp;IF(AND(AE817=1,N($S817)&gt;AC817*1.01+0.001),"Net marine &gt; gross; ","")&amp;IF(AE817=0,"No net area – gross used, overlaps may be double-counted; ","")&amp;IF(AH817=0,"STATUS_YR missing – imputed in time series; ","")&amp;IF(AND(ISNUMBER($I817),N($I817)&gt;Setup!$B$6),"STATUS_YR after reporting year; ","")&amp;IF(OR($G817="",$G817="Not Reported"),"GOV_TYPE not reported; ","")&amp;IF(AND(N($J817)=1,$K817="Point",N($M817)&lt;=0),"Coastal point without REP_M_AREA – land/sea split unknown; ","")&amp;IF(AND(N($J817)=0,N($S817)&gt;0),"MARINE=0 but net marine &gt;0; ","")&amp;IF(AND(N($J817)=2,N($R817)&gt;0),"MARINE=2 but net terrestrial &gt;0; ","")&amp;IF($K817="Point","Buffered point – coverage approximate; ","")))</f>
        <v/>
      </c>
    </row>
    <row r="818">
      <c r="A818" s="19" t="n"/>
      <c r="B818" s="19" t="n"/>
      <c r="C818" s="19" t="n"/>
      <c r="D818" s="19" t="n"/>
      <c r="E818" s="19" t="n"/>
      <c r="F818" s="19" t="n"/>
      <c r="G818" s="19" t="n"/>
      <c r="H818" s="19" t="n"/>
      <c r="I818" s="19" t="n"/>
      <c r="J818" s="19" t="n"/>
      <c r="K818" s="19" t="n"/>
      <c r="L818" s="20" t="n"/>
      <c r="M818" s="20" t="n"/>
      <c r="N818" s="20" t="n"/>
      <c r="O818" s="20" t="n"/>
      <c r="P818" s="19" t="n"/>
      <c r="Q818" s="19" t="n"/>
      <c r="R818" s="20" t="n"/>
      <c r="S818" s="20" t="n"/>
      <c r="T818" s="19" t="n"/>
      <c r="U818" s="19" t="n"/>
      <c r="V818" s="19" t="n"/>
      <c r="W818" s="19" t="n"/>
      <c r="X818" s="19" t="n"/>
      <c r="Y818" s="19" t="n"/>
      <c r="Z818" s="21">
        <f>IF(AND($A818="",$B818=""),"",IF(OR($E818="",$H818="",$H818="Proposed",$H818="Not Reported"),0,IF(AND($P818="Y",$Q818&lt;&gt;"Y"),0,IF(AND($K818="Point",N($L818)&lt;=0),0,IF(AND(N($L818)&lt;=0,N($N818)&lt;=0,N($R818)+N($S818)&lt;=0),0,1)))))</f>
        <v/>
      </c>
      <c r="AA818" s="21">
        <f>IF(AND($A818="",$B818=""),"",IF($E818="","Site type missing",IF($H818="","STATUS missing",IF($H818="Proposed","STATUS = Proposed",IF($H818="Not Reported","STATUS = Not Reported",IF(AND($P818="Y",$Q818&lt;&gt;"Y"),"UNESCO-MAB Biosphere Reserve",IF(AND($K818="Point",N($L818)&lt;=0),"Point without REP_AREA",IF(AND(N($L818)&lt;=0,N($N818)&lt;=0,N($R818)+N($S818)&lt;=0),"No area information",""))))))))</f>
        <v/>
      </c>
      <c r="AB818" s="22">
        <f>IF(AND($A818="",$B818=""),"",IF($K818="Point",N($L818),IF(N($N818)&gt;0,N($N818),N($L818))))</f>
        <v/>
      </c>
      <c r="AC818" s="22">
        <f>IF(AND($A818="",$B818=""),"",MIN(AB818,IF(N($J818)=0,0,IF(N($J818)=2,AB818,IF(AND($K818&lt;&gt;"Point",N($O818)&gt;0),N($O818),N($M818))))))</f>
        <v/>
      </c>
      <c r="AD818" s="22">
        <f>IF(AND($A818="",$B818=""),"",MAX(0,AB818-AC818))</f>
        <v/>
      </c>
      <c r="AE818" s="21">
        <f>IF(AND($A818="",$B818=""),"",IF(OR($R818&lt;&gt;"",$S818&lt;&gt;""),1,0))</f>
        <v/>
      </c>
      <c r="AF818" s="22">
        <f>IF(AND($A818="",$B818=""),"",IF(Z818=1,IF(AE818=1,N($R818),AD818),0))</f>
        <v/>
      </c>
      <c r="AG818" s="22">
        <f>IF(AND($A818="",$B818=""),"",IF(Z818=1,IF(AE818=1,N($S818),AC818),0))</f>
        <v/>
      </c>
      <c r="AH818" s="21">
        <f>IF(AND($A818="",$B818=""),"",IF(AND(ISNUMBER($I818),N($I818)&gt;0),$I818,0))</f>
        <v/>
      </c>
      <c r="AI818" s="23">
        <f>IF(AND(NOT(AND($A818="",$B818="")),$K818="Point",N($L818)&gt;0),SQRT(N($L818)/PI()),"")</f>
        <v/>
      </c>
      <c r="AJ818" s="21">
        <f>IF(AND($A818="",$B818=""),"",IFERROR(VLOOKUP($G818,Lists!$D$4:$E$15,2,FALSE),"Not reported"))</f>
        <v/>
      </c>
      <c r="AK818" s="21">
        <f>IF(AND($A818="",$B818=""),"",IF($X818&lt;&gt;"",$X818,IF($T818&lt;&gt;"Y","Not assessed",IF(AND(ISNUMBER($V818),Setup!$B$6-$V818&gt;Setup!$B$26),"Assessment outdated",IF(NOT(ISNUMBER($W818)),"Assessed – no score",IF($W818&gt;=Setup!$B$24,"High",IF($W818&gt;=Setup!$B$25,"Moderate","Low")))))))</f>
        <v/>
      </c>
      <c r="AL818" s="21">
        <f>IF(AND($A818="",$B818=""),"",IF(Z818=0,"",IF(AND(AE818=1,N($R818)&gt;AD818*1.01+0.001),"Net terrestrial &gt; gross; ","")&amp;IF(AND(AE818=1,N($S818)&gt;AC818*1.01+0.001),"Net marine &gt; gross; ","")&amp;IF(AE818=0,"No net area – gross used, overlaps may be double-counted; ","")&amp;IF(AH818=0,"STATUS_YR missing – imputed in time series; ","")&amp;IF(AND(ISNUMBER($I818),N($I818)&gt;Setup!$B$6),"STATUS_YR after reporting year; ","")&amp;IF(OR($G818="",$G818="Not Reported"),"GOV_TYPE not reported; ","")&amp;IF(AND(N($J818)=1,$K818="Point",N($M818)&lt;=0),"Coastal point without REP_M_AREA – land/sea split unknown; ","")&amp;IF(AND(N($J818)=0,N($S818)&gt;0),"MARINE=0 but net marine &gt;0; ","")&amp;IF(AND(N($J818)=2,N($R818)&gt;0),"MARINE=2 but net terrestrial &gt;0; ","")&amp;IF($K818="Point","Buffered point – coverage approximate; ","")))</f>
        <v/>
      </c>
    </row>
    <row r="819">
      <c r="A819" s="19" t="n"/>
      <c r="B819" s="19" t="n"/>
      <c r="C819" s="19" t="n"/>
      <c r="D819" s="19" t="n"/>
      <c r="E819" s="19" t="n"/>
      <c r="F819" s="19" t="n"/>
      <c r="G819" s="19" t="n"/>
      <c r="H819" s="19" t="n"/>
      <c r="I819" s="19" t="n"/>
      <c r="J819" s="19" t="n"/>
      <c r="K819" s="19" t="n"/>
      <c r="L819" s="20" t="n"/>
      <c r="M819" s="20" t="n"/>
      <c r="N819" s="20" t="n"/>
      <c r="O819" s="20" t="n"/>
      <c r="P819" s="19" t="n"/>
      <c r="Q819" s="19" t="n"/>
      <c r="R819" s="20" t="n"/>
      <c r="S819" s="20" t="n"/>
      <c r="T819" s="19" t="n"/>
      <c r="U819" s="19" t="n"/>
      <c r="V819" s="19" t="n"/>
      <c r="W819" s="19" t="n"/>
      <c r="X819" s="19" t="n"/>
      <c r="Y819" s="19" t="n"/>
      <c r="Z819" s="21">
        <f>IF(AND($A819="",$B819=""),"",IF(OR($E819="",$H819="",$H819="Proposed",$H819="Not Reported"),0,IF(AND($P819="Y",$Q819&lt;&gt;"Y"),0,IF(AND($K819="Point",N($L819)&lt;=0),0,IF(AND(N($L819)&lt;=0,N($N819)&lt;=0,N($R819)+N($S819)&lt;=0),0,1)))))</f>
        <v/>
      </c>
      <c r="AA819" s="21">
        <f>IF(AND($A819="",$B819=""),"",IF($E819="","Site type missing",IF($H819="","STATUS missing",IF($H819="Proposed","STATUS = Proposed",IF($H819="Not Reported","STATUS = Not Reported",IF(AND($P819="Y",$Q819&lt;&gt;"Y"),"UNESCO-MAB Biosphere Reserve",IF(AND($K819="Point",N($L819)&lt;=0),"Point without REP_AREA",IF(AND(N($L819)&lt;=0,N($N819)&lt;=0,N($R819)+N($S819)&lt;=0),"No area information",""))))))))</f>
        <v/>
      </c>
      <c r="AB819" s="22">
        <f>IF(AND($A819="",$B819=""),"",IF($K819="Point",N($L819),IF(N($N819)&gt;0,N($N819),N($L819))))</f>
        <v/>
      </c>
      <c r="AC819" s="22">
        <f>IF(AND($A819="",$B819=""),"",MIN(AB819,IF(N($J819)=0,0,IF(N($J819)=2,AB819,IF(AND($K819&lt;&gt;"Point",N($O819)&gt;0),N($O819),N($M819))))))</f>
        <v/>
      </c>
      <c r="AD819" s="22">
        <f>IF(AND($A819="",$B819=""),"",MAX(0,AB819-AC819))</f>
        <v/>
      </c>
      <c r="AE819" s="21">
        <f>IF(AND($A819="",$B819=""),"",IF(OR($R819&lt;&gt;"",$S819&lt;&gt;""),1,0))</f>
        <v/>
      </c>
      <c r="AF819" s="22">
        <f>IF(AND($A819="",$B819=""),"",IF(Z819=1,IF(AE819=1,N($R819),AD819),0))</f>
        <v/>
      </c>
      <c r="AG819" s="22">
        <f>IF(AND($A819="",$B819=""),"",IF(Z819=1,IF(AE819=1,N($S819),AC819),0))</f>
        <v/>
      </c>
      <c r="AH819" s="21">
        <f>IF(AND($A819="",$B819=""),"",IF(AND(ISNUMBER($I819),N($I819)&gt;0),$I819,0))</f>
        <v/>
      </c>
      <c r="AI819" s="23">
        <f>IF(AND(NOT(AND($A819="",$B819="")),$K819="Point",N($L819)&gt;0),SQRT(N($L819)/PI()),"")</f>
        <v/>
      </c>
      <c r="AJ819" s="21">
        <f>IF(AND($A819="",$B819=""),"",IFERROR(VLOOKUP($G819,Lists!$D$4:$E$15,2,FALSE),"Not reported"))</f>
        <v/>
      </c>
      <c r="AK819" s="21">
        <f>IF(AND($A819="",$B819=""),"",IF($X819&lt;&gt;"",$X819,IF($T819&lt;&gt;"Y","Not assessed",IF(AND(ISNUMBER($V819),Setup!$B$6-$V819&gt;Setup!$B$26),"Assessment outdated",IF(NOT(ISNUMBER($W819)),"Assessed – no score",IF($W819&gt;=Setup!$B$24,"High",IF($W819&gt;=Setup!$B$25,"Moderate","Low")))))))</f>
        <v/>
      </c>
      <c r="AL819" s="21">
        <f>IF(AND($A819="",$B819=""),"",IF(Z819=0,"",IF(AND(AE819=1,N($R819)&gt;AD819*1.01+0.001),"Net terrestrial &gt; gross; ","")&amp;IF(AND(AE819=1,N($S819)&gt;AC819*1.01+0.001),"Net marine &gt; gross; ","")&amp;IF(AE819=0,"No net area – gross used, overlaps may be double-counted; ","")&amp;IF(AH819=0,"STATUS_YR missing – imputed in time series; ","")&amp;IF(AND(ISNUMBER($I819),N($I819)&gt;Setup!$B$6),"STATUS_YR after reporting year; ","")&amp;IF(OR($G819="",$G819="Not Reported"),"GOV_TYPE not reported; ","")&amp;IF(AND(N($J819)=1,$K819="Point",N($M819)&lt;=0),"Coastal point without REP_M_AREA – land/sea split unknown; ","")&amp;IF(AND(N($J819)=0,N($S819)&gt;0),"MARINE=0 but net marine &gt;0; ","")&amp;IF(AND(N($J819)=2,N($R819)&gt;0),"MARINE=2 but net terrestrial &gt;0; ","")&amp;IF($K819="Point","Buffered point – coverage approximate; ","")))</f>
        <v/>
      </c>
    </row>
    <row r="820">
      <c r="A820" s="19" t="n"/>
      <c r="B820" s="19" t="n"/>
      <c r="C820" s="19" t="n"/>
      <c r="D820" s="19" t="n"/>
      <c r="E820" s="19" t="n"/>
      <c r="F820" s="19" t="n"/>
      <c r="G820" s="19" t="n"/>
      <c r="H820" s="19" t="n"/>
      <c r="I820" s="19" t="n"/>
      <c r="J820" s="19" t="n"/>
      <c r="K820" s="19" t="n"/>
      <c r="L820" s="20" t="n"/>
      <c r="M820" s="20" t="n"/>
      <c r="N820" s="20" t="n"/>
      <c r="O820" s="20" t="n"/>
      <c r="P820" s="19" t="n"/>
      <c r="Q820" s="19" t="n"/>
      <c r="R820" s="20" t="n"/>
      <c r="S820" s="20" t="n"/>
      <c r="T820" s="19" t="n"/>
      <c r="U820" s="19" t="n"/>
      <c r="V820" s="19" t="n"/>
      <c r="W820" s="19" t="n"/>
      <c r="X820" s="19" t="n"/>
      <c r="Y820" s="19" t="n"/>
      <c r="Z820" s="21">
        <f>IF(AND($A820="",$B820=""),"",IF(OR($E820="",$H820="",$H820="Proposed",$H820="Not Reported"),0,IF(AND($P820="Y",$Q820&lt;&gt;"Y"),0,IF(AND($K820="Point",N($L820)&lt;=0),0,IF(AND(N($L820)&lt;=0,N($N820)&lt;=0,N($R820)+N($S820)&lt;=0),0,1)))))</f>
        <v/>
      </c>
      <c r="AA820" s="21">
        <f>IF(AND($A820="",$B820=""),"",IF($E820="","Site type missing",IF($H820="","STATUS missing",IF($H820="Proposed","STATUS = Proposed",IF($H820="Not Reported","STATUS = Not Reported",IF(AND($P820="Y",$Q820&lt;&gt;"Y"),"UNESCO-MAB Biosphere Reserve",IF(AND($K820="Point",N($L820)&lt;=0),"Point without REP_AREA",IF(AND(N($L820)&lt;=0,N($N820)&lt;=0,N($R820)+N($S820)&lt;=0),"No area information",""))))))))</f>
        <v/>
      </c>
      <c r="AB820" s="22">
        <f>IF(AND($A820="",$B820=""),"",IF($K820="Point",N($L820),IF(N($N820)&gt;0,N($N820),N($L820))))</f>
        <v/>
      </c>
      <c r="AC820" s="22">
        <f>IF(AND($A820="",$B820=""),"",MIN(AB820,IF(N($J820)=0,0,IF(N($J820)=2,AB820,IF(AND($K820&lt;&gt;"Point",N($O820)&gt;0),N($O820),N($M820))))))</f>
        <v/>
      </c>
      <c r="AD820" s="22">
        <f>IF(AND($A820="",$B820=""),"",MAX(0,AB820-AC820))</f>
        <v/>
      </c>
      <c r="AE820" s="21">
        <f>IF(AND($A820="",$B820=""),"",IF(OR($R820&lt;&gt;"",$S820&lt;&gt;""),1,0))</f>
        <v/>
      </c>
      <c r="AF820" s="22">
        <f>IF(AND($A820="",$B820=""),"",IF(Z820=1,IF(AE820=1,N($R820),AD820),0))</f>
        <v/>
      </c>
      <c r="AG820" s="22">
        <f>IF(AND($A820="",$B820=""),"",IF(Z820=1,IF(AE820=1,N($S820),AC820),0))</f>
        <v/>
      </c>
      <c r="AH820" s="21">
        <f>IF(AND($A820="",$B820=""),"",IF(AND(ISNUMBER($I820),N($I820)&gt;0),$I820,0))</f>
        <v/>
      </c>
      <c r="AI820" s="23">
        <f>IF(AND(NOT(AND($A820="",$B820="")),$K820="Point",N($L820)&gt;0),SQRT(N($L820)/PI()),"")</f>
        <v/>
      </c>
      <c r="AJ820" s="21">
        <f>IF(AND($A820="",$B820=""),"",IFERROR(VLOOKUP($G820,Lists!$D$4:$E$15,2,FALSE),"Not reported"))</f>
        <v/>
      </c>
      <c r="AK820" s="21">
        <f>IF(AND($A820="",$B820=""),"",IF($X820&lt;&gt;"",$X820,IF($T820&lt;&gt;"Y","Not assessed",IF(AND(ISNUMBER($V820),Setup!$B$6-$V820&gt;Setup!$B$26),"Assessment outdated",IF(NOT(ISNUMBER($W820)),"Assessed – no score",IF($W820&gt;=Setup!$B$24,"High",IF($W820&gt;=Setup!$B$25,"Moderate","Low")))))))</f>
        <v/>
      </c>
      <c r="AL820" s="21">
        <f>IF(AND($A820="",$B820=""),"",IF(Z820=0,"",IF(AND(AE820=1,N($R820)&gt;AD820*1.01+0.001),"Net terrestrial &gt; gross; ","")&amp;IF(AND(AE820=1,N($S820)&gt;AC820*1.01+0.001),"Net marine &gt; gross; ","")&amp;IF(AE820=0,"No net area – gross used, overlaps may be double-counted; ","")&amp;IF(AH820=0,"STATUS_YR missing – imputed in time series; ","")&amp;IF(AND(ISNUMBER($I820),N($I820)&gt;Setup!$B$6),"STATUS_YR after reporting year; ","")&amp;IF(OR($G820="",$G820="Not Reported"),"GOV_TYPE not reported; ","")&amp;IF(AND(N($J820)=1,$K820="Point",N($M820)&lt;=0),"Coastal point without REP_M_AREA – land/sea split unknown; ","")&amp;IF(AND(N($J820)=0,N($S820)&gt;0),"MARINE=0 but net marine &gt;0; ","")&amp;IF(AND(N($J820)=2,N($R820)&gt;0),"MARINE=2 but net terrestrial &gt;0; ","")&amp;IF($K820="Point","Buffered point – coverage approximate; ","")))</f>
        <v/>
      </c>
    </row>
    <row r="821">
      <c r="A821" s="19" t="n"/>
      <c r="B821" s="19" t="n"/>
      <c r="C821" s="19" t="n"/>
      <c r="D821" s="19" t="n"/>
      <c r="E821" s="19" t="n"/>
      <c r="F821" s="19" t="n"/>
      <c r="G821" s="19" t="n"/>
      <c r="H821" s="19" t="n"/>
      <c r="I821" s="19" t="n"/>
      <c r="J821" s="19" t="n"/>
      <c r="K821" s="19" t="n"/>
      <c r="L821" s="20" t="n"/>
      <c r="M821" s="20" t="n"/>
      <c r="N821" s="20" t="n"/>
      <c r="O821" s="20" t="n"/>
      <c r="P821" s="19" t="n"/>
      <c r="Q821" s="19" t="n"/>
      <c r="R821" s="20" t="n"/>
      <c r="S821" s="20" t="n"/>
      <c r="T821" s="19" t="n"/>
      <c r="U821" s="19" t="n"/>
      <c r="V821" s="19" t="n"/>
      <c r="W821" s="19" t="n"/>
      <c r="X821" s="19" t="n"/>
      <c r="Y821" s="19" t="n"/>
      <c r="Z821" s="21">
        <f>IF(AND($A821="",$B821=""),"",IF(OR($E821="",$H821="",$H821="Proposed",$H821="Not Reported"),0,IF(AND($P821="Y",$Q821&lt;&gt;"Y"),0,IF(AND($K821="Point",N($L821)&lt;=0),0,IF(AND(N($L821)&lt;=0,N($N821)&lt;=0,N($R821)+N($S821)&lt;=0),0,1)))))</f>
        <v/>
      </c>
      <c r="AA821" s="21">
        <f>IF(AND($A821="",$B821=""),"",IF($E821="","Site type missing",IF($H821="","STATUS missing",IF($H821="Proposed","STATUS = Proposed",IF($H821="Not Reported","STATUS = Not Reported",IF(AND($P821="Y",$Q821&lt;&gt;"Y"),"UNESCO-MAB Biosphere Reserve",IF(AND($K821="Point",N($L821)&lt;=0),"Point without REP_AREA",IF(AND(N($L821)&lt;=0,N($N821)&lt;=0,N($R821)+N($S821)&lt;=0),"No area information",""))))))))</f>
        <v/>
      </c>
      <c r="AB821" s="22">
        <f>IF(AND($A821="",$B821=""),"",IF($K821="Point",N($L821),IF(N($N821)&gt;0,N($N821),N($L821))))</f>
        <v/>
      </c>
      <c r="AC821" s="22">
        <f>IF(AND($A821="",$B821=""),"",MIN(AB821,IF(N($J821)=0,0,IF(N($J821)=2,AB821,IF(AND($K821&lt;&gt;"Point",N($O821)&gt;0),N($O821),N($M821))))))</f>
        <v/>
      </c>
      <c r="AD821" s="22">
        <f>IF(AND($A821="",$B821=""),"",MAX(0,AB821-AC821))</f>
        <v/>
      </c>
      <c r="AE821" s="21">
        <f>IF(AND($A821="",$B821=""),"",IF(OR($R821&lt;&gt;"",$S821&lt;&gt;""),1,0))</f>
        <v/>
      </c>
      <c r="AF821" s="22">
        <f>IF(AND($A821="",$B821=""),"",IF(Z821=1,IF(AE821=1,N($R821),AD821),0))</f>
        <v/>
      </c>
      <c r="AG821" s="22">
        <f>IF(AND($A821="",$B821=""),"",IF(Z821=1,IF(AE821=1,N($S821),AC821),0))</f>
        <v/>
      </c>
      <c r="AH821" s="21">
        <f>IF(AND($A821="",$B821=""),"",IF(AND(ISNUMBER($I821),N($I821)&gt;0),$I821,0))</f>
        <v/>
      </c>
      <c r="AI821" s="23">
        <f>IF(AND(NOT(AND($A821="",$B821="")),$K821="Point",N($L821)&gt;0),SQRT(N($L821)/PI()),"")</f>
        <v/>
      </c>
      <c r="AJ821" s="21">
        <f>IF(AND($A821="",$B821=""),"",IFERROR(VLOOKUP($G821,Lists!$D$4:$E$15,2,FALSE),"Not reported"))</f>
        <v/>
      </c>
      <c r="AK821" s="21">
        <f>IF(AND($A821="",$B821=""),"",IF($X821&lt;&gt;"",$X821,IF($T821&lt;&gt;"Y","Not assessed",IF(AND(ISNUMBER($V821),Setup!$B$6-$V821&gt;Setup!$B$26),"Assessment outdated",IF(NOT(ISNUMBER($W821)),"Assessed – no score",IF($W821&gt;=Setup!$B$24,"High",IF($W821&gt;=Setup!$B$25,"Moderate","Low")))))))</f>
        <v/>
      </c>
      <c r="AL821" s="21">
        <f>IF(AND($A821="",$B821=""),"",IF(Z821=0,"",IF(AND(AE821=1,N($R821)&gt;AD821*1.01+0.001),"Net terrestrial &gt; gross; ","")&amp;IF(AND(AE821=1,N($S821)&gt;AC821*1.01+0.001),"Net marine &gt; gross; ","")&amp;IF(AE821=0,"No net area – gross used, overlaps may be double-counted; ","")&amp;IF(AH821=0,"STATUS_YR missing – imputed in time series; ","")&amp;IF(AND(ISNUMBER($I821),N($I821)&gt;Setup!$B$6),"STATUS_YR after reporting year; ","")&amp;IF(OR($G821="",$G821="Not Reported"),"GOV_TYPE not reported; ","")&amp;IF(AND(N($J821)=1,$K821="Point",N($M821)&lt;=0),"Coastal point without REP_M_AREA – land/sea split unknown; ","")&amp;IF(AND(N($J821)=0,N($S821)&gt;0),"MARINE=0 but net marine &gt;0; ","")&amp;IF(AND(N($J821)=2,N($R821)&gt;0),"MARINE=2 but net terrestrial &gt;0; ","")&amp;IF($K821="Point","Buffered point – coverage approximate; ","")))</f>
        <v/>
      </c>
    </row>
    <row r="822">
      <c r="A822" s="19" t="n"/>
      <c r="B822" s="19" t="n"/>
      <c r="C822" s="19" t="n"/>
      <c r="D822" s="19" t="n"/>
      <c r="E822" s="19" t="n"/>
      <c r="F822" s="19" t="n"/>
      <c r="G822" s="19" t="n"/>
      <c r="H822" s="19" t="n"/>
      <c r="I822" s="19" t="n"/>
      <c r="J822" s="19" t="n"/>
      <c r="K822" s="19" t="n"/>
      <c r="L822" s="20" t="n"/>
      <c r="M822" s="20" t="n"/>
      <c r="N822" s="20" t="n"/>
      <c r="O822" s="20" t="n"/>
      <c r="P822" s="19" t="n"/>
      <c r="Q822" s="19" t="n"/>
      <c r="R822" s="20" t="n"/>
      <c r="S822" s="20" t="n"/>
      <c r="T822" s="19" t="n"/>
      <c r="U822" s="19" t="n"/>
      <c r="V822" s="19" t="n"/>
      <c r="W822" s="19" t="n"/>
      <c r="X822" s="19" t="n"/>
      <c r="Y822" s="19" t="n"/>
      <c r="Z822" s="21">
        <f>IF(AND($A822="",$B822=""),"",IF(OR($E822="",$H822="",$H822="Proposed",$H822="Not Reported"),0,IF(AND($P822="Y",$Q822&lt;&gt;"Y"),0,IF(AND($K822="Point",N($L822)&lt;=0),0,IF(AND(N($L822)&lt;=0,N($N822)&lt;=0,N($R822)+N($S822)&lt;=0),0,1)))))</f>
        <v/>
      </c>
      <c r="AA822" s="21">
        <f>IF(AND($A822="",$B822=""),"",IF($E822="","Site type missing",IF($H822="","STATUS missing",IF($H822="Proposed","STATUS = Proposed",IF($H822="Not Reported","STATUS = Not Reported",IF(AND($P822="Y",$Q822&lt;&gt;"Y"),"UNESCO-MAB Biosphere Reserve",IF(AND($K822="Point",N($L822)&lt;=0),"Point without REP_AREA",IF(AND(N($L822)&lt;=0,N($N822)&lt;=0,N($R822)+N($S822)&lt;=0),"No area information",""))))))))</f>
        <v/>
      </c>
      <c r="AB822" s="22">
        <f>IF(AND($A822="",$B822=""),"",IF($K822="Point",N($L822),IF(N($N822)&gt;0,N($N822),N($L822))))</f>
        <v/>
      </c>
      <c r="AC822" s="22">
        <f>IF(AND($A822="",$B822=""),"",MIN(AB822,IF(N($J822)=0,0,IF(N($J822)=2,AB822,IF(AND($K822&lt;&gt;"Point",N($O822)&gt;0),N($O822),N($M822))))))</f>
        <v/>
      </c>
      <c r="AD822" s="22">
        <f>IF(AND($A822="",$B822=""),"",MAX(0,AB822-AC822))</f>
        <v/>
      </c>
      <c r="AE822" s="21">
        <f>IF(AND($A822="",$B822=""),"",IF(OR($R822&lt;&gt;"",$S822&lt;&gt;""),1,0))</f>
        <v/>
      </c>
      <c r="AF822" s="22">
        <f>IF(AND($A822="",$B822=""),"",IF(Z822=1,IF(AE822=1,N($R822),AD822),0))</f>
        <v/>
      </c>
      <c r="AG822" s="22">
        <f>IF(AND($A822="",$B822=""),"",IF(Z822=1,IF(AE822=1,N($S822),AC822),0))</f>
        <v/>
      </c>
      <c r="AH822" s="21">
        <f>IF(AND($A822="",$B822=""),"",IF(AND(ISNUMBER($I822),N($I822)&gt;0),$I822,0))</f>
        <v/>
      </c>
      <c r="AI822" s="23">
        <f>IF(AND(NOT(AND($A822="",$B822="")),$K822="Point",N($L822)&gt;0),SQRT(N($L822)/PI()),"")</f>
        <v/>
      </c>
      <c r="AJ822" s="21">
        <f>IF(AND($A822="",$B822=""),"",IFERROR(VLOOKUP($G822,Lists!$D$4:$E$15,2,FALSE),"Not reported"))</f>
        <v/>
      </c>
      <c r="AK822" s="21">
        <f>IF(AND($A822="",$B822=""),"",IF($X822&lt;&gt;"",$X822,IF($T822&lt;&gt;"Y","Not assessed",IF(AND(ISNUMBER($V822),Setup!$B$6-$V822&gt;Setup!$B$26),"Assessment outdated",IF(NOT(ISNUMBER($W822)),"Assessed – no score",IF($W822&gt;=Setup!$B$24,"High",IF($W822&gt;=Setup!$B$25,"Moderate","Low")))))))</f>
        <v/>
      </c>
      <c r="AL822" s="21">
        <f>IF(AND($A822="",$B822=""),"",IF(Z822=0,"",IF(AND(AE822=1,N($R822)&gt;AD822*1.01+0.001),"Net terrestrial &gt; gross; ","")&amp;IF(AND(AE822=1,N($S822)&gt;AC822*1.01+0.001),"Net marine &gt; gross; ","")&amp;IF(AE822=0,"No net area – gross used, overlaps may be double-counted; ","")&amp;IF(AH822=0,"STATUS_YR missing – imputed in time series; ","")&amp;IF(AND(ISNUMBER($I822),N($I822)&gt;Setup!$B$6),"STATUS_YR after reporting year; ","")&amp;IF(OR($G822="",$G822="Not Reported"),"GOV_TYPE not reported; ","")&amp;IF(AND(N($J822)=1,$K822="Point",N($M822)&lt;=0),"Coastal point without REP_M_AREA – land/sea split unknown; ","")&amp;IF(AND(N($J822)=0,N($S822)&gt;0),"MARINE=0 but net marine &gt;0; ","")&amp;IF(AND(N($J822)=2,N($R822)&gt;0),"MARINE=2 but net terrestrial &gt;0; ","")&amp;IF($K822="Point","Buffered point – coverage approximate; ","")))</f>
        <v/>
      </c>
    </row>
    <row r="823">
      <c r="A823" s="19" t="n"/>
      <c r="B823" s="19" t="n"/>
      <c r="C823" s="19" t="n"/>
      <c r="D823" s="19" t="n"/>
      <c r="E823" s="19" t="n"/>
      <c r="F823" s="19" t="n"/>
      <c r="G823" s="19" t="n"/>
      <c r="H823" s="19" t="n"/>
      <c r="I823" s="19" t="n"/>
      <c r="J823" s="19" t="n"/>
      <c r="K823" s="19" t="n"/>
      <c r="L823" s="20" t="n"/>
      <c r="M823" s="20" t="n"/>
      <c r="N823" s="20" t="n"/>
      <c r="O823" s="20" t="n"/>
      <c r="P823" s="19" t="n"/>
      <c r="Q823" s="19" t="n"/>
      <c r="R823" s="20" t="n"/>
      <c r="S823" s="20" t="n"/>
      <c r="T823" s="19" t="n"/>
      <c r="U823" s="19" t="n"/>
      <c r="V823" s="19" t="n"/>
      <c r="W823" s="19" t="n"/>
      <c r="X823" s="19" t="n"/>
      <c r="Y823" s="19" t="n"/>
      <c r="Z823" s="21">
        <f>IF(AND($A823="",$B823=""),"",IF(OR($E823="",$H823="",$H823="Proposed",$H823="Not Reported"),0,IF(AND($P823="Y",$Q823&lt;&gt;"Y"),0,IF(AND($K823="Point",N($L823)&lt;=0),0,IF(AND(N($L823)&lt;=0,N($N823)&lt;=0,N($R823)+N($S823)&lt;=0),0,1)))))</f>
        <v/>
      </c>
      <c r="AA823" s="21">
        <f>IF(AND($A823="",$B823=""),"",IF($E823="","Site type missing",IF($H823="","STATUS missing",IF($H823="Proposed","STATUS = Proposed",IF($H823="Not Reported","STATUS = Not Reported",IF(AND($P823="Y",$Q823&lt;&gt;"Y"),"UNESCO-MAB Biosphere Reserve",IF(AND($K823="Point",N($L823)&lt;=0),"Point without REP_AREA",IF(AND(N($L823)&lt;=0,N($N823)&lt;=0,N($R823)+N($S823)&lt;=0),"No area information",""))))))))</f>
        <v/>
      </c>
      <c r="AB823" s="22">
        <f>IF(AND($A823="",$B823=""),"",IF($K823="Point",N($L823),IF(N($N823)&gt;0,N($N823),N($L823))))</f>
        <v/>
      </c>
      <c r="AC823" s="22">
        <f>IF(AND($A823="",$B823=""),"",MIN(AB823,IF(N($J823)=0,0,IF(N($J823)=2,AB823,IF(AND($K823&lt;&gt;"Point",N($O823)&gt;0),N($O823),N($M823))))))</f>
        <v/>
      </c>
      <c r="AD823" s="22">
        <f>IF(AND($A823="",$B823=""),"",MAX(0,AB823-AC823))</f>
        <v/>
      </c>
      <c r="AE823" s="21">
        <f>IF(AND($A823="",$B823=""),"",IF(OR($R823&lt;&gt;"",$S823&lt;&gt;""),1,0))</f>
        <v/>
      </c>
      <c r="AF823" s="22">
        <f>IF(AND($A823="",$B823=""),"",IF(Z823=1,IF(AE823=1,N($R823),AD823),0))</f>
        <v/>
      </c>
      <c r="AG823" s="22">
        <f>IF(AND($A823="",$B823=""),"",IF(Z823=1,IF(AE823=1,N($S823),AC823),0))</f>
        <v/>
      </c>
      <c r="AH823" s="21">
        <f>IF(AND($A823="",$B823=""),"",IF(AND(ISNUMBER($I823),N($I823)&gt;0),$I823,0))</f>
        <v/>
      </c>
      <c r="AI823" s="23">
        <f>IF(AND(NOT(AND($A823="",$B823="")),$K823="Point",N($L823)&gt;0),SQRT(N($L823)/PI()),"")</f>
        <v/>
      </c>
      <c r="AJ823" s="21">
        <f>IF(AND($A823="",$B823=""),"",IFERROR(VLOOKUP($G823,Lists!$D$4:$E$15,2,FALSE),"Not reported"))</f>
        <v/>
      </c>
      <c r="AK823" s="21">
        <f>IF(AND($A823="",$B823=""),"",IF($X823&lt;&gt;"",$X823,IF($T823&lt;&gt;"Y","Not assessed",IF(AND(ISNUMBER($V823),Setup!$B$6-$V823&gt;Setup!$B$26),"Assessment outdated",IF(NOT(ISNUMBER($W823)),"Assessed – no score",IF($W823&gt;=Setup!$B$24,"High",IF($W823&gt;=Setup!$B$25,"Moderate","Low")))))))</f>
        <v/>
      </c>
      <c r="AL823" s="21">
        <f>IF(AND($A823="",$B823=""),"",IF(Z823=0,"",IF(AND(AE823=1,N($R823)&gt;AD823*1.01+0.001),"Net terrestrial &gt; gross; ","")&amp;IF(AND(AE823=1,N($S823)&gt;AC823*1.01+0.001),"Net marine &gt; gross; ","")&amp;IF(AE823=0,"No net area – gross used, overlaps may be double-counted; ","")&amp;IF(AH823=0,"STATUS_YR missing – imputed in time series; ","")&amp;IF(AND(ISNUMBER($I823),N($I823)&gt;Setup!$B$6),"STATUS_YR after reporting year; ","")&amp;IF(OR($G823="",$G823="Not Reported"),"GOV_TYPE not reported; ","")&amp;IF(AND(N($J823)=1,$K823="Point",N($M823)&lt;=0),"Coastal point without REP_M_AREA – land/sea split unknown; ","")&amp;IF(AND(N($J823)=0,N($S823)&gt;0),"MARINE=0 but net marine &gt;0; ","")&amp;IF(AND(N($J823)=2,N($R823)&gt;0),"MARINE=2 but net terrestrial &gt;0; ","")&amp;IF($K823="Point","Buffered point – coverage approximate; ","")))</f>
        <v/>
      </c>
    </row>
    <row r="824">
      <c r="A824" s="19" t="n"/>
      <c r="B824" s="19" t="n"/>
      <c r="C824" s="19" t="n"/>
      <c r="D824" s="19" t="n"/>
      <c r="E824" s="19" t="n"/>
      <c r="F824" s="19" t="n"/>
      <c r="G824" s="19" t="n"/>
      <c r="H824" s="19" t="n"/>
      <c r="I824" s="19" t="n"/>
      <c r="J824" s="19" t="n"/>
      <c r="K824" s="19" t="n"/>
      <c r="L824" s="20" t="n"/>
      <c r="M824" s="20" t="n"/>
      <c r="N824" s="20" t="n"/>
      <c r="O824" s="20" t="n"/>
      <c r="P824" s="19" t="n"/>
      <c r="Q824" s="19" t="n"/>
      <c r="R824" s="20" t="n"/>
      <c r="S824" s="20" t="n"/>
      <c r="T824" s="19" t="n"/>
      <c r="U824" s="19" t="n"/>
      <c r="V824" s="19" t="n"/>
      <c r="W824" s="19" t="n"/>
      <c r="X824" s="19" t="n"/>
      <c r="Y824" s="19" t="n"/>
      <c r="Z824" s="21">
        <f>IF(AND($A824="",$B824=""),"",IF(OR($E824="",$H824="",$H824="Proposed",$H824="Not Reported"),0,IF(AND($P824="Y",$Q824&lt;&gt;"Y"),0,IF(AND($K824="Point",N($L824)&lt;=0),0,IF(AND(N($L824)&lt;=0,N($N824)&lt;=0,N($R824)+N($S824)&lt;=0),0,1)))))</f>
        <v/>
      </c>
      <c r="AA824" s="21">
        <f>IF(AND($A824="",$B824=""),"",IF($E824="","Site type missing",IF($H824="","STATUS missing",IF($H824="Proposed","STATUS = Proposed",IF($H824="Not Reported","STATUS = Not Reported",IF(AND($P824="Y",$Q824&lt;&gt;"Y"),"UNESCO-MAB Biosphere Reserve",IF(AND($K824="Point",N($L824)&lt;=0),"Point without REP_AREA",IF(AND(N($L824)&lt;=0,N($N824)&lt;=0,N($R824)+N($S824)&lt;=0),"No area information",""))))))))</f>
        <v/>
      </c>
      <c r="AB824" s="22">
        <f>IF(AND($A824="",$B824=""),"",IF($K824="Point",N($L824),IF(N($N824)&gt;0,N($N824),N($L824))))</f>
        <v/>
      </c>
      <c r="AC824" s="22">
        <f>IF(AND($A824="",$B824=""),"",MIN(AB824,IF(N($J824)=0,0,IF(N($J824)=2,AB824,IF(AND($K824&lt;&gt;"Point",N($O824)&gt;0),N($O824),N($M824))))))</f>
        <v/>
      </c>
      <c r="AD824" s="22">
        <f>IF(AND($A824="",$B824=""),"",MAX(0,AB824-AC824))</f>
        <v/>
      </c>
      <c r="AE824" s="21">
        <f>IF(AND($A824="",$B824=""),"",IF(OR($R824&lt;&gt;"",$S824&lt;&gt;""),1,0))</f>
        <v/>
      </c>
      <c r="AF824" s="22">
        <f>IF(AND($A824="",$B824=""),"",IF(Z824=1,IF(AE824=1,N($R824),AD824),0))</f>
        <v/>
      </c>
      <c r="AG824" s="22">
        <f>IF(AND($A824="",$B824=""),"",IF(Z824=1,IF(AE824=1,N($S824),AC824),0))</f>
        <v/>
      </c>
      <c r="AH824" s="21">
        <f>IF(AND($A824="",$B824=""),"",IF(AND(ISNUMBER($I824),N($I824)&gt;0),$I824,0))</f>
        <v/>
      </c>
      <c r="AI824" s="23">
        <f>IF(AND(NOT(AND($A824="",$B824="")),$K824="Point",N($L824)&gt;0),SQRT(N($L824)/PI()),"")</f>
        <v/>
      </c>
      <c r="AJ824" s="21">
        <f>IF(AND($A824="",$B824=""),"",IFERROR(VLOOKUP($G824,Lists!$D$4:$E$15,2,FALSE),"Not reported"))</f>
        <v/>
      </c>
      <c r="AK824" s="21">
        <f>IF(AND($A824="",$B824=""),"",IF($X824&lt;&gt;"",$X824,IF($T824&lt;&gt;"Y","Not assessed",IF(AND(ISNUMBER($V824),Setup!$B$6-$V824&gt;Setup!$B$26),"Assessment outdated",IF(NOT(ISNUMBER($W824)),"Assessed – no score",IF($W824&gt;=Setup!$B$24,"High",IF($W824&gt;=Setup!$B$25,"Moderate","Low")))))))</f>
        <v/>
      </c>
      <c r="AL824" s="21">
        <f>IF(AND($A824="",$B824=""),"",IF(Z824=0,"",IF(AND(AE824=1,N($R824)&gt;AD824*1.01+0.001),"Net terrestrial &gt; gross; ","")&amp;IF(AND(AE824=1,N($S824)&gt;AC824*1.01+0.001),"Net marine &gt; gross; ","")&amp;IF(AE824=0,"No net area – gross used, overlaps may be double-counted; ","")&amp;IF(AH824=0,"STATUS_YR missing – imputed in time series; ","")&amp;IF(AND(ISNUMBER($I824),N($I824)&gt;Setup!$B$6),"STATUS_YR after reporting year; ","")&amp;IF(OR($G824="",$G824="Not Reported"),"GOV_TYPE not reported; ","")&amp;IF(AND(N($J824)=1,$K824="Point",N($M824)&lt;=0),"Coastal point without REP_M_AREA – land/sea split unknown; ","")&amp;IF(AND(N($J824)=0,N($S824)&gt;0),"MARINE=0 but net marine &gt;0; ","")&amp;IF(AND(N($J824)=2,N($R824)&gt;0),"MARINE=2 but net terrestrial &gt;0; ","")&amp;IF($K824="Point","Buffered point – coverage approximate; ","")))</f>
        <v/>
      </c>
    </row>
    <row r="825">
      <c r="A825" s="19" t="n"/>
      <c r="B825" s="19" t="n"/>
      <c r="C825" s="19" t="n"/>
      <c r="D825" s="19" t="n"/>
      <c r="E825" s="19" t="n"/>
      <c r="F825" s="19" t="n"/>
      <c r="G825" s="19" t="n"/>
      <c r="H825" s="19" t="n"/>
      <c r="I825" s="19" t="n"/>
      <c r="J825" s="19" t="n"/>
      <c r="K825" s="19" t="n"/>
      <c r="L825" s="20" t="n"/>
      <c r="M825" s="20" t="n"/>
      <c r="N825" s="20" t="n"/>
      <c r="O825" s="20" t="n"/>
      <c r="P825" s="19" t="n"/>
      <c r="Q825" s="19" t="n"/>
      <c r="R825" s="20" t="n"/>
      <c r="S825" s="20" t="n"/>
      <c r="T825" s="19" t="n"/>
      <c r="U825" s="19" t="n"/>
      <c r="V825" s="19" t="n"/>
      <c r="W825" s="19" t="n"/>
      <c r="X825" s="19" t="n"/>
      <c r="Y825" s="19" t="n"/>
      <c r="Z825" s="21">
        <f>IF(AND($A825="",$B825=""),"",IF(OR($E825="",$H825="",$H825="Proposed",$H825="Not Reported"),0,IF(AND($P825="Y",$Q825&lt;&gt;"Y"),0,IF(AND($K825="Point",N($L825)&lt;=0),0,IF(AND(N($L825)&lt;=0,N($N825)&lt;=0,N($R825)+N($S825)&lt;=0),0,1)))))</f>
        <v/>
      </c>
      <c r="AA825" s="21">
        <f>IF(AND($A825="",$B825=""),"",IF($E825="","Site type missing",IF($H825="","STATUS missing",IF($H825="Proposed","STATUS = Proposed",IF($H825="Not Reported","STATUS = Not Reported",IF(AND($P825="Y",$Q825&lt;&gt;"Y"),"UNESCO-MAB Biosphere Reserve",IF(AND($K825="Point",N($L825)&lt;=0),"Point without REP_AREA",IF(AND(N($L825)&lt;=0,N($N825)&lt;=0,N($R825)+N($S825)&lt;=0),"No area information",""))))))))</f>
        <v/>
      </c>
      <c r="AB825" s="22">
        <f>IF(AND($A825="",$B825=""),"",IF($K825="Point",N($L825),IF(N($N825)&gt;0,N($N825),N($L825))))</f>
        <v/>
      </c>
      <c r="AC825" s="22">
        <f>IF(AND($A825="",$B825=""),"",MIN(AB825,IF(N($J825)=0,0,IF(N($J825)=2,AB825,IF(AND($K825&lt;&gt;"Point",N($O825)&gt;0),N($O825),N($M825))))))</f>
        <v/>
      </c>
      <c r="AD825" s="22">
        <f>IF(AND($A825="",$B825=""),"",MAX(0,AB825-AC825))</f>
        <v/>
      </c>
      <c r="AE825" s="21">
        <f>IF(AND($A825="",$B825=""),"",IF(OR($R825&lt;&gt;"",$S825&lt;&gt;""),1,0))</f>
        <v/>
      </c>
      <c r="AF825" s="22">
        <f>IF(AND($A825="",$B825=""),"",IF(Z825=1,IF(AE825=1,N($R825),AD825),0))</f>
        <v/>
      </c>
      <c r="AG825" s="22">
        <f>IF(AND($A825="",$B825=""),"",IF(Z825=1,IF(AE825=1,N($S825),AC825),0))</f>
        <v/>
      </c>
      <c r="AH825" s="21">
        <f>IF(AND($A825="",$B825=""),"",IF(AND(ISNUMBER($I825),N($I825)&gt;0),$I825,0))</f>
        <v/>
      </c>
      <c r="AI825" s="23">
        <f>IF(AND(NOT(AND($A825="",$B825="")),$K825="Point",N($L825)&gt;0),SQRT(N($L825)/PI()),"")</f>
        <v/>
      </c>
      <c r="AJ825" s="21">
        <f>IF(AND($A825="",$B825=""),"",IFERROR(VLOOKUP($G825,Lists!$D$4:$E$15,2,FALSE),"Not reported"))</f>
        <v/>
      </c>
      <c r="AK825" s="21">
        <f>IF(AND($A825="",$B825=""),"",IF($X825&lt;&gt;"",$X825,IF($T825&lt;&gt;"Y","Not assessed",IF(AND(ISNUMBER($V825),Setup!$B$6-$V825&gt;Setup!$B$26),"Assessment outdated",IF(NOT(ISNUMBER($W825)),"Assessed – no score",IF($W825&gt;=Setup!$B$24,"High",IF($W825&gt;=Setup!$B$25,"Moderate","Low")))))))</f>
        <v/>
      </c>
      <c r="AL825" s="21">
        <f>IF(AND($A825="",$B825=""),"",IF(Z825=0,"",IF(AND(AE825=1,N($R825)&gt;AD825*1.01+0.001),"Net terrestrial &gt; gross; ","")&amp;IF(AND(AE825=1,N($S825)&gt;AC825*1.01+0.001),"Net marine &gt; gross; ","")&amp;IF(AE825=0,"No net area – gross used, overlaps may be double-counted; ","")&amp;IF(AH825=0,"STATUS_YR missing – imputed in time series; ","")&amp;IF(AND(ISNUMBER($I825),N($I825)&gt;Setup!$B$6),"STATUS_YR after reporting year; ","")&amp;IF(OR($G825="",$G825="Not Reported"),"GOV_TYPE not reported; ","")&amp;IF(AND(N($J825)=1,$K825="Point",N($M825)&lt;=0),"Coastal point without REP_M_AREA – land/sea split unknown; ","")&amp;IF(AND(N($J825)=0,N($S825)&gt;0),"MARINE=0 but net marine &gt;0; ","")&amp;IF(AND(N($J825)=2,N($R825)&gt;0),"MARINE=2 but net terrestrial &gt;0; ","")&amp;IF($K825="Point","Buffered point – coverage approximate; ","")))</f>
        <v/>
      </c>
    </row>
    <row r="826">
      <c r="A826" s="19" t="n"/>
      <c r="B826" s="19" t="n"/>
      <c r="C826" s="19" t="n"/>
      <c r="D826" s="19" t="n"/>
      <c r="E826" s="19" t="n"/>
      <c r="F826" s="19" t="n"/>
      <c r="G826" s="19" t="n"/>
      <c r="H826" s="19" t="n"/>
      <c r="I826" s="19" t="n"/>
      <c r="J826" s="19" t="n"/>
      <c r="K826" s="19" t="n"/>
      <c r="L826" s="20" t="n"/>
      <c r="M826" s="20" t="n"/>
      <c r="N826" s="20" t="n"/>
      <c r="O826" s="20" t="n"/>
      <c r="P826" s="19" t="n"/>
      <c r="Q826" s="19" t="n"/>
      <c r="R826" s="20" t="n"/>
      <c r="S826" s="20" t="n"/>
      <c r="T826" s="19" t="n"/>
      <c r="U826" s="19" t="n"/>
      <c r="V826" s="19" t="n"/>
      <c r="W826" s="19" t="n"/>
      <c r="X826" s="19" t="n"/>
      <c r="Y826" s="19" t="n"/>
      <c r="Z826" s="21">
        <f>IF(AND($A826="",$B826=""),"",IF(OR($E826="",$H826="",$H826="Proposed",$H826="Not Reported"),0,IF(AND($P826="Y",$Q826&lt;&gt;"Y"),0,IF(AND($K826="Point",N($L826)&lt;=0),0,IF(AND(N($L826)&lt;=0,N($N826)&lt;=0,N($R826)+N($S826)&lt;=0),0,1)))))</f>
        <v/>
      </c>
      <c r="AA826" s="21">
        <f>IF(AND($A826="",$B826=""),"",IF($E826="","Site type missing",IF($H826="","STATUS missing",IF($H826="Proposed","STATUS = Proposed",IF($H826="Not Reported","STATUS = Not Reported",IF(AND($P826="Y",$Q826&lt;&gt;"Y"),"UNESCO-MAB Biosphere Reserve",IF(AND($K826="Point",N($L826)&lt;=0),"Point without REP_AREA",IF(AND(N($L826)&lt;=0,N($N826)&lt;=0,N($R826)+N($S826)&lt;=0),"No area information",""))))))))</f>
        <v/>
      </c>
      <c r="AB826" s="22">
        <f>IF(AND($A826="",$B826=""),"",IF($K826="Point",N($L826),IF(N($N826)&gt;0,N($N826),N($L826))))</f>
        <v/>
      </c>
      <c r="AC826" s="22">
        <f>IF(AND($A826="",$B826=""),"",MIN(AB826,IF(N($J826)=0,0,IF(N($J826)=2,AB826,IF(AND($K826&lt;&gt;"Point",N($O826)&gt;0),N($O826),N($M826))))))</f>
        <v/>
      </c>
      <c r="AD826" s="22">
        <f>IF(AND($A826="",$B826=""),"",MAX(0,AB826-AC826))</f>
        <v/>
      </c>
      <c r="AE826" s="21">
        <f>IF(AND($A826="",$B826=""),"",IF(OR($R826&lt;&gt;"",$S826&lt;&gt;""),1,0))</f>
        <v/>
      </c>
      <c r="AF826" s="22">
        <f>IF(AND($A826="",$B826=""),"",IF(Z826=1,IF(AE826=1,N($R826),AD826),0))</f>
        <v/>
      </c>
      <c r="AG826" s="22">
        <f>IF(AND($A826="",$B826=""),"",IF(Z826=1,IF(AE826=1,N($S826),AC826),0))</f>
        <v/>
      </c>
      <c r="AH826" s="21">
        <f>IF(AND($A826="",$B826=""),"",IF(AND(ISNUMBER($I826),N($I826)&gt;0),$I826,0))</f>
        <v/>
      </c>
      <c r="AI826" s="23">
        <f>IF(AND(NOT(AND($A826="",$B826="")),$K826="Point",N($L826)&gt;0),SQRT(N($L826)/PI()),"")</f>
        <v/>
      </c>
      <c r="AJ826" s="21">
        <f>IF(AND($A826="",$B826=""),"",IFERROR(VLOOKUP($G826,Lists!$D$4:$E$15,2,FALSE),"Not reported"))</f>
        <v/>
      </c>
      <c r="AK826" s="21">
        <f>IF(AND($A826="",$B826=""),"",IF($X826&lt;&gt;"",$X826,IF($T826&lt;&gt;"Y","Not assessed",IF(AND(ISNUMBER($V826),Setup!$B$6-$V826&gt;Setup!$B$26),"Assessment outdated",IF(NOT(ISNUMBER($W826)),"Assessed – no score",IF($W826&gt;=Setup!$B$24,"High",IF($W826&gt;=Setup!$B$25,"Moderate","Low")))))))</f>
        <v/>
      </c>
      <c r="AL826" s="21">
        <f>IF(AND($A826="",$B826=""),"",IF(Z826=0,"",IF(AND(AE826=1,N($R826)&gt;AD826*1.01+0.001),"Net terrestrial &gt; gross; ","")&amp;IF(AND(AE826=1,N($S826)&gt;AC826*1.01+0.001),"Net marine &gt; gross; ","")&amp;IF(AE826=0,"No net area – gross used, overlaps may be double-counted; ","")&amp;IF(AH826=0,"STATUS_YR missing – imputed in time series; ","")&amp;IF(AND(ISNUMBER($I826),N($I826)&gt;Setup!$B$6),"STATUS_YR after reporting year; ","")&amp;IF(OR($G826="",$G826="Not Reported"),"GOV_TYPE not reported; ","")&amp;IF(AND(N($J826)=1,$K826="Point",N($M826)&lt;=0),"Coastal point without REP_M_AREA – land/sea split unknown; ","")&amp;IF(AND(N($J826)=0,N($S826)&gt;0),"MARINE=0 but net marine &gt;0; ","")&amp;IF(AND(N($J826)=2,N($R826)&gt;0),"MARINE=2 but net terrestrial &gt;0; ","")&amp;IF($K826="Point","Buffered point – coverage approximate; ","")))</f>
        <v/>
      </c>
    </row>
    <row r="827">
      <c r="A827" s="19" t="n"/>
      <c r="B827" s="19" t="n"/>
      <c r="C827" s="19" t="n"/>
      <c r="D827" s="19" t="n"/>
      <c r="E827" s="19" t="n"/>
      <c r="F827" s="19" t="n"/>
      <c r="G827" s="19" t="n"/>
      <c r="H827" s="19" t="n"/>
      <c r="I827" s="19" t="n"/>
      <c r="J827" s="19" t="n"/>
      <c r="K827" s="19" t="n"/>
      <c r="L827" s="20" t="n"/>
      <c r="M827" s="20" t="n"/>
      <c r="N827" s="20" t="n"/>
      <c r="O827" s="20" t="n"/>
      <c r="P827" s="19" t="n"/>
      <c r="Q827" s="19" t="n"/>
      <c r="R827" s="20" t="n"/>
      <c r="S827" s="20" t="n"/>
      <c r="T827" s="19" t="n"/>
      <c r="U827" s="19" t="n"/>
      <c r="V827" s="19" t="n"/>
      <c r="W827" s="19" t="n"/>
      <c r="X827" s="19" t="n"/>
      <c r="Y827" s="19" t="n"/>
      <c r="Z827" s="21">
        <f>IF(AND($A827="",$B827=""),"",IF(OR($E827="",$H827="",$H827="Proposed",$H827="Not Reported"),0,IF(AND($P827="Y",$Q827&lt;&gt;"Y"),0,IF(AND($K827="Point",N($L827)&lt;=0),0,IF(AND(N($L827)&lt;=0,N($N827)&lt;=0,N($R827)+N($S827)&lt;=0),0,1)))))</f>
        <v/>
      </c>
      <c r="AA827" s="21">
        <f>IF(AND($A827="",$B827=""),"",IF($E827="","Site type missing",IF($H827="","STATUS missing",IF($H827="Proposed","STATUS = Proposed",IF($H827="Not Reported","STATUS = Not Reported",IF(AND($P827="Y",$Q827&lt;&gt;"Y"),"UNESCO-MAB Biosphere Reserve",IF(AND($K827="Point",N($L827)&lt;=0),"Point without REP_AREA",IF(AND(N($L827)&lt;=0,N($N827)&lt;=0,N($R827)+N($S827)&lt;=0),"No area information",""))))))))</f>
        <v/>
      </c>
      <c r="AB827" s="22">
        <f>IF(AND($A827="",$B827=""),"",IF($K827="Point",N($L827),IF(N($N827)&gt;0,N($N827),N($L827))))</f>
        <v/>
      </c>
      <c r="AC827" s="22">
        <f>IF(AND($A827="",$B827=""),"",MIN(AB827,IF(N($J827)=0,0,IF(N($J827)=2,AB827,IF(AND($K827&lt;&gt;"Point",N($O827)&gt;0),N($O827),N($M827))))))</f>
        <v/>
      </c>
      <c r="AD827" s="22">
        <f>IF(AND($A827="",$B827=""),"",MAX(0,AB827-AC827))</f>
        <v/>
      </c>
      <c r="AE827" s="21">
        <f>IF(AND($A827="",$B827=""),"",IF(OR($R827&lt;&gt;"",$S827&lt;&gt;""),1,0))</f>
        <v/>
      </c>
      <c r="AF827" s="22">
        <f>IF(AND($A827="",$B827=""),"",IF(Z827=1,IF(AE827=1,N($R827),AD827),0))</f>
        <v/>
      </c>
      <c r="AG827" s="22">
        <f>IF(AND($A827="",$B827=""),"",IF(Z827=1,IF(AE827=1,N($S827),AC827),0))</f>
        <v/>
      </c>
      <c r="AH827" s="21">
        <f>IF(AND($A827="",$B827=""),"",IF(AND(ISNUMBER($I827),N($I827)&gt;0),$I827,0))</f>
        <v/>
      </c>
      <c r="AI827" s="23">
        <f>IF(AND(NOT(AND($A827="",$B827="")),$K827="Point",N($L827)&gt;0),SQRT(N($L827)/PI()),"")</f>
        <v/>
      </c>
      <c r="AJ827" s="21">
        <f>IF(AND($A827="",$B827=""),"",IFERROR(VLOOKUP($G827,Lists!$D$4:$E$15,2,FALSE),"Not reported"))</f>
        <v/>
      </c>
      <c r="AK827" s="21">
        <f>IF(AND($A827="",$B827=""),"",IF($X827&lt;&gt;"",$X827,IF($T827&lt;&gt;"Y","Not assessed",IF(AND(ISNUMBER($V827),Setup!$B$6-$V827&gt;Setup!$B$26),"Assessment outdated",IF(NOT(ISNUMBER($W827)),"Assessed – no score",IF($W827&gt;=Setup!$B$24,"High",IF($W827&gt;=Setup!$B$25,"Moderate","Low")))))))</f>
        <v/>
      </c>
      <c r="AL827" s="21">
        <f>IF(AND($A827="",$B827=""),"",IF(Z827=0,"",IF(AND(AE827=1,N($R827)&gt;AD827*1.01+0.001),"Net terrestrial &gt; gross; ","")&amp;IF(AND(AE827=1,N($S827)&gt;AC827*1.01+0.001),"Net marine &gt; gross; ","")&amp;IF(AE827=0,"No net area – gross used, overlaps may be double-counted; ","")&amp;IF(AH827=0,"STATUS_YR missing – imputed in time series; ","")&amp;IF(AND(ISNUMBER($I827),N($I827)&gt;Setup!$B$6),"STATUS_YR after reporting year; ","")&amp;IF(OR($G827="",$G827="Not Reported"),"GOV_TYPE not reported; ","")&amp;IF(AND(N($J827)=1,$K827="Point",N($M827)&lt;=0),"Coastal point without REP_M_AREA – land/sea split unknown; ","")&amp;IF(AND(N($J827)=0,N($S827)&gt;0),"MARINE=0 but net marine &gt;0; ","")&amp;IF(AND(N($J827)=2,N($R827)&gt;0),"MARINE=2 but net terrestrial &gt;0; ","")&amp;IF($K827="Point","Buffered point – coverage approximate; ","")))</f>
        <v/>
      </c>
    </row>
    <row r="828">
      <c r="A828" s="19" t="n"/>
      <c r="B828" s="19" t="n"/>
      <c r="C828" s="19" t="n"/>
      <c r="D828" s="19" t="n"/>
      <c r="E828" s="19" t="n"/>
      <c r="F828" s="19" t="n"/>
      <c r="G828" s="19" t="n"/>
      <c r="H828" s="19" t="n"/>
      <c r="I828" s="19" t="n"/>
      <c r="J828" s="19" t="n"/>
      <c r="K828" s="19" t="n"/>
      <c r="L828" s="20" t="n"/>
      <c r="M828" s="20" t="n"/>
      <c r="N828" s="20" t="n"/>
      <c r="O828" s="20" t="n"/>
      <c r="P828" s="19" t="n"/>
      <c r="Q828" s="19" t="n"/>
      <c r="R828" s="20" t="n"/>
      <c r="S828" s="20" t="n"/>
      <c r="T828" s="19" t="n"/>
      <c r="U828" s="19" t="n"/>
      <c r="V828" s="19" t="n"/>
      <c r="W828" s="19" t="n"/>
      <c r="X828" s="19" t="n"/>
      <c r="Y828" s="19" t="n"/>
      <c r="Z828" s="21">
        <f>IF(AND($A828="",$B828=""),"",IF(OR($E828="",$H828="",$H828="Proposed",$H828="Not Reported"),0,IF(AND($P828="Y",$Q828&lt;&gt;"Y"),0,IF(AND($K828="Point",N($L828)&lt;=0),0,IF(AND(N($L828)&lt;=0,N($N828)&lt;=0,N($R828)+N($S828)&lt;=0),0,1)))))</f>
        <v/>
      </c>
      <c r="AA828" s="21">
        <f>IF(AND($A828="",$B828=""),"",IF($E828="","Site type missing",IF($H828="","STATUS missing",IF($H828="Proposed","STATUS = Proposed",IF($H828="Not Reported","STATUS = Not Reported",IF(AND($P828="Y",$Q828&lt;&gt;"Y"),"UNESCO-MAB Biosphere Reserve",IF(AND($K828="Point",N($L828)&lt;=0),"Point without REP_AREA",IF(AND(N($L828)&lt;=0,N($N828)&lt;=0,N($R828)+N($S828)&lt;=0),"No area information",""))))))))</f>
        <v/>
      </c>
      <c r="AB828" s="22">
        <f>IF(AND($A828="",$B828=""),"",IF($K828="Point",N($L828),IF(N($N828)&gt;0,N($N828),N($L828))))</f>
        <v/>
      </c>
      <c r="AC828" s="22">
        <f>IF(AND($A828="",$B828=""),"",MIN(AB828,IF(N($J828)=0,0,IF(N($J828)=2,AB828,IF(AND($K828&lt;&gt;"Point",N($O828)&gt;0),N($O828),N($M828))))))</f>
        <v/>
      </c>
      <c r="AD828" s="22">
        <f>IF(AND($A828="",$B828=""),"",MAX(0,AB828-AC828))</f>
        <v/>
      </c>
      <c r="AE828" s="21">
        <f>IF(AND($A828="",$B828=""),"",IF(OR($R828&lt;&gt;"",$S828&lt;&gt;""),1,0))</f>
        <v/>
      </c>
      <c r="AF828" s="22">
        <f>IF(AND($A828="",$B828=""),"",IF(Z828=1,IF(AE828=1,N($R828),AD828),0))</f>
        <v/>
      </c>
      <c r="AG828" s="22">
        <f>IF(AND($A828="",$B828=""),"",IF(Z828=1,IF(AE828=1,N($S828),AC828),0))</f>
        <v/>
      </c>
      <c r="AH828" s="21">
        <f>IF(AND($A828="",$B828=""),"",IF(AND(ISNUMBER($I828),N($I828)&gt;0),$I828,0))</f>
        <v/>
      </c>
      <c r="AI828" s="23">
        <f>IF(AND(NOT(AND($A828="",$B828="")),$K828="Point",N($L828)&gt;0),SQRT(N($L828)/PI()),"")</f>
        <v/>
      </c>
      <c r="AJ828" s="21">
        <f>IF(AND($A828="",$B828=""),"",IFERROR(VLOOKUP($G828,Lists!$D$4:$E$15,2,FALSE),"Not reported"))</f>
        <v/>
      </c>
      <c r="AK828" s="21">
        <f>IF(AND($A828="",$B828=""),"",IF($X828&lt;&gt;"",$X828,IF($T828&lt;&gt;"Y","Not assessed",IF(AND(ISNUMBER($V828),Setup!$B$6-$V828&gt;Setup!$B$26),"Assessment outdated",IF(NOT(ISNUMBER($W828)),"Assessed – no score",IF($W828&gt;=Setup!$B$24,"High",IF($W828&gt;=Setup!$B$25,"Moderate","Low")))))))</f>
        <v/>
      </c>
      <c r="AL828" s="21">
        <f>IF(AND($A828="",$B828=""),"",IF(Z828=0,"",IF(AND(AE828=1,N($R828)&gt;AD828*1.01+0.001),"Net terrestrial &gt; gross; ","")&amp;IF(AND(AE828=1,N($S828)&gt;AC828*1.01+0.001),"Net marine &gt; gross; ","")&amp;IF(AE828=0,"No net area – gross used, overlaps may be double-counted; ","")&amp;IF(AH828=0,"STATUS_YR missing – imputed in time series; ","")&amp;IF(AND(ISNUMBER($I828),N($I828)&gt;Setup!$B$6),"STATUS_YR after reporting year; ","")&amp;IF(OR($G828="",$G828="Not Reported"),"GOV_TYPE not reported; ","")&amp;IF(AND(N($J828)=1,$K828="Point",N($M828)&lt;=0),"Coastal point without REP_M_AREA – land/sea split unknown; ","")&amp;IF(AND(N($J828)=0,N($S828)&gt;0),"MARINE=0 but net marine &gt;0; ","")&amp;IF(AND(N($J828)=2,N($R828)&gt;0),"MARINE=2 but net terrestrial &gt;0; ","")&amp;IF($K828="Point","Buffered point – coverage approximate; ","")))</f>
        <v/>
      </c>
    </row>
    <row r="829">
      <c r="A829" s="19" t="n"/>
      <c r="B829" s="19" t="n"/>
      <c r="C829" s="19" t="n"/>
      <c r="D829" s="19" t="n"/>
      <c r="E829" s="19" t="n"/>
      <c r="F829" s="19" t="n"/>
      <c r="G829" s="19" t="n"/>
      <c r="H829" s="19" t="n"/>
      <c r="I829" s="19" t="n"/>
      <c r="J829" s="19" t="n"/>
      <c r="K829" s="19" t="n"/>
      <c r="L829" s="20" t="n"/>
      <c r="M829" s="20" t="n"/>
      <c r="N829" s="20" t="n"/>
      <c r="O829" s="20" t="n"/>
      <c r="P829" s="19" t="n"/>
      <c r="Q829" s="19" t="n"/>
      <c r="R829" s="20" t="n"/>
      <c r="S829" s="20" t="n"/>
      <c r="T829" s="19" t="n"/>
      <c r="U829" s="19" t="n"/>
      <c r="V829" s="19" t="n"/>
      <c r="W829" s="19" t="n"/>
      <c r="X829" s="19" t="n"/>
      <c r="Y829" s="19" t="n"/>
      <c r="Z829" s="21">
        <f>IF(AND($A829="",$B829=""),"",IF(OR($E829="",$H829="",$H829="Proposed",$H829="Not Reported"),0,IF(AND($P829="Y",$Q829&lt;&gt;"Y"),0,IF(AND($K829="Point",N($L829)&lt;=0),0,IF(AND(N($L829)&lt;=0,N($N829)&lt;=0,N($R829)+N($S829)&lt;=0),0,1)))))</f>
        <v/>
      </c>
      <c r="AA829" s="21">
        <f>IF(AND($A829="",$B829=""),"",IF($E829="","Site type missing",IF($H829="","STATUS missing",IF($H829="Proposed","STATUS = Proposed",IF($H829="Not Reported","STATUS = Not Reported",IF(AND($P829="Y",$Q829&lt;&gt;"Y"),"UNESCO-MAB Biosphere Reserve",IF(AND($K829="Point",N($L829)&lt;=0),"Point without REP_AREA",IF(AND(N($L829)&lt;=0,N($N829)&lt;=0,N($R829)+N($S829)&lt;=0),"No area information",""))))))))</f>
        <v/>
      </c>
      <c r="AB829" s="22">
        <f>IF(AND($A829="",$B829=""),"",IF($K829="Point",N($L829),IF(N($N829)&gt;0,N($N829),N($L829))))</f>
        <v/>
      </c>
      <c r="AC829" s="22">
        <f>IF(AND($A829="",$B829=""),"",MIN(AB829,IF(N($J829)=0,0,IF(N($J829)=2,AB829,IF(AND($K829&lt;&gt;"Point",N($O829)&gt;0),N($O829),N($M829))))))</f>
        <v/>
      </c>
      <c r="AD829" s="22">
        <f>IF(AND($A829="",$B829=""),"",MAX(0,AB829-AC829))</f>
        <v/>
      </c>
      <c r="AE829" s="21">
        <f>IF(AND($A829="",$B829=""),"",IF(OR($R829&lt;&gt;"",$S829&lt;&gt;""),1,0))</f>
        <v/>
      </c>
      <c r="AF829" s="22">
        <f>IF(AND($A829="",$B829=""),"",IF(Z829=1,IF(AE829=1,N($R829),AD829),0))</f>
        <v/>
      </c>
      <c r="AG829" s="22">
        <f>IF(AND($A829="",$B829=""),"",IF(Z829=1,IF(AE829=1,N($S829),AC829),0))</f>
        <v/>
      </c>
      <c r="AH829" s="21">
        <f>IF(AND($A829="",$B829=""),"",IF(AND(ISNUMBER($I829),N($I829)&gt;0),$I829,0))</f>
        <v/>
      </c>
      <c r="AI829" s="23">
        <f>IF(AND(NOT(AND($A829="",$B829="")),$K829="Point",N($L829)&gt;0),SQRT(N($L829)/PI()),"")</f>
        <v/>
      </c>
      <c r="AJ829" s="21">
        <f>IF(AND($A829="",$B829=""),"",IFERROR(VLOOKUP($G829,Lists!$D$4:$E$15,2,FALSE),"Not reported"))</f>
        <v/>
      </c>
      <c r="AK829" s="21">
        <f>IF(AND($A829="",$B829=""),"",IF($X829&lt;&gt;"",$X829,IF($T829&lt;&gt;"Y","Not assessed",IF(AND(ISNUMBER($V829),Setup!$B$6-$V829&gt;Setup!$B$26),"Assessment outdated",IF(NOT(ISNUMBER($W829)),"Assessed – no score",IF($W829&gt;=Setup!$B$24,"High",IF($W829&gt;=Setup!$B$25,"Moderate","Low")))))))</f>
        <v/>
      </c>
      <c r="AL829" s="21">
        <f>IF(AND($A829="",$B829=""),"",IF(Z829=0,"",IF(AND(AE829=1,N($R829)&gt;AD829*1.01+0.001),"Net terrestrial &gt; gross; ","")&amp;IF(AND(AE829=1,N($S829)&gt;AC829*1.01+0.001),"Net marine &gt; gross; ","")&amp;IF(AE829=0,"No net area – gross used, overlaps may be double-counted; ","")&amp;IF(AH829=0,"STATUS_YR missing – imputed in time series; ","")&amp;IF(AND(ISNUMBER($I829),N($I829)&gt;Setup!$B$6),"STATUS_YR after reporting year; ","")&amp;IF(OR($G829="",$G829="Not Reported"),"GOV_TYPE not reported; ","")&amp;IF(AND(N($J829)=1,$K829="Point",N($M829)&lt;=0),"Coastal point without REP_M_AREA – land/sea split unknown; ","")&amp;IF(AND(N($J829)=0,N($S829)&gt;0),"MARINE=0 but net marine &gt;0; ","")&amp;IF(AND(N($J829)=2,N($R829)&gt;0),"MARINE=2 but net terrestrial &gt;0; ","")&amp;IF($K829="Point","Buffered point – coverage approximate; ","")))</f>
        <v/>
      </c>
    </row>
    <row r="830">
      <c r="A830" s="19" t="n"/>
      <c r="B830" s="19" t="n"/>
      <c r="C830" s="19" t="n"/>
      <c r="D830" s="19" t="n"/>
      <c r="E830" s="19" t="n"/>
      <c r="F830" s="19" t="n"/>
      <c r="G830" s="19" t="n"/>
      <c r="H830" s="19" t="n"/>
      <c r="I830" s="19" t="n"/>
      <c r="J830" s="19" t="n"/>
      <c r="K830" s="19" t="n"/>
      <c r="L830" s="20" t="n"/>
      <c r="M830" s="20" t="n"/>
      <c r="N830" s="20" t="n"/>
      <c r="O830" s="20" t="n"/>
      <c r="P830" s="19" t="n"/>
      <c r="Q830" s="19" t="n"/>
      <c r="R830" s="20" t="n"/>
      <c r="S830" s="20" t="n"/>
      <c r="T830" s="19" t="n"/>
      <c r="U830" s="19" t="n"/>
      <c r="V830" s="19" t="n"/>
      <c r="W830" s="19" t="n"/>
      <c r="X830" s="19" t="n"/>
      <c r="Y830" s="19" t="n"/>
      <c r="Z830" s="21">
        <f>IF(AND($A830="",$B830=""),"",IF(OR($E830="",$H830="",$H830="Proposed",$H830="Not Reported"),0,IF(AND($P830="Y",$Q830&lt;&gt;"Y"),0,IF(AND($K830="Point",N($L830)&lt;=0),0,IF(AND(N($L830)&lt;=0,N($N830)&lt;=0,N($R830)+N($S830)&lt;=0),0,1)))))</f>
        <v/>
      </c>
      <c r="AA830" s="21">
        <f>IF(AND($A830="",$B830=""),"",IF($E830="","Site type missing",IF($H830="","STATUS missing",IF($H830="Proposed","STATUS = Proposed",IF($H830="Not Reported","STATUS = Not Reported",IF(AND($P830="Y",$Q830&lt;&gt;"Y"),"UNESCO-MAB Biosphere Reserve",IF(AND($K830="Point",N($L830)&lt;=0),"Point without REP_AREA",IF(AND(N($L830)&lt;=0,N($N830)&lt;=0,N($R830)+N($S830)&lt;=0),"No area information",""))))))))</f>
        <v/>
      </c>
      <c r="AB830" s="22">
        <f>IF(AND($A830="",$B830=""),"",IF($K830="Point",N($L830),IF(N($N830)&gt;0,N($N830),N($L830))))</f>
        <v/>
      </c>
      <c r="AC830" s="22">
        <f>IF(AND($A830="",$B830=""),"",MIN(AB830,IF(N($J830)=0,0,IF(N($J830)=2,AB830,IF(AND($K830&lt;&gt;"Point",N($O830)&gt;0),N($O830),N($M830))))))</f>
        <v/>
      </c>
      <c r="AD830" s="22">
        <f>IF(AND($A830="",$B830=""),"",MAX(0,AB830-AC830))</f>
        <v/>
      </c>
      <c r="AE830" s="21">
        <f>IF(AND($A830="",$B830=""),"",IF(OR($R830&lt;&gt;"",$S830&lt;&gt;""),1,0))</f>
        <v/>
      </c>
      <c r="AF830" s="22">
        <f>IF(AND($A830="",$B830=""),"",IF(Z830=1,IF(AE830=1,N($R830),AD830),0))</f>
        <v/>
      </c>
      <c r="AG830" s="22">
        <f>IF(AND($A830="",$B830=""),"",IF(Z830=1,IF(AE830=1,N($S830),AC830),0))</f>
        <v/>
      </c>
      <c r="AH830" s="21">
        <f>IF(AND($A830="",$B830=""),"",IF(AND(ISNUMBER($I830),N($I830)&gt;0),$I830,0))</f>
        <v/>
      </c>
      <c r="AI830" s="23">
        <f>IF(AND(NOT(AND($A830="",$B830="")),$K830="Point",N($L830)&gt;0),SQRT(N($L830)/PI()),"")</f>
        <v/>
      </c>
      <c r="AJ830" s="21">
        <f>IF(AND($A830="",$B830=""),"",IFERROR(VLOOKUP($G830,Lists!$D$4:$E$15,2,FALSE),"Not reported"))</f>
        <v/>
      </c>
      <c r="AK830" s="21">
        <f>IF(AND($A830="",$B830=""),"",IF($X830&lt;&gt;"",$X830,IF($T830&lt;&gt;"Y","Not assessed",IF(AND(ISNUMBER($V830),Setup!$B$6-$V830&gt;Setup!$B$26),"Assessment outdated",IF(NOT(ISNUMBER($W830)),"Assessed – no score",IF($W830&gt;=Setup!$B$24,"High",IF($W830&gt;=Setup!$B$25,"Moderate","Low")))))))</f>
        <v/>
      </c>
      <c r="AL830" s="21">
        <f>IF(AND($A830="",$B830=""),"",IF(Z830=0,"",IF(AND(AE830=1,N($R830)&gt;AD830*1.01+0.001),"Net terrestrial &gt; gross; ","")&amp;IF(AND(AE830=1,N($S830)&gt;AC830*1.01+0.001),"Net marine &gt; gross; ","")&amp;IF(AE830=0,"No net area – gross used, overlaps may be double-counted; ","")&amp;IF(AH830=0,"STATUS_YR missing – imputed in time series; ","")&amp;IF(AND(ISNUMBER($I830),N($I830)&gt;Setup!$B$6),"STATUS_YR after reporting year; ","")&amp;IF(OR($G830="",$G830="Not Reported"),"GOV_TYPE not reported; ","")&amp;IF(AND(N($J830)=1,$K830="Point",N($M830)&lt;=0),"Coastal point without REP_M_AREA – land/sea split unknown; ","")&amp;IF(AND(N($J830)=0,N($S830)&gt;0),"MARINE=0 but net marine &gt;0; ","")&amp;IF(AND(N($J830)=2,N($R830)&gt;0),"MARINE=2 but net terrestrial &gt;0; ","")&amp;IF($K830="Point","Buffered point – coverage approximate; ","")))</f>
        <v/>
      </c>
    </row>
    <row r="831">
      <c r="A831" s="19" t="n"/>
      <c r="B831" s="19" t="n"/>
      <c r="C831" s="19" t="n"/>
      <c r="D831" s="19" t="n"/>
      <c r="E831" s="19" t="n"/>
      <c r="F831" s="19" t="n"/>
      <c r="G831" s="19" t="n"/>
      <c r="H831" s="19" t="n"/>
      <c r="I831" s="19" t="n"/>
      <c r="J831" s="19" t="n"/>
      <c r="K831" s="19" t="n"/>
      <c r="L831" s="20" t="n"/>
      <c r="M831" s="20" t="n"/>
      <c r="N831" s="20" t="n"/>
      <c r="O831" s="20" t="n"/>
      <c r="P831" s="19" t="n"/>
      <c r="Q831" s="19" t="n"/>
      <c r="R831" s="20" t="n"/>
      <c r="S831" s="20" t="n"/>
      <c r="T831" s="19" t="n"/>
      <c r="U831" s="19" t="n"/>
      <c r="V831" s="19" t="n"/>
      <c r="W831" s="19" t="n"/>
      <c r="X831" s="19" t="n"/>
      <c r="Y831" s="19" t="n"/>
      <c r="Z831" s="21">
        <f>IF(AND($A831="",$B831=""),"",IF(OR($E831="",$H831="",$H831="Proposed",$H831="Not Reported"),0,IF(AND($P831="Y",$Q831&lt;&gt;"Y"),0,IF(AND($K831="Point",N($L831)&lt;=0),0,IF(AND(N($L831)&lt;=0,N($N831)&lt;=0,N($R831)+N($S831)&lt;=0),0,1)))))</f>
        <v/>
      </c>
      <c r="AA831" s="21">
        <f>IF(AND($A831="",$B831=""),"",IF($E831="","Site type missing",IF($H831="","STATUS missing",IF($H831="Proposed","STATUS = Proposed",IF($H831="Not Reported","STATUS = Not Reported",IF(AND($P831="Y",$Q831&lt;&gt;"Y"),"UNESCO-MAB Biosphere Reserve",IF(AND($K831="Point",N($L831)&lt;=0),"Point without REP_AREA",IF(AND(N($L831)&lt;=0,N($N831)&lt;=0,N($R831)+N($S831)&lt;=0),"No area information",""))))))))</f>
        <v/>
      </c>
      <c r="AB831" s="22">
        <f>IF(AND($A831="",$B831=""),"",IF($K831="Point",N($L831),IF(N($N831)&gt;0,N($N831),N($L831))))</f>
        <v/>
      </c>
      <c r="AC831" s="22">
        <f>IF(AND($A831="",$B831=""),"",MIN(AB831,IF(N($J831)=0,0,IF(N($J831)=2,AB831,IF(AND($K831&lt;&gt;"Point",N($O831)&gt;0),N($O831),N($M831))))))</f>
        <v/>
      </c>
      <c r="AD831" s="22">
        <f>IF(AND($A831="",$B831=""),"",MAX(0,AB831-AC831))</f>
        <v/>
      </c>
      <c r="AE831" s="21">
        <f>IF(AND($A831="",$B831=""),"",IF(OR($R831&lt;&gt;"",$S831&lt;&gt;""),1,0))</f>
        <v/>
      </c>
      <c r="AF831" s="22">
        <f>IF(AND($A831="",$B831=""),"",IF(Z831=1,IF(AE831=1,N($R831),AD831),0))</f>
        <v/>
      </c>
      <c r="AG831" s="22">
        <f>IF(AND($A831="",$B831=""),"",IF(Z831=1,IF(AE831=1,N($S831),AC831),0))</f>
        <v/>
      </c>
      <c r="AH831" s="21">
        <f>IF(AND($A831="",$B831=""),"",IF(AND(ISNUMBER($I831),N($I831)&gt;0),$I831,0))</f>
        <v/>
      </c>
      <c r="AI831" s="23">
        <f>IF(AND(NOT(AND($A831="",$B831="")),$K831="Point",N($L831)&gt;0),SQRT(N($L831)/PI()),"")</f>
        <v/>
      </c>
      <c r="AJ831" s="21">
        <f>IF(AND($A831="",$B831=""),"",IFERROR(VLOOKUP($G831,Lists!$D$4:$E$15,2,FALSE),"Not reported"))</f>
        <v/>
      </c>
      <c r="AK831" s="21">
        <f>IF(AND($A831="",$B831=""),"",IF($X831&lt;&gt;"",$X831,IF($T831&lt;&gt;"Y","Not assessed",IF(AND(ISNUMBER($V831),Setup!$B$6-$V831&gt;Setup!$B$26),"Assessment outdated",IF(NOT(ISNUMBER($W831)),"Assessed – no score",IF($W831&gt;=Setup!$B$24,"High",IF($W831&gt;=Setup!$B$25,"Moderate","Low")))))))</f>
        <v/>
      </c>
      <c r="AL831" s="21">
        <f>IF(AND($A831="",$B831=""),"",IF(Z831=0,"",IF(AND(AE831=1,N($R831)&gt;AD831*1.01+0.001),"Net terrestrial &gt; gross; ","")&amp;IF(AND(AE831=1,N($S831)&gt;AC831*1.01+0.001),"Net marine &gt; gross; ","")&amp;IF(AE831=0,"No net area – gross used, overlaps may be double-counted; ","")&amp;IF(AH831=0,"STATUS_YR missing – imputed in time series; ","")&amp;IF(AND(ISNUMBER($I831),N($I831)&gt;Setup!$B$6),"STATUS_YR after reporting year; ","")&amp;IF(OR($G831="",$G831="Not Reported"),"GOV_TYPE not reported; ","")&amp;IF(AND(N($J831)=1,$K831="Point",N($M831)&lt;=0),"Coastal point without REP_M_AREA – land/sea split unknown; ","")&amp;IF(AND(N($J831)=0,N($S831)&gt;0),"MARINE=0 but net marine &gt;0; ","")&amp;IF(AND(N($J831)=2,N($R831)&gt;0),"MARINE=2 but net terrestrial &gt;0; ","")&amp;IF($K831="Point","Buffered point – coverage approximate; ","")))</f>
        <v/>
      </c>
    </row>
    <row r="832">
      <c r="A832" s="19" t="n"/>
      <c r="B832" s="19" t="n"/>
      <c r="C832" s="19" t="n"/>
      <c r="D832" s="19" t="n"/>
      <c r="E832" s="19" t="n"/>
      <c r="F832" s="19" t="n"/>
      <c r="G832" s="19" t="n"/>
      <c r="H832" s="19" t="n"/>
      <c r="I832" s="19" t="n"/>
      <c r="J832" s="19" t="n"/>
      <c r="K832" s="19" t="n"/>
      <c r="L832" s="20" t="n"/>
      <c r="M832" s="20" t="n"/>
      <c r="N832" s="20" t="n"/>
      <c r="O832" s="20" t="n"/>
      <c r="P832" s="19" t="n"/>
      <c r="Q832" s="19" t="n"/>
      <c r="R832" s="20" t="n"/>
      <c r="S832" s="20" t="n"/>
      <c r="T832" s="19" t="n"/>
      <c r="U832" s="19" t="n"/>
      <c r="V832" s="19" t="n"/>
      <c r="W832" s="19" t="n"/>
      <c r="X832" s="19" t="n"/>
      <c r="Y832" s="19" t="n"/>
      <c r="Z832" s="21">
        <f>IF(AND($A832="",$B832=""),"",IF(OR($E832="",$H832="",$H832="Proposed",$H832="Not Reported"),0,IF(AND($P832="Y",$Q832&lt;&gt;"Y"),0,IF(AND($K832="Point",N($L832)&lt;=0),0,IF(AND(N($L832)&lt;=0,N($N832)&lt;=0,N($R832)+N($S832)&lt;=0),0,1)))))</f>
        <v/>
      </c>
      <c r="AA832" s="21">
        <f>IF(AND($A832="",$B832=""),"",IF($E832="","Site type missing",IF($H832="","STATUS missing",IF($H832="Proposed","STATUS = Proposed",IF($H832="Not Reported","STATUS = Not Reported",IF(AND($P832="Y",$Q832&lt;&gt;"Y"),"UNESCO-MAB Biosphere Reserve",IF(AND($K832="Point",N($L832)&lt;=0),"Point without REP_AREA",IF(AND(N($L832)&lt;=0,N($N832)&lt;=0,N($R832)+N($S832)&lt;=0),"No area information",""))))))))</f>
        <v/>
      </c>
      <c r="AB832" s="22">
        <f>IF(AND($A832="",$B832=""),"",IF($K832="Point",N($L832),IF(N($N832)&gt;0,N($N832),N($L832))))</f>
        <v/>
      </c>
      <c r="AC832" s="22">
        <f>IF(AND($A832="",$B832=""),"",MIN(AB832,IF(N($J832)=0,0,IF(N($J832)=2,AB832,IF(AND($K832&lt;&gt;"Point",N($O832)&gt;0),N($O832),N($M832))))))</f>
        <v/>
      </c>
      <c r="AD832" s="22">
        <f>IF(AND($A832="",$B832=""),"",MAX(0,AB832-AC832))</f>
        <v/>
      </c>
      <c r="AE832" s="21">
        <f>IF(AND($A832="",$B832=""),"",IF(OR($R832&lt;&gt;"",$S832&lt;&gt;""),1,0))</f>
        <v/>
      </c>
      <c r="AF832" s="22">
        <f>IF(AND($A832="",$B832=""),"",IF(Z832=1,IF(AE832=1,N($R832),AD832),0))</f>
        <v/>
      </c>
      <c r="AG832" s="22">
        <f>IF(AND($A832="",$B832=""),"",IF(Z832=1,IF(AE832=1,N($S832),AC832),0))</f>
        <v/>
      </c>
      <c r="AH832" s="21">
        <f>IF(AND($A832="",$B832=""),"",IF(AND(ISNUMBER($I832),N($I832)&gt;0),$I832,0))</f>
        <v/>
      </c>
      <c r="AI832" s="23">
        <f>IF(AND(NOT(AND($A832="",$B832="")),$K832="Point",N($L832)&gt;0),SQRT(N($L832)/PI()),"")</f>
        <v/>
      </c>
      <c r="AJ832" s="21">
        <f>IF(AND($A832="",$B832=""),"",IFERROR(VLOOKUP($G832,Lists!$D$4:$E$15,2,FALSE),"Not reported"))</f>
        <v/>
      </c>
      <c r="AK832" s="21">
        <f>IF(AND($A832="",$B832=""),"",IF($X832&lt;&gt;"",$X832,IF($T832&lt;&gt;"Y","Not assessed",IF(AND(ISNUMBER($V832),Setup!$B$6-$V832&gt;Setup!$B$26),"Assessment outdated",IF(NOT(ISNUMBER($W832)),"Assessed – no score",IF($W832&gt;=Setup!$B$24,"High",IF($W832&gt;=Setup!$B$25,"Moderate","Low")))))))</f>
        <v/>
      </c>
      <c r="AL832" s="21">
        <f>IF(AND($A832="",$B832=""),"",IF(Z832=0,"",IF(AND(AE832=1,N($R832)&gt;AD832*1.01+0.001),"Net terrestrial &gt; gross; ","")&amp;IF(AND(AE832=1,N($S832)&gt;AC832*1.01+0.001),"Net marine &gt; gross; ","")&amp;IF(AE832=0,"No net area – gross used, overlaps may be double-counted; ","")&amp;IF(AH832=0,"STATUS_YR missing – imputed in time series; ","")&amp;IF(AND(ISNUMBER($I832),N($I832)&gt;Setup!$B$6),"STATUS_YR after reporting year; ","")&amp;IF(OR($G832="",$G832="Not Reported"),"GOV_TYPE not reported; ","")&amp;IF(AND(N($J832)=1,$K832="Point",N($M832)&lt;=0),"Coastal point without REP_M_AREA – land/sea split unknown; ","")&amp;IF(AND(N($J832)=0,N($S832)&gt;0),"MARINE=0 but net marine &gt;0; ","")&amp;IF(AND(N($J832)=2,N($R832)&gt;0),"MARINE=2 but net terrestrial &gt;0; ","")&amp;IF($K832="Point","Buffered point – coverage approximate; ","")))</f>
        <v/>
      </c>
    </row>
    <row r="833">
      <c r="A833" s="19" t="n"/>
      <c r="B833" s="19" t="n"/>
      <c r="C833" s="19" t="n"/>
      <c r="D833" s="19" t="n"/>
      <c r="E833" s="19" t="n"/>
      <c r="F833" s="19" t="n"/>
      <c r="G833" s="19" t="n"/>
      <c r="H833" s="19" t="n"/>
      <c r="I833" s="19" t="n"/>
      <c r="J833" s="19" t="n"/>
      <c r="K833" s="19" t="n"/>
      <c r="L833" s="20" t="n"/>
      <c r="M833" s="20" t="n"/>
      <c r="N833" s="20" t="n"/>
      <c r="O833" s="20" t="n"/>
      <c r="P833" s="19" t="n"/>
      <c r="Q833" s="19" t="n"/>
      <c r="R833" s="20" t="n"/>
      <c r="S833" s="20" t="n"/>
      <c r="T833" s="19" t="n"/>
      <c r="U833" s="19" t="n"/>
      <c r="V833" s="19" t="n"/>
      <c r="W833" s="19" t="n"/>
      <c r="X833" s="19" t="n"/>
      <c r="Y833" s="19" t="n"/>
      <c r="Z833" s="21">
        <f>IF(AND($A833="",$B833=""),"",IF(OR($E833="",$H833="",$H833="Proposed",$H833="Not Reported"),0,IF(AND($P833="Y",$Q833&lt;&gt;"Y"),0,IF(AND($K833="Point",N($L833)&lt;=0),0,IF(AND(N($L833)&lt;=0,N($N833)&lt;=0,N($R833)+N($S833)&lt;=0),0,1)))))</f>
        <v/>
      </c>
      <c r="AA833" s="21">
        <f>IF(AND($A833="",$B833=""),"",IF($E833="","Site type missing",IF($H833="","STATUS missing",IF($H833="Proposed","STATUS = Proposed",IF($H833="Not Reported","STATUS = Not Reported",IF(AND($P833="Y",$Q833&lt;&gt;"Y"),"UNESCO-MAB Biosphere Reserve",IF(AND($K833="Point",N($L833)&lt;=0),"Point without REP_AREA",IF(AND(N($L833)&lt;=0,N($N833)&lt;=0,N($R833)+N($S833)&lt;=0),"No area information",""))))))))</f>
        <v/>
      </c>
      <c r="AB833" s="22">
        <f>IF(AND($A833="",$B833=""),"",IF($K833="Point",N($L833),IF(N($N833)&gt;0,N($N833),N($L833))))</f>
        <v/>
      </c>
      <c r="AC833" s="22">
        <f>IF(AND($A833="",$B833=""),"",MIN(AB833,IF(N($J833)=0,0,IF(N($J833)=2,AB833,IF(AND($K833&lt;&gt;"Point",N($O833)&gt;0),N($O833),N($M833))))))</f>
        <v/>
      </c>
      <c r="AD833" s="22">
        <f>IF(AND($A833="",$B833=""),"",MAX(0,AB833-AC833))</f>
        <v/>
      </c>
      <c r="AE833" s="21">
        <f>IF(AND($A833="",$B833=""),"",IF(OR($R833&lt;&gt;"",$S833&lt;&gt;""),1,0))</f>
        <v/>
      </c>
      <c r="AF833" s="22">
        <f>IF(AND($A833="",$B833=""),"",IF(Z833=1,IF(AE833=1,N($R833),AD833),0))</f>
        <v/>
      </c>
      <c r="AG833" s="22">
        <f>IF(AND($A833="",$B833=""),"",IF(Z833=1,IF(AE833=1,N($S833),AC833),0))</f>
        <v/>
      </c>
      <c r="AH833" s="21">
        <f>IF(AND($A833="",$B833=""),"",IF(AND(ISNUMBER($I833),N($I833)&gt;0),$I833,0))</f>
        <v/>
      </c>
      <c r="AI833" s="23">
        <f>IF(AND(NOT(AND($A833="",$B833="")),$K833="Point",N($L833)&gt;0),SQRT(N($L833)/PI()),"")</f>
        <v/>
      </c>
      <c r="AJ833" s="21">
        <f>IF(AND($A833="",$B833=""),"",IFERROR(VLOOKUP($G833,Lists!$D$4:$E$15,2,FALSE),"Not reported"))</f>
        <v/>
      </c>
      <c r="AK833" s="21">
        <f>IF(AND($A833="",$B833=""),"",IF($X833&lt;&gt;"",$X833,IF($T833&lt;&gt;"Y","Not assessed",IF(AND(ISNUMBER($V833),Setup!$B$6-$V833&gt;Setup!$B$26),"Assessment outdated",IF(NOT(ISNUMBER($W833)),"Assessed – no score",IF($W833&gt;=Setup!$B$24,"High",IF($W833&gt;=Setup!$B$25,"Moderate","Low")))))))</f>
        <v/>
      </c>
      <c r="AL833" s="21">
        <f>IF(AND($A833="",$B833=""),"",IF(Z833=0,"",IF(AND(AE833=1,N($R833)&gt;AD833*1.01+0.001),"Net terrestrial &gt; gross; ","")&amp;IF(AND(AE833=1,N($S833)&gt;AC833*1.01+0.001),"Net marine &gt; gross; ","")&amp;IF(AE833=0,"No net area – gross used, overlaps may be double-counted; ","")&amp;IF(AH833=0,"STATUS_YR missing – imputed in time series; ","")&amp;IF(AND(ISNUMBER($I833),N($I833)&gt;Setup!$B$6),"STATUS_YR after reporting year; ","")&amp;IF(OR($G833="",$G833="Not Reported"),"GOV_TYPE not reported; ","")&amp;IF(AND(N($J833)=1,$K833="Point",N($M833)&lt;=0),"Coastal point without REP_M_AREA – land/sea split unknown; ","")&amp;IF(AND(N($J833)=0,N($S833)&gt;0),"MARINE=0 but net marine &gt;0; ","")&amp;IF(AND(N($J833)=2,N($R833)&gt;0),"MARINE=2 but net terrestrial &gt;0; ","")&amp;IF($K833="Point","Buffered point – coverage approximate; ","")))</f>
        <v/>
      </c>
    </row>
    <row r="834">
      <c r="A834" s="19" t="n"/>
      <c r="B834" s="19" t="n"/>
      <c r="C834" s="19" t="n"/>
      <c r="D834" s="19" t="n"/>
      <c r="E834" s="19" t="n"/>
      <c r="F834" s="19" t="n"/>
      <c r="G834" s="19" t="n"/>
      <c r="H834" s="19" t="n"/>
      <c r="I834" s="19" t="n"/>
      <c r="J834" s="19" t="n"/>
      <c r="K834" s="19" t="n"/>
      <c r="L834" s="20" t="n"/>
      <c r="M834" s="20" t="n"/>
      <c r="N834" s="20" t="n"/>
      <c r="O834" s="20" t="n"/>
      <c r="P834" s="19" t="n"/>
      <c r="Q834" s="19" t="n"/>
      <c r="R834" s="20" t="n"/>
      <c r="S834" s="20" t="n"/>
      <c r="T834" s="19" t="n"/>
      <c r="U834" s="19" t="n"/>
      <c r="V834" s="19" t="n"/>
      <c r="W834" s="19" t="n"/>
      <c r="X834" s="19" t="n"/>
      <c r="Y834" s="19" t="n"/>
      <c r="Z834" s="21">
        <f>IF(AND($A834="",$B834=""),"",IF(OR($E834="",$H834="",$H834="Proposed",$H834="Not Reported"),0,IF(AND($P834="Y",$Q834&lt;&gt;"Y"),0,IF(AND($K834="Point",N($L834)&lt;=0),0,IF(AND(N($L834)&lt;=0,N($N834)&lt;=0,N($R834)+N($S834)&lt;=0),0,1)))))</f>
        <v/>
      </c>
      <c r="AA834" s="21">
        <f>IF(AND($A834="",$B834=""),"",IF($E834="","Site type missing",IF($H834="","STATUS missing",IF($H834="Proposed","STATUS = Proposed",IF($H834="Not Reported","STATUS = Not Reported",IF(AND($P834="Y",$Q834&lt;&gt;"Y"),"UNESCO-MAB Biosphere Reserve",IF(AND($K834="Point",N($L834)&lt;=0),"Point without REP_AREA",IF(AND(N($L834)&lt;=0,N($N834)&lt;=0,N($R834)+N($S834)&lt;=0),"No area information",""))))))))</f>
        <v/>
      </c>
      <c r="AB834" s="22">
        <f>IF(AND($A834="",$B834=""),"",IF($K834="Point",N($L834),IF(N($N834)&gt;0,N($N834),N($L834))))</f>
        <v/>
      </c>
      <c r="AC834" s="22">
        <f>IF(AND($A834="",$B834=""),"",MIN(AB834,IF(N($J834)=0,0,IF(N($J834)=2,AB834,IF(AND($K834&lt;&gt;"Point",N($O834)&gt;0),N($O834),N($M834))))))</f>
        <v/>
      </c>
      <c r="AD834" s="22">
        <f>IF(AND($A834="",$B834=""),"",MAX(0,AB834-AC834))</f>
        <v/>
      </c>
      <c r="AE834" s="21">
        <f>IF(AND($A834="",$B834=""),"",IF(OR($R834&lt;&gt;"",$S834&lt;&gt;""),1,0))</f>
        <v/>
      </c>
      <c r="AF834" s="22">
        <f>IF(AND($A834="",$B834=""),"",IF(Z834=1,IF(AE834=1,N($R834),AD834),0))</f>
        <v/>
      </c>
      <c r="AG834" s="22">
        <f>IF(AND($A834="",$B834=""),"",IF(Z834=1,IF(AE834=1,N($S834),AC834),0))</f>
        <v/>
      </c>
      <c r="AH834" s="21">
        <f>IF(AND($A834="",$B834=""),"",IF(AND(ISNUMBER($I834),N($I834)&gt;0),$I834,0))</f>
        <v/>
      </c>
      <c r="AI834" s="23">
        <f>IF(AND(NOT(AND($A834="",$B834="")),$K834="Point",N($L834)&gt;0),SQRT(N($L834)/PI()),"")</f>
        <v/>
      </c>
      <c r="AJ834" s="21">
        <f>IF(AND($A834="",$B834=""),"",IFERROR(VLOOKUP($G834,Lists!$D$4:$E$15,2,FALSE),"Not reported"))</f>
        <v/>
      </c>
      <c r="AK834" s="21">
        <f>IF(AND($A834="",$B834=""),"",IF($X834&lt;&gt;"",$X834,IF($T834&lt;&gt;"Y","Not assessed",IF(AND(ISNUMBER($V834),Setup!$B$6-$V834&gt;Setup!$B$26),"Assessment outdated",IF(NOT(ISNUMBER($W834)),"Assessed – no score",IF($W834&gt;=Setup!$B$24,"High",IF($W834&gt;=Setup!$B$25,"Moderate","Low")))))))</f>
        <v/>
      </c>
      <c r="AL834" s="21">
        <f>IF(AND($A834="",$B834=""),"",IF(Z834=0,"",IF(AND(AE834=1,N($R834)&gt;AD834*1.01+0.001),"Net terrestrial &gt; gross; ","")&amp;IF(AND(AE834=1,N($S834)&gt;AC834*1.01+0.001),"Net marine &gt; gross; ","")&amp;IF(AE834=0,"No net area – gross used, overlaps may be double-counted; ","")&amp;IF(AH834=0,"STATUS_YR missing – imputed in time series; ","")&amp;IF(AND(ISNUMBER($I834),N($I834)&gt;Setup!$B$6),"STATUS_YR after reporting year; ","")&amp;IF(OR($G834="",$G834="Not Reported"),"GOV_TYPE not reported; ","")&amp;IF(AND(N($J834)=1,$K834="Point",N($M834)&lt;=0),"Coastal point without REP_M_AREA – land/sea split unknown; ","")&amp;IF(AND(N($J834)=0,N($S834)&gt;0),"MARINE=0 but net marine &gt;0; ","")&amp;IF(AND(N($J834)=2,N($R834)&gt;0),"MARINE=2 but net terrestrial &gt;0; ","")&amp;IF($K834="Point","Buffered point – coverage approximate; ","")))</f>
        <v/>
      </c>
    </row>
    <row r="835">
      <c r="A835" s="19" t="n"/>
      <c r="B835" s="19" t="n"/>
      <c r="C835" s="19" t="n"/>
      <c r="D835" s="19" t="n"/>
      <c r="E835" s="19" t="n"/>
      <c r="F835" s="19" t="n"/>
      <c r="G835" s="19" t="n"/>
      <c r="H835" s="19" t="n"/>
      <c r="I835" s="19" t="n"/>
      <c r="J835" s="19" t="n"/>
      <c r="K835" s="19" t="n"/>
      <c r="L835" s="20" t="n"/>
      <c r="M835" s="20" t="n"/>
      <c r="N835" s="20" t="n"/>
      <c r="O835" s="20" t="n"/>
      <c r="P835" s="19" t="n"/>
      <c r="Q835" s="19" t="n"/>
      <c r="R835" s="20" t="n"/>
      <c r="S835" s="20" t="n"/>
      <c r="T835" s="19" t="n"/>
      <c r="U835" s="19" t="n"/>
      <c r="V835" s="19" t="n"/>
      <c r="W835" s="19" t="n"/>
      <c r="X835" s="19" t="n"/>
      <c r="Y835" s="19" t="n"/>
      <c r="Z835" s="21">
        <f>IF(AND($A835="",$B835=""),"",IF(OR($E835="",$H835="",$H835="Proposed",$H835="Not Reported"),0,IF(AND($P835="Y",$Q835&lt;&gt;"Y"),0,IF(AND($K835="Point",N($L835)&lt;=0),0,IF(AND(N($L835)&lt;=0,N($N835)&lt;=0,N($R835)+N($S835)&lt;=0),0,1)))))</f>
        <v/>
      </c>
      <c r="AA835" s="21">
        <f>IF(AND($A835="",$B835=""),"",IF($E835="","Site type missing",IF($H835="","STATUS missing",IF($H835="Proposed","STATUS = Proposed",IF($H835="Not Reported","STATUS = Not Reported",IF(AND($P835="Y",$Q835&lt;&gt;"Y"),"UNESCO-MAB Biosphere Reserve",IF(AND($K835="Point",N($L835)&lt;=0),"Point without REP_AREA",IF(AND(N($L835)&lt;=0,N($N835)&lt;=0,N($R835)+N($S835)&lt;=0),"No area information",""))))))))</f>
        <v/>
      </c>
      <c r="AB835" s="22">
        <f>IF(AND($A835="",$B835=""),"",IF($K835="Point",N($L835),IF(N($N835)&gt;0,N($N835),N($L835))))</f>
        <v/>
      </c>
      <c r="AC835" s="22">
        <f>IF(AND($A835="",$B835=""),"",MIN(AB835,IF(N($J835)=0,0,IF(N($J835)=2,AB835,IF(AND($K835&lt;&gt;"Point",N($O835)&gt;0),N($O835),N($M835))))))</f>
        <v/>
      </c>
      <c r="AD835" s="22">
        <f>IF(AND($A835="",$B835=""),"",MAX(0,AB835-AC835))</f>
        <v/>
      </c>
      <c r="AE835" s="21">
        <f>IF(AND($A835="",$B835=""),"",IF(OR($R835&lt;&gt;"",$S835&lt;&gt;""),1,0))</f>
        <v/>
      </c>
      <c r="AF835" s="22">
        <f>IF(AND($A835="",$B835=""),"",IF(Z835=1,IF(AE835=1,N($R835),AD835),0))</f>
        <v/>
      </c>
      <c r="AG835" s="22">
        <f>IF(AND($A835="",$B835=""),"",IF(Z835=1,IF(AE835=1,N($S835),AC835),0))</f>
        <v/>
      </c>
      <c r="AH835" s="21">
        <f>IF(AND($A835="",$B835=""),"",IF(AND(ISNUMBER($I835),N($I835)&gt;0),$I835,0))</f>
        <v/>
      </c>
      <c r="AI835" s="23">
        <f>IF(AND(NOT(AND($A835="",$B835="")),$K835="Point",N($L835)&gt;0),SQRT(N($L835)/PI()),"")</f>
        <v/>
      </c>
      <c r="AJ835" s="21">
        <f>IF(AND($A835="",$B835=""),"",IFERROR(VLOOKUP($G835,Lists!$D$4:$E$15,2,FALSE),"Not reported"))</f>
        <v/>
      </c>
      <c r="AK835" s="21">
        <f>IF(AND($A835="",$B835=""),"",IF($X835&lt;&gt;"",$X835,IF($T835&lt;&gt;"Y","Not assessed",IF(AND(ISNUMBER($V835),Setup!$B$6-$V835&gt;Setup!$B$26),"Assessment outdated",IF(NOT(ISNUMBER($W835)),"Assessed – no score",IF($W835&gt;=Setup!$B$24,"High",IF($W835&gt;=Setup!$B$25,"Moderate","Low")))))))</f>
        <v/>
      </c>
      <c r="AL835" s="21">
        <f>IF(AND($A835="",$B835=""),"",IF(Z835=0,"",IF(AND(AE835=1,N($R835)&gt;AD835*1.01+0.001),"Net terrestrial &gt; gross; ","")&amp;IF(AND(AE835=1,N($S835)&gt;AC835*1.01+0.001),"Net marine &gt; gross; ","")&amp;IF(AE835=0,"No net area – gross used, overlaps may be double-counted; ","")&amp;IF(AH835=0,"STATUS_YR missing – imputed in time series; ","")&amp;IF(AND(ISNUMBER($I835),N($I835)&gt;Setup!$B$6),"STATUS_YR after reporting year; ","")&amp;IF(OR($G835="",$G835="Not Reported"),"GOV_TYPE not reported; ","")&amp;IF(AND(N($J835)=1,$K835="Point",N($M835)&lt;=0),"Coastal point without REP_M_AREA – land/sea split unknown; ","")&amp;IF(AND(N($J835)=0,N($S835)&gt;0),"MARINE=0 but net marine &gt;0; ","")&amp;IF(AND(N($J835)=2,N($R835)&gt;0),"MARINE=2 but net terrestrial &gt;0; ","")&amp;IF($K835="Point","Buffered point – coverage approximate; ","")))</f>
        <v/>
      </c>
    </row>
    <row r="836">
      <c r="A836" s="19" t="n"/>
      <c r="B836" s="19" t="n"/>
      <c r="C836" s="19" t="n"/>
      <c r="D836" s="19" t="n"/>
      <c r="E836" s="19" t="n"/>
      <c r="F836" s="19" t="n"/>
      <c r="G836" s="19" t="n"/>
      <c r="H836" s="19" t="n"/>
      <c r="I836" s="19" t="n"/>
      <c r="J836" s="19" t="n"/>
      <c r="K836" s="19" t="n"/>
      <c r="L836" s="20" t="n"/>
      <c r="M836" s="20" t="n"/>
      <c r="N836" s="20" t="n"/>
      <c r="O836" s="20" t="n"/>
      <c r="P836" s="19" t="n"/>
      <c r="Q836" s="19" t="n"/>
      <c r="R836" s="20" t="n"/>
      <c r="S836" s="20" t="n"/>
      <c r="T836" s="19" t="n"/>
      <c r="U836" s="19" t="n"/>
      <c r="V836" s="19" t="n"/>
      <c r="W836" s="19" t="n"/>
      <c r="X836" s="19" t="n"/>
      <c r="Y836" s="19" t="n"/>
      <c r="Z836" s="21">
        <f>IF(AND($A836="",$B836=""),"",IF(OR($E836="",$H836="",$H836="Proposed",$H836="Not Reported"),0,IF(AND($P836="Y",$Q836&lt;&gt;"Y"),0,IF(AND($K836="Point",N($L836)&lt;=0),0,IF(AND(N($L836)&lt;=0,N($N836)&lt;=0,N($R836)+N($S836)&lt;=0),0,1)))))</f>
        <v/>
      </c>
      <c r="AA836" s="21">
        <f>IF(AND($A836="",$B836=""),"",IF($E836="","Site type missing",IF($H836="","STATUS missing",IF($H836="Proposed","STATUS = Proposed",IF($H836="Not Reported","STATUS = Not Reported",IF(AND($P836="Y",$Q836&lt;&gt;"Y"),"UNESCO-MAB Biosphere Reserve",IF(AND($K836="Point",N($L836)&lt;=0),"Point without REP_AREA",IF(AND(N($L836)&lt;=0,N($N836)&lt;=0,N($R836)+N($S836)&lt;=0),"No area information",""))))))))</f>
        <v/>
      </c>
      <c r="AB836" s="22">
        <f>IF(AND($A836="",$B836=""),"",IF($K836="Point",N($L836),IF(N($N836)&gt;0,N($N836),N($L836))))</f>
        <v/>
      </c>
      <c r="AC836" s="22">
        <f>IF(AND($A836="",$B836=""),"",MIN(AB836,IF(N($J836)=0,0,IF(N($J836)=2,AB836,IF(AND($K836&lt;&gt;"Point",N($O836)&gt;0),N($O836),N($M836))))))</f>
        <v/>
      </c>
      <c r="AD836" s="22">
        <f>IF(AND($A836="",$B836=""),"",MAX(0,AB836-AC836))</f>
        <v/>
      </c>
      <c r="AE836" s="21">
        <f>IF(AND($A836="",$B836=""),"",IF(OR($R836&lt;&gt;"",$S836&lt;&gt;""),1,0))</f>
        <v/>
      </c>
      <c r="AF836" s="22">
        <f>IF(AND($A836="",$B836=""),"",IF(Z836=1,IF(AE836=1,N($R836),AD836),0))</f>
        <v/>
      </c>
      <c r="AG836" s="22">
        <f>IF(AND($A836="",$B836=""),"",IF(Z836=1,IF(AE836=1,N($S836),AC836),0))</f>
        <v/>
      </c>
      <c r="AH836" s="21">
        <f>IF(AND($A836="",$B836=""),"",IF(AND(ISNUMBER($I836),N($I836)&gt;0),$I836,0))</f>
        <v/>
      </c>
      <c r="AI836" s="23">
        <f>IF(AND(NOT(AND($A836="",$B836="")),$K836="Point",N($L836)&gt;0),SQRT(N($L836)/PI()),"")</f>
        <v/>
      </c>
      <c r="AJ836" s="21">
        <f>IF(AND($A836="",$B836=""),"",IFERROR(VLOOKUP($G836,Lists!$D$4:$E$15,2,FALSE),"Not reported"))</f>
        <v/>
      </c>
      <c r="AK836" s="21">
        <f>IF(AND($A836="",$B836=""),"",IF($X836&lt;&gt;"",$X836,IF($T836&lt;&gt;"Y","Not assessed",IF(AND(ISNUMBER($V836),Setup!$B$6-$V836&gt;Setup!$B$26),"Assessment outdated",IF(NOT(ISNUMBER($W836)),"Assessed – no score",IF($W836&gt;=Setup!$B$24,"High",IF($W836&gt;=Setup!$B$25,"Moderate","Low")))))))</f>
        <v/>
      </c>
      <c r="AL836" s="21">
        <f>IF(AND($A836="",$B836=""),"",IF(Z836=0,"",IF(AND(AE836=1,N($R836)&gt;AD836*1.01+0.001),"Net terrestrial &gt; gross; ","")&amp;IF(AND(AE836=1,N($S836)&gt;AC836*1.01+0.001),"Net marine &gt; gross; ","")&amp;IF(AE836=0,"No net area – gross used, overlaps may be double-counted; ","")&amp;IF(AH836=0,"STATUS_YR missing – imputed in time series; ","")&amp;IF(AND(ISNUMBER($I836),N($I836)&gt;Setup!$B$6),"STATUS_YR after reporting year; ","")&amp;IF(OR($G836="",$G836="Not Reported"),"GOV_TYPE not reported; ","")&amp;IF(AND(N($J836)=1,$K836="Point",N($M836)&lt;=0),"Coastal point without REP_M_AREA – land/sea split unknown; ","")&amp;IF(AND(N($J836)=0,N($S836)&gt;0),"MARINE=0 but net marine &gt;0; ","")&amp;IF(AND(N($J836)=2,N($R836)&gt;0),"MARINE=2 but net terrestrial &gt;0; ","")&amp;IF($K836="Point","Buffered point – coverage approximate; ","")))</f>
        <v/>
      </c>
    </row>
    <row r="837">
      <c r="A837" s="19" t="n"/>
      <c r="B837" s="19" t="n"/>
      <c r="C837" s="19" t="n"/>
      <c r="D837" s="19" t="n"/>
      <c r="E837" s="19" t="n"/>
      <c r="F837" s="19" t="n"/>
      <c r="G837" s="19" t="n"/>
      <c r="H837" s="19" t="n"/>
      <c r="I837" s="19" t="n"/>
      <c r="J837" s="19" t="n"/>
      <c r="K837" s="19" t="n"/>
      <c r="L837" s="20" t="n"/>
      <c r="M837" s="20" t="n"/>
      <c r="N837" s="20" t="n"/>
      <c r="O837" s="20" t="n"/>
      <c r="P837" s="19" t="n"/>
      <c r="Q837" s="19" t="n"/>
      <c r="R837" s="20" t="n"/>
      <c r="S837" s="20" t="n"/>
      <c r="T837" s="19" t="n"/>
      <c r="U837" s="19" t="n"/>
      <c r="V837" s="19" t="n"/>
      <c r="W837" s="19" t="n"/>
      <c r="X837" s="19" t="n"/>
      <c r="Y837" s="19" t="n"/>
      <c r="Z837" s="21">
        <f>IF(AND($A837="",$B837=""),"",IF(OR($E837="",$H837="",$H837="Proposed",$H837="Not Reported"),0,IF(AND($P837="Y",$Q837&lt;&gt;"Y"),0,IF(AND($K837="Point",N($L837)&lt;=0),0,IF(AND(N($L837)&lt;=0,N($N837)&lt;=0,N($R837)+N($S837)&lt;=0),0,1)))))</f>
        <v/>
      </c>
      <c r="AA837" s="21">
        <f>IF(AND($A837="",$B837=""),"",IF($E837="","Site type missing",IF($H837="","STATUS missing",IF($H837="Proposed","STATUS = Proposed",IF($H837="Not Reported","STATUS = Not Reported",IF(AND($P837="Y",$Q837&lt;&gt;"Y"),"UNESCO-MAB Biosphere Reserve",IF(AND($K837="Point",N($L837)&lt;=0),"Point without REP_AREA",IF(AND(N($L837)&lt;=0,N($N837)&lt;=0,N($R837)+N($S837)&lt;=0),"No area information",""))))))))</f>
        <v/>
      </c>
      <c r="AB837" s="22">
        <f>IF(AND($A837="",$B837=""),"",IF($K837="Point",N($L837),IF(N($N837)&gt;0,N($N837),N($L837))))</f>
        <v/>
      </c>
      <c r="AC837" s="22">
        <f>IF(AND($A837="",$B837=""),"",MIN(AB837,IF(N($J837)=0,0,IF(N($J837)=2,AB837,IF(AND($K837&lt;&gt;"Point",N($O837)&gt;0),N($O837),N($M837))))))</f>
        <v/>
      </c>
      <c r="AD837" s="22">
        <f>IF(AND($A837="",$B837=""),"",MAX(0,AB837-AC837))</f>
        <v/>
      </c>
      <c r="AE837" s="21">
        <f>IF(AND($A837="",$B837=""),"",IF(OR($R837&lt;&gt;"",$S837&lt;&gt;""),1,0))</f>
        <v/>
      </c>
      <c r="AF837" s="22">
        <f>IF(AND($A837="",$B837=""),"",IF(Z837=1,IF(AE837=1,N($R837),AD837),0))</f>
        <v/>
      </c>
      <c r="AG837" s="22">
        <f>IF(AND($A837="",$B837=""),"",IF(Z837=1,IF(AE837=1,N($S837),AC837),0))</f>
        <v/>
      </c>
      <c r="AH837" s="21">
        <f>IF(AND($A837="",$B837=""),"",IF(AND(ISNUMBER($I837),N($I837)&gt;0),$I837,0))</f>
        <v/>
      </c>
      <c r="AI837" s="23">
        <f>IF(AND(NOT(AND($A837="",$B837="")),$K837="Point",N($L837)&gt;0),SQRT(N($L837)/PI()),"")</f>
        <v/>
      </c>
      <c r="AJ837" s="21">
        <f>IF(AND($A837="",$B837=""),"",IFERROR(VLOOKUP($G837,Lists!$D$4:$E$15,2,FALSE),"Not reported"))</f>
        <v/>
      </c>
      <c r="AK837" s="21">
        <f>IF(AND($A837="",$B837=""),"",IF($X837&lt;&gt;"",$X837,IF($T837&lt;&gt;"Y","Not assessed",IF(AND(ISNUMBER($V837),Setup!$B$6-$V837&gt;Setup!$B$26),"Assessment outdated",IF(NOT(ISNUMBER($W837)),"Assessed – no score",IF($W837&gt;=Setup!$B$24,"High",IF($W837&gt;=Setup!$B$25,"Moderate","Low")))))))</f>
        <v/>
      </c>
      <c r="AL837" s="21">
        <f>IF(AND($A837="",$B837=""),"",IF(Z837=0,"",IF(AND(AE837=1,N($R837)&gt;AD837*1.01+0.001),"Net terrestrial &gt; gross; ","")&amp;IF(AND(AE837=1,N($S837)&gt;AC837*1.01+0.001),"Net marine &gt; gross; ","")&amp;IF(AE837=0,"No net area – gross used, overlaps may be double-counted; ","")&amp;IF(AH837=0,"STATUS_YR missing – imputed in time series; ","")&amp;IF(AND(ISNUMBER($I837),N($I837)&gt;Setup!$B$6),"STATUS_YR after reporting year; ","")&amp;IF(OR($G837="",$G837="Not Reported"),"GOV_TYPE not reported; ","")&amp;IF(AND(N($J837)=1,$K837="Point",N($M837)&lt;=0),"Coastal point without REP_M_AREA – land/sea split unknown; ","")&amp;IF(AND(N($J837)=0,N($S837)&gt;0),"MARINE=0 but net marine &gt;0; ","")&amp;IF(AND(N($J837)=2,N($R837)&gt;0),"MARINE=2 but net terrestrial &gt;0; ","")&amp;IF($K837="Point","Buffered point – coverage approximate; ","")))</f>
        <v/>
      </c>
    </row>
    <row r="838">
      <c r="A838" s="19" t="n"/>
      <c r="B838" s="19" t="n"/>
      <c r="C838" s="19" t="n"/>
      <c r="D838" s="19" t="n"/>
      <c r="E838" s="19" t="n"/>
      <c r="F838" s="19" t="n"/>
      <c r="G838" s="19" t="n"/>
      <c r="H838" s="19" t="n"/>
      <c r="I838" s="19" t="n"/>
      <c r="J838" s="19" t="n"/>
      <c r="K838" s="19" t="n"/>
      <c r="L838" s="20" t="n"/>
      <c r="M838" s="20" t="n"/>
      <c r="N838" s="20" t="n"/>
      <c r="O838" s="20" t="n"/>
      <c r="P838" s="19" t="n"/>
      <c r="Q838" s="19" t="n"/>
      <c r="R838" s="20" t="n"/>
      <c r="S838" s="20" t="n"/>
      <c r="T838" s="19" t="n"/>
      <c r="U838" s="19" t="n"/>
      <c r="V838" s="19" t="n"/>
      <c r="W838" s="19" t="n"/>
      <c r="X838" s="19" t="n"/>
      <c r="Y838" s="19" t="n"/>
      <c r="Z838" s="21">
        <f>IF(AND($A838="",$B838=""),"",IF(OR($E838="",$H838="",$H838="Proposed",$H838="Not Reported"),0,IF(AND($P838="Y",$Q838&lt;&gt;"Y"),0,IF(AND($K838="Point",N($L838)&lt;=0),0,IF(AND(N($L838)&lt;=0,N($N838)&lt;=0,N($R838)+N($S838)&lt;=0),0,1)))))</f>
        <v/>
      </c>
      <c r="AA838" s="21">
        <f>IF(AND($A838="",$B838=""),"",IF($E838="","Site type missing",IF($H838="","STATUS missing",IF($H838="Proposed","STATUS = Proposed",IF($H838="Not Reported","STATUS = Not Reported",IF(AND($P838="Y",$Q838&lt;&gt;"Y"),"UNESCO-MAB Biosphere Reserve",IF(AND($K838="Point",N($L838)&lt;=0),"Point without REP_AREA",IF(AND(N($L838)&lt;=0,N($N838)&lt;=0,N($R838)+N($S838)&lt;=0),"No area information",""))))))))</f>
        <v/>
      </c>
      <c r="AB838" s="22">
        <f>IF(AND($A838="",$B838=""),"",IF($K838="Point",N($L838),IF(N($N838)&gt;0,N($N838),N($L838))))</f>
        <v/>
      </c>
      <c r="AC838" s="22">
        <f>IF(AND($A838="",$B838=""),"",MIN(AB838,IF(N($J838)=0,0,IF(N($J838)=2,AB838,IF(AND($K838&lt;&gt;"Point",N($O838)&gt;0),N($O838),N($M838))))))</f>
        <v/>
      </c>
      <c r="AD838" s="22">
        <f>IF(AND($A838="",$B838=""),"",MAX(0,AB838-AC838))</f>
        <v/>
      </c>
      <c r="AE838" s="21">
        <f>IF(AND($A838="",$B838=""),"",IF(OR($R838&lt;&gt;"",$S838&lt;&gt;""),1,0))</f>
        <v/>
      </c>
      <c r="AF838" s="22">
        <f>IF(AND($A838="",$B838=""),"",IF(Z838=1,IF(AE838=1,N($R838),AD838),0))</f>
        <v/>
      </c>
      <c r="AG838" s="22">
        <f>IF(AND($A838="",$B838=""),"",IF(Z838=1,IF(AE838=1,N($S838),AC838),0))</f>
        <v/>
      </c>
      <c r="AH838" s="21">
        <f>IF(AND($A838="",$B838=""),"",IF(AND(ISNUMBER($I838),N($I838)&gt;0),$I838,0))</f>
        <v/>
      </c>
      <c r="AI838" s="23">
        <f>IF(AND(NOT(AND($A838="",$B838="")),$K838="Point",N($L838)&gt;0),SQRT(N($L838)/PI()),"")</f>
        <v/>
      </c>
      <c r="AJ838" s="21">
        <f>IF(AND($A838="",$B838=""),"",IFERROR(VLOOKUP($G838,Lists!$D$4:$E$15,2,FALSE),"Not reported"))</f>
        <v/>
      </c>
      <c r="AK838" s="21">
        <f>IF(AND($A838="",$B838=""),"",IF($X838&lt;&gt;"",$X838,IF($T838&lt;&gt;"Y","Not assessed",IF(AND(ISNUMBER($V838),Setup!$B$6-$V838&gt;Setup!$B$26),"Assessment outdated",IF(NOT(ISNUMBER($W838)),"Assessed – no score",IF($W838&gt;=Setup!$B$24,"High",IF($W838&gt;=Setup!$B$25,"Moderate","Low")))))))</f>
        <v/>
      </c>
      <c r="AL838" s="21">
        <f>IF(AND($A838="",$B838=""),"",IF(Z838=0,"",IF(AND(AE838=1,N($R838)&gt;AD838*1.01+0.001),"Net terrestrial &gt; gross; ","")&amp;IF(AND(AE838=1,N($S838)&gt;AC838*1.01+0.001),"Net marine &gt; gross; ","")&amp;IF(AE838=0,"No net area – gross used, overlaps may be double-counted; ","")&amp;IF(AH838=0,"STATUS_YR missing – imputed in time series; ","")&amp;IF(AND(ISNUMBER($I838),N($I838)&gt;Setup!$B$6),"STATUS_YR after reporting year; ","")&amp;IF(OR($G838="",$G838="Not Reported"),"GOV_TYPE not reported; ","")&amp;IF(AND(N($J838)=1,$K838="Point",N($M838)&lt;=0),"Coastal point without REP_M_AREA – land/sea split unknown; ","")&amp;IF(AND(N($J838)=0,N($S838)&gt;0),"MARINE=0 but net marine &gt;0; ","")&amp;IF(AND(N($J838)=2,N($R838)&gt;0),"MARINE=2 but net terrestrial &gt;0; ","")&amp;IF($K838="Point","Buffered point – coverage approximate; ","")))</f>
        <v/>
      </c>
    </row>
    <row r="839">
      <c r="A839" s="19" t="n"/>
      <c r="B839" s="19" t="n"/>
      <c r="C839" s="19" t="n"/>
      <c r="D839" s="19" t="n"/>
      <c r="E839" s="19" t="n"/>
      <c r="F839" s="19" t="n"/>
      <c r="G839" s="19" t="n"/>
      <c r="H839" s="19" t="n"/>
      <c r="I839" s="19" t="n"/>
      <c r="J839" s="19" t="n"/>
      <c r="K839" s="19" t="n"/>
      <c r="L839" s="20" t="n"/>
      <c r="M839" s="20" t="n"/>
      <c r="N839" s="20" t="n"/>
      <c r="O839" s="20" t="n"/>
      <c r="P839" s="19" t="n"/>
      <c r="Q839" s="19" t="n"/>
      <c r="R839" s="20" t="n"/>
      <c r="S839" s="20" t="n"/>
      <c r="T839" s="19" t="n"/>
      <c r="U839" s="19" t="n"/>
      <c r="V839" s="19" t="n"/>
      <c r="W839" s="19" t="n"/>
      <c r="X839" s="19" t="n"/>
      <c r="Y839" s="19" t="n"/>
      <c r="Z839" s="21">
        <f>IF(AND($A839="",$B839=""),"",IF(OR($E839="",$H839="",$H839="Proposed",$H839="Not Reported"),0,IF(AND($P839="Y",$Q839&lt;&gt;"Y"),0,IF(AND($K839="Point",N($L839)&lt;=0),0,IF(AND(N($L839)&lt;=0,N($N839)&lt;=0,N($R839)+N($S839)&lt;=0),0,1)))))</f>
        <v/>
      </c>
      <c r="AA839" s="21">
        <f>IF(AND($A839="",$B839=""),"",IF($E839="","Site type missing",IF($H839="","STATUS missing",IF($H839="Proposed","STATUS = Proposed",IF($H839="Not Reported","STATUS = Not Reported",IF(AND($P839="Y",$Q839&lt;&gt;"Y"),"UNESCO-MAB Biosphere Reserve",IF(AND($K839="Point",N($L839)&lt;=0),"Point without REP_AREA",IF(AND(N($L839)&lt;=0,N($N839)&lt;=0,N($R839)+N($S839)&lt;=0),"No area information",""))))))))</f>
        <v/>
      </c>
      <c r="AB839" s="22">
        <f>IF(AND($A839="",$B839=""),"",IF($K839="Point",N($L839),IF(N($N839)&gt;0,N($N839),N($L839))))</f>
        <v/>
      </c>
      <c r="AC839" s="22">
        <f>IF(AND($A839="",$B839=""),"",MIN(AB839,IF(N($J839)=0,0,IF(N($J839)=2,AB839,IF(AND($K839&lt;&gt;"Point",N($O839)&gt;0),N($O839),N($M839))))))</f>
        <v/>
      </c>
      <c r="AD839" s="22">
        <f>IF(AND($A839="",$B839=""),"",MAX(0,AB839-AC839))</f>
        <v/>
      </c>
      <c r="AE839" s="21">
        <f>IF(AND($A839="",$B839=""),"",IF(OR($R839&lt;&gt;"",$S839&lt;&gt;""),1,0))</f>
        <v/>
      </c>
      <c r="AF839" s="22">
        <f>IF(AND($A839="",$B839=""),"",IF(Z839=1,IF(AE839=1,N($R839),AD839),0))</f>
        <v/>
      </c>
      <c r="AG839" s="22">
        <f>IF(AND($A839="",$B839=""),"",IF(Z839=1,IF(AE839=1,N($S839),AC839),0))</f>
        <v/>
      </c>
      <c r="AH839" s="21">
        <f>IF(AND($A839="",$B839=""),"",IF(AND(ISNUMBER($I839),N($I839)&gt;0),$I839,0))</f>
        <v/>
      </c>
      <c r="AI839" s="23">
        <f>IF(AND(NOT(AND($A839="",$B839="")),$K839="Point",N($L839)&gt;0),SQRT(N($L839)/PI()),"")</f>
        <v/>
      </c>
      <c r="AJ839" s="21">
        <f>IF(AND($A839="",$B839=""),"",IFERROR(VLOOKUP($G839,Lists!$D$4:$E$15,2,FALSE),"Not reported"))</f>
        <v/>
      </c>
      <c r="AK839" s="21">
        <f>IF(AND($A839="",$B839=""),"",IF($X839&lt;&gt;"",$X839,IF($T839&lt;&gt;"Y","Not assessed",IF(AND(ISNUMBER($V839),Setup!$B$6-$V839&gt;Setup!$B$26),"Assessment outdated",IF(NOT(ISNUMBER($W839)),"Assessed – no score",IF($W839&gt;=Setup!$B$24,"High",IF($W839&gt;=Setup!$B$25,"Moderate","Low")))))))</f>
        <v/>
      </c>
      <c r="AL839" s="21">
        <f>IF(AND($A839="",$B839=""),"",IF(Z839=0,"",IF(AND(AE839=1,N($R839)&gt;AD839*1.01+0.001),"Net terrestrial &gt; gross; ","")&amp;IF(AND(AE839=1,N($S839)&gt;AC839*1.01+0.001),"Net marine &gt; gross; ","")&amp;IF(AE839=0,"No net area – gross used, overlaps may be double-counted; ","")&amp;IF(AH839=0,"STATUS_YR missing – imputed in time series; ","")&amp;IF(AND(ISNUMBER($I839),N($I839)&gt;Setup!$B$6),"STATUS_YR after reporting year; ","")&amp;IF(OR($G839="",$G839="Not Reported"),"GOV_TYPE not reported; ","")&amp;IF(AND(N($J839)=1,$K839="Point",N($M839)&lt;=0),"Coastal point without REP_M_AREA – land/sea split unknown; ","")&amp;IF(AND(N($J839)=0,N($S839)&gt;0),"MARINE=0 but net marine &gt;0; ","")&amp;IF(AND(N($J839)=2,N($R839)&gt;0),"MARINE=2 but net terrestrial &gt;0; ","")&amp;IF($K839="Point","Buffered point – coverage approximate; ","")))</f>
        <v/>
      </c>
    </row>
    <row r="840">
      <c r="A840" s="19" t="n"/>
      <c r="B840" s="19" t="n"/>
      <c r="C840" s="19" t="n"/>
      <c r="D840" s="19" t="n"/>
      <c r="E840" s="19" t="n"/>
      <c r="F840" s="19" t="n"/>
      <c r="G840" s="19" t="n"/>
      <c r="H840" s="19" t="n"/>
      <c r="I840" s="19" t="n"/>
      <c r="J840" s="19" t="n"/>
      <c r="K840" s="19" t="n"/>
      <c r="L840" s="20" t="n"/>
      <c r="M840" s="20" t="n"/>
      <c r="N840" s="20" t="n"/>
      <c r="O840" s="20" t="n"/>
      <c r="P840" s="19" t="n"/>
      <c r="Q840" s="19" t="n"/>
      <c r="R840" s="20" t="n"/>
      <c r="S840" s="20" t="n"/>
      <c r="T840" s="19" t="n"/>
      <c r="U840" s="19" t="n"/>
      <c r="V840" s="19" t="n"/>
      <c r="W840" s="19" t="n"/>
      <c r="X840" s="19" t="n"/>
      <c r="Y840" s="19" t="n"/>
      <c r="Z840" s="21">
        <f>IF(AND($A840="",$B840=""),"",IF(OR($E840="",$H840="",$H840="Proposed",$H840="Not Reported"),0,IF(AND($P840="Y",$Q840&lt;&gt;"Y"),0,IF(AND($K840="Point",N($L840)&lt;=0),0,IF(AND(N($L840)&lt;=0,N($N840)&lt;=0,N($R840)+N($S840)&lt;=0),0,1)))))</f>
        <v/>
      </c>
      <c r="AA840" s="21">
        <f>IF(AND($A840="",$B840=""),"",IF($E840="","Site type missing",IF($H840="","STATUS missing",IF($H840="Proposed","STATUS = Proposed",IF($H840="Not Reported","STATUS = Not Reported",IF(AND($P840="Y",$Q840&lt;&gt;"Y"),"UNESCO-MAB Biosphere Reserve",IF(AND($K840="Point",N($L840)&lt;=0),"Point without REP_AREA",IF(AND(N($L840)&lt;=0,N($N840)&lt;=0,N($R840)+N($S840)&lt;=0),"No area information",""))))))))</f>
        <v/>
      </c>
      <c r="AB840" s="22">
        <f>IF(AND($A840="",$B840=""),"",IF($K840="Point",N($L840),IF(N($N840)&gt;0,N($N840),N($L840))))</f>
        <v/>
      </c>
      <c r="AC840" s="22">
        <f>IF(AND($A840="",$B840=""),"",MIN(AB840,IF(N($J840)=0,0,IF(N($J840)=2,AB840,IF(AND($K840&lt;&gt;"Point",N($O840)&gt;0),N($O840),N($M840))))))</f>
        <v/>
      </c>
      <c r="AD840" s="22">
        <f>IF(AND($A840="",$B840=""),"",MAX(0,AB840-AC840))</f>
        <v/>
      </c>
      <c r="AE840" s="21">
        <f>IF(AND($A840="",$B840=""),"",IF(OR($R840&lt;&gt;"",$S840&lt;&gt;""),1,0))</f>
        <v/>
      </c>
      <c r="AF840" s="22">
        <f>IF(AND($A840="",$B840=""),"",IF(Z840=1,IF(AE840=1,N($R840),AD840),0))</f>
        <v/>
      </c>
      <c r="AG840" s="22">
        <f>IF(AND($A840="",$B840=""),"",IF(Z840=1,IF(AE840=1,N($S840),AC840),0))</f>
        <v/>
      </c>
      <c r="AH840" s="21">
        <f>IF(AND($A840="",$B840=""),"",IF(AND(ISNUMBER($I840),N($I840)&gt;0),$I840,0))</f>
        <v/>
      </c>
      <c r="AI840" s="23">
        <f>IF(AND(NOT(AND($A840="",$B840="")),$K840="Point",N($L840)&gt;0),SQRT(N($L840)/PI()),"")</f>
        <v/>
      </c>
      <c r="AJ840" s="21">
        <f>IF(AND($A840="",$B840=""),"",IFERROR(VLOOKUP($G840,Lists!$D$4:$E$15,2,FALSE),"Not reported"))</f>
        <v/>
      </c>
      <c r="AK840" s="21">
        <f>IF(AND($A840="",$B840=""),"",IF($X840&lt;&gt;"",$X840,IF($T840&lt;&gt;"Y","Not assessed",IF(AND(ISNUMBER($V840),Setup!$B$6-$V840&gt;Setup!$B$26),"Assessment outdated",IF(NOT(ISNUMBER($W840)),"Assessed – no score",IF($W840&gt;=Setup!$B$24,"High",IF($W840&gt;=Setup!$B$25,"Moderate","Low")))))))</f>
        <v/>
      </c>
      <c r="AL840" s="21">
        <f>IF(AND($A840="",$B840=""),"",IF(Z840=0,"",IF(AND(AE840=1,N($R840)&gt;AD840*1.01+0.001),"Net terrestrial &gt; gross; ","")&amp;IF(AND(AE840=1,N($S840)&gt;AC840*1.01+0.001),"Net marine &gt; gross; ","")&amp;IF(AE840=0,"No net area – gross used, overlaps may be double-counted; ","")&amp;IF(AH840=0,"STATUS_YR missing – imputed in time series; ","")&amp;IF(AND(ISNUMBER($I840),N($I840)&gt;Setup!$B$6),"STATUS_YR after reporting year; ","")&amp;IF(OR($G840="",$G840="Not Reported"),"GOV_TYPE not reported; ","")&amp;IF(AND(N($J840)=1,$K840="Point",N($M840)&lt;=0),"Coastal point without REP_M_AREA – land/sea split unknown; ","")&amp;IF(AND(N($J840)=0,N($S840)&gt;0),"MARINE=0 but net marine &gt;0; ","")&amp;IF(AND(N($J840)=2,N($R840)&gt;0),"MARINE=2 but net terrestrial &gt;0; ","")&amp;IF($K840="Point","Buffered point – coverage approximate; ","")))</f>
        <v/>
      </c>
    </row>
    <row r="841">
      <c r="A841" s="19" t="n"/>
      <c r="B841" s="19" t="n"/>
      <c r="C841" s="19" t="n"/>
      <c r="D841" s="19" t="n"/>
      <c r="E841" s="19" t="n"/>
      <c r="F841" s="19" t="n"/>
      <c r="G841" s="19" t="n"/>
      <c r="H841" s="19" t="n"/>
      <c r="I841" s="19" t="n"/>
      <c r="J841" s="19" t="n"/>
      <c r="K841" s="19" t="n"/>
      <c r="L841" s="20" t="n"/>
      <c r="M841" s="20" t="n"/>
      <c r="N841" s="20" t="n"/>
      <c r="O841" s="20" t="n"/>
      <c r="P841" s="19" t="n"/>
      <c r="Q841" s="19" t="n"/>
      <c r="R841" s="20" t="n"/>
      <c r="S841" s="20" t="n"/>
      <c r="T841" s="19" t="n"/>
      <c r="U841" s="19" t="n"/>
      <c r="V841" s="19" t="n"/>
      <c r="W841" s="19" t="n"/>
      <c r="X841" s="19" t="n"/>
      <c r="Y841" s="19" t="n"/>
      <c r="Z841" s="21">
        <f>IF(AND($A841="",$B841=""),"",IF(OR($E841="",$H841="",$H841="Proposed",$H841="Not Reported"),0,IF(AND($P841="Y",$Q841&lt;&gt;"Y"),0,IF(AND($K841="Point",N($L841)&lt;=0),0,IF(AND(N($L841)&lt;=0,N($N841)&lt;=0,N($R841)+N($S841)&lt;=0),0,1)))))</f>
        <v/>
      </c>
      <c r="AA841" s="21">
        <f>IF(AND($A841="",$B841=""),"",IF($E841="","Site type missing",IF($H841="","STATUS missing",IF($H841="Proposed","STATUS = Proposed",IF($H841="Not Reported","STATUS = Not Reported",IF(AND($P841="Y",$Q841&lt;&gt;"Y"),"UNESCO-MAB Biosphere Reserve",IF(AND($K841="Point",N($L841)&lt;=0),"Point without REP_AREA",IF(AND(N($L841)&lt;=0,N($N841)&lt;=0,N($R841)+N($S841)&lt;=0),"No area information",""))))))))</f>
        <v/>
      </c>
      <c r="AB841" s="22">
        <f>IF(AND($A841="",$B841=""),"",IF($K841="Point",N($L841),IF(N($N841)&gt;0,N($N841),N($L841))))</f>
        <v/>
      </c>
      <c r="AC841" s="22">
        <f>IF(AND($A841="",$B841=""),"",MIN(AB841,IF(N($J841)=0,0,IF(N($J841)=2,AB841,IF(AND($K841&lt;&gt;"Point",N($O841)&gt;0),N($O841),N($M841))))))</f>
        <v/>
      </c>
      <c r="AD841" s="22">
        <f>IF(AND($A841="",$B841=""),"",MAX(0,AB841-AC841))</f>
        <v/>
      </c>
      <c r="AE841" s="21">
        <f>IF(AND($A841="",$B841=""),"",IF(OR($R841&lt;&gt;"",$S841&lt;&gt;""),1,0))</f>
        <v/>
      </c>
      <c r="AF841" s="22">
        <f>IF(AND($A841="",$B841=""),"",IF(Z841=1,IF(AE841=1,N($R841),AD841),0))</f>
        <v/>
      </c>
      <c r="AG841" s="22">
        <f>IF(AND($A841="",$B841=""),"",IF(Z841=1,IF(AE841=1,N($S841),AC841),0))</f>
        <v/>
      </c>
      <c r="AH841" s="21">
        <f>IF(AND($A841="",$B841=""),"",IF(AND(ISNUMBER($I841),N($I841)&gt;0),$I841,0))</f>
        <v/>
      </c>
      <c r="AI841" s="23">
        <f>IF(AND(NOT(AND($A841="",$B841="")),$K841="Point",N($L841)&gt;0),SQRT(N($L841)/PI()),"")</f>
        <v/>
      </c>
      <c r="AJ841" s="21">
        <f>IF(AND($A841="",$B841=""),"",IFERROR(VLOOKUP($G841,Lists!$D$4:$E$15,2,FALSE),"Not reported"))</f>
        <v/>
      </c>
      <c r="AK841" s="21">
        <f>IF(AND($A841="",$B841=""),"",IF($X841&lt;&gt;"",$X841,IF($T841&lt;&gt;"Y","Not assessed",IF(AND(ISNUMBER($V841),Setup!$B$6-$V841&gt;Setup!$B$26),"Assessment outdated",IF(NOT(ISNUMBER($W841)),"Assessed – no score",IF($W841&gt;=Setup!$B$24,"High",IF($W841&gt;=Setup!$B$25,"Moderate","Low")))))))</f>
        <v/>
      </c>
      <c r="AL841" s="21">
        <f>IF(AND($A841="",$B841=""),"",IF(Z841=0,"",IF(AND(AE841=1,N($R841)&gt;AD841*1.01+0.001),"Net terrestrial &gt; gross; ","")&amp;IF(AND(AE841=1,N($S841)&gt;AC841*1.01+0.001),"Net marine &gt; gross; ","")&amp;IF(AE841=0,"No net area – gross used, overlaps may be double-counted; ","")&amp;IF(AH841=0,"STATUS_YR missing – imputed in time series; ","")&amp;IF(AND(ISNUMBER($I841),N($I841)&gt;Setup!$B$6),"STATUS_YR after reporting year; ","")&amp;IF(OR($G841="",$G841="Not Reported"),"GOV_TYPE not reported; ","")&amp;IF(AND(N($J841)=1,$K841="Point",N($M841)&lt;=0),"Coastal point without REP_M_AREA – land/sea split unknown; ","")&amp;IF(AND(N($J841)=0,N($S841)&gt;0),"MARINE=0 but net marine &gt;0; ","")&amp;IF(AND(N($J841)=2,N($R841)&gt;0),"MARINE=2 but net terrestrial &gt;0; ","")&amp;IF($K841="Point","Buffered point – coverage approximate; ","")))</f>
        <v/>
      </c>
    </row>
    <row r="842">
      <c r="A842" s="19" t="n"/>
      <c r="B842" s="19" t="n"/>
      <c r="C842" s="19" t="n"/>
      <c r="D842" s="19" t="n"/>
      <c r="E842" s="19" t="n"/>
      <c r="F842" s="19" t="n"/>
      <c r="G842" s="19" t="n"/>
      <c r="H842" s="19" t="n"/>
      <c r="I842" s="19" t="n"/>
      <c r="J842" s="19" t="n"/>
      <c r="K842" s="19" t="n"/>
      <c r="L842" s="20" t="n"/>
      <c r="M842" s="20" t="n"/>
      <c r="N842" s="20" t="n"/>
      <c r="O842" s="20" t="n"/>
      <c r="P842" s="19" t="n"/>
      <c r="Q842" s="19" t="n"/>
      <c r="R842" s="20" t="n"/>
      <c r="S842" s="20" t="n"/>
      <c r="T842" s="19" t="n"/>
      <c r="U842" s="19" t="n"/>
      <c r="V842" s="19" t="n"/>
      <c r="W842" s="19" t="n"/>
      <c r="X842" s="19" t="n"/>
      <c r="Y842" s="19" t="n"/>
      <c r="Z842" s="21">
        <f>IF(AND($A842="",$B842=""),"",IF(OR($E842="",$H842="",$H842="Proposed",$H842="Not Reported"),0,IF(AND($P842="Y",$Q842&lt;&gt;"Y"),0,IF(AND($K842="Point",N($L842)&lt;=0),0,IF(AND(N($L842)&lt;=0,N($N842)&lt;=0,N($R842)+N($S842)&lt;=0),0,1)))))</f>
        <v/>
      </c>
      <c r="AA842" s="21">
        <f>IF(AND($A842="",$B842=""),"",IF($E842="","Site type missing",IF($H842="","STATUS missing",IF($H842="Proposed","STATUS = Proposed",IF($H842="Not Reported","STATUS = Not Reported",IF(AND($P842="Y",$Q842&lt;&gt;"Y"),"UNESCO-MAB Biosphere Reserve",IF(AND($K842="Point",N($L842)&lt;=0),"Point without REP_AREA",IF(AND(N($L842)&lt;=0,N($N842)&lt;=0,N($R842)+N($S842)&lt;=0),"No area information",""))))))))</f>
        <v/>
      </c>
      <c r="AB842" s="22">
        <f>IF(AND($A842="",$B842=""),"",IF($K842="Point",N($L842),IF(N($N842)&gt;0,N($N842),N($L842))))</f>
        <v/>
      </c>
      <c r="AC842" s="22">
        <f>IF(AND($A842="",$B842=""),"",MIN(AB842,IF(N($J842)=0,0,IF(N($J842)=2,AB842,IF(AND($K842&lt;&gt;"Point",N($O842)&gt;0),N($O842),N($M842))))))</f>
        <v/>
      </c>
      <c r="AD842" s="22">
        <f>IF(AND($A842="",$B842=""),"",MAX(0,AB842-AC842))</f>
        <v/>
      </c>
      <c r="AE842" s="21">
        <f>IF(AND($A842="",$B842=""),"",IF(OR($R842&lt;&gt;"",$S842&lt;&gt;""),1,0))</f>
        <v/>
      </c>
      <c r="AF842" s="22">
        <f>IF(AND($A842="",$B842=""),"",IF(Z842=1,IF(AE842=1,N($R842),AD842),0))</f>
        <v/>
      </c>
      <c r="AG842" s="22">
        <f>IF(AND($A842="",$B842=""),"",IF(Z842=1,IF(AE842=1,N($S842),AC842),0))</f>
        <v/>
      </c>
      <c r="AH842" s="21">
        <f>IF(AND($A842="",$B842=""),"",IF(AND(ISNUMBER($I842),N($I842)&gt;0),$I842,0))</f>
        <v/>
      </c>
      <c r="AI842" s="23">
        <f>IF(AND(NOT(AND($A842="",$B842="")),$K842="Point",N($L842)&gt;0),SQRT(N($L842)/PI()),"")</f>
        <v/>
      </c>
      <c r="AJ842" s="21">
        <f>IF(AND($A842="",$B842=""),"",IFERROR(VLOOKUP($G842,Lists!$D$4:$E$15,2,FALSE),"Not reported"))</f>
        <v/>
      </c>
      <c r="AK842" s="21">
        <f>IF(AND($A842="",$B842=""),"",IF($X842&lt;&gt;"",$X842,IF($T842&lt;&gt;"Y","Not assessed",IF(AND(ISNUMBER($V842),Setup!$B$6-$V842&gt;Setup!$B$26),"Assessment outdated",IF(NOT(ISNUMBER($W842)),"Assessed – no score",IF($W842&gt;=Setup!$B$24,"High",IF($W842&gt;=Setup!$B$25,"Moderate","Low")))))))</f>
        <v/>
      </c>
      <c r="AL842" s="21">
        <f>IF(AND($A842="",$B842=""),"",IF(Z842=0,"",IF(AND(AE842=1,N($R842)&gt;AD842*1.01+0.001),"Net terrestrial &gt; gross; ","")&amp;IF(AND(AE842=1,N($S842)&gt;AC842*1.01+0.001),"Net marine &gt; gross; ","")&amp;IF(AE842=0,"No net area – gross used, overlaps may be double-counted; ","")&amp;IF(AH842=0,"STATUS_YR missing – imputed in time series; ","")&amp;IF(AND(ISNUMBER($I842),N($I842)&gt;Setup!$B$6),"STATUS_YR after reporting year; ","")&amp;IF(OR($G842="",$G842="Not Reported"),"GOV_TYPE not reported; ","")&amp;IF(AND(N($J842)=1,$K842="Point",N($M842)&lt;=0),"Coastal point without REP_M_AREA – land/sea split unknown; ","")&amp;IF(AND(N($J842)=0,N($S842)&gt;0),"MARINE=0 but net marine &gt;0; ","")&amp;IF(AND(N($J842)=2,N($R842)&gt;0),"MARINE=2 but net terrestrial &gt;0; ","")&amp;IF($K842="Point","Buffered point – coverage approximate; ","")))</f>
        <v/>
      </c>
    </row>
    <row r="843">
      <c r="A843" s="19" t="n"/>
      <c r="B843" s="19" t="n"/>
      <c r="C843" s="19" t="n"/>
      <c r="D843" s="19" t="n"/>
      <c r="E843" s="19" t="n"/>
      <c r="F843" s="19" t="n"/>
      <c r="G843" s="19" t="n"/>
      <c r="H843" s="19" t="n"/>
      <c r="I843" s="19" t="n"/>
      <c r="J843" s="19" t="n"/>
      <c r="K843" s="19" t="n"/>
      <c r="L843" s="20" t="n"/>
      <c r="M843" s="20" t="n"/>
      <c r="N843" s="20" t="n"/>
      <c r="O843" s="20" t="n"/>
      <c r="P843" s="19" t="n"/>
      <c r="Q843" s="19" t="n"/>
      <c r="R843" s="20" t="n"/>
      <c r="S843" s="20" t="n"/>
      <c r="T843" s="19" t="n"/>
      <c r="U843" s="19" t="n"/>
      <c r="V843" s="19" t="n"/>
      <c r="W843" s="19" t="n"/>
      <c r="X843" s="19" t="n"/>
      <c r="Y843" s="19" t="n"/>
      <c r="Z843" s="21">
        <f>IF(AND($A843="",$B843=""),"",IF(OR($E843="",$H843="",$H843="Proposed",$H843="Not Reported"),0,IF(AND($P843="Y",$Q843&lt;&gt;"Y"),0,IF(AND($K843="Point",N($L843)&lt;=0),0,IF(AND(N($L843)&lt;=0,N($N843)&lt;=0,N($R843)+N($S843)&lt;=0),0,1)))))</f>
        <v/>
      </c>
      <c r="AA843" s="21">
        <f>IF(AND($A843="",$B843=""),"",IF($E843="","Site type missing",IF($H843="","STATUS missing",IF($H843="Proposed","STATUS = Proposed",IF($H843="Not Reported","STATUS = Not Reported",IF(AND($P843="Y",$Q843&lt;&gt;"Y"),"UNESCO-MAB Biosphere Reserve",IF(AND($K843="Point",N($L843)&lt;=0),"Point without REP_AREA",IF(AND(N($L843)&lt;=0,N($N843)&lt;=0,N($R843)+N($S843)&lt;=0),"No area information",""))))))))</f>
        <v/>
      </c>
      <c r="AB843" s="22">
        <f>IF(AND($A843="",$B843=""),"",IF($K843="Point",N($L843),IF(N($N843)&gt;0,N($N843),N($L843))))</f>
        <v/>
      </c>
      <c r="AC843" s="22">
        <f>IF(AND($A843="",$B843=""),"",MIN(AB843,IF(N($J843)=0,0,IF(N($J843)=2,AB843,IF(AND($K843&lt;&gt;"Point",N($O843)&gt;0),N($O843),N($M843))))))</f>
        <v/>
      </c>
      <c r="AD843" s="22">
        <f>IF(AND($A843="",$B843=""),"",MAX(0,AB843-AC843))</f>
        <v/>
      </c>
      <c r="AE843" s="21">
        <f>IF(AND($A843="",$B843=""),"",IF(OR($R843&lt;&gt;"",$S843&lt;&gt;""),1,0))</f>
        <v/>
      </c>
      <c r="AF843" s="22">
        <f>IF(AND($A843="",$B843=""),"",IF(Z843=1,IF(AE843=1,N($R843),AD843),0))</f>
        <v/>
      </c>
      <c r="AG843" s="22">
        <f>IF(AND($A843="",$B843=""),"",IF(Z843=1,IF(AE843=1,N($S843),AC843),0))</f>
        <v/>
      </c>
      <c r="AH843" s="21">
        <f>IF(AND($A843="",$B843=""),"",IF(AND(ISNUMBER($I843),N($I843)&gt;0),$I843,0))</f>
        <v/>
      </c>
      <c r="AI843" s="23">
        <f>IF(AND(NOT(AND($A843="",$B843="")),$K843="Point",N($L843)&gt;0),SQRT(N($L843)/PI()),"")</f>
        <v/>
      </c>
      <c r="AJ843" s="21">
        <f>IF(AND($A843="",$B843=""),"",IFERROR(VLOOKUP($G843,Lists!$D$4:$E$15,2,FALSE),"Not reported"))</f>
        <v/>
      </c>
      <c r="AK843" s="21">
        <f>IF(AND($A843="",$B843=""),"",IF($X843&lt;&gt;"",$X843,IF($T843&lt;&gt;"Y","Not assessed",IF(AND(ISNUMBER($V843),Setup!$B$6-$V843&gt;Setup!$B$26),"Assessment outdated",IF(NOT(ISNUMBER($W843)),"Assessed – no score",IF($W843&gt;=Setup!$B$24,"High",IF($W843&gt;=Setup!$B$25,"Moderate","Low")))))))</f>
        <v/>
      </c>
      <c r="AL843" s="21">
        <f>IF(AND($A843="",$B843=""),"",IF(Z843=0,"",IF(AND(AE843=1,N($R843)&gt;AD843*1.01+0.001),"Net terrestrial &gt; gross; ","")&amp;IF(AND(AE843=1,N($S843)&gt;AC843*1.01+0.001),"Net marine &gt; gross; ","")&amp;IF(AE843=0,"No net area – gross used, overlaps may be double-counted; ","")&amp;IF(AH843=0,"STATUS_YR missing – imputed in time series; ","")&amp;IF(AND(ISNUMBER($I843),N($I843)&gt;Setup!$B$6),"STATUS_YR after reporting year; ","")&amp;IF(OR($G843="",$G843="Not Reported"),"GOV_TYPE not reported; ","")&amp;IF(AND(N($J843)=1,$K843="Point",N($M843)&lt;=0),"Coastal point without REP_M_AREA – land/sea split unknown; ","")&amp;IF(AND(N($J843)=0,N($S843)&gt;0),"MARINE=0 but net marine &gt;0; ","")&amp;IF(AND(N($J843)=2,N($R843)&gt;0),"MARINE=2 but net terrestrial &gt;0; ","")&amp;IF($K843="Point","Buffered point – coverage approximate; ","")))</f>
        <v/>
      </c>
    </row>
    <row r="844">
      <c r="A844" s="19" t="n"/>
      <c r="B844" s="19" t="n"/>
      <c r="C844" s="19" t="n"/>
      <c r="D844" s="19" t="n"/>
      <c r="E844" s="19" t="n"/>
      <c r="F844" s="19" t="n"/>
      <c r="G844" s="19" t="n"/>
      <c r="H844" s="19" t="n"/>
      <c r="I844" s="19" t="n"/>
      <c r="J844" s="19" t="n"/>
      <c r="K844" s="19" t="n"/>
      <c r="L844" s="20" t="n"/>
      <c r="M844" s="20" t="n"/>
      <c r="N844" s="20" t="n"/>
      <c r="O844" s="20" t="n"/>
      <c r="P844" s="19" t="n"/>
      <c r="Q844" s="19" t="n"/>
      <c r="R844" s="20" t="n"/>
      <c r="S844" s="20" t="n"/>
      <c r="T844" s="19" t="n"/>
      <c r="U844" s="19" t="n"/>
      <c r="V844" s="19" t="n"/>
      <c r="W844" s="19" t="n"/>
      <c r="X844" s="19" t="n"/>
      <c r="Y844" s="19" t="n"/>
      <c r="Z844" s="21">
        <f>IF(AND($A844="",$B844=""),"",IF(OR($E844="",$H844="",$H844="Proposed",$H844="Not Reported"),0,IF(AND($P844="Y",$Q844&lt;&gt;"Y"),0,IF(AND($K844="Point",N($L844)&lt;=0),0,IF(AND(N($L844)&lt;=0,N($N844)&lt;=0,N($R844)+N($S844)&lt;=0),0,1)))))</f>
        <v/>
      </c>
      <c r="AA844" s="21">
        <f>IF(AND($A844="",$B844=""),"",IF($E844="","Site type missing",IF($H844="","STATUS missing",IF($H844="Proposed","STATUS = Proposed",IF($H844="Not Reported","STATUS = Not Reported",IF(AND($P844="Y",$Q844&lt;&gt;"Y"),"UNESCO-MAB Biosphere Reserve",IF(AND($K844="Point",N($L844)&lt;=0),"Point without REP_AREA",IF(AND(N($L844)&lt;=0,N($N844)&lt;=0,N($R844)+N($S844)&lt;=0),"No area information",""))))))))</f>
        <v/>
      </c>
      <c r="AB844" s="22">
        <f>IF(AND($A844="",$B844=""),"",IF($K844="Point",N($L844),IF(N($N844)&gt;0,N($N844),N($L844))))</f>
        <v/>
      </c>
      <c r="AC844" s="22">
        <f>IF(AND($A844="",$B844=""),"",MIN(AB844,IF(N($J844)=0,0,IF(N($J844)=2,AB844,IF(AND($K844&lt;&gt;"Point",N($O844)&gt;0),N($O844),N($M844))))))</f>
        <v/>
      </c>
      <c r="AD844" s="22">
        <f>IF(AND($A844="",$B844=""),"",MAX(0,AB844-AC844))</f>
        <v/>
      </c>
      <c r="AE844" s="21">
        <f>IF(AND($A844="",$B844=""),"",IF(OR($R844&lt;&gt;"",$S844&lt;&gt;""),1,0))</f>
        <v/>
      </c>
      <c r="AF844" s="22">
        <f>IF(AND($A844="",$B844=""),"",IF(Z844=1,IF(AE844=1,N($R844),AD844),0))</f>
        <v/>
      </c>
      <c r="AG844" s="22">
        <f>IF(AND($A844="",$B844=""),"",IF(Z844=1,IF(AE844=1,N($S844),AC844),0))</f>
        <v/>
      </c>
      <c r="AH844" s="21">
        <f>IF(AND($A844="",$B844=""),"",IF(AND(ISNUMBER($I844),N($I844)&gt;0),$I844,0))</f>
        <v/>
      </c>
      <c r="AI844" s="23">
        <f>IF(AND(NOT(AND($A844="",$B844="")),$K844="Point",N($L844)&gt;0),SQRT(N($L844)/PI()),"")</f>
        <v/>
      </c>
      <c r="AJ844" s="21">
        <f>IF(AND($A844="",$B844=""),"",IFERROR(VLOOKUP($G844,Lists!$D$4:$E$15,2,FALSE),"Not reported"))</f>
        <v/>
      </c>
      <c r="AK844" s="21">
        <f>IF(AND($A844="",$B844=""),"",IF($X844&lt;&gt;"",$X844,IF($T844&lt;&gt;"Y","Not assessed",IF(AND(ISNUMBER($V844),Setup!$B$6-$V844&gt;Setup!$B$26),"Assessment outdated",IF(NOT(ISNUMBER($W844)),"Assessed – no score",IF($W844&gt;=Setup!$B$24,"High",IF($W844&gt;=Setup!$B$25,"Moderate","Low")))))))</f>
        <v/>
      </c>
      <c r="AL844" s="21">
        <f>IF(AND($A844="",$B844=""),"",IF(Z844=0,"",IF(AND(AE844=1,N($R844)&gt;AD844*1.01+0.001),"Net terrestrial &gt; gross; ","")&amp;IF(AND(AE844=1,N($S844)&gt;AC844*1.01+0.001),"Net marine &gt; gross; ","")&amp;IF(AE844=0,"No net area – gross used, overlaps may be double-counted; ","")&amp;IF(AH844=0,"STATUS_YR missing – imputed in time series; ","")&amp;IF(AND(ISNUMBER($I844),N($I844)&gt;Setup!$B$6),"STATUS_YR after reporting year; ","")&amp;IF(OR($G844="",$G844="Not Reported"),"GOV_TYPE not reported; ","")&amp;IF(AND(N($J844)=1,$K844="Point",N($M844)&lt;=0),"Coastal point without REP_M_AREA – land/sea split unknown; ","")&amp;IF(AND(N($J844)=0,N($S844)&gt;0),"MARINE=0 but net marine &gt;0; ","")&amp;IF(AND(N($J844)=2,N($R844)&gt;0),"MARINE=2 but net terrestrial &gt;0; ","")&amp;IF($K844="Point","Buffered point – coverage approximate; ","")))</f>
        <v/>
      </c>
    </row>
    <row r="845">
      <c r="A845" s="19" t="n"/>
      <c r="B845" s="19" t="n"/>
      <c r="C845" s="19" t="n"/>
      <c r="D845" s="19" t="n"/>
      <c r="E845" s="19" t="n"/>
      <c r="F845" s="19" t="n"/>
      <c r="G845" s="19" t="n"/>
      <c r="H845" s="19" t="n"/>
      <c r="I845" s="19" t="n"/>
      <c r="J845" s="19" t="n"/>
      <c r="K845" s="19" t="n"/>
      <c r="L845" s="20" t="n"/>
      <c r="M845" s="20" t="n"/>
      <c r="N845" s="20" t="n"/>
      <c r="O845" s="20" t="n"/>
      <c r="P845" s="19" t="n"/>
      <c r="Q845" s="19" t="n"/>
      <c r="R845" s="20" t="n"/>
      <c r="S845" s="20" t="n"/>
      <c r="T845" s="19" t="n"/>
      <c r="U845" s="19" t="n"/>
      <c r="V845" s="19" t="n"/>
      <c r="W845" s="19" t="n"/>
      <c r="X845" s="19" t="n"/>
      <c r="Y845" s="19" t="n"/>
      <c r="Z845" s="21">
        <f>IF(AND($A845="",$B845=""),"",IF(OR($E845="",$H845="",$H845="Proposed",$H845="Not Reported"),0,IF(AND($P845="Y",$Q845&lt;&gt;"Y"),0,IF(AND($K845="Point",N($L845)&lt;=0),0,IF(AND(N($L845)&lt;=0,N($N845)&lt;=0,N($R845)+N($S845)&lt;=0),0,1)))))</f>
        <v/>
      </c>
      <c r="AA845" s="21">
        <f>IF(AND($A845="",$B845=""),"",IF($E845="","Site type missing",IF($H845="","STATUS missing",IF($H845="Proposed","STATUS = Proposed",IF($H845="Not Reported","STATUS = Not Reported",IF(AND($P845="Y",$Q845&lt;&gt;"Y"),"UNESCO-MAB Biosphere Reserve",IF(AND($K845="Point",N($L845)&lt;=0),"Point without REP_AREA",IF(AND(N($L845)&lt;=0,N($N845)&lt;=0,N($R845)+N($S845)&lt;=0),"No area information",""))))))))</f>
        <v/>
      </c>
      <c r="AB845" s="22">
        <f>IF(AND($A845="",$B845=""),"",IF($K845="Point",N($L845),IF(N($N845)&gt;0,N($N845),N($L845))))</f>
        <v/>
      </c>
      <c r="AC845" s="22">
        <f>IF(AND($A845="",$B845=""),"",MIN(AB845,IF(N($J845)=0,0,IF(N($J845)=2,AB845,IF(AND($K845&lt;&gt;"Point",N($O845)&gt;0),N($O845),N($M845))))))</f>
        <v/>
      </c>
      <c r="AD845" s="22">
        <f>IF(AND($A845="",$B845=""),"",MAX(0,AB845-AC845))</f>
        <v/>
      </c>
      <c r="AE845" s="21">
        <f>IF(AND($A845="",$B845=""),"",IF(OR($R845&lt;&gt;"",$S845&lt;&gt;""),1,0))</f>
        <v/>
      </c>
      <c r="AF845" s="22">
        <f>IF(AND($A845="",$B845=""),"",IF(Z845=1,IF(AE845=1,N($R845),AD845),0))</f>
        <v/>
      </c>
      <c r="AG845" s="22">
        <f>IF(AND($A845="",$B845=""),"",IF(Z845=1,IF(AE845=1,N($S845),AC845),0))</f>
        <v/>
      </c>
      <c r="AH845" s="21">
        <f>IF(AND($A845="",$B845=""),"",IF(AND(ISNUMBER($I845),N($I845)&gt;0),$I845,0))</f>
        <v/>
      </c>
      <c r="AI845" s="23">
        <f>IF(AND(NOT(AND($A845="",$B845="")),$K845="Point",N($L845)&gt;0),SQRT(N($L845)/PI()),"")</f>
        <v/>
      </c>
      <c r="AJ845" s="21">
        <f>IF(AND($A845="",$B845=""),"",IFERROR(VLOOKUP($G845,Lists!$D$4:$E$15,2,FALSE),"Not reported"))</f>
        <v/>
      </c>
      <c r="AK845" s="21">
        <f>IF(AND($A845="",$B845=""),"",IF($X845&lt;&gt;"",$X845,IF($T845&lt;&gt;"Y","Not assessed",IF(AND(ISNUMBER($V845),Setup!$B$6-$V845&gt;Setup!$B$26),"Assessment outdated",IF(NOT(ISNUMBER($W845)),"Assessed – no score",IF($W845&gt;=Setup!$B$24,"High",IF($W845&gt;=Setup!$B$25,"Moderate","Low")))))))</f>
        <v/>
      </c>
      <c r="AL845" s="21">
        <f>IF(AND($A845="",$B845=""),"",IF(Z845=0,"",IF(AND(AE845=1,N($R845)&gt;AD845*1.01+0.001),"Net terrestrial &gt; gross; ","")&amp;IF(AND(AE845=1,N($S845)&gt;AC845*1.01+0.001),"Net marine &gt; gross; ","")&amp;IF(AE845=0,"No net area – gross used, overlaps may be double-counted; ","")&amp;IF(AH845=0,"STATUS_YR missing – imputed in time series; ","")&amp;IF(AND(ISNUMBER($I845),N($I845)&gt;Setup!$B$6),"STATUS_YR after reporting year; ","")&amp;IF(OR($G845="",$G845="Not Reported"),"GOV_TYPE not reported; ","")&amp;IF(AND(N($J845)=1,$K845="Point",N($M845)&lt;=0),"Coastal point without REP_M_AREA – land/sea split unknown; ","")&amp;IF(AND(N($J845)=0,N($S845)&gt;0),"MARINE=0 but net marine &gt;0; ","")&amp;IF(AND(N($J845)=2,N($R845)&gt;0),"MARINE=2 but net terrestrial &gt;0; ","")&amp;IF($K845="Point","Buffered point – coverage approximate; ","")))</f>
        <v/>
      </c>
    </row>
    <row r="846">
      <c r="A846" s="19" t="n"/>
      <c r="B846" s="19" t="n"/>
      <c r="C846" s="19" t="n"/>
      <c r="D846" s="19" t="n"/>
      <c r="E846" s="19" t="n"/>
      <c r="F846" s="19" t="n"/>
      <c r="G846" s="19" t="n"/>
      <c r="H846" s="19" t="n"/>
      <c r="I846" s="19" t="n"/>
      <c r="J846" s="19" t="n"/>
      <c r="K846" s="19" t="n"/>
      <c r="L846" s="20" t="n"/>
      <c r="M846" s="20" t="n"/>
      <c r="N846" s="20" t="n"/>
      <c r="O846" s="20" t="n"/>
      <c r="P846" s="19" t="n"/>
      <c r="Q846" s="19" t="n"/>
      <c r="R846" s="20" t="n"/>
      <c r="S846" s="20" t="n"/>
      <c r="T846" s="19" t="n"/>
      <c r="U846" s="19" t="n"/>
      <c r="V846" s="19" t="n"/>
      <c r="W846" s="19" t="n"/>
      <c r="X846" s="19" t="n"/>
      <c r="Y846" s="19" t="n"/>
      <c r="Z846" s="21">
        <f>IF(AND($A846="",$B846=""),"",IF(OR($E846="",$H846="",$H846="Proposed",$H846="Not Reported"),0,IF(AND($P846="Y",$Q846&lt;&gt;"Y"),0,IF(AND($K846="Point",N($L846)&lt;=0),0,IF(AND(N($L846)&lt;=0,N($N846)&lt;=0,N($R846)+N($S846)&lt;=0),0,1)))))</f>
        <v/>
      </c>
      <c r="AA846" s="21">
        <f>IF(AND($A846="",$B846=""),"",IF($E846="","Site type missing",IF($H846="","STATUS missing",IF($H846="Proposed","STATUS = Proposed",IF($H846="Not Reported","STATUS = Not Reported",IF(AND($P846="Y",$Q846&lt;&gt;"Y"),"UNESCO-MAB Biosphere Reserve",IF(AND($K846="Point",N($L846)&lt;=0),"Point without REP_AREA",IF(AND(N($L846)&lt;=0,N($N846)&lt;=0,N($R846)+N($S846)&lt;=0),"No area information",""))))))))</f>
        <v/>
      </c>
      <c r="AB846" s="22">
        <f>IF(AND($A846="",$B846=""),"",IF($K846="Point",N($L846),IF(N($N846)&gt;0,N($N846),N($L846))))</f>
        <v/>
      </c>
      <c r="AC846" s="22">
        <f>IF(AND($A846="",$B846=""),"",MIN(AB846,IF(N($J846)=0,0,IF(N($J846)=2,AB846,IF(AND($K846&lt;&gt;"Point",N($O846)&gt;0),N($O846),N($M846))))))</f>
        <v/>
      </c>
      <c r="AD846" s="22">
        <f>IF(AND($A846="",$B846=""),"",MAX(0,AB846-AC846))</f>
        <v/>
      </c>
      <c r="AE846" s="21">
        <f>IF(AND($A846="",$B846=""),"",IF(OR($R846&lt;&gt;"",$S846&lt;&gt;""),1,0))</f>
        <v/>
      </c>
      <c r="AF846" s="22">
        <f>IF(AND($A846="",$B846=""),"",IF(Z846=1,IF(AE846=1,N($R846),AD846),0))</f>
        <v/>
      </c>
      <c r="AG846" s="22">
        <f>IF(AND($A846="",$B846=""),"",IF(Z846=1,IF(AE846=1,N($S846),AC846),0))</f>
        <v/>
      </c>
      <c r="AH846" s="21">
        <f>IF(AND($A846="",$B846=""),"",IF(AND(ISNUMBER($I846),N($I846)&gt;0),$I846,0))</f>
        <v/>
      </c>
      <c r="AI846" s="23">
        <f>IF(AND(NOT(AND($A846="",$B846="")),$K846="Point",N($L846)&gt;0),SQRT(N($L846)/PI()),"")</f>
        <v/>
      </c>
      <c r="AJ846" s="21">
        <f>IF(AND($A846="",$B846=""),"",IFERROR(VLOOKUP($G846,Lists!$D$4:$E$15,2,FALSE),"Not reported"))</f>
        <v/>
      </c>
      <c r="AK846" s="21">
        <f>IF(AND($A846="",$B846=""),"",IF($X846&lt;&gt;"",$X846,IF($T846&lt;&gt;"Y","Not assessed",IF(AND(ISNUMBER($V846),Setup!$B$6-$V846&gt;Setup!$B$26),"Assessment outdated",IF(NOT(ISNUMBER($W846)),"Assessed – no score",IF($W846&gt;=Setup!$B$24,"High",IF($W846&gt;=Setup!$B$25,"Moderate","Low")))))))</f>
        <v/>
      </c>
      <c r="AL846" s="21">
        <f>IF(AND($A846="",$B846=""),"",IF(Z846=0,"",IF(AND(AE846=1,N($R846)&gt;AD846*1.01+0.001),"Net terrestrial &gt; gross; ","")&amp;IF(AND(AE846=1,N($S846)&gt;AC846*1.01+0.001),"Net marine &gt; gross; ","")&amp;IF(AE846=0,"No net area – gross used, overlaps may be double-counted; ","")&amp;IF(AH846=0,"STATUS_YR missing – imputed in time series; ","")&amp;IF(AND(ISNUMBER($I846),N($I846)&gt;Setup!$B$6),"STATUS_YR after reporting year; ","")&amp;IF(OR($G846="",$G846="Not Reported"),"GOV_TYPE not reported; ","")&amp;IF(AND(N($J846)=1,$K846="Point",N($M846)&lt;=0),"Coastal point without REP_M_AREA – land/sea split unknown; ","")&amp;IF(AND(N($J846)=0,N($S846)&gt;0),"MARINE=0 but net marine &gt;0; ","")&amp;IF(AND(N($J846)=2,N($R846)&gt;0),"MARINE=2 but net terrestrial &gt;0; ","")&amp;IF($K846="Point","Buffered point – coverage approximate; ","")))</f>
        <v/>
      </c>
    </row>
    <row r="847">
      <c r="A847" s="19" t="n"/>
      <c r="B847" s="19" t="n"/>
      <c r="C847" s="19" t="n"/>
      <c r="D847" s="19" t="n"/>
      <c r="E847" s="19" t="n"/>
      <c r="F847" s="19" t="n"/>
      <c r="G847" s="19" t="n"/>
      <c r="H847" s="19" t="n"/>
      <c r="I847" s="19" t="n"/>
      <c r="J847" s="19" t="n"/>
      <c r="K847" s="19" t="n"/>
      <c r="L847" s="20" t="n"/>
      <c r="M847" s="20" t="n"/>
      <c r="N847" s="20" t="n"/>
      <c r="O847" s="20" t="n"/>
      <c r="P847" s="19" t="n"/>
      <c r="Q847" s="19" t="n"/>
      <c r="R847" s="20" t="n"/>
      <c r="S847" s="20" t="n"/>
      <c r="T847" s="19" t="n"/>
      <c r="U847" s="19" t="n"/>
      <c r="V847" s="19" t="n"/>
      <c r="W847" s="19" t="n"/>
      <c r="X847" s="19" t="n"/>
      <c r="Y847" s="19" t="n"/>
      <c r="Z847" s="21">
        <f>IF(AND($A847="",$B847=""),"",IF(OR($E847="",$H847="",$H847="Proposed",$H847="Not Reported"),0,IF(AND($P847="Y",$Q847&lt;&gt;"Y"),0,IF(AND($K847="Point",N($L847)&lt;=0),0,IF(AND(N($L847)&lt;=0,N($N847)&lt;=0,N($R847)+N($S847)&lt;=0),0,1)))))</f>
        <v/>
      </c>
      <c r="AA847" s="21">
        <f>IF(AND($A847="",$B847=""),"",IF($E847="","Site type missing",IF($H847="","STATUS missing",IF($H847="Proposed","STATUS = Proposed",IF($H847="Not Reported","STATUS = Not Reported",IF(AND($P847="Y",$Q847&lt;&gt;"Y"),"UNESCO-MAB Biosphere Reserve",IF(AND($K847="Point",N($L847)&lt;=0),"Point without REP_AREA",IF(AND(N($L847)&lt;=0,N($N847)&lt;=0,N($R847)+N($S847)&lt;=0),"No area information",""))))))))</f>
        <v/>
      </c>
      <c r="AB847" s="22">
        <f>IF(AND($A847="",$B847=""),"",IF($K847="Point",N($L847),IF(N($N847)&gt;0,N($N847),N($L847))))</f>
        <v/>
      </c>
      <c r="AC847" s="22">
        <f>IF(AND($A847="",$B847=""),"",MIN(AB847,IF(N($J847)=0,0,IF(N($J847)=2,AB847,IF(AND($K847&lt;&gt;"Point",N($O847)&gt;0),N($O847),N($M847))))))</f>
        <v/>
      </c>
      <c r="AD847" s="22">
        <f>IF(AND($A847="",$B847=""),"",MAX(0,AB847-AC847))</f>
        <v/>
      </c>
      <c r="AE847" s="21">
        <f>IF(AND($A847="",$B847=""),"",IF(OR($R847&lt;&gt;"",$S847&lt;&gt;""),1,0))</f>
        <v/>
      </c>
      <c r="AF847" s="22">
        <f>IF(AND($A847="",$B847=""),"",IF(Z847=1,IF(AE847=1,N($R847),AD847),0))</f>
        <v/>
      </c>
      <c r="AG847" s="22">
        <f>IF(AND($A847="",$B847=""),"",IF(Z847=1,IF(AE847=1,N($S847),AC847),0))</f>
        <v/>
      </c>
      <c r="AH847" s="21">
        <f>IF(AND($A847="",$B847=""),"",IF(AND(ISNUMBER($I847),N($I847)&gt;0),$I847,0))</f>
        <v/>
      </c>
      <c r="AI847" s="23">
        <f>IF(AND(NOT(AND($A847="",$B847="")),$K847="Point",N($L847)&gt;0),SQRT(N($L847)/PI()),"")</f>
        <v/>
      </c>
      <c r="AJ847" s="21">
        <f>IF(AND($A847="",$B847=""),"",IFERROR(VLOOKUP($G847,Lists!$D$4:$E$15,2,FALSE),"Not reported"))</f>
        <v/>
      </c>
      <c r="AK847" s="21">
        <f>IF(AND($A847="",$B847=""),"",IF($X847&lt;&gt;"",$X847,IF($T847&lt;&gt;"Y","Not assessed",IF(AND(ISNUMBER($V847),Setup!$B$6-$V847&gt;Setup!$B$26),"Assessment outdated",IF(NOT(ISNUMBER($W847)),"Assessed – no score",IF($W847&gt;=Setup!$B$24,"High",IF($W847&gt;=Setup!$B$25,"Moderate","Low")))))))</f>
        <v/>
      </c>
      <c r="AL847" s="21">
        <f>IF(AND($A847="",$B847=""),"",IF(Z847=0,"",IF(AND(AE847=1,N($R847)&gt;AD847*1.01+0.001),"Net terrestrial &gt; gross; ","")&amp;IF(AND(AE847=1,N($S847)&gt;AC847*1.01+0.001),"Net marine &gt; gross; ","")&amp;IF(AE847=0,"No net area – gross used, overlaps may be double-counted; ","")&amp;IF(AH847=0,"STATUS_YR missing – imputed in time series; ","")&amp;IF(AND(ISNUMBER($I847),N($I847)&gt;Setup!$B$6),"STATUS_YR after reporting year; ","")&amp;IF(OR($G847="",$G847="Not Reported"),"GOV_TYPE not reported; ","")&amp;IF(AND(N($J847)=1,$K847="Point",N($M847)&lt;=0),"Coastal point without REP_M_AREA – land/sea split unknown; ","")&amp;IF(AND(N($J847)=0,N($S847)&gt;0),"MARINE=0 but net marine &gt;0; ","")&amp;IF(AND(N($J847)=2,N($R847)&gt;0),"MARINE=2 but net terrestrial &gt;0; ","")&amp;IF($K847="Point","Buffered point – coverage approximate; ","")))</f>
        <v/>
      </c>
    </row>
    <row r="848">
      <c r="A848" s="19" t="n"/>
      <c r="B848" s="19" t="n"/>
      <c r="C848" s="19" t="n"/>
      <c r="D848" s="19" t="n"/>
      <c r="E848" s="19" t="n"/>
      <c r="F848" s="19" t="n"/>
      <c r="G848" s="19" t="n"/>
      <c r="H848" s="19" t="n"/>
      <c r="I848" s="19" t="n"/>
      <c r="J848" s="19" t="n"/>
      <c r="K848" s="19" t="n"/>
      <c r="L848" s="20" t="n"/>
      <c r="M848" s="20" t="n"/>
      <c r="N848" s="20" t="n"/>
      <c r="O848" s="20" t="n"/>
      <c r="P848" s="19" t="n"/>
      <c r="Q848" s="19" t="n"/>
      <c r="R848" s="20" t="n"/>
      <c r="S848" s="20" t="n"/>
      <c r="T848" s="19" t="n"/>
      <c r="U848" s="19" t="n"/>
      <c r="V848" s="19" t="n"/>
      <c r="W848" s="19" t="n"/>
      <c r="X848" s="19" t="n"/>
      <c r="Y848" s="19" t="n"/>
      <c r="Z848" s="21">
        <f>IF(AND($A848="",$B848=""),"",IF(OR($E848="",$H848="",$H848="Proposed",$H848="Not Reported"),0,IF(AND($P848="Y",$Q848&lt;&gt;"Y"),0,IF(AND($K848="Point",N($L848)&lt;=0),0,IF(AND(N($L848)&lt;=0,N($N848)&lt;=0,N($R848)+N($S848)&lt;=0),0,1)))))</f>
        <v/>
      </c>
      <c r="AA848" s="21">
        <f>IF(AND($A848="",$B848=""),"",IF($E848="","Site type missing",IF($H848="","STATUS missing",IF($H848="Proposed","STATUS = Proposed",IF($H848="Not Reported","STATUS = Not Reported",IF(AND($P848="Y",$Q848&lt;&gt;"Y"),"UNESCO-MAB Biosphere Reserve",IF(AND($K848="Point",N($L848)&lt;=0),"Point without REP_AREA",IF(AND(N($L848)&lt;=0,N($N848)&lt;=0,N($R848)+N($S848)&lt;=0),"No area information",""))))))))</f>
        <v/>
      </c>
      <c r="AB848" s="22">
        <f>IF(AND($A848="",$B848=""),"",IF($K848="Point",N($L848),IF(N($N848)&gt;0,N($N848),N($L848))))</f>
        <v/>
      </c>
      <c r="AC848" s="22">
        <f>IF(AND($A848="",$B848=""),"",MIN(AB848,IF(N($J848)=0,0,IF(N($J848)=2,AB848,IF(AND($K848&lt;&gt;"Point",N($O848)&gt;0),N($O848),N($M848))))))</f>
        <v/>
      </c>
      <c r="AD848" s="22">
        <f>IF(AND($A848="",$B848=""),"",MAX(0,AB848-AC848))</f>
        <v/>
      </c>
      <c r="AE848" s="21">
        <f>IF(AND($A848="",$B848=""),"",IF(OR($R848&lt;&gt;"",$S848&lt;&gt;""),1,0))</f>
        <v/>
      </c>
      <c r="AF848" s="22">
        <f>IF(AND($A848="",$B848=""),"",IF(Z848=1,IF(AE848=1,N($R848),AD848),0))</f>
        <v/>
      </c>
      <c r="AG848" s="22">
        <f>IF(AND($A848="",$B848=""),"",IF(Z848=1,IF(AE848=1,N($S848),AC848),0))</f>
        <v/>
      </c>
      <c r="AH848" s="21">
        <f>IF(AND($A848="",$B848=""),"",IF(AND(ISNUMBER($I848),N($I848)&gt;0),$I848,0))</f>
        <v/>
      </c>
      <c r="AI848" s="23">
        <f>IF(AND(NOT(AND($A848="",$B848="")),$K848="Point",N($L848)&gt;0),SQRT(N($L848)/PI()),"")</f>
        <v/>
      </c>
      <c r="AJ848" s="21">
        <f>IF(AND($A848="",$B848=""),"",IFERROR(VLOOKUP($G848,Lists!$D$4:$E$15,2,FALSE),"Not reported"))</f>
        <v/>
      </c>
      <c r="AK848" s="21">
        <f>IF(AND($A848="",$B848=""),"",IF($X848&lt;&gt;"",$X848,IF($T848&lt;&gt;"Y","Not assessed",IF(AND(ISNUMBER($V848),Setup!$B$6-$V848&gt;Setup!$B$26),"Assessment outdated",IF(NOT(ISNUMBER($W848)),"Assessed – no score",IF($W848&gt;=Setup!$B$24,"High",IF($W848&gt;=Setup!$B$25,"Moderate","Low")))))))</f>
        <v/>
      </c>
      <c r="AL848" s="21">
        <f>IF(AND($A848="",$B848=""),"",IF(Z848=0,"",IF(AND(AE848=1,N($R848)&gt;AD848*1.01+0.001),"Net terrestrial &gt; gross; ","")&amp;IF(AND(AE848=1,N($S848)&gt;AC848*1.01+0.001),"Net marine &gt; gross; ","")&amp;IF(AE848=0,"No net area – gross used, overlaps may be double-counted; ","")&amp;IF(AH848=0,"STATUS_YR missing – imputed in time series; ","")&amp;IF(AND(ISNUMBER($I848),N($I848)&gt;Setup!$B$6),"STATUS_YR after reporting year; ","")&amp;IF(OR($G848="",$G848="Not Reported"),"GOV_TYPE not reported; ","")&amp;IF(AND(N($J848)=1,$K848="Point",N($M848)&lt;=0),"Coastal point without REP_M_AREA – land/sea split unknown; ","")&amp;IF(AND(N($J848)=0,N($S848)&gt;0),"MARINE=0 but net marine &gt;0; ","")&amp;IF(AND(N($J848)=2,N($R848)&gt;0),"MARINE=2 but net terrestrial &gt;0; ","")&amp;IF($K848="Point","Buffered point – coverage approximate; ","")))</f>
        <v/>
      </c>
    </row>
    <row r="849">
      <c r="A849" s="19" t="n"/>
      <c r="B849" s="19" t="n"/>
      <c r="C849" s="19" t="n"/>
      <c r="D849" s="19" t="n"/>
      <c r="E849" s="19" t="n"/>
      <c r="F849" s="19" t="n"/>
      <c r="G849" s="19" t="n"/>
      <c r="H849" s="19" t="n"/>
      <c r="I849" s="19" t="n"/>
      <c r="J849" s="19" t="n"/>
      <c r="K849" s="19" t="n"/>
      <c r="L849" s="20" t="n"/>
      <c r="M849" s="20" t="n"/>
      <c r="N849" s="20" t="n"/>
      <c r="O849" s="20" t="n"/>
      <c r="P849" s="19" t="n"/>
      <c r="Q849" s="19" t="n"/>
      <c r="R849" s="20" t="n"/>
      <c r="S849" s="20" t="n"/>
      <c r="T849" s="19" t="n"/>
      <c r="U849" s="19" t="n"/>
      <c r="V849" s="19" t="n"/>
      <c r="W849" s="19" t="n"/>
      <c r="X849" s="19" t="n"/>
      <c r="Y849" s="19" t="n"/>
      <c r="Z849" s="21">
        <f>IF(AND($A849="",$B849=""),"",IF(OR($E849="",$H849="",$H849="Proposed",$H849="Not Reported"),0,IF(AND($P849="Y",$Q849&lt;&gt;"Y"),0,IF(AND($K849="Point",N($L849)&lt;=0),0,IF(AND(N($L849)&lt;=0,N($N849)&lt;=0,N($R849)+N($S849)&lt;=0),0,1)))))</f>
        <v/>
      </c>
      <c r="AA849" s="21">
        <f>IF(AND($A849="",$B849=""),"",IF($E849="","Site type missing",IF($H849="","STATUS missing",IF($H849="Proposed","STATUS = Proposed",IF($H849="Not Reported","STATUS = Not Reported",IF(AND($P849="Y",$Q849&lt;&gt;"Y"),"UNESCO-MAB Biosphere Reserve",IF(AND($K849="Point",N($L849)&lt;=0),"Point without REP_AREA",IF(AND(N($L849)&lt;=0,N($N849)&lt;=0,N($R849)+N($S849)&lt;=0),"No area information",""))))))))</f>
        <v/>
      </c>
      <c r="AB849" s="22">
        <f>IF(AND($A849="",$B849=""),"",IF($K849="Point",N($L849),IF(N($N849)&gt;0,N($N849),N($L849))))</f>
        <v/>
      </c>
      <c r="AC849" s="22">
        <f>IF(AND($A849="",$B849=""),"",MIN(AB849,IF(N($J849)=0,0,IF(N($J849)=2,AB849,IF(AND($K849&lt;&gt;"Point",N($O849)&gt;0),N($O849),N($M849))))))</f>
        <v/>
      </c>
      <c r="AD849" s="22">
        <f>IF(AND($A849="",$B849=""),"",MAX(0,AB849-AC849))</f>
        <v/>
      </c>
      <c r="AE849" s="21">
        <f>IF(AND($A849="",$B849=""),"",IF(OR($R849&lt;&gt;"",$S849&lt;&gt;""),1,0))</f>
        <v/>
      </c>
      <c r="AF849" s="22">
        <f>IF(AND($A849="",$B849=""),"",IF(Z849=1,IF(AE849=1,N($R849),AD849),0))</f>
        <v/>
      </c>
      <c r="AG849" s="22">
        <f>IF(AND($A849="",$B849=""),"",IF(Z849=1,IF(AE849=1,N($S849),AC849),0))</f>
        <v/>
      </c>
      <c r="AH849" s="21">
        <f>IF(AND($A849="",$B849=""),"",IF(AND(ISNUMBER($I849),N($I849)&gt;0),$I849,0))</f>
        <v/>
      </c>
      <c r="AI849" s="23">
        <f>IF(AND(NOT(AND($A849="",$B849="")),$K849="Point",N($L849)&gt;0),SQRT(N($L849)/PI()),"")</f>
        <v/>
      </c>
      <c r="AJ849" s="21">
        <f>IF(AND($A849="",$B849=""),"",IFERROR(VLOOKUP($G849,Lists!$D$4:$E$15,2,FALSE),"Not reported"))</f>
        <v/>
      </c>
      <c r="AK849" s="21">
        <f>IF(AND($A849="",$B849=""),"",IF($X849&lt;&gt;"",$X849,IF($T849&lt;&gt;"Y","Not assessed",IF(AND(ISNUMBER($V849),Setup!$B$6-$V849&gt;Setup!$B$26),"Assessment outdated",IF(NOT(ISNUMBER($W849)),"Assessed – no score",IF($W849&gt;=Setup!$B$24,"High",IF($W849&gt;=Setup!$B$25,"Moderate","Low")))))))</f>
        <v/>
      </c>
      <c r="AL849" s="21">
        <f>IF(AND($A849="",$B849=""),"",IF(Z849=0,"",IF(AND(AE849=1,N($R849)&gt;AD849*1.01+0.001),"Net terrestrial &gt; gross; ","")&amp;IF(AND(AE849=1,N($S849)&gt;AC849*1.01+0.001),"Net marine &gt; gross; ","")&amp;IF(AE849=0,"No net area – gross used, overlaps may be double-counted; ","")&amp;IF(AH849=0,"STATUS_YR missing – imputed in time series; ","")&amp;IF(AND(ISNUMBER($I849),N($I849)&gt;Setup!$B$6),"STATUS_YR after reporting year; ","")&amp;IF(OR($G849="",$G849="Not Reported"),"GOV_TYPE not reported; ","")&amp;IF(AND(N($J849)=1,$K849="Point",N($M849)&lt;=0),"Coastal point without REP_M_AREA – land/sea split unknown; ","")&amp;IF(AND(N($J849)=0,N($S849)&gt;0),"MARINE=0 but net marine &gt;0; ","")&amp;IF(AND(N($J849)=2,N($R849)&gt;0),"MARINE=2 but net terrestrial &gt;0; ","")&amp;IF($K849="Point","Buffered point – coverage approximate; ","")))</f>
        <v/>
      </c>
    </row>
    <row r="850">
      <c r="A850" s="19" t="n"/>
      <c r="B850" s="19" t="n"/>
      <c r="C850" s="19" t="n"/>
      <c r="D850" s="19" t="n"/>
      <c r="E850" s="19" t="n"/>
      <c r="F850" s="19" t="n"/>
      <c r="G850" s="19" t="n"/>
      <c r="H850" s="19" t="n"/>
      <c r="I850" s="19" t="n"/>
      <c r="J850" s="19" t="n"/>
      <c r="K850" s="19" t="n"/>
      <c r="L850" s="20" t="n"/>
      <c r="M850" s="20" t="n"/>
      <c r="N850" s="20" t="n"/>
      <c r="O850" s="20" t="n"/>
      <c r="P850" s="19" t="n"/>
      <c r="Q850" s="19" t="n"/>
      <c r="R850" s="20" t="n"/>
      <c r="S850" s="20" t="n"/>
      <c r="T850" s="19" t="n"/>
      <c r="U850" s="19" t="n"/>
      <c r="V850" s="19" t="n"/>
      <c r="W850" s="19" t="n"/>
      <c r="X850" s="19" t="n"/>
      <c r="Y850" s="19" t="n"/>
      <c r="Z850" s="21">
        <f>IF(AND($A850="",$B850=""),"",IF(OR($E850="",$H850="",$H850="Proposed",$H850="Not Reported"),0,IF(AND($P850="Y",$Q850&lt;&gt;"Y"),0,IF(AND($K850="Point",N($L850)&lt;=0),0,IF(AND(N($L850)&lt;=0,N($N850)&lt;=0,N($R850)+N($S850)&lt;=0),0,1)))))</f>
        <v/>
      </c>
      <c r="AA850" s="21">
        <f>IF(AND($A850="",$B850=""),"",IF($E850="","Site type missing",IF($H850="","STATUS missing",IF($H850="Proposed","STATUS = Proposed",IF($H850="Not Reported","STATUS = Not Reported",IF(AND($P850="Y",$Q850&lt;&gt;"Y"),"UNESCO-MAB Biosphere Reserve",IF(AND($K850="Point",N($L850)&lt;=0),"Point without REP_AREA",IF(AND(N($L850)&lt;=0,N($N850)&lt;=0,N($R850)+N($S850)&lt;=0),"No area information",""))))))))</f>
        <v/>
      </c>
      <c r="AB850" s="22">
        <f>IF(AND($A850="",$B850=""),"",IF($K850="Point",N($L850),IF(N($N850)&gt;0,N($N850),N($L850))))</f>
        <v/>
      </c>
      <c r="AC850" s="22">
        <f>IF(AND($A850="",$B850=""),"",MIN(AB850,IF(N($J850)=0,0,IF(N($J850)=2,AB850,IF(AND($K850&lt;&gt;"Point",N($O850)&gt;0),N($O850),N($M850))))))</f>
        <v/>
      </c>
      <c r="AD850" s="22">
        <f>IF(AND($A850="",$B850=""),"",MAX(0,AB850-AC850))</f>
        <v/>
      </c>
      <c r="AE850" s="21">
        <f>IF(AND($A850="",$B850=""),"",IF(OR($R850&lt;&gt;"",$S850&lt;&gt;""),1,0))</f>
        <v/>
      </c>
      <c r="AF850" s="22">
        <f>IF(AND($A850="",$B850=""),"",IF(Z850=1,IF(AE850=1,N($R850),AD850),0))</f>
        <v/>
      </c>
      <c r="AG850" s="22">
        <f>IF(AND($A850="",$B850=""),"",IF(Z850=1,IF(AE850=1,N($S850),AC850),0))</f>
        <v/>
      </c>
      <c r="AH850" s="21">
        <f>IF(AND($A850="",$B850=""),"",IF(AND(ISNUMBER($I850),N($I850)&gt;0),$I850,0))</f>
        <v/>
      </c>
      <c r="AI850" s="23">
        <f>IF(AND(NOT(AND($A850="",$B850="")),$K850="Point",N($L850)&gt;0),SQRT(N($L850)/PI()),"")</f>
        <v/>
      </c>
      <c r="AJ850" s="21">
        <f>IF(AND($A850="",$B850=""),"",IFERROR(VLOOKUP($G850,Lists!$D$4:$E$15,2,FALSE),"Not reported"))</f>
        <v/>
      </c>
      <c r="AK850" s="21">
        <f>IF(AND($A850="",$B850=""),"",IF($X850&lt;&gt;"",$X850,IF($T850&lt;&gt;"Y","Not assessed",IF(AND(ISNUMBER($V850),Setup!$B$6-$V850&gt;Setup!$B$26),"Assessment outdated",IF(NOT(ISNUMBER($W850)),"Assessed – no score",IF($W850&gt;=Setup!$B$24,"High",IF($W850&gt;=Setup!$B$25,"Moderate","Low")))))))</f>
        <v/>
      </c>
      <c r="AL850" s="21">
        <f>IF(AND($A850="",$B850=""),"",IF(Z850=0,"",IF(AND(AE850=1,N($R850)&gt;AD850*1.01+0.001),"Net terrestrial &gt; gross; ","")&amp;IF(AND(AE850=1,N($S850)&gt;AC850*1.01+0.001),"Net marine &gt; gross; ","")&amp;IF(AE850=0,"No net area – gross used, overlaps may be double-counted; ","")&amp;IF(AH850=0,"STATUS_YR missing – imputed in time series; ","")&amp;IF(AND(ISNUMBER($I850),N($I850)&gt;Setup!$B$6),"STATUS_YR after reporting year; ","")&amp;IF(OR($G850="",$G850="Not Reported"),"GOV_TYPE not reported; ","")&amp;IF(AND(N($J850)=1,$K850="Point",N($M850)&lt;=0),"Coastal point without REP_M_AREA – land/sea split unknown; ","")&amp;IF(AND(N($J850)=0,N($S850)&gt;0),"MARINE=0 but net marine &gt;0; ","")&amp;IF(AND(N($J850)=2,N($R850)&gt;0),"MARINE=2 but net terrestrial &gt;0; ","")&amp;IF($K850="Point","Buffered point – coverage approximate; ","")))</f>
        <v/>
      </c>
    </row>
    <row r="851">
      <c r="A851" s="19" t="n"/>
      <c r="B851" s="19" t="n"/>
      <c r="C851" s="19" t="n"/>
      <c r="D851" s="19" t="n"/>
      <c r="E851" s="19" t="n"/>
      <c r="F851" s="19" t="n"/>
      <c r="G851" s="19" t="n"/>
      <c r="H851" s="19" t="n"/>
      <c r="I851" s="19" t="n"/>
      <c r="J851" s="19" t="n"/>
      <c r="K851" s="19" t="n"/>
      <c r="L851" s="20" t="n"/>
      <c r="M851" s="20" t="n"/>
      <c r="N851" s="20" t="n"/>
      <c r="O851" s="20" t="n"/>
      <c r="P851" s="19" t="n"/>
      <c r="Q851" s="19" t="n"/>
      <c r="R851" s="20" t="n"/>
      <c r="S851" s="20" t="n"/>
      <c r="T851" s="19" t="n"/>
      <c r="U851" s="19" t="n"/>
      <c r="V851" s="19" t="n"/>
      <c r="W851" s="19" t="n"/>
      <c r="X851" s="19" t="n"/>
      <c r="Y851" s="19" t="n"/>
      <c r="Z851" s="21">
        <f>IF(AND($A851="",$B851=""),"",IF(OR($E851="",$H851="",$H851="Proposed",$H851="Not Reported"),0,IF(AND($P851="Y",$Q851&lt;&gt;"Y"),0,IF(AND($K851="Point",N($L851)&lt;=0),0,IF(AND(N($L851)&lt;=0,N($N851)&lt;=0,N($R851)+N($S851)&lt;=0),0,1)))))</f>
        <v/>
      </c>
      <c r="AA851" s="21">
        <f>IF(AND($A851="",$B851=""),"",IF($E851="","Site type missing",IF($H851="","STATUS missing",IF($H851="Proposed","STATUS = Proposed",IF($H851="Not Reported","STATUS = Not Reported",IF(AND($P851="Y",$Q851&lt;&gt;"Y"),"UNESCO-MAB Biosphere Reserve",IF(AND($K851="Point",N($L851)&lt;=0),"Point without REP_AREA",IF(AND(N($L851)&lt;=0,N($N851)&lt;=0,N($R851)+N($S851)&lt;=0),"No area information",""))))))))</f>
        <v/>
      </c>
      <c r="AB851" s="22">
        <f>IF(AND($A851="",$B851=""),"",IF($K851="Point",N($L851),IF(N($N851)&gt;0,N($N851),N($L851))))</f>
        <v/>
      </c>
      <c r="AC851" s="22">
        <f>IF(AND($A851="",$B851=""),"",MIN(AB851,IF(N($J851)=0,0,IF(N($J851)=2,AB851,IF(AND($K851&lt;&gt;"Point",N($O851)&gt;0),N($O851),N($M851))))))</f>
        <v/>
      </c>
      <c r="AD851" s="22">
        <f>IF(AND($A851="",$B851=""),"",MAX(0,AB851-AC851))</f>
        <v/>
      </c>
      <c r="AE851" s="21">
        <f>IF(AND($A851="",$B851=""),"",IF(OR($R851&lt;&gt;"",$S851&lt;&gt;""),1,0))</f>
        <v/>
      </c>
      <c r="AF851" s="22">
        <f>IF(AND($A851="",$B851=""),"",IF(Z851=1,IF(AE851=1,N($R851),AD851),0))</f>
        <v/>
      </c>
      <c r="AG851" s="22">
        <f>IF(AND($A851="",$B851=""),"",IF(Z851=1,IF(AE851=1,N($S851),AC851),0))</f>
        <v/>
      </c>
      <c r="AH851" s="21">
        <f>IF(AND($A851="",$B851=""),"",IF(AND(ISNUMBER($I851),N($I851)&gt;0),$I851,0))</f>
        <v/>
      </c>
      <c r="AI851" s="23">
        <f>IF(AND(NOT(AND($A851="",$B851="")),$K851="Point",N($L851)&gt;0),SQRT(N($L851)/PI()),"")</f>
        <v/>
      </c>
      <c r="AJ851" s="21">
        <f>IF(AND($A851="",$B851=""),"",IFERROR(VLOOKUP($G851,Lists!$D$4:$E$15,2,FALSE),"Not reported"))</f>
        <v/>
      </c>
      <c r="AK851" s="21">
        <f>IF(AND($A851="",$B851=""),"",IF($X851&lt;&gt;"",$X851,IF($T851&lt;&gt;"Y","Not assessed",IF(AND(ISNUMBER($V851),Setup!$B$6-$V851&gt;Setup!$B$26),"Assessment outdated",IF(NOT(ISNUMBER($W851)),"Assessed – no score",IF($W851&gt;=Setup!$B$24,"High",IF($W851&gt;=Setup!$B$25,"Moderate","Low")))))))</f>
        <v/>
      </c>
      <c r="AL851" s="21">
        <f>IF(AND($A851="",$B851=""),"",IF(Z851=0,"",IF(AND(AE851=1,N($R851)&gt;AD851*1.01+0.001),"Net terrestrial &gt; gross; ","")&amp;IF(AND(AE851=1,N($S851)&gt;AC851*1.01+0.001),"Net marine &gt; gross; ","")&amp;IF(AE851=0,"No net area – gross used, overlaps may be double-counted; ","")&amp;IF(AH851=0,"STATUS_YR missing – imputed in time series; ","")&amp;IF(AND(ISNUMBER($I851),N($I851)&gt;Setup!$B$6),"STATUS_YR after reporting year; ","")&amp;IF(OR($G851="",$G851="Not Reported"),"GOV_TYPE not reported; ","")&amp;IF(AND(N($J851)=1,$K851="Point",N($M851)&lt;=0),"Coastal point without REP_M_AREA – land/sea split unknown; ","")&amp;IF(AND(N($J851)=0,N($S851)&gt;0),"MARINE=0 but net marine &gt;0; ","")&amp;IF(AND(N($J851)=2,N($R851)&gt;0),"MARINE=2 but net terrestrial &gt;0; ","")&amp;IF($K851="Point","Buffered point – coverage approximate; ","")))</f>
        <v/>
      </c>
    </row>
    <row r="852">
      <c r="A852" s="19" t="n"/>
      <c r="B852" s="19" t="n"/>
      <c r="C852" s="19" t="n"/>
      <c r="D852" s="19" t="n"/>
      <c r="E852" s="19" t="n"/>
      <c r="F852" s="19" t="n"/>
      <c r="G852" s="19" t="n"/>
      <c r="H852" s="19" t="n"/>
      <c r="I852" s="19" t="n"/>
      <c r="J852" s="19" t="n"/>
      <c r="K852" s="19" t="n"/>
      <c r="L852" s="20" t="n"/>
      <c r="M852" s="20" t="n"/>
      <c r="N852" s="20" t="n"/>
      <c r="O852" s="20" t="n"/>
      <c r="P852" s="19" t="n"/>
      <c r="Q852" s="19" t="n"/>
      <c r="R852" s="20" t="n"/>
      <c r="S852" s="20" t="n"/>
      <c r="T852" s="19" t="n"/>
      <c r="U852" s="19" t="n"/>
      <c r="V852" s="19" t="n"/>
      <c r="W852" s="19" t="n"/>
      <c r="X852" s="19" t="n"/>
      <c r="Y852" s="19" t="n"/>
      <c r="Z852" s="21">
        <f>IF(AND($A852="",$B852=""),"",IF(OR($E852="",$H852="",$H852="Proposed",$H852="Not Reported"),0,IF(AND($P852="Y",$Q852&lt;&gt;"Y"),0,IF(AND($K852="Point",N($L852)&lt;=0),0,IF(AND(N($L852)&lt;=0,N($N852)&lt;=0,N($R852)+N($S852)&lt;=0),0,1)))))</f>
        <v/>
      </c>
      <c r="AA852" s="21">
        <f>IF(AND($A852="",$B852=""),"",IF($E852="","Site type missing",IF($H852="","STATUS missing",IF($H852="Proposed","STATUS = Proposed",IF($H852="Not Reported","STATUS = Not Reported",IF(AND($P852="Y",$Q852&lt;&gt;"Y"),"UNESCO-MAB Biosphere Reserve",IF(AND($K852="Point",N($L852)&lt;=0),"Point without REP_AREA",IF(AND(N($L852)&lt;=0,N($N852)&lt;=0,N($R852)+N($S852)&lt;=0),"No area information",""))))))))</f>
        <v/>
      </c>
      <c r="AB852" s="22">
        <f>IF(AND($A852="",$B852=""),"",IF($K852="Point",N($L852),IF(N($N852)&gt;0,N($N852),N($L852))))</f>
        <v/>
      </c>
      <c r="AC852" s="22">
        <f>IF(AND($A852="",$B852=""),"",MIN(AB852,IF(N($J852)=0,0,IF(N($J852)=2,AB852,IF(AND($K852&lt;&gt;"Point",N($O852)&gt;0),N($O852),N($M852))))))</f>
        <v/>
      </c>
      <c r="AD852" s="22">
        <f>IF(AND($A852="",$B852=""),"",MAX(0,AB852-AC852))</f>
        <v/>
      </c>
      <c r="AE852" s="21">
        <f>IF(AND($A852="",$B852=""),"",IF(OR($R852&lt;&gt;"",$S852&lt;&gt;""),1,0))</f>
        <v/>
      </c>
      <c r="AF852" s="22">
        <f>IF(AND($A852="",$B852=""),"",IF(Z852=1,IF(AE852=1,N($R852),AD852),0))</f>
        <v/>
      </c>
      <c r="AG852" s="22">
        <f>IF(AND($A852="",$B852=""),"",IF(Z852=1,IF(AE852=1,N($S852),AC852),0))</f>
        <v/>
      </c>
      <c r="AH852" s="21">
        <f>IF(AND($A852="",$B852=""),"",IF(AND(ISNUMBER($I852),N($I852)&gt;0),$I852,0))</f>
        <v/>
      </c>
      <c r="AI852" s="23">
        <f>IF(AND(NOT(AND($A852="",$B852="")),$K852="Point",N($L852)&gt;0),SQRT(N($L852)/PI()),"")</f>
        <v/>
      </c>
      <c r="AJ852" s="21">
        <f>IF(AND($A852="",$B852=""),"",IFERROR(VLOOKUP($G852,Lists!$D$4:$E$15,2,FALSE),"Not reported"))</f>
        <v/>
      </c>
      <c r="AK852" s="21">
        <f>IF(AND($A852="",$B852=""),"",IF($X852&lt;&gt;"",$X852,IF($T852&lt;&gt;"Y","Not assessed",IF(AND(ISNUMBER($V852),Setup!$B$6-$V852&gt;Setup!$B$26),"Assessment outdated",IF(NOT(ISNUMBER($W852)),"Assessed – no score",IF($W852&gt;=Setup!$B$24,"High",IF($W852&gt;=Setup!$B$25,"Moderate","Low")))))))</f>
        <v/>
      </c>
      <c r="AL852" s="21">
        <f>IF(AND($A852="",$B852=""),"",IF(Z852=0,"",IF(AND(AE852=1,N($R852)&gt;AD852*1.01+0.001),"Net terrestrial &gt; gross; ","")&amp;IF(AND(AE852=1,N($S852)&gt;AC852*1.01+0.001),"Net marine &gt; gross; ","")&amp;IF(AE852=0,"No net area – gross used, overlaps may be double-counted; ","")&amp;IF(AH852=0,"STATUS_YR missing – imputed in time series; ","")&amp;IF(AND(ISNUMBER($I852),N($I852)&gt;Setup!$B$6),"STATUS_YR after reporting year; ","")&amp;IF(OR($G852="",$G852="Not Reported"),"GOV_TYPE not reported; ","")&amp;IF(AND(N($J852)=1,$K852="Point",N($M852)&lt;=0),"Coastal point without REP_M_AREA – land/sea split unknown; ","")&amp;IF(AND(N($J852)=0,N($S852)&gt;0),"MARINE=0 but net marine &gt;0; ","")&amp;IF(AND(N($J852)=2,N($R852)&gt;0),"MARINE=2 but net terrestrial &gt;0; ","")&amp;IF($K852="Point","Buffered point – coverage approximate; ","")))</f>
        <v/>
      </c>
    </row>
    <row r="853">
      <c r="A853" s="19" t="n"/>
      <c r="B853" s="19" t="n"/>
      <c r="C853" s="19" t="n"/>
      <c r="D853" s="19" t="n"/>
      <c r="E853" s="19" t="n"/>
      <c r="F853" s="19" t="n"/>
      <c r="G853" s="19" t="n"/>
      <c r="H853" s="19" t="n"/>
      <c r="I853" s="19" t="n"/>
      <c r="J853" s="19" t="n"/>
      <c r="K853" s="19" t="n"/>
      <c r="L853" s="20" t="n"/>
      <c r="M853" s="20" t="n"/>
      <c r="N853" s="20" t="n"/>
      <c r="O853" s="20" t="n"/>
      <c r="P853" s="19" t="n"/>
      <c r="Q853" s="19" t="n"/>
      <c r="R853" s="20" t="n"/>
      <c r="S853" s="20" t="n"/>
      <c r="T853" s="19" t="n"/>
      <c r="U853" s="19" t="n"/>
      <c r="V853" s="19" t="n"/>
      <c r="W853" s="19" t="n"/>
      <c r="X853" s="19" t="n"/>
      <c r="Y853" s="19" t="n"/>
      <c r="Z853" s="21">
        <f>IF(AND($A853="",$B853=""),"",IF(OR($E853="",$H853="",$H853="Proposed",$H853="Not Reported"),0,IF(AND($P853="Y",$Q853&lt;&gt;"Y"),0,IF(AND($K853="Point",N($L853)&lt;=0),0,IF(AND(N($L853)&lt;=0,N($N853)&lt;=0,N($R853)+N($S853)&lt;=0),0,1)))))</f>
        <v/>
      </c>
      <c r="AA853" s="21">
        <f>IF(AND($A853="",$B853=""),"",IF($E853="","Site type missing",IF($H853="","STATUS missing",IF($H853="Proposed","STATUS = Proposed",IF($H853="Not Reported","STATUS = Not Reported",IF(AND($P853="Y",$Q853&lt;&gt;"Y"),"UNESCO-MAB Biosphere Reserve",IF(AND($K853="Point",N($L853)&lt;=0),"Point without REP_AREA",IF(AND(N($L853)&lt;=0,N($N853)&lt;=0,N($R853)+N($S853)&lt;=0),"No area information",""))))))))</f>
        <v/>
      </c>
      <c r="AB853" s="22">
        <f>IF(AND($A853="",$B853=""),"",IF($K853="Point",N($L853),IF(N($N853)&gt;0,N($N853),N($L853))))</f>
        <v/>
      </c>
      <c r="AC853" s="22">
        <f>IF(AND($A853="",$B853=""),"",MIN(AB853,IF(N($J853)=0,0,IF(N($J853)=2,AB853,IF(AND($K853&lt;&gt;"Point",N($O853)&gt;0),N($O853),N($M853))))))</f>
        <v/>
      </c>
      <c r="AD853" s="22">
        <f>IF(AND($A853="",$B853=""),"",MAX(0,AB853-AC853))</f>
        <v/>
      </c>
      <c r="AE853" s="21">
        <f>IF(AND($A853="",$B853=""),"",IF(OR($R853&lt;&gt;"",$S853&lt;&gt;""),1,0))</f>
        <v/>
      </c>
      <c r="AF853" s="22">
        <f>IF(AND($A853="",$B853=""),"",IF(Z853=1,IF(AE853=1,N($R853),AD853),0))</f>
        <v/>
      </c>
      <c r="AG853" s="22">
        <f>IF(AND($A853="",$B853=""),"",IF(Z853=1,IF(AE853=1,N($S853),AC853),0))</f>
        <v/>
      </c>
      <c r="AH853" s="21">
        <f>IF(AND($A853="",$B853=""),"",IF(AND(ISNUMBER($I853),N($I853)&gt;0),$I853,0))</f>
        <v/>
      </c>
      <c r="AI853" s="23">
        <f>IF(AND(NOT(AND($A853="",$B853="")),$K853="Point",N($L853)&gt;0),SQRT(N($L853)/PI()),"")</f>
        <v/>
      </c>
      <c r="AJ853" s="21">
        <f>IF(AND($A853="",$B853=""),"",IFERROR(VLOOKUP($G853,Lists!$D$4:$E$15,2,FALSE),"Not reported"))</f>
        <v/>
      </c>
      <c r="AK853" s="21">
        <f>IF(AND($A853="",$B853=""),"",IF($X853&lt;&gt;"",$X853,IF($T853&lt;&gt;"Y","Not assessed",IF(AND(ISNUMBER($V853),Setup!$B$6-$V853&gt;Setup!$B$26),"Assessment outdated",IF(NOT(ISNUMBER($W853)),"Assessed – no score",IF($W853&gt;=Setup!$B$24,"High",IF($W853&gt;=Setup!$B$25,"Moderate","Low")))))))</f>
        <v/>
      </c>
      <c r="AL853" s="21">
        <f>IF(AND($A853="",$B853=""),"",IF(Z853=0,"",IF(AND(AE853=1,N($R853)&gt;AD853*1.01+0.001),"Net terrestrial &gt; gross; ","")&amp;IF(AND(AE853=1,N($S853)&gt;AC853*1.01+0.001),"Net marine &gt; gross; ","")&amp;IF(AE853=0,"No net area – gross used, overlaps may be double-counted; ","")&amp;IF(AH853=0,"STATUS_YR missing – imputed in time series; ","")&amp;IF(AND(ISNUMBER($I853),N($I853)&gt;Setup!$B$6),"STATUS_YR after reporting year; ","")&amp;IF(OR($G853="",$G853="Not Reported"),"GOV_TYPE not reported; ","")&amp;IF(AND(N($J853)=1,$K853="Point",N($M853)&lt;=0),"Coastal point without REP_M_AREA – land/sea split unknown; ","")&amp;IF(AND(N($J853)=0,N($S853)&gt;0),"MARINE=0 but net marine &gt;0; ","")&amp;IF(AND(N($J853)=2,N($R853)&gt;0),"MARINE=2 but net terrestrial &gt;0; ","")&amp;IF($K853="Point","Buffered point – coverage approximate; ","")))</f>
        <v/>
      </c>
    </row>
    <row r="854">
      <c r="A854" s="19" t="n"/>
      <c r="B854" s="19" t="n"/>
      <c r="C854" s="19" t="n"/>
      <c r="D854" s="19" t="n"/>
      <c r="E854" s="19" t="n"/>
      <c r="F854" s="19" t="n"/>
      <c r="G854" s="19" t="n"/>
      <c r="H854" s="19" t="n"/>
      <c r="I854" s="19" t="n"/>
      <c r="J854" s="19" t="n"/>
      <c r="K854" s="19" t="n"/>
      <c r="L854" s="20" t="n"/>
      <c r="M854" s="20" t="n"/>
      <c r="N854" s="20" t="n"/>
      <c r="O854" s="20" t="n"/>
      <c r="P854" s="19" t="n"/>
      <c r="Q854" s="19" t="n"/>
      <c r="R854" s="20" t="n"/>
      <c r="S854" s="20" t="n"/>
      <c r="T854" s="19" t="n"/>
      <c r="U854" s="19" t="n"/>
      <c r="V854" s="19" t="n"/>
      <c r="W854" s="19" t="n"/>
      <c r="X854" s="19" t="n"/>
      <c r="Y854" s="19" t="n"/>
      <c r="Z854" s="21">
        <f>IF(AND($A854="",$B854=""),"",IF(OR($E854="",$H854="",$H854="Proposed",$H854="Not Reported"),0,IF(AND($P854="Y",$Q854&lt;&gt;"Y"),0,IF(AND($K854="Point",N($L854)&lt;=0),0,IF(AND(N($L854)&lt;=0,N($N854)&lt;=0,N($R854)+N($S854)&lt;=0),0,1)))))</f>
        <v/>
      </c>
      <c r="AA854" s="21">
        <f>IF(AND($A854="",$B854=""),"",IF($E854="","Site type missing",IF($H854="","STATUS missing",IF($H854="Proposed","STATUS = Proposed",IF($H854="Not Reported","STATUS = Not Reported",IF(AND($P854="Y",$Q854&lt;&gt;"Y"),"UNESCO-MAB Biosphere Reserve",IF(AND($K854="Point",N($L854)&lt;=0),"Point without REP_AREA",IF(AND(N($L854)&lt;=0,N($N854)&lt;=0,N($R854)+N($S854)&lt;=0),"No area information",""))))))))</f>
        <v/>
      </c>
      <c r="AB854" s="22">
        <f>IF(AND($A854="",$B854=""),"",IF($K854="Point",N($L854),IF(N($N854)&gt;0,N($N854),N($L854))))</f>
        <v/>
      </c>
      <c r="AC854" s="22">
        <f>IF(AND($A854="",$B854=""),"",MIN(AB854,IF(N($J854)=0,0,IF(N($J854)=2,AB854,IF(AND($K854&lt;&gt;"Point",N($O854)&gt;0),N($O854),N($M854))))))</f>
        <v/>
      </c>
      <c r="AD854" s="22">
        <f>IF(AND($A854="",$B854=""),"",MAX(0,AB854-AC854))</f>
        <v/>
      </c>
      <c r="AE854" s="21">
        <f>IF(AND($A854="",$B854=""),"",IF(OR($R854&lt;&gt;"",$S854&lt;&gt;""),1,0))</f>
        <v/>
      </c>
      <c r="AF854" s="22">
        <f>IF(AND($A854="",$B854=""),"",IF(Z854=1,IF(AE854=1,N($R854),AD854),0))</f>
        <v/>
      </c>
      <c r="AG854" s="22">
        <f>IF(AND($A854="",$B854=""),"",IF(Z854=1,IF(AE854=1,N($S854),AC854),0))</f>
        <v/>
      </c>
      <c r="AH854" s="21">
        <f>IF(AND($A854="",$B854=""),"",IF(AND(ISNUMBER($I854),N($I854)&gt;0),$I854,0))</f>
        <v/>
      </c>
      <c r="AI854" s="23">
        <f>IF(AND(NOT(AND($A854="",$B854="")),$K854="Point",N($L854)&gt;0),SQRT(N($L854)/PI()),"")</f>
        <v/>
      </c>
      <c r="AJ854" s="21">
        <f>IF(AND($A854="",$B854=""),"",IFERROR(VLOOKUP($G854,Lists!$D$4:$E$15,2,FALSE),"Not reported"))</f>
        <v/>
      </c>
      <c r="AK854" s="21">
        <f>IF(AND($A854="",$B854=""),"",IF($X854&lt;&gt;"",$X854,IF($T854&lt;&gt;"Y","Not assessed",IF(AND(ISNUMBER($V854),Setup!$B$6-$V854&gt;Setup!$B$26),"Assessment outdated",IF(NOT(ISNUMBER($W854)),"Assessed – no score",IF($W854&gt;=Setup!$B$24,"High",IF($W854&gt;=Setup!$B$25,"Moderate","Low")))))))</f>
        <v/>
      </c>
      <c r="AL854" s="21">
        <f>IF(AND($A854="",$B854=""),"",IF(Z854=0,"",IF(AND(AE854=1,N($R854)&gt;AD854*1.01+0.001),"Net terrestrial &gt; gross; ","")&amp;IF(AND(AE854=1,N($S854)&gt;AC854*1.01+0.001),"Net marine &gt; gross; ","")&amp;IF(AE854=0,"No net area – gross used, overlaps may be double-counted; ","")&amp;IF(AH854=0,"STATUS_YR missing – imputed in time series; ","")&amp;IF(AND(ISNUMBER($I854),N($I854)&gt;Setup!$B$6),"STATUS_YR after reporting year; ","")&amp;IF(OR($G854="",$G854="Not Reported"),"GOV_TYPE not reported; ","")&amp;IF(AND(N($J854)=1,$K854="Point",N($M854)&lt;=0),"Coastal point without REP_M_AREA – land/sea split unknown; ","")&amp;IF(AND(N($J854)=0,N($S854)&gt;0),"MARINE=0 but net marine &gt;0; ","")&amp;IF(AND(N($J854)=2,N($R854)&gt;0),"MARINE=2 but net terrestrial &gt;0; ","")&amp;IF($K854="Point","Buffered point – coverage approximate; ","")))</f>
        <v/>
      </c>
    </row>
    <row r="855">
      <c r="A855" s="19" t="n"/>
      <c r="B855" s="19" t="n"/>
      <c r="C855" s="19" t="n"/>
      <c r="D855" s="19" t="n"/>
      <c r="E855" s="19" t="n"/>
      <c r="F855" s="19" t="n"/>
      <c r="G855" s="19" t="n"/>
      <c r="H855" s="19" t="n"/>
      <c r="I855" s="19" t="n"/>
      <c r="J855" s="19" t="n"/>
      <c r="K855" s="19" t="n"/>
      <c r="L855" s="20" t="n"/>
      <c r="M855" s="20" t="n"/>
      <c r="N855" s="20" t="n"/>
      <c r="O855" s="20" t="n"/>
      <c r="P855" s="19" t="n"/>
      <c r="Q855" s="19" t="n"/>
      <c r="R855" s="20" t="n"/>
      <c r="S855" s="20" t="n"/>
      <c r="T855" s="19" t="n"/>
      <c r="U855" s="19" t="n"/>
      <c r="V855" s="19" t="n"/>
      <c r="W855" s="19" t="n"/>
      <c r="X855" s="19" t="n"/>
      <c r="Y855" s="19" t="n"/>
      <c r="Z855" s="21">
        <f>IF(AND($A855="",$B855=""),"",IF(OR($E855="",$H855="",$H855="Proposed",$H855="Not Reported"),0,IF(AND($P855="Y",$Q855&lt;&gt;"Y"),0,IF(AND($K855="Point",N($L855)&lt;=0),0,IF(AND(N($L855)&lt;=0,N($N855)&lt;=0,N($R855)+N($S855)&lt;=0),0,1)))))</f>
        <v/>
      </c>
      <c r="AA855" s="21">
        <f>IF(AND($A855="",$B855=""),"",IF($E855="","Site type missing",IF($H855="","STATUS missing",IF($H855="Proposed","STATUS = Proposed",IF($H855="Not Reported","STATUS = Not Reported",IF(AND($P855="Y",$Q855&lt;&gt;"Y"),"UNESCO-MAB Biosphere Reserve",IF(AND($K855="Point",N($L855)&lt;=0),"Point without REP_AREA",IF(AND(N($L855)&lt;=0,N($N855)&lt;=0,N($R855)+N($S855)&lt;=0),"No area information",""))))))))</f>
        <v/>
      </c>
      <c r="AB855" s="22">
        <f>IF(AND($A855="",$B855=""),"",IF($K855="Point",N($L855),IF(N($N855)&gt;0,N($N855),N($L855))))</f>
        <v/>
      </c>
      <c r="AC855" s="22">
        <f>IF(AND($A855="",$B855=""),"",MIN(AB855,IF(N($J855)=0,0,IF(N($J855)=2,AB855,IF(AND($K855&lt;&gt;"Point",N($O855)&gt;0),N($O855),N($M855))))))</f>
        <v/>
      </c>
      <c r="AD855" s="22">
        <f>IF(AND($A855="",$B855=""),"",MAX(0,AB855-AC855))</f>
        <v/>
      </c>
      <c r="AE855" s="21">
        <f>IF(AND($A855="",$B855=""),"",IF(OR($R855&lt;&gt;"",$S855&lt;&gt;""),1,0))</f>
        <v/>
      </c>
      <c r="AF855" s="22">
        <f>IF(AND($A855="",$B855=""),"",IF(Z855=1,IF(AE855=1,N($R855),AD855),0))</f>
        <v/>
      </c>
      <c r="AG855" s="22">
        <f>IF(AND($A855="",$B855=""),"",IF(Z855=1,IF(AE855=1,N($S855),AC855),0))</f>
        <v/>
      </c>
      <c r="AH855" s="21">
        <f>IF(AND($A855="",$B855=""),"",IF(AND(ISNUMBER($I855),N($I855)&gt;0),$I855,0))</f>
        <v/>
      </c>
      <c r="AI855" s="23">
        <f>IF(AND(NOT(AND($A855="",$B855="")),$K855="Point",N($L855)&gt;0),SQRT(N($L855)/PI()),"")</f>
        <v/>
      </c>
      <c r="AJ855" s="21">
        <f>IF(AND($A855="",$B855=""),"",IFERROR(VLOOKUP($G855,Lists!$D$4:$E$15,2,FALSE),"Not reported"))</f>
        <v/>
      </c>
      <c r="AK855" s="21">
        <f>IF(AND($A855="",$B855=""),"",IF($X855&lt;&gt;"",$X855,IF($T855&lt;&gt;"Y","Not assessed",IF(AND(ISNUMBER($V855),Setup!$B$6-$V855&gt;Setup!$B$26),"Assessment outdated",IF(NOT(ISNUMBER($W855)),"Assessed – no score",IF($W855&gt;=Setup!$B$24,"High",IF($W855&gt;=Setup!$B$25,"Moderate","Low")))))))</f>
        <v/>
      </c>
      <c r="AL855" s="21">
        <f>IF(AND($A855="",$B855=""),"",IF(Z855=0,"",IF(AND(AE855=1,N($R855)&gt;AD855*1.01+0.001),"Net terrestrial &gt; gross; ","")&amp;IF(AND(AE855=1,N($S855)&gt;AC855*1.01+0.001),"Net marine &gt; gross; ","")&amp;IF(AE855=0,"No net area – gross used, overlaps may be double-counted; ","")&amp;IF(AH855=0,"STATUS_YR missing – imputed in time series; ","")&amp;IF(AND(ISNUMBER($I855),N($I855)&gt;Setup!$B$6),"STATUS_YR after reporting year; ","")&amp;IF(OR($G855="",$G855="Not Reported"),"GOV_TYPE not reported; ","")&amp;IF(AND(N($J855)=1,$K855="Point",N($M855)&lt;=0),"Coastal point without REP_M_AREA – land/sea split unknown; ","")&amp;IF(AND(N($J855)=0,N($S855)&gt;0),"MARINE=0 but net marine &gt;0; ","")&amp;IF(AND(N($J855)=2,N($R855)&gt;0),"MARINE=2 but net terrestrial &gt;0; ","")&amp;IF($K855="Point","Buffered point – coverage approximate; ","")))</f>
        <v/>
      </c>
    </row>
    <row r="856">
      <c r="A856" s="19" t="n"/>
      <c r="B856" s="19" t="n"/>
      <c r="C856" s="19" t="n"/>
      <c r="D856" s="19" t="n"/>
      <c r="E856" s="19" t="n"/>
      <c r="F856" s="19" t="n"/>
      <c r="G856" s="19" t="n"/>
      <c r="H856" s="19" t="n"/>
      <c r="I856" s="19" t="n"/>
      <c r="J856" s="19" t="n"/>
      <c r="K856" s="19" t="n"/>
      <c r="L856" s="20" t="n"/>
      <c r="M856" s="20" t="n"/>
      <c r="N856" s="20" t="n"/>
      <c r="O856" s="20" t="n"/>
      <c r="P856" s="19" t="n"/>
      <c r="Q856" s="19" t="n"/>
      <c r="R856" s="20" t="n"/>
      <c r="S856" s="20" t="n"/>
      <c r="T856" s="19" t="n"/>
      <c r="U856" s="19" t="n"/>
      <c r="V856" s="19" t="n"/>
      <c r="W856" s="19" t="n"/>
      <c r="X856" s="19" t="n"/>
      <c r="Y856" s="19" t="n"/>
      <c r="Z856" s="21">
        <f>IF(AND($A856="",$B856=""),"",IF(OR($E856="",$H856="",$H856="Proposed",$H856="Not Reported"),0,IF(AND($P856="Y",$Q856&lt;&gt;"Y"),0,IF(AND($K856="Point",N($L856)&lt;=0),0,IF(AND(N($L856)&lt;=0,N($N856)&lt;=0,N($R856)+N($S856)&lt;=0),0,1)))))</f>
        <v/>
      </c>
      <c r="AA856" s="21">
        <f>IF(AND($A856="",$B856=""),"",IF($E856="","Site type missing",IF($H856="","STATUS missing",IF($H856="Proposed","STATUS = Proposed",IF($H856="Not Reported","STATUS = Not Reported",IF(AND($P856="Y",$Q856&lt;&gt;"Y"),"UNESCO-MAB Biosphere Reserve",IF(AND($K856="Point",N($L856)&lt;=0),"Point without REP_AREA",IF(AND(N($L856)&lt;=0,N($N856)&lt;=0,N($R856)+N($S856)&lt;=0),"No area information",""))))))))</f>
        <v/>
      </c>
      <c r="AB856" s="22">
        <f>IF(AND($A856="",$B856=""),"",IF($K856="Point",N($L856),IF(N($N856)&gt;0,N($N856),N($L856))))</f>
        <v/>
      </c>
      <c r="AC856" s="22">
        <f>IF(AND($A856="",$B856=""),"",MIN(AB856,IF(N($J856)=0,0,IF(N($J856)=2,AB856,IF(AND($K856&lt;&gt;"Point",N($O856)&gt;0),N($O856),N($M856))))))</f>
        <v/>
      </c>
      <c r="AD856" s="22">
        <f>IF(AND($A856="",$B856=""),"",MAX(0,AB856-AC856))</f>
        <v/>
      </c>
      <c r="AE856" s="21">
        <f>IF(AND($A856="",$B856=""),"",IF(OR($R856&lt;&gt;"",$S856&lt;&gt;""),1,0))</f>
        <v/>
      </c>
      <c r="AF856" s="22">
        <f>IF(AND($A856="",$B856=""),"",IF(Z856=1,IF(AE856=1,N($R856),AD856),0))</f>
        <v/>
      </c>
      <c r="AG856" s="22">
        <f>IF(AND($A856="",$B856=""),"",IF(Z856=1,IF(AE856=1,N($S856),AC856),0))</f>
        <v/>
      </c>
      <c r="AH856" s="21">
        <f>IF(AND($A856="",$B856=""),"",IF(AND(ISNUMBER($I856),N($I856)&gt;0),$I856,0))</f>
        <v/>
      </c>
      <c r="AI856" s="23">
        <f>IF(AND(NOT(AND($A856="",$B856="")),$K856="Point",N($L856)&gt;0),SQRT(N($L856)/PI()),"")</f>
        <v/>
      </c>
      <c r="AJ856" s="21">
        <f>IF(AND($A856="",$B856=""),"",IFERROR(VLOOKUP($G856,Lists!$D$4:$E$15,2,FALSE),"Not reported"))</f>
        <v/>
      </c>
      <c r="AK856" s="21">
        <f>IF(AND($A856="",$B856=""),"",IF($X856&lt;&gt;"",$X856,IF($T856&lt;&gt;"Y","Not assessed",IF(AND(ISNUMBER($V856),Setup!$B$6-$V856&gt;Setup!$B$26),"Assessment outdated",IF(NOT(ISNUMBER($W856)),"Assessed – no score",IF($W856&gt;=Setup!$B$24,"High",IF($W856&gt;=Setup!$B$25,"Moderate","Low")))))))</f>
        <v/>
      </c>
      <c r="AL856" s="21">
        <f>IF(AND($A856="",$B856=""),"",IF(Z856=0,"",IF(AND(AE856=1,N($R856)&gt;AD856*1.01+0.001),"Net terrestrial &gt; gross; ","")&amp;IF(AND(AE856=1,N($S856)&gt;AC856*1.01+0.001),"Net marine &gt; gross; ","")&amp;IF(AE856=0,"No net area – gross used, overlaps may be double-counted; ","")&amp;IF(AH856=0,"STATUS_YR missing – imputed in time series; ","")&amp;IF(AND(ISNUMBER($I856),N($I856)&gt;Setup!$B$6),"STATUS_YR after reporting year; ","")&amp;IF(OR($G856="",$G856="Not Reported"),"GOV_TYPE not reported; ","")&amp;IF(AND(N($J856)=1,$K856="Point",N($M856)&lt;=0),"Coastal point without REP_M_AREA – land/sea split unknown; ","")&amp;IF(AND(N($J856)=0,N($S856)&gt;0),"MARINE=0 but net marine &gt;0; ","")&amp;IF(AND(N($J856)=2,N($R856)&gt;0),"MARINE=2 but net terrestrial &gt;0; ","")&amp;IF($K856="Point","Buffered point – coverage approximate; ","")))</f>
        <v/>
      </c>
    </row>
    <row r="857">
      <c r="A857" s="19" t="n"/>
      <c r="B857" s="19" t="n"/>
      <c r="C857" s="19" t="n"/>
      <c r="D857" s="19" t="n"/>
      <c r="E857" s="19" t="n"/>
      <c r="F857" s="19" t="n"/>
      <c r="G857" s="19" t="n"/>
      <c r="H857" s="19" t="n"/>
      <c r="I857" s="19" t="n"/>
      <c r="J857" s="19" t="n"/>
      <c r="K857" s="19" t="n"/>
      <c r="L857" s="20" t="n"/>
      <c r="M857" s="20" t="n"/>
      <c r="N857" s="20" t="n"/>
      <c r="O857" s="20" t="n"/>
      <c r="P857" s="19" t="n"/>
      <c r="Q857" s="19" t="n"/>
      <c r="R857" s="20" t="n"/>
      <c r="S857" s="20" t="n"/>
      <c r="T857" s="19" t="n"/>
      <c r="U857" s="19" t="n"/>
      <c r="V857" s="19" t="n"/>
      <c r="W857" s="19" t="n"/>
      <c r="X857" s="19" t="n"/>
      <c r="Y857" s="19" t="n"/>
      <c r="Z857" s="21">
        <f>IF(AND($A857="",$B857=""),"",IF(OR($E857="",$H857="",$H857="Proposed",$H857="Not Reported"),0,IF(AND($P857="Y",$Q857&lt;&gt;"Y"),0,IF(AND($K857="Point",N($L857)&lt;=0),0,IF(AND(N($L857)&lt;=0,N($N857)&lt;=0,N($R857)+N($S857)&lt;=0),0,1)))))</f>
        <v/>
      </c>
      <c r="AA857" s="21">
        <f>IF(AND($A857="",$B857=""),"",IF($E857="","Site type missing",IF($H857="","STATUS missing",IF($H857="Proposed","STATUS = Proposed",IF($H857="Not Reported","STATUS = Not Reported",IF(AND($P857="Y",$Q857&lt;&gt;"Y"),"UNESCO-MAB Biosphere Reserve",IF(AND($K857="Point",N($L857)&lt;=0),"Point without REP_AREA",IF(AND(N($L857)&lt;=0,N($N857)&lt;=0,N($R857)+N($S857)&lt;=0),"No area information",""))))))))</f>
        <v/>
      </c>
      <c r="AB857" s="22">
        <f>IF(AND($A857="",$B857=""),"",IF($K857="Point",N($L857),IF(N($N857)&gt;0,N($N857),N($L857))))</f>
        <v/>
      </c>
      <c r="AC857" s="22">
        <f>IF(AND($A857="",$B857=""),"",MIN(AB857,IF(N($J857)=0,0,IF(N($J857)=2,AB857,IF(AND($K857&lt;&gt;"Point",N($O857)&gt;0),N($O857),N($M857))))))</f>
        <v/>
      </c>
      <c r="AD857" s="22">
        <f>IF(AND($A857="",$B857=""),"",MAX(0,AB857-AC857))</f>
        <v/>
      </c>
      <c r="AE857" s="21">
        <f>IF(AND($A857="",$B857=""),"",IF(OR($R857&lt;&gt;"",$S857&lt;&gt;""),1,0))</f>
        <v/>
      </c>
      <c r="AF857" s="22">
        <f>IF(AND($A857="",$B857=""),"",IF(Z857=1,IF(AE857=1,N($R857),AD857),0))</f>
        <v/>
      </c>
      <c r="AG857" s="22">
        <f>IF(AND($A857="",$B857=""),"",IF(Z857=1,IF(AE857=1,N($S857),AC857),0))</f>
        <v/>
      </c>
      <c r="AH857" s="21">
        <f>IF(AND($A857="",$B857=""),"",IF(AND(ISNUMBER($I857),N($I857)&gt;0),$I857,0))</f>
        <v/>
      </c>
      <c r="AI857" s="23">
        <f>IF(AND(NOT(AND($A857="",$B857="")),$K857="Point",N($L857)&gt;0),SQRT(N($L857)/PI()),"")</f>
        <v/>
      </c>
      <c r="AJ857" s="21">
        <f>IF(AND($A857="",$B857=""),"",IFERROR(VLOOKUP($G857,Lists!$D$4:$E$15,2,FALSE),"Not reported"))</f>
        <v/>
      </c>
      <c r="AK857" s="21">
        <f>IF(AND($A857="",$B857=""),"",IF($X857&lt;&gt;"",$X857,IF($T857&lt;&gt;"Y","Not assessed",IF(AND(ISNUMBER($V857),Setup!$B$6-$V857&gt;Setup!$B$26),"Assessment outdated",IF(NOT(ISNUMBER($W857)),"Assessed – no score",IF($W857&gt;=Setup!$B$24,"High",IF($W857&gt;=Setup!$B$25,"Moderate","Low")))))))</f>
        <v/>
      </c>
      <c r="AL857" s="21">
        <f>IF(AND($A857="",$B857=""),"",IF(Z857=0,"",IF(AND(AE857=1,N($R857)&gt;AD857*1.01+0.001),"Net terrestrial &gt; gross; ","")&amp;IF(AND(AE857=1,N($S857)&gt;AC857*1.01+0.001),"Net marine &gt; gross; ","")&amp;IF(AE857=0,"No net area – gross used, overlaps may be double-counted; ","")&amp;IF(AH857=0,"STATUS_YR missing – imputed in time series; ","")&amp;IF(AND(ISNUMBER($I857),N($I857)&gt;Setup!$B$6),"STATUS_YR after reporting year; ","")&amp;IF(OR($G857="",$G857="Not Reported"),"GOV_TYPE not reported; ","")&amp;IF(AND(N($J857)=1,$K857="Point",N($M857)&lt;=0),"Coastal point without REP_M_AREA – land/sea split unknown; ","")&amp;IF(AND(N($J857)=0,N($S857)&gt;0),"MARINE=0 but net marine &gt;0; ","")&amp;IF(AND(N($J857)=2,N($R857)&gt;0),"MARINE=2 but net terrestrial &gt;0; ","")&amp;IF($K857="Point","Buffered point – coverage approximate; ","")))</f>
        <v/>
      </c>
    </row>
    <row r="858">
      <c r="A858" s="19" t="n"/>
      <c r="B858" s="19" t="n"/>
      <c r="C858" s="19" t="n"/>
      <c r="D858" s="19" t="n"/>
      <c r="E858" s="19" t="n"/>
      <c r="F858" s="19" t="n"/>
      <c r="G858" s="19" t="n"/>
      <c r="H858" s="19" t="n"/>
      <c r="I858" s="19" t="n"/>
      <c r="J858" s="19" t="n"/>
      <c r="K858" s="19" t="n"/>
      <c r="L858" s="20" t="n"/>
      <c r="M858" s="20" t="n"/>
      <c r="N858" s="20" t="n"/>
      <c r="O858" s="20" t="n"/>
      <c r="P858" s="19" t="n"/>
      <c r="Q858" s="19" t="n"/>
      <c r="R858" s="20" t="n"/>
      <c r="S858" s="20" t="n"/>
      <c r="T858" s="19" t="n"/>
      <c r="U858" s="19" t="n"/>
      <c r="V858" s="19" t="n"/>
      <c r="W858" s="19" t="n"/>
      <c r="X858" s="19" t="n"/>
      <c r="Y858" s="19" t="n"/>
      <c r="Z858" s="21">
        <f>IF(AND($A858="",$B858=""),"",IF(OR($E858="",$H858="",$H858="Proposed",$H858="Not Reported"),0,IF(AND($P858="Y",$Q858&lt;&gt;"Y"),0,IF(AND($K858="Point",N($L858)&lt;=0),0,IF(AND(N($L858)&lt;=0,N($N858)&lt;=0,N($R858)+N($S858)&lt;=0),0,1)))))</f>
        <v/>
      </c>
      <c r="AA858" s="21">
        <f>IF(AND($A858="",$B858=""),"",IF($E858="","Site type missing",IF($H858="","STATUS missing",IF($H858="Proposed","STATUS = Proposed",IF($H858="Not Reported","STATUS = Not Reported",IF(AND($P858="Y",$Q858&lt;&gt;"Y"),"UNESCO-MAB Biosphere Reserve",IF(AND($K858="Point",N($L858)&lt;=0),"Point without REP_AREA",IF(AND(N($L858)&lt;=0,N($N858)&lt;=0,N($R858)+N($S858)&lt;=0),"No area information",""))))))))</f>
        <v/>
      </c>
      <c r="AB858" s="22">
        <f>IF(AND($A858="",$B858=""),"",IF($K858="Point",N($L858),IF(N($N858)&gt;0,N($N858),N($L858))))</f>
        <v/>
      </c>
      <c r="AC858" s="22">
        <f>IF(AND($A858="",$B858=""),"",MIN(AB858,IF(N($J858)=0,0,IF(N($J858)=2,AB858,IF(AND($K858&lt;&gt;"Point",N($O858)&gt;0),N($O858),N($M858))))))</f>
        <v/>
      </c>
      <c r="AD858" s="22">
        <f>IF(AND($A858="",$B858=""),"",MAX(0,AB858-AC858))</f>
        <v/>
      </c>
      <c r="AE858" s="21">
        <f>IF(AND($A858="",$B858=""),"",IF(OR($R858&lt;&gt;"",$S858&lt;&gt;""),1,0))</f>
        <v/>
      </c>
      <c r="AF858" s="22">
        <f>IF(AND($A858="",$B858=""),"",IF(Z858=1,IF(AE858=1,N($R858),AD858),0))</f>
        <v/>
      </c>
      <c r="AG858" s="22">
        <f>IF(AND($A858="",$B858=""),"",IF(Z858=1,IF(AE858=1,N($S858),AC858),0))</f>
        <v/>
      </c>
      <c r="AH858" s="21">
        <f>IF(AND($A858="",$B858=""),"",IF(AND(ISNUMBER($I858),N($I858)&gt;0),$I858,0))</f>
        <v/>
      </c>
      <c r="AI858" s="23">
        <f>IF(AND(NOT(AND($A858="",$B858="")),$K858="Point",N($L858)&gt;0),SQRT(N($L858)/PI()),"")</f>
        <v/>
      </c>
      <c r="AJ858" s="21">
        <f>IF(AND($A858="",$B858=""),"",IFERROR(VLOOKUP($G858,Lists!$D$4:$E$15,2,FALSE),"Not reported"))</f>
        <v/>
      </c>
      <c r="AK858" s="21">
        <f>IF(AND($A858="",$B858=""),"",IF($X858&lt;&gt;"",$X858,IF($T858&lt;&gt;"Y","Not assessed",IF(AND(ISNUMBER($V858),Setup!$B$6-$V858&gt;Setup!$B$26),"Assessment outdated",IF(NOT(ISNUMBER($W858)),"Assessed – no score",IF($W858&gt;=Setup!$B$24,"High",IF($W858&gt;=Setup!$B$25,"Moderate","Low")))))))</f>
        <v/>
      </c>
      <c r="AL858" s="21">
        <f>IF(AND($A858="",$B858=""),"",IF(Z858=0,"",IF(AND(AE858=1,N($R858)&gt;AD858*1.01+0.001),"Net terrestrial &gt; gross; ","")&amp;IF(AND(AE858=1,N($S858)&gt;AC858*1.01+0.001),"Net marine &gt; gross; ","")&amp;IF(AE858=0,"No net area – gross used, overlaps may be double-counted; ","")&amp;IF(AH858=0,"STATUS_YR missing – imputed in time series; ","")&amp;IF(AND(ISNUMBER($I858),N($I858)&gt;Setup!$B$6),"STATUS_YR after reporting year; ","")&amp;IF(OR($G858="",$G858="Not Reported"),"GOV_TYPE not reported; ","")&amp;IF(AND(N($J858)=1,$K858="Point",N($M858)&lt;=0),"Coastal point without REP_M_AREA – land/sea split unknown; ","")&amp;IF(AND(N($J858)=0,N($S858)&gt;0),"MARINE=0 but net marine &gt;0; ","")&amp;IF(AND(N($J858)=2,N($R858)&gt;0),"MARINE=2 but net terrestrial &gt;0; ","")&amp;IF($K858="Point","Buffered point – coverage approximate; ","")))</f>
        <v/>
      </c>
    </row>
    <row r="859">
      <c r="A859" s="19" t="n"/>
      <c r="B859" s="19" t="n"/>
      <c r="C859" s="19" t="n"/>
      <c r="D859" s="19" t="n"/>
      <c r="E859" s="19" t="n"/>
      <c r="F859" s="19" t="n"/>
      <c r="G859" s="19" t="n"/>
      <c r="H859" s="19" t="n"/>
      <c r="I859" s="19" t="n"/>
      <c r="J859" s="19" t="n"/>
      <c r="K859" s="19" t="n"/>
      <c r="L859" s="20" t="n"/>
      <c r="M859" s="20" t="n"/>
      <c r="N859" s="20" t="n"/>
      <c r="O859" s="20" t="n"/>
      <c r="P859" s="19" t="n"/>
      <c r="Q859" s="19" t="n"/>
      <c r="R859" s="20" t="n"/>
      <c r="S859" s="20" t="n"/>
      <c r="T859" s="19" t="n"/>
      <c r="U859" s="19" t="n"/>
      <c r="V859" s="19" t="n"/>
      <c r="W859" s="19" t="n"/>
      <c r="X859" s="19" t="n"/>
      <c r="Y859" s="19" t="n"/>
      <c r="Z859" s="21">
        <f>IF(AND($A859="",$B859=""),"",IF(OR($E859="",$H859="",$H859="Proposed",$H859="Not Reported"),0,IF(AND($P859="Y",$Q859&lt;&gt;"Y"),0,IF(AND($K859="Point",N($L859)&lt;=0),0,IF(AND(N($L859)&lt;=0,N($N859)&lt;=0,N($R859)+N($S859)&lt;=0),0,1)))))</f>
        <v/>
      </c>
      <c r="AA859" s="21">
        <f>IF(AND($A859="",$B859=""),"",IF($E859="","Site type missing",IF($H859="","STATUS missing",IF($H859="Proposed","STATUS = Proposed",IF($H859="Not Reported","STATUS = Not Reported",IF(AND($P859="Y",$Q859&lt;&gt;"Y"),"UNESCO-MAB Biosphere Reserve",IF(AND($K859="Point",N($L859)&lt;=0),"Point without REP_AREA",IF(AND(N($L859)&lt;=0,N($N859)&lt;=0,N($R859)+N($S859)&lt;=0),"No area information",""))))))))</f>
        <v/>
      </c>
      <c r="AB859" s="22">
        <f>IF(AND($A859="",$B859=""),"",IF($K859="Point",N($L859),IF(N($N859)&gt;0,N($N859),N($L859))))</f>
        <v/>
      </c>
      <c r="AC859" s="22">
        <f>IF(AND($A859="",$B859=""),"",MIN(AB859,IF(N($J859)=0,0,IF(N($J859)=2,AB859,IF(AND($K859&lt;&gt;"Point",N($O859)&gt;0),N($O859),N($M859))))))</f>
        <v/>
      </c>
      <c r="AD859" s="22">
        <f>IF(AND($A859="",$B859=""),"",MAX(0,AB859-AC859))</f>
        <v/>
      </c>
      <c r="AE859" s="21">
        <f>IF(AND($A859="",$B859=""),"",IF(OR($R859&lt;&gt;"",$S859&lt;&gt;""),1,0))</f>
        <v/>
      </c>
      <c r="AF859" s="22">
        <f>IF(AND($A859="",$B859=""),"",IF(Z859=1,IF(AE859=1,N($R859),AD859),0))</f>
        <v/>
      </c>
      <c r="AG859" s="22">
        <f>IF(AND($A859="",$B859=""),"",IF(Z859=1,IF(AE859=1,N($S859),AC859),0))</f>
        <v/>
      </c>
      <c r="AH859" s="21">
        <f>IF(AND($A859="",$B859=""),"",IF(AND(ISNUMBER($I859),N($I859)&gt;0),$I859,0))</f>
        <v/>
      </c>
      <c r="AI859" s="23">
        <f>IF(AND(NOT(AND($A859="",$B859="")),$K859="Point",N($L859)&gt;0),SQRT(N($L859)/PI()),"")</f>
        <v/>
      </c>
      <c r="AJ859" s="21">
        <f>IF(AND($A859="",$B859=""),"",IFERROR(VLOOKUP($G859,Lists!$D$4:$E$15,2,FALSE),"Not reported"))</f>
        <v/>
      </c>
      <c r="AK859" s="21">
        <f>IF(AND($A859="",$B859=""),"",IF($X859&lt;&gt;"",$X859,IF($T859&lt;&gt;"Y","Not assessed",IF(AND(ISNUMBER($V859),Setup!$B$6-$V859&gt;Setup!$B$26),"Assessment outdated",IF(NOT(ISNUMBER($W859)),"Assessed – no score",IF($W859&gt;=Setup!$B$24,"High",IF($W859&gt;=Setup!$B$25,"Moderate","Low")))))))</f>
        <v/>
      </c>
      <c r="AL859" s="21">
        <f>IF(AND($A859="",$B859=""),"",IF(Z859=0,"",IF(AND(AE859=1,N($R859)&gt;AD859*1.01+0.001),"Net terrestrial &gt; gross; ","")&amp;IF(AND(AE859=1,N($S859)&gt;AC859*1.01+0.001),"Net marine &gt; gross; ","")&amp;IF(AE859=0,"No net area – gross used, overlaps may be double-counted; ","")&amp;IF(AH859=0,"STATUS_YR missing – imputed in time series; ","")&amp;IF(AND(ISNUMBER($I859),N($I859)&gt;Setup!$B$6),"STATUS_YR after reporting year; ","")&amp;IF(OR($G859="",$G859="Not Reported"),"GOV_TYPE not reported; ","")&amp;IF(AND(N($J859)=1,$K859="Point",N($M859)&lt;=0),"Coastal point without REP_M_AREA – land/sea split unknown; ","")&amp;IF(AND(N($J859)=0,N($S859)&gt;0),"MARINE=0 but net marine &gt;0; ","")&amp;IF(AND(N($J859)=2,N($R859)&gt;0),"MARINE=2 but net terrestrial &gt;0; ","")&amp;IF($K859="Point","Buffered point – coverage approximate; ","")))</f>
        <v/>
      </c>
    </row>
    <row r="860">
      <c r="A860" s="19" t="n"/>
      <c r="B860" s="19" t="n"/>
      <c r="C860" s="19" t="n"/>
      <c r="D860" s="19" t="n"/>
      <c r="E860" s="19" t="n"/>
      <c r="F860" s="19" t="n"/>
      <c r="G860" s="19" t="n"/>
      <c r="H860" s="19" t="n"/>
      <c r="I860" s="19" t="n"/>
      <c r="J860" s="19" t="n"/>
      <c r="K860" s="19" t="n"/>
      <c r="L860" s="20" t="n"/>
      <c r="M860" s="20" t="n"/>
      <c r="N860" s="20" t="n"/>
      <c r="O860" s="20" t="n"/>
      <c r="P860" s="19" t="n"/>
      <c r="Q860" s="19" t="n"/>
      <c r="R860" s="20" t="n"/>
      <c r="S860" s="20" t="n"/>
      <c r="T860" s="19" t="n"/>
      <c r="U860" s="19" t="n"/>
      <c r="V860" s="19" t="n"/>
      <c r="W860" s="19" t="n"/>
      <c r="X860" s="19" t="n"/>
      <c r="Y860" s="19" t="n"/>
      <c r="Z860" s="21">
        <f>IF(AND($A860="",$B860=""),"",IF(OR($E860="",$H860="",$H860="Proposed",$H860="Not Reported"),0,IF(AND($P860="Y",$Q860&lt;&gt;"Y"),0,IF(AND($K860="Point",N($L860)&lt;=0),0,IF(AND(N($L860)&lt;=0,N($N860)&lt;=0,N($R860)+N($S860)&lt;=0),0,1)))))</f>
        <v/>
      </c>
      <c r="AA860" s="21">
        <f>IF(AND($A860="",$B860=""),"",IF($E860="","Site type missing",IF($H860="","STATUS missing",IF($H860="Proposed","STATUS = Proposed",IF($H860="Not Reported","STATUS = Not Reported",IF(AND($P860="Y",$Q860&lt;&gt;"Y"),"UNESCO-MAB Biosphere Reserve",IF(AND($K860="Point",N($L860)&lt;=0),"Point without REP_AREA",IF(AND(N($L860)&lt;=0,N($N860)&lt;=0,N($R860)+N($S860)&lt;=0),"No area information",""))))))))</f>
        <v/>
      </c>
      <c r="AB860" s="22">
        <f>IF(AND($A860="",$B860=""),"",IF($K860="Point",N($L860),IF(N($N860)&gt;0,N($N860),N($L860))))</f>
        <v/>
      </c>
      <c r="AC860" s="22">
        <f>IF(AND($A860="",$B860=""),"",MIN(AB860,IF(N($J860)=0,0,IF(N($J860)=2,AB860,IF(AND($K860&lt;&gt;"Point",N($O860)&gt;0),N($O860),N($M860))))))</f>
        <v/>
      </c>
      <c r="AD860" s="22">
        <f>IF(AND($A860="",$B860=""),"",MAX(0,AB860-AC860))</f>
        <v/>
      </c>
      <c r="AE860" s="21">
        <f>IF(AND($A860="",$B860=""),"",IF(OR($R860&lt;&gt;"",$S860&lt;&gt;""),1,0))</f>
        <v/>
      </c>
      <c r="AF860" s="22">
        <f>IF(AND($A860="",$B860=""),"",IF(Z860=1,IF(AE860=1,N($R860),AD860),0))</f>
        <v/>
      </c>
      <c r="AG860" s="22">
        <f>IF(AND($A860="",$B860=""),"",IF(Z860=1,IF(AE860=1,N($S860),AC860),0))</f>
        <v/>
      </c>
      <c r="AH860" s="21">
        <f>IF(AND($A860="",$B860=""),"",IF(AND(ISNUMBER($I860),N($I860)&gt;0),$I860,0))</f>
        <v/>
      </c>
      <c r="AI860" s="23">
        <f>IF(AND(NOT(AND($A860="",$B860="")),$K860="Point",N($L860)&gt;0),SQRT(N($L860)/PI()),"")</f>
        <v/>
      </c>
      <c r="AJ860" s="21">
        <f>IF(AND($A860="",$B860=""),"",IFERROR(VLOOKUP($G860,Lists!$D$4:$E$15,2,FALSE),"Not reported"))</f>
        <v/>
      </c>
      <c r="AK860" s="21">
        <f>IF(AND($A860="",$B860=""),"",IF($X860&lt;&gt;"",$X860,IF($T860&lt;&gt;"Y","Not assessed",IF(AND(ISNUMBER($V860),Setup!$B$6-$V860&gt;Setup!$B$26),"Assessment outdated",IF(NOT(ISNUMBER($W860)),"Assessed – no score",IF($W860&gt;=Setup!$B$24,"High",IF($W860&gt;=Setup!$B$25,"Moderate","Low")))))))</f>
        <v/>
      </c>
      <c r="AL860" s="21">
        <f>IF(AND($A860="",$B860=""),"",IF(Z860=0,"",IF(AND(AE860=1,N($R860)&gt;AD860*1.01+0.001),"Net terrestrial &gt; gross; ","")&amp;IF(AND(AE860=1,N($S860)&gt;AC860*1.01+0.001),"Net marine &gt; gross; ","")&amp;IF(AE860=0,"No net area – gross used, overlaps may be double-counted; ","")&amp;IF(AH860=0,"STATUS_YR missing – imputed in time series; ","")&amp;IF(AND(ISNUMBER($I860),N($I860)&gt;Setup!$B$6),"STATUS_YR after reporting year; ","")&amp;IF(OR($G860="",$G860="Not Reported"),"GOV_TYPE not reported; ","")&amp;IF(AND(N($J860)=1,$K860="Point",N($M860)&lt;=0),"Coastal point without REP_M_AREA – land/sea split unknown; ","")&amp;IF(AND(N($J860)=0,N($S860)&gt;0),"MARINE=0 but net marine &gt;0; ","")&amp;IF(AND(N($J860)=2,N($R860)&gt;0),"MARINE=2 but net terrestrial &gt;0; ","")&amp;IF($K860="Point","Buffered point – coverage approximate; ","")))</f>
        <v/>
      </c>
    </row>
    <row r="861">
      <c r="A861" s="19" t="n"/>
      <c r="B861" s="19" t="n"/>
      <c r="C861" s="19" t="n"/>
      <c r="D861" s="19" t="n"/>
      <c r="E861" s="19" t="n"/>
      <c r="F861" s="19" t="n"/>
      <c r="G861" s="19" t="n"/>
      <c r="H861" s="19" t="n"/>
      <c r="I861" s="19" t="n"/>
      <c r="J861" s="19" t="n"/>
      <c r="K861" s="19" t="n"/>
      <c r="L861" s="20" t="n"/>
      <c r="M861" s="20" t="n"/>
      <c r="N861" s="20" t="n"/>
      <c r="O861" s="20" t="n"/>
      <c r="P861" s="19" t="n"/>
      <c r="Q861" s="19" t="n"/>
      <c r="R861" s="20" t="n"/>
      <c r="S861" s="20" t="n"/>
      <c r="T861" s="19" t="n"/>
      <c r="U861" s="19" t="n"/>
      <c r="V861" s="19" t="n"/>
      <c r="W861" s="19" t="n"/>
      <c r="X861" s="19" t="n"/>
      <c r="Y861" s="19" t="n"/>
      <c r="Z861" s="21">
        <f>IF(AND($A861="",$B861=""),"",IF(OR($E861="",$H861="",$H861="Proposed",$H861="Not Reported"),0,IF(AND($P861="Y",$Q861&lt;&gt;"Y"),0,IF(AND($K861="Point",N($L861)&lt;=0),0,IF(AND(N($L861)&lt;=0,N($N861)&lt;=0,N($R861)+N($S861)&lt;=0),0,1)))))</f>
        <v/>
      </c>
      <c r="AA861" s="21">
        <f>IF(AND($A861="",$B861=""),"",IF($E861="","Site type missing",IF($H861="","STATUS missing",IF($H861="Proposed","STATUS = Proposed",IF($H861="Not Reported","STATUS = Not Reported",IF(AND($P861="Y",$Q861&lt;&gt;"Y"),"UNESCO-MAB Biosphere Reserve",IF(AND($K861="Point",N($L861)&lt;=0),"Point without REP_AREA",IF(AND(N($L861)&lt;=0,N($N861)&lt;=0,N($R861)+N($S861)&lt;=0),"No area information",""))))))))</f>
        <v/>
      </c>
      <c r="AB861" s="22">
        <f>IF(AND($A861="",$B861=""),"",IF($K861="Point",N($L861),IF(N($N861)&gt;0,N($N861),N($L861))))</f>
        <v/>
      </c>
      <c r="AC861" s="22">
        <f>IF(AND($A861="",$B861=""),"",MIN(AB861,IF(N($J861)=0,0,IF(N($J861)=2,AB861,IF(AND($K861&lt;&gt;"Point",N($O861)&gt;0),N($O861),N($M861))))))</f>
        <v/>
      </c>
      <c r="AD861" s="22">
        <f>IF(AND($A861="",$B861=""),"",MAX(0,AB861-AC861))</f>
        <v/>
      </c>
      <c r="AE861" s="21">
        <f>IF(AND($A861="",$B861=""),"",IF(OR($R861&lt;&gt;"",$S861&lt;&gt;""),1,0))</f>
        <v/>
      </c>
      <c r="AF861" s="22">
        <f>IF(AND($A861="",$B861=""),"",IF(Z861=1,IF(AE861=1,N($R861),AD861),0))</f>
        <v/>
      </c>
      <c r="AG861" s="22">
        <f>IF(AND($A861="",$B861=""),"",IF(Z861=1,IF(AE861=1,N($S861),AC861),0))</f>
        <v/>
      </c>
      <c r="AH861" s="21">
        <f>IF(AND($A861="",$B861=""),"",IF(AND(ISNUMBER($I861),N($I861)&gt;0),$I861,0))</f>
        <v/>
      </c>
      <c r="AI861" s="23">
        <f>IF(AND(NOT(AND($A861="",$B861="")),$K861="Point",N($L861)&gt;0),SQRT(N($L861)/PI()),"")</f>
        <v/>
      </c>
      <c r="AJ861" s="21">
        <f>IF(AND($A861="",$B861=""),"",IFERROR(VLOOKUP($G861,Lists!$D$4:$E$15,2,FALSE),"Not reported"))</f>
        <v/>
      </c>
      <c r="AK861" s="21">
        <f>IF(AND($A861="",$B861=""),"",IF($X861&lt;&gt;"",$X861,IF($T861&lt;&gt;"Y","Not assessed",IF(AND(ISNUMBER($V861),Setup!$B$6-$V861&gt;Setup!$B$26),"Assessment outdated",IF(NOT(ISNUMBER($W861)),"Assessed – no score",IF($W861&gt;=Setup!$B$24,"High",IF($W861&gt;=Setup!$B$25,"Moderate","Low")))))))</f>
        <v/>
      </c>
      <c r="AL861" s="21">
        <f>IF(AND($A861="",$B861=""),"",IF(Z861=0,"",IF(AND(AE861=1,N($R861)&gt;AD861*1.01+0.001),"Net terrestrial &gt; gross; ","")&amp;IF(AND(AE861=1,N($S861)&gt;AC861*1.01+0.001),"Net marine &gt; gross; ","")&amp;IF(AE861=0,"No net area – gross used, overlaps may be double-counted; ","")&amp;IF(AH861=0,"STATUS_YR missing – imputed in time series; ","")&amp;IF(AND(ISNUMBER($I861),N($I861)&gt;Setup!$B$6),"STATUS_YR after reporting year; ","")&amp;IF(OR($G861="",$G861="Not Reported"),"GOV_TYPE not reported; ","")&amp;IF(AND(N($J861)=1,$K861="Point",N($M861)&lt;=0),"Coastal point without REP_M_AREA – land/sea split unknown; ","")&amp;IF(AND(N($J861)=0,N($S861)&gt;0),"MARINE=0 but net marine &gt;0; ","")&amp;IF(AND(N($J861)=2,N($R861)&gt;0),"MARINE=2 but net terrestrial &gt;0; ","")&amp;IF($K861="Point","Buffered point – coverage approximate; ","")))</f>
        <v/>
      </c>
    </row>
    <row r="862">
      <c r="A862" s="19" t="n"/>
      <c r="B862" s="19" t="n"/>
      <c r="C862" s="19" t="n"/>
      <c r="D862" s="19" t="n"/>
      <c r="E862" s="19" t="n"/>
      <c r="F862" s="19" t="n"/>
      <c r="G862" s="19" t="n"/>
      <c r="H862" s="19" t="n"/>
      <c r="I862" s="19" t="n"/>
      <c r="J862" s="19" t="n"/>
      <c r="K862" s="19" t="n"/>
      <c r="L862" s="20" t="n"/>
      <c r="M862" s="20" t="n"/>
      <c r="N862" s="20" t="n"/>
      <c r="O862" s="20" t="n"/>
      <c r="P862" s="19" t="n"/>
      <c r="Q862" s="19" t="n"/>
      <c r="R862" s="20" t="n"/>
      <c r="S862" s="20" t="n"/>
      <c r="T862" s="19" t="n"/>
      <c r="U862" s="19" t="n"/>
      <c r="V862" s="19" t="n"/>
      <c r="W862" s="19" t="n"/>
      <c r="X862" s="19" t="n"/>
      <c r="Y862" s="19" t="n"/>
      <c r="Z862" s="21">
        <f>IF(AND($A862="",$B862=""),"",IF(OR($E862="",$H862="",$H862="Proposed",$H862="Not Reported"),0,IF(AND($P862="Y",$Q862&lt;&gt;"Y"),0,IF(AND($K862="Point",N($L862)&lt;=0),0,IF(AND(N($L862)&lt;=0,N($N862)&lt;=0,N($R862)+N($S862)&lt;=0),0,1)))))</f>
        <v/>
      </c>
      <c r="AA862" s="21">
        <f>IF(AND($A862="",$B862=""),"",IF($E862="","Site type missing",IF($H862="","STATUS missing",IF($H862="Proposed","STATUS = Proposed",IF($H862="Not Reported","STATUS = Not Reported",IF(AND($P862="Y",$Q862&lt;&gt;"Y"),"UNESCO-MAB Biosphere Reserve",IF(AND($K862="Point",N($L862)&lt;=0),"Point without REP_AREA",IF(AND(N($L862)&lt;=0,N($N862)&lt;=0,N($R862)+N($S862)&lt;=0),"No area information",""))))))))</f>
        <v/>
      </c>
      <c r="AB862" s="22">
        <f>IF(AND($A862="",$B862=""),"",IF($K862="Point",N($L862),IF(N($N862)&gt;0,N($N862),N($L862))))</f>
        <v/>
      </c>
      <c r="AC862" s="22">
        <f>IF(AND($A862="",$B862=""),"",MIN(AB862,IF(N($J862)=0,0,IF(N($J862)=2,AB862,IF(AND($K862&lt;&gt;"Point",N($O862)&gt;0),N($O862),N($M862))))))</f>
        <v/>
      </c>
      <c r="AD862" s="22">
        <f>IF(AND($A862="",$B862=""),"",MAX(0,AB862-AC862))</f>
        <v/>
      </c>
      <c r="AE862" s="21">
        <f>IF(AND($A862="",$B862=""),"",IF(OR($R862&lt;&gt;"",$S862&lt;&gt;""),1,0))</f>
        <v/>
      </c>
      <c r="AF862" s="22">
        <f>IF(AND($A862="",$B862=""),"",IF(Z862=1,IF(AE862=1,N($R862),AD862),0))</f>
        <v/>
      </c>
      <c r="AG862" s="22">
        <f>IF(AND($A862="",$B862=""),"",IF(Z862=1,IF(AE862=1,N($S862),AC862),0))</f>
        <v/>
      </c>
      <c r="AH862" s="21">
        <f>IF(AND($A862="",$B862=""),"",IF(AND(ISNUMBER($I862),N($I862)&gt;0),$I862,0))</f>
        <v/>
      </c>
      <c r="AI862" s="23">
        <f>IF(AND(NOT(AND($A862="",$B862="")),$K862="Point",N($L862)&gt;0),SQRT(N($L862)/PI()),"")</f>
        <v/>
      </c>
      <c r="AJ862" s="21">
        <f>IF(AND($A862="",$B862=""),"",IFERROR(VLOOKUP($G862,Lists!$D$4:$E$15,2,FALSE),"Not reported"))</f>
        <v/>
      </c>
      <c r="AK862" s="21">
        <f>IF(AND($A862="",$B862=""),"",IF($X862&lt;&gt;"",$X862,IF($T862&lt;&gt;"Y","Not assessed",IF(AND(ISNUMBER($V862),Setup!$B$6-$V862&gt;Setup!$B$26),"Assessment outdated",IF(NOT(ISNUMBER($W862)),"Assessed – no score",IF($W862&gt;=Setup!$B$24,"High",IF($W862&gt;=Setup!$B$25,"Moderate","Low")))))))</f>
        <v/>
      </c>
      <c r="AL862" s="21">
        <f>IF(AND($A862="",$B862=""),"",IF(Z862=0,"",IF(AND(AE862=1,N($R862)&gt;AD862*1.01+0.001),"Net terrestrial &gt; gross; ","")&amp;IF(AND(AE862=1,N($S862)&gt;AC862*1.01+0.001),"Net marine &gt; gross; ","")&amp;IF(AE862=0,"No net area – gross used, overlaps may be double-counted; ","")&amp;IF(AH862=0,"STATUS_YR missing – imputed in time series; ","")&amp;IF(AND(ISNUMBER($I862),N($I862)&gt;Setup!$B$6),"STATUS_YR after reporting year; ","")&amp;IF(OR($G862="",$G862="Not Reported"),"GOV_TYPE not reported; ","")&amp;IF(AND(N($J862)=1,$K862="Point",N($M862)&lt;=0),"Coastal point without REP_M_AREA – land/sea split unknown; ","")&amp;IF(AND(N($J862)=0,N($S862)&gt;0),"MARINE=0 but net marine &gt;0; ","")&amp;IF(AND(N($J862)=2,N($R862)&gt;0),"MARINE=2 but net terrestrial &gt;0; ","")&amp;IF($K862="Point","Buffered point – coverage approximate; ","")))</f>
        <v/>
      </c>
    </row>
    <row r="863">
      <c r="A863" s="19" t="n"/>
      <c r="B863" s="19" t="n"/>
      <c r="C863" s="19" t="n"/>
      <c r="D863" s="19" t="n"/>
      <c r="E863" s="19" t="n"/>
      <c r="F863" s="19" t="n"/>
      <c r="G863" s="19" t="n"/>
      <c r="H863" s="19" t="n"/>
      <c r="I863" s="19" t="n"/>
      <c r="J863" s="19" t="n"/>
      <c r="K863" s="19" t="n"/>
      <c r="L863" s="20" t="n"/>
      <c r="M863" s="20" t="n"/>
      <c r="N863" s="20" t="n"/>
      <c r="O863" s="20" t="n"/>
      <c r="P863" s="19" t="n"/>
      <c r="Q863" s="19" t="n"/>
      <c r="R863" s="20" t="n"/>
      <c r="S863" s="20" t="n"/>
      <c r="T863" s="19" t="n"/>
      <c r="U863" s="19" t="n"/>
      <c r="V863" s="19" t="n"/>
      <c r="W863" s="19" t="n"/>
      <c r="X863" s="19" t="n"/>
      <c r="Y863" s="19" t="n"/>
      <c r="Z863" s="21">
        <f>IF(AND($A863="",$B863=""),"",IF(OR($E863="",$H863="",$H863="Proposed",$H863="Not Reported"),0,IF(AND($P863="Y",$Q863&lt;&gt;"Y"),0,IF(AND($K863="Point",N($L863)&lt;=0),0,IF(AND(N($L863)&lt;=0,N($N863)&lt;=0,N($R863)+N($S863)&lt;=0),0,1)))))</f>
        <v/>
      </c>
      <c r="AA863" s="21">
        <f>IF(AND($A863="",$B863=""),"",IF($E863="","Site type missing",IF($H863="","STATUS missing",IF($H863="Proposed","STATUS = Proposed",IF($H863="Not Reported","STATUS = Not Reported",IF(AND($P863="Y",$Q863&lt;&gt;"Y"),"UNESCO-MAB Biosphere Reserve",IF(AND($K863="Point",N($L863)&lt;=0),"Point without REP_AREA",IF(AND(N($L863)&lt;=0,N($N863)&lt;=0,N($R863)+N($S863)&lt;=0),"No area information",""))))))))</f>
        <v/>
      </c>
      <c r="AB863" s="22">
        <f>IF(AND($A863="",$B863=""),"",IF($K863="Point",N($L863),IF(N($N863)&gt;0,N($N863),N($L863))))</f>
        <v/>
      </c>
      <c r="AC863" s="22">
        <f>IF(AND($A863="",$B863=""),"",MIN(AB863,IF(N($J863)=0,0,IF(N($J863)=2,AB863,IF(AND($K863&lt;&gt;"Point",N($O863)&gt;0),N($O863),N($M863))))))</f>
        <v/>
      </c>
      <c r="AD863" s="22">
        <f>IF(AND($A863="",$B863=""),"",MAX(0,AB863-AC863))</f>
        <v/>
      </c>
      <c r="AE863" s="21">
        <f>IF(AND($A863="",$B863=""),"",IF(OR($R863&lt;&gt;"",$S863&lt;&gt;""),1,0))</f>
        <v/>
      </c>
      <c r="AF863" s="22">
        <f>IF(AND($A863="",$B863=""),"",IF(Z863=1,IF(AE863=1,N($R863),AD863),0))</f>
        <v/>
      </c>
      <c r="AG863" s="22">
        <f>IF(AND($A863="",$B863=""),"",IF(Z863=1,IF(AE863=1,N($S863),AC863),0))</f>
        <v/>
      </c>
      <c r="AH863" s="21">
        <f>IF(AND($A863="",$B863=""),"",IF(AND(ISNUMBER($I863),N($I863)&gt;0),$I863,0))</f>
        <v/>
      </c>
      <c r="AI863" s="23">
        <f>IF(AND(NOT(AND($A863="",$B863="")),$K863="Point",N($L863)&gt;0),SQRT(N($L863)/PI()),"")</f>
        <v/>
      </c>
      <c r="AJ863" s="21">
        <f>IF(AND($A863="",$B863=""),"",IFERROR(VLOOKUP($G863,Lists!$D$4:$E$15,2,FALSE),"Not reported"))</f>
        <v/>
      </c>
      <c r="AK863" s="21">
        <f>IF(AND($A863="",$B863=""),"",IF($X863&lt;&gt;"",$X863,IF($T863&lt;&gt;"Y","Not assessed",IF(AND(ISNUMBER($V863),Setup!$B$6-$V863&gt;Setup!$B$26),"Assessment outdated",IF(NOT(ISNUMBER($W863)),"Assessed – no score",IF($W863&gt;=Setup!$B$24,"High",IF($W863&gt;=Setup!$B$25,"Moderate","Low")))))))</f>
        <v/>
      </c>
      <c r="AL863" s="21">
        <f>IF(AND($A863="",$B863=""),"",IF(Z863=0,"",IF(AND(AE863=1,N($R863)&gt;AD863*1.01+0.001),"Net terrestrial &gt; gross; ","")&amp;IF(AND(AE863=1,N($S863)&gt;AC863*1.01+0.001),"Net marine &gt; gross; ","")&amp;IF(AE863=0,"No net area – gross used, overlaps may be double-counted; ","")&amp;IF(AH863=0,"STATUS_YR missing – imputed in time series; ","")&amp;IF(AND(ISNUMBER($I863),N($I863)&gt;Setup!$B$6),"STATUS_YR after reporting year; ","")&amp;IF(OR($G863="",$G863="Not Reported"),"GOV_TYPE not reported; ","")&amp;IF(AND(N($J863)=1,$K863="Point",N($M863)&lt;=0),"Coastal point without REP_M_AREA – land/sea split unknown; ","")&amp;IF(AND(N($J863)=0,N($S863)&gt;0),"MARINE=0 but net marine &gt;0; ","")&amp;IF(AND(N($J863)=2,N($R863)&gt;0),"MARINE=2 but net terrestrial &gt;0; ","")&amp;IF($K863="Point","Buffered point – coverage approximate; ","")))</f>
        <v/>
      </c>
    </row>
    <row r="864">
      <c r="A864" s="19" t="n"/>
      <c r="B864" s="19" t="n"/>
      <c r="C864" s="19" t="n"/>
      <c r="D864" s="19" t="n"/>
      <c r="E864" s="19" t="n"/>
      <c r="F864" s="19" t="n"/>
      <c r="G864" s="19" t="n"/>
      <c r="H864" s="19" t="n"/>
      <c r="I864" s="19" t="n"/>
      <c r="J864" s="19" t="n"/>
      <c r="K864" s="19" t="n"/>
      <c r="L864" s="20" t="n"/>
      <c r="M864" s="20" t="n"/>
      <c r="N864" s="20" t="n"/>
      <c r="O864" s="20" t="n"/>
      <c r="P864" s="19" t="n"/>
      <c r="Q864" s="19" t="n"/>
      <c r="R864" s="20" t="n"/>
      <c r="S864" s="20" t="n"/>
      <c r="T864" s="19" t="n"/>
      <c r="U864" s="19" t="n"/>
      <c r="V864" s="19" t="n"/>
      <c r="W864" s="19" t="n"/>
      <c r="X864" s="19" t="n"/>
      <c r="Y864" s="19" t="n"/>
      <c r="Z864" s="21">
        <f>IF(AND($A864="",$B864=""),"",IF(OR($E864="",$H864="",$H864="Proposed",$H864="Not Reported"),0,IF(AND($P864="Y",$Q864&lt;&gt;"Y"),0,IF(AND($K864="Point",N($L864)&lt;=0),0,IF(AND(N($L864)&lt;=0,N($N864)&lt;=0,N($R864)+N($S864)&lt;=0),0,1)))))</f>
        <v/>
      </c>
      <c r="AA864" s="21">
        <f>IF(AND($A864="",$B864=""),"",IF($E864="","Site type missing",IF($H864="","STATUS missing",IF($H864="Proposed","STATUS = Proposed",IF($H864="Not Reported","STATUS = Not Reported",IF(AND($P864="Y",$Q864&lt;&gt;"Y"),"UNESCO-MAB Biosphere Reserve",IF(AND($K864="Point",N($L864)&lt;=0),"Point without REP_AREA",IF(AND(N($L864)&lt;=0,N($N864)&lt;=0,N($R864)+N($S864)&lt;=0),"No area information",""))))))))</f>
        <v/>
      </c>
      <c r="AB864" s="22">
        <f>IF(AND($A864="",$B864=""),"",IF($K864="Point",N($L864),IF(N($N864)&gt;0,N($N864),N($L864))))</f>
        <v/>
      </c>
      <c r="AC864" s="22">
        <f>IF(AND($A864="",$B864=""),"",MIN(AB864,IF(N($J864)=0,0,IF(N($J864)=2,AB864,IF(AND($K864&lt;&gt;"Point",N($O864)&gt;0),N($O864),N($M864))))))</f>
        <v/>
      </c>
      <c r="AD864" s="22">
        <f>IF(AND($A864="",$B864=""),"",MAX(0,AB864-AC864))</f>
        <v/>
      </c>
      <c r="AE864" s="21">
        <f>IF(AND($A864="",$B864=""),"",IF(OR($R864&lt;&gt;"",$S864&lt;&gt;""),1,0))</f>
        <v/>
      </c>
      <c r="AF864" s="22">
        <f>IF(AND($A864="",$B864=""),"",IF(Z864=1,IF(AE864=1,N($R864),AD864),0))</f>
        <v/>
      </c>
      <c r="AG864" s="22">
        <f>IF(AND($A864="",$B864=""),"",IF(Z864=1,IF(AE864=1,N($S864),AC864),0))</f>
        <v/>
      </c>
      <c r="AH864" s="21">
        <f>IF(AND($A864="",$B864=""),"",IF(AND(ISNUMBER($I864),N($I864)&gt;0),$I864,0))</f>
        <v/>
      </c>
      <c r="AI864" s="23">
        <f>IF(AND(NOT(AND($A864="",$B864="")),$K864="Point",N($L864)&gt;0),SQRT(N($L864)/PI()),"")</f>
        <v/>
      </c>
      <c r="AJ864" s="21">
        <f>IF(AND($A864="",$B864=""),"",IFERROR(VLOOKUP($G864,Lists!$D$4:$E$15,2,FALSE),"Not reported"))</f>
        <v/>
      </c>
      <c r="AK864" s="21">
        <f>IF(AND($A864="",$B864=""),"",IF($X864&lt;&gt;"",$X864,IF($T864&lt;&gt;"Y","Not assessed",IF(AND(ISNUMBER($V864),Setup!$B$6-$V864&gt;Setup!$B$26),"Assessment outdated",IF(NOT(ISNUMBER($W864)),"Assessed – no score",IF($W864&gt;=Setup!$B$24,"High",IF($W864&gt;=Setup!$B$25,"Moderate","Low")))))))</f>
        <v/>
      </c>
      <c r="AL864" s="21">
        <f>IF(AND($A864="",$B864=""),"",IF(Z864=0,"",IF(AND(AE864=1,N($R864)&gt;AD864*1.01+0.001),"Net terrestrial &gt; gross; ","")&amp;IF(AND(AE864=1,N($S864)&gt;AC864*1.01+0.001),"Net marine &gt; gross; ","")&amp;IF(AE864=0,"No net area – gross used, overlaps may be double-counted; ","")&amp;IF(AH864=0,"STATUS_YR missing – imputed in time series; ","")&amp;IF(AND(ISNUMBER($I864),N($I864)&gt;Setup!$B$6),"STATUS_YR after reporting year; ","")&amp;IF(OR($G864="",$G864="Not Reported"),"GOV_TYPE not reported; ","")&amp;IF(AND(N($J864)=1,$K864="Point",N($M864)&lt;=0),"Coastal point without REP_M_AREA – land/sea split unknown; ","")&amp;IF(AND(N($J864)=0,N($S864)&gt;0),"MARINE=0 but net marine &gt;0; ","")&amp;IF(AND(N($J864)=2,N($R864)&gt;0),"MARINE=2 but net terrestrial &gt;0; ","")&amp;IF($K864="Point","Buffered point – coverage approximate; ","")))</f>
        <v/>
      </c>
    </row>
    <row r="865">
      <c r="A865" s="19" t="n"/>
      <c r="B865" s="19" t="n"/>
      <c r="C865" s="19" t="n"/>
      <c r="D865" s="19" t="n"/>
      <c r="E865" s="19" t="n"/>
      <c r="F865" s="19" t="n"/>
      <c r="G865" s="19" t="n"/>
      <c r="H865" s="19" t="n"/>
      <c r="I865" s="19" t="n"/>
      <c r="J865" s="19" t="n"/>
      <c r="K865" s="19" t="n"/>
      <c r="L865" s="20" t="n"/>
      <c r="M865" s="20" t="n"/>
      <c r="N865" s="20" t="n"/>
      <c r="O865" s="20" t="n"/>
      <c r="P865" s="19" t="n"/>
      <c r="Q865" s="19" t="n"/>
      <c r="R865" s="20" t="n"/>
      <c r="S865" s="20" t="n"/>
      <c r="T865" s="19" t="n"/>
      <c r="U865" s="19" t="n"/>
      <c r="V865" s="19" t="n"/>
      <c r="W865" s="19" t="n"/>
      <c r="X865" s="19" t="n"/>
      <c r="Y865" s="19" t="n"/>
      <c r="Z865" s="21">
        <f>IF(AND($A865="",$B865=""),"",IF(OR($E865="",$H865="",$H865="Proposed",$H865="Not Reported"),0,IF(AND($P865="Y",$Q865&lt;&gt;"Y"),0,IF(AND($K865="Point",N($L865)&lt;=0),0,IF(AND(N($L865)&lt;=0,N($N865)&lt;=0,N($R865)+N($S865)&lt;=0),0,1)))))</f>
        <v/>
      </c>
      <c r="AA865" s="21">
        <f>IF(AND($A865="",$B865=""),"",IF($E865="","Site type missing",IF($H865="","STATUS missing",IF($H865="Proposed","STATUS = Proposed",IF($H865="Not Reported","STATUS = Not Reported",IF(AND($P865="Y",$Q865&lt;&gt;"Y"),"UNESCO-MAB Biosphere Reserve",IF(AND($K865="Point",N($L865)&lt;=0),"Point without REP_AREA",IF(AND(N($L865)&lt;=0,N($N865)&lt;=0,N($R865)+N($S865)&lt;=0),"No area information",""))))))))</f>
        <v/>
      </c>
      <c r="AB865" s="22">
        <f>IF(AND($A865="",$B865=""),"",IF($K865="Point",N($L865),IF(N($N865)&gt;0,N($N865),N($L865))))</f>
        <v/>
      </c>
      <c r="AC865" s="22">
        <f>IF(AND($A865="",$B865=""),"",MIN(AB865,IF(N($J865)=0,0,IF(N($J865)=2,AB865,IF(AND($K865&lt;&gt;"Point",N($O865)&gt;0),N($O865),N($M865))))))</f>
        <v/>
      </c>
      <c r="AD865" s="22">
        <f>IF(AND($A865="",$B865=""),"",MAX(0,AB865-AC865))</f>
        <v/>
      </c>
      <c r="AE865" s="21">
        <f>IF(AND($A865="",$B865=""),"",IF(OR($R865&lt;&gt;"",$S865&lt;&gt;""),1,0))</f>
        <v/>
      </c>
      <c r="AF865" s="22">
        <f>IF(AND($A865="",$B865=""),"",IF(Z865=1,IF(AE865=1,N($R865),AD865),0))</f>
        <v/>
      </c>
      <c r="AG865" s="22">
        <f>IF(AND($A865="",$B865=""),"",IF(Z865=1,IF(AE865=1,N($S865),AC865),0))</f>
        <v/>
      </c>
      <c r="AH865" s="21">
        <f>IF(AND($A865="",$B865=""),"",IF(AND(ISNUMBER($I865),N($I865)&gt;0),$I865,0))</f>
        <v/>
      </c>
      <c r="AI865" s="23">
        <f>IF(AND(NOT(AND($A865="",$B865="")),$K865="Point",N($L865)&gt;0),SQRT(N($L865)/PI()),"")</f>
        <v/>
      </c>
      <c r="AJ865" s="21">
        <f>IF(AND($A865="",$B865=""),"",IFERROR(VLOOKUP($G865,Lists!$D$4:$E$15,2,FALSE),"Not reported"))</f>
        <v/>
      </c>
      <c r="AK865" s="21">
        <f>IF(AND($A865="",$B865=""),"",IF($X865&lt;&gt;"",$X865,IF($T865&lt;&gt;"Y","Not assessed",IF(AND(ISNUMBER($V865),Setup!$B$6-$V865&gt;Setup!$B$26),"Assessment outdated",IF(NOT(ISNUMBER($W865)),"Assessed – no score",IF($W865&gt;=Setup!$B$24,"High",IF($W865&gt;=Setup!$B$25,"Moderate","Low")))))))</f>
        <v/>
      </c>
      <c r="AL865" s="21">
        <f>IF(AND($A865="",$B865=""),"",IF(Z865=0,"",IF(AND(AE865=1,N($R865)&gt;AD865*1.01+0.001),"Net terrestrial &gt; gross; ","")&amp;IF(AND(AE865=1,N($S865)&gt;AC865*1.01+0.001),"Net marine &gt; gross; ","")&amp;IF(AE865=0,"No net area – gross used, overlaps may be double-counted; ","")&amp;IF(AH865=0,"STATUS_YR missing – imputed in time series; ","")&amp;IF(AND(ISNUMBER($I865),N($I865)&gt;Setup!$B$6),"STATUS_YR after reporting year; ","")&amp;IF(OR($G865="",$G865="Not Reported"),"GOV_TYPE not reported; ","")&amp;IF(AND(N($J865)=1,$K865="Point",N($M865)&lt;=0),"Coastal point without REP_M_AREA – land/sea split unknown; ","")&amp;IF(AND(N($J865)=0,N($S865)&gt;0),"MARINE=0 but net marine &gt;0; ","")&amp;IF(AND(N($J865)=2,N($R865)&gt;0),"MARINE=2 but net terrestrial &gt;0; ","")&amp;IF($K865="Point","Buffered point – coverage approximate; ","")))</f>
        <v/>
      </c>
    </row>
    <row r="866">
      <c r="A866" s="19" t="n"/>
      <c r="B866" s="19" t="n"/>
      <c r="C866" s="19" t="n"/>
      <c r="D866" s="19" t="n"/>
      <c r="E866" s="19" t="n"/>
      <c r="F866" s="19" t="n"/>
      <c r="G866" s="19" t="n"/>
      <c r="H866" s="19" t="n"/>
      <c r="I866" s="19" t="n"/>
      <c r="J866" s="19" t="n"/>
      <c r="K866" s="19" t="n"/>
      <c r="L866" s="20" t="n"/>
      <c r="M866" s="20" t="n"/>
      <c r="N866" s="20" t="n"/>
      <c r="O866" s="20" t="n"/>
      <c r="P866" s="19" t="n"/>
      <c r="Q866" s="19" t="n"/>
      <c r="R866" s="20" t="n"/>
      <c r="S866" s="20" t="n"/>
      <c r="T866" s="19" t="n"/>
      <c r="U866" s="19" t="n"/>
      <c r="V866" s="19" t="n"/>
      <c r="W866" s="19" t="n"/>
      <c r="X866" s="19" t="n"/>
      <c r="Y866" s="19" t="n"/>
      <c r="Z866" s="21">
        <f>IF(AND($A866="",$B866=""),"",IF(OR($E866="",$H866="",$H866="Proposed",$H866="Not Reported"),0,IF(AND($P866="Y",$Q866&lt;&gt;"Y"),0,IF(AND($K866="Point",N($L866)&lt;=0),0,IF(AND(N($L866)&lt;=0,N($N866)&lt;=0,N($R866)+N($S866)&lt;=0),0,1)))))</f>
        <v/>
      </c>
      <c r="AA866" s="21">
        <f>IF(AND($A866="",$B866=""),"",IF($E866="","Site type missing",IF($H866="","STATUS missing",IF($H866="Proposed","STATUS = Proposed",IF($H866="Not Reported","STATUS = Not Reported",IF(AND($P866="Y",$Q866&lt;&gt;"Y"),"UNESCO-MAB Biosphere Reserve",IF(AND($K866="Point",N($L866)&lt;=0),"Point without REP_AREA",IF(AND(N($L866)&lt;=0,N($N866)&lt;=0,N($R866)+N($S866)&lt;=0),"No area information",""))))))))</f>
        <v/>
      </c>
      <c r="AB866" s="22">
        <f>IF(AND($A866="",$B866=""),"",IF($K866="Point",N($L866),IF(N($N866)&gt;0,N($N866),N($L866))))</f>
        <v/>
      </c>
      <c r="AC866" s="22">
        <f>IF(AND($A866="",$B866=""),"",MIN(AB866,IF(N($J866)=0,0,IF(N($J866)=2,AB866,IF(AND($K866&lt;&gt;"Point",N($O866)&gt;0),N($O866),N($M866))))))</f>
        <v/>
      </c>
      <c r="AD866" s="22">
        <f>IF(AND($A866="",$B866=""),"",MAX(0,AB866-AC866))</f>
        <v/>
      </c>
      <c r="AE866" s="21">
        <f>IF(AND($A866="",$B866=""),"",IF(OR($R866&lt;&gt;"",$S866&lt;&gt;""),1,0))</f>
        <v/>
      </c>
      <c r="AF866" s="22">
        <f>IF(AND($A866="",$B866=""),"",IF(Z866=1,IF(AE866=1,N($R866),AD866),0))</f>
        <v/>
      </c>
      <c r="AG866" s="22">
        <f>IF(AND($A866="",$B866=""),"",IF(Z866=1,IF(AE866=1,N($S866),AC866),0))</f>
        <v/>
      </c>
      <c r="AH866" s="21">
        <f>IF(AND($A866="",$B866=""),"",IF(AND(ISNUMBER($I866),N($I866)&gt;0),$I866,0))</f>
        <v/>
      </c>
      <c r="AI866" s="23">
        <f>IF(AND(NOT(AND($A866="",$B866="")),$K866="Point",N($L866)&gt;0),SQRT(N($L866)/PI()),"")</f>
        <v/>
      </c>
      <c r="AJ866" s="21">
        <f>IF(AND($A866="",$B866=""),"",IFERROR(VLOOKUP($G866,Lists!$D$4:$E$15,2,FALSE),"Not reported"))</f>
        <v/>
      </c>
      <c r="AK866" s="21">
        <f>IF(AND($A866="",$B866=""),"",IF($X866&lt;&gt;"",$X866,IF($T866&lt;&gt;"Y","Not assessed",IF(AND(ISNUMBER($V866),Setup!$B$6-$V866&gt;Setup!$B$26),"Assessment outdated",IF(NOT(ISNUMBER($W866)),"Assessed – no score",IF($W866&gt;=Setup!$B$24,"High",IF($W866&gt;=Setup!$B$25,"Moderate","Low")))))))</f>
        <v/>
      </c>
      <c r="AL866" s="21">
        <f>IF(AND($A866="",$B866=""),"",IF(Z866=0,"",IF(AND(AE866=1,N($R866)&gt;AD866*1.01+0.001),"Net terrestrial &gt; gross; ","")&amp;IF(AND(AE866=1,N($S866)&gt;AC866*1.01+0.001),"Net marine &gt; gross; ","")&amp;IF(AE866=0,"No net area – gross used, overlaps may be double-counted; ","")&amp;IF(AH866=0,"STATUS_YR missing – imputed in time series; ","")&amp;IF(AND(ISNUMBER($I866),N($I866)&gt;Setup!$B$6),"STATUS_YR after reporting year; ","")&amp;IF(OR($G866="",$G866="Not Reported"),"GOV_TYPE not reported; ","")&amp;IF(AND(N($J866)=1,$K866="Point",N($M866)&lt;=0),"Coastal point without REP_M_AREA – land/sea split unknown; ","")&amp;IF(AND(N($J866)=0,N($S866)&gt;0),"MARINE=0 but net marine &gt;0; ","")&amp;IF(AND(N($J866)=2,N($R866)&gt;0),"MARINE=2 but net terrestrial &gt;0; ","")&amp;IF($K866="Point","Buffered point – coverage approximate; ","")))</f>
        <v/>
      </c>
    </row>
    <row r="867">
      <c r="A867" s="19" t="n"/>
      <c r="B867" s="19" t="n"/>
      <c r="C867" s="19" t="n"/>
      <c r="D867" s="19" t="n"/>
      <c r="E867" s="19" t="n"/>
      <c r="F867" s="19" t="n"/>
      <c r="G867" s="19" t="n"/>
      <c r="H867" s="19" t="n"/>
      <c r="I867" s="19" t="n"/>
      <c r="J867" s="19" t="n"/>
      <c r="K867" s="19" t="n"/>
      <c r="L867" s="20" t="n"/>
      <c r="M867" s="20" t="n"/>
      <c r="N867" s="20" t="n"/>
      <c r="O867" s="20" t="n"/>
      <c r="P867" s="19" t="n"/>
      <c r="Q867" s="19" t="n"/>
      <c r="R867" s="20" t="n"/>
      <c r="S867" s="20" t="n"/>
      <c r="T867" s="19" t="n"/>
      <c r="U867" s="19" t="n"/>
      <c r="V867" s="19" t="n"/>
      <c r="W867" s="19" t="n"/>
      <c r="X867" s="19" t="n"/>
      <c r="Y867" s="19" t="n"/>
      <c r="Z867" s="21">
        <f>IF(AND($A867="",$B867=""),"",IF(OR($E867="",$H867="",$H867="Proposed",$H867="Not Reported"),0,IF(AND($P867="Y",$Q867&lt;&gt;"Y"),0,IF(AND($K867="Point",N($L867)&lt;=0),0,IF(AND(N($L867)&lt;=0,N($N867)&lt;=0,N($R867)+N($S867)&lt;=0),0,1)))))</f>
        <v/>
      </c>
      <c r="AA867" s="21">
        <f>IF(AND($A867="",$B867=""),"",IF($E867="","Site type missing",IF($H867="","STATUS missing",IF($H867="Proposed","STATUS = Proposed",IF($H867="Not Reported","STATUS = Not Reported",IF(AND($P867="Y",$Q867&lt;&gt;"Y"),"UNESCO-MAB Biosphere Reserve",IF(AND($K867="Point",N($L867)&lt;=0),"Point without REP_AREA",IF(AND(N($L867)&lt;=0,N($N867)&lt;=0,N($R867)+N($S867)&lt;=0),"No area information",""))))))))</f>
        <v/>
      </c>
      <c r="AB867" s="22">
        <f>IF(AND($A867="",$B867=""),"",IF($K867="Point",N($L867),IF(N($N867)&gt;0,N($N867),N($L867))))</f>
        <v/>
      </c>
      <c r="AC867" s="22">
        <f>IF(AND($A867="",$B867=""),"",MIN(AB867,IF(N($J867)=0,0,IF(N($J867)=2,AB867,IF(AND($K867&lt;&gt;"Point",N($O867)&gt;0),N($O867),N($M867))))))</f>
        <v/>
      </c>
      <c r="AD867" s="22">
        <f>IF(AND($A867="",$B867=""),"",MAX(0,AB867-AC867))</f>
        <v/>
      </c>
      <c r="AE867" s="21">
        <f>IF(AND($A867="",$B867=""),"",IF(OR($R867&lt;&gt;"",$S867&lt;&gt;""),1,0))</f>
        <v/>
      </c>
      <c r="AF867" s="22">
        <f>IF(AND($A867="",$B867=""),"",IF(Z867=1,IF(AE867=1,N($R867),AD867),0))</f>
        <v/>
      </c>
      <c r="AG867" s="22">
        <f>IF(AND($A867="",$B867=""),"",IF(Z867=1,IF(AE867=1,N($S867),AC867),0))</f>
        <v/>
      </c>
      <c r="AH867" s="21">
        <f>IF(AND($A867="",$B867=""),"",IF(AND(ISNUMBER($I867),N($I867)&gt;0),$I867,0))</f>
        <v/>
      </c>
      <c r="AI867" s="23">
        <f>IF(AND(NOT(AND($A867="",$B867="")),$K867="Point",N($L867)&gt;0),SQRT(N($L867)/PI()),"")</f>
        <v/>
      </c>
      <c r="AJ867" s="21">
        <f>IF(AND($A867="",$B867=""),"",IFERROR(VLOOKUP($G867,Lists!$D$4:$E$15,2,FALSE),"Not reported"))</f>
        <v/>
      </c>
      <c r="AK867" s="21">
        <f>IF(AND($A867="",$B867=""),"",IF($X867&lt;&gt;"",$X867,IF($T867&lt;&gt;"Y","Not assessed",IF(AND(ISNUMBER($V867),Setup!$B$6-$V867&gt;Setup!$B$26),"Assessment outdated",IF(NOT(ISNUMBER($W867)),"Assessed – no score",IF($W867&gt;=Setup!$B$24,"High",IF($W867&gt;=Setup!$B$25,"Moderate","Low")))))))</f>
        <v/>
      </c>
      <c r="AL867" s="21">
        <f>IF(AND($A867="",$B867=""),"",IF(Z867=0,"",IF(AND(AE867=1,N($R867)&gt;AD867*1.01+0.001),"Net terrestrial &gt; gross; ","")&amp;IF(AND(AE867=1,N($S867)&gt;AC867*1.01+0.001),"Net marine &gt; gross; ","")&amp;IF(AE867=0,"No net area – gross used, overlaps may be double-counted; ","")&amp;IF(AH867=0,"STATUS_YR missing – imputed in time series; ","")&amp;IF(AND(ISNUMBER($I867),N($I867)&gt;Setup!$B$6),"STATUS_YR after reporting year; ","")&amp;IF(OR($G867="",$G867="Not Reported"),"GOV_TYPE not reported; ","")&amp;IF(AND(N($J867)=1,$K867="Point",N($M867)&lt;=0),"Coastal point without REP_M_AREA – land/sea split unknown; ","")&amp;IF(AND(N($J867)=0,N($S867)&gt;0),"MARINE=0 but net marine &gt;0; ","")&amp;IF(AND(N($J867)=2,N($R867)&gt;0),"MARINE=2 but net terrestrial &gt;0; ","")&amp;IF($K867="Point","Buffered point – coverage approximate; ","")))</f>
        <v/>
      </c>
    </row>
    <row r="868">
      <c r="A868" s="19" t="n"/>
      <c r="B868" s="19" t="n"/>
      <c r="C868" s="19" t="n"/>
      <c r="D868" s="19" t="n"/>
      <c r="E868" s="19" t="n"/>
      <c r="F868" s="19" t="n"/>
      <c r="G868" s="19" t="n"/>
      <c r="H868" s="19" t="n"/>
      <c r="I868" s="19" t="n"/>
      <c r="J868" s="19" t="n"/>
      <c r="K868" s="19" t="n"/>
      <c r="L868" s="20" t="n"/>
      <c r="M868" s="20" t="n"/>
      <c r="N868" s="20" t="n"/>
      <c r="O868" s="20" t="n"/>
      <c r="P868" s="19" t="n"/>
      <c r="Q868" s="19" t="n"/>
      <c r="R868" s="20" t="n"/>
      <c r="S868" s="20" t="n"/>
      <c r="T868" s="19" t="n"/>
      <c r="U868" s="19" t="n"/>
      <c r="V868" s="19" t="n"/>
      <c r="W868" s="19" t="n"/>
      <c r="X868" s="19" t="n"/>
      <c r="Y868" s="19" t="n"/>
      <c r="Z868" s="21">
        <f>IF(AND($A868="",$B868=""),"",IF(OR($E868="",$H868="",$H868="Proposed",$H868="Not Reported"),0,IF(AND($P868="Y",$Q868&lt;&gt;"Y"),0,IF(AND($K868="Point",N($L868)&lt;=0),0,IF(AND(N($L868)&lt;=0,N($N868)&lt;=0,N($R868)+N($S868)&lt;=0),0,1)))))</f>
        <v/>
      </c>
      <c r="AA868" s="21">
        <f>IF(AND($A868="",$B868=""),"",IF($E868="","Site type missing",IF($H868="","STATUS missing",IF($H868="Proposed","STATUS = Proposed",IF($H868="Not Reported","STATUS = Not Reported",IF(AND($P868="Y",$Q868&lt;&gt;"Y"),"UNESCO-MAB Biosphere Reserve",IF(AND($K868="Point",N($L868)&lt;=0),"Point without REP_AREA",IF(AND(N($L868)&lt;=0,N($N868)&lt;=0,N($R868)+N($S868)&lt;=0),"No area information",""))))))))</f>
        <v/>
      </c>
      <c r="AB868" s="22">
        <f>IF(AND($A868="",$B868=""),"",IF($K868="Point",N($L868),IF(N($N868)&gt;0,N($N868),N($L868))))</f>
        <v/>
      </c>
      <c r="AC868" s="22">
        <f>IF(AND($A868="",$B868=""),"",MIN(AB868,IF(N($J868)=0,0,IF(N($J868)=2,AB868,IF(AND($K868&lt;&gt;"Point",N($O868)&gt;0),N($O868),N($M868))))))</f>
        <v/>
      </c>
      <c r="AD868" s="22">
        <f>IF(AND($A868="",$B868=""),"",MAX(0,AB868-AC868))</f>
        <v/>
      </c>
      <c r="AE868" s="21">
        <f>IF(AND($A868="",$B868=""),"",IF(OR($R868&lt;&gt;"",$S868&lt;&gt;""),1,0))</f>
        <v/>
      </c>
      <c r="AF868" s="22">
        <f>IF(AND($A868="",$B868=""),"",IF(Z868=1,IF(AE868=1,N($R868),AD868),0))</f>
        <v/>
      </c>
      <c r="AG868" s="22">
        <f>IF(AND($A868="",$B868=""),"",IF(Z868=1,IF(AE868=1,N($S868),AC868),0))</f>
        <v/>
      </c>
      <c r="AH868" s="21">
        <f>IF(AND($A868="",$B868=""),"",IF(AND(ISNUMBER($I868),N($I868)&gt;0),$I868,0))</f>
        <v/>
      </c>
      <c r="AI868" s="23">
        <f>IF(AND(NOT(AND($A868="",$B868="")),$K868="Point",N($L868)&gt;0),SQRT(N($L868)/PI()),"")</f>
        <v/>
      </c>
      <c r="AJ868" s="21">
        <f>IF(AND($A868="",$B868=""),"",IFERROR(VLOOKUP($G868,Lists!$D$4:$E$15,2,FALSE),"Not reported"))</f>
        <v/>
      </c>
      <c r="AK868" s="21">
        <f>IF(AND($A868="",$B868=""),"",IF($X868&lt;&gt;"",$X868,IF($T868&lt;&gt;"Y","Not assessed",IF(AND(ISNUMBER($V868),Setup!$B$6-$V868&gt;Setup!$B$26),"Assessment outdated",IF(NOT(ISNUMBER($W868)),"Assessed – no score",IF($W868&gt;=Setup!$B$24,"High",IF($W868&gt;=Setup!$B$25,"Moderate","Low")))))))</f>
        <v/>
      </c>
      <c r="AL868" s="21">
        <f>IF(AND($A868="",$B868=""),"",IF(Z868=0,"",IF(AND(AE868=1,N($R868)&gt;AD868*1.01+0.001),"Net terrestrial &gt; gross; ","")&amp;IF(AND(AE868=1,N($S868)&gt;AC868*1.01+0.001),"Net marine &gt; gross; ","")&amp;IF(AE868=0,"No net area – gross used, overlaps may be double-counted; ","")&amp;IF(AH868=0,"STATUS_YR missing – imputed in time series; ","")&amp;IF(AND(ISNUMBER($I868),N($I868)&gt;Setup!$B$6),"STATUS_YR after reporting year; ","")&amp;IF(OR($G868="",$G868="Not Reported"),"GOV_TYPE not reported; ","")&amp;IF(AND(N($J868)=1,$K868="Point",N($M868)&lt;=0),"Coastal point without REP_M_AREA – land/sea split unknown; ","")&amp;IF(AND(N($J868)=0,N($S868)&gt;0),"MARINE=0 but net marine &gt;0; ","")&amp;IF(AND(N($J868)=2,N($R868)&gt;0),"MARINE=2 but net terrestrial &gt;0; ","")&amp;IF($K868="Point","Buffered point – coverage approximate; ","")))</f>
        <v/>
      </c>
    </row>
    <row r="869">
      <c r="A869" s="19" t="n"/>
      <c r="B869" s="19" t="n"/>
      <c r="C869" s="19" t="n"/>
      <c r="D869" s="19" t="n"/>
      <c r="E869" s="19" t="n"/>
      <c r="F869" s="19" t="n"/>
      <c r="G869" s="19" t="n"/>
      <c r="H869" s="19" t="n"/>
      <c r="I869" s="19" t="n"/>
      <c r="J869" s="19" t="n"/>
      <c r="K869" s="19" t="n"/>
      <c r="L869" s="20" t="n"/>
      <c r="M869" s="20" t="n"/>
      <c r="N869" s="20" t="n"/>
      <c r="O869" s="20" t="n"/>
      <c r="P869" s="19" t="n"/>
      <c r="Q869" s="19" t="n"/>
      <c r="R869" s="20" t="n"/>
      <c r="S869" s="20" t="n"/>
      <c r="T869" s="19" t="n"/>
      <c r="U869" s="19" t="n"/>
      <c r="V869" s="19" t="n"/>
      <c r="W869" s="19" t="n"/>
      <c r="X869" s="19" t="n"/>
      <c r="Y869" s="19" t="n"/>
      <c r="Z869" s="21">
        <f>IF(AND($A869="",$B869=""),"",IF(OR($E869="",$H869="",$H869="Proposed",$H869="Not Reported"),0,IF(AND($P869="Y",$Q869&lt;&gt;"Y"),0,IF(AND($K869="Point",N($L869)&lt;=0),0,IF(AND(N($L869)&lt;=0,N($N869)&lt;=0,N($R869)+N($S869)&lt;=0),0,1)))))</f>
        <v/>
      </c>
      <c r="AA869" s="21">
        <f>IF(AND($A869="",$B869=""),"",IF($E869="","Site type missing",IF($H869="","STATUS missing",IF($H869="Proposed","STATUS = Proposed",IF($H869="Not Reported","STATUS = Not Reported",IF(AND($P869="Y",$Q869&lt;&gt;"Y"),"UNESCO-MAB Biosphere Reserve",IF(AND($K869="Point",N($L869)&lt;=0),"Point without REP_AREA",IF(AND(N($L869)&lt;=0,N($N869)&lt;=0,N($R869)+N($S869)&lt;=0),"No area information",""))))))))</f>
        <v/>
      </c>
      <c r="AB869" s="22">
        <f>IF(AND($A869="",$B869=""),"",IF($K869="Point",N($L869),IF(N($N869)&gt;0,N($N869),N($L869))))</f>
        <v/>
      </c>
      <c r="AC869" s="22">
        <f>IF(AND($A869="",$B869=""),"",MIN(AB869,IF(N($J869)=0,0,IF(N($J869)=2,AB869,IF(AND($K869&lt;&gt;"Point",N($O869)&gt;0),N($O869),N($M869))))))</f>
        <v/>
      </c>
      <c r="AD869" s="22">
        <f>IF(AND($A869="",$B869=""),"",MAX(0,AB869-AC869))</f>
        <v/>
      </c>
      <c r="AE869" s="21">
        <f>IF(AND($A869="",$B869=""),"",IF(OR($R869&lt;&gt;"",$S869&lt;&gt;""),1,0))</f>
        <v/>
      </c>
      <c r="AF869" s="22">
        <f>IF(AND($A869="",$B869=""),"",IF(Z869=1,IF(AE869=1,N($R869),AD869),0))</f>
        <v/>
      </c>
      <c r="AG869" s="22">
        <f>IF(AND($A869="",$B869=""),"",IF(Z869=1,IF(AE869=1,N($S869),AC869),0))</f>
        <v/>
      </c>
      <c r="AH869" s="21">
        <f>IF(AND($A869="",$B869=""),"",IF(AND(ISNUMBER($I869),N($I869)&gt;0),$I869,0))</f>
        <v/>
      </c>
      <c r="AI869" s="23">
        <f>IF(AND(NOT(AND($A869="",$B869="")),$K869="Point",N($L869)&gt;0),SQRT(N($L869)/PI()),"")</f>
        <v/>
      </c>
      <c r="AJ869" s="21">
        <f>IF(AND($A869="",$B869=""),"",IFERROR(VLOOKUP($G869,Lists!$D$4:$E$15,2,FALSE),"Not reported"))</f>
        <v/>
      </c>
      <c r="AK869" s="21">
        <f>IF(AND($A869="",$B869=""),"",IF($X869&lt;&gt;"",$X869,IF($T869&lt;&gt;"Y","Not assessed",IF(AND(ISNUMBER($V869),Setup!$B$6-$V869&gt;Setup!$B$26),"Assessment outdated",IF(NOT(ISNUMBER($W869)),"Assessed – no score",IF($W869&gt;=Setup!$B$24,"High",IF($W869&gt;=Setup!$B$25,"Moderate","Low")))))))</f>
        <v/>
      </c>
      <c r="AL869" s="21">
        <f>IF(AND($A869="",$B869=""),"",IF(Z869=0,"",IF(AND(AE869=1,N($R869)&gt;AD869*1.01+0.001),"Net terrestrial &gt; gross; ","")&amp;IF(AND(AE869=1,N($S869)&gt;AC869*1.01+0.001),"Net marine &gt; gross; ","")&amp;IF(AE869=0,"No net area – gross used, overlaps may be double-counted; ","")&amp;IF(AH869=0,"STATUS_YR missing – imputed in time series; ","")&amp;IF(AND(ISNUMBER($I869),N($I869)&gt;Setup!$B$6),"STATUS_YR after reporting year; ","")&amp;IF(OR($G869="",$G869="Not Reported"),"GOV_TYPE not reported; ","")&amp;IF(AND(N($J869)=1,$K869="Point",N($M869)&lt;=0),"Coastal point without REP_M_AREA – land/sea split unknown; ","")&amp;IF(AND(N($J869)=0,N($S869)&gt;0),"MARINE=0 but net marine &gt;0; ","")&amp;IF(AND(N($J869)=2,N($R869)&gt;0),"MARINE=2 but net terrestrial &gt;0; ","")&amp;IF($K869="Point","Buffered point – coverage approximate; ","")))</f>
        <v/>
      </c>
    </row>
    <row r="870">
      <c r="A870" s="19" t="n"/>
      <c r="B870" s="19" t="n"/>
      <c r="C870" s="19" t="n"/>
      <c r="D870" s="19" t="n"/>
      <c r="E870" s="19" t="n"/>
      <c r="F870" s="19" t="n"/>
      <c r="G870" s="19" t="n"/>
      <c r="H870" s="19" t="n"/>
      <c r="I870" s="19" t="n"/>
      <c r="J870" s="19" t="n"/>
      <c r="K870" s="19" t="n"/>
      <c r="L870" s="20" t="n"/>
      <c r="M870" s="20" t="n"/>
      <c r="N870" s="20" t="n"/>
      <c r="O870" s="20" t="n"/>
      <c r="P870" s="19" t="n"/>
      <c r="Q870" s="19" t="n"/>
      <c r="R870" s="20" t="n"/>
      <c r="S870" s="20" t="n"/>
      <c r="T870" s="19" t="n"/>
      <c r="U870" s="19" t="n"/>
      <c r="V870" s="19" t="n"/>
      <c r="W870" s="19" t="n"/>
      <c r="X870" s="19" t="n"/>
      <c r="Y870" s="19" t="n"/>
      <c r="Z870" s="21">
        <f>IF(AND($A870="",$B870=""),"",IF(OR($E870="",$H870="",$H870="Proposed",$H870="Not Reported"),0,IF(AND($P870="Y",$Q870&lt;&gt;"Y"),0,IF(AND($K870="Point",N($L870)&lt;=0),0,IF(AND(N($L870)&lt;=0,N($N870)&lt;=0,N($R870)+N($S870)&lt;=0),0,1)))))</f>
        <v/>
      </c>
      <c r="AA870" s="21">
        <f>IF(AND($A870="",$B870=""),"",IF($E870="","Site type missing",IF($H870="","STATUS missing",IF($H870="Proposed","STATUS = Proposed",IF($H870="Not Reported","STATUS = Not Reported",IF(AND($P870="Y",$Q870&lt;&gt;"Y"),"UNESCO-MAB Biosphere Reserve",IF(AND($K870="Point",N($L870)&lt;=0),"Point without REP_AREA",IF(AND(N($L870)&lt;=0,N($N870)&lt;=0,N($R870)+N($S870)&lt;=0),"No area information",""))))))))</f>
        <v/>
      </c>
      <c r="AB870" s="22">
        <f>IF(AND($A870="",$B870=""),"",IF($K870="Point",N($L870),IF(N($N870)&gt;0,N($N870),N($L870))))</f>
        <v/>
      </c>
      <c r="AC870" s="22">
        <f>IF(AND($A870="",$B870=""),"",MIN(AB870,IF(N($J870)=0,0,IF(N($J870)=2,AB870,IF(AND($K870&lt;&gt;"Point",N($O870)&gt;0),N($O870),N($M870))))))</f>
        <v/>
      </c>
      <c r="AD870" s="22">
        <f>IF(AND($A870="",$B870=""),"",MAX(0,AB870-AC870))</f>
        <v/>
      </c>
      <c r="AE870" s="21">
        <f>IF(AND($A870="",$B870=""),"",IF(OR($R870&lt;&gt;"",$S870&lt;&gt;""),1,0))</f>
        <v/>
      </c>
      <c r="AF870" s="22">
        <f>IF(AND($A870="",$B870=""),"",IF(Z870=1,IF(AE870=1,N($R870),AD870),0))</f>
        <v/>
      </c>
      <c r="AG870" s="22">
        <f>IF(AND($A870="",$B870=""),"",IF(Z870=1,IF(AE870=1,N($S870),AC870),0))</f>
        <v/>
      </c>
      <c r="AH870" s="21">
        <f>IF(AND($A870="",$B870=""),"",IF(AND(ISNUMBER($I870),N($I870)&gt;0),$I870,0))</f>
        <v/>
      </c>
      <c r="AI870" s="23">
        <f>IF(AND(NOT(AND($A870="",$B870="")),$K870="Point",N($L870)&gt;0),SQRT(N($L870)/PI()),"")</f>
        <v/>
      </c>
      <c r="AJ870" s="21">
        <f>IF(AND($A870="",$B870=""),"",IFERROR(VLOOKUP($G870,Lists!$D$4:$E$15,2,FALSE),"Not reported"))</f>
        <v/>
      </c>
      <c r="AK870" s="21">
        <f>IF(AND($A870="",$B870=""),"",IF($X870&lt;&gt;"",$X870,IF($T870&lt;&gt;"Y","Not assessed",IF(AND(ISNUMBER($V870),Setup!$B$6-$V870&gt;Setup!$B$26),"Assessment outdated",IF(NOT(ISNUMBER($W870)),"Assessed – no score",IF($W870&gt;=Setup!$B$24,"High",IF($W870&gt;=Setup!$B$25,"Moderate","Low")))))))</f>
        <v/>
      </c>
      <c r="AL870" s="21">
        <f>IF(AND($A870="",$B870=""),"",IF(Z870=0,"",IF(AND(AE870=1,N($R870)&gt;AD870*1.01+0.001),"Net terrestrial &gt; gross; ","")&amp;IF(AND(AE870=1,N($S870)&gt;AC870*1.01+0.001),"Net marine &gt; gross; ","")&amp;IF(AE870=0,"No net area – gross used, overlaps may be double-counted; ","")&amp;IF(AH870=0,"STATUS_YR missing – imputed in time series; ","")&amp;IF(AND(ISNUMBER($I870),N($I870)&gt;Setup!$B$6),"STATUS_YR after reporting year; ","")&amp;IF(OR($G870="",$G870="Not Reported"),"GOV_TYPE not reported; ","")&amp;IF(AND(N($J870)=1,$K870="Point",N($M870)&lt;=0),"Coastal point without REP_M_AREA – land/sea split unknown; ","")&amp;IF(AND(N($J870)=0,N($S870)&gt;0),"MARINE=0 but net marine &gt;0; ","")&amp;IF(AND(N($J870)=2,N($R870)&gt;0),"MARINE=2 but net terrestrial &gt;0; ","")&amp;IF($K870="Point","Buffered point – coverage approximate; ","")))</f>
        <v/>
      </c>
    </row>
    <row r="871">
      <c r="A871" s="19" t="n"/>
      <c r="B871" s="19" t="n"/>
      <c r="C871" s="19" t="n"/>
      <c r="D871" s="19" t="n"/>
      <c r="E871" s="19" t="n"/>
      <c r="F871" s="19" t="n"/>
      <c r="G871" s="19" t="n"/>
      <c r="H871" s="19" t="n"/>
      <c r="I871" s="19" t="n"/>
      <c r="J871" s="19" t="n"/>
      <c r="K871" s="19" t="n"/>
      <c r="L871" s="20" t="n"/>
      <c r="M871" s="20" t="n"/>
      <c r="N871" s="20" t="n"/>
      <c r="O871" s="20" t="n"/>
      <c r="P871" s="19" t="n"/>
      <c r="Q871" s="19" t="n"/>
      <c r="R871" s="20" t="n"/>
      <c r="S871" s="20" t="n"/>
      <c r="T871" s="19" t="n"/>
      <c r="U871" s="19" t="n"/>
      <c r="V871" s="19" t="n"/>
      <c r="W871" s="19" t="n"/>
      <c r="X871" s="19" t="n"/>
      <c r="Y871" s="19" t="n"/>
      <c r="Z871" s="21">
        <f>IF(AND($A871="",$B871=""),"",IF(OR($E871="",$H871="",$H871="Proposed",$H871="Not Reported"),0,IF(AND($P871="Y",$Q871&lt;&gt;"Y"),0,IF(AND($K871="Point",N($L871)&lt;=0),0,IF(AND(N($L871)&lt;=0,N($N871)&lt;=0,N($R871)+N($S871)&lt;=0),0,1)))))</f>
        <v/>
      </c>
      <c r="AA871" s="21">
        <f>IF(AND($A871="",$B871=""),"",IF($E871="","Site type missing",IF($H871="","STATUS missing",IF($H871="Proposed","STATUS = Proposed",IF($H871="Not Reported","STATUS = Not Reported",IF(AND($P871="Y",$Q871&lt;&gt;"Y"),"UNESCO-MAB Biosphere Reserve",IF(AND($K871="Point",N($L871)&lt;=0),"Point without REP_AREA",IF(AND(N($L871)&lt;=0,N($N871)&lt;=0,N($R871)+N($S871)&lt;=0),"No area information",""))))))))</f>
        <v/>
      </c>
      <c r="AB871" s="22">
        <f>IF(AND($A871="",$B871=""),"",IF($K871="Point",N($L871),IF(N($N871)&gt;0,N($N871),N($L871))))</f>
        <v/>
      </c>
      <c r="AC871" s="22">
        <f>IF(AND($A871="",$B871=""),"",MIN(AB871,IF(N($J871)=0,0,IF(N($J871)=2,AB871,IF(AND($K871&lt;&gt;"Point",N($O871)&gt;0),N($O871),N($M871))))))</f>
        <v/>
      </c>
      <c r="AD871" s="22">
        <f>IF(AND($A871="",$B871=""),"",MAX(0,AB871-AC871))</f>
        <v/>
      </c>
      <c r="AE871" s="21">
        <f>IF(AND($A871="",$B871=""),"",IF(OR($R871&lt;&gt;"",$S871&lt;&gt;""),1,0))</f>
        <v/>
      </c>
      <c r="AF871" s="22">
        <f>IF(AND($A871="",$B871=""),"",IF(Z871=1,IF(AE871=1,N($R871),AD871),0))</f>
        <v/>
      </c>
      <c r="AG871" s="22">
        <f>IF(AND($A871="",$B871=""),"",IF(Z871=1,IF(AE871=1,N($S871),AC871),0))</f>
        <v/>
      </c>
      <c r="AH871" s="21">
        <f>IF(AND($A871="",$B871=""),"",IF(AND(ISNUMBER($I871),N($I871)&gt;0),$I871,0))</f>
        <v/>
      </c>
      <c r="AI871" s="23">
        <f>IF(AND(NOT(AND($A871="",$B871="")),$K871="Point",N($L871)&gt;0),SQRT(N($L871)/PI()),"")</f>
        <v/>
      </c>
      <c r="AJ871" s="21">
        <f>IF(AND($A871="",$B871=""),"",IFERROR(VLOOKUP($G871,Lists!$D$4:$E$15,2,FALSE),"Not reported"))</f>
        <v/>
      </c>
      <c r="AK871" s="21">
        <f>IF(AND($A871="",$B871=""),"",IF($X871&lt;&gt;"",$X871,IF($T871&lt;&gt;"Y","Not assessed",IF(AND(ISNUMBER($V871),Setup!$B$6-$V871&gt;Setup!$B$26),"Assessment outdated",IF(NOT(ISNUMBER($W871)),"Assessed – no score",IF($W871&gt;=Setup!$B$24,"High",IF($W871&gt;=Setup!$B$25,"Moderate","Low")))))))</f>
        <v/>
      </c>
      <c r="AL871" s="21">
        <f>IF(AND($A871="",$B871=""),"",IF(Z871=0,"",IF(AND(AE871=1,N($R871)&gt;AD871*1.01+0.001),"Net terrestrial &gt; gross; ","")&amp;IF(AND(AE871=1,N($S871)&gt;AC871*1.01+0.001),"Net marine &gt; gross; ","")&amp;IF(AE871=0,"No net area – gross used, overlaps may be double-counted; ","")&amp;IF(AH871=0,"STATUS_YR missing – imputed in time series; ","")&amp;IF(AND(ISNUMBER($I871),N($I871)&gt;Setup!$B$6),"STATUS_YR after reporting year; ","")&amp;IF(OR($G871="",$G871="Not Reported"),"GOV_TYPE not reported; ","")&amp;IF(AND(N($J871)=1,$K871="Point",N($M871)&lt;=0),"Coastal point without REP_M_AREA – land/sea split unknown; ","")&amp;IF(AND(N($J871)=0,N($S871)&gt;0),"MARINE=0 but net marine &gt;0; ","")&amp;IF(AND(N($J871)=2,N($R871)&gt;0),"MARINE=2 but net terrestrial &gt;0; ","")&amp;IF($K871="Point","Buffered point – coverage approximate; ","")))</f>
        <v/>
      </c>
    </row>
    <row r="872">
      <c r="A872" s="19" t="n"/>
      <c r="B872" s="19" t="n"/>
      <c r="C872" s="19" t="n"/>
      <c r="D872" s="19" t="n"/>
      <c r="E872" s="19" t="n"/>
      <c r="F872" s="19" t="n"/>
      <c r="G872" s="19" t="n"/>
      <c r="H872" s="19" t="n"/>
      <c r="I872" s="19" t="n"/>
      <c r="J872" s="19" t="n"/>
      <c r="K872" s="19" t="n"/>
      <c r="L872" s="20" t="n"/>
      <c r="M872" s="20" t="n"/>
      <c r="N872" s="20" t="n"/>
      <c r="O872" s="20" t="n"/>
      <c r="P872" s="19" t="n"/>
      <c r="Q872" s="19" t="n"/>
      <c r="R872" s="20" t="n"/>
      <c r="S872" s="20" t="n"/>
      <c r="T872" s="19" t="n"/>
      <c r="U872" s="19" t="n"/>
      <c r="V872" s="19" t="n"/>
      <c r="W872" s="19" t="n"/>
      <c r="X872" s="19" t="n"/>
      <c r="Y872" s="19" t="n"/>
      <c r="Z872" s="21">
        <f>IF(AND($A872="",$B872=""),"",IF(OR($E872="",$H872="",$H872="Proposed",$H872="Not Reported"),0,IF(AND($P872="Y",$Q872&lt;&gt;"Y"),0,IF(AND($K872="Point",N($L872)&lt;=0),0,IF(AND(N($L872)&lt;=0,N($N872)&lt;=0,N($R872)+N($S872)&lt;=0),0,1)))))</f>
        <v/>
      </c>
      <c r="AA872" s="21">
        <f>IF(AND($A872="",$B872=""),"",IF($E872="","Site type missing",IF($H872="","STATUS missing",IF($H872="Proposed","STATUS = Proposed",IF($H872="Not Reported","STATUS = Not Reported",IF(AND($P872="Y",$Q872&lt;&gt;"Y"),"UNESCO-MAB Biosphere Reserve",IF(AND($K872="Point",N($L872)&lt;=0),"Point without REP_AREA",IF(AND(N($L872)&lt;=0,N($N872)&lt;=0,N($R872)+N($S872)&lt;=0),"No area information",""))))))))</f>
        <v/>
      </c>
      <c r="AB872" s="22">
        <f>IF(AND($A872="",$B872=""),"",IF($K872="Point",N($L872),IF(N($N872)&gt;0,N($N872),N($L872))))</f>
        <v/>
      </c>
      <c r="AC872" s="22">
        <f>IF(AND($A872="",$B872=""),"",MIN(AB872,IF(N($J872)=0,0,IF(N($J872)=2,AB872,IF(AND($K872&lt;&gt;"Point",N($O872)&gt;0),N($O872),N($M872))))))</f>
        <v/>
      </c>
      <c r="AD872" s="22">
        <f>IF(AND($A872="",$B872=""),"",MAX(0,AB872-AC872))</f>
        <v/>
      </c>
      <c r="AE872" s="21">
        <f>IF(AND($A872="",$B872=""),"",IF(OR($R872&lt;&gt;"",$S872&lt;&gt;""),1,0))</f>
        <v/>
      </c>
      <c r="AF872" s="22">
        <f>IF(AND($A872="",$B872=""),"",IF(Z872=1,IF(AE872=1,N($R872),AD872),0))</f>
        <v/>
      </c>
      <c r="AG872" s="22">
        <f>IF(AND($A872="",$B872=""),"",IF(Z872=1,IF(AE872=1,N($S872),AC872),0))</f>
        <v/>
      </c>
      <c r="AH872" s="21">
        <f>IF(AND($A872="",$B872=""),"",IF(AND(ISNUMBER($I872),N($I872)&gt;0),$I872,0))</f>
        <v/>
      </c>
      <c r="AI872" s="23">
        <f>IF(AND(NOT(AND($A872="",$B872="")),$K872="Point",N($L872)&gt;0),SQRT(N($L872)/PI()),"")</f>
        <v/>
      </c>
      <c r="AJ872" s="21">
        <f>IF(AND($A872="",$B872=""),"",IFERROR(VLOOKUP($G872,Lists!$D$4:$E$15,2,FALSE),"Not reported"))</f>
        <v/>
      </c>
      <c r="AK872" s="21">
        <f>IF(AND($A872="",$B872=""),"",IF($X872&lt;&gt;"",$X872,IF($T872&lt;&gt;"Y","Not assessed",IF(AND(ISNUMBER($V872),Setup!$B$6-$V872&gt;Setup!$B$26),"Assessment outdated",IF(NOT(ISNUMBER($W872)),"Assessed – no score",IF($W872&gt;=Setup!$B$24,"High",IF($W872&gt;=Setup!$B$25,"Moderate","Low")))))))</f>
        <v/>
      </c>
      <c r="AL872" s="21">
        <f>IF(AND($A872="",$B872=""),"",IF(Z872=0,"",IF(AND(AE872=1,N($R872)&gt;AD872*1.01+0.001),"Net terrestrial &gt; gross; ","")&amp;IF(AND(AE872=1,N($S872)&gt;AC872*1.01+0.001),"Net marine &gt; gross; ","")&amp;IF(AE872=0,"No net area – gross used, overlaps may be double-counted; ","")&amp;IF(AH872=0,"STATUS_YR missing – imputed in time series; ","")&amp;IF(AND(ISNUMBER($I872),N($I872)&gt;Setup!$B$6),"STATUS_YR after reporting year; ","")&amp;IF(OR($G872="",$G872="Not Reported"),"GOV_TYPE not reported; ","")&amp;IF(AND(N($J872)=1,$K872="Point",N($M872)&lt;=0),"Coastal point without REP_M_AREA – land/sea split unknown; ","")&amp;IF(AND(N($J872)=0,N($S872)&gt;0),"MARINE=0 but net marine &gt;0; ","")&amp;IF(AND(N($J872)=2,N($R872)&gt;0),"MARINE=2 but net terrestrial &gt;0; ","")&amp;IF($K872="Point","Buffered point – coverage approximate; ","")))</f>
        <v/>
      </c>
    </row>
    <row r="873">
      <c r="A873" s="19" t="n"/>
      <c r="B873" s="19" t="n"/>
      <c r="C873" s="19" t="n"/>
      <c r="D873" s="19" t="n"/>
      <c r="E873" s="19" t="n"/>
      <c r="F873" s="19" t="n"/>
      <c r="G873" s="19" t="n"/>
      <c r="H873" s="19" t="n"/>
      <c r="I873" s="19" t="n"/>
      <c r="J873" s="19" t="n"/>
      <c r="K873" s="19" t="n"/>
      <c r="L873" s="20" t="n"/>
      <c r="M873" s="20" t="n"/>
      <c r="N873" s="20" t="n"/>
      <c r="O873" s="20" t="n"/>
      <c r="P873" s="19" t="n"/>
      <c r="Q873" s="19" t="n"/>
      <c r="R873" s="20" t="n"/>
      <c r="S873" s="20" t="n"/>
      <c r="T873" s="19" t="n"/>
      <c r="U873" s="19" t="n"/>
      <c r="V873" s="19" t="n"/>
      <c r="W873" s="19" t="n"/>
      <c r="X873" s="19" t="n"/>
      <c r="Y873" s="19" t="n"/>
      <c r="Z873" s="21">
        <f>IF(AND($A873="",$B873=""),"",IF(OR($E873="",$H873="",$H873="Proposed",$H873="Not Reported"),0,IF(AND($P873="Y",$Q873&lt;&gt;"Y"),0,IF(AND($K873="Point",N($L873)&lt;=0),0,IF(AND(N($L873)&lt;=0,N($N873)&lt;=0,N($R873)+N($S873)&lt;=0),0,1)))))</f>
        <v/>
      </c>
      <c r="AA873" s="21">
        <f>IF(AND($A873="",$B873=""),"",IF($E873="","Site type missing",IF($H873="","STATUS missing",IF($H873="Proposed","STATUS = Proposed",IF($H873="Not Reported","STATUS = Not Reported",IF(AND($P873="Y",$Q873&lt;&gt;"Y"),"UNESCO-MAB Biosphere Reserve",IF(AND($K873="Point",N($L873)&lt;=0),"Point without REP_AREA",IF(AND(N($L873)&lt;=0,N($N873)&lt;=0,N($R873)+N($S873)&lt;=0),"No area information",""))))))))</f>
        <v/>
      </c>
      <c r="AB873" s="22">
        <f>IF(AND($A873="",$B873=""),"",IF($K873="Point",N($L873),IF(N($N873)&gt;0,N($N873),N($L873))))</f>
        <v/>
      </c>
      <c r="AC873" s="22">
        <f>IF(AND($A873="",$B873=""),"",MIN(AB873,IF(N($J873)=0,0,IF(N($J873)=2,AB873,IF(AND($K873&lt;&gt;"Point",N($O873)&gt;0),N($O873),N($M873))))))</f>
        <v/>
      </c>
      <c r="AD873" s="22">
        <f>IF(AND($A873="",$B873=""),"",MAX(0,AB873-AC873))</f>
        <v/>
      </c>
      <c r="AE873" s="21">
        <f>IF(AND($A873="",$B873=""),"",IF(OR($R873&lt;&gt;"",$S873&lt;&gt;""),1,0))</f>
        <v/>
      </c>
      <c r="AF873" s="22">
        <f>IF(AND($A873="",$B873=""),"",IF(Z873=1,IF(AE873=1,N($R873),AD873),0))</f>
        <v/>
      </c>
      <c r="AG873" s="22">
        <f>IF(AND($A873="",$B873=""),"",IF(Z873=1,IF(AE873=1,N($S873),AC873),0))</f>
        <v/>
      </c>
      <c r="AH873" s="21">
        <f>IF(AND($A873="",$B873=""),"",IF(AND(ISNUMBER($I873),N($I873)&gt;0),$I873,0))</f>
        <v/>
      </c>
      <c r="AI873" s="23">
        <f>IF(AND(NOT(AND($A873="",$B873="")),$K873="Point",N($L873)&gt;0),SQRT(N($L873)/PI()),"")</f>
        <v/>
      </c>
      <c r="AJ873" s="21">
        <f>IF(AND($A873="",$B873=""),"",IFERROR(VLOOKUP($G873,Lists!$D$4:$E$15,2,FALSE),"Not reported"))</f>
        <v/>
      </c>
      <c r="AK873" s="21">
        <f>IF(AND($A873="",$B873=""),"",IF($X873&lt;&gt;"",$X873,IF($T873&lt;&gt;"Y","Not assessed",IF(AND(ISNUMBER($V873),Setup!$B$6-$V873&gt;Setup!$B$26),"Assessment outdated",IF(NOT(ISNUMBER($W873)),"Assessed – no score",IF($W873&gt;=Setup!$B$24,"High",IF($W873&gt;=Setup!$B$25,"Moderate","Low")))))))</f>
        <v/>
      </c>
      <c r="AL873" s="21">
        <f>IF(AND($A873="",$B873=""),"",IF(Z873=0,"",IF(AND(AE873=1,N($R873)&gt;AD873*1.01+0.001),"Net terrestrial &gt; gross; ","")&amp;IF(AND(AE873=1,N($S873)&gt;AC873*1.01+0.001),"Net marine &gt; gross; ","")&amp;IF(AE873=0,"No net area – gross used, overlaps may be double-counted; ","")&amp;IF(AH873=0,"STATUS_YR missing – imputed in time series; ","")&amp;IF(AND(ISNUMBER($I873),N($I873)&gt;Setup!$B$6),"STATUS_YR after reporting year; ","")&amp;IF(OR($G873="",$G873="Not Reported"),"GOV_TYPE not reported; ","")&amp;IF(AND(N($J873)=1,$K873="Point",N($M873)&lt;=0),"Coastal point without REP_M_AREA – land/sea split unknown; ","")&amp;IF(AND(N($J873)=0,N($S873)&gt;0),"MARINE=0 but net marine &gt;0; ","")&amp;IF(AND(N($J873)=2,N($R873)&gt;0),"MARINE=2 but net terrestrial &gt;0; ","")&amp;IF($K873="Point","Buffered point – coverage approximate; ","")))</f>
        <v/>
      </c>
    </row>
    <row r="874">
      <c r="A874" s="19" t="n"/>
      <c r="B874" s="19" t="n"/>
      <c r="C874" s="19" t="n"/>
      <c r="D874" s="19" t="n"/>
      <c r="E874" s="19" t="n"/>
      <c r="F874" s="19" t="n"/>
      <c r="G874" s="19" t="n"/>
      <c r="H874" s="19" t="n"/>
      <c r="I874" s="19" t="n"/>
      <c r="J874" s="19" t="n"/>
      <c r="K874" s="19" t="n"/>
      <c r="L874" s="20" t="n"/>
      <c r="M874" s="20" t="n"/>
      <c r="N874" s="20" t="n"/>
      <c r="O874" s="20" t="n"/>
      <c r="P874" s="19" t="n"/>
      <c r="Q874" s="19" t="n"/>
      <c r="R874" s="20" t="n"/>
      <c r="S874" s="20" t="n"/>
      <c r="T874" s="19" t="n"/>
      <c r="U874" s="19" t="n"/>
      <c r="V874" s="19" t="n"/>
      <c r="W874" s="19" t="n"/>
      <c r="X874" s="19" t="n"/>
      <c r="Y874" s="19" t="n"/>
      <c r="Z874" s="21">
        <f>IF(AND($A874="",$B874=""),"",IF(OR($E874="",$H874="",$H874="Proposed",$H874="Not Reported"),0,IF(AND($P874="Y",$Q874&lt;&gt;"Y"),0,IF(AND($K874="Point",N($L874)&lt;=0),0,IF(AND(N($L874)&lt;=0,N($N874)&lt;=0,N($R874)+N($S874)&lt;=0),0,1)))))</f>
        <v/>
      </c>
      <c r="AA874" s="21">
        <f>IF(AND($A874="",$B874=""),"",IF($E874="","Site type missing",IF($H874="","STATUS missing",IF($H874="Proposed","STATUS = Proposed",IF($H874="Not Reported","STATUS = Not Reported",IF(AND($P874="Y",$Q874&lt;&gt;"Y"),"UNESCO-MAB Biosphere Reserve",IF(AND($K874="Point",N($L874)&lt;=0),"Point without REP_AREA",IF(AND(N($L874)&lt;=0,N($N874)&lt;=0,N($R874)+N($S874)&lt;=0),"No area information",""))))))))</f>
        <v/>
      </c>
      <c r="AB874" s="22">
        <f>IF(AND($A874="",$B874=""),"",IF($K874="Point",N($L874),IF(N($N874)&gt;0,N($N874),N($L874))))</f>
        <v/>
      </c>
      <c r="AC874" s="22">
        <f>IF(AND($A874="",$B874=""),"",MIN(AB874,IF(N($J874)=0,0,IF(N($J874)=2,AB874,IF(AND($K874&lt;&gt;"Point",N($O874)&gt;0),N($O874),N($M874))))))</f>
        <v/>
      </c>
      <c r="AD874" s="22">
        <f>IF(AND($A874="",$B874=""),"",MAX(0,AB874-AC874))</f>
        <v/>
      </c>
      <c r="AE874" s="21">
        <f>IF(AND($A874="",$B874=""),"",IF(OR($R874&lt;&gt;"",$S874&lt;&gt;""),1,0))</f>
        <v/>
      </c>
      <c r="AF874" s="22">
        <f>IF(AND($A874="",$B874=""),"",IF(Z874=1,IF(AE874=1,N($R874),AD874),0))</f>
        <v/>
      </c>
      <c r="AG874" s="22">
        <f>IF(AND($A874="",$B874=""),"",IF(Z874=1,IF(AE874=1,N($S874),AC874),0))</f>
        <v/>
      </c>
      <c r="AH874" s="21">
        <f>IF(AND($A874="",$B874=""),"",IF(AND(ISNUMBER($I874),N($I874)&gt;0),$I874,0))</f>
        <v/>
      </c>
      <c r="AI874" s="23">
        <f>IF(AND(NOT(AND($A874="",$B874="")),$K874="Point",N($L874)&gt;0),SQRT(N($L874)/PI()),"")</f>
        <v/>
      </c>
      <c r="AJ874" s="21">
        <f>IF(AND($A874="",$B874=""),"",IFERROR(VLOOKUP($G874,Lists!$D$4:$E$15,2,FALSE),"Not reported"))</f>
        <v/>
      </c>
      <c r="AK874" s="21">
        <f>IF(AND($A874="",$B874=""),"",IF($X874&lt;&gt;"",$X874,IF($T874&lt;&gt;"Y","Not assessed",IF(AND(ISNUMBER($V874),Setup!$B$6-$V874&gt;Setup!$B$26),"Assessment outdated",IF(NOT(ISNUMBER($W874)),"Assessed – no score",IF($W874&gt;=Setup!$B$24,"High",IF($W874&gt;=Setup!$B$25,"Moderate","Low")))))))</f>
        <v/>
      </c>
      <c r="AL874" s="21">
        <f>IF(AND($A874="",$B874=""),"",IF(Z874=0,"",IF(AND(AE874=1,N($R874)&gt;AD874*1.01+0.001),"Net terrestrial &gt; gross; ","")&amp;IF(AND(AE874=1,N($S874)&gt;AC874*1.01+0.001),"Net marine &gt; gross; ","")&amp;IF(AE874=0,"No net area – gross used, overlaps may be double-counted; ","")&amp;IF(AH874=0,"STATUS_YR missing – imputed in time series; ","")&amp;IF(AND(ISNUMBER($I874),N($I874)&gt;Setup!$B$6),"STATUS_YR after reporting year; ","")&amp;IF(OR($G874="",$G874="Not Reported"),"GOV_TYPE not reported; ","")&amp;IF(AND(N($J874)=1,$K874="Point",N($M874)&lt;=0),"Coastal point without REP_M_AREA – land/sea split unknown; ","")&amp;IF(AND(N($J874)=0,N($S874)&gt;0),"MARINE=0 but net marine &gt;0; ","")&amp;IF(AND(N($J874)=2,N($R874)&gt;0),"MARINE=2 but net terrestrial &gt;0; ","")&amp;IF($K874="Point","Buffered point – coverage approximate; ","")))</f>
        <v/>
      </c>
    </row>
    <row r="875">
      <c r="A875" s="19" t="n"/>
      <c r="B875" s="19" t="n"/>
      <c r="C875" s="19" t="n"/>
      <c r="D875" s="19" t="n"/>
      <c r="E875" s="19" t="n"/>
      <c r="F875" s="19" t="n"/>
      <c r="G875" s="19" t="n"/>
      <c r="H875" s="19" t="n"/>
      <c r="I875" s="19" t="n"/>
      <c r="J875" s="19" t="n"/>
      <c r="K875" s="19" t="n"/>
      <c r="L875" s="20" t="n"/>
      <c r="M875" s="20" t="n"/>
      <c r="N875" s="20" t="n"/>
      <c r="O875" s="20" t="n"/>
      <c r="P875" s="19" t="n"/>
      <c r="Q875" s="19" t="n"/>
      <c r="R875" s="20" t="n"/>
      <c r="S875" s="20" t="n"/>
      <c r="T875" s="19" t="n"/>
      <c r="U875" s="19" t="n"/>
      <c r="V875" s="19" t="n"/>
      <c r="W875" s="19" t="n"/>
      <c r="X875" s="19" t="n"/>
      <c r="Y875" s="19" t="n"/>
      <c r="Z875" s="21">
        <f>IF(AND($A875="",$B875=""),"",IF(OR($E875="",$H875="",$H875="Proposed",$H875="Not Reported"),0,IF(AND($P875="Y",$Q875&lt;&gt;"Y"),0,IF(AND($K875="Point",N($L875)&lt;=0),0,IF(AND(N($L875)&lt;=0,N($N875)&lt;=0,N($R875)+N($S875)&lt;=0),0,1)))))</f>
        <v/>
      </c>
      <c r="AA875" s="21">
        <f>IF(AND($A875="",$B875=""),"",IF($E875="","Site type missing",IF($H875="","STATUS missing",IF($H875="Proposed","STATUS = Proposed",IF($H875="Not Reported","STATUS = Not Reported",IF(AND($P875="Y",$Q875&lt;&gt;"Y"),"UNESCO-MAB Biosphere Reserve",IF(AND($K875="Point",N($L875)&lt;=0),"Point without REP_AREA",IF(AND(N($L875)&lt;=0,N($N875)&lt;=0,N($R875)+N($S875)&lt;=0),"No area information",""))))))))</f>
        <v/>
      </c>
      <c r="AB875" s="22">
        <f>IF(AND($A875="",$B875=""),"",IF($K875="Point",N($L875),IF(N($N875)&gt;0,N($N875),N($L875))))</f>
        <v/>
      </c>
      <c r="AC875" s="22">
        <f>IF(AND($A875="",$B875=""),"",MIN(AB875,IF(N($J875)=0,0,IF(N($J875)=2,AB875,IF(AND($K875&lt;&gt;"Point",N($O875)&gt;0),N($O875),N($M875))))))</f>
        <v/>
      </c>
      <c r="AD875" s="22">
        <f>IF(AND($A875="",$B875=""),"",MAX(0,AB875-AC875))</f>
        <v/>
      </c>
      <c r="AE875" s="21">
        <f>IF(AND($A875="",$B875=""),"",IF(OR($R875&lt;&gt;"",$S875&lt;&gt;""),1,0))</f>
        <v/>
      </c>
      <c r="AF875" s="22">
        <f>IF(AND($A875="",$B875=""),"",IF(Z875=1,IF(AE875=1,N($R875),AD875),0))</f>
        <v/>
      </c>
      <c r="AG875" s="22">
        <f>IF(AND($A875="",$B875=""),"",IF(Z875=1,IF(AE875=1,N($S875),AC875),0))</f>
        <v/>
      </c>
      <c r="AH875" s="21">
        <f>IF(AND($A875="",$B875=""),"",IF(AND(ISNUMBER($I875),N($I875)&gt;0),$I875,0))</f>
        <v/>
      </c>
      <c r="AI875" s="23">
        <f>IF(AND(NOT(AND($A875="",$B875="")),$K875="Point",N($L875)&gt;0),SQRT(N($L875)/PI()),"")</f>
        <v/>
      </c>
      <c r="AJ875" s="21">
        <f>IF(AND($A875="",$B875=""),"",IFERROR(VLOOKUP($G875,Lists!$D$4:$E$15,2,FALSE),"Not reported"))</f>
        <v/>
      </c>
      <c r="AK875" s="21">
        <f>IF(AND($A875="",$B875=""),"",IF($X875&lt;&gt;"",$X875,IF($T875&lt;&gt;"Y","Not assessed",IF(AND(ISNUMBER($V875),Setup!$B$6-$V875&gt;Setup!$B$26),"Assessment outdated",IF(NOT(ISNUMBER($W875)),"Assessed – no score",IF($W875&gt;=Setup!$B$24,"High",IF($W875&gt;=Setup!$B$25,"Moderate","Low")))))))</f>
        <v/>
      </c>
      <c r="AL875" s="21">
        <f>IF(AND($A875="",$B875=""),"",IF(Z875=0,"",IF(AND(AE875=1,N($R875)&gt;AD875*1.01+0.001),"Net terrestrial &gt; gross; ","")&amp;IF(AND(AE875=1,N($S875)&gt;AC875*1.01+0.001),"Net marine &gt; gross; ","")&amp;IF(AE875=0,"No net area – gross used, overlaps may be double-counted; ","")&amp;IF(AH875=0,"STATUS_YR missing – imputed in time series; ","")&amp;IF(AND(ISNUMBER($I875),N($I875)&gt;Setup!$B$6),"STATUS_YR after reporting year; ","")&amp;IF(OR($G875="",$G875="Not Reported"),"GOV_TYPE not reported; ","")&amp;IF(AND(N($J875)=1,$K875="Point",N($M875)&lt;=0),"Coastal point without REP_M_AREA – land/sea split unknown; ","")&amp;IF(AND(N($J875)=0,N($S875)&gt;0),"MARINE=0 but net marine &gt;0; ","")&amp;IF(AND(N($J875)=2,N($R875)&gt;0),"MARINE=2 but net terrestrial &gt;0; ","")&amp;IF($K875="Point","Buffered point – coverage approximate; ","")))</f>
        <v/>
      </c>
    </row>
    <row r="876">
      <c r="A876" s="19" t="n"/>
      <c r="B876" s="19" t="n"/>
      <c r="C876" s="19" t="n"/>
      <c r="D876" s="19" t="n"/>
      <c r="E876" s="19" t="n"/>
      <c r="F876" s="19" t="n"/>
      <c r="G876" s="19" t="n"/>
      <c r="H876" s="19" t="n"/>
      <c r="I876" s="19" t="n"/>
      <c r="J876" s="19" t="n"/>
      <c r="K876" s="19" t="n"/>
      <c r="L876" s="20" t="n"/>
      <c r="M876" s="20" t="n"/>
      <c r="N876" s="20" t="n"/>
      <c r="O876" s="20" t="n"/>
      <c r="P876" s="19" t="n"/>
      <c r="Q876" s="19" t="n"/>
      <c r="R876" s="20" t="n"/>
      <c r="S876" s="20" t="n"/>
      <c r="T876" s="19" t="n"/>
      <c r="U876" s="19" t="n"/>
      <c r="V876" s="19" t="n"/>
      <c r="W876" s="19" t="n"/>
      <c r="X876" s="19" t="n"/>
      <c r="Y876" s="19" t="n"/>
      <c r="Z876" s="21">
        <f>IF(AND($A876="",$B876=""),"",IF(OR($E876="",$H876="",$H876="Proposed",$H876="Not Reported"),0,IF(AND($P876="Y",$Q876&lt;&gt;"Y"),0,IF(AND($K876="Point",N($L876)&lt;=0),0,IF(AND(N($L876)&lt;=0,N($N876)&lt;=0,N($R876)+N($S876)&lt;=0),0,1)))))</f>
        <v/>
      </c>
      <c r="AA876" s="21">
        <f>IF(AND($A876="",$B876=""),"",IF($E876="","Site type missing",IF($H876="","STATUS missing",IF($H876="Proposed","STATUS = Proposed",IF($H876="Not Reported","STATUS = Not Reported",IF(AND($P876="Y",$Q876&lt;&gt;"Y"),"UNESCO-MAB Biosphere Reserve",IF(AND($K876="Point",N($L876)&lt;=0),"Point without REP_AREA",IF(AND(N($L876)&lt;=0,N($N876)&lt;=0,N($R876)+N($S876)&lt;=0),"No area information",""))))))))</f>
        <v/>
      </c>
      <c r="AB876" s="22">
        <f>IF(AND($A876="",$B876=""),"",IF($K876="Point",N($L876),IF(N($N876)&gt;0,N($N876),N($L876))))</f>
        <v/>
      </c>
      <c r="AC876" s="22">
        <f>IF(AND($A876="",$B876=""),"",MIN(AB876,IF(N($J876)=0,0,IF(N($J876)=2,AB876,IF(AND($K876&lt;&gt;"Point",N($O876)&gt;0),N($O876),N($M876))))))</f>
        <v/>
      </c>
      <c r="AD876" s="22">
        <f>IF(AND($A876="",$B876=""),"",MAX(0,AB876-AC876))</f>
        <v/>
      </c>
      <c r="AE876" s="21">
        <f>IF(AND($A876="",$B876=""),"",IF(OR($R876&lt;&gt;"",$S876&lt;&gt;""),1,0))</f>
        <v/>
      </c>
      <c r="AF876" s="22">
        <f>IF(AND($A876="",$B876=""),"",IF(Z876=1,IF(AE876=1,N($R876),AD876),0))</f>
        <v/>
      </c>
      <c r="AG876" s="22">
        <f>IF(AND($A876="",$B876=""),"",IF(Z876=1,IF(AE876=1,N($S876),AC876),0))</f>
        <v/>
      </c>
      <c r="AH876" s="21">
        <f>IF(AND($A876="",$B876=""),"",IF(AND(ISNUMBER($I876),N($I876)&gt;0),$I876,0))</f>
        <v/>
      </c>
      <c r="AI876" s="23">
        <f>IF(AND(NOT(AND($A876="",$B876="")),$K876="Point",N($L876)&gt;0),SQRT(N($L876)/PI()),"")</f>
        <v/>
      </c>
      <c r="AJ876" s="21">
        <f>IF(AND($A876="",$B876=""),"",IFERROR(VLOOKUP($G876,Lists!$D$4:$E$15,2,FALSE),"Not reported"))</f>
        <v/>
      </c>
      <c r="AK876" s="21">
        <f>IF(AND($A876="",$B876=""),"",IF($X876&lt;&gt;"",$X876,IF($T876&lt;&gt;"Y","Not assessed",IF(AND(ISNUMBER($V876),Setup!$B$6-$V876&gt;Setup!$B$26),"Assessment outdated",IF(NOT(ISNUMBER($W876)),"Assessed – no score",IF($W876&gt;=Setup!$B$24,"High",IF($W876&gt;=Setup!$B$25,"Moderate","Low")))))))</f>
        <v/>
      </c>
      <c r="AL876" s="21">
        <f>IF(AND($A876="",$B876=""),"",IF(Z876=0,"",IF(AND(AE876=1,N($R876)&gt;AD876*1.01+0.001),"Net terrestrial &gt; gross; ","")&amp;IF(AND(AE876=1,N($S876)&gt;AC876*1.01+0.001),"Net marine &gt; gross; ","")&amp;IF(AE876=0,"No net area – gross used, overlaps may be double-counted; ","")&amp;IF(AH876=0,"STATUS_YR missing – imputed in time series; ","")&amp;IF(AND(ISNUMBER($I876),N($I876)&gt;Setup!$B$6),"STATUS_YR after reporting year; ","")&amp;IF(OR($G876="",$G876="Not Reported"),"GOV_TYPE not reported; ","")&amp;IF(AND(N($J876)=1,$K876="Point",N($M876)&lt;=0),"Coastal point without REP_M_AREA – land/sea split unknown; ","")&amp;IF(AND(N($J876)=0,N($S876)&gt;0),"MARINE=0 but net marine &gt;0; ","")&amp;IF(AND(N($J876)=2,N($R876)&gt;0),"MARINE=2 but net terrestrial &gt;0; ","")&amp;IF($K876="Point","Buffered point – coverage approximate; ","")))</f>
        <v/>
      </c>
    </row>
    <row r="877">
      <c r="A877" s="19" t="n"/>
      <c r="B877" s="19" t="n"/>
      <c r="C877" s="19" t="n"/>
      <c r="D877" s="19" t="n"/>
      <c r="E877" s="19" t="n"/>
      <c r="F877" s="19" t="n"/>
      <c r="G877" s="19" t="n"/>
      <c r="H877" s="19" t="n"/>
      <c r="I877" s="19" t="n"/>
      <c r="J877" s="19" t="n"/>
      <c r="K877" s="19" t="n"/>
      <c r="L877" s="20" t="n"/>
      <c r="M877" s="20" t="n"/>
      <c r="N877" s="20" t="n"/>
      <c r="O877" s="20" t="n"/>
      <c r="P877" s="19" t="n"/>
      <c r="Q877" s="19" t="n"/>
      <c r="R877" s="20" t="n"/>
      <c r="S877" s="20" t="n"/>
      <c r="T877" s="19" t="n"/>
      <c r="U877" s="19" t="n"/>
      <c r="V877" s="19" t="n"/>
      <c r="W877" s="19" t="n"/>
      <c r="X877" s="19" t="n"/>
      <c r="Y877" s="19" t="n"/>
      <c r="Z877" s="21">
        <f>IF(AND($A877="",$B877=""),"",IF(OR($E877="",$H877="",$H877="Proposed",$H877="Not Reported"),0,IF(AND($P877="Y",$Q877&lt;&gt;"Y"),0,IF(AND($K877="Point",N($L877)&lt;=0),0,IF(AND(N($L877)&lt;=0,N($N877)&lt;=0,N($R877)+N($S877)&lt;=0),0,1)))))</f>
        <v/>
      </c>
      <c r="AA877" s="21">
        <f>IF(AND($A877="",$B877=""),"",IF($E877="","Site type missing",IF($H877="","STATUS missing",IF($H877="Proposed","STATUS = Proposed",IF($H877="Not Reported","STATUS = Not Reported",IF(AND($P877="Y",$Q877&lt;&gt;"Y"),"UNESCO-MAB Biosphere Reserve",IF(AND($K877="Point",N($L877)&lt;=0),"Point without REP_AREA",IF(AND(N($L877)&lt;=0,N($N877)&lt;=0,N($R877)+N($S877)&lt;=0),"No area information",""))))))))</f>
        <v/>
      </c>
      <c r="AB877" s="22">
        <f>IF(AND($A877="",$B877=""),"",IF($K877="Point",N($L877),IF(N($N877)&gt;0,N($N877),N($L877))))</f>
        <v/>
      </c>
      <c r="AC877" s="22">
        <f>IF(AND($A877="",$B877=""),"",MIN(AB877,IF(N($J877)=0,0,IF(N($J877)=2,AB877,IF(AND($K877&lt;&gt;"Point",N($O877)&gt;0),N($O877),N($M877))))))</f>
        <v/>
      </c>
      <c r="AD877" s="22">
        <f>IF(AND($A877="",$B877=""),"",MAX(0,AB877-AC877))</f>
        <v/>
      </c>
      <c r="AE877" s="21">
        <f>IF(AND($A877="",$B877=""),"",IF(OR($R877&lt;&gt;"",$S877&lt;&gt;""),1,0))</f>
        <v/>
      </c>
      <c r="AF877" s="22">
        <f>IF(AND($A877="",$B877=""),"",IF(Z877=1,IF(AE877=1,N($R877),AD877),0))</f>
        <v/>
      </c>
      <c r="AG877" s="22">
        <f>IF(AND($A877="",$B877=""),"",IF(Z877=1,IF(AE877=1,N($S877),AC877),0))</f>
        <v/>
      </c>
      <c r="AH877" s="21">
        <f>IF(AND($A877="",$B877=""),"",IF(AND(ISNUMBER($I877),N($I877)&gt;0),$I877,0))</f>
        <v/>
      </c>
      <c r="AI877" s="23">
        <f>IF(AND(NOT(AND($A877="",$B877="")),$K877="Point",N($L877)&gt;0),SQRT(N($L877)/PI()),"")</f>
        <v/>
      </c>
      <c r="AJ877" s="21">
        <f>IF(AND($A877="",$B877=""),"",IFERROR(VLOOKUP($G877,Lists!$D$4:$E$15,2,FALSE),"Not reported"))</f>
        <v/>
      </c>
      <c r="AK877" s="21">
        <f>IF(AND($A877="",$B877=""),"",IF($X877&lt;&gt;"",$X877,IF($T877&lt;&gt;"Y","Not assessed",IF(AND(ISNUMBER($V877),Setup!$B$6-$V877&gt;Setup!$B$26),"Assessment outdated",IF(NOT(ISNUMBER($W877)),"Assessed – no score",IF($W877&gt;=Setup!$B$24,"High",IF($W877&gt;=Setup!$B$25,"Moderate","Low")))))))</f>
        <v/>
      </c>
      <c r="AL877" s="21">
        <f>IF(AND($A877="",$B877=""),"",IF(Z877=0,"",IF(AND(AE877=1,N($R877)&gt;AD877*1.01+0.001),"Net terrestrial &gt; gross; ","")&amp;IF(AND(AE877=1,N($S877)&gt;AC877*1.01+0.001),"Net marine &gt; gross; ","")&amp;IF(AE877=0,"No net area – gross used, overlaps may be double-counted; ","")&amp;IF(AH877=0,"STATUS_YR missing – imputed in time series; ","")&amp;IF(AND(ISNUMBER($I877),N($I877)&gt;Setup!$B$6),"STATUS_YR after reporting year; ","")&amp;IF(OR($G877="",$G877="Not Reported"),"GOV_TYPE not reported; ","")&amp;IF(AND(N($J877)=1,$K877="Point",N($M877)&lt;=0),"Coastal point without REP_M_AREA – land/sea split unknown; ","")&amp;IF(AND(N($J877)=0,N($S877)&gt;0),"MARINE=0 but net marine &gt;0; ","")&amp;IF(AND(N($J877)=2,N($R877)&gt;0),"MARINE=2 but net terrestrial &gt;0; ","")&amp;IF($K877="Point","Buffered point – coverage approximate; ","")))</f>
        <v/>
      </c>
    </row>
    <row r="878">
      <c r="A878" s="19" t="n"/>
      <c r="B878" s="19" t="n"/>
      <c r="C878" s="19" t="n"/>
      <c r="D878" s="19" t="n"/>
      <c r="E878" s="19" t="n"/>
      <c r="F878" s="19" t="n"/>
      <c r="G878" s="19" t="n"/>
      <c r="H878" s="19" t="n"/>
      <c r="I878" s="19" t="n"/>
      <c r="J878" s="19" t="n"/>
      <c r="K878" s="19" t="n"/>
      <c r="L878" s="20" t="n"/>
      <c r="M878" s="20" t="n"/>
      <c r="N878" s="20" t="n"/>
      <c r="O878" s="20" t="n"/>
      <c r="P878" s="19" t="n"/>
      <c r="Q878" s="19" t="n"/>
      <c r="R878" s="20" t="n"/>
      <c r="S878" s="20" t="n"/>
      <c r="T878" s="19" t="n"/>
      <c r="U878" s="19" t="n"/>
      <c r="V878" s="19" t="n"/>
      <c r="W878" s="19" t="n"/>
      <c r="X878" s="19" t="n"/>
      <c r="Y878" s="19" t="n"/>
      <c r="Z878" s="21">
        <f>IF(AND($A878="",$B878=""),"",IF(OR($E878="",$H878="",$H878="Proposed",$H878="Not Reported"),0,IF(AND($P878="Y",$Q878&lt;&gt;"Y"),0,IF(AND($K878="Point",N($L878)&lt;=0),0,IF(AND(N($L878)&lt;=0,N($N878)&lt;=0,N($R878)+N($S878)&lt;=0),0,1)))))</f>
        <v/>
      </c>
      <c r="AA878" s="21">
        <f>IF(AND($A878="",$B878=""),"",IF($E878="","Site type missing",IF($H878="","STATUS missing",IF($H878="Proposed","STATUS = Proposed",IF($H878="Not Reported","STATUS = Not Reported",IF(AND($P878="Y",$Q878&lt;&gt;"Y"),"UNESCO-MAB Biosphere Reserve",IF(AND($K878="Point",N($L878)&lt;=0),"Point without REP_AREA",IF(AND(N($L878)&lt;=0,N($N878)&lt;=0,N($R878)+N($S878)&lt;=0),"No area information",""))))))))</f>
        <v/>
      </c>
      <c r="AB878" s="22">
        <f>IF(AND($A878="",$B878=""),"",IF($K878="Point",N($L878),IF(N($N878)&gt;0,N($N878),N($L878))))</f>
        <v/>
      </c>
      <c r="AC878" s="22">
        <f>IF(AND($A878="",$B878=""),"",MIN(AB878,IF(N($J878)=0,0,IF(N($J878)=2,AB878,IF(AND($K878&lt;&gt;"Point",N($O878)&gt;0),N($O878),N($M878))))))</f>
        <v/>
      </c>
      <c r="AD878" s="22">
        <f>IF(AND($A878="",$B878=""),"",MAX(0,AB878-AC878))</f>
        <v/>
      </c>
      <c r="AE878" s="21">
        <f>IF(AND($A878="",$B878=""),"",IF(OR($R878&lt;&gt;"",$S878&lt;&gt;""),1,0))</f>
        <v/>
      </c>
      <c r="AF878" s="22">
        <f>IF(AND($A878="",$B878=""),"",IF(Z878=1,IF(AE878=1,N($R878),AD878),0))</f>
        <v/>
      </c>
      <c r="AG878" s="22">
        <f>IF(AND($A878="",$B878=""),"",IF(Z878=1,IF(AE878=1,N($S878),AC878),0))</f>
        <v/>
      </c>
      <c r="AH878" s="21">
        <f>IF(AND($A878="",$B878=""),"",IF(AND(ISNUMBER($I878),N($I878)&gt;0),$I878,0))</f>
        <v/>
      </c>
      <c r="AI878" s="23">
        <f>IF(AND(NOT(AND($A878="",$B878="")),$K878="Point",N($L878)&gt;0),SQRT(N($L878)/PI()),"")</f>
        <v/>
      </c>
      <c r="AJ878" s="21">
        <f>IF(AND($A878="",$B878=""),"",IFERROR(VLOOKUP($G878,Lists!$D$4:$E$15,2,FALSE),"Not reported"))</f>
        <v/>
      </c>
      <c r="AK878" s="21">
        <f>IF(AND($A878="",$B878=""),"",IF($X878&lt;&gt;"",$X878,IF($T878&lt;&gt;"Y","Not assessed",IF(AND(ISNUMBER($V878),Setup!$B$6-$V878&gt;Setup!$B$26),"Assessment outdated",IF(NOT(ISNUMBER($W878)),"Assessed – no score",IF($W878&gt;=Setup!$B$24,"High",IF($W878&gt;=Setup!$B$25,"Moderate","Low")))))))</f>
        <v/>
      </c>
      <c r="AL878" s="21">
        <f>IF(AND($A878="",$B878=""),"",IF(Z878=0,"",IF(AND(AE878=1,N($R878)&gt;AD878*1.01+0.001),"Net terrestrial &gt; gross; ","")&amp;IF(AND(AE878=1,N($S878)&gt;AC878*1.01+0.001),"Net marine &gt; gross; ","")&amp;IF(AE878=0,"No net area – gross used, overlaps may be double-counted; ","")&amp;IF(AH878=0,"STATUS_YR missing – imputed in time series; ","")&amp;IF(AND(ISNUMBER($I878),N($I878)&gt;Setup!$B$6),"STATUS_YR after reporting year; ","")&amp;IF(OR($G878="",$G878="Not Reported"),"GOV_TYPE not reported; ","")&amp;IF(AND(N($J878)=1,$K878="Point",N($M878)&lt;=0),"Coastal point without REP_M_AREA – land/sea split unknown; ","")&amp;IF(AND(N($J878)=0,N($S878)&gt;0),"MARINE=0 but net marine &gt;0; ","")&amp;IF(AND(N($J878)=2,N($R878)&gt;0),"MARINE=2 but net terrestrial &gt;0; ","")&amp;IF($K878="Point","Buffered point – coverage approximate; ","")))</f>
        <v/>
      </c>
    </row>
    <row r="879">
      <c r="A879" s="19" t="n"/>
      <c r="B879" s="19" t="n"/>
      <c r="C879" s="19" t="n"/>
      <c r="D879" s="19" t="n"/>
      <c r="E879" s="19" t="n"/>
      <c r="F879" s="19" t="n"/>
      <c r="G879" s="19" t="n"/>
      <c r="H879" s="19" t="n"/>
      <c r="I879" s="19" t="n"/>
      <c r="J879" s="19" t="n"/>
      <c r="K879" s="19" t="n"/>
      <c r="L879" s="20" t="n"/>
      <c r="M879" s="20" t="n"/>
      <c r="N879" s="20" t="n"/>
      <c r="O879" s="20" t="n"/>
      <c r="P879" s="19" t="n"/>
      <c r="Q879" s="19" t="n"/>
      <c r="R879" s="20" t="n"/>
      <c r="S879" s="20" t="n"/>
      <c r="T879" s="19" t="n"/>
      <c r="U879" s="19" t="n"/>
      <c r="V879" s="19" t="n"/>
      <c r="W879" s="19" t="n"/>
      <c r="X879" s="19" t="n"/>
      <c r="Y879" s="19" t="n"/>
      <c r="Z879" s="21">
        <f>IF(AND($A879="",$B879=""),"",IF(OR($E879="",$H879="",$H879="Proposed",$H879="Not Reported"),0,IF(AND($P879="Y",$Q879&lt;&gt;"Y"),0,IF(AND($K879="Point",N($L879)&lt;=0),0,IF(AND(N($L879)&lt;=0,N($N879)&lt;=0,N($R879)+N($S879)&lt;=0),0,1)))))</f>
        <v/>
      </c>
      <c r="AA879" s="21">
        <f>IF(AND($A879="",$B879=""),"",IF($E879="","Site type missing",IF($H879="","STATUS missing",IF($H879="Proposed","STATUS = Proposed",IF($H879="Not Reported","STATUS = Not Reported",IF(AND($P879="Y",$Q879&lt;&gt;"Y"),"UNESCO-MAB Biosphere Reserve",IF(AND($K879="Point",N($L879)&lt;=0),"Point without REP_AREA",IF(AND(N($L879)&lt;=0,N($N879)&lt;=0,N($R879)+N($S879)&lt;=0),"No area information",""))))))))</f>
        <v/>
      </c>
      <c r="AB879" s="22">
        <f>IF(AND($A879="",$B879=""),"",IF($K879="Point",N($L879),IF(N($N879)&gt;0,N($N879),N($L879))))</f>
        <v/>
      </c>
      <c r="AC879" s="22">
        <f>IF(AND($A879="",$B879=""),"",MIN(AB879,IF(N($J879)=0,0,IF(N($J879)=2,AB879,IF(AND($K879&lt;&gt;"Point",N($O879)&gt;0),N($O879),N($M879))))))</f>
        <v/>
      </c>
      <c r="AD879" s="22">
        <f>IF(AND($A879="",$B879=""),"",MAX(0,AB879-AC879))</f>
        <v/>
      </c>
      <c r="AE879" s="21">
        <f>IF(AND($A879="",$B879=""),"",IF(OR($R879&lt;&gt;"",$S879&lt;&gt;""),1,0))</f>
        <v/>
      </c>
      <c r="AF879" s="22">
        <f>IF(AND($A879="",$B879=""),"",IF(Z879=1,IF(AE879=1,N($R879),AD879),0))</f>
        <v/>
      </c>
      <c r="AG879" s="22">
        <f>IF(AND($A879="",$B879=""),"",IF(Z879=1,IF(AE879=1,N($S879),AC879),0))</f>
        <v/>
      </c>
      <c r="AH879" s="21">
        <f>IF(AND($A879="",$B879=""),"",IF(AND(ISNUMBER($I879),N($I879)&gt;0),$I879,0))</f>
        <v/>
      </c>
      <c r="AI879" s="23">
        <f>IF(AND(NOT(AND($A879="",$B879="")),$K879="Point",N($L879)&gt;0),SQRT(N($L879)/PI()),"")</f>
        <v/>
      </c>
      <c r="AJ879" s="21">
        <f>IF(AND($A879="",$B879=""),"",IFERROR(VLOOKUP($G879,Lists!$D$4:$E$15,2,FALSE),"Not reported"))</f>
        <v/>
      </c>
      <c r="AK879" s="21">
        <f>IF(AND($A879="",$B879=""),"",IF($X879&lt;&gt;"",$X879,IF($T879&lt;&gt;"Y","Not assessed",IF(AND(ISNUMBER($V879),Setup!$B$6-$V879&gt;Setup!$B$26),"Assessment outdated",IF(NOT(ISNUMBER($W879)),"Assessed – no score",IF($W879&gt;=Setup!$B$24,"High",IF($W879&gt;=Setup!$B$25,"Moderate","Low")))))))</f>
        <v/>
      </c>
      <c r="AL879" s="21">
        <f>IF(AND($A879="",$B879=""),"",IF(Z879=0,"",IF(AND(AE879=1,N($R879)&gt;AD879*1.01+0.001),"Net terrestrial &gt; gross; ","")&amp;IF(AND(AE879=1,N($S879)&gt;AC879*1.01+0.001),"Net marine &gt; gross; ","")&amp;IF(AE879=0,"No net area – gross used, overlaps may be double-counted; ","")&amp;IF(AH879=0,"STATUS_YR missing – imputed in time series; ","")&amp;IF(AND(ISNUMBER($I879),N($I879)&gt;Setup!$B$6),"STATUS_YR after reporting year; ","")&amp;IF(OR($G879="",$G879="Not Reported"),"GOV_TYPE not reported; ","")&amp;IF(AND(N($J879)=1,$K879="Point",N($M879)&lt;=0),"Coastal point without REP_M_AREA – land/sea split unknown; ","")&amp;IF(AND(N($J879)=0,N($S879)&gt;0),"MARINE=0 but net marine &gt;0; ","")&amp;IF(AND(N($J879)=2,N($R879)&gt;0),"MARINE=2 but net terrestrial &gt;0; ","")&amp;IF($K879="Point","Buffered point – coverage approximate; ","")))</f>
        <v/>
      </c>
    </row>
    <row r="880">
      <c r="A880" s="19" t="n"/>
      <c r="B880" s="19" t="n"/>
      <c r="C880" s="19" t="n"/>
      <c r="D880" s="19" t="n"/>
      <c r="E880" s="19" t="n"/>
      <c r="F880" s="19" t="n"/>
      <c r="G880" s="19" t="n"/>
      <c r="H880" s="19" t="n"/>
      <c r="I880" s="19" t="n"/>
      <c r="J880" s="19" t="n"/>
      <c r="K880" s="19" t="n"/>
      <c r="L880" s="20" t="n"/>
      <c r="M880" s="20" t="n"/>
      <c r="N880" s="20" t="n"/>
      <c r="O880" s="20" t="n"/>
      <c r="P880" s="19" t="n"/>
      <c r="Q880" s="19" t="n"/>
      <c r="R880" s="20" t="n"/>
      <c r="S880" s="20" t="n"/>
      <c r="T880" s="19" t="n"/>
      <c r="U880" s="19" t="n"/>
      <c r="V880" s="19" t="n"/>
      <c r="W880" s="19" t="n"/>
      <c r="X880" s="19" t="n"/>
      <c r="Y880" s="19" t="n"/>
      <c r="Z880" s="21">
        <f>IF(AND($A880="",$B880=""),"",IF(OR($E880="",$H880="",$H880="Proposed",$H880="Not Reported"),0,IF(AND($P880="Y",$Q880&lt;&gt;"Y"),0,IF(AND($K880="Point",N($L880)&lt;=0),0,IF(AND(N($L880)&lt;=0,N($N880)&lt;=0,N($R880)+N($S880)&lt;=0),0,1)))))</f>
        <v/>
      </c>
      <c r="AA880" s="21">
        <f>IF(AND($A880="",$B880=""),"",IF($E880="","Site type missing",IF($H880="","STATUS missing",IF($H880="Proposed","STATUS = Proposed",IF($H880="Not Reported","STATUS = Not Reported",IF(AND($P880="Y",$Q880&lt;&gt;"Y"),"UNESCO-MAB Biosphere Reserve",IF(AND($K880="Point",N($L880)&lt;=0),"Point without REP_AREA",IF(AND(N($L880)&lt;=0,N($N880)&lt;=0,N($R880)+N($S880)&lt;=0),"No area information",""))))))))</f>
        <v/>
      </c>
      <c r="AB880" s="22">
        <f>IF(AND($A880="",$B880=""),"",IF($K880="Point",N($L880),IF(N($N880)&gt;0,N($N880),N($L880))))</f>
        <v/>
      </c>
      <c r="AC880" s="22">
        <f>IF(AND($A880="",$B880=""),"",MIN(AB880,IF(N($J880)=0,0,IF(N($J880)=2,AB880,IF(AND($K880&lt;&gt;"Point",N($O880)&gt;0),N($O880),N($M880))))))</f>
        <v/>
      </c>
      <c r="AD880" s="22">
        <f>IF(AND($A880="",$B880=""),"",MAX(0,AB880-AC880))</f>
        <v/>
      </c>
      <c r="AE880" s="21">
        <f>IF(AND($A880="",$B880=""),"",IF(OR($R880&lt;&gt;"",$S880&lt;&gt;""),1,0))</f>
        <v/>
      </c>
      <c r="AF880" s="22">
        <f>IF(AND($A880="",$B880=""),"",IF(Z880=1,IF(AE880=1,N($R880),AD880),0))</f>
        <v/>
      </c>
      <c r="AG880" s="22">
        <f>IF(AND($A880="",$B880=""),"",IF(Z880=1,IF(AE880=1,N($S880),AC880),0))</f>
        <v/>
      </c>
      <c r="AH880" s="21">
        <f>IF(AND($A880="",$B880=""),"",IF(AND(ISNUMBER($I880),N($I880)&gt;0),$I880,0))</f>
        <v/>
      </c>
      <c r="AI880" s="23">
        <f>IF(AND(NOT(AND($A880="",$B880="")),$K880="Point",N($L880)&gt;0),SQRT(N($L880)/PI()),"")</f>
        <v/>
      </c>
      <c r="AJ880" s="21">
        <f>IF(AND($A880="",$B880=""),"",IFERROR(VLOOKUP($G880,Lists!$D$4:$E$15,2,FALSE),"Not reported"))</f>
        <v/>
      </c>
      <c r="AK880" s="21">
        <f>IF(AND($A880="",$B880=""),"",IF($X880&lt;&gt;"",$X880,IF($T880&lt;&gt;"Y","Not assessed",IF(AND(ISNUMBER($V880),Setup!$B$6-$V880&gt;Setup!$B$26),"Assessment outdated",IF(NOT(ISNUMBER($W880)),"Assessed – no score",IF($W880&gt;=Setup!$B$24,"High",IF($W880&gt;=Setup!$B$25,"Moderate","Low")))))))</f>
        <v/>
      </c>
      <c r="AL880" s="21">
        <f>IF(AND($A880="",$B880=""),"",IF(Z880=0,"",IF(AND(AE880=1,N($R880)&gt;AD880*1.01+0.001),"Net terrestrial &gt; gross; ","")&amp;IF(AND(AE880=1,N($S880)&gt;AC880*1.01+0.001),"Net marine &gt; gross; ","")&amp;IF(AE880=0,"No net area – gross used, overlaps may be double-counted; ","")&amp;IF(AH880=0,"STATUS_YR missing – imputed in time series; ","")&amp;IF(AND(ISNUMBER($I880),N($I880)&gt;Setup!$B$6),"STATUS_YR after reporting year; ","")&amp;IF(OR($G880="",$G880="Not Reported"),"GOV_TYPE not reported; ","")&amp;IF(AND(N($J880)=1,$K880="Point",N($M880)&lt;=0),"Coastal point without REP_M_AREA – land/sea split unknown; ","")&amp;IF(AND(N($J880)=0,N($S880)&gt;0),"MARINE=0 but net marine &gt;0; ","")&amp;IF(AND(N($J880)=2,N($R880)&gt;0),"MARINE=2 but net terrestrial &gt;0; ","")&amp;IF($K880="Point","Buffered point – coverage approximate; ","")))</f>
        <v/>
      </c>
    </row>
    <row r="881">
      <c r="A881" s="19" t="n"/>
      <c r="B881" s="19" t="n"/>
      <c r="C881" s="19" t="n"/>
      <c r="D881" s="19" t="n"/>
      <c r="E881" s="19" t="n"/>
      <c r="F881" s="19" t="n"/>
      <c r="G881" s="19" t="n"/>
      <c r="H881" s="19" t="n"/>
      <c r="I881" s="19" t="n"/>
      <c r="J881" s="19" t="n"/>
      <c r="K881" s="19" t="n"/>
      <c r="L881" s="20" t="n"/>
      <c r="M881" s="20" t="n"/>
      <c r="N881" s="20" t="n"/>
      <c r="O881" s="20" t="n"/>
      <c r="P881" s="19" t="n"/>
      <c r="Q881" s="19" t="n"/>
      <c r="R881" s="20" t="n"/>
      <c r="S881" s="20" t="n"/>
      <c r="T881" s="19" t="n"/>
      <c r="U881" s="19" t="n"/>
      <c r="V881" s="19" t="n"/>
      <c r="W881" s="19" t="n"/>
      <c r="X881" s="19" t="n"/>
      <c r="Y881" s="19" t="n"/>
      <c r="Z881" s="21">
        <f>IF(AND($A881="",$B881=""),"",IF(OR($E881="",$H881="",$H881="Proposed",$H881="Not Reported"),0,IF(AND($P881="Y",$Q881&lt;&gt;"Y"),0,IF(AND($K881="Point",N($L881)&lt;=0),0,IF(AND(N($L881)&lt;=0,N($N881)&lt;=0,N($R881)+N($S881)&lt;=0),0,1)))))</f>
        <v/>
      </c>
      <c r="AA881" s="21">
        <f>IF(AND($A881="",$B881=""),"",IF($E881="","Site type missing",IF($H881="","STATUS missing",IF($H881="Proposed","STATUS = Proposed",IF($H881="Not Reported","STATUS = Not Reported",IF(AND($P881="Y",$Q881&lt;&gt;"Y"),"UNESCO-MAB Biosphere Reserve",IF(AND($K881="Point",N($L881)&lt;=0),"Point without REP_AREA",IF(AND(N($L881)&lt;=0,N($N881)&lt;=0,N($R881)+N($S881)&lt;=0),"No area information",""))))))))</f>
        <v/>
      </c>
      <c r="AB881" s="22">
        <f>IF(AND($A881="",$B881=""),"",IF($K881="Point",N($L881),IF(N($N881)&gt;0,N($N881),N($L881))))</f>
        <v/>
      </c>
      <c r="AC881" s="22">
        <f>IF(AND($A881="",$B881=""),"",MIN(AB881,IF(N($J881)=0,0,IF(N($J881)=2,AB881,IF(AND($K881&lt;&gt;"Point",N($O881)&gt;0),N($O881),N($M881))))))</f>
        <v/>
      </c>
      <c r="AD881" s="22">
        <f>IF(AND($A881="",$B881=""),"",MAX(0,AB881-AC881))</f>
        <v/>
      </c>
      <c r="AE881" s="21">
        <f>IF(AND($A881="",$B881=""),"",IF(OR($R881&lt;&gt;"",$S881&lt;&gt;""),1,0))</f>
        <v/>
      </c>
      <c r="AF881" s="22">
        <f>IF(AND($A881="",$B881=""),"",IF(Z881=1,IF(AE881=1,N($R881),AD881),0))</f>
        <v/>
      </c>
      <c r="AG881" s="22">
        <f>IF(AND($A881="",$B881=""),"",IF(Z881=1,IF(AE881=1,N($S881),AC881),0))</f>
        <v/>
      </c>
      <c r="AH881" s="21">
        <f>IF(AND($A881="",$B881=""),"",IF(AND(ISNUMBER($I881),N($I881)&gt;0),$I881,0))</f>
        <v/>
      </c>
      <c r="AI881" s="23">
        <f>IF(AND(NOT(AND($A881="",$B881="")),$K881="Point",N($L881)&gt;0),SQRT(N($L881)/PI()),"")</f>
        <v/>
      </c>
      <c r="AJ881" s="21">
        <f>IF(AND($A881="",$B881=""),"",IFERROR(VLOOKUP($G881,Lists!$D$4:$E$15,2,FALSE),"Not reported"))</f>
        <v/>
      </c>
      <c r="AK881" s="21">
        <f>IF(AND($A881="",$B881=""),"",IF($X881&lt;&gt;"",$X881,IF($T881&lt;&gt;"Y","Not assessed",IF(AND(ISNUMBER($V881),Setup!$B$6-$V881&gt;Setup!$B$26),"Assessment outdated",IF(NOT(ISNUMBER($W881)),"Assessed – no score",IF($W881&gt;=Setup!$B$24,"High",IF($W881&gt;=Setup!$B$25,"Moderate","Low")))))))</f>
        <v/>
      </c>
      <c r="AL881" s="21">
        <f>IF(AND($A881="",$B881=""),"",IF(Z881=0,"",IF(AND(AE881=1,N($R881)&gt;AD881*1.01+0.001),"Net terrestrial &gt; gross; ","")&amp;IF(AND(AE881=1,N($S881)&gt;AC881*1.01+0.001),"Net marine &gt; gross; ","")&amp;IF(AE881=0,"No net area – gross used, overlaps may be double-counted; ","")&amp;IF(AH881=0,"STATUS_YR missing – imputed in time series; ","")&amp;IF(AND(ISNUMBER($I881),N($I881)&gt;Setup!$B$6),"STATUS_YR after reporting year; ","")&amp;IF(OR($G881="",$G881="Not Reported"),"GOV_TYPE not reported; ","")&amp;IF(AND(N($J881)=1,$K881="Point",N($M881)&lt;=0),"Coastal point without REP_M_AREA – land/sea split unknown; ","")&amp;IF(AND(N($J881)=0,N($S881)&gt;0),"MARINE=0 but net marine &gt;0; ","")&amp;IF(AND(N($J881)=2,N($R881)&gt;0),"MARINE=2 but net terrestrial &gt;0; ","")&amp;IF($K881="Point","Buffered point – coverage approximate; ","")))</f>
        <v/>
      </c>
    </row>
    <row r="882">
      <c r="A882" s="19" t="n"/>
      <c r="B882" s="19" t="n"/>
      <c r="C882" s="19" t="n"/>
      <c r="D882" s="19" t="n"/>
      <c r="E882" s="19" t="n"/>
      <c r="F882" s="19" t="n"/>
      <c r="G882" s="19" t="n"/>
      <c r="H882" s="19" t="n"/>
      <c r="I882" s="19" t="n"/>
      <c r="J882" s="19" t="n"/>
      <c r="K882" s="19" t="n"/>
      <c r="L882" s="20" t="n"/>
      <c r="M882" s="20" t="n"/>
      <c r="N882" s="20" t="n"/>
      <c r="O882" s="20" t="n"/>
      <c r="P882" s="19" t="n"/>
      <c r="Q882" s="19" t="n"/>
      <c r="R882" s="20" t="n"/>
      <c r="S882" s="20" t="n"/>
      <c r="T882" s="19" t="n"/>
      <c r="U882" s="19" t="n"/>
      <c r="V882" s="19" t="n"/>
      <c r="W882" s="19" t="n"/>
      <c r="X882" s="19" t="n"/>
      <c r="Y882" s="19" t="n"/>
      <c r="Z882" s="21">
        <f>IF(AND($A882="",$B882=""),"",IF(OR($E882="",$H882="",$H882="Proposed",$H882="Not Reported"),0,IF(AND($P882="Y",$Q882&lt;&gt;"Y"),0,IF(AND($K882="Point",N($L882)&lt;=0),0,IF(AND(N($L882)&lt;=0,N($N882)&lt;=0,N($R882)+N($S882)&lt;=0),0,1)))))</f>
        <v/>
      </c>
      <c r="AA882" s="21">
        <f>IF(AND($A882="",$B882=""),"",IF($E882="","Site type missing",IF($H882="","STATUS missing",IF($H882="Proposed","STATUS = Proposed",IF($H882="Not Reported","STATUS = Not Reported",IF(AND($P882="Y",$Q882&lt;&gt;"Y"),"UNESCO-MAB Biosphere Reserve",IF(AND($K882="Point",N($L882)&lt;=0),"Point without REP_AREA",IF(AND(N($L882)&lt;=0,N($N882)&lt;=0,N($R882)+N($S882)&lt;=0),"No area information",""))))))))</f>
        <v/>
      </c>
      <c r="AB882" s="22">
        <f>IF(AND($A882="",$B882=""),"",IF($K882="Point",N($L882),IF(N($N882)&gt;0,N($N882),N($L882))))</f>
        <v/>
      </c>
      <c r="AC882" s="22">
        <f>IF(AND($A882="",$B882=""),"",MIN(AB882,IF(N($J882)=0,0,IF(N($J882)=2,AB882,IF(AND($K882&lt;&gt;"Point",N($O882)&gt;0),N($O882),N($M882))))))</f>
        <v/>
      </c>
      <c r="AD882" s="22">
        <f>IF(AND($A882="",$B882=""),"",MAX(0,AB882-AC882))</f>
        <v/>
      </c>
      <c r="AE882" s="21">
        <f>IF(AND($A882="",$B882=""),"",IF(OR($R882&lt;&gt;"",$S882&lt;&gt;""),1,0))</f>
        <v/>
      </c>
      <c r="AF882" s="22">
        <f>IF(AND($A882="",$B882=""),"",IF(Z882=1,IF(AE882=1,N($R882),AD882),0))</f>
        <v/>
      </c>
      <c r="AG882" s="22">
        <f>IF(AND($A882="",$B882=""),"",IF(Z882=1,IF(AE882=1,N($S882),AC882),0))</f>
        <v/>
      </c>
      <c r="AH882" s="21">
        <f>IF(AND($A882="",$B882=""),"",IF(AND(ISNUMBER($I882),N($I882)&gt;0),$I882,0))</f>
        <v/>
      </c>
      <c r="AI882" s="23">
        <f>IF(AND(NOT(AND($A882="",$B882="")),$K882="Point",N($L882)&gt;0),SQRT(N($L882)/PI()),"")</f>
        <v/>
      </c>
      <c r="AJ882" s="21">
        <f>IF(AND($A882="",$B882=""),"",IFERROR(VLOOKUP($G882,Lists!$D$4:$E$15,2,FALSE),"Not reported"))</f>
        <v/>
      </c>
      <c r="AK882" s="21">
        <f>IF(AND($A882="",$B882=""),"",IF($X882&lt;&gt;"",$X882,IF($T882&lt;&gt;"Y","Not assessed",IF(AND(ISNUMBER($V882),Setup!$B$6-$V882&gt;Setup!$B$26),"Assessment outdated",IF(NOT(ISNUMBER($W882)),"Assessed – no score",IF($W882&gt;=Setup!$B$24,"High",IF($W882&gt;=Setup!$B$25,"Moderate","Low")))))))</f>
        <v/>
      </c>
      <c r="AL882" s="21">
        <f>IF(AND($A882="",$B882=""),"",IF(Z882=0,"",IF(AND(AE882=1,N($R882)&gt;AD882*1.01+0.001),"Net terrestrial &gt; gross; ","")&amp;IF(AND(AE882=1,N($S882)&gt;AC882*1.01+0.001),"Net marine &gt; gross; ","")&amp;IF(AE882=0,"No net area – gross used, overlaps may be double-counted; ","")&amp;IF(AH882=0,"STATUS_YR missing – imputed in time series; ","")&amp;IF(AND(ISNUMBER($I882),N($I882)&gt;Setup!$B$6),"STATUS_YR after reporting year; ","")&amp;IF(OR($G882="",$G882="Not Reported"),"GOV_TYPE not reported; ","")&amp;IF(AND(N($J882)=1,$K882="Point",N($M882)&lt;=0),"Coastal point without REP_M_AREA – land/sea split unknown; ","")&amp;IF(AND(N($J882)=0,N($S882)&gt;0),"MARINE=0 but net marine &gt;0; ","")&amp;IF(AND(N($J882)=2,N($R882)&gt;0),"MARINE=2 but net terrestrial &gt;0; ","")&amp;IF($K882="Point","Buffered point – coverage approximate; ","")))</f>
        <v/>
      </c>
    </row>
    <row r="883">
      <c r="A883" s="19" t="n"/>
      <c r="B883" s="19" t="n"/>
      <c r="C883" s="19" t="n"/>
      <c r="D883" s="19" t="n"/>
      <c r="E883" s="19" t="n"/>
      <c r="F883" s="19" t="n"/>
      <c r="G883" s="19" t="n"/>
      <c r="H883" s="19" t="n"/>
      <c r="I883" s="19" t="n"/>
      <c r="J883" s="19" t="n"/>
      <c r="K883" s="19" t="n"/>
      <c r="L883" s="20" t="n"/>
      <c r="M883" s="20" t="n"/>
      <c r="N883" s="20" t="n"/>
      <c r="O883" s="20" t="n"/>
      <c r="P883" s="19" t="n"/>
      <c r="Q883" s="19" t="n"/>
      <c r="R883" s="20" t="n"/>
      <c r="S883" s="20" t="n"/>
      <c r="T883" s="19" t="n"/>
      <c r="U883" s="19" t="n"/>
      <c r="V883" s="19" t="n"/>
      <c r="W883" s="19" t="n"/>
      <c r="X883" s="19" t="n"/>
      <c r="Y883" s="19" t="n"/>
      <c r="Z883" s="21">
        <f>IF(AND($A883="",$B883=""),"",IF(OR($E883="",$H883="",$H883="Proposed",$H883="Not Reported"),0,IF(AND($P883="Y",$Q883&lt;&gt;"Y"),0,IF(AND($K883="Point",N($L883)&lt;=0),0,IF(AND(N($L883)&lt;=0,N($N883)&lt;=0,N($R883)+N($S883)&lt;=0),0,1)))))</f>
        <v/>
      </c>
      <c r="AA883" s="21">
        <f>IF(AND($A883="",$B883=""),"",IF($E883="","Site type missing",IF($H883="","STATUS missing",IF($H883="Proposed","STATUS = Proposed",IF($H883="Not Reported","STATUS = Not Reported",IF(AND($P883="Y",$Q883&lt;&gt;"Y"),"UNESCO-MAB Biosphere Reserve",IF(AND($K883="Point",N($L883)&lt;=0),"Point without REP_AREA",IF(AND(N($L883)&lt;=0,N($N883)&lt;=0,N($R883)+N($S883)&lt;=0),"No area information",""))))))))</f>
        <v/>
      </c>
      <c r="AB883" s="22">
        <f>IF(AND($A883="",$B883=""),"",IF($K883="Point",N($L883),IF(N($N883)&gt;0,N($N883),N($L883))))</f>
        <v/>
      </c>
      <c r="AC883" s="22">
        <f>IF(AND($A883="",$B883=""),"",MIN(AB883,IF(N($J883)=0,0,IF(N($J883)=2,AB883,IF(AND($K883&lt;&gt;"Point",N($O883)&gt;0),N($O883),N($M883))))))</f>
        <v/>
      </c>
      <c r="AD883" s="22">
        <f>IF(AND($A883="",$B883=""),"",MAX(0,AB883-AC883))</f>
        <v/>
      </c>
      <c r="AE883" s="21">
        <f>IF(AND($A883="",$B883=""),"",IF(OR($R883&lt;&gt;"",$S883&lt;&gt;""),1,0))</f>
        <v/>
      </c>
      <c r="AF883" s="22">
        <f>IF(AND($A883="",$B883=""),"",IF(Z883=1,IF(AE883=1,N($R883),AD883),0))</f>
        <v/>
      </c>
      <c r="AG883" s="22">
        <f>IF(AND($A883="",$B883=""),"",IF(Z883=1,IF(AE883=1,N($S883),AC883),0))</f>
        <v/>
      </c>
      <c r="AH883" s="21">
        <f>IF(AND($A883="",$B883=""),"",IF(AND(ISNUMBER($I883),N($I883)&gt;0),$I883,0))</f>
        <v/>
      </c>
      <c r="AI883" s="23">
        <f>IF(AND(NOT(AND($A883="",$B883="")),$K883="Point",N($L883)&gt;0),SQRT(N($L883)/PI()),"")</f>
        <v/>
      </c>
      <c r="AJ883" s="21">
        <f>IF(AND($A883="",$B883=""),"",IFERROR(VLOOKUP($G883,Lists!$D$4:$E$15,2,FALSE),"Not reported"))</f>
        <v/>
      </c>
      <c r="AK883" s="21">
        <f>IF(AND($A883="",$B883=""),"",IF($X883&lt;&gt;"",$X883,IF($T883&lt;&gt;"Y","Not assessed",IF(AND(ISNUMBER($V883),Setup!$B$6-$V883&gt;Setup!$B$26),"Assessment outdated",IF(NOT(ISNUMBER($W883)),"Assessed – no score",IF($W883&gt;=Setup!$B$24,"High",IF($W883&gt;=Setup!$B$25,"Moderate","Low")))))))</f>
        <v/>
      </c>
      <c r="AL883" s="21">
        <f>IF(AND($A883="",$B883=""),"",IF(Z883=0,"",IF(AND(AE883=1,N($R883)&gt;AD883*1.01+0.001),"Net terrestrial &gt; gross; ","")&amp;IF(AND(AE883=1,N($S883)&gt;AC883*1.01+0.001),"Net marine &gt; gross; ","")&amp;IF(AE883=0,"No net area – gross used, overlaps may be double-counted; ","")&amp;IF(AH883=0,"STATUS_YR missing – imputed in time series; ","")&amp;IF(AND(ISNUMBER($I883),N($I883)&gt;Setup!$B$6),"STATUS_YR after reporting year; ","")&amp;IF(OR($G883="",$G883="Not Reported"),"GOV_TYPE not reported; ","")&amp;IF(AND(N($J883)=1,$K883="Point",N($M883)&lt;=0),"Coastal point without REP_M_AREA – land/sea split unknown; ","")&amp;IF(AND(N($J883)=0,N($S883)&gt;0),"MARINE=0 but net marine &gt;0; ","")&amp;IF(AND(N($J883)=2,N($R883)&gt;0),"MARINE=2 but net terrestrial &gt;0; ","")&amp;IF($K883="Point","Buffered point – coverage approximate; ","")))</f>
        <v/>
      </c>
    </row>
    <row r="884">
      <c r="A884" s="19" t="n"/>
      <c r="B884" s="19" t="n"/>
      <c r="C884" s="19" t="n"/>
      <c r="D884" s="19" t="n"/>
      <c r="E884" s="19" t="n"/>
      <c r="F884" s="19" t="n"/>
      <c r="G884" s="19" t="n"/>
      <c r="H884" s="19" t="n"/>
      <c r="I884" s="19" t="n"/>
      <c r="J884" s="19" t="n"/>
      <c r="K884" s="19" t="n"/>
      <c r="L884" s="20" t="n"/>
      <c r="M884" s="20" t="n"/>
      <c r="N884" s="20" t="n"/>
      <c r="O884" s="20" t="n"/>
      <c r="P884" s="19" t="n"/>
      <c r="Q884" s="19" t="n"/>
      <c r="R884" s="20" t="n"/>
      <c r="S884" s="20" t="n"/>
      <c r="T884" s="19" t="n"/>
      <c r="U884" s="19" t="n"/>
      <c r="V884" s="19" t="n"/>
      <c r="W884" s="19" t="n"/>
      <c r="X884" s="19" t="n"/>
      <c r="Y884" s="19" t="n"/>
      <c r="Z884" s="21">
        <f>IF(AND($A884="",$B884=""),"",IF(OR($E884="",$H884="",$H884="Proposed",$H884="Not Reported"),0,IF(AND($P884="Y",$Q884&lt;&gt;"Y"),0,IF(AND($K884="Point",N($L884)&lt;=0),0,IF(AND(N($L884)&lt;=0,N($N884)&lt;=0,N($R884)+N($S884)&lt;=0),0,1)))))</f>
        <v/>
      </c>
      <c r="AA884" s="21">
        <f>IF(AND($A884="",$B884=""),"",IF($E884="","Site type missing",IF($H884="","STATUS missing",IF($H884="Proposed","STATUS = Proposed",IF($H884="Not Reported","STATUS = Not Reported",IF(AND($P884="Y",$Q884&lt;&gt;"Y"),"UNESCO-MAB Biosphere Reserve",IF(AND($K884="Point",N($L884)&lt;=0),"Point without REP_AREA",IF(AND(N($L884)&lt;=0,N($N884)&lt;=0,N($R884)+N($S884)&lt;=0),"No area information",""))))))))</f>
        <v/>
      </c>
      <c r="AB884" s="22">
        <f>IF(AND($A884="",$B884=""),"",IF($K884="Point",N($L884),IF(N($N884)&gt;0,N($N884),N($L884))))</f>
        <v/>
      </c>
      <c r="AC884" s="22">
        <f>IF(AND($A884="",$B884=""),"",MIN(AB884,IF(N($J884)=0,0,IF(N($J884)=2,AB884,IF(AND($K884&lt;&gt;"Point",N($O884)&gt;0),N($O884),N($M884))))))</f>
        <v/>
      </c>
      <c r="AD884" s="22">
        <f>IF(AND($A884="",$B884=""),"",MAX(0,AB884-AC884))</f>
        <v/>
      </c>
      <c r="AE884" s="21">
        <f>IF(AND($A884="",$B884=""),"",IF(OR($R884&lt;&gt;"",$S884&lt;&gt;""),1,0))</f>
        <v/>
      </c>
      <c r="AF884" s="22">
        <f>IF(AND($A884="",$B884=""),"",IF(Z884=1,IF(AE884=1,N($R884),AD884),0))</f>
        <v/>
      </c>
      <c r="AG884" s="22">
        <f>IF(AND($A884="",$B884=""),"",IF(Z884=1,IF(AE884=1,N($S884),AC884),0))</f>
        <v/>
      </c>
      <c r="AH884" s="21">
        <f>IF(AND($A884="",$B884=""),"",IF(AND(ISNUMBER($I884),N($I884)&gt;0),$I884,0))</f>
        <v/>
      </c>
      <c r="AI884" s="23">
        <f>IF(AND(NOT(AND($A884="",$B884="")),$K884="Point",N($L884)&gt;0),SQRT(N($L884)/PI()),"")</f>
        <v/>
      </c>
      <c r="AJ884" s="21">
        <f>IF(AND($A884="",$B884=""),"",IFERROR(VLOOKUP($G884,Lists!$D$4:$E$15,2,FALSE),"Not reported"))</f>
        <v/>
      </c>
      <c r="AK884" s="21">
        <f>IF(AND($A884="",$B884=""),"",IF($X884&lt;&gt;"",$X884,IF($T884&lt;&gt;"Y","Not assessed",IF(AND(ISNUMBER($V884),Setup!$B$6-$V884&gt;Setup!$B$26),"Assessment outdated",IF(NOT(ISNUMBER($W884)),"Assessed – no score",IF($W884&gt;=Setup!$B$24,"High",IF($W884&gt;=Setup!$B$25,"Moderate","Low")))))))</f>
        <v/>
      </c>
      <c r="AL884" s="21">
        <f>IF(AND($A884="",$B884=""),"",IF(Z884=0,"",IF(AND(AE884=1,N($R884)&gt;AD884*1.01+0.001),"Net terrestrial &gt; gross; ","")&amp;IF(AND(AE884=1,N($S884)&gt;AC884*1.01+0.001),"Net marine &gt; gross; ","")&amp;IF(AE884=0,"No net area – gross used, overlaps may be double-counted; ","")&amp;IF(AH884=0,"STATUS_YR missing – imputed in time series; ","")&amp;IF(AND(ISNUMBER($I884),N($I884)&gt;Setup!$B$6),"STATUS_YR after reporting year; ","")&amp;IF(OR($G884="",$G884="Not Reported"),"GOV_TYPE not reported; ","")&amp;IF(AND(N($J884)=1,$K884="Point",N($M884)&lt;=0),"Coastal point without REP_M_AREA – land/sea split unknown; ","")&amp;IF(AND(N($J884)=0,N($S884)&gt;0),"MARINE=0 but net marine &gt;0; ","")&amp;IF(AND(N($J884)=2,N($R884)&gt;0),"MARINE=2 but net terrestrial &gt;0; ","")&amp;IF($K884="Point","Buffered point – coverage approximate; ","")))</f>
        <v/>
      </c>
    </row>
    <row r="885">
      <c r="A885" s="19" t="n"/>
      <c r="B885" s="19" t="n"/>
      <c r="C885" s="19" t="n"/>
      <c r="D885" s="19" t="n"/>
      <c r="E885" s="19" t="n"/>
      <c r="F885" s="19" t="n"/>
      <c r="G885" s="19" t="n"/>
      <c r="H885" s="19" t="n"/>
      <c r="I885" s="19" t="n"/>
      <c r="J885" s="19" t="n"/>
      <c r="K885" s="19" t="n"/>
      <c r="L885" s="20" t="n"/>
      <c r="M885" s="20" t="n"/>
      <c r="N885" s="20" t="n"/>
      <c r="O885" s="20" t="n"/>
      <c r="P885" s="19" t="n"/>
      <c r="Q885" s="19" t="n"/>
      <c r="R885" s="20" t="n"/>
      <c r="S885" s="20" t="n"/>
      <c r="T885" s="19" t="n"/>
      <c r="U885" s="19" t="n"/>
      <c r="V885" s="19" t="n"/>
      <c r="W885" s="19" t="n"/>
      <c r="X885" s="19" t="n"/>
      <c r="Y885" s="19" t="n"/>
      <c r="Z885" s="21">
        <f>IF(AND($A885="",$B885=""),"",IF(OR($E885="",$H885="",$H885="Proposed",$H885="Not Reported"),0,IF(AND($P885="Y",$Q885&lt;&gt;"Y"),0,IF(AND($K885="Point",N($L885)&lt;=0),0,IF(AND(N($L885)&lt;=0,N($N885)&lt;=0,N($R885)+N($S885)&lt;=0),0,1)))))</f>
        <v/>
      </c>
      <c r="AA885" s="21">
        <f>IF(AND($A885="",$B885=""),"",IF($E885="","Site type missing",IF($H885="","STATUS missing",IF($H885="Proposed","STATUS = Proposed",IF($H885="Not Reported","STATUS = Not Reported",IF(AND($P885="Y",$Q885&lt;&gt;"Y"),"UNESCO-MAB Biosphere Reserve",IF(AND($K885="Point",N($L885)&lt;=0),"Point without REP_AREA",IF(AND(N($L885)&lt;=0,N($N885)&lt;=0,N($R885)+N($S885)&lt;=0),"No area information",""))))))))</f>
        <v/>
      </c>
      <c r="AB885" s="22">
        <f>IF(AND($A885="",$B885=""),"",IF($K885="Point",N($L885),IF(N($N885)&gt;0,N($N885),N($L885))))</f>
        <v/>
      </c>
      <c r="AC885" s="22">
        <f>IF(AND($A885="",$B885=""),"",MIN(AB885,IF(N($J885)=0,0,IF(N($J885)=2,AB885,IF(AND($K885&lt;&gt;"Point",N($O885)&gt;0),N($O885),N($M885))))))</f>
        <v/>
      </c>
      <c r="AD885" s="22">
        <f>IF(AND($A885="",$B885=""),"",MAX(0,AB885-AC885))</f>
        <v/>
      </c>
      <c r="AE885" s="21">
        <f>IF(AND($A885="",$B885=""),"",IF(OR($R885&lt;&gt;"",$S885&lt;&gt;""),1,0))</f>
        <v/>
      </c>
      <c r="AF885" s="22">
        <f>IF(AND($A885="",$B885=""),"",IF(Z885=1,IF(AE885=1,N($R885),AD885),0))</f>
        <v/>
      </c>
      <c r="AG885" s="22">
        <f>IF(AND($A885="",$B885=""),"",IF(Z885=1,IF(AE885=1,N($S885),AC885),0))</f>
        <v/>
      </c>
      <c r="AH885" s="21">
        <f>IF(AND($A885="",$B885=""),"",IF(AND(ISNUMBER($I885),N($I885)&gt;0),$I885,0))</f>
        <v/>
      </c>
      <c r="AI885" s="23">
        <f>IF(AND(NOT(AND($A885="",$B885="")),$K885="Point",N($L885)&gt;0),SQRT(N($L885)/PI()),"")</f>
        <v/>
      </c>
      <c r="AJ885" s="21">
        <f>IF(AND($A885="",$B885=""),"",IFERROR(VLOOKUP($G885,Lists!$D$4:$E$15,2,FALSE),"Not reported"))</f>
        <v/>
      </c>
      <c r="AK885" s="21">
        <f>IF(AND($A885="",$B885=""),"",IF($X885&lt;&gt;"",$X885,IF($T885&lt;&gt;"Y","Not assessed",IF(AND(ISNUMBER($V885),Setup!$B$6-$V885&gt;Setup!$B$26),"Assessment outdated",IF(NOT(ISNUMBER($W885)),"Assessed – no score",IF($W885&gt;=Setup!$B$24,"High",IF($W885&gt;=Setup!$B$25,"Moderate","Low")))))))</f>
        <v/>
      </c>
      <c r="AL885" s="21">
        <f>IF(AND($A885="",$B885=""),"",IF(Z885=0,"",IF(AND(AE885=1,N($R885)&gt;AD885*1.01+0.001),"Net terrestrial &gt; gross; ","")&amp;IF(AND(AE885=1,N($S885)&gt;AC885*1.01+0.001),"Net marine &gt; gross; ","")&amp;IF(AE885=0,"No net area – gross used, overlaps may be double-counted; ","")&amp;IF(AH885=0,"STATUS_YR missing – imputed in time series; ","")&amp;IF(AND(ISNUMBER($I885),N($I885)&gt;Setup!$B$6),"STATUS_YR after reporting year; ","")&amp;IF(OR($G885="",$G885="Not Reported"),"GOV_TYPE not reported; ","")&amp;IF(AND(N($J885)=1,$K885="Point",N($M885)&lt;=0),"Coastal point without REP_M_AREA – land/sea split unknown; ","")&amp;IF(AND(N($J885)=0,N($S885)&gt;0),"MARINE=0 but net marine &gt;0; ","")&amp;IF(AND(N($J885)=2,N($R885)&gt;0),"MARINE=2 but net terrestrial &gt;0; ","")&amp;IF($K885="Point","Buffered point – coverage approximate; ","")))</f>
        <v/>
      </c>
    </row>
    <row r="886">
      <c r="A886" s="19" t="n"/>
      <c r="B886" s="19" t="n"/>
      <c r="C886" s="19" t="n"/>
      <c r="D886" s="19" t="n"/>
      <c r="E886" s="19" t="n"/>
      <c r="F886" s="19" t="n"/>
      <c r="G886" s="19" t="n"/>
      <c r="H886" s="19" t="n"/>
      <c r="I886" s="19" t="n"/>
      <c r="J886" s="19" t="n"/>
      <c r="K886" s="19" t="n"/>
      <c r="L886" s="20" t="n"/>
      <c r="M886" s="20" t="n"/>
      <c r="N886" s="20" t="n"/>
      <c r="O886" s="20" t="n"/>
      <c r="P886" s="19" t="n"/>
      <c r="Q886" s="19" t="n"/>
      <c r="R886" s="20" t="n"/>
      <c r="S886" s="20" t="n"/>
      <c r="T886" s="19" t="n"/>
      <c r="U886" s="19" t="n"/>
      <c r="V886" s="19" t="n"/>
      <c r="W886" s="19" t="n"/>
      <c r="X886" s="19" t="n"/>
      <c r="Y886" s="19" t="n"/>
      <c r="Z886" s="21">
        <f>IF(AND($A886="",$B886=""),"",IF(OR($E886="",$H886="",$H886="Proposed",$H886="Not Reported"),0,IF(AND($P886="Y",$Q886&lt;&gt;"Y"),0,IF(AND($K886="Point",N($L886)&lt;=0),0,IF(AND(N($L886)&lt;=0,N($N886)&lt;=0,N($R886)+N($S886)&lt;=0),0,1)))))</f>
        <v/>
      </c>
      <c r="AA886" s="21">
        <f>IF(AND($A886="",$B886=""),"",IF($E886="","Site type missing",IF($H886="","STATUS missing",IF($H886="Proposed","STATUS = Proposed",IF($H886="Not Reported","STATUS = Not Reported",IF(AND($P886="Y",$Q886&lt;&gt;"Y"),"UNESCO-MAB Biosphere Reserve",IF(AND($K886="Point",N($L886)&lt;=0),"Point without REP_AREA",IF(AND(N($L886)&lt;=0,N($N886)&lt;=0,N($R886)+N($S886)&lt;=0),"No area information",""))))))))</f>
        <v/>
      </c>
      <c r="AB886" s="22">
        <f>IF(AND($A886="",$B886=""),"",IF($K886="Point",N($L886),IF(N($N886)&gt;0,N($N886),N($L886))))</f>
        <v/>
      </c>
      <c r="AC886" s="22">
        <f>IF(AND($A886="",$B886=""),"",MIN(AB886,IF(N($J886)=0,0,IF(N($J886)=2,AB886,IF(AND($K886&lt;&gt;"Point",N($O886)&gt;0),N($O886),N($M886))))))</f>
        <v/>
      </c>
      <c r="AD886" s="22">
        <f>IF(AND($A886="",$B886=""),"",MAX(0,AB886-AC886))</f>
        <v/>
      </c>
      <c r="AE886" s="21">
        <f>IF(AND($A886="",$B886=""),"",IF(OR($R886&lt;&gt;"",$S886&lt;&gt;""),1,0))</f>
        <v/>
      </c>
      <c r="AF886" s="22">
        <f>IF(AND($A886="",$B886=""),"",IF(Z886=1,IF(AE886=1,N($R886),AD886),0))</f>
        <v/>
      </c>
      <c r="AG886" s="22">
        <f>IF(AND($A886="",$B886=""),"",IF(Z886=1,IF(AE886=1,N($S886),AC886),0))</f>
        <v/>
      </c>
      <c r="AH886" s="21">
        <f>IF(AND($A886="",$B886=""),"",IF(AND(ISNUMBER($I886),N($I886)&gt;0),$I886,0))</f>
        <v/>
      </c>
      <c r="AI886" s="23">
        <f>IF(AND(NOT(AND($A886="",$B886="")),$K886="Point",N($L886)&gt;0),SQRT(N($L886)/PI()),"")</f>
        <v/>
      </c>
      <c r="AJ886" s="21">
        <f>IF(AND($A886="",$B886=""),"",IFERROR(VLOOKUP($G886,Lists!$D$4:$E$15,2,FALSE),"Not reported"))</f>
        <v/>
      </c>
      <c r="AK886" s="21">
        <f>IF(AND($A886="",$B886=""),"",IF($X886&lt;&gt;"",$X886,IF($T886&lt;&gt;"Y","Not assessed",IF(AND(ISNUMBER($V886),Setup!$B$6-$V886&gt;Setup!$B$26),"Assessment outdated",IF(NOT(ISNUMBER($W886)),"Assessed – no score",IF($W886&gt;=Setup!$B$24,"High",IF($W886&gt;=Setup!$B$25,"Moderate","Low")))))))</f>
        <v/>
      </c>
      <c r="AL886" s="21">
        <f>IF(AND($A886="",$B886=""),"",IF(Z886=0,"",IF(AND(AE886=1,N($R886)&gt;AD886*1.01+0.001),"Net terrestrial &gt; gross; ","")&amp;IF(AND(AE886=1,N($S886)&gt;AC886*1.01+0.001),"Net marine &gt; gross; ","")&amp;IF(AE886=0,"No net area – gross used, overlaps may be double-counted; ","")&amp;IF(AH886=0,"STATUS_YR missing – imputed in time series; ","")&amp;IF(AND(ISNUMBER($I886),N($I886)&gt;Setup!$B$6),"STATUS_YR after reporting year; ","")&amp;IF(OR($G886="",$G886="Not Reported"),"GOV_TYPE not reported; ","")&amp;IF(AND(N($J886)=1,$K886="Point",N($M886)&lt;=0),"Coastal point without REP_M_AREA – land/sea split unknown; ","")&amp;IF(AND(N($J886)=0,N($S886)&gt;0),"MARINE=0 but net marine &gt;0; ","")&amp;IF(AND(N($J886)=2,N($R886)&gt;0),"MARINE=2 but net terrestrial &gt;0; ","")&amp;IF($K886="Point","Buffered point – coverage approximate; ","")))</f>
        <v/>
      </c>
    </row>
    <row r="887">
      <c r="A887" s="19" t="n"/>
      <c r="B887" s="19" t="n"/>
      <c r="C887" s="19" t="n"/>
      <c r="D887" s="19" t="n"/>
      <c r="E887" s="19" t="n"/>
      <c r="F887" s="19" t="n"/>
      <c r="G887" s="19" t="n"/>
      <c r="H887" s="19" t="n"/>
      <c r="I887" s="19" t="n"/>
      <c r="J887" s="19" t="n"/>
      <c r="K887" s="19" t="n"/>
      <c r="L887" s="20" t="n"/>
      <c r="M887" s="20" t="n"/>
      <c r="N887" s="20" t="n"/>
      <c r="O887" s="20" t="n"/>
      <c r="P887" s="19" t="n"/>
      <c r="Q887" s="19" t="n"/>
      <c r="R887" s="20" t="n"/>
      <c r="S887" s="20" t="n"/>
      <c r="T887" s="19" t="n"/>
      <c r="U887" s="19" t="n"/>
      <c r="V887" s="19" t="n"/>
      <c r="W887" s="19" t="n"/>
      <c r="X887" s="19" t="n"/>
      <c r="Y887" s="19" t="n"/>
      <c r="Z887" s="21">
        <f>IF(AND($A887="",$B887=""),"",IF(OR($E887="",$H887="",$H887="Proposed",$H887="Not Reported"),0,IF(AND($P887="Y",$Q887&lt;&gt;"Y"),0,IF(AND($K887="Point",N($L887)&lt;=0),0,IF(AND(N($L887)&lt;=0,N($N887)&lt;=0,N($R887)+N($S887)&lt;=0),0,1)))))</f>
        <v/>
      </c>
      <c r="AA887" s="21">
        <f>IF(AND($A887="",$B887=""),"",IF($E887="","Site type missing",IF($H887="","STATUS missing",IF($H887="Proposed","STATUS = Proposed",IF($H887="Not Reported","STATUS = Not Reported",IF(AND($P887="Y",$Q887&lt;&gt;"Y"),"UNESCO-MAB Biosphere Reserve",IF(AND($K887="Point",N($L887)&lt;=0),"Point without REP_AREA",IF(AND(N($L887)&lt;=0,N($N887)&lt;=0,N($R887)+N($S887)&lt;=0),"No area information",""))))))))</f>
        <v/>
      </c>
      <c r="AB887" s="22">
        <f>IF(AND($A887="",$B887=""),"",IF($K887="Point",N($L887),IF(N($N887)&gt;0,N($N887),N($L887))))</f>
        <v/>
      </c>
      <c r="AC887" s="22">
        <f>IF(AND($A887="",$B887=""),"",MIN(AB887,IF(N($J887)=0,0,IF(N($J887)=2,AB887,IF(AND($K887&lt;&gt;"Point",N($O887)&gt;0),N($O887),N($M887))))))</f>
        <v/>
      </c>
      <c r="AD887" s="22">
        <f>IF(AND($A887="",$B887=""),"",MAX(0,AB887-AC887))</f>
        <v/>
      </c>
      <c r="AE887" s="21">
        <f>IF(AND($A887="",$B887=""),"",IF(OR($R887&lt;&gt;"",$S887&lt;&gt;""),1,0))</f>
        <v/>
      </c>
      <c r="AF887" s="22">
        <f>IF(AND($A887="",$B887=""),"",IF(Z887=1,IF(AE887=1,N($R887),AD887),0))</f>
        <v/>
      </c>
      <c r="AG887" s="22">
        <f>IF(AND($A887="",$B887=""),"",IF(Z887=1,IF(AE887=1,N($S887),AC887),0))</f>
        <v/>
      </c>
      <c r="AH887" s="21">
        <f>IF(AND($A887="",$B887=""),"",IF(AND(ISNUMBER($I887),N($I887)&gt;0),$I887,0))</f>
        <v/>
      </c>
      <c r="AI887" s="23">
        <f>IF(AND(NOT(AND($A887="",$B887="")),$K887="Point",N($L887)&gt;0),SQRT(N($L887)/PI()),"")</f>
        <v/>
      </c>
      <c r="AJ887" s="21">
        <f>IF(AND($A887="",$B887=""),"",IFERROR(VLOOKUP($G887,Lists!$D$4:$E$15,2,FALSE),"Not reported"))</f>
        <v/>
      </c>
      <c r="AK887" s="21">
        <f>IF(AND($A887="",$B887=""),"",IF($X887&lt;&gt;"",$X887,IF($T887&lt;&gt;"Y","Not assessed",IF(AND(ISNUMBER($V887),Setup!$B$6-$V887&gt;Setup!$B$26),"Assessment outdated",IF(NOT(ISNUMBER($W887)),"Assessed – no score",IF($W887&gt;=Setup!$B$24,"High",IF($W887&gt;=Setup!$B$25,"Moderate","Low")))))))</f>
        <v/>
      </c>
      <c r="AL887" s="21">
        <f>IF(AND($A887="",$B887=""),"",IF(Z887=0,"",IF(AND(AE887=1,N($R887)&gt;AD887*1.01+0.001),"Net terrestrial &gt; gross; ","")&amp;IF(AND(AE887=1,N($S887)&gt;AC887*1.01+0.001),"Net marine &gt; gross; ","")&amp;IF(AE887=0,"No net area – gross used, overlaps may be double-counted; ","")&amp;IF(AH887=0,"STATUS_YR missing – imputed in time series; ","")&amp;IF(AND(ISNUMBER($I887),N($I887)&gt;Setup!$B$6),"STATUS_YR after reporting year; ","")&amp;IF(OR($G887="",$G887="Not Reported"),"GOV_TYPE not reported; ","")&amp;IF(AND(N($J887)=1,$K887="Point",N($M887)&lt;=0),"Coastal point without REP_M_AREA – land/sea split unknown; ","")&amp;IF(AND(N($J887)=0,N($S887)&gt;0),"MARINE=0 but net marine &gt;0; ","")&amp;IF(AND(N($J887)=2,N($R887)&gt;0),"MARINE=2 but net terrestrial &gt;0; ","")&amp;IF($K887="Point","Buffered point – coverage approximate; ","")))</f>
        <v/>
      </c>
    </row>
    <row r="888">
      <c r="A888" s="19" t="n"/>
      <c r="B888" s="19" t="n"/>
      <c r="C888" s="19" t="n"/>
      <c r="D888" s="19" t="n"/>
      <c r="E888" s="19" t="n"/>
      <c r="F888" s="19" t="n"/>
      <c r="G888" s="19" t="n"/>
      <c r="H888" s="19" t="n"/>
      <c r="I888" s="19" t="n"/>
      <c r="J888" s="19" t="n"/>
      <c r="K888" s="19" t="n"/>
      <c r="L888" s="20" t="n"/>
      <c r="M888" s="20" t="n"/>
      <c r="N888" s="20" t="n"/>
      <c r="O888" s="20" t="n"/>
      <c r="P888" s="19" t="n"/>
      <c r="Q888" s="19" t="n"/>
      <c r="R888" s="20" t="n"/>
      <c r="S888" s="20" t="n"/>
      <c r="T888" s="19" t="n"/>
      <c r="U888" s="19" t="n"/>
      <c r="V888" s="19" t="n"/>
      <c r="W888" s="19" t="n"/>
      <c r="X888" s="19" t="n"/>
      <c r="Y888" s="19" t="n"/>
      <c r="Z888" s="21">
        <f>IF(AND($A888="",$B888=""),"",IF(OR($E888="",$H888="",$H888="Proposed",$H888="Not Reported"),0,IF(AND($P888="Y",$Q888&lt;&gt;"Y"),0,IF(AND($K888="Point",N($L888)&lt;=0),0,IF(AND(N($L888)&lt;=0,N($N888)&lt;=0,N($R888)+N($S888)&lt;=0),0,1)))))</f>
        <v/>
      </c>
      <c r="AA888" s="21">
        <f>IF(AND($A888="",$B888=""),"",IF($E888="","Site type missing",IF($H888="","STATUS missing",IF($H888="Proposed","STATUS = Proposed",IF($H888="Not Reported","STATUS = Not Reported",IF(AND($P888="Y",$Q888&lt;&gt;"Y"),"UNESCO-MAB Biosphere Reserve",IF(AND($K888="Point",N($L888)&lt;=0),"Point without REP_AREA",IF(AND(N($L888)&lt;=0,N($N888)&lt;=0,N($R888)+N($S888)&lt;=0),"No area information",""))))))))</f>
        <v/>
      </c>
      <c r="AB888" s="22">
        <f>IF(AND($A888="",$B888=""),"",IF($K888="Point",N($L888),IF(N($N888)&gt;0,N($N888),N($L888))))</f>
        <v/>
      </c>
      <c r="AC888" s="22">
        <f>IF(AND($A888="",$B888=""),"",MIN(AB888,IF(N($J888)=0,0,IF(N($J888)=2,AB888,IF(AND($K888&lt;&gt;"Point",N($O888)&gt;0),N($O888),N($M888))))))</f>
        <v/>
      </c>
      <c r="AD888" s="22">
        <f>IF(AND($A888="",$B888=""),"",MAX(0,AB888-AC888))</f>
        <v/>
      </c>
      <c r="AE888" s="21">
        <f>IF(AND($A888="",$B888=""),"",IF(OR($R888&lt;&gt;"",$S888&lt;&gt;""),1,0))</f>
        <v/>
      </c>
      <c r="AF888" s="22">
        <f>IF(AND($A888="",$B888=""),"",IF(Z888=1,IF(AE888=1,N($R888),AD888),0))</f>
        <v/>
      </c>
      <c r="AG888" s="22">
        <f>IF(AND($A888="",$B888=""),"",IF(Z888=1,IF(AE888=1,N($S888),AC888),0))</f>
        <v/>
      </c>
      <c r="AH888" s="21">
        <f>IF(AND($A888="",$B888=""),"",IF(AND(ISNUMBER($I888),N($I888)&gt;0),$I888,0))</f>
        <v/>
      </c>
      <c r="AI888" s="23">
        <f>IF(AND(NOT(AND($A888="",$B888="")),$K888="Point",N($L888)&gt;0),SQRT(N($L888)/PI()),"")</f>
        <v/>
      </c>
      <c r="AJ888" s="21">
        <f>IF(AND($A888="",$B888=""),"",IFERROR(VLOOKUP($G888,Lists!$D$4:$E$15,2,FALSE),"Not reported"))</f>
        <v/>
      </c>
      <c r="AK888" s="21">
        <f>IF(AND($A888="",$B888=""),"",IF($X888&lt;&gt;"",$X888,IF($T888&lt;&gt;"Y","Not assessed",IF(AND(ISNUMBER($V888),Setup!$B$6-$V888&gt;Setup!$B$26),"Assessment outdated",IF(NOT(ISNUMBER($W888)),"Assessed – no score",IF($W888&gt;=Setup!$B$24,"High",IF($W888&gt;=Setup!$B$25,"Moderate","Low")))))))</f>
        <v/>
      </c>
      <c r="AL888" s="21">
        <f>IF(AND($A888="",$B888=""),"",IF(Z888=0,"",IF(AND(AE888=1,N($R888)&gt;AD888*1.01+0.001),"Net terrestrial &gt; gross; ","")&amp;IF(AND(AE888=1,N($S888)&gt;AC888*1.01+0.001),"Net marine &gt; gross; ","")&amp;IF(AE888=0,"No net area – gross used, overlaps may be double-counted; ","")&amp;IF(AH888=0,"STATUS_YR missing – imputed in time series; ","")&amp;IF(AND(ISNUMBER($I888),N($I888)&gt;Setup!$B$6),"STATUS_YR after reporting year; ","")&amp;IF(OR($G888="",$G888="Not Reported"),"GOV_TYPE not reported; ","")&amp;IF(AND(N($J888)=1,$K888="Point",N($M888)&lt;=0),"Coastal point without REP_M_AREA – land/sea split unknown; ","")&amp;IF(AND(N($J888)=0,N($S888)&gt;0),"MARINE=0 but net marine &gt;0; ","")&amp;IF(AND(N($J888)=2,N($R888)&gt;0),"MARINE=2 but net terrestrial &gt;0; ","")&amp;IF($K888="Point","Buffered point – coverage approximate; ","")))</f>
        <v/>
      </c>
    </row>
    <row r="889">
      <c r="A889" s="19" t="n"/>
      <c r="B889" s="19" t="n"/>
      <c r="C889" s="19" t="n"/>
      <c r="D889" s="19" t="n"/>
      <c r="E889" s="19" t="n"/>
      <c r="F889" s="19" t="n"/>
      <c r="G889" s="19" t="n"/>
      <c r="H889" s="19" t="n"/>
      <c r="I889" s="19" t="n"/>
      <c r="J889" s="19" t="n"/>
      <c r="K889" s="19" t="n"/>
      <c r="L889" s="20" t="n"/>
      <c r="M889" s="20" t="n"/>
      <c r="N889" s="20" t="n"/>
      <c r="O889" s="20" t="n"/>
      <c r="P889" s="19" t="n"/>
      <c r="Q889" s="19" t="n"/>
      <c r="R889" s="20" t="n"/>
      <c r="S889" s="20" t="n"/>
      <c r="T889" s="19" t="n"/>
      <c r="U889" s="19" t="n"/>
      <c r="V889" s="19" t="n"/>
      <c r="W889" s="19" t="n"/>
      <c r="X889" s="19" t="n"/>
      <c r="Y889" s="19" t="n"/>
      <c r="Z889" s="21">
        <f>IF(AND($A889="",$B889=""),"",IF(OR($E889="",$H889="",$H889="Proposed",$H889="Not Reported"),0,IF(AND($P889="Y",$Q889&lt;&gt;"Y"),0,IF(AND($K889="Point",N($L889)&lt;=0),0,IF(AND(N($L889)&lt;=0,N($N889)&lt;=0,N($R889)+N($S889)&lt;=0),0,1)))))</f>
        <v/>
      </c>
      <c r="AA889" s="21">
        <f>IF(AND($A889="",$B889=""),"",IF($E889="","Site type missing",IF($H889="","STATUS missing",IF($H889="Proposed","STATUS = Proposed",IF($H889="Not Reported","STATUS = Not Reported",IF(AND($P889="Y",$Q889&lt;&gt;"Y"),"UNESCO-MAB Biosphere Reserve",IF(AND($K889="Point",N($L889)&lt;=0),"Point without REP_AREA",IF(AND(N($L889)&lt;=0,N($N889)&lt;=0,N($R889)+N($S889)&lt;=0),"No area information",""))))))))</f>
        <v/>
      </c>
      <c r="AB889" s="22">
        <f>IF(AND($A889="",$B889=""),"",IF($K889="Point",N($L889),IF(N($N889)&gt;0,N($N889),N($L889))))</f>
        <v/>
      </c>
      <c r="AC889" s="22">
        <f>IF(AND($A889="",$B889=""),"",MIN(AB889,IF(N($J889)=0,0,IF(N($J889)=2,AB889,IF(AND($K889&lt;&gt;"Point",N($O889)&gt;0),N($O889),N($M889))))))</f>
        <v/>
      </c>
      <c r="AD889" s="22">
        <f>IF(AND($A889="",$B889=""),"",MAX(0,AB889-AC889))</f>
        <v/>
      </c>
      <c r="AE889" s="21">
        <f>IF(AND($A889="",$B889=""),"",IF(OR($R889&lt;&gt;"",$S889&lt;&gt;""),1,0))</f>
        <v/>
      </c>
      <c r="AF889" s="22">
        <f>IF(AND($A889="",$B889=""),"",IF(Z889=1,IF(AE889=1,N($R889),AD889),0))</f>
        <v/>
      </c>
      <c r="AG889" s="22">
        <f>IF(AND($A889="",$B889=""),"",IF(Z889=1,IF(AE889=1,N($S889),AC889),0))</f>
        <v/>
      </c>
      <c r="AH889" s="21">
        <f>IF(AND($A889="",$B889=""),"",IF(AND(ISNUMBER($I889),N($I889)&gt;0),$I889,0))</f>
        <v/>
      </c>
      <c r="AI889" s="23">
        <f>IF(AND(NOT(AND($A889="",$B889="")),$K889="Point",N($L889)&gt;0),SQRT(N($L889)/PI()),"")</f>
        <v/>
      </c>
      <c r="AJ889" s="21">
        <f>IF(AND($A889="",$B889=""),"",IFERROR(VLOOKUP($G889,Lists!$D$4:$E$15,2,FALSE),"Not reported"))</f>
        <v/>
      </c>
      <c r="AK889" s="21">
        <f>IF(AND($A889="",$B889=""),"",IF($X889&lt;&gt;"",$X889,IF($T889&lt;&gt;"Y","Not assessed",IF(AND(ISNUMBER($V889),Setup!$B$6-$V889&gt;Setup!$B$26),"Assessment outdated",IF(NOT(ISNUMBER($W889)),"Assessed – no score",IF($W889&gt;=Setup!$B$24,"High",IF($W889&gt;=Setup!$B$25,"Moderate","Low")))))))</f>
        <v/>
      </c>
      <c r="AL889" s="21">
        <f>IF(AND($A889="",$B889=""),"",IF(Z889=0,"",IF(AND(AE889=1,N($R889)&gt;AD889*1.01+0.001),"Net terrestrial &gt; gross; ","")&amp;IF(AND(AE889=1,N($S889)&gt;AC889*1.01+0.001),"Net marine &gt; gross; ","")&amp;IF(AE889=0,"No net area – gross used, overlaps may be double-counted; ","")&amp;IF(AH889=0,"STATUS_YR missing – imputed in time series; ","")&amp;IF(AND(ISNUMBER($I889),N($I889)&gt;Setup!$B$6),"STATUS_YR after reporting year; ","")&amp;IF(OR($G889="",$G889="Not Reported"),"GOV_TYPE not reported; ","")&amp;IF(AND(N($J889)=1,$K889="Point",N($M889)&lt;=0),"Coastal point without REP_M_AREA – land/sea split unknown; ","")&amp;IF(AND(N($J889)=0,N($S889)&gt;0),"MARINE=0 but net marine &gt;0; ","")&amp;IF(AND(N($J889)=2,N($R889)&gt;0),"MARINE=2 but net terrestrial &gt;0; ","")&amp;IF($K889="Point","Buffered point – coverage approximate; ","")))</f>
        <v/>
      </c>
    </row>
    <row r="890">
      <c r="A890" s="19" t="n"/>
      <c r="B890" s="19" t="n"/>
      <c r="C890" s="19" t="n"/>
      <c r="D890" s="19" t="n"/>
      <c r="E890" s="19" t="n"/>
      <c r="F890" s="19" t="n"/>
      <c r="G890" s="19" t="n"/>
      <c r="H890" s="19" t="n"/>
      <c r="I890" s="19" t="n"/>
      <c r="J890" s="19" t="n"/>
      <c r="K890" s="19" t="n"/>
      <c r="L890" s="20" t="n"/>
      <c r="M890" s="20" t="n"/>
      <c r="N890" s="20" t="n"/>
      <c r="O890" s="20" t="n"/>
      <c r="P890" s="19" t="n"/>
      <c r="Q890" s="19" t="n"/>
      <c r="R890" s="20" t="n"/>
      <c r="S890" s="20" t="n"/>
      <c r="T890" s="19" t="n"/>
      <c r="U890" s="19" t="n"/>
      <c r="V890" s="19" t="n"/>
      <c r="W890" s="19" t="n"/>
      <c r="X890" s="19" t="n"/>
      <c r="Y890" s="19" t="n"/>
      <c r="Z890" s="21">
        <f>IF(AND($A890="",$B890=""),"",IF(OR($E890="",$H890="",$H890="Proposed",$H890="Not Reported"),0,IF(AND($P890="Y",$Q890&lt;&gt;"Y"),0,IF(AND($K890="Point",N($L890)&lt;=0),0,IF(AND(N($L890)&lt;=0,N($N890)&lt;=0,N($R890)+N($S890)&lt;=0),0,1)))))</f>
        <v/>
      </c>
      <c r="AA890" s="21">
        <f>IF(AND($A890="",$B890=""),"",IF($E890="","Site type missing",IF($H890="","STATUS missing",IF($H890="Proposed","STATUS = Proposed",IF($H890="Not Reported","STATUS = Not Reported",IF(AND($P890="Y",$Q890&lt;&gt;"Y"),"UNESCO-MAB Biosphere Reserve",IF(AND($K890="Point",N($L890)&lt;=0),"Point without REP_AREA",IF(AND(N($L890)&lt;=0,N($N890)&lt;=0,N($R890)+N($S890)&lt;=0),"No area information",""))))))))</f>
        <v/>
      </c>
      <c r="AB890" s="22">
        <f>IF(AND($A890="",$B890=""),"",IF($K890="Point",N($L890),IF(N($N890)&gt;0,N($N890),N($L890))))</f>
        <v/>
      </c>
      <c r="AC890" s="22">
        <f>IF(AND($A890="",$B890=""),"",MIN(AB890,IF(N($J890)=0,0,IF(N($J890)=2,AB890,IF(AND($K890&lt;&gt;"Point",N($O890)&gt;0),N($O890),N($M890))))))</f>
        <v/>
      </c>
      <c r="AD890" s="22">
        <f>IF(AND($A890="",$B890=""),"",MAX(0,AB890-AC890))</f>
        <v/>
      </c>
      <c r="AE890" s="21">
        <f>IF(AND($A890="",$B890=""),"",IF(OR($R890&lt;&gt;"",$S890&lt;&gt;""),1,0))</f>
        <v/>
      </c>
      <c r="AF890" s="22">
        <f>IF(AND($A890="",$B890=""),"",IF(Z890=1,IF(AE890=1,N($R890),AD890),0))</f>
        <v/>
      </c>
      <c r="AG890" s="22">
        <f>IF(AND($A890="",$B890=""),"",IF(Z890=1,IF(AE890=1,N($S890),AC890),0))</f>
        <v/>
      </c>
      <c r="AH890" s="21">
        <f>IF(AND($A890="",$B890=""),"",IF(AND(ISNUMBER($I890),N($I890)&gt;0),$I890,0))</f>
        <v/>
      </c>
      <c r="AI890" s="23">
        <f>IF(AND(NOT(AND($A890="",$B890="")),$K890="Point",N($L890)&gt;0),SQRT(N($L890)/PI()),"")</f>
        <v/>
      </c>
      <c r="AJ890" s="21">
        <f>IF(AND($A890="",$B890=""),"",IFERROR(VLOOKUP($G890,Lists!$D$4:$E$15,2,FALSE),"Not reported"))</f>
        <v/>
      </c>
      <c r="AK890" s="21">
        <f>IF(AND($A890="",$B890=""),"",IF($X890&lt;&gt;"",$X890,IF($T890&lt;&gt;"Y","Not assessed",IF(AND(ISNUMBER($V890),Setup!$B$6-$V890&gt;Setup!$B$26),"Assessment outdated",IF(NOT(ISNUMBER($W890)),"Assessed – no score",IF($W890&gt;=Setup!$B$24,"High",IF($W890&gt;=Setup!$B$25,"Moderate","Low")))))))</f>
        <v/>
      </c>
      <c r="AL890" s="21">
        <f>IF(AND($A890="",$B890=""),"",IF(Z890=0,"",IF(AND(AE890=1,N($R890)&gt;AD890*1.01+0.001),"Net terrestrial &gt; gross; ","")&amp;IF(AND(AE890=1,N($S890)&gt;AC890*1.01+0.001),"Net marine &gt; gross; ","")&amp;IF(AE890=0,"No net area – gross used, overlaps may be double-counted; ","")&amp;IF(AH890=0,"STATUS_YR missing – imputed in time series; ","")&amp;IF(AND(ISNUMBER($I890),N($I890)&gt;Setup!$B$6),"STATUS_YR after reporting year; ","")&amp;IF(OR($G890="",$G890="Not Reported"),"GOV_TYPE not reported; ","")&amp;IF(AND(N($J890)=1,$K890="Point",N($M890)&lt;=0),"Coastal point without REP_M_AREA – land/sea split unknown; ","")&amp;IF(AND(N($J890)=0,N($S890)&gt;0),"MARINE=0 but net marine &gt;0; ","")&amp;IF(AND(N($J890)=2,N($R890)&gt;0),"MARINE=2 but net terrestrial &gt;0; ","")&amp;IF($K890="Point","Buffered point – coverage approximate; ","")))</f>
        <v/>
      </c>
    </row>
    <row r="891">
      <c r="A891" s="19" t="n"/>
      <c r="B891" s="19" t="n"/>
      <c r="C891" s="19" t="n"/>
      <c r="D891" s="19" t="n"/>
      <c r="E891" s="19" t="n"/>
      <c r="F891" s="19" t="n"/>
      <c r="G891" s="19" t="n"/>
      <c r="H891" s="19" t="n"/>
      <c r="I891" s="19" t="n"/>
      <c r="J891" s="19" t="n"/>
      <c r="K891" s="19" t="n"/>
      <c r="L891" s="20" t="n"/>
      <c r="M891" s="20" t="n"/>
      <c r="N891" s="20" t="n"/>
      <c r="O891" s="20" t="n"/>
      <c r="P891" s="19" t="n"/>
      <c r="Q891" s="19" t="n"/>
      <c r="R891" s="20" t="n"/>
      <c r="S891" s="20" t="n"/>
      <c r="T891" s="19" t="n"/>
      <c r="U891" s="19" t="n"/>
      <c r="V891" s="19" t="n"/>
      <c r="W891" s="19" t="n"/>
      <c r="X891" s="19" t="n"/>
      <c r="Y891" s="19" t="n"/>
      <c r="Z891" s="21">
        <f>IF(AND($A891="",$B891=""),"",IF(OR($E891="",$H891="",$H891="Proposed",$H891="Not Reported"),0,IF(AND($P891="Y",$Q891&lt;&gt;"Y"),0,IF(AND($K891="Point",N($L891)&lt;=0),0,IF(AND(N($L891)&lt;=0,N($N891)&lt;=0,N($R891)+N($S891)&lt;=0),0,1)))))</f>
        <v/>
      </c>
      <c r="AA891" s="21">
        <f>IF(AND($A891="",$B891=""),"",IF($E891="","Site type missing",IF($H891="","STATUS missing",IF($H891="Proposed","STATUS = Proposed",IF($H891="Not Reported","STATUS = Not Reported",IF(AND($P891="Y",$Q891&lt;&gt;"Y"),"UNESCO-MAB Biosphere Reserve",IF(AND($K891="Point",N($L891)&lt;=0),"Point without REP_AREA",IF(AND(N($L891)&lt;=0,N($N891)&lt;=0,N($R891)+N($S891)&lt;=0),"No area information",""))))))))</f>
        <v/>
      </c>
      <c r="AB891" s="22">
        <f>IF(AND($A891="",$B891=""),"",IF($K891="Point",N($L891),IF(N($N891)&gt;0,N($N891),N($L891))))</f>
        <v/>
      </c>
      <c r="AC891" s="22">
        <f>IF(AND($A891="",$B891=""),"",MIN(AB891,IF(N($J891)=0,0,IF(N($J891)=2,AB891,IF(AND($K891&lt;&gt;"Point",N($O891)&gt;0),N($O891),N($M891))))))</f>
        <v/>
      </c>
      <c r="AD891" s="22">
        <f>IF(AND($A891="",$B891=""),"",MAX(0,AB891-AC891))</f>
        <v/>
      </c>
      <c r="AE891" s="21">
        <f>IF(AND($A891="",$B891=""),"",IF(OR($R891&lt;&gt;"",$S891&lt;&gt;""),1,0))</f>
        <v/>
      </c>
      <c r="AF891" s="22">
        <f>IF(AND($A891="",$B891=""),"",IF(Z891=1,IF(AE891=1,N($R891),AD891),0))</f>
        <v/>
      </c>
      <c r="AG891" s="22">
        <f>IF(AND($A891="",$B891=""),"",IF(Z891=1,IF(AE891=1,N($S891),AC891),0))</f>
        <v/>
      </c>
      <c r="AH891" s="21">
        <f>IF(AND($A891="",$B891=""),"",IF(AND(ISNUMBER($I891),N($I891)&gt;0),$I891,0))</f>
        <v/>
      </c>
      <c r="AI891" s="23">
        <f>IF(AND(NOT(AND($A891="",$B891="")),$K891="Point",N($L891)&gt;0),SQRT(N($L891)/PI()),"")</f>
        <v/>
      </c>
      <c r="AJ891" s="21">
        <f>IF(AND($A891="",$B891=""),"",IFERROR(VLOOKUP($G891,Lists!$D$4:$E$15,2,FALSE),"Not reported"))</f>
        <v/>
      </c>
      <c r="AK891" s="21">
        <f>IF(AND($A891="",$B891=""),"",IF($X891&lt;&gt;"",$X891,IF($T891&lt;&gt;"Y","Not assessed",IF(AND(ISNUMBER($V891),Setup!$B$6-$V891&gt;Setup!$B$26),"Assessment outdated",IF(NOT(ISNUMBER($W891)),"Assessed – no score",IF($W891&gt;=Setup!$B$24,"High",IF($W891&gt;=Setup!$B$25,"Moderate","Low")))))))</f>
        <v/>
      </c>
      <c r="AL891" s="21">
        <f>IF(AND($A891="",$B891=""),"",IF(Z891=0,"",IF(AND(AE891=1,N($R891)&gt;AD891*1.01+0.001),"Net terrestrial &gt; gross; ","")&amp;IF(AND(AE891=1,N($S891)&gt;AC891*1.01+0.001),"Net marine &gt; gross; ","")&amp;IF(AE891=0,"No net area – gross used, overlaps may be double-counted; ","")&amp;IF(AH891=0,"STATUS_YR missing – imputed in time series; ","")&amp;IF(AND(ISNUMBER($I891),N($I891)&gt;Setup!$B$6),"STATUS_YR after reporting year; ","")&amp;IF(OR($G891="",$G891="Not Reported"),"GOV_TYPE not reported; ","")&amp;IF(AND(N($J891)=1,$K891="Point",N($M891)&lt;=0),"Coastal point without REP_M_AREA – land/sea split unknown; ","")&amp;IF(AND(N($J891)=0,N($S891)&gt;0),"MARINE=0 but net marine &gt;0; ","")&amp;IF(AND(N($J891)=2,N($R891)&gt;0),"MARINE=2 but net terrestrial &gt;0; ","")&amp;IF($K891="Point","Buffered point – coverage approximate; ","")))</f>
        <v/>
      </c>
    </row>
    <row r="892">
      <c r="A892" s="19" t="n"/>
      <c r="B892" s="19" t="n"/>
      <c r="C892" s="19" t="n"/>
      <c r="D892" s="19" t="n"/>
      <c r="E892" s="19" t="n"/>
      <c r="F892" s="19" t="n"/>
      <c r="G892" s="19" t="n"/>
      <c r="H892" s="19" t="n"/>
      <c r="I892" s="19" t="n"/>
      <c r="J892" s="19" t="n"/>
      <c r="K892" s="19" t="n"/>
      <c r="L892" s="20" t="n"/>
      <c r="M892" s="20" t="n"/>
      <c r="N892" s="20" t="n"/>
      <c r="O892" s="20" t="n"/>
      <c r="P892" s="19" t="n"/>
      <c r="Q892" s="19" t="n"/>
      <c r="R892" s="20" t="n"/>
      <c r="S892" s="20" t="n"/>
      <c r="T892" s="19" t="n"/>
      <c r="U892" s="19" t="n"/>
      <c r="V892" s="19" t="n"/>
      <c r="W892" s="19" t="n"/>
      <c r="X892" s="19" t="n"/>
      <c r="Y892" s="19" t="n"/>
      <c r="Z892" s="21">
        <f>IF(AND($A892="",$B892=""),"",IF(OR($E892="",$H892="",$H892="Proposed",$H892="Not Reported"),0,IF(AND($P892="Y",$Q892&lt;&gt;"Y"),0,IF(AND($K892="Point",N($L892)&lt;=0),0,IF(AND(N($L892)&lt;=0,N($N892)&lt;=0,N($R892)+N($S892)&lt;=0),0,1)))))</f>
        <v/>
      </c>
      <c r="AA892" s="21">
        <f>IF(AND($A892="",$B892=""),"",IF($E892="","Site type missing",IF($H892="","STATUS missing",IF($H892="Proposed","STATUS = Proposed",IF($H892="Not Reported","STATUS = Not Reported",IF(AND($P892="Y",$Q892&lt;&gt;"Y"),"UNESCO-MAB Biosphere Reserve",IF(AND($K892="Point",N($L892)&lt;=0),"Point without REP_AREA",IF(AND(N($L892)&lt;=0,N($N892)&lt;=0,N($R892)+N($S892)&lt;=0),"No area information",""))))))))</f>
        <v/>
      </c>
      <c r="AB892" s="22">
        <f>IF(AND($A892="",$B892=""),"",IF($K892="Point",N($L892),IF(N($N892)&gt;0,N($N892),N($L892))))</f>
        <v/>
      </c>
      <c r="AC892" s="22">
        <f>IF(AND($A892="",$B892=""),"",MIN(AB892,IF(N($J892)=0,0,IF(N($J892)=2,AB892,IF(AND($K892&lt;&gt;"Point",N($O892)&gt;0),N($O892),N($M892))))))</f>
        <v/>
      </c>
      <c r="AD892" s="22">
        <f>IF(AND($A892="",$B892=""),"",MAX(0,AB892-AC892))</f>
        <v/>
      </c>
      <c r="AE892" s="21">
        <f>IF(AND($A892="",$B892=""),"",IF(OR($R892&lt;&gt;"",$S892&lt;&gt;""),1,0))</f>
        <v/>
      </c>
      <c r="AF892" s="22">
        <f>IF(AND($A892="",$B892=""),"",IF(Z892=1,IF(AE892=1,N($R892),AD892),0))</f>
        <v/>
      </c>
      <c r="AG892" s="22">
        <f>IF(AND($A892="",$B892=""),"",IF(Z892=1,IF(AE892=1,N($S892),AC892),0))</f>
        <v/>
      </c>
      <c r="AH892" s="21">
        <f>IF(AND($A892="",$B892=""),"",IF(AND(ISNUMBER($I892),N($I892)&gt;0),$I892,0))</f>
        <v/>
      </c>
      <c r="AI892" s="23">
        <f>IF(AND(NOT(AND($A892="",$B892="")),$K892="Point",N($L892)&gt;0),SQRT(N($L892)/PI()),"")</f>
        <v/>
      </c>
      <c r="AJ892" s="21">
        <f>IF(AND($A892="",$B892=""),"",IFERROR(VLOOKUP($G892,Lists!$D$4:$E$15,2,FALSE),"Not reported"))</f>
        <v/>
      </c>
      <c r="AK892" s="21">
        <f>IF(AND($A892="",$B892=""),"",IF($X892&lt;&gt;"",$X892,IF($T892&lt;&gt;"Y","Not assessed",IF(AND(ISNUMBER($V892),Setup!$B$6-$V892&gt;Setup!$B$26),"Assessment outdated",IF(NOT(ISNUMBER($W892)),"Assessed – no score",IF($W892&gt;=Setup!$B$24,"High",IF($W892&gt;=Setup!$B$25,"Moderate","Low")))))))</f>
        <v/>
      </c>
      <c r="AL892" s="21">
        <f>IF(AND($A892="",$B892=""),"",IF(Z892=0,"",IF(AND(AE892=1,N($R892)&gt;AD892*1.01+0.001),"Net terrestrial &gt; gross; ","")&amp;IF(AND(AE892=1,N($S892)&gt;AC892*1.01+0.001),"Net marine &gt; gross; ","")&amp;IF(AE892=0,"No net area – gross used, overlaps may be double-counted; ","")&amp;IF(AH892=0,"STATUS_YR missing – imputed in time series; ","")&amp;IF(AND(ISNUMBER($I892),N($I892)&gt;Setup!$B$6),"STATUS_YR after reporting year; ","")&amp;IF(OR($G892="",$G892="Not Reported"),"GOV_TYPE not reported; ","")&amp;IF(AND(N($J892)=1,$K892="Point",N($M892)&lt;=0),"Coastal point without REP_M_AREA – land/sea split unknown; ","")&amp;IF(AND(N($J892)=0,N($S892)&gt;0),"MARINE=0 but net marine &gt;0; ","")&amp;IF(AND(N($J892)=2,N($R892)&gt;0),"MARINE=2 but net terrestrial &gt;0; ","")&amp;IF($K892="Point","Buffered point – coverage approximate; ","")))</f>
        <v/>
      </c>
    </row>
    <row r="893">
      <c r="A893" s="19" t="n"/>
      <c r="B893" s="19" t="n"/>
      <c r="C893" s="19" t="n"/>
      <c r="D893" s="19" t="n"/>
      <c r="E893" s="19" t="n"/>
      <c r="F893" s="19" t="n"/>
      <c r="G893" s="19" t="n"/>
      <c r="H893" s="19" t="n"/>
      <c r="I893" s="19" t="n"/>
      <c r="J893" s="19" t="n"/>
      <c r="K893" s="19" t="n"/>
      <c r="L893" s="20" t="n"/>
      <c r="M893" s="20" t="n"/>
      <c r="N893" s="20" t="n"/>
      <c r="O893" s="20" t="n"/>
      <c r="P893" s="19" t="n"/>
      <c r="Q893" s="19" t="n"/>
      <c r="R893" s="20" t="n"/>
      <c r="S893" s="20" t="n"/>
      <c r="T893" s="19" t="n"/>
      <c r="U893" s="19" t="n"/>
      <c r="V893" s="19" t="n"/>
      <c r="W893" s="19" t="n"/>
      <c r="X893" s="19" t="n"/>
      <c r="Y893" s="19" t="n"/>
      <c r="Z893" s="21">
        <f>IF(AND($A893="",$B893=""),"",IF(OR($E893="",$H893="",$H893="Proposed",$H893="Not Reported"),0,IF(AND($P893="Y",$Q893&lt;&gt;"Y"),0,IF(AND($K893="Point",N($L893)&lt;=0),0,IF(AND(N($L893)&lt;=0,N($N893)&lt;=0,N($R893)+N($S893)&lt;=0),0,1)))))</f>
        <v/>
      </c>
      <c r="AA893" s="21">
        <f>IF(AND($A893="",$B893=""),"",IF($E893="","Site type missing",IF($H893="","STATUS missing",IF($H893="Proposed","STATUS = Proposed",IF($H893="Not Reported","STATUS = Not Reported",IF(AND($P893="Y",$Q893&lt;&gt;"Y"),"UNESCO-MAB Biosphere Reserve",IF(AND($K893="Point",N($L893)&lt;=0),"Point without REP_AREA",IF(AND(N($L893)&lt;=0,N($N893)&lt;=0,N($R893)+N($S893)&lt;=0),"No area information",""))))))))</f>
        <v/>
      </c>
      <c r="AB893" s="22">
        <f>IF(AND($A893="",$B893=""),"",IF($K893="Point",N($L893),IF(N($N893)&gt;0,N($N893),N($L893))))</f>
        <v/>
      </c>
      <c r="AC893" s="22">
        <f>IF(AND($A893="",$B893=""),"",MIN(AB893,IF(N($J893)=0,0,IF(N($J893)=2,AB893,IF(AND($K893&lt;&gt;"Point",N($O893)&gt;0),N($O893),N($M893))))))</f>
        <v/>
      </c>
      <c r="AD893" s="22">
        <f>IF(AND($A893="",$B893=""),"",MAX(0,AB893-AC893))</f>
        <v/>
      </c>
      <c r="AE893" s="21">
        <f>IF(AND($A893="",$B893=""),"",IF(OR($R893&lt;&gt;"",$S893&lt;&gt;""),1,0))</f>
        <v/>
      </c>
      <c r="AF893" s="22">
        <f>IF(AND($A893="",$B893=""),"",IF(Z893=1,IF(AE893=1,N($R893),AD893),0))</f>
        <v/>
      </c>
      <c r="AG893" s="22">
        <f>IF(AND($A893="",$B893=""),"",IF(Z893=1,IF(AE893=1,N($S893),AC893),0))</f>
        <v/>
      </c>
      <c r="AH893" s="21">
        <f>IF(AND($A893="",$B893=""),"",IF(AND(ISNUMBER($I893),N($I893)&gt;0),$I893,0))</f>
        <v/>
      </c>
      <c r="AI893" s="23">
        <f>IF(AND(NOT(AND($A893="",$B893="")),$K893="Point",N($L893)&gt;0),SQRT(N($L893)/PI()),"")</f>
        <v/>
      </c>
      <c r="AJ893" s="21">
        <f>IF(AND($A893="",$B893=""),"",IFERROR(VLOOKUP($G893,Lists!$D$4:$E$15,2,FALSE),"Not reported"))</f>
        <v/>
      </c>
      <c r="AK893" s="21">
        <f>IF(AND($A893="",$B893=""),"",IF($X893&lt;&gt;"",$X893,IF($T893&lt;&gt;"Y","Not assessed",IF(AND(ISNUMBER($V893),Setup!$B$6-$V893&gt;Setup!$B$26),"Assessment outdated",IF(NOT(ISNUMBER($W893)),"Assessed – no score",IF($W893&gt;=Setup!$B$24,"High",IF($W893&gt;=Setup!$B$25,"Moderate","Low")))))))</f>
        <v/>
      </c>
      <c r="AL893" s="21">
        <f>IF(AND($A893="",$B893=""),"",IF(Z893=0,"",IF(AND(AE893=1,N($R893)&gt;AD893*1.01+0.001),"Net terrestrial &gt; gross; ","")&amp;IF(AND(AE893=1,N($S893)&gt;AC893*1.01+0.001),"Net marine &gt; gross; ","")&amp;IF(AE893=0,"No net area – gross used, overlaps may be double-counted; ","")&amp;IF(AH893=0,"STATUS_YR missing – imputed in time series; ","")&amp;IF(AND(ISNUMBER($I893),N($I893)&gt;Setup!$B$6),"STATUS_YR after reporting year; ","")&amp;IF(OR($G893="",$G893="Not Reported"),"GOV_TYPE not reported; ","")&amp;IF(AND(N($J893)=1,$K893="Point",N($M893)&lt;=0),"Coastal point without REP_M_AREA – land/sea split unknown; ","")&amp;IF(AND(N($J893)=0,N($S893)&gt;0),"MARINE=0 but net marine &gt;0; ","")&amp;IF(AND(N($J893)=2,N($R893)&gt;0),"MARINE=2 but net terrestrial &gt;0; ","")&amp;IF($K893="Point","Buffered point – coverage approximate; ","")))</f>
        <v/>
      </c>
    </row>
    <row r="894">
      <c r="A894" s="19" t="n"/>
      <c r="B894" s="19" t="n"/>
      <c r="C894" s="19" t="n"/>
      <c r="D894" s="19" t="n"/>
      <c r="E894" s="19" t="n"/>
      <c r="F894" s="19" t="n"/>
      <c r="G894" s="19" t="n"/>
      <c r="H894" s="19" t="n"/>
      <c r="I894" s="19" t="n"/>
      <c r="J894" s="19" t="n"/>
      <c r="K894" s="19" t="n"/>
      <c r="L894" s="20" t="n"/>
      <c r="M894" s="20" t="n"/>
      <c r="N894" s="20" t="n"/>
      <c r="O894" s="20" t="n"/>
      <c r="P894" s="19" t="n"/>
      <c r="Q894" s="19" t="n"/>
      <c r="R894" s="20" t="n"/>
      <c r="S894" s="20" t="n"/>
      <c r="T894" s="19" t="n"/>
      <c r="U894" s="19" t="n"/>
      <c r="V894" s="19" t="n"/>
      <c r="W894" s="19" t="n"/>
      <c r="X894" s="19" t="n"/>
      <c r="Y894" s="19" t="n"/>
      <c r="Z894" s="21">
        <f>IF(AND($A894="",$B894=""),"",IF(OR($E894="",$H894="",$H894="Proposed",$H894="Not Reported"),0,IF(AND($P894="Y",$Q894&lt;&gt;"Y"),0,IF(AND($K894="Point",N($L894)&lt;=0),0,IF(AND(N($L894)&lt;=0,N($N894)&lt;=0,N($R894)+N($S894)&lt;=0),0,1)))))</f>
        <v/>
      </c>
      <c r="AA894" s="21">
        <f>IF(AND($A894="",$B894=""),"",IF($E894="","Site type missing",IF($H894="","STATUS missing",IF($H894="Proposed","STATUS = Proposed",IF($H894="Not Reported","STATUS = Not Reported",IF(AND($P894="Y",$Q894&lt;&gt;"Y"),"UNESCO-MAB Biosphere Reserve",IF(AND($K894="Point",N($L894)&lt;=0),"Point without REP_AREA",IF(AND(N($L894)&lt;=0,N($N894)&lt;=0,N($R894)+N($S894)&lt;=0),"No area information",""))))))))</f>
        <v/>
      </c>
      <c r="AB894" s="22">
        <f>IF(AND($A894="",$B894=""),"",IF($K894="Point",N($L894),IF(N($N894)&gt;0,N($N894),N($L894))))</f>
        <v/>
      </c>
      <c r="AC894" s="22">
        <f>IF(AND($A894="",$B894=""),"",MIN(AB894,IF(N($J894)=0,0,IF(N($J894)=2,AB894,IF(AND($K894&lt;&gt;"Point",N($O894)&gt;0),N($O894),N($M894))))))</f>
        <v/>
      </c>
      <c r="AD894" s="22">
        <f>IF(AND($A894="",$B894=""),"",MAX(0,AB894-AC894))</f>
        <v/>
      </c>
      <c r="AE894" s="21">
        <f>IF(AND($A894="",$B894=""),"",IF(OR($R894&lt;&gt;"",$S894&lt;&gt;""),1,0))</f>
        <v/>
      </c>
      <c r="AF894" s="22">
        <f>IF(AND($A894="",$B894=""),"",IF(Z894=1,IF(AE894=1,N($R894),AD894),0))</f>
        <v/>
      </c>
      <c r="AG894" s="22">
        <f>IF(AND($A894="",$B894=""),"",IF(Z894=1,IF(AE894=1,N($S894),AC894),0))</f>
        <v/>
      </c>
      <c r="AH894" s="21">
        <f>IF(AND($A894="",$B894=""),"",IF(AND(ISNUMBER($I894),N($I894)&gt;0),$I894,0))</f>
        <v/>
      </c>
      <c r="AI894" s="23">
        <f>IF(AND(NOT(AND($A894="",$B894="")),$K894="Point",N($L894)&gt;0),SQRT(N($L894)/PI()),"")</f>
        <v/>
      </c>
      <c r="AJ894" s="21">
        <f>IF(AND($A894="",$B894=""),"",IFERROR(VLOOKUP($G894,Lists!$D$4:$E$15,2,FALSE),"Not reported"))</f>
        <v/>
      </c>
      <c r="AK894" s="21">
        <f>IF(AND($A894="",$B894=""),"",IF($X894&lt;&gt;"",$X894,IF($T894&lt;&gt;"Y","Not assessed",IF(AND(ISNUMBER($V894),Setup!$B$6-$V894&gt;Setup!$B$26),"Assessment outdated",IF(NOT(ISNUMBER($W894)),"Assessed – no score",IF($W894&gt;=Setup!$B$24,"High",IF($W894&gt;=Setup!$B$25,"Moderate","Low")))))))</f>
        <v/>
      </c>
      <c r="AL894" s="21">
        <f>IF(AND($A894="",$B894=""),"",IF(Z894=0,"",IF(AND(AE894=1,N($R894)&gt;AD894*1.01+0.001),"Net terrestrial &gt; gross; ","")&amp;IF(AND(AE894=1,N($S894)&gt;AC894*1.01+0.001),"Net marine &gt; gross; ","")&amp;IF(AE894=0,"No net area – gross used, overlaps may be double-counted; ","")&amp;IF(AH894=0,"STATUS_YR missing – imputed in time series; ","")&amp;IF(AND(ISNUMBER($I894),N($I894)&gt;Setup!$B$6),"STATUS_YR after reporting year; ","")&amp;IF(OR($G894="",$G894="Not Reported"),"GOV_TYPE not reported; ","")&amp;IF(AND(N($J894)=1,$K894="Point",N($M894)&lt;=0),"Coastal point without REP_M_AREA – land/sea split unknown; ","")&amp;IF(AND(N($J894)=0,N($S894)&gt;0),"MARINE=0 but net marine &gt;0; ","")&amp;IF(AND(N($J894)=2,N($R894)&gt;0),"MARINE=2 but net terrestrial &gt;0; ","")&amp;IF($K894="Point","Buffered point – coverage approximate; ","")))</f>
        <v/>
      </c>
    </row>
    <row r="895">
      <c r="A895" s="19" t="n"/>
      <c r="B895" s="19" t="n"/>
      <c r="C895" s="19" t="n"/>
      <c r="D895" s="19" t="n"/>
      <c r="E895" s="19" t="n"/>
      <c r="F895" s="19" t="n"/>
      <c r="G895" s="19" t="n"/>
      <c r="H895" s="19" t="n"/>
      <c r="I895" s="19" t="n"/>
      <c r="J895" s="19" t="n"/>
      <c r="K895" s="19" t="n"/>
      <c r="L895" s="20" t="n"/>
      <c r="M895" s="20" t="n"/>
      <c r="N895" s="20" t="n"/>
      <c r="O895" s="20" t="n"/>
      <c r="P895" s="19" t="n"/>
      <c r="Q895" s="19" t="n"/>
      <c r="R895" s="20" t="n"/>
      <c r="S895" s="20" t="n"/>
      <c r="T895" s="19" t="n"/>
      <c r="U895" s="19" t="n"/>
      <c r="V895" s="19" t="n"/>
      <c r="W895" s="19" t="n"/>
      <c r="X895" s="19" t="n"/>
      <c r="Y895" s="19" t="n"/>
      <c r="Z895" s="21">
        <f>IF(AND($A895="",$B895=""),"",IF(OR($E895="",$H895="",$H895="Proposed",$H895="Not Reported"),0,IF(AND($P895="Y",$Q895&lt;&gt;"Y"),0,IF(AND($K895="Point",N($L895)&lt;=0),0,IF(AND(N($L895)&lt;=0,N($N895)&lt;=0,N($R895)+N($S895)&lt;=0),0,1)))))</f>
        <v/>
      </c>
      <c r="AA895" s="21">
        <f>IF(AND($A895="",$B895=""),"",IF($E895="","Site type missing",IF($H895="","STATUS missing",IF($H895="Proposed","STATUS = Proposed",IF($H895="Not Reported","STATUS = Not Reported",IF(AND($P895="Y",$Q895&lt;&gt;"Y"),"UNESCO-MAB Biosphere Reserve",IF(AND($K895="Point",N($L895)&lt;=0),"Point without REP_AREA",IF(AND(N($L895)&lt;=0,N($N895)&lt;=0,N($R895)+N($S895)&lt;=0),"No area information",""))))))))</f>
        <v/>
      </c>
      <c r="AB895" s="22">
        <f>IF(AND($A895="",$B895=""),"",IF($K895="Point",N($L895),IF(N($N895)&gt;0,N($N895),N($L895))))</f>
        <v/>
      </c>
      <c r="AC895" s="22">
        <f>IF(AND($A895="",$B895=""),"",MIN(AB895,IF(N($J895)=0,0,IF(N($J895)=2,AB895,IF(AND($K895&lt;&gt;"Point",N($O895)&gt;0),N($O895),N($M895))))))</f>
        <v/>
      </c>
      <c r="AD895" s="22">
        <f>IF(AND($A895="",$B895=""),"",MAX(0,AB895-AC895))</f>
        <v/>
      </c>
      <c r="AE895" s="21">
        <f>IF(AND($A895="",$B895=""),"",IF(OR($R895&lt;&gt;"",$S895&lt;&gt;""),1,0))</f>
        <v/>
      </c>
      <c r="AF895" s="22">
        <f>IF(AND($A895="",$B895=""),"",IF(Z895=1,IF(AE895=1,N($R895),AD895),0))</f>
        <v/>
      </c>
      <c r="AG895" s="22">
        <f>IF(AND($A895="",$B895=""),"",IF(Z895=1,IF(AE895=1,N($S895),AC895),0))</f>
        <v/>
      </c>
      <c r="AH895" s="21">
        <f>IF(AND($A895="",$B895=""),"",IF(AND(ISNUMBER($I895),N($I895)&gt;0),$I895,0))</f>
        <v/>
      </c>
      <c r="AI895" s="23">
        <f>IF(AND(NOT(AND($A895="",$B895="")),$K895="Point",N($L895)&gt;0),SQRT(N($L895)/PI()),"")</f>
        <v/>
      </c>
      <c r="AJ895" s="21">
        <f>IF(AND($A895="",$B895=""),"",IFERROR(VLOOKUP($G895,Lists!$D$4:$E$15,2,FALSE),"Not reported"))</f>
        <v/>
      </c>
      <c r="AK895" s="21">
        <f>IF(AND($A895="",$B895=""),"",IF($X895&lt;&gt;"",$X895,IF($T895&lt;&gt;"Y","Not assessed",IF(AND(ISNUMBER($V895),Setup!$B$6-$V895&gt;Setup!$B$26),"Assessment outdated",IF(NOT(ISNUMBER($W895)),"Assessed – no score",IF($W895&gt;=Setup!$B$24,"High",IF($W895&gt;=Setup!$B$25,"Moderate","Low")))))))</f>
        <v/>
      </c>
      <c r="AL895" s="21">
        <f>IF(AND($A895="",$B895=""),"",IF(Z895=0,"",IF(AND(AE895=1,N($R895)&gt;AD895*1.01+0.001),"Net terrestrial &gt; gross; ","")&amp;IF(AND(AE895=1,N($S895)&gt;AC895*1.01+0.001),"Net marine &gt; gross; ","")&amp;IF(AE895=0,"No net area – gross used, overlaps may be double-counted; ","")&amp;IF(AH895=0,"STATUS_YR missing – imputed in time series; ","")&amp;IF(AND(ISNUMBER($I895),N($I895)&gt;Setup!$B$6),"STATUS_YR after reporting year; ","")&amp;IF(OR($G895="",$G895="Not Reported"),"GOV_TYPE not reported; ","")&amp;IF(AND(N($J895)=1,$K895="Point",N($M895)&lt;=0),"Coastal point without REP_M_AREA – land/sea split unknown; ","")&amp;IF(AND(N($J895)=0,N($S895)&gt;0),"MARINE=0 but net marine &gt;0; ","")&amp;IF(AND(N($J895)=2,N($R895)&gt;0),"MARINE=2 but net terrestrial &gt;0; ","")&amp;IF($K895="Point","Buffered point – coverage approximate; ","")))</f>
        <v/>
      </c>
    </row>
    <row r="896">
      <c r="A896" s="19" t="n"/>
      <c r="B896" s="19" t="n"/>
      <c r="C896" s="19" t="n"/>
      <c r="D896" s="19" t="n"/>
      <c r="E896" s="19" t="n"/>
      <c r="F896" s="19" t="n"/>
      <c r="G896" s="19" t="n"/>
      <c r="H896" s="19" t="n"/>
      <c r="I896" s="19" t="n"/>
      <c r="J896" s="19" t="n"/>
      <c r="K896" s="19" t="n"/>
      <c r="L896" s="20" t="n"/>
      <c r="M896" s="20" t="n"/>
      <c r="N896" s="20" t="n"/>
      <c r="O896" s="20" t="n"/>
      <c r="P896" s="19" t="n"/>
      <c r="Q896" s="19" t="n"/>
      <c r="R896" s="20" t="n"/>
      <c r="S896" s="20" t="n"/>
      <c r="T896" s="19" t="n"/>
      <c r="U896" s="19" t="n"/>
      <c r="V896" s="19" t="n"/>
      <c r="W896" s="19" t="n"/>
      <c r="X896" s="19" t="n"/>
      <c r="Y896" s="19" t="n"/>
      <c r="Z896" s="21">
        <f>IF(AND($A896="",$B896=""),"",IF(OR($E896="",$H896="",$H896="Proposed",$H896="Not Reported"),0,IF(AND($P896="Y",$Q896&lt;&gt;"Y"),0,IF(AND($K896="Point",N($L896)&lt;=0),0,IF(AND(N($L896)&lt;=0,N($N896)&lt;=0,N($R896)+N($S896)&lt;=0),0,1)))))</f>
        <v/>
      </c>
      <c r="AA896" s="21">
        <f>IF(AND($A896="",$B896=""),"",IF($E896="","Site type missing",IF($H896="","STATUS missing",IF($H896="Proposed","STATUS = Proposed",IF($H896="Not Reported","STATUS = Not Reported",IF(AND($P896="Y",$Q896&lt;&gt;"Y"),"UNESCO-MAB Biosphere Reserve",IF(AND($K896="Point",N($L896)&lt;=0),"Point without REP_AREA",IF(AND(N($L896)&lt;=0,N($N896)&lt;=0,N($R896)+N($S896)&lt;=0),"No area information",""))))))))</f>
        <v/>
      </c>
      <c r="AB896" s="22">
        <f>IF(AND($A896="",$B896=""),"",IF($K896="Point",N($L896),IF(N($N896)&gt;0,N($N896),N($L896))))</f>
        <v/>
      </c>
      <c r="AC896" s="22">
        <f>IF(AND($A896="",$B896=""),"",MIN(AB896,IF(N($J896)=0,0,IF(N($J896)=2,AB896,IF(AND($K896&lt;&gt;"Point",N($O896)&gt;0),N($O896),N($M896))))))</f>
        <v/>
      </c>
      <c r="AD896" s="22">
        <f>IF(AND($A896="",$B896=""),"",MAX(0,AB896-AC896))</f>
        <v/>
      </c>
      <c r="AE896" s="21">
        <f>IF(AND($A896="",$B896=""),"",IF(OR($R896&lt;&gt;"",$S896&lt;&gt;""),1,0))</f>
        <v/>
      </c>
      <c r="AF896" s="22">
        <f>IF(AND($A896="",$B896=""),"",IF(Z896=1,IF(AE896=1,N($R896),AD896),0))</f>
        <v/>
      </c>
      <c r="AG896" s="22">
        <f>IF(AND($A896="",$B896=""),"",IF(Z896=1,IF(AE896=1,N($S896),AC896),0))</f>
        <v/>
      </c>
      <c r="AH896" s="21">
        <f>IF(AND($A896="",$B896=""),"",IF(AND(ISNUMBER($I896),N($I896)&gt;0),$I896,0))</f>
        <v/>
      </c>
      <c r="AI896" s="23">
        <f>IF(AND(NOT(AND($A896="",$B896="")),$K896="Point",N($L896)&gt;0),SQRT(N($L896)/PI()),"")</f>
        <v/>
      </c>
      <c r="AJ896" s="21">
        <f>IF(AND($A896="",$B896=""),"",IFERROR(VLOOKUP($G896,Lists!$D$4:$E$15,2,FALSE),"Not reported"))</f>
        <v/>
      </c>
      <c r="AK896" s="21">
        <f>IF(AND($A896="",$B896=""),"",IF($X896&lt;&gt;"",$X896,IF($T896&lt;&gt;"Y","Not assessed",IF(AND(ISNUMBER($V896),Setup!$B$6-$V896&gt;Setup!$B$26),"Assessment outdated",IF(NOT(ISNUMBER($W896)),"Assessed – no score",IF($W896&gt;=Setup!$B$24,"High",IF($W896&gt;=Setup!$B$25,"Moderate","Low")))))))</f>
        <v/>
      </c>
      <c r="AL896" s="21">
        <f>IF(AND($A896="",$B896=""),"",IF(Z896=0,"",IF(AND(AE896=1,N($R896)&gt;AD896*1.01+0.001),"Net terrestrial &gt; gross; ","")&amp;IF(AND(AE896=1,N($S896)&gt;AC896*1.01+0.001),"Net marine &gt; gross; ","")&amp;IF(AE896=0,"No net area – gross used, overlaps may be double-counted; ","")&amp;IF(AH896=0,"STATUS_YR missing – imputed in time series; ","")&amp;IF(AND(ISNUMBER($I896),N($I896)&gt;Setup!$B$6),"STATUS_YR after reporting year; ","")&amp;IF(OR($G896="",$G896="Not Reported"),"GOV_TYPE not reported; ","")&amp;IF(AND(N($J896)=1,$K896="Point",N($M896)&lt;=0),"Coastal point without REP_M_AREA – land/sea split unknown; ","")&amp;IF(AND(N($J896)=0,N($S896)&gt;0),"MARINE=0 but net marine &gt;0; ","")&amp;IF(AND(N($J896)=2,N($R896)&gt;0),"MARINE=2 but net terrestrial &gt;0; ","")&amp;IF($K896="Point","Buffered point – coverage approximate; ","")))</f>
        <v/>
      </c>
    </row>
    <row r="897">
      <c r="A897" s="19" t="n"/>
      <c r="B897" s="19" t="n"/>
      <c r="C897" s="19" t="n"/>
      <c r="D897" s="19" t="n"/>
      <c r="E897" s="19" t="n"/>
      <c r="F897" s="19" t="n"/>
      <c r="G897" s="19" t="n"/>
      <c r="H897" s="19" t="n"/>
      <c r="I897" s="19" t="n"/>
      <c r="J897" s="19" t="n"/>
      <c r="K897" s="19" t="n"/>
      <c r="L897" s="20" t="n"/>
      <c r="M897" s="20" t="n"/>
      <c r="N897" s="20" t="n"/>
      <c r="O897" s="20" t="n"/>
      <c r="P897" s="19" t="n"/>
      <c r="Q897" s="19" t="n"/>
      <c r="R897" s="20" t="n"/>
      <c r="S897" s="20" t="n"/>
      <c r="T897" s="19" t="n"/>
      <c r="U897" s="19" t="n"/>
      <c r="V897" s="19" t="n"/>
      <c r="W897" s="19" t="n"/>
      <c r="X897" s="19" t="n"/>
      <c r="Y897" s="19" t="n"/>
      <c r="Z897" s="21">
        <f>IF(AND($A897="",$B897=""),"",IF(OR($E897="",$H897="",$H897="Proposed",$H897="Not Reported"),0,IF(AND($P897="Y",$Q897&lt;&gt;"Y"),0,IF(AND($K897="Point",N($L897)&lt;=0),0,IF(AND(N($L897)&lt;=0,N($N897)&lt;=0,N($R897)+N($S897)&lt;=0),0,1)))))</f>
        <v/>
      </c>
      <c r="AA897" s="21">
        <f>IF(AND($A897="",$B897=""),"",IF($E897="","Site type missing",IF($H897="","STATUS missing",IF($H897="Proposed","STATUS = Proposed",IF($H897="Not Reported","STATUS = Not Reported",IF(AND($P897="Y",$Q897&lt;&gt;"Y"),"UNESCO-MAB Biosphere Reserve",IF(AND($K897="Point",N($L897)&lt;=0),"Point without REP_AREA",IF(AND(N($L897)&lt;=0,N($N897)&lt;=0,N($R897)+N($S897)&lt;=0),"No area information",""))))))))</f>
        <v/>
      </c>
      <c r="AB897" s="22">
        <f>IF(AND($A897="",$B897=""),"",IF($K897="Point",N($L897),IF(N($N897)&gt;0,N($N897),N($L897))))</f>
        <v/>
      </c>
      <c r="AC897" s="22">
        <f>IF(AND($A897="",$B897=""),"",MIN(AB897,IF(N($J897)=0,0,IF(N($J897)=2,AB897,IF(AND($K897&lt;&gt;"Point",N($O897)&gt;0),N($O897),N($M897))))))</f>
        <v/>
      </c>
      <c r="AD897" s="22">
        <f>IF(AND($A897="",$B897=""),"",MAX(0,AB897-AC897))</f>
        <v/>
      </c>
      <c r="AE897" s="21">
        <f>IF(AND($A897="",$B897=""),"",IF(OR($R897&lt;&gt;"",$S897&lt;&gt;""),1,0))</f>
        <v/>
      </c>
      <c r="AF897" s="22">
        <f>IF(AND($A897="",$B897=""),"",IF(Z897=1,IF(AE897=1,N($R897),AD897),0))</f>
        <v/>
      </c>
      <c r="AG897" s="22">
        <f>IF(AND($A897="",$B897=""),"",IF(Z897=1,IF(AE897=1,N($S897),AC897),0))</f>
        <v/>
      </c>
      <c r="AH897" s="21">
        <f>IF(AND($A897="",$B897=""),"",IF(AND(ISNUMBER($I897),N($I897)&gt;0),$I897,0))</f>
        <v/>
      </c>
      <c r="AI897" s="23">
        <f>IF(AND(NOT(AND($A897="",$B897="")),$K897="Point",N($L897)&gt;0),SQRT(N($L897)/PI()),"")</f>
        <v/>
      </c>
      <c r="AJ897" s="21">
        <f>IF(AND($A897="",$B897=""),"",IFERROR(VLOOKUP($G897,Lists!$D$4:$E$15,2,FALSE),"Not reported"))</f>
        <v/>
      </c>
      <c r="AK897" s="21">
        <f>IF(AND($A897="",$B897=""),"",IF($X897&lt;&gt;"",$X897,IF($T897&lt;&gt;"Y","Not assessed",IF(AND(ISNUMBER($V897),Setup!$B$6-$V897&gt;Setup!$B$26),"Assessment outdated",IF(NOT(ISNUMBER($W897)),"Assessed – no score",IF($W897&gt;=Setup!$B$24,"High",IF($W897&gt;=Setup!$B$25,"Moderate","Low")))))))</f>
        <v/>
      </c>
      <c r="AL897" s="21">
        <f>IF(AND($A897="",$B897=""),"",IF(Z897=0,"",IF(AND(AE897=1,N($R897)&gt;AD897*1.01+0.001),"Net terrestrial &gt; gross; ","")&amp;IF(AND(AE897=1,N($S897)&gt;AC897*1.01+0.001),"Net marine &gt; gross; ","")&amp;IF(AE897=0,"No net area – gross used, overlaps may be double-counted; ","")&amp;IF(AH897=0,"STATUS_YR missing – imputed in time series; ","")&amp;IF(AND(ISNUMBER($I897),N($I897)&gt;Setup!$B$6),"STATUS_YR after reporting year; ","")&amp;IF(OR($G897="",$G897="Not Reported"),"GOV_TYPE not reported; ","")&amp;IF(AND(N($J897)=1,$K897="Point",N($M897)&lt;=0),"Coastal point without REP_M_AREA – land/sea split unknown; ","")&amp;IF(AND(N($J897)=0,N($S897)&gt;0),"MARINE=0 but net marine &gt;0; ","")&amp;IF(AND(N($J897)=2,N($R897)&gt;0),"MARINE=2 but net terrestrial &gt;0; ","")&amp;IF($K897="Point","Buffered point – coverage approximate; ","")))</f>
        <v/>
      </c>
    </row>
    <row r="898">
      <c r="A898" s="19" t="n"/>
      <c r="B898" s="19" t="n"/>
      <c r="C898" s="19" t="n"/>
      <c r="D898" s="19" t="n"/>
      <c r="E898" s="19" t="n"/>
      <c r="F898" s="19" t="n"/>
      <c r="G898" s="19" t="n"/>
      <c r="H898" s="19" t="n"/>
      <c r="I898" s="19" t="n"/>
      <c r="J898" s="19" t="n"/>
      <c r="K898" s="19" t="n"/>
      <c r="L898" s="20" t="n"/>
      <c r="M898" s="20" t="n"/>
      <c r="N898" s="20" t="n"/>
      <c r="O898" s="20" t="n"/>
      <c r="P898" s="19" t="n"/>
      <c r="Q898" s="19" t="n"/>
      <c r="R898" s="20" t="n"/>
      <c r="S898" s="20" t="n"/>
      <c r="T898" s="19" t="n"/>
      <c r="U898" s="19" t="n"/>
      <c r="V898" s="19" t="n"/>
      <c r="W898" s="19" t="n"/>
      <c r="X898" s="19" t="n"/>
      <c r="Y898" s="19" t="n"/>
      <c r="Z898" s="21">
        <f>IF(AND($A898="",$B898=""),"",IF(OR($E898="",$H898="",$H898="Proposed",$H898="Not Reported"),0,IF(AND($P898="Y",$Q898&lt;&gt;"Y"),0,IF(AND($K898="Point",N($L898)&lt;=0),0,IF(AND(N($L898)&lt;=0,N($N898)&lt;=0,N($R898)+N($S898)&lt;=0),0,1)))))</f>
        <v/>
      </c>
      <c r="AA898" s="21">
        <f>IF(AND($A898="",$B898=""),"",IF($E898="","Site type missing",IF($H898="","STATUS missing",IF($H898="Proposed","STATUS = Proposed",IF($H898="Not Reported","STATUS = Not Reported",IF(AND($P898="Y",$Q898&lt;&gt;"Y"),"UNESCO-MAB Biosphere Reserve",IF(AND($K898="Point",N($L898)&lt;=0),"Point without REP_AREA",IF(AND(N($L898)&lt;=0,N($N898)&lt;=0,N($R898)+N($S898)&lt;=0),"No area information",""))))))))</f>
        <v/>
      </c>
      <c r="AB898" s="22">
        <f>IF(AND($A898="",$B898=""),"",IF($K898="Point",N($L898),IF(N($N898)&gt;0,N($N898),N($L898))))</f>
        <v/>
      </c>
      <c r="AC898" s="22">
        <f>IF(AND($A898="",$B898=""),"",MIN(AB898,IF(N($J898)=0,0,IF(N($J898)=2,AB898,IF(AND($K898&lt;&gt;"Point",N($O898)&gt;0),N($O898),N($M898))))))</f>
        <v/>
      </c>
      <c r="AD898" s="22">
        <f>IF(AND($A898="",$B898=""),"",MAX(0,AB898-AC898))</f>
        <v/>
      </c>
      <c r="AE898" s="21">
        <f>IF(AND($A898="",$B898=""),"",IF(OR($R898&lt;&gt;"",$S898&lt;&gt;""),1,0))</f>
        <v/>
      </c>
      <c r="AF898" s="22">
        <f>IF(AND($A898="",$B898=""),"",IF(Z898=1,IF(AE898=1,N($R898),AD898),0))</f>
        <v/>
      </c>
      <c r="AG898" s="22">
        <f>IF(AND($A898="",$B898=""),"",IF(Z898=1,IF(AE898=1,N($S898),AC898),0))</f>
        <v/>
      </c>
      <c r="AH898" s="21">
        <f>IF(AND($A898="",$B898=""),"",IF(AND(ISNUMBER($I898),N($I898)&gt;0),$I898,0))</f>
        <v/>
      </c>
      <c r="AI898" s="23">
        <f>IF(AND(NOT(AND($A898="",$B898="")),$K898="Point",N($L898)&gt;0),SQRT(N($L898)/PI()),"")</f>
        <v/>
      </c>
      <c r="AJ898" s="21">
        <f>IF(AND($A898="",$B898=""),"",IFERROR(VLOOKUP($G898,Lists!$D$4:$E$15,2,FALSE),"Not reported"))</f>
        <v/>
      </c>
      <c r="AK898" s="21">
        <f>IF(AND($A898="",$B898=""),"",IF($X898&lt;&gt;"",$X898,IF($T898&lt;&gt;"Y","Not assessed",IF(AND(ISNUMBER($V898),Setup!$B$6-$V898&gt;Setup!$B$26),"Assessment outdated",IF(NOT(ISNUMBER($W898)),"Assessed – no score",IF($W898&gt;=Setup!$B$24,"High",IF($W898&gt;=Setup!$B$25,"Moderate","Low")))))))</f>
        <v/>
      </c>
      <c r="AL898" s="21">
        <f>IF(AND($A898="",$B898=""),"",IF(Z898=0,"",IF(AND(AE898=1,N($R898)&gt;AD898*1.01+0.001),"Net terrestrial &gt; gross; ","")&amp;IF(AND(AE898=1,N($S898)&gt;AC898*1.01+0.001),"Net marine &gt; gross; ","")&amp;IF(AE898=0,"No net area – gross used, overlaps may be double-counted; ","")&amp;IF(AH898=0,"STATUS_YR missing – imputed in time series; ","")&amp;IF(AND(ISNUMBER($I898),N($I898)&gt;Setup!$B$6),"STATUS_YR after reporting year; ","")&amp;IF(OR($G898="",$G898="Not Reported"),"GOV_TYPE not reported; ","")&amp;IF(AND(N($J898)=1,$K898="Point",N($M898)&lt;=0),"Coastal point without REP_M_AREA – land/sea split unknown; ","")&amp;IF(AND(N($J898)=0,N($S898)&gt;0),"MARINE=0 but net marine &gt;0; ","")&amp;IF(AND(N($J898)=2,N($R898)&gt;0),"MARINE=2 but net terrestrial &gt;0; ","")&amp;IF($K898="Point","Buffered point – coverage approximate; ","")))</f>
        <v/>
      </c>
    </row>
    <row r="899">
      <c r="A899" s="19" t="n"/>
      <c r="B899" s="19" t="n"/>
      <c r="C899" s="19" t="n"/>
      <c r="D899" s="19" t="n"/>
      <c r="E899" s="19" t="n"/>
      <c r="F899" s="19" t="n"/>
      <c r="G899" s="19" t="n"/>
      <c r="H899" s="19" t="n"/>
      <c r="I899" s="19" t="n"/>
      <c r="J899" s="19" t="n"/>
      <c r="K899" s="19" t="n"/>
      <c r="L899" s="20" t="n"/>
      <c r="M899" s="20" t="n"/>
      <c r="N899" s="20" t="n"/>
      <c r="O899" s="20" t="n"/>
      <c r="P899" s="19" t="n"/>
      <c r="Q899" s="19" t="n"/>
      <c r="R899" s="20" t="n"/>
      <c r="S899" s="20" t="n"/>
      <c r="T899" s="19" t="n"/>
      <c r="U899" s="19" t="n"/>
      <c r="V899" s="19" t="n"/>
      <c r="W899" s="19" t="n"/>
      <c r="X899" s="19" t="n"/>
      <c r="Y899" s="19" t="n"/>
      <c r="Z899" s="21">
        <f>IF(AND($A899="",$B899=""),"",IF(OR($E899="",$H899="",$H899="Proposed",$H899="Not Reported"),0,IF(AND($P899="Y",$Q899&lt;&gt;"Y"),0,IF(AND($K899="Point",N($L899)&lt;=0),0,IF(AND(N($L899)&lt;=0,N($N899)&lt;=0,N($R899)+N($S899)&lt;=0),0,1)))))</f>
        <v/>
      </c>
      <c r="AA899" s="21">
        <f>IF(AND($A899="",$B899=""),"",IF($E899="","Site type missing",IF($H899="","STATUS missing",IF($H899="Proposed","STATUS = Proposed",IF($H899="Not Reported","STATUS = Not Reported",IF(AND($P899="Y",$Q899&lt;&gt;"Y"),"UNESCO-MAB Biosphere Reserve",IF(AND($K899="Point",N($L899)&lt;=0),"Point without REP_AREA",IF(AND(N($L899)&lt;=0,N($N899)&lt;=0,N($R899)+N($S899)&lt;=0),"No area information",""))))))))</f>
        <v/>
      </c>
      <c r="AB899" s="22">
        <f>IF(AND($A899="",$B899=""),"",IF($K899="Point",N($L899),IF(N($N899)&gt;0,N($N899),N($L899))))</f>
        <v/>
      </c>
      <c r="AC899" s="22">
        <f>IF(AND($A899="",$B899=""),"",MIN(AB899,IF(N($J899)=0,0,IF(N($J899)=2,AB899,IF(AND($K899&lt;&gt;"Point",N($O899)&gt;0),N($O899),N($M899))))))</f>
        <v/>
      </c>
      <c r="AD899" s="22">
        <f>IF(AND($A899="",$B899=""),"",MAX(0,AB899-AC899))</f>
        <v/>
      </c>
      <c r="AE899" s="21">
        <f>IF(AND($A899="",$B899=""),"",IF(OR($R899&lt;&gt;"",$S899&lt;&gt;""),1,0))</f>
        <v/>
      </c>
      <c r="AF899" s="22">
        <f>IF(AND($A899="",$B899=""),"",IF(Z899=1,IF(AE899=1,N($R899),AD899),0))</f>
        <v/>
      </c>
      <c r="AG899" s="22">
        <f>IF(AND($A899="",$B899=""),"",IF(Z899=1,IF(AE899=1,N($S899),AC899),0))</f>
        <v/>
      </c>
      <c r="AH899" s="21">
        <f>IF(AND($A899="",$B899=""),"",IF(AND(ISNUMBER($I899),N($I899)&gt;0),$I899,0))</f>
        <v/>
      </c>
      <c r="AI899" s="23">
        <f>IF(AND(NOT(AND($A899="",$B899="")),$K899="Point",N($L899)&gt;0),SQRT(N($L899)/PI()),"")</f>
        <v/>
      </c>
      <c r="AJ899" s="21">
        <f>IF(AND($A899="",$B899=""),"",IFERROR(VLOOKUP($G899,Lists!$D$4:$E$15,2,FALSE),"Not reported"))</f>
        <v/>
      </c>
      <c r="AK899" s="21">
        <f>IF(AND($A899="",$B899=""),"",IF($X899&lt;&gt;"",$X899,IF($T899&lt;&gt;"Y","Not assessed",IF(AND(ISNUMBER($V899),Setup!$B$6-$V899&gt;Setup!$B$26),"Assessment outdated",IF(NOT(ISNUMBER($W899)),"Assessed – no score",IF($W899&gt;=Setup!$B$24,"High",IF($W899&gt;=Setup!$B$25,"Moderate","Low")))))))</f>
        <v/>
      </c>
      <c r="AL899" s="21">
        <f>IF(AND($A899="",$B899=""),"",IF(Z899=0,"",IF(AND(AE899=1,N($R899)&gt;AD899*1.01+0.001),"Net terrestrial &gt; gross; ","")&amp;IF(AND(AE899=1,N($S899)&gt;AC899*1.01+0.001),"Net marine &gt; gross; ","")&amp;IF(AE899=0,"No net area – gross used, overlaps may be double-counted; ","")&amp;IF(AH899=0,"STATUS_YR missing – imputed in time series; ","")&amp;IF(AND(ISNUMBER($I899),N($I899)&gt;Setup!$B$6),"STATUS_YR after reporting year; ","")&amp;IF(OR($G899="",$G899="Not Reported"),"GOV_TYPE not reported; ","")&amp;IF(AND(N($J899)=1,$K899="Point",N($M899)&lt;=0),"Coastal point without REP_M_AREA – land/sea split unknown; ","")&amp;IF(AND(N($J899)=0,N($S899)&gt;0),"MARINE=0 but net marine &gt;0; ","")&amp;IF(AND(N($J899)=2,N($R899)&gt;0),"MARINE=2 but net terrestrial &gt;0; ","")&amp;IF($K899="Point","Buffered point – coverage approximate; ","")))</f>
        <v/>
      </c>
    </row>
    <row r="900">
      <c r="A900" s="19" t="n"/>
      <c r="B900" s="19" t="n"/>
      <c r="C900" s="19" t="n"/>
      <c r="D900" s="19" t="n"/>
      <c r="E900" s="19" t="n"/>
      <c r="F900" s="19" t="n"/>
      <c r="G900" s="19" t="n"/>
      <c r="H900" s="19" t="n"/>
      <c r="I900" s="19" t="n"/>
      <c r="J900" s="19" t="n"/>
      <c r="K900" s="19" t="n"/>
      <c r="L900" s="20" t="n"/>
      <c r="M900" s="20" t="n"/>
      <c r="N900" s="20" t="n"/>
      <c r="O900" s="20" t="n"/>
      <c r="P900" s="19" t="n"/>
      <c r="Q900" s="19" t="n"/>
      <c r="R900" s="20" t="n"/>
      <c r="S900" s="20" t="n"/>
      <c r="T900" s="19" t="n"/>
      <c r="U900" s="19" t="n"/>
      <c r="V900" s="19" t="n"/>
      <c r="W900" s="19" t="n"/>
      <c r="X900" s="19" t="n"/>
      <c r="Y900" s="19" t="n"/>
      <c r="Z900" s="21">
        <f>IF(AND($A900="",$B900=""),"",IF(OR($E900="",$H900="",$H900="Proposed",$H900="Not Reported"),0,IF(AND($P900="Y",$Q900&lt;&gt;"Y"),0,IF(AND($K900="Point",N($L900)&lt;=0),0,IF(AND(N($L900)&lt;=0,N($N900)&lt;=0,N($R900)+N($S900)&lt;=0),0,1)))))</f>
        <v/>
      </c>
      <c r="AA900" s="21">
        <f>IF(AND($A900="",$B900=""),"",IF($E900="","Site type missing",IF($H900="","STATUS missing",IF($H900="Proposed","STATUS = Proposed",IF($H900="Not Reported","STATUS = Not Reported",IF(AND($P900="Y",$Q900&lt;&gt;"Y"),"UNESCO-MAB Biosphere Reserve",IF(AND($K900="Point",N($L900)&lt;=0),"Point without REP_AREA",IF(AND(N($L900)&lt;=0,N($N900)&lt;=0,N($R900)+N($S900)&lt;=0),"No area information",""))))))))</f>
        <v/>
      </c>
      <c r="AB900" s="22">
        <f>IF(AND($A900="",$B900=""),"",IF($K900="Point",N($L900),IF(N($N900)&gt;0,N($N900),N($L900))))</f>
        <v/>
      </c>
      <c r="AC900" s="22">
        <f>IF(AND($A900="",$B900=""),"",MIN(AB900,IF(N($J900)=0,0,IF(N($J900)=2,AB900,IF(AND($K900&lt;&gt;"Point",N($O900)&gt;0),N($O900),N($M900))))))</f>
        <v/>
      </c>
      <c r="AD900" s="22">
        <f>IF(AND($A900="",$B900=""),"",MAX(0,AB900-AC900))</f>
        <v/>
      </c>
      <c r="AE900" s="21">
        <f>IF(AND($A900="",$B900=""),"",IF(OR($R900&lt;&gt;"",$S900&lt;&gt;""),1,0))</f>
        <v/>
      </c>
      <c r="AF900" s="22">
        <f>IF(AND($A900="",$B900=""),"",IF(Z900=1,IF(AE900=1,N($R900),AD900),0))</f>
        <v/>
      </c>
      <c r="AG900" s="22">
        <f>IF(AND($A900="",$B900=""),"",IF(Z900=1,IF(AE900=1,N($S900),AC900),0))</f>
        <v/>
      </c>
      <c r="AH900" s="21">
        <f>IF(AND($A900="",$B900=""),"",IF(AND(ISNUMBER($I900),N($I900)&gt;0),$I900,0))</f>
        <v/>
      </c>
      <c r="AI900" s="23">
        <f>IF(AND(NOT(AND($A900="",$B900="")),$K900="Point",N($L900)&gt;0),SQRT(N($L900)/PI()),"")</f>
        <v/>
      </c>
      <c r="AJ900" s="21">
        <f>IF(AND($A900="",$B900=""),"",IFERROR(VLOOKUP($G900,Lists!$D$4:$E$15,2,FALSE),"Not reported"))</f>
        <v/>
      </c>
      <c r="AK900" s="21">
        <f>IF(AND($A900="",$B900=""),"",IF($X900&lt;&gt;"",$X900,IF($T900&lt;&gt;"Y","Not assessed",IF(AND(ISNUMBER($V900),Setup!$B$6-$V900&gt;Setup!$B$26),"Assessment outdated",IF(NOT(ISNUMBER($W900)),"Assessed – no score",IF($W900&gt;=Setup!$B$24,"High",IF($W900&gt;=Setup!$B$25,"Moderate","Low")))))))</f>
        <v/>
      </c>
      <c r="AL900" s="21">
        <f>IF(AND($A900="",$B900=""),"",IF(Z900=0,"",IF(AND(AE900=1,N($R900)&gt;AD900*1.01+0.001),"Net terrestrial &gt; gross; ","")&amp;IF(AND(AE900=1,N($S900)&gt;AC900*1.01+0.001),"Net marine &gt; gross; ","")&amp;IF(AE900=0,"No net area – gross used, overlaps may be double-counted; ","")&amp;IF(AH900=0,"STATUS_YR missing – imputed in time series; ","")&amp;IF(AND(ISNUMBER($I900),N($I900)&gt;Setup!$B$6),"STATUS_YR after reporting year; ","")&amp;IF(OR($G900="",$G900="Not Reported"),"GOV_TYPE not reported; ","")&amp;IF(AND(N($J900)=1,$K900="Point",N($M900)&lt;=0),"Coastal point without REP_M_AREA – land/sea split unknown; ","")&amp;IF(AND(N($J900)=0,N($S900)&gt;0),"MARINE=0 but net marine &gt;0; ","")&amp;IF(AND(N($J900)=2,N($R900)&gt;0),"MARINE=2 but net terrestrial &gt;0; ","")&amp;IF($K900="Point","Buffered point – coverage approximate; ","")))</f>
        <v/>
      </c>
    </row>
    <row r="901">
      <c r="A901" s="19" t="n"/>
      <c r="B901" s="19" t="n"/>
      <c r="C901" s="19" t="n"/>
      <c r="D901" s="19" t="n"/>
      <c r="E901" s="19" t="n"/>
      <c r="F901" s="19" t="n"/>
      <c r="G901" s="19" t="n"/>
      <c r="H901" s="19" t="n"/>
      <c r="I901" s="19" t="n"/>
      <c r="J901" s="19" t="n"/>
      <c r="K901" s="19" t="n"/>
      <c r="L901" s="20" t="n"/>
      <c r="M901" s="20" t="n"/>
      <c r="N901" s="20" t="n"/>
      <c r="O901" s="20" t="n"/>
      <c r="P901" s="19" t="n"/>
      <c r="Q901" s="19" t="n"/>
      <c r="R901" s="20" t="n"/>
      <c r="S901" s="20" t="n"/>
      <c r="T901" s="19" t="n"/>
      <c r="U901" s="19" t="n"/>
      <c r="V901" s="19" t="n"/>
      <c r="W901" s="19" t="n"/>
      <c r="X901" s="19" t="n"/>
      <c r="Y901" s="19" t="n"/>
      <c r="Z901" s="21">
        <f>IF(AND($A901="",$B901=""),"",IF(OR($E901="",$H901="",$H901="Proposed",$H901="Not Reported"),0,IF(AND($P901="Y",$Q901&lt;&gt;"Y"),0,IF(AND($K901="Point",N($L901)&lt;=0),0,IF(AND(N($L901)&lt;=0,N($N901)&lt;=0,N($R901)+N($S901)&lt;=0),0,1)))))</f>
        <v/>
      </c>
      <c r="AA901" s="21">
        <f>IF(AND($A901="",$B901=""),"",IF($E901="","Site type missing",IF($H901="","STATUS missing",IF($H901="Proposed","STATUS = Proposed",IF($H901="Not Reported","STATUS = Not Reported",IF(AND($P901="Y",$Q901&lt;&gt;"Y"),"UNESCO-MAB Biosphere Reserve",IF(AND($K901="Point",N($L901)&lt;=0),"Point without REP_AREA",IF(AND(N($L901)&lt;=0,N($N901)&lt;=0,N($R901)+N($S901)&lt;=0),"No area information",""))))))))</f>
        <v/>
      </c>
      <c r="AB901" s="22">
        <f>IF(AND($A901="",$B901=""),"",IF($K901="Point",N($L901),IF(N($N901)&gt;0,N($N901),N($L901))))</f>
        <v/>
      </c>
      <c r="AC901" s="22">
        <f>IF(AND($A901="",$B901=""),"",MIN(AB901,IF(N($J901)=0,0,IF(N($J901)=2,AB901,IF(AND($K901&lt;&gt;"Point",N($O901)&gt;0),N($O901),N($M901))))))</f>
        <v/>
      </c>
      <c r="AD901" s="22">
        <f>IF(AND($A901="",$B901=""),"",MAX(0,AB901-AC901))</f>
        <v/>
      </c>
      <c r="AE901" s="21">
        <f>IF(AND($A901="",$B901=""),"",IF(OR($R901&lt;&gt;"",$S901&lt;&gt;""),1,0))</f>
        <v/>
      </c>
      <c r="AF901" s="22">
        <f>IF(AND($A901="",$B901=""),"",IF(Z901=1,IF(AE901=1,N($R901),AD901),0))</f>
        <v/>
      </c>
      <c r="AG901" s="22">
        <f>IF(AND($A901="",$B901=""),"",IF(Z901=1,IF(AE901=1,N($S901),AC901),0))</f>
        <v/>
      </c>
      <c r="AH901" s="21">
        <f>IF(AND($A901="",$B901=""),"",IF(AND(ISNUMBER($I901),N($I901)&gt;0),$I901,0))</f>
        <v/>
      </c>
      <c r="AI901" s="23">
        <f>IF(AND(NOT(AND($A901="",$B901="")),$K901="Point",N($L901)&gt;0),SQRT(N($L901)/PI()),"")</f>
        <v/>
      </c>
      <c r="AJ901" s="21">
        <f>IF(AND($A901="",$B901=""),"",IFERROR(VLOOKUP($G901,Lists!$D$4:$E$15,2,FALSE),"Not reported"))</f>
        <v/>
      </c>
      <c r="AK901" s="21">
        <f>IF(AND($A901="",$B901=""),"",IF($X901&lt;&gt;"",$X901,IF($T901&lt;&gt;"Y","Not assessed",IF(AND(ISNUMBER($V901),Setup!$B$6-$V901&gt;Setup!$B$26),"Assessment outdated",IF(NOT(ISNUMBER($W901)),"Assessed – no score",IF($W901&gt;=Setup!$B$24,"High",IF($W901&gt;=Setup!$B$25,"Moderate","Low")))))))</f>
        <v/>
      </c>
      <c r="AL901" s="21">
        <f>IF(AND($A901="",$B901=""),"",IF(Z901=0,"",IF(AND(AE901=1,N($R901)&gt;AD901*1.01+0.001),"Net terrestrial &gt; gross; ","")&amp;IF(AND(AE901=1,N($S901)&gt;AC901*1.01+0.001),"Net marine &gt; gross; ","")&amp;IF(AE901=0,"No net area – gross used, overlaps may be double-counted; ","")&amp;IF(AH901=0,"STATUS_YR missing – imputed in time series; ","")&amp;IF(AND(ISNUMBER($I901),N($I901)&gt;Setup!$B$6),"STATUS_YR after reporting year; ","")&amp;IF(OR($G901="",$G901="Not Reported"),"GOV_TYPE not reported; ","")&amp;IF(AND(N($J901)=1,$K901="Point",N($M901)&lt;=0),"Coastal point without REP_M_AREA – land/sea split unknown; ","")&amp;IF(AND(N($J901)=0,N($S901)&gt;0),"MARINE=0 but net marine &gt;0; ","")&amp;IF(AND(N($J901)=2,N($R901)&gt;0),"MARINE=2 but net terrestrial &gt;0; ","")&amp;IF($K901="Point","Buffered point – coverage approximate; ","")))</f>
        <v/>
      </c>
    </row>
    <row r="902">
      <c r="A902" s="19" t="n"/>
      <c r="B902" s="19" t="n"/>
      <c r="C902" s="19" t="n"/>
      <c r="D902" s="19" t="n"/>
      <c r="E902" s="19" t="n"/>
      <c r="F902" s="19" t="n"/>
      <c r="G902" s="19" t="n"/>
      <c r="H902" s="19" t="n"/>
      <c r="I902" s="19" t="n"/>
      <c r="J902" s="19" t="n"/>
      <c r="K902" s="19" t="n"/>
      <c r="L902" s="20" t="n"/>
      <c r="M902" s="20" t="n"/>
      <c r="N902" s="20" t="n"/>
      <c r="O902" s="20" t="n"/>
      <c r="P902" s="19" t="n"/>
      <c r="Q902" s="19" t="n"/>
      <c r="R902" s="20" t="n"/>
      <c r="S902" s="20" t="n"/>
      <c r="T902" s="19" t="n"/>
      <c r="U902" s="19" t="n"/>
      <c r="V902" s="19" t="n"/>
      <c r="W902" s="19" t="n"/>
      <c r="X902" s="19" t="n"/>
      <c r="Y902" s="19" t="n"/>
      <c r="Z902" s="21">
        <f>IF(AND($A902="",$B902=""),"",IF(OR($E902="",$H902="",$H902="Proposed",$H902="Not Reported"),0,IF(AND($P902="Y",$Q902&lt;&gt;"Y"),0,IF(AND($K902="Point",N($L902)&lt;=0),0,IF(AND(N($L902)&lt;=0,N($N902)&lt;=0,N($R902)+N($S902)&lt;=0),0,1)))))</f>
        <v/>
      </c>
      <c r="AA902" s="21">
        <f>IF(AND($A902="",$B902=""),"",IF($E902="","Site type missing",IF($H902="","STATUS missing",IF($H902="Proposed","STATUS = Proposed",IF($H902="Not Reported","STATUS = Not Reported",IF(AND($P902="Y",$Q902&lt;&gt;"Y"),"UNESCO-MAB Biosphere Reserve",IF(AND($K902="Point",N($L902)&lt;=0),"Point without REP_AREA",IF(AND(N($L902)&lt;=0,N($N902)&lt;=0,N($R902)+N($S902)&lt;=0),"No area information",""))))))))</f>
        <v/>
      </c>
      <c r="AB902" s="22">
        <f>IF(AND($A902="",$B902=""),"",IF($K902="Point",N($L902),IF(N($N902)&gt;0,N($N902),N($L902))))</f>
        <v/>
      </c>
      <c r="AC902" s="22">
        <f>IF(AND($A902="",$B902=""),"",MIN(AB902,IF(N($J902)=0,0,IF(N($J902)=2,AB902,IF(AND($K902&lt;&gt;"Point",N($O902)&gt;0),N($O902),N($M902))))))</f>
        <v/>
      </c>
      <c r="AD902" s="22">
        <f>IF(AND($A902="",$B902=""),"",MAX(0,AB902-AC902))</f>
        <v/>
      </c>
      <c r="AE902" s="21">
        <f>IF(AND($A902="",$B902=""),"",IF(OR($R902&lt;&gt;"",$S902&lt;&gt;""),1,0))</f>
        <v/>
      </c>
      <c r="AF902" s="22">
        <f>IF(AND($A902="",$B902=""),"",IF(Z902=1,IF(AE902=1,N($R902),AD902),0))</f>
        <v/>
      </c>
      <c r="AG902" s="22">
        <f>IF(AND($A902="",$B902=""),"",IF(Z902=1,IF(AE902=1,N($S902),AC902),0))</f>
        <v/>
      </c>
      <c r="AH902" s="21">
        <f>IF(AND($A902="",$B902=""),"",IF(AND(ISNUMBER($I902),N($I902)&gt;0),$I902,0))</f>
        <v/>
      </c>
      <c r="AI902" s="23">
        <f>IF(AND(NOT(AND($A902="",$B902="")),$K902="Point",N($L902)&gt;0),SQRT(N($L902)/PI()),"")</f>
        <v/>
      </c>
      <c r="AJ902" s="21">
        <f>IF(AND($A902="",$B902=""),"",IFERROR(VLOOKUP($G902,Lists!$D$4:$E$15,2,FALSE),"Not reported"))</f>
        <v/>
      </c>
      <c r="AK902" s="21">
        <f>IF(AND($A902="",$B902=""),"",IF($X902&lt;&gt;"",$X902,IF($T902&lt;&gt;"Y","Not assessed",IF(AND(ISNUMBER($V902),Setup!$B$6-$V902&gt;Setup!$B$26),"Assessment outdated",IF(NOT(ISNUMBER($W902)),"Assessed – no score",IF($W902&gt;=Setup!$B$24,"High",IF($W902&gt;=Setup!$B$25,"Moderate","Low")))))))</f>
        <v/>
      </c>
      <c r="AL902" s="21">
        <f>IF(AND($A902="",$B902=""),"",IF(Z902=0,"",IF(AND(AE902=1,N($R902)&gt;AD902*1.01+0.001),"Net terrestrial &gt; gross; ","")&amp;IF(AND(AE902=1,N($S902)&gt;AC902*1.01+0.001),"Net marine &gt; gross; ","")&amp;IF(AE902=0,"No net area – gross used, overlaps may be double-counted; ","")&amp;IF(AH902=0,"STATUS_YR missing – imputed in time series; ","")&amp;IF(AND(ISNUMBER($I902),N($I902)&gt;Setup!$B$6),"STATUS_YR after reporting year; ","")&amp;IF(OR($G902="",$G902="Not Reported"),"GOV_TYPE not reported; ","")&amp;IF(AND(N($J902)=1,$K902="Point",N($M902)&lt;=0),"Coastal point without REP_M_AREA – land/sea split unknown; ","")&amp;IF(AND(N($J902)=0,N($S902)&gt;0),"MARINE=0 but net marine &gt;0; ","")&amp;IF(AND(N($J902)=2,N($R902)&gt;0),"MARINE=2 but net terrestrial &gt;0; ","")&amp;IF($K902="Point","Buffered point – coverage approximate; ","")))</f>
        <v/>
      </c>
    </row>
    <row r="903">
      <c r="A903" s="19" t="n"/>
      <c r="B903" s="19" t="n"/>
      <c r="C903" s="19" t="n"/>
      <c r="D903" s="19" t="n"/>
      <c r="E903" s="19" t="n"/>
      <c r="F903" s="19" t="n"/>
      <c r="G903" s="19" t="n"/>
      <c r="H903" s="19" t="n"/>
      <c r="I903" s="19" t="n"/>
      <c r="J903" s="19" t="n"/>
      <c r="K903" s="19" t="n"/>
      <c r="L903" s="20" t="n"/>
      <c r="M903" s="20" t="n"/>
      <c r="N903" s="20" t="n"/>
      <c r="O903" s="20" t="n"/>
      <c r="P903" s="19" t="n"/>
      <c r="Q903" s="19" t="n"/>
      <c r="R903" s="20" t="n"/>
      <c r="S903" s="20" t="n"/>
      <c r="T903" s="19" t="n"/>
      <c r="U903" s="19" t="n"/>
      <c r="V903" s="19" t="n"/>
      <c r="W903" s="19" t="n"/>
      <c r="X903" s="19" t="n"/>
      <c r="Y903" s="19" t="n"/>
      <c r="Z903" s="21">
        <f>IF(AND($A903="",$B903=""),"",IF(OR($E903="",$H903="",$H903="Proposed",$H903="Not Reported"),0,IF(AND($P903="Y",$Q903&lt;&gt;"Y"),0,IF(AND($K903="Point",N($L903)&lt;=0),0,IF(AND(N($L903)&lt;=0,N($N903)&lt;=0,N($R903)+N($S903)&lt;=0),0,1)))))</f>
        <v/>
      </c>
      <c r="AA903" s="21">
        <f>IF(AND($A903="",$B903=""),"",IF($E903="","Site type missing",IF($H903="","STATUS missing",IF($H903="Proposed","STATUS = Proposed",IF($H903="Not Reported","STATUS = Not Reported",IF(AND($P903="Y",$Q903&lt;&gt;"Y"),"UNESCO-MAB Biosphere Reserve",IF(AND($K903="Point",N($L903)&lt;=0),"Point without REP_AREA",IF(AND(N($L903)&lt;=0,N($N903)&lt;=0,N($R903)+N($S903)&lt;=0),"No area information",""))))))))</f>
        <v/>
      </c>
      <c r="AB903" s="22">
        <f>IF(AND($A903="",$B903=""),"",IF($K903="Point",N($L903),IF(N($N903)&gt;0,N($N903),N($L903))))</f>
        <v/>
      </c>
      <c r="AC903" s="22">
        <f>IF(AND($A903="",$B903=""),"",MIN(AB903,IF(N($J903)=0,0,IF(N($J903)=2,AB903,IF(AND($K903&lt;&gt;"Point",N($O903)&gt;0),N($O903),N($M903))))))</f>
        <v/>
      </c>
      <c r="AD903" s="22">
        <f>IF(AND($A903="",$B903=""),"",MAX(0,AB903-AC903))</f>
        <v/>
      </c>
      <c r="AE903" s="21">
        <f>IF(AND($A903="",$B903=""),"",IF(OR($R903&lt;&gt;"",$S903&lt;&gt;""),1,0))</f>
        <v/>
      </c>
      <c r="AF903" s="22">
        <f>IF(AND($A903="",$B903=""),"",IF(Z903=1,IF(AE903=1,N($R903),AD903),0))</f>
        <v/>
      </c>
      <c r="AG903" s="22">
        <f>IF(AND($A903="",$B903=""),"",IF(Z903=1,IF(AE903=1,N($S903),AC903),0))</f>
        <v/>
      </c>
      <c r="AH903" s="21">
        <f>IF(AND($A903="",$B903=""),"",IF(AND(ISNUMBER($I903),N($I903)&gt;0),$I903,0))</f>
        <v/>
      </c>
      <c r="AI903" s="23">
        <f>IF(AND(NOT(AND($A903="",$B903="")),$K903="Point",N($L903)&gt;0),SQRT(N($L903)/PI()),"")</f>
        <v/>
      </c>
      <c r="AJ903" s="21">
        <f>IF(AND($A903="",$B903=""),"",IFERROR(VLOOKUP($G903,Lists!$D$4:$E$15,2,FALSE),"Not reported"))</f>
        <v/>
      </c>
      <c r="AK903" s="21">
        <f>IF(AND($A903="",$B903=""),"",IF($X903&lt;&gt;"",$X903,IF($T903&lt;&gt;"Y","Not assessed",IF(AND(ISNUMBER($V903),Setup!$B$6-$V903&gt;Setup!$B$26),"Assessment outdated",IF(NOT(ISNUMBER($W903)),"Assessed – no score",IF($W903&gt;=Setup!$B$24,"High",IF($W903&gt;=Setup!$B$25,"Moderate","Low")))))))</f>
        <v/>
      </c>
      <c r="AL903" s="21">
        <f>IF(AND($A903="",$B903=""),"",IF(Z903=0,"",IF(AND(AE903=1,N($R903)&gt;AD903*1.01+0.001),"Net terrestrial &gt; gross; ","")&amp;IF(AND(AE903=1,N($S903)&gt;AC903*1.01+0.001),"Net marine &gt; gross; ","")&amp;IF(AE903=0,"No net area – gross used, overlaps may be double-counted; ","")&amp;IF(AH903=0,"STATUS_YR missing – imputed in time series; ","")&amp;IF(AND(ISNUMBER($I903),N($I903)&gt;Setup!$B$6),"STATUS_YR after reporting year; ","")&amp;IF(OR($G903="",$G903="Not Reported"),"GOV_TYPE not reported; ","")&amp;IF(AND(N($J903)=1,$K903="Point",N($M903)&lt;=0),"Coastal point without REP_M_AREA – land/sea split unknown; ","")&amp;IF(AND(N($J903)=0,N($S903)&gt;0),"MARINE=0 but net marine &gt;0; ","")&amp;IF(AND(N($J903)=2,N($R903)&gt;0),"MARINE=2 but net terrestrial &gt;0; ","")&amp;IF($K903="Point","Buffered point – coverage approximate; ","")))</f>
        <v/>
      </c>
    </row>
    <row r="904">
      <c r="A904" s="19" t="n"/>
      <c r="B904" s="19" t="n"/>
      <c r="C904" s="19" t="n"/>
      <c r="D904" s="19" t="n"/>
      <c r="E904" s="19" t="n"/>
      <c r="F904" s="19" t="n"/>
      <c r="G904" s="19" t="n"/>
      <c r="H904" s="19" t="n"/>
      <c r="I904" s="19" t="n"/>
      <c r="J904" s="19" t="n"/>
      <c r="K904" s="19" t="n"/>
      <c r="L904" s="20" t="n"/>
      <c r="M904" s="20" t="n"/>
      <c r="N904" s="20" t="n"/>
      <c r="O904" s="20" t="n"/>
      <c r="P904" s="19" t="n"/>
      <c r="Q904" s="19" t="n"/>
      <c r="R904" s="20" t="n"/>
      <c r="S904" s="20" t="n"/>
      <c r="T904" s="19" t="n"/>
      <c r="U904" s="19" t="n"/>
      <c r="V904" s="19" t="n"/>
      <c r="W904" s="19" t="n"/>
      <c r="X904" s="19" t="n"/>
      <c r="Y904" s="19" t="n"/>
      <c r="Z904" s="21">
        <f>IF(AND($A904="",$B904=""),"",IF(OR($E904="",$H904="",$H904="Proposed",$H904="Not Reported"),0,IF(AND($P904="Y",$Q904&lt;&gt;"Y"),0,IF(AND($K904="Point",N($L904)&lt;=0),0,IF(AND(N($L904)&lt;=0,N($N904)&lt;=0,N($R904)+N($S904)&lt;=0),0,1)))))</f>
        <v/>
      </c>
      <c r="AA904" s="21">
        <f>IF(AND($A904="",$B904=""),"",IF($E904="","Site type missing",IF($H904="","STATUS missing",IF($H904="Proposed","STATUS = Proposed",IF($H904="Not Reported","STATUS = Not Reported",IF(AND($P904="Y",$Q904&lt;&gt;"Y"),"UNESCO-MAB Biosphere Reserve",IF(AND($K904="Point",N($L904)&lt;=0),"Point without REP_AREA",IF(AND(N($L904)&lt;=0,N($N904)&lt;=0,N($R904)+N($S904)&lt;=0),"No area information",""))))))))</f>
        <v/>
      </c>
      <c r="AB904" s="22">
        <f>IF(AND($A904="",$B904=""),"",IF($K904="Point",N($L904),IF(N($N904)&gt;0,N($N904),N($L904))))</f>
        <v/>
      </c>
      <c r="AC904" s="22">
        <f>IF(AND($A904="",$B904=""),"",MIN(AB904,IF(N($J904)=0,0,IF(N($J904)=2,AB904,IF(AND($K904&lt;&gt;"Point",N($O904)&gt;0),N($O904),N($M904))))))</f>
        <v/>
      </c>
      <c r="AD904" s="22">
        <f>IF(AND($A904="",$B904=""),"",MAX(0,AB904-AC904))</f>
        <v/>
      </c>
      <c r="AE904" s="21">
        <f>IF(AND($A904="",$B904=""),"",IF(OR($R904&lt;&gt;"",$S904&lt;&gt;""),1,0))</f>
        <v/>
      </c>
      <c r="AF904" s="22">
        <f>IF(AND($A904="",$B904=""),"",IF(Z904=1,IF(AE904=1,N($R904),AD904),0))</f>
        <v/>
      </c>
      <c r="AG904" s="22">
        <f>IF(AND($A904="",$B904=""),"",IF(Z904=1,IF(AE904=1,N($S904),AC904),0))</f>
        <v/>
      </c>
      <c r="AH904" s="21">
        <f>IF(AND($A904="",$B904=""),"",IF(AND(ISNUMBER($I904),N($I904)&gt;0),$I904,0))</f>
        <v/>
      </c>
      <c r="AI904" s="23">
        <f>IF(AND(NOT(AND($A904="",$B904="")),$K904="Point",N($L904)&gt;0),SQRT(N($L904)/PI()),"")</f>
        <v/>
      </c>
      <c r="AJ904" s="21">
        <f>IF(AND($A904="",$B904=""),"",IFERROR(VLOOKUP($G904,Lists!$D$4:$E$15,2,FALSE),"Not reported"))</f>
        <v/>
      </c>
      <c r="AK904" s="21">
        <f>IF(AND($A904="",$B904=""),"",IF($X904&lt;&gt;"",$X904,IF($T904&lt;&gt;"Y","Not assessed",IF(AND(ISNUMBER($V904),Setup!$B$6-$V904&gt;Setup!$B$26),"Assessment outdated",IF(NOT(ISNUMBER($W904)),"Assessed – no score",IF($W904&gt;=Setup!$B$24,"High",IF($W904&gt;=Setup!$B$25,"Moderate","Low")))))))</f>
        <v/>
      </c>
      <c r="AL904" s="21">
        <f>IF(AND($A904="",$B904=""),"",IF(Z904=0,"",IF(AND(AE904=1,N($R904)&gt;AD904*1.01+0.001),"Net terrestrial &gt; gross; ","")&amp;IF(AND(AE904=1,N($S904)&gt;AC904*1.01+0.001),"Net marine &gt; gross; ","")&amp;IF(AE904=0,"No net area – gross used, overlaps may be double-counted; ","")&amp;IF(AH904=0,"STATUS_YR missing – imputed in time series; ","")&amp;IF(AND(ISNUMBER($I904),N($I904)&gt;Setup!$B$6),"STATUS_YR after reporting year; ","")&amp;IF(OR($G904="",$G904="Not Reported"),"GOV_TYPE not reported; ","")&amp;IF(AND(N($J904)=1,$K904="Point",N($M904)&lt;=0),"Coastal point without REP_M_AREA – land/sea split unknown; ","")&amp;IF(AND(N($J904)=0,N($S904)&gt;0),"MARINE=0 but net marine &gt;0; ","")&amp;IF(AND(N($J904)=2,N($R904)&gt;0),"MARINE=2 but net terrestrial &gt;0; ","")&amp;IF($K904="Point","Buffered point – coverage approximate; ","")))</f>
        <v/>
      </c>
    </row>
    <row r="905">
      <c r="A905" s="19" t="n"/>
      <c r="B905" s="19" t="n"/>
      <c r="C905" s="19" t="n"/>
      <c r="D905" s="19" t="n"/>
      <c r="E905" s="19" t="n"/>
      <c r="F905" s="19" t="n"/>
      <c r="G905" s="19" t="n"/>
      <c r="H905" s="19" t="n"/>
      <c r="I905" s="19" t="n"/>
      <c r="J905" s="19" t="n"/>
      <c r="K905" s="19" t="n"/>
      <c r="L905" s="20" t="n"/>
      <c r="M905" s="20" t="n"/>
      <c r="N905" s="20" t="n"/>
      <c r="O905" s="20" t="n"/>
      <c r="P905" s="19" t="n"/>
      <c r="Q905" s="19" t="n"/>
      <c r="R905" s="20" t="n"/>
      <c r="S905" s="20" t="n"/>
      <c r="T905" s="19" t="n"/>
      <c r="U905" s="19" t="n"/>
      <c r="V905" s="19" t="n"/>
      <c r="W905" s="19" t="n"/>
      <c r="X905" s="19" t="n"/>
      <c r="Y905" s="19" t="n"/>
      <c r="Z905" s="21">
        <f>IF(AND($A905="",$B905=""),"",IF(OR($E905="",$H905="",$H905="Proposed",$H905="Not Reported"),0,IF(AND($P905="Y",$Q905&lt;&gt;"Y"),0,IF(AND($K905="Point",N($L905)&lt;=0),0,IF(AND(N($L905)&lt;=0,N($N905)&lt;=0,N($R905)+N($S905)&lt;=0),0,1)))))</f>
        <v/>
      </c>
      <c r="AA905" s="21">
        <f>IF(AND($A905="",$B905=""),"",IF($E905="","Site type missing",IF($H905="","STATUS missing",IF($H905="Proposed","STATUS = Proposed",IF($H905="Not Reported","STATUS = Not Reported",IF(AND($P905="Y",$Q905&lt;&gt;"Y"),"UNESCO-MAB Biosphere Reserve",IF(AND($K905="Point",N($L905)&lt;=0),"Point without REP_AREA",IF(AND(N($L905)&lt;=0,N($N905)&lt;=0,N($R905)+N($S905)&lt;=0),"No area information",""))))))))</f>
        <v/>
      </c>
      <c r="AB905" s="22">
        <f>IF(AND($A905="",$B905=""),"",IF($K905="Point",N($L905),IF(N($N905)&gt;0,N($N905),N($L905))))</f>
        <v/>
      </c>
      <c r="AC905" s="22">
        <f>IF(AND($A905="",$B905=""),"",MIN(AB905,IF(N($J905)=0,0,IF(N($J905)=2,AB905,IF(AND($K905&lt;&gt;"Point",N($O905)&gt;0),N($O905),N($M905))))))</f>
        <v/>
      </c>
      <c r="AD905" s="22">
        <f>IF(AND($A905="",$B905=""),"",MAX(0,AB905-AC905))</f>
        <v/>
      </c>
      <c r="AE905" s="21">
        <f>IF(AND($A905="",$B905=""),"",IF(OR($R905&lt;&gt;"",$S905&lt;&gt;""),1,0))</f>
        <v/>
      </c>
      <c r="AF905" s="22">
        <f>IF(AND($A905="",$B905=""),"",IF(Z905=1,IF(AE905=1,N($R905),AD905),0))</f>
        <v/>
      </c>
      <c r="AG905" s="22">
        <f>IF(AND($A905="",$B905=""),"",IF(Z905=1,IF(AE905=1,N($S905),AC905),0))</f>
        <v/>
      </c>
      <c r="AH905" s="21">
        <f>IF(AND($A905="",$B905=""),"",IF(AND(ISNUMBER($I905),N($I905)&gt;0),$I905,0))</f>
        <v/>
      </c>
      <c r="AI905" s="23">
        <f>IF(AND(NOT(AND($A905="",$B905="")),$K905="Point",N($L905)&gt;0),SQRT(N($L905)/PI()),"")</f>
        <v/>
      </c>
      <c r="AJ905" s="21">
        <f>IF(AND($A905="",$B905=""),"",IFERROR(VLOOKUP($G905,Lists!$D$4:$E$15,2,FALSE),"Not reported"))</f>
        <v/>
      </c>
      <c r="AK905" s="21">
        <f>IF(AND($A905="",$B905=""),"",IF($X905&lt;&gt;"",$X905,IF($T905&lt;&gt;"Y","Not assessed",IF(AND(ISNUMBER($V905),Setup!$B$6-$V905&gt;Setup!$B$26),"Assessment outdated",IF(NOT(ISNUMBER($W905)),"Assessed – no score",IF($W905&gt;=Setup!$B$24,"High",IF($W905&gt;=Setup!$B$25,"Moderate","Low")))))))</f>
        <v/>
      </c>
      <c r="AL905" s="21">
        <f>IF(AND($A905="",$B905=""),"",IF(Z905=0,"",IF(AND(AE905=1,N($R905)&gt;AD905*1.01+0.001),"Net terrestrial &gt; gross; ","")&amp;IF(AND(AE905=1,N($S905)&gt;AC905*1.01+0.001),"Net marine &gt; gross; ","")&amp;IF(AE905=0,"No net area – gross used, overlaps may be double-counted; ","")&amp;IF(AH905=0,"STATUS_YR missing – imputed in time series; ","")&amp;IF(AND(ISNUMBER($I905),N($I905)&gt;Setup!$B$6),"STATUS_YR after reporting year; ","")&amp;IF(OR($G905="",$G905="Not Reported"),"GOV_TYPE not reported; ","")&amp;IF(AND(N($J905)=1,$K905="Point",N($M905)&lt;=0),"Coastal point without REP_M_AREA – land/sea split unknown; ","")&amp;IF(AND(N($J905)=0,N($S905)&gt;0),"MARINE=0 but net marine &gt;0; ","")&amp;IF(AND(N($J905)=2,N($R905)&gt;0),"MARINE=2 but net terrestrial &gt;0; ","")&amp;IF($K905="Point","Buffered point – coverage approximate; ","")))</f>
        <v/>
      </c>
    </row>
    <row r="906">
      <c r="A906" s="19" t="n"/>
      <c r="B906" s="19" t="n"/>
      <c r="C906" s="19" t="n"/>
      <c r="D906" s="19" t="n"/>
      <c r="E906" s="19" t="n"/>
      <c r="F906" s="19" t="n"/>
      <c r="G906" s="19" t="n"/>
      <c r="H906" s="19" t="n"/>
      <c r="I906" s="19" t="n"/>
      <c r="J906" s="19" t="n"/>
      <c r="K906" s="19" t="n"/>
      <c r="L906" s="20" t="n"/>
      <c r="M906" s="20" t="n"/>
      <c r="N906" s="20" t="n"/>
      <c r="O906" s="20" t="n"/>
      <c r="P906" s="19" t="n"/>
      <c r="Q906" s="19" t="n"/>
      <c r="R906" s="20" t="n"/>
      <c r="S906" s="20" t="n"/>
      <c r="T906" s="19" t="n"/>
      <c r="U906" s="19" t="n"/>
      <c r="V906" s="19" t="n"/>
      <c r="W906" s="19" t="n"/>
      <c r="X906" s="19" t="n"/>
      <c r="Y906" s="19" t="n"/>
      <c r="Z906" s="21">
        <f>IF(AND($A906="",$B906=""),"",IF(OR($E906="",$H906="",$H906="Proposed",$H906="Not Reported"),0,IF(AND($P906="Y",$Q906&lt;&gt;"Y"),0,IF(AND($K906="Point",N($L906)&lt;=0),0,IF(AND(N($L906)&lt;=0,N($N906)&lt;=0,N($R906)+N($S906)&lt;=0),0,1)))))</f>
        <v/>
      </c>
      <c r="AA906" s="21">
        <f>IF(AND($A906="",$B906=""),"",IF($E906="","Site type missing",IF($H906="","STATUS missing",IF($H906="Proposed","STATUS = Proposed",IF($H906="Not Reported","STATUS = Not Reported",IF(AND($P906="Y",$Q906&lt;&gt;"Y"),"UNESCO-MAB Biosphere Reserve",IF(AND($K906="Point",N($L906)&lt;=0),"Point without REP_AREA",IF(AND(N($L906)&lt;=0,N($N906)&lt;=0,N($R906)+N($S906)&lt;=0),"No area information",""))))))))</f>
        <v/>
      </c>
      <c r="AB906" s="22">
        <f>IF(AND($A906="",$B906=""),"",IF($K906="Point",N($L906),IF(N($N906)&gt;0,N($N906),N($L906))))</f>
        <v/>
      </c>
      <c r="AC906" s="22">
        <f>IF(AND($A906="",$B906=""),"",MIN(AB906,IF(N($J906)=0,0,IF(N($J906)=2,AB906,IF(AND($K906&lt;&gt;"Point",N($O906)&gt;0),N($O906),N($M906))))))</f>
        <v/>
      </c>
      <c r="AD906" s="22">
        <f>IF(AND($A906="",$B906=""),"",MAX(0,AB906-AC906))</f>
        <v/>
      </c>
      <c r="AE906" s="21">
        <f>IF(AND($A906="",$B906=""),"",IF(OR($R906&lt;&gt;"",$S906&lt;&gt;""),1,0))</f>
        <v/>
      </c>
      <c r="AF906" s="22">
        <f>IF(AND($A906="",$B906=""),"",IF(Z906=1,IF(AE906=1,N($R906),AD906),0))</f>
        <v/>
      </c>
      <c r="AG906" s="22">
        <f>IF(AND($A906="",$B906=""),"",IF(Z906=1,IF(AE906=1,N($S906),AC906),0))</f>
        <v/>
      </c>
      <c r="AH906" s="21">
        <f>IF(AND($A906="",$B906=""),"",IF(AND(ISNUMBER($I906),N($I906)&gt;0),$I906,0))</f>
        <v/>
      </c>
      <c r="AI906" s="23">
        <f>IF(AND(NOT(AND($A906="",$B906="")),$K906="Point",N($L906)&gt;0),SQRT(N($L906)/PI()),"")</f>
        <v/>
      </c>
      <c r="AJ906" s="21">
        <f>IF(AND($A906="",$B906=""),"",IFERROR(VLOOKUP($G906,Lists!$D$4:$E$15,2,FALSE),"Not reported"))</f>
        <v/>
      </c>
      <c r="AK906" s="21">
        <f>IF(AND($A906="",$B906=""),"",IF($X906&lt;&gt;"",$X906,IF($T906&lt;&gt;"Y","Not assessed",IF(AND(ISNUMBER($V906),Setup!$B$6-$V906&gt;Setup!$B$26),"Assessment outdated",IF(NOT(ISNUMBER($W906)),"Assessed – no score",IF($W906&gt;=Setup!$B$24,"High",IF($W906&gt;=Setup!$B$25,"Moderate","Low")))))))</f>
        <v/>
      </c>
      <c r="AL906" s="21">
        <f>IF(AND($A906="",$B906=""),"",IF(Z906=0,"",IF(AND(AE906=1,N($R906)&gt;AD906*1.01+0.001),"Net terrestrial &gt; gross; ","")&amp;IF(AND(AE906=1,N($S906)&gt;AC906*1.01+0.001),"Net marine &gt; gross; ","")&amp;IF(AE906=0,"No net area – gross used, overlaps may be double-counted; ","")&amp;IF(AH906=0,"STATUS_YR missing – imputed in time series; ","")&amp;IF(AND(ISNUMBER($I906),N($I906)&gt;Setup!$B$6),"STATUS_YR after reporting year; ","")&amp;IF(OR($G906="",$G906="Not Reported"),"GOV_TYPE not reported; ","")&amp;IF(AND(N($J906)=1,$K906="Point",N($M906)&lt;=0),"Coastal point without REP_M_AREA – land/sea split unknown; ","")&amp;IF(AND(N($J906)=0,N($S906)&gt;0),"MARINE=0 but net marine &gt;0; ","")&amp;IF(AND(N($J906)=2,N($R906)&gt;0),"MARINE=2 but net terrestrial &gt;0; ","")&amp;IF($K906="Point","Buffered point – coverage approximate; ","")))</f>
        <v/>
      </c>
    </row>
    <row r="907">
      <c r="A907" s="19" t="n"/>
      <c r="B907" s="19" t="n"/>
      <c r="C907" s="19" t="n"/>
      <c r="D907" s="19" t="n"/>
      <c r="E907" s="19" t="n"/>
      <c r="F907" s="19" t="n"/>
      <c r="G907" s="19" t="n"/>
      <c r="H907" s="19" t="n"/>
      <c r="I907" s="19" t="n"/>
      <c r="J907" s="19" t="n"/>
      <c r="K907" s="19" t="n"/>
      <c r="L907" s="20" t="n"/>
      <c r="M907" s="20" t="n"/>
      <c r="N907" s="20" t="n"/>
      <c r="O907" s="20" t="n"/>
      <c r="P907" s="19" t="n"/>
      <c r="Q907" s="19" t="n"/>
      <c r="R907" s="20" t="n"/>
      <c r="S907" s="20" t="n"/>
      <c r="T907" s="19" t="n"/>
      <c r="U907" s="19" t="n"/>
      <c r="V907" s="19" t="n"/>
      <c r="W907" s="19" t="n"/>
      <c r="X907" s="19" t="n"/>
      <c r="Y907" s="19" t="n"/>
      <c r="Z907" s="21">
        <f>IF(AND($A907="",$B907=""),"",IF(OR($E907="",$H907="",$H907="Proposed",$H907="Not Reported"),0,IF(AND($P907="Y",$Q907&lt;&gt;"Y"),0,IF(AND($K907="Point",N($L907)&lt;=0),0,IF(AND(N($L907)&lt;=0,N($N907)&lt;=0,N($R907)+N($S907)&lt;=0),0,1)))))</f>
        <v/>
      </c>
      <c r="AA907" s="21">
        <f>IF(AND($A907="",$B907=""),"",IF($E907="","Site type missing",IF($H907="","STATUS missing",IF($H907="Proposed","STATUS = Proposed",IF($H907="Not Reported","STATUS = Not Reported",IF(AND($P907="Y",$Q907&lt;&gt;"Y"),"UNESCO-MAB Biosphere Reserve",IF(AND($K907="Point",N($L907)&lt;=0),"Point without REP_AREA",IF(AND(N($L907)&lt;=0,N($N907)&lt;=0,N($R907)+N($S907)&lt;=0),"No area information",""))))))))</f>
        <v/>
      </c>
      <c r="AB907" s="22">
        <f>IF(AND($A907="",$B907=""),"",IF($K907="Point",N($L907),IF(N($N907)&gt;0,N($N907),N($L907))))</f>
        <v/>
      </c>
      <c r="AC907" s="22">
        <f>IF(AND($A907="",$B907=""),"",MIN(AB907,IF(N($J907)=0,0,IF(N($J907)=2,AB907,IF(AND($K907&lt;&gt;"Point",N($O907)&gt;0),N($O907),N($M907))))))</f>
        <v/>
      </c>
      <c r="AD907" s="22">
        <f>IF(AND($A907="",$B907=""),"",MAX(0,AB907-AC907))</f>
        <v/>
      </c>
      <c r="AE907" s="21">
        <f>IF(AND($A907="",$B907=""),"",IF(OR($R907&lt;&gt;"",$S907&lt;&gt;""),1,0))</f>
        <v/>
      </c>
      <c r="AF907" s="22">
        <f>IF(AND($A907="",$B907=""),"",IF(Z907=1,IF(AE907=1,N($R907),AD907),0))</f>
        <v/>
      </c>
      <c r="AG907" s="22">
        <f>IF(AND($A907="",$B907=""),"",IF(Z907=1,IF(AE907=1,N($S907),AC907),0))</f>
        <v/>
      </c>
      <c r="AH907" s="21">
        <f>IF(AND($A907="",$B907=""),"",IF(AND(ISNUMBER($I907),N($I907)&gt;0),$I907,0))</f>
        <v/>
      </c>
      <c r="AI907" s="23">
        <f>IF(AND(NOT(AND($A907="",$B907="")),$K907="Point",N($L907)&gt;0),SQRT(N($L907)/PI()),"")</f>
        <v/>
      </c>
      <c r="AJ907" s="21">
        <f>IF(AND($A907="",$B907=""),"",IFERROR(VLOOKUP($G907,Lists!$D$4:$E$15,2,FALSE),"Not reported"))</f>
        <v/>
      </c>
      <c r="AK907" s="21">
        <f>IF(AND($A907="",$B907=""),"",IF($X907&lt;&gt;"",$X907,IF($T907&lt;&gt;"Y","Not assessed",IF(AND(ISNUMBER($V907),Setup!$B$6-$V907&gt;Setup!$B$26),"Assessment outdated",IF(NOT(ISNUMBER($W907)),"Assessed – no score",IF($W907&gt;=Setup!$B$24,"High",IF($W907&gt;=Setup!$B$25,"Moderate","Low")))))))</f>
        <v/>
      </c>
      <c r="AL907" s="21">
        <f>IF(AND($A907="",$B907=""),"",IF(Z907=0,"",IF(AND(AE907=1,N($R907)&gt;AD907*1.01+0.001),"Net terrestrial &gt; gross; ","")&amp;IF(AND(AE907=1,N($S907)&gt;AC907*1.01+0.001),"Net marine &gt; gross; ","")&amp;IF(AE907=0,"No net area – gross used, overlaps may be double-counted; ","")&amp;IF(AH907=0,"STATUS_YR missing – imputed in time series; ","")&amp;IF(AND(ISNUMBER($I907),N($I907)&gt;Setup!$B$6),"STATUS_YR after reporting year; ","")&amp;IF(OR($G907="",$G907="Not Reported"),"GOV_TYPE not reported; ","")&amp;IF(AND(N($J907)=1,$K907="Point",N($M907)&lt;=0),"Coastal point without REP_M_AREA – land/sea split unknown; ","")&amp;IF(AND(N($J907)=0,N($S907)&gt;0),"MARINE=0 but net marine &gt;0; ","")&amp;IF(AND(N($J907)=2,N($R907)&gt;0),"MARINE=2 but net terrestrial &gt;0; ","")&amp;IF($K907="Point","Buffered point – coverage approximate; ","")))</f>
        <v/>
      </c>
    </row>
    <row r="908">
      <c r="A908" s="19" t="n"/>
      <c r="B908" s="19" t="n"/>
      <c r="C908" s="19" t="n"/>
      <c r="D908" s="19" t="n"/>
      <c r="E908" s="19" t="n"/>
      <c r="F908" s="19" t="n"/>
      <c r="G908" s="19" t="n"/>
      <c r="H908" s="19" t="n"/>
      <c r="I908" s="19" t="n"/>
      <c r="J908" s="19" t="n"/>
      <c r="K908" s="19" t="n"/>
      <c r="L908" s="20" t="n"/>
      <c r="M908" s="20" t="n"/>
      <c r="N908" s="20" t="n"/>
      <c r="O908" s="20" t="n"/>
      <c r="P908" s="19" t="n"/>
      <c r="Q908" s="19" t="n"/>
      <c r="R908" s="20" t="n"/>
      <c r="S908" s="20" t="n"/>
      <c r="T908" s="19" t="n"/>
      <c r="U908" s="19" t="n"/>
      <c r="V908" s="19" t="n"/>
      <c r="W908" s="19" t="n"/>
      <c r="X908" s="19" t="n"/>
      <c r="Y908" s="19" t="n"/>
      <c r="Z908" s="21">
        <f>IF(AND($A908="",$B908=""),"",IF(OR($E908="",$H908="",$H908="Proposed",$H908="Not Reported"),0,IF(AND($P908="Y",$Q908&lt;&gt;"Y"),0,IF(AND($K908="Point",N($L908)&lt;=0),0,IF(AND(N($L908)&lt;=0,N($N908)&lt;=0,N($R908)+N($S908)&lt;=0),0,1)))))</f>
        <v/>
      </c>
      <c r="AA908" s="21">
        <f>IF(AND($A908="",$B908=""),"",IF($E908="","Site type missing",IF($H908="","STATUS missing",IF($H908="Proposed","STATUS = Proposed",IF($H908="Not Reported","STATUS = Not Reported",IF(AND($P908="Y",$Q908&lt;&gt;"Y"),"UNESCO-MAB Biosphere Reserve",IF(AND($K908="Point",N($L908)&lt;=0),"Point without REP_AREA",IF(AND(N($L908)&lt;=0,N($N908)&lt;=0,N($R908)+N($S908)&lt;=0),"No area information",""))))))))</f>
        <v/>
      </c>
      <c r="AB908" s="22">
        <f>IF(AND($A908="",$B908=""),"",IF($K908="Point",N($L908),IF(N($N908)&gt;0,N($N908),N($L908))))</f>
        <v/>
      </c>
      <c r="AC908" s="22">
        <f>IF(AND($A908="",$B908=""),"",MIN(AB908,IF(N($J908)=0,0,IF(N($J908)=2,AB908,IF(AND($K908&lt;&gt;"Point",N($O908)&gt;0),N($O908),N($M908))))))</f>
        <v/>
      </c>
      <c r="AD908" s="22">
        <f>IF(AND($A908="",$B908=""),"",MAX(0,AB908-AC908))</f>
        <v/>
      </c>
      <c r="AE908" s="21">
        <f>IF(AND($A908="",$B908=""),"",IF(OR($R908&lt;&gt;"",$S908&lt;&gt;""),1,0))</f>
        <v/>
      </c>
      <c r="AF908" s="22">
        <f>IF(AND($A908="",$B908=""),"",IF(Z908=1,IF(AE908=1,N($R908),AD908),0))</f>
        <v/>
      </c>
      <c r="AG908" s="22">
        <f>IF(AND($A908="",$B908=""),"",IF(Z908=1,IF(AE908=1,N($S908),AC908),0))</f>
        <v/>
      </c>
      <c r="AH908" s="21">
        <f>IF(AND($A908="",$B908=""),"",IF(AND(ISNUMBER($I908),N($I908)&gt;0),$I908,0))</f>
        <v/>
      </c>
      <c r="AI908" s="23">
        <f>IF(AND(NOT(AND($A908="",$B908="")),$K908="Point",N($L908)&gt;0),SQRT(N($L908)/PI()),"")</f>
        <v/>
      </c>
      <c r="AJ908" s="21">
        <f>IF(AND($A908="",$B908=""),"",IFERROR(VLOOKUP($G908,Lists!$D$4:$E$15,2,FALSE),"Not reported"))</f>
        <v/>
      </c>
      <c r="AK908" s="21">
        <f>IF(AND($A908="",$B908=""),"",IF($X908&lt;&gt;"",$X908,IF($T908&lt;&gt;"Y","Not assessed",IF(AND(ISNUMBER($V908),Setup!$B$6-$V908&gt;Setup!$B$26),"Assessment outdated",IF(NOT(ISNUMBER($W908)),"Assessed – no score",IF($W908&gt;=Setup!$B$24,"High",IF($W908&gt;=Setup!$B$25,"Moderate","Low")))))))</f>
        <v/>
      </c>
      <c r="AL908" s="21">
        <f>IF(AND($A908="",$B908=""),"",IF(Z908=0,"",IF(AND(AE908=1,N($R908)&gt;AD908*1.01+0.001),"Net terrestrial &gt; gross; ","")&amp;IF(AND(AE908=1,N($S908)&gt;AC908*1.01+0.001),"Net marine &gt; gross; ","")&amp;IF(AE908=0,"No net area – gross used, overlaps may be double-counted; ","")&amp;IF(AH908=0,"STATUS_YR missing – imputed in time series; ","")&amp;IF(AND(ISNUMBER($I908),N($I908)&gt;Setup!$B$6),"STATUS_YR after reporting year; ","")&amp;IF(OR($G908="",$G908="Not Reported"),"GOV_TYPE not reported; ","")&amp;IF(AND(N($J908)=1,$K908="Point",N($M908)&lt;=0),"Coastal point without REP_M_AREA – land/sea split unknown; ","")&amp;IF(AND(N($J908)=0,N($S908)&gt;0),"MARINE=0 but net marine &gt;0; ","")&amp;IF(AND(N($J908)=2,N($R908)&gt;0),"MARINE=2 but net terrestrial &gt;0; ","")&amp;IF($K908="Point","Buffered point – coverage approximate; ","")))</f>
        <v/>
      </c>
    </row>
    <row r="909">
      <c r="A909" s="19" t="n"/>
      <c r="B909" s="19" t="n"/>
      <c r="C909" s="19" t="n"/>
      <c r="D909" s="19" t="n"/>
      <c r="E909" s="19" t="n"/>
      <c r="F909" s="19" t="n"/>
      <c r="G909" s="19" t="n"/>
      <c r="H909" s="19" t="n"/>
      <c r="I909" s="19" t="n"/>
      <c r="J909" s="19" t="n"/>
      <c r="K909" s="19" t="n"/>
      <c r="L909" s="20" t="n"/>
      <c r="M909" s="20" t="n"/>
      <c r="N909" s="20" t="n"/>
      <c r="O909" s="20" t="n"/>
      <c r="P909" s="19" t="n"/>
      <c r="Q909" s="19" t="n"/>
      <c r="R909" s="20" t="n"/>
      <c r="S909" s="20" t="n"/>
      <c r="T909" s="19" t="n"/>
      <c r="U909" s="19" t="n"/>
      <c r="V909" s="19" t="n"/>
      <c r="W909" s="19" t="n"/>
      <c r="X909" s="19" t="n"/>
      <c r="Y909" s="19" t="n"/>
      <c r="Z909" s="21">
        <f>IF(AND($A909="",$B909=""),"",IF(OR($E909="",$H909="",$H909="Proposed",$H909="Not Reported"),0,IF(AND($P909="Y",$Q909&lt;&gt;"Y"),0,IF(AND($K909="Point",N($L909)&lt;=0),0,IF(AND(N($L909)&lt;=0,N($N909)&lt;=0,N($R909)+N($S909)&lt;=0),0,1)))))</f>
        <v/>
      </c>
      <c r="AA909" s="21">
        <f>IF(AND($A909="",$B909=""),"",IF($E909="","Site type missing",IF($H909="","STATUS missing",IF($H909="Proposed","STATUS = Proposed",IF($H909="Not Reported","STATUS = Not Reported",IF(AND($P909="Y",$Q909&lt;&gt;"Y"),"UNESCO-MAB Biosphere Reserve",IF(AND($K909="Point",N($L909)&lt;=0),"Point without REP_AREA",IF(AND(N($L909)&lt;=0,N($N909)&lt;=0,N($R909)+N($S909)&lt;=0),"No area information",""))))))))</f>
        <v/>
      </c>
      <c r="AB909" s="22">
        <f>IF(AND($A909="",$B909=""),"",IF($K909="Point",N($L909),IF(N($N909)&gt;0,N($N909),N($L909))))</f>
        <v/>
      </c>
      <c r="AC909" s="22">
        <f>IF(AND($A909="",$B909=""),"",MIN(AB909,IF(N($J909)=0,0,IF(N($J909)=2,AB909,IF(AND($K909&lt;&gt;"Point",N($O909)&gt;0),N($O909),N($M909))))))</f>
        <v/>
      </c>
      <c r="AD909" s="22">
        <f>IF(AND($A909="",$B909=""),"",MAX(0,AB909-AC909))</f>
        <v/>
      </c>
      <c r="AE909" s="21">
        <f>IF(AND($A909="",$B909=""),"",IF(OR($R909&lt;&gt;"",$S909&lt;&gt;""),1,0))</f>
        <v/>
      </c>
      <c r="AF909" s="22">
        <f>IF(AND($A909="",$B909=""),"",IF(Z909=1,IF(AE909=1,N($R909),AD909),0))</f>
        <v/>
      </c>
      <c r="AG909" s="22">
        <f>IF(AND($A909="",$B909=""),"",IF(Z909=1,IF(AE909=1,N($S909),AC909),0))</f>
        <v/>
      </c>
      <c r="AH909" s="21">
        <f>IF(AND($A909="",$B909=""),"",IF(AND(ISNUMBER($I909),N($I909)&gt;0),$I909,0))</f>
        <v/>
      </c>
      <c r="AI909" s="23">
        <f>IF(AND(NOT(AND($A909="",$B909="")),$K909="Point",N($L909)&gt;0),SQRT(N($L909)/PI()),"")</f>
        <v/>
      </c>
      <c r="AJ909" s="21">
        <f>IF(AND($A909="",$B909=""),"",IFERROR(VLOOKUP($G909,Lists!$D$4:$E$15,2,FALSE),"Not reported"))</f>
        <v/>
      </c>
      <c r="AK909" s="21">
        <f>IF(AND($A909="",$B909=""),"",IF($X909&lt;&gt;"",$X909,IF($T909&lt;&gt;"Y","Not assessed",IF(AND(ISNUMBER($V909),Setup!$B$6-$V909&gt;Setup!$B$26),"Assessment outdated",IF(NOT(ISNUMBER($W909)),"Assessed – no score",IF($W909&gt;=Setup!$B$24,"High",IF($W909&gt;=Setup!$B$25,"Moderate","Low")))))))</f>
        <v/>
      </c>
      <c r="AL909" s="21">
        <f>IF(AND($A909="",$B909=""),"",IF(Z909=0,"",IF(AND(AE909=1,N($R909)&gt;AD909*1.01+0.001),"Net terrestrial &gt; gross; ","")&amp;IF(AND(AE909=1,N($S909)&gt;AC909*1.01+0.001),"Net marine &gt; gross; ","")&amp;IF(AE909=0,"No net area – gross used, overlaps may be double-counted; ","")&amp;IF(AH909=0,"STATUS_YR missing – imputed in time series; ","")&amp;IF(AND(ISNUMBER($I909),N($I909)&gt;Setup!$B$6),"STATUS_YR after reporting year; ","")&amp;IF(OR($G909="",$G909="Not Reported"),"GOV_TYPE not reported; ","")&amp;IF(AND(N($J909)=1,$K909="Point",N($M909)&lt;=0),"Coastal point without REP_M_AREA – land/sea split unknown; ","")&amp;IF(AND(N($J909)=0,N($S909)&gt;0),"MARINE=0 but net marine &gt;0; ","")&amp;IF(AND(N($J909)=2,N($R909)&gt;0),"MARINE=2 but net terrestrial &gt;0; ","")&amp;IF($K909="Point","Buffered point – coverage approximate; ","")))</f>
        <v/>
      </c>
    </row>
    <row r="910">
      <c r="A910" s="19" t="n"/>
      <c r="B910" s="19" t="n"/>
      <c r="C910" s="19" t="n"/>
      <c r="D910" s="19" t="n"/>
      <c r="E910" s="19" t="n"/>
      <c r="F910" s="19" t="n"/>
      <c r="G910" s="19" t="n"/>
      <c r="H910" s="19" t="n"/>
      <c r="I910" s="19" t="n"/>
      <c r="J910" s="19" t="n"/>
      <c r="K910" s="19" t="n"/>
      <c r="L910" s="20" t="n"/>
      <c r="M910" s="20" t="n"/>
      <c r="N910" s="20" t="n"/>
      <c r="O910" s="20" t="n"/>
      <c r="P910" s="19" t="n"/>
      <c r="Q910" s="19" t="n"/>
      <c r="R910" s="20" t="n"/>
      <c r="S910" s="20" t="n"/>
      <c r="T910" s="19" t="n"/>
      <c r="U910" s="19" t="n"/>
      <c r="V910" s="19" t="n"/>
      <c r="W910" s="19" t="n"/>
      <c r="X910" s="19" t="n"/>
      <c r="Y910" s="19" t="n"/>
      <c r="Z910" s="21">
        <f>IF(AND($A910="",$B910=""),"",IF(OR($E910="",$H910="",$H910="Proposed",$H910="Not Reported"),0,IF(AND($P910="Y",$Q910&lt;&gt;"Y"),0,IF(AND($K910="Point",N($L910)&lt;=0),0,IF(AND(N($L910)&lt;=0,N($N910)&lt;=0,N($R910)+N($S910)&lt;=0),0,1)))))</f>
        <v/>
      </c>
      <c r="AA910" s="21">
        <f>IF(AND($A910="",$B910=""),"",IF($E910="","Site type missing",IF($H910="","STATUS missing",IF($H910="Proposed","STATUS = Proposed",IF($H910="Not Reported","STATUS = Not Reported",IF(AND($P910="Y",$Q910&lt;&gt;"Y"),"UNESCO-MAB Biosphere Reserve",IF(AND($K910="Point",N($L910)&lt;=0),"Point without REP_AREA",IF(AND(N($L910)&lt;=0,N($N910)&lt;=0,N($R910)+N($S910)&lt;=0),"No area information",""))))))))</f>
        <v/>
      </c>
      <c r="AB910" s="22">
        <f>IF(AND($A910="",$B910=""),"",IF($K910="Point",N($L910),IF(N($N910)&gt;0,N($N910),N($L910))))</f>
        <v/>
      </c>
      <c r="AC910" s="22">
        <f>IF(AND($A910="",$B910=""),"",MIN(AB910,IF(N($J910)=0,0,IF(N($J910)=2,AB910,IF(AND($K910&lt;&gt;"Point",N($O910)&gt;0),N($O910),N($M910))))))</f>
        <v/>
      </c>
      <c r="AD910" s="22">
        <f>IF(AND($A910="",$B910=""),"",MAX(0,AB910-AC910))</f>
        <v/>
      </c>
      <c r="AE910" s="21">
        <f>IF(AND($A910="",$B910=""),"",IF(OR($R910&lt;&gt;"",$S910&lt;&gt;""),1,0))</f>
        <v/>
      </c>
      <c r="AF910" s="22">
        <f>IF(AND($A910="",$B910=""),"",IF(Z910=1,IF(AE910=1,N($R910),AD910),0))</f>
        <v/>
      </c>
      <c r="AG910" s="22">
        <f>IF(AND($A910="",$B910=""),"",IF(Z910=1,IF(AE910=1,N($S910),AC910),0))</f>
        <v/>
      </c>
      <c r="AH910" s="21">
        <f>IF(AND($A910="",$B910=""),"",IF(AND(ISNUMBER($I910),N($I910)&gt;0),$I910,0))</f>
        <v/>
      </c>
      <c r="AI910" s="23">
        <f>IF(AND(NOT(AND($A910="",$B910="")),$K910="Point",N($L910)&gt;0),SQRT(N($L910)/PI()),"")</f>
        <v/>
      </c>
      <c r="AJ910" s="21">
        <f>IF(AND($A910="",$B910=""),"",IFERROR(VLOOKUP($G910,Lists!$D$4:$E$15,2,FALSE),"Not reported"))</f>
        <v/>
      </c>
      <c r="AK910" s="21">
        <f>IF(AND($A910="",$B910=""),"",IF($X910&lt;&gt;"",$X910,IF($T910&lt;&gt;"Y","Not assessed",IF(AND(ISNUMBER($V910),Setup!$B$6-$V910&gt;Setup!$B$26),"Assessment outdated",IF(NOT(ISNUMBER($W910)),"Assessed – no score",IF($W910&gt;=Setup!$B$24,"High",IF($W910&gt;=Setup!$B$25,"Moderate","Low")))))))</f>
        <v/>
      </c>
      <c r="AL910" s="21">
        <f>IF(AND($A910="",$B910=""),"",IF(Z910=0,"",IF(AND(AE910=1,N($R910)&gt;AD910*1.01+0.001),"Net terrestrial &gt; gross; ","")&amp;IF(AND(AE910=1,N($S910)&gt;AC910*1.01+0.001),"Net marine &gt; gross; ","")&amp;IF(AE910=0,"No net area – gross used, overlaps may be double-counted; ","")&amp;IF(AH910=0,"STATUS_YR missing – imputed in time series; ","")&amp;IF(AND(ISNUMBER($I910),N($I910)&gt;Setup!$B$6),"STATUS_YR after reporting year; ","")&amp;IF(OR($G910="",$G910="Not Reported"),"GOV_TYPE not reported; ","")&amp;IF(AND(N($J910)=1,$K910="Point",N($M910)&lt;=0),"Coastal point without REP_M_AREA – land/sea split unknown; ","")&amp;IF(AND(N($J910)=0,N($S910)&gt;0),"MARINE=0 but net marine &gt;0; ","")&amp;IF(AND(N($J910)=2,N($R910)&gt;0),"MARINE=2 but net terrestrial &gt;0; ","")&amp;IF($K910="Point","Buffered point – coverage approximate; ","")))</f>
        <v/>
      </c>
    </row>
    <row r="911">
      <c r="A911" s="19" t="n"/>
      <c r="B911" s="19" t="n"/>
      <c r="C911" s="19" t="n"/>
      <c r="D911" s="19" t="n"/>
      <c r="E911" s="19" t="n"/>
      <c r="F911" s="19" t="n"/>
      <c r="G911" s="19" t="n"/>
      <c r="H911" s="19" t="n"/>
      <c r="I911" s="19" t="n"/>
      <c r="J911" s="19" t="n"/>
      <c r="K911" s="19" t="n"/>
      <c r="L911" s="20" t="n"/>
      <c r="M911" s="20" t="n"/>
      <c r="N911" s="20" t="n"/>
      <c r="O911" s="20" t="n"/>
      <c r="P911" s="19" t="n"/>
      <c r="Q911" s="19" t="n"/>
      <c r="R911" s="20" t="n"/>
      <c r="S911" s="20" t="n"/>
      <c r="T911" s="19" t="n"/>
      <c r="U911" s="19" t="n"/>
      <c r="V911" s="19" t="n"/>
      <c r="W911" s="19" t="n"/>
      <c r="X911" s="19" t="n"/>
      <c r="Y911" s="19" t="n"/>
      <c r="Z911" s="21">
        <f>IF(AND($A911="",$B911=""),"",IF(OR($E911="",$H911="",$H911="Proposed",$H911="Not Reported"),0,IF(AND($P911="Y",$Q911&lt;&gt;"Y"),0,IF(AND($K911="Point",N($L911)&lt;=0),0,IF(AND(N($L911)&lt;=0,N($N911)&lt;=0,N($R911)+N($S911)&lt;=0),0,1)))))</f>
        <v/>
      </c>
      <c r="AA911" s="21">
        <f>IF(AND($A911="",$B911=""),"",IF($E911="","Site type missing",IF($H911="","STATUS missing",IF($H911="Proposed","STATUS = Proposed",IF($H911="Not Reported","STATUS = Not Reported",IF(AND($P911="Y",$Q911&lt;&gt;"Y"),"UNESCO-MAB Biosphere Reserve",IF(AND($K911="Point",N($L911)&lt;=0),"Point without REP_AREA",IF(AND(N($L911)&lt;=0,N($N911)&lt;=0,N($R911)+N($S911)&lt;=0),"No area information",""))))))))</f>
        <v/>
      </c>
      <c r="AB911" s="22">
        <f>IF(AND($A911="",$B911=""),"",IF($K911="Point",N($L911),IF(N($N911)&gt;0,N($N911),N($L911))))</f>
        <v/>
      </c>
      <c r="AC911" s="22">
        <f>IF(AND($A911="",$B911=""),"",MIN(AB911,IF(N($J911)=0,0,IF(N($J911)=2,AB911,IF(AND($K911&lt;&gt;"Point",N($O911)&gt;0),N($O911),N($M911))))))</f>
        <v/>
      </c>
      <c r="AD911" s="22">
        <f>IF(AND($A911="",$B911=""),"",MAX(0,AB911-AC911))</f>
        <v/>
      </c>
      <c r="AE911" s="21">
        <f>IF(AND($A911="",$B911=""),"",IF(OR($R911&lt;&gt;"",$S911&lt;&gt;""),1,0))</f>
        <v/>
      </c>
      <c r="AF911" s="22">
        <f>IF(AND($A911="",$B911=""),"",IF(Z911=1,IF(AE911=1,N($R911),AD911),0))</f>
        <v/>
      </c>
      <c r="AG911" s="22">
        <f>IF(AND($A911="",$B911=""),"",IF(Z911=1,IF(AE911=1,N($S911),AC911),0))</f>
        <v/>
      </c>
      <c r="AH911" s="21">
        <f>IF(AND($A911="",$B911=""),"",IF(AND(ISNUMBER($I911),N($I911)&gt;0),$I911,0))</f>
        <v/>
      </c>
      <c r="AI911" s="23">
        <f>IF(AND(NOT(AND($A911="",$B911="")),$K911="Point",N($L911)&gt;0),SQRT(N($L911)/PI()),"")</f>
        <v/>
      </c>
      <c r="AJ911" s="21">
        <f>IF(AND($A911="",$B911=""),"",IFERROR(VLOOKUP($G911,Lists!$D$4:$E$15,2,FALSE),"Not reported"))</f>
        <v/>
      </c>
      <c r="AK911" s="21">
        <f>IF(AND($A911="",$B911=""),"",IF($X911&lt;&gt;"",$X911,IF($T911&lt;&gt;"Y","Not assessed",IF(AND(ISNUMBER($V911),Setup!$B$6-$V911&gt;Setup!$B$26),"Assessment outdated",IF(NOT(ISNUMBER($W911)),"Assessed – no score",IF($W911&gt;=Setup!$B$24,"High",IF($W911&gt;=Setup!$B$25,"Moderate","Low")))))))</f>
        <v/>
      </c>
      <c r="AL911" s="21">
        <f>IF(AND($A911="",$B911=""),"",IF(Z911=0,"",IF(AND(AE911=1,N($R911)&gt;AD911*1.01+0.001),"Net terrestrial &gt; gross; ","")&amp;IF(AND(AE911=1,N($S911)&gt;AC911*1.01+0.001),"Net marine &gt; gross; ","")&amp;IF(AE911=0,"No net area – gross used, overlaps may be double-counted; ","")&amp;IF(AH911=0,"STATUS_YR missing – imputed in time series; ","")&amp;IF(AND(ISNUMBER($I911),N($I911)&gt;Setup!$B$6),"STATUS_YR after reporting year; ","")&amp;IF(OR($G911="",$G911="Not Reported"),"GOV_TYPE not reported; ","")&amp;IF(AND(N($J911)=1,$K911="Point",N($M911)&lt;=0),"Coastal point without REP_M_AREA – land/sea split unknown; ","")&amp;IF(AND(N($J911)=0,N($S911)&gt;0),"MARINE=0 but net marine &gt;0; ","")&amp;IF(AND(N($J911)=2,N($R911)&gt;0),"MARINE=2 but net terrestrial &gt;0; ","")&amp;IF($K911="Point","Buffered point – coverage approximate; ","")))</f>
        <v/>
      </c>
    </row>
    <row r="912">
      <c r="A912" s="19" t="n"/>
      <c r="B912" s="19" t="n"/>
      <c r="C912" s="19" t="n"/>
      <c r="D912" s="19" t="n"/>
      <c r="E912" s="19" t="n"/>
      <c r="F912" s="19" t="n"/>
      <c r="G912" s="19" t="n"/>
      <c r="H912" s="19" t="n"/>
      <c r="I912" s="19" t="n"/>
      <c r="J912" s="19" t="n"/>
      <c r="K912" s="19" t="n"/>
      <c r="L912" s="20" t="n"/>
      <c r="M912" s="20" t="n"/>
      <c r="N912" s="20" t="n"/>
      <c r="O912" s="20" t="n"/>
      <c r="P912" s="19" t="n"/>
      <c r="Q912" s="19" t="n"/>
      <c r="R912" s="20" t="n"/>
      <c r="S912" s="20" t="n"/>
      <c r="T912" s="19" t="n"/>
      <c r="U912" s="19" t="n"/>
      <c r="V912" s="19" t="n"/>
      <c r="W912" s="19" t="n"/>
      <c r="X912" s="19" t="n"/>
      <c r="Y912" s="19" t="n"/>
      <c r="Z912" s="21">
        <f>IF(AND($A912="",$B912=""),"",IF(OR($E912="",$H912="",$H912="Proposed",$H912="Not Reported"),0,IF(AND($P912="Y",$Q912&lt;&gt;"Y"),0,IF(AND($K912="Point",N($L912)&lt;=0),0,IF(AND(N($L912)&lt;=0,N($N912)&lt;=0,N($R912)+N($S912)&lt;=0),0,1)))))</f>
        <v/>
      </c>
      <c r="AA912" s="21">
        <f>IF(AND($A912="",$B912=""),"",IF($E912="","Site type missing",IF($H912="","STATUS missing",IF($H912="Proposed","STATUS = Proposed",IF($H912="Not Reported","STATUS = Not Reported",IF(AND($P912="Y",$Q912&lt;&gt;"Y"),"UNESCO-MAB Biosphere Reserve",IF(AND($K912="Point",N($L912)&lt;=0),"Point without REP_AREA",IF(AND(N($L912)&lt;=0,N($N912)&lt;=0,N($R912)+N($S912)&lt;=0),"No area information",""))))))))</f>
        <v/>
      </c>
      <c r="AB912" s="22">
        <f>IF(AND($A912="",$B912=""),"",IF($K912="Point",N($L912),IF(N($N912)&gt;0,N($N912),N($L912))))</f>
        <v/>
      </c>
      <c r="AC912" s="22">
        <f>IF(AND($A912="",$B912=""),"",MIN(AB912,IF(N($J912)=0,0,IF(N($J912)=2,AB912,IF(AND($K912&lt;&gt;"Point",N($O912)&gt;0),N($O912),N($M912))))))</f>
        <v/>
      </c>
      <c r="AD912" s="22">
        <f>IF(AND($A912="",$B912=""),"",MAX(0,AB912-AC912))</f>
        <v/>
      </c>
      <c r="AE912" s="21">
        <f>IF(AND($A912="",$B912=""),"",IF(OR($R912&lt;&gt;"",$S912&lt;&gt;""),1,0))</f>
        <v/>
      </c>
      <c r="AF912" s="22">
        <f>IF(AND($A912="",$B912=""),"",IF(Z912=1,IF(AE912=1,N($R912),AD912),0))</f>
        <v/>
      </c>
      <c r="AG912" s="22">
        <f>IF(AND($A912="",$B912=""),"",IF(Z912=1,IF(AE912=1,N($S912),AC912),0))</f>
        <v/>
      </c>
      <c r="AH912" s="21">
        <f>IF(AND($A912="",$B912=""),"",IF(AND(ISNUMBER($I912),N($I912)&gt;0),$I912,0))</f>
        <v/>
      </c>
      <c r="AI912" s="23">
        <f>IF(AND(NOT(AND($A912="",$B912="")),$K912="Point",N($L912)&gt;0),SQRT(N($L912)/PI()),"")</f>
        <v/>
      </c>
      <c r="AJ912" s="21">
        <f>IF(AND($A912="",$B912=""),"",IFERROR(VLOOKUP($G912,Lists!$D$4:$E$15,2,FALSE),"Not reported"))</f>
        <v/>
      </c>
      <c r="AK912" s="21">
        <f>IF(AND($A912="",$B912=""),"",IF($X912&lt;&gt;"",$X912,IF($T912&lt;&gt;"Y","Not assessed",IF(AND(ISNUMBER($V912),Setup!$B$6-$V912&gt;Setup!$B$26),"Assessment outdated",IF(NOT(ISNUMBER($W912)),"Assessed – no score",IF($W912&gt;=Setup!$B$24,"High",IF($W912&gt;=Setup!$B$25,"Moderate","Low")))))))</f>
        <v/>
      </c>
      <c r="AL912" s="21">
        <f>IF(AND($A912="",$B912=""),"",IF(Z912=0,"",IF(AND(AE912=1,N($R912)&gt;AD912*1.01+0.001),"Net terrestrial &gt; gross; ","")&amp;IF(AND(AE912=1,N($S912)&gt;AC912*1.01+0.001),"Net marine &gt; gross; ","")&amp;IF(AE912=0,"No net area – gross used, overlaps may be double-counted; ","")&amp;IF(AH912=0,"STATUS_YR missing – imputed in time series; ","")&amp;IF(AND(ISNUMBER($I912),N($I912)&gt;Setup!$B$6),"STATUS_YR after reporting year; ","")&amp;IF(OR($G912="",$G912="Not Reported"),"GOV_TYPE not reported; ","")&amp;IF(AND(N($J912)=1,$K912="Point",N($M912)&lt;=0),"Coastal point without REP_M_AREA – land/sea split unknown; ","")&amp;IF(AND(N($J912)=0,N($S912)&gt;0),"MARINE=0 but net marine &gt;0; ","")&amp;IF(AND(N($J912)=2,N($R912)&gt;0),"MARINE=2 but net terrestrial &gt;0; ","")&amp;IF($K912="Point","Buffered point – coverage approximate; ","")))</f>
        <v/>
      </c>
    </row>
    <row r="913">
      <c r="A913" s="19" t="n"/>
      <c r="B913" s="19" t="n"/>
      <c r="C913" s="19" t="n"/>
      <c r="D913" s="19" t="n"/>
      <c r="E913" s="19" t="n"/>
      <c r="F913" s="19" t="n"/>
      <c r="G913" s="19" t="n"/>
      <c r="H913" s="19" t="n"/>
      <c r="I913" s="19" t="n"/>
      <c r="J913" s="19" t="n"/>
      <c r="K913" s="19" t="n"/>
      <c r="L913" s="20" t="n"/>
      <c r="M913" s="20" t="n"/>
      <c r="N913" s="20" t="n"/>
      <c r="O913" s="20" t="n"/>
      <c r="P913" s="19" t="n"/>
      <c r="Q913" s="19" t="n"/>
      <c r="R913" s="20" t="n"/>
      <c r="S913" s="20" t="n"/>
      <c r="T913" s="19" t="n"/>
      <c r="U913" s="19" t="n"/>
      <c r="V913" s="19" t="n"/>
      <c r="W913" s="19" t="n"/>
      <c r="X913" s="19" t="n"/>
      <c r="Y913" s="19" t="n"/>
      <c r="Z913" s="21">
        <f>IF(AND($A913="",$B913=""),"",IF(OR($E913="",$H913="",$H913="Proposed",$H913="Not Reported"),0,IF(AND($P913="Y",$Q913&lt;&gt;"Y"),0,IF(AND($K913="Point",N($L913)&lt;=0),0,IF(AND(N($L913)&lt;=0,N($N913)&lt;=0,N($R913)+N($S913)&lt;=0),0,1)))))</f>
        <v/>
      </c>
      <c r="AA913" s="21">
        <f>IF(AND($A913="",$B913=""),"",IF($E913="","Site type missing",IF($H913="","STATUS missing",IF($H913="Proposed","STATUS = Proposed",IF($H913="Not Reported","STATUS = Not Reported",IF(AND($P913="Y",$Q913&lt;&gt;"Y"),"UNESCO-MAB Biosphere Reserve",IF(AND($K913="Point",N($L913)&lt;=0),"Point without REP_AREA",IF(AND(N($L913)&lt;=0,N($N913)&lt;=0,N($R913)+N($S913)&lt;=0),"No area information",""))))))))</f>
        <v/>
      </c>
      <c r="AB913" s="22">
        <f>IF(AND($A913="",$B913=""),"",IF($K913="Point",N($L913),IF(N($N913)&gt;0,N($N913),N($L913))))</f>
        <v/>
      </c>
      <c r="AC913" s="22">
        <f>IF(AND($A913="",$B913=""),"",MIN(AB913,IF(N($J913)=0,0,IF(N($J913)=2,AB913,IF(AND($K913&lt;&gt;"Point",N($O913)&gt;0),N($O913),N($M913))))))</f>
        <v/>
      </c>
      <c r="AD913" s="22">
        <f>IF(AND($A913="",$B913=""),"",MAX(0,AB913-AC913))</f>
        <v/>
      </c>
      <c r="AE913" s="21">
        <f>IF(AND($A913="",$B913=""),"",IF(OR($R913&lt;&gt;"",$S913&lt;&gt;""),1,0))</f>
        <v/>
      </c>
      <c r="AF913" s="22">
        <f>IF(AND($A913="",$B913=""),"",IF(Z913=1,IF(AE913=1,N($R913),AD913),0))</f>
        <v/>
      </c>
      <c r="AG913" s="22">
        <f>IF(AND($A913="",$B913=""),"",IF(Z913=1,IF(AE913=1,N($S913),AC913),0))</f>
        <v/>
      </c>
      <c r="AH913" s="21">
        <f>IF(AND($A913="",$B913=""),"",IF(AND(ISNUMBER($I913),N($I913)&gt;0),$I913,0))</f>
        <v/>
      </c>
      <c r="AI913" s="23">
        <f>IF(AND(NOT(AND($A913="",$B913="")),$K913="Point",N($L913)&gt;0),SQRT(N($L913)/PI()),"")</f>
        <v/>
      </c>
      <c r="AJ913" s="21">
        <f>IF(AND($A913="",$B913=""),"",IFERROR(VLOOKUP($G913,Lists!$D$4:$E$15,2,FALSE),"Not reported"))</f>
        <v/>
      </c>
      <c r="AK913" s="21">
        <f>IF(AND($A913="",$B913=""),"",IF($X913&lt;&gt;"",$X913,IF($T913&lt;&gt;"Y","Not assessed",IF(AND(ISNUMBER($V913),Setup!$B$6-$V913&gt;Setup!$B$26),"Assessment outdated",IF(NOT(ISNUMBER($W913)),"Assessed – no score",IF($W913&gt;=Setup!$B$24,"High",IF($W913&gt;=Setup!$B$25,"Moderate","Low")))))))</f>
        <v/>
      </c>
      <c r="AL913" s="21">
        <f>IF(AND($A913="",$B913=""),"",IF(Z913=0,"",IF(AND(AE913=1,N($R913)&gt;AD913*1.01+0.001),"Net terrestrial &gt; gross; ","")&amp;IF(AND(AE913=1,N($S913)&gt;AC913*1.01+0.001),"Net marine &gt; gross; ","")&amp;IF(AE913=0,"No net area – gross used, overlaps may be double-counted; ","")&amp;IF(AH913=0,"STATUS_YR missing – imputed in time series; ","")&amp;IF(AND(ISNUMBER($I913),N($I913)&gt;Setup!$B$6),"STATUS_YR after reporting year; ","")&amp;IF(OR($G913="",$G913="Not Reported"),"GOV_TYPE not reported; ","")&amp;IF(AND(N($J913)=1,$K913="Point",N($M913)&lt;=0),"Coastal point without REP_M_AREA – land/sea split unknown; ","")&amp;IF(AND(N($J913)=0,N($S913)&gt;0),"MARINE=0 but net marine &gt;0; ","")&amp;IF(AND(N($J913)=2,N($R913)&gt;0),"MARINE=2 but net terrestrial &gt;0; ","")&amp;IF($K913="Point","Buffered point – coverage approximate; ","")))</f>
        <v/>
      </c>
    </row>
    <row r="914">
      <c r="A914" s="19" t="n"/>
      <c r="B914" s="19" t="n"/>
      <c r="C914" s="19" t="n"/>
      <c r="D914" s="19" t="n"/>
      <c r="E914" s="19" t="n"/>
      <c r="F914" s="19" t="n"/>
      <c r="G914" s="19" t="n"/>
      <c r="H914" s="19" t="n"/>
      <c r="I914" s="19" t="n"/>
      <c r="J914" s="19" t="n"/>
      <c r="K914" s="19" t="n"/>
      <c r="L914" s="20" t="n"/>
      <c r="M914" s="20" t="n"/>
      <c r="N914" s="20" t="n"/>
      <c r="O914" s="20" t="n"/>
      <c r="P914" s="19" t="n"/>
      <c r="Q914" s="19" t="n"/>
      <c r="R914" s="20" t="n"/>
      <c r="S914" s="20" t="n"/>
      <c r="T914" s="19" t="n"/>
      <c r="U914" s="19" t="n"/>
      <c r="V914" s="19" t="n"/>
      <c r="W914" s="19" t="n"/>
      <c r="X914" s="19" t="n"/>
      <c r="Y914" s="19" t="n"/>
      <c r="Z914" s="21">
        <f>IF(AND($A914="",$B914=""),"",IF(OR($E914="",$H914="",$H914="Proposed",$H914="Not Reported"),0,IF(AND($P914="Y",$Q914&lt;&gt;"Y"),0,IF(AND($K914="Point",N($L914)&lt;=0),0,IF(AND(N($L914)&lt;=0,N($N914)&lt;=0,N($R914)+N($S914)&lt;=0),0,1)))))</f>
        <v/>
      </c>
      <c r="AA914" s="21">
        <f>IF(AND($A914="",$B914=""),"",IF($E914="","Site type missing",IF($H914="","STATUS missing",IF($H914="Proposed","STATUS = Proposed",IF($H914="Not Reported","STATUS = Not Reported",IF(AND($P914="Y",$Q914&lt;&gt;"Y"),"UNESCO-MAB Biosphere Reserve",IF(AND($K914="Point",N($L914)&lt;=0),"Point without REP_AREA",IF(AND(N($L914)&lt;=0,N($N914)&lt;=0,N($R914)+N($S914)&lt;=0),"No area information",""))))))))</f>
        <v/>
      </c>
      <c r="AB914" s="22">
        <f>IF(AND($A914="",$B914=""),"",IF($K914="Point",N($L914),IF(N($N914)&gt;0,N($N914),N($L914))))</f>
        <v/>
      </c>
      <c r="AC914" s="22">
        <f>IF(AND($A914="",$B914=""),"",MIN(AB914,IF(N($J914)=0,0,IF(N($J914)=2,AB914,IF(AND($K914&lt;&gt;"Point",N($O914)&gt;0),N($O914),N($M914))))))</f>
        <v/>
      </c>
      <c r="AD914" s="22">
        <f>IF(AND($A914="",$B914=""),"",MAX(0,AB914-AC914))</f>
        <v/>
      </c>
      <c r="AE914" s="21">
        <f>IF(AND($A914="",$B914=""),"",IF(OR($R914&lt;&gt;"",$S914&lt;&gt;""),1,0))</f>
        <v/>
      </c>
      <c r="AF914" s="22">
        <f>IF(AND($A914="",$B914=""),"",IF(Z914=1,IF(AE914=1,N($R914),AD914),0))</f>
        <v/>
      </c>
      <c r="AG914" s="22">
        <f>IF(AND($A914="",$B914=""),"",IF(Z914=1,IF(AE914=1,N($S914),AC914),0))</f>
        <v/>
      </c>
      <c r="AH914" s="21">
        <f>IF(AND($A914="",$B914=""),"",IF(AND(ISNUMBER($I914),N($I914)&gt;0),$I914,0))</f>
        <v/>
      </c>
      <c r="AI914" s="23">
        <f>IF(AND(NOT(AND($A914="",$B914="")),$K914="Point",N($L914)&gt;0),SQRT(N($L914)/PI()),"")</f>
        <v/>
      </c>
      <c r="AJ914" s="21">
        <f>IF(AND($A914="",$B914=""),"",IFERROR(VLOOKUP($G914,Lists!$D$4:$E$15,2,FALSE),"Not reported"))</f>
        <v/>
      </c>
      <c r="AK914" s="21">
        <f>IF(AND($A914="",$B914=""),"",IF($X914&lt;&gt;"",$X914,IF($T914&lt;&gt;"Y","Not assessed",IF(AND(ISNUMBER($V914),Setup!$B$6-$V914&gt;Setup!$B$26),"Assessment outdated",IF(NOT(ISNUMBER($W914)),"Assessed – no score",IF($W914&gt;=Setup!$B$24,"High",IF($W914&gt;=Setup!$B$25,"Moderate","Low")))))))</f>
        <v/>
      </c>
      <c r="AL914" s="21">
        <f>IF(AND($A914="",$B914=""),"",IF(Z914=0,"",IF(AND(AE914=1,N($R914)&gt;AD914*1.01+0.001),"Net terrestrial &gt; gross; ","")&amp;IF(AND(AE914=1,N($S914)&gt;AC914*1.01+0.001),"Net marine &gt; gross; ","")&amp;IF(AE914=0,"No net area – gross used, overlaps may be double-counted; ","")&amp;IF(AH914=0,"STATUS_YR missing – imputed in time series; ","")&amp;IF(AND(ISNUMBER($I914),N($I914)&gt;Setup!$B$6),"STATUS_YR after reporting year; ","")&amp;IF(OR($G914="",$G914="Not Reported"),"GOV_TYPE not reported; ","")&amp;IF(AND(N($J914)=1,$K914="Point",N($M914)&lt;=0),"Coastal point without REP_M_AREA – land/sea split unknown; ","")&amp;IF(AND(N($J914)=0,N($S914)&gt;0),"MARINE=0 but net marine &gt;0; ","")&amp;IF(AND(N($J914)=2,N($R914)&gt;0),"MARINE=2 but net terrestrial &gt;0; ","")&amp;IF($K914="Point","Buffered point – coverage approximate; ","")))</f>
        <v/>
      </c>
    </row>
    <row r="915">
      <c r="A915" s="19" t="n"/>
      <c r="B915" s="19" t="n"/>
      <c r="C915" s="19" t="n"/>
      <c r="D915" s="19" t="n"/>
      <c r="E915" s="19" t="n"/>
      <c r="F915" s="19" t="n"/>
      <c r="G915" s="19" t="n"/>
      <c r="H915" s="19" t="n"/>
      <c r="I915" s="19" t="n"/>
      <c r="J915" s="19" t="n"/>
      <c r="K915" s="19" t="n"/>
      <c r="L915" s="20" t="n"/>
      <c r="M915" s="20" t="n"/>
      <c r="N915" s="20" t="n"/>
      <c r="O915" s="20" t="n"/>
      <c r="P915" s="19" t="n"/>
      <c r="Q915" s="19" t="n"/>
      <c r="R915" s="20" t="n"/>
      <c r="S915" s="20" t="n"/>
      <c r="T915" s="19" t="n"/>
      <c r="U915" s="19" t="n"/>
      <c r="V915" s="19" t="n"/>
      <c r="W915" s="19" t="n"/>
      <c r="X915" s="19" t="n"/>
      <c r="Y915" s="19" t="n"/>
      <c r="Z915" s="21">
        <f>IF(AND($A915="",$B915=""),"",IF(OR($E915="",$H915="",$H915="Proposed",$H915="Not Reported"),0,IF(AND($P915="Y",$Q915&lt;&gt;"Y"),0,IF(AND($K915="Point",N($L915)&lt;=0),0,IF(AND(N($L915)&lt;=0,N($N915)&lt;=0,N($R915)+N($S915)&lt;=0),0,1)))))</f>
        <v/>
      </c>
      <c r="AA915" s="21">
        <f>IF(AND($A915="",$B915=""),"",IF($E915="","Site type missing",IF($H915="","STATUS missing",IF($H915="Proposed","STATUS = Proposed",IF($H915="Not Reported","STATUS = Not Reported",IF(AND($P915="Y",$Q915&lt;&gt;"Y"),"UNESCO-MAB Biosphere Reserve",IF(AND($K915="Point",N($L915)&lt;=0),"Point without REP_AREA",IF(AND(N($L915)&lt;=0,N($N915)&lt;=0,N($R915)+N($S915)&lt;=0),"No area information",""))))))))</f>
        <v/>
      </c>
      <c r="AB915" s="22">
        <f>IF(AND($A915="",$B915=""),"",IF($K915="Point",N($L915),IF(N($N915)&gt;0,N($N915),N($L915))))</f>
        <v/>
      </c>
      <c r="AC915" s="22">
        <f>IF(AND($A915="",$B915=""),"",MIN(AB915,IF(N($J915)=0,0,IF(N($J915)=2,AB915,IF(AND($K915&lt;&gt;"Point",N($O915)&gt;0),N($O915),N($M915))))))</f>
        <v/>
      </c>
      <c r="AD915" s="22">
        <f>IF(AND($A915="",$B915=""),"",MAX(0,AB915-AC915))</f>
        <v/>
      </c>
      <c r="AE915" s="21">
        <f>IF(AND($A915="",$B915=""),"",IF(OR($R915&lt;&gt;"",$S915&lt;&gt;""),1,0))</f>
        <v/>
      </c>
      <c r="AF915" s="22">
        <f>IF(AND($A915="",$B915=""),"",IF(Z915=1,IF(AE915=1,N($R915),AD915),0))</f>
        <v/>
      </c>
      <c r="AG915" s="22">
        <f>IF(AND($A915="",$B915=""),"",IF(Z915=1,IF(AE915=1,N($S915),AC915),0))</f>
        <v/>
      </c>
      <c r="AH915" s="21">
        <f>IF(AND($A915="",$B915=""),"",IF(AND(ISNUMBER($I915),N($I915)&gt;0),$I915,0))</f>
        <v/>
      </c>
      <c r="AI915" s="23">
        <f>IF(AND(NOT(AND($A915="",$B915="")),$K915="Point",N($L915)&gt;0),SQRT(N($L915)/PI()),"")</f>
        <v/>
      </c>
      <c r="AJ915" s="21">
        <f>IF(AND($A915="",$B915=""),"",IFERROR(VLOOKUP($G915,Lists!$D$4:$E$15,2,FALSE),"Not reported"))</f>
        <v/>
      </c>
      <c r="AK915" s="21">
        <f>IF(AND($A915="",$B915=""),"",IF($X915&lt;&gt;"",$X915,IF($T915&lt;&gt;"Y","Not assessed",IF(AND(ISNUMBER($V915),Setup!$B$6-$V915&gt;Setup!$B$26),"Assessment outdated",IF(NOT(ISNUMBER($W915)),"Assessed – no score",IF($W915&gt;=Setup!$B$24,"High",IF($W915&gt;=Setup!$B$25,"Moderate","Low")))))))</f>
        <v/>
      </c>
      <c r="AL915" s="21">
        <f>IF(AND($A915="",$B915=""),"",IF(Z915=0,"",IF(AND(AE915=1,N($R915)&gt;AD915*1.01+0.001),"Net terrestrial &gt; gross; ","")&amp;IF(AND(AE915=1,N($S915)&gt;AC915*1.01+0.001),"Net marine &gt; gross; ","")&amp;IF(AE915=0,"No net area – gross used, overlaps may be double-counted; ","")&amp;IF(AH915=0,"STATUS_YR missing – imputed in time series; ","")&amp;IF(AND(ISNUMBER($I915),N($I915)&gt;Setup!$B$6),"STATUS_YR after reporting year; ","")&amp;IF(OR($G915="",$G915="Not Reported"),"GOV_TYPE not reported; ","")&amp;IF(AND(N($J915)=1,$K915="Point",N($M915)&lt;=0),"Coastal point without REP_M_AREA – land/sea split unknown; ","")&amp;IF(AND(N($J915)=0,N($S915)&gt;0),"MARINE=0 but net marine &gt;0; ","")&amp;IF(AND(N($J915)=2,N($R915)&gt;0),"MARINE=2 but net terrestrial &gt;0; ","")&amp;IF($K915="Point","Buffered point – coverage approximate; ","")))</f>
        <v/>
      </c>
    </row>
    <row r="916">
      <c r="A916" s="19" t="n"/>
      <c r="B916" s="19" t="n"/>
      <c r="C916" s="19" t="n"/>
      <c r="D916" s="19" t="n"/>
      <c r="E916" s="19" t="n"/>
      <c r="F916" s="19" t="n"/>
      <c r="G916" s="19" t="n"/>
      <c r="H916" s="19" t="n"/>
      <c r="I916" s="19" t="n"/>
      <c r="J916" s="19" t="n"/>
      <c r="K916" s="19" t="n"/>
      <c r="L916" s="20" t="n"/>
      <c r="M916" s="20" t="n"/>
      <c r="N916" s="20" t="n"/>
      <c r="O916" s="20" t="n"/>
      <c r="P916" s="19" t="n"/>
      <c r="Q916" s="19" t="n"/>
      <c r="R916" s="20" t="n"/>
      <c r="S916" s="20" t="n"/>
      <c r="T916" s="19" t="n"/>
      <c r="U916" s="19" t="n"/>
      <c r="V916" s="19" t="n"/>
      <c r="W916" s="19" t="n"/>
      <c r="X916" s="19" t="n"/>
      <c r="Y916" s="19" t="n"/>
      <c r="Z916" s="21">
        <f>IF(AND($A916="",$B916=""),"",IF(OR($E916="",$H916="",$H916="Proposed",$H916="Not Reported"),0,IF(AND($P916="Y",$Q916&lt;&gt;"Y"),0,IF(AND($K916="Point",N($L916)&lt;=0),0,IF(AND(N($L916)&lt;=0,N($N916)&lt;=0,N($R916)+N($S916)&lt;=0),0,1)))))</f>
        <v/>
      </c>
      <c r="AA916" s="21">
        <f>IF(AND($A916="",$B916=""),"",IF($E916="","Site type missing",IF($H916="","STATUS missing",IF($H916="Proposed","STATUS = Proposed",IF($H916="Not Reported","STATUS = Not Reported",IF(AND($P916="Y",$Q916&lt;&gt;"Y"),"UNESCO-MAB Biosphere Reserve",IF(AND($K916="Point",N($L916)&lt;=0),"Point without REP_AREA",IF(AND(N($L916)&lt;=0,N($N916)&lt;=0,N($R916)+N($S916)&lt;=0),"No area information",""))))))))</f>
        <v/>
      </c>
      <c r="AB916" s="22">
        <f>IF(AND($A916="",$B916=""),"",IF($K916="Point",N($L916),IF(N($N916)&gt;0,N($N916),N($L916))))</f>
        <v/>
      </c>
      <c r="AC916" s="22">
        <f>IF(AND($A916="",$B916=""),"",MIN(AB916,IF(N($J916)=0,0,IF(N($J916)=2,AB916,IF(AND($K916&lt;&gt;"Point",N($O916)&gt;0),N($O916),N($M916))))))</f>
        <v/>
      </c>
      <c r="AD916" s="22">
        <f>IF(AND($A916="",$B916=""),"",MAX(0,AB916-AC916))</f>
        <v/>
      </c>
      <c r="AE916" s="21">
        <f>IF(AND($A916="",$B916=""),"",IF(OR($R916&lt;&gt;"",$S916&lt;&gt;""),1,0))</f>
        <v/>
      </c>
      <c r="AF916" s="22">
        <f>IF(AND($A916="",$B916=""),"",IF(Z916=1,IF(AE916=1,N($R916),AD916),0))</f>
        <v/>
      </c>
      <c r="AG916" s="22">
        <f>IF(AND($A916="",$B916=""),"",IF(Z916=1,IF(AE916=1,N($S916),AC916),0))</f>
        <v/>
      </c>
      <c r="AH916" s="21">
        <f>IF(AND($A916="",$B916=""),"",IF(AND(ISNUMBER($I916),N($I916)&gt;0),$I916,0))</f>
        <v/>
      </c>
      <c r="AI916" s="23">
        <f>IF(AND(NOT(AND($A916="",$B916="")),$K916="Point",N($L916)&gt;0),SQRT(N($L916)/PI()),"")</f>
        <v/>
      </c>
      <c r="AJ916" s="21">
        <f>IF(AND($A916="",$B916=""),"",IFERROR(VLOOKUP($G916,Lists!$D$4:$E$15,2,FALSE),"Not reported"))</f>
        <v/>
      </c>
      <c r="AK916" s="21">
        <f>IF(AND($A916="",$B916=""),"",IF($X916&lt;&gt;"",$X916,IF($T916&lt;&gt;"Y","Not assessed",IF(AND(ISNUMBER($V916),Setup!$B$6-$V916&gt;Setup!$B$26),"Assessment outdated",IF(NOT(ISNUMBER($W916)),"Assessed – no score",IF($W916&gt;=Setup!$B$24,"High",IF($W916&gt;=Setup!$B$25,"Moderate","Low")))))))</f>
        <v/>
      </c>
      <c r="AL916" s="21">
        <f>IF(AND($A916="",$B916=""),"",IF(Z916=0,"",IF(AND(AE916=1,N($R916)&gt;AD916*1.01+0.001),"Net terrestrial &gt; gross; ","")&amp;IF(AND(AE916=1,N($S916)&gt;AC916*1.01+0.001),"Net marine &gt; gross; ","")&amp;IF(AE916=0,"No net area – gross used, overlaps may be double-counted; ","")&amp;IF(AH916=0,"STATUS_YR missing – imputed in time series; ","")&amp;IF(AND(ISNUMBER($I916),N($I916)&gt;Setup!$B$6),"STATUS_YR after reporting year; ","")&amp;IF(OR($G916="",$G916="Not Reported"),"GOV_TYPE not reported; ","")&amp;IF(AND(N($J916)=1,$K916="Point",N($M916)&lt;=0),"Coastal point without REP_M_AREA – land/sea split unknown; ","")&amp;IF(AND(N($J916)=0,N($S916)&gt;0),"MARINE=0 but net marine &gt;0; ","")&amp;IF(AND(N($J916)=2,N($R916)&gt;0),"MARINE=2 but net terrestrial &gt;0; ","")&amp;IF($K916="Point","Buffered point – coverage approximate; ","")))</f>
        <v/>
      </c>
    </row>
    <row r="917">
      <c r="A917" s="19" t="n"/>
      <c r="B917" s="19" t="n"/>
      <c r="C917" s="19" t="n"/>
      <c r="D917" s="19" t="n"/>
      <c r="E917" s="19" t="n"/>
      <c r="F917" s="19" t="n"/>
      <c r="G917" s="19" t="n"/>
      <c r="H917" s="19" t="n"/>
      <c r="I917" s="19" t="n"/>
      <c r="J917" s="19" t="n"/>
      <c r="K917" s="19" t="n"/>
      <c r="L917" s="20" t="n"/>
      <c r="M917" s="20" t="n"/>
      <c r="N917" s="20" t="n"/>
      <c r="O917" s="20" t="n"/>
      <c r="P917" s="19" t="n"/>
      <c r="Q917" s="19" t="n"/>
      <c r="R917" s="20" t="n"/>
      <c r="S917" s="20" t="n"/>
      <c r="T917" s="19" t="n"/>
      <c r="U917" s="19" t="n"/>
      <c r="V917" s="19" t="n"/>
      <c r="W917" s="19" t="n"/>
      <c r="X917" s="19" t="n"/>
      <c r="Y917" s="19" t="n"/>
      <c r="Z917" s="21">
        <f>IF(AND($A917="",$B917=""),"",IF(OR($E917="",$H917="",$H917="Proposed",$H917="Not Reported"),0,IF(AND($P917="Y",$Q917&lt;&gt;"Y"),0,IF(AND($K917="Point",N($L917)&lt;=0),0,IF(AND(N($L917)&lt;=0,N($N917)&lt;=0,N($R917)+N($S917)&lt;=0),0,1)))))</f>
        <v/>
      </c>
      <c r="AA917" s="21">
        <f>IF(AND($A917="",$B917=""),"",IF($E917="","Site type missing",IF($H917="","STATUS missing",IF($H917="Proposed","STATUS = Proposed",IF($H917="Not Reported","STATUS = Not Reported",IF(AND($P917="Y",$Q917&lt;&gt;"Y"),"UNESCO-MAB Biosphere Reserve",IF(AND($K917="Point",N($L917)&lt;=0),"Point without REP_AREA",IF(AND(N($L917)&lt;=0,N($N917)&lt;=0,N($R917)+N($S917)&lt;=0),"No area information",""))))))))</f>
        <v/>
      </c>
      <c r="AB917" s="22">
        <f>IF(AND($A917="",$B917=""),"",IF($K917="Point",N($L917),IF(N($N917)&gt;0,N($N917),N($L917))))</f>
        <v/>
      </c>
      <c r="AC917" s="22">
        <f>IF(AND($A917="",$B917=""),"",MIN(AB917,IF(N($J917)=0,0,IF(N($J917)=2,AB917,IF(AND($K917&lt;&gt;"Point",N($O917)&gt;0),N($O917),N($M917))))))</f>
        <v/>
      </c>
      <c r="AD917" s="22">
        <f>IF(AND($A917="",$B917=""),"",MAX(0,AB917-AC917))</f>
        <v/>
      </c>
      <c r="AE917" s="21">
        <f>IF(AND($A917="",$B917=""),"",IF(OR($R917&lt;&gt;"",$S917&lt;&gt;""),1,0))</f>
        <v/>
      </c>
      <c r="AF917" s="22">
        <f>IF(AND($A917="",$B917=""),"",IF(Z917=1,IF(AE917=1,N($R917),AD917),0))</f>
        <v/>
      </c>
      <c r="AG917" s="22">
        <f>IF(AND($A917="",$B917=""),"",IF(Z917=1,IF(AE917=1,N($S917),AC917),0))</f>
        <v/>
      </c>
      <c r="AH917" s="21">
        <f>IF(AND($A917="",$B917=""),"",IF(AND(ISNUMBER($I917),N($I917)&gt;0),$I917,0))</f>
        <v/>
      </c>
      <c r="AI917" s="23">
        <f>IF(AND(NOT(AND($A917="",$B917="")),$K917="Point",N($L917)&gt;0),SQRT(N($L917)/PI()),"")</f>
        <v/>
      </c>
      <c r="AJ917" s="21">
        <f>IF(AND($A917="",$B917=""),"",IFERROR(VLOOKUP($G917,Lists!$D$4:$E$15,2,FALSE),"Not reported"))</f>
        <v/>
      </c>
      <c r="AK917" s="21">
        <f>IF(AND($A917="",$B917=""),"",IF($X917&lt;&gt;"",$X917,IF($T917&lt;&gt;"Y","Not assessed",IF(AND(ISNUMBER($V917),Setup!$B$6-$V917&gt;Setup!$B$26),"Assessment outdated",IF(NOT(ISNUMBER($W917)),"Assessed – no score",IF($W917&gt;=Setup!$B$24,"High",IF($W917&gt;=Setup!$B$25,"Moderate","Low")))))))</f>
        <v/>
      </c>
      <c r="AL917" s="21">
        <f>IF(AND($A917="",$B917=""),"",IF(Z917=0,"",IF(AND(AE917=1,N($R917)&gt;AD917*1.01+0.001),"Net terrestrial &gt; gross; ","")&amp;IF(AND(AE917=1,N($S917)&gt;AC917*1.01+0.001),"Net marine &gt; gross; ","")&amp;IF(AE917=0,"No net area – gross used, overlaps may be double-counted; ","")&amp;IF(AH917=0,"STATUS_YR missing – imputed in time series; ","")&amp;IF(AND(ISNUMBER($I917),N($I917)&gt;Setup!$B$6),"STATUS_YR after reporting year; ","")&amp;IF(OR($G917="",$G917="Not Reported"),"GOV_TYPE not reported; ","")&amp;IF(AND(N($J917)=1,$K917="Point",N($M917)&lt;=0),"Coastal point without REP_M_AREA – land/sea split unknown; ","")&amp;IF(AND(N($J917)=0,N($S917)&gt;0),"MARINE=0 but net marine &gt;0; ","")&amp;IF(AND(N($J917)=2,N($R917)&gt;0),"MARINE=2 but net terrestrial &gt;0; ","")&amp;IF($K917="Point","Buffered point – coverage approximate; ","")))</f>
        <v/>
      </c>
    </row>
    <row r="918">
      <c r="A918" s="19" t="n"/>
      <c r="B918" s="19" t="n"/>
      <c r="C918" s="19" t="n"/>
      <c r="D918" s="19" t="n"/>
      <c r="E918" s="19" t="n"/>
      <c r="F918" s="19" t="n"/>
      <c r="G918" s="19" t="n"/>
      <c r="H918" s="19" t="n"/>
      <c r="I918" s="19" t="n"/>
      <c r="J918" s="19" t="n"/>
      <c r="K918" s="19" t="n"/>
      <c r="L918" s="20" t="n"/>
      <c r="M918" s="20" t="n"/>
      <c r="N918" s="20" t="n"/>
      <c r="O918" s="20" t="n"/>
      <c r="P918" s="19" t="n"/>
      <c r="Q918" s="19" t="n"/>
      <c r="R918" s="20" t="n"/>
      <c r="S918" s="20" t="n"/>
      <c r="T918" s="19" t="n"/>
      <c r="U918" s="19" t="n"/>
      <c r="V918" s="19" t="n"/>
      <c r="W918" s="19" t="n"/>
      <c r="X918" s="19" t="n"/>
      <c r="Y918" s="19" t="n"/>
      <c r="Z918" s="21">
        <f>IF(AND($A918="",$B918=""),"",IF(OR($E918="",$H918="",$H918="Proposed",$H918="Not Reported"),0,IF(AND($P918="Y",$Q918&lt;&gt;"Y"),0,IF(AND($K918="Point",N($L918)&lt;=0),0,IF(AND(N($L918)&lt;=0,N($N918)&lt;=0,N($R918)+N($S918)&lt;=0),0,1)))))</f>
        <v/>
      </c>
      <c r="AA918" s="21">
        <f>IF(AND($A918="",$B918=""),"",IF($E918="","Site type missing",IF($H918="","STATUS missing",IF($H918="Proposed","STATUS = Proposed",IF($H918="Not Reported","STATUS = Not Reported",IF(AND($P918="Y",$Q918&lt;&gt;"Y"),"UNESCO-MAB Biosphere Reserve",IF(AND($K918="Point",N($L918)&lt;=0),"Point without REP_AREA",IF(AND(N($L918)&lt;=0,N($N918)&lt;=0,N($R918)+N($S918)&lt;=0),"No area information",""))))))))</f>
        <v/>
      </c>
      <c r="AB918" s="22">
        <f>IF(AND($A918="",$B918=""),"",IF($K918="Point",N($L918),IF(N($N918)&gt;0,N($N918),N($L918))))</f>
        <v/>
      </c>
      <c r="AC918" s="22">
        <f>IF(AND($A918="",$B918=""),"",MIN(AB918,IF(N($J918)=0,0,IF(N($J918)=2,AB918,IF(AND($K918&lt;&gt;"Point",N($O918)&gt;0),N($O918),N($M918))))))</f>
        <v/>
      </c>
      <c r="AD918" s="22">
        <f>IF(AND($A918="",$B918=""),"",MAX(0,AB918-AC918))</f>
        <v/>
      </c>
      <c r="AE918" s="21">
        <f>IF(AND($A918="",$B918=""),"",IF(OR($R918&lt;&gt;"",$S918&lt;&gt;""),1,0))</f>
        <v/>
      </c>
      <c r="AF918" s="22">
        <f>IF(AND($A918="",$B918=""),"",IF(Z918=1,IF(AE918=1,N($R918),AD918),0))</f>
        <v/>
      </c>
      <c r="AG918" s="22">
        <f>IF(AND($A918="",$B918=""),"",IF(Z918=1,IF(AE918=1,N($S918),AC918),0))</f>
        <v/>
      </c>
      <c r="AH918" s="21">
        <f>IF(AND($A918="",$B918=""),"",IF(AND(ISNUMBER($I918),N($I918)&gt;0),$I918,0))</f>
        <v/>
      </c>
      <c r="AI918" s="23">
        <f>IF(AND(NOT(AND($A918="",$B918="")),$K918="Point",N($L918)&gt;0),SQRT(N($L918)/PI()),"")</f>
        <v/>
      </c>
      <c r="AJ918" s="21">
        <f>IF(AND($A918="",$B918=""),"",IFERROR(VLOOKUP($G918,Lists!$D$4:$E$15,2,FALSE),"Not reported"))</f>
        <v/>
      </c>
      <c r="AK918" s="21">
        <f>IF(AND($A918="",$B918=""),"",IF($X918&lt;&gt;"",$X918,IF($T918&lt;&gt;"Y","Not assessed",IF(AND(ISNUMBER($V918),Setup!$B$6-$V918&gt;Setup!$B$26),"Assessment outdated",IF(NOT(ISNUMBER($W918)),"Assessed – no score",IF($W918&gt;=Setup!$B$24,"High",IF($W918&gt;=Setup!$B$25,"Moderate","Low")))))))</f>
        <v/>
      </c>
      <c r="AL918" s="21">
        <f>IF(AND($A918="",$B918=""),"",IF(Z918=0,"",IF(AND(AE918=1,N($R918)&gt;AD918*1.01+0.001),"Net terrestrial &gt; gross; ","")&amp;IF(AND(AE918=1,N($S918)&gt;AC918*1.01+0.001),"Net marine &gt; gross; ","")&amp;IF(AE918=0,"No net area – gross used, overlaps may be double-counted; ","")&amp;IF(AH918=0,"STATUS_YR missing – imputed in time series; ","")&amp;IF(AND(ISNUMBER($I918),N($I918)&gt;Setup!$B$6),"STATUS_YR after reporting year; ","")&amp;IF(OR($G918="",$G918="Not Reported"),"GOV_TYPE not reported; ","")&amp;IF(AND(N($J918)=1,$K918="Point",N($M918)&lt;=0),"Coastal point without REP_M_AREA – land/sea split unknown; ","")&amp;IF(AND(N($J918)=0,N($S918)&gt;0),"MARINE=0 but net marine &gt;0; ","")&amp;IF(AND(N($J918)=2,N($R918)&gt;0),"MARINE=2 but net terrestrial &gt;0; ","")&amp;IF($K918="Point","Buffered point – coverage approximate; ","")))</f>
        <v/>
      </c>
    </row>
    <row r="919">
      <c r="A919" s="19" t="n"/>
      <c r="B919" s="19" t="n"/>
      <c r="C919" s="19" t="n"/>
      <c r="D919" s="19" t="n"/>
      <c r="E919" s="19" t="n"/>
      <c r="F919" s="19" t="n"/>
      <c r="G919" s="19" t="n"/>
      <c r="H919" s="19" t="n"/>
      <c r="I919" s="19" t="n"/>
      <c r="J919" s="19" t="n"/>
      <c r="K919" s="19" t="n"/>
      <c r="L919" s="20" t="n"/>
      <c r="M919" s="20" t="n"/>
      <c r="N919" s="20" t="n"/>
      <c r="O919" s="20" t="n"/>
      <c r="P919" s="19" t="n"/>
      <c r="Q919" s="19" t="n"/>
      <c r="R919" s="20" t="n"/>
      <c r="S919" s="20" t="n"/>
      <c r="T919" s="19" t="n"/>
      <c r="U919" s="19" t="n"/>
      <c r="V919" s="19" t="n"/>
      <c r="W919" s="19" t="n"/>
      <c r="X919" s="19" t="n"/>
      <c r="Y919" s="19" t="n"/>
      <c r="Z919" s="21">
        <f>IF(AND($A919="",$B919=""),"",IF(OR($E919="",$H919="",$H919="Proposed",$H919="Not Reported"),0,IF(AND($P919="Y",$Q919&lt;&gt;"Y"),0,IF(AND($K919="Point",N($L919)&lt;=0),0,IF(AND(N($L919)&lt;=0,N($N919)&lt;=0,N($R919)+N($S919)&lt;=0),0,1)))))</f>
        <v/>
      </c>
      <c r="AA919" s="21">
        <f>IF(AND($A919="",$B919=""),"",IF($E919="","Site type missing",IF($H919="","STATUS missing",IF($H919="Proposed","STATUS = Proposed",IF($H919="Not Reported","STATUS = Not Reported",IF(AND($P919="Y",$Q919&lt;&gt;"Y"),"UNESCO-MAB Biosphere Reserve",IF(AND($K919="Point",N($L919)&lt;=0),"Point without REP_AREA",IF(AND(N($L919)&lt;=0,N($N919)&lt;=0,N($R919)+N($S919)&lt;=0),"No area information",""))))))))</f>
        <v/>
      </c>
      <c r="AB919" s="22">
        <f>IF(AND($A919="",$B919=""),"",IF($K919="Point",N($L919),IF(N($N919)&gt;0,N($N919),N($L919))))</f>
        <v/>
      </c>
      <c r="AC919" s="22">
        <f>IF(AND($A919="",$B919=""),"",MIN(AB919,IF(N($J919)=0,0,IF(N($J919)=2,AB919,IF(AND($K919&lt;&gt;"Point",N($O919)&gt;0),N($O919),N($M919))))))</f>
        <v/>
      </c>
      <c r="AD919" s="22">
        <f>IF(AND($A919="",$B919=""),"",MAX(0,AB919-AC919))</f>
        <v/>
      </c>
      <c r="AE919" s="21">
        <f>IF(AND($A919="",$B919=""),"",IF(OR($R919&lt;&gt;"",$S919&lt;&gt;""),1,0))</f>
        <v/>
      </c>
      <c r="AF919" s="22">
        <f>IF(AND($A919="",$B919=""),"",IF(Z919=1,IF(AE919=1,N($R919),AD919),0))</f>
        <v/>
      </c>
      <c r="AG919" s="22">
        <f>IF(AND($A919="",$B919=""),"",IF(Z919=1,IF(AE919=1,N($S919),AC919),0))</f>
        <v/>
      </c>
      <c r="AH919" s="21">
        <f>IF(AND($A919="",$B919=""),"",IF(AND(ISNUMBER($I919),N($I919)&gt;0),$I919,0))</f>
        <v/>
      </c>
      <c r="AI919" s="23">
        <f>IF(AND(NOT(AND($A919="",$B919="")),$K919="Point",N($L919)&gt;0),SQRT(N($L919)/PI()),"")</f>
        <v/>
      </c>
      <c r="AJ919" s="21">
        <f>IF(AND($A919="",$B919=""),"",IFERROR(VLOOKUP($G919,Lists!$D$4:$E$15,2,FALSE),"Not reported"))</f>
        <v/>
      </c>
      <c r="AK919" s="21">
        <f>IF(AND($A919="",$B919=""),"",IF($X919&lt;&gt;"",$X919,IF($T919&lt;&gt;"Y","Not assessed",IF(AND(ISNUMBER($V919),Setup!$B$6-$V919&gt;Setup!$B$26),"Assessment outdated",IF(NOT(ISNUMBER($W919)),"Assessed – no score",IF($W919&gt;=Setup!$B$24,"High",IF($W919&gt;=Setup!$B$25,"Moderate","Low")))))))</f>
        <v/>
      </c>
      <c r="AL919" s="21">
        <f>IF(AND($A919="",$B919=""),"",IF(Z919=0,"",IF(AND(AE919=1,N($R919)&gt;AD919*1.01+0.001),"Net terrestrial &gt; gross; ","")&amp;IF(AND(AE919=1,N($S919)&gt;AC919*1.01+0.001),"Net marine &gt; gross; ","")&amp;IF(AE919=0,"No net area – gross used, overlaps may be double-counted; ","")&amp;IF(AH919=0,"STATUS_YR missing – imputed in time series; ","")&amp;IF(AND(ISNUMBER($I919),N($I919)&gt;Setup!$B$6),"STATUS_YR after reporting year; ","")&amp;IF(OR($G919="",$G919="Not Reported"),"GOV_TYPE not reported; ","")&amp;IF(AND(N($J919)=1,$K919="Point",N($M919)&lt;=0),"Coastal point without REP_M_AREA – land/sea split unknown; ","")&amp;IF(AND(N($J919)=0,N($S919)&gt;0),"MARINE=0 but net marine &gt;0; ","")&amp;IF(AND(N($J919)=2,N($R919)&gt;0),"MARINE=2 but net terrestrial &gt;0; ","")&amp;IF($K919="Point","Buffered point – coverage approximate; ","")))</f>
        <v/>
      </c>
    </row>
    <row r="920">
      <c r="A920" s="19" t="n"/>
      <c r="B920" s="19" t="n"/>
      <c r="C920" s="19" t="n"/>
      <c r="D920" s="19" t="n"/>
      <c r="E920" s="19" t="n"/>
      <c r="F920" s="19" t="n"/>
      <c r="G920" s="19" t="n"/>
      <c r="H920" s="19" t="n"/>
      <c r="I920" s="19" t="n"/>
      <c r="J920" s="19" t="n"/>
      <c r="K920" s="19" t="n"/>
      <c r="L920" s="20" t="n"/>
      <c r="M920" s="20" t="n"/>
      <c r="N920" s="20" t="n"/>
      <c r="O920" s="20" t="n"/>
      <c r="P920" s="19" t="n"/>
      <c r="Q920" s="19" t="n"/>
      <c r="R920" s="20" t="n"/>
      <c r="S920" s="20" t="n"/>
      <c r="T920" s="19" t="n"/>
      <c r="U920" s="19" t="n"/>
      <c r="V920" s="19" t="n"/>
      <c r="W920" s="19" t="n"/>
      <c r="X920" s="19" t="n"/>
      <c r="Y920" s="19" t="n"/>
      <c r="Z920" s="21">
        <f>IF(AND($A920="",$B920=""),"",IF(OR($E920="",$H920="",$H920="Proposed",$H920="Not Reported"),0,IF(AND($P920="Y",$Q920&lt;&gt;"Y"),0,IF(AND($K920="Point",N($L920)&lt;=0),0,IF(AND(N($L920)&lt;=0,N($N920)&lt;=0,N($R920)+N($S920)&lt;=0),0,1)))))</f>
        <v/>
      </c>
      <c r="AA920" s="21">
        <f>IF(AND($A920="",$B920=""),"",IF($E920="","Site type missing",IF($H920="","STATUS missing",IF($H920="Proposed","STATUS = Proposed",IF($H920="Not Reported","STATUS = Not Reported",IF(AND($P920="Y",$Q920&lt;&gt;"Y"),"UNESCO-MAB Biosphere Reserve",IF(AND($K920="Point",N($L920)&lt;=0),"Point without REP_AREA",IF(AND(N($L920)&lt;=0,N($N920)&lt;=0,N($R920)+N($S920)&lt;=0),"No area information",""))))))))</f>
        <v/>
      </c>
      <c r="AB920" s="22">
        <f>IF(AND($A920="",$B920=""),"",IF($K920="Point",N($L920),IF(N($N920)&gt;0,N($N920),N($L920))))</f>
        <v/>
      </c>
      <c r="AC920" s="22">
        <f>IF(AND($A920="",$B920=""),"",MIN(AB920,IF(N($J920)=0,0,IF(N($J920)=2,AB920,IF(AND($K920&lt;&gt;"Point",N($O920)&gt;0),N($O920),N($M920))))))</f>
        <v/>
      </c>
      <c r="AD920" s="22">
        <f>IF(AND($A920="",$B920=""),"",MAX(0,AB920-AC920))</f>
        <v/>
      </c>
      <c r="AE920" s="21">
        <f>IF(AND($A920="",$B920=""),"",IF(OR($R920&lt;&gt;"",$S920&lt;&gt;""),1,0))</f>
        <v/>
      </c>
      <c r="AF920" s="22">
        <f>IF(AND($A920="",$B920=""),"",IF(Z920=1,IF(AE920=1,N($R920),AD920),0))</f>
        <v/>
      </c>
      <c r="AG920" s="22">
        <f>IF(AND($A920="",$B920=""),"",IF(Z920=1,IF(AE920=1,N($S920),AC920),0))</f>
        <v/>
      </c>
      <c r="AH920" s="21">
        <f>IF(AND($A920="",$B920=""),"",IF(AND(ISNUMBER($I920),N($I920)&gt;0),$I920,0))</f>
        <v/>
      </c>
      <c r="AI920" s="23">
        <f>IF(AND(NOT(AND($A920="",$B920="")),$K920="Point",N($L920)&gt;0),SQRT(N($L920)/PI()),"")</f>
        <v/>
      </c>
      <c r="AJ920" s="21">
        <f>IF(AND($A920="",$B920=""),"",IFERROR(VLOOKUP($G920,Lists!$D$4:$E$15,2,FALSE),"Not reported"))</f>
        <v/>
      </c>
      <c r="AK920" s="21">
        <f>IF(AND($A920="",$B920=""),"",IF($X920&lt;&gt;"",$X920,IF($T920&lt;&gt;"Y","Not assessed",IF(AND(ISNUMBER($V920),Setup!$B$6-$V920&gt;Setup!$B$26),"Assessment outdated",IF(NOT(ISNUMBER($W920)),"Assessed – no score",IF($W920&gt;=Setup!$B$24,"High",IF($W920&gt;=Setup!$B$25,"Moderate","Low")))))))</f>
        <v/>
      </c>
      <c r="AL920" s="21">
        <f>IF(AND($A920="",$B920=""),"",IF(Z920=0,"",IF(AND(AE920=1,N($R920)&gt;AD920*1.01+0.001),"Net terrestrial &gt; gross; ","")&amp;IF(AND(AE920=1,N($S920)&gt;AC920*1.01+0.001),"Net marine &gt; gross; ","")&amp;IF(AE920=0,"No net area – gross used, overlaps may be double-counted; ","")&amp;IF(AH920=0,"STATUS_YR missing – imputed in time series; ","")&amp;IF(AND(ISNUMBER($I920),N($I920)&gt;Setup!$B$6),"STATUS_YR after reporting year; ","")&amp;IF(OR($G920="",$G920="Not Reported"),"GOV_TYPE not reported; ","")&amp;IF(AND(N($J920)=1,$K920="Point",N($M920)&lt;=0),"Coastal point without REP_M_AREA – land/sea split unknown; ","")&amp;IF(AND(N($J920)=0,N($S920)&gt;0),"MARINE=0 but net marine &gt;0; ","")&amp;IF(AND(N($J920)=2,N($R920)&gt;0),"MARINE=2 but net terrestrial &gt;0; ","")&amp;IF($K920="Point","Buffered point – coverage approximate; ","")))</f>
        <v/>
      </c>
    </row>
    <row r="921">
      <c r="A921" s="19" t="n"/>
      <c r="B921" s="19" t="n"/>
      <c r="C921" s="19" t="n"/>
      <c r="D921" s="19" t="n"/>
      <c r="E921" s="19" t="n"/>
      <c r="F921" s="19" t="n"/>
      <c r="G921" s="19" t="n"/>
      <c r="H921" s="19" t="n"/>
      <c r="I921" s="19" t="n"/>
      <c r="J921" s="19" t="n"/>
      <c r="K921" s="19" t="n"/>
      <c r="L921" s="20" t="n"/>
      <c r="M921" s="20" t="n"/>
      <c r="N921" s="20" t="n"/>
      <c r="O921" s="20" t="n"/>
      <c r="P921" s="19" t="n"/>
      <c r="Q921" s="19" t="n"/>
      <c r="R921" s="20" t="n"/>
      <c r="S921" s="20" t="n"/>
      <c r="T921" s="19" t="n"/>
      <c r="U921" s="19" t="n"/>
      <c r="V921" s="19" t="n"/>
      <c r="W921" s="19" t="n"/>
      <c r="X921" s="19" t="n"/>
      <c r="Y921" s="19" t="n"/>
      <c r="Z921" s="21">
        <f>IF(AND($A921="",$B921=""),"",IF(OR($E921="",$H921="",$H921="Proposed",$H921="Not Reported"),0,IF(AND($P921="Y",$Q921&lt;&gt;"Y"),0,IF(AND($K921="Point",N($L921)&lt;=0),0,IF(AND(N($L921)&lt;=0,N($N921)&lt;=0,N($R921)+N($S921)&lt;=0),0,1)))))</f>
        <v/>
      </c>
      <c r="AA921" s="21">
        <f>IF(AND($A921="",$B921=""),"",IF($E921="","Site type missing",IF($H921="","STATUS missing",IF($H921="Proposed","STATUS = Proposed",IF($H921="Not Reported","STATUS = Not Reported",IF(AND($P921="Y",$Q921&lt;&gt;"Y"),"UNESCO-MAB Biosphere Reserve",IF(AND($K921="Point",N($L921)&lt;=0),"Point without REP_AREA",IF(AND(N($L921)&lt;=0,N($N921)&lt;=0,N($R921)+N($S921)&lt;=0),"No area information",""))))))))</f>
        <v/>
      </c>
      <c r="AB921" s="22">
        <f>IF(AND($A921="",$B921=""),"",IF($K921="Point",N($L921),IF(N($N921)&gt;0,N($N921),N($L921))))</f>
        <v/>
      </c>
      <c r="AC921" s="22">
        <f>IF(AND($A921="",$B921=""),"",MIN(AB921,IF(N($J921)=0,0,IF(N($J921)=2,AB921,IF(AND($K921&lt;&gt;"Point",N($O921)&gt;0),N($O921),N($M921))))))</f>
        <v/>
      </c>
      <c r="AD921" s="22">
        <f>IF(AND($A921="",$B921=""),"",MAX(0,AB921-AC921))</f>
        <v/>
      </c>
      <c r="AE921" s="21">
        <f>IF(AND($A921="",$B921=""),"",IF(OR($R921&lt;&gt;"",$S921&lt;&gt;""),1,0))</f>
        <v/>
      </c>
      <c r="AF921" s="22">
        <f>IF(AND($A921="",$B921=""),"",IF(Z921=1,IF(AE921=1,N($R921),AD921),0))</f>
        <v/>
      </c>
      <c r="AG921" s="22">
        <f>IF(AND($A921="",$B921=""),"",IF(Z921=1,IF(AE921=1,N($S921),AC921),0))</f>
        <v/>
      </c>
      <c r="AH921" s="21">
        <f>IF(AND($A921="",$B921=""),"",IF(AND(ISNUMBER($I921),N($I921)&gt;0),$I921,0))</f>
        <v/>
      </c>
      <c r="AI921" s="23">
        <f>IF(AND(NOT(AND($A921="",$B921="")),$K921="Point",N($L921)&gt;0),SQRT(N($L921)/PI()),"")</f>
        <v/>
      </c>
      <c r="AJ921" s="21">
        <f>IF(AND($A921="",$B921=""),"",IFERROR(VLOOKUP($G921,Lists!$D$4:$E$15,2,FALSE),"Not reported"))</f>
        <v/>
      </c>
      <c r="AK921" s="21">
        <f>IF(AND($A921="",$B921=""),"",IF($X921&lt;&gt;"",$X921,IF($T921&lt;&gt;"Y","Not assessed",IF(AND(ISNUMBER($V921),Setup!$B$6-$V921&gt;Setup!$B$26),"Assessment outdated",IF(NOT(ISNUMBER($W921)),"Assessed – no score",IF($W921&gt;=Setup!$B$24,"High",IF($W921&gt;=Setup!$B$25,"Moderate","Low")))))))</f>
        <v/>
      </c>
      <c r="AL921" s="21">
        <f>IF(AND($A921="",$B921=""),"",IF(Z921=0,"",IF(AND(AE921=1,N($R921)&gt;AD921*1.01+0.001),"Net terrestrial &gt; gross; ","")&amp;IF(AND(AE921=1,N($S921)&gt;AC921*1.01+0.001),"Net marine &gt; gross; ","")&amp;IF(AE921=0,"No net area – gross used, overlaps may be double-counted; ","")&amp;IF(AH921=0,"STATUS_YR missing – imputed in time series; ","")&amp;IF(AND(ISNUMBER($I921),N($I921)&gt;Setup!$B$6),"STATUS_YR after reporting year; ","")&amp;IF(OR($G921="",$G921="Not Reported"),"GOV_TYPE not reported; ","")&amp;IF(AND(N($J921)=1,$K921="Point",N($M921)&lt;=0),"Coastal point without REP_M_AREA – land/sea split unknown; ","")&amp;IF(AND(N($J921)=0,N($S921)&gt;0),"MARINE=0 but net marine &gt;0; ","")&amp;IF(AND(N($J921)=2,N($R921)&gt;0),"MARINE=2 but net terrestrial &gt;0; ","")&amp;IF($K921="Point","Buffered point – coverage approximate; ","")))</f>
        <v/>
      </c>
    </row>
    <row r="922">
      <c r="A922" s="19" t="n"/>
      <c r="B922" s="19" t="n"/>
      <c r="C922" s="19" t="n"/>
      <c r="D922" s="19" t="n"/>
      <c r="E922" s="19" t="n"/>
      <c r="F922" s="19" t="n"/>
      <c r="G922" s="19" t="n"/>
      <c r="H922" s="19" t="n"/>
      <c r="I922" s="19" t="n"/>
      <c r="J922" s="19" t="n"/>
      <c r="K922" s="19" t="n"/>
      <c r="L922" s="20" t="n"/>
      <c r="M922" s="20" t="n"/>
      <c r="N922" s="20" t="n"/>
      <c r="O922" s="20" t="n"/>
      <c r="P922" s="19" t="n"/>
      <c r="Q922" s="19" t="n"/>
      <c r="R922" s="20" t="n"/>
      <c r="S922" s="20" t="n"/>
      <c r="T922" s="19" t="n"/>
      <c r="U922" s="19" t="n"/>
      <c r="V922" s="19" t="n"/>
      <c r="W922" s="19" t="n"/>
      <c r="X922" s="19" t="n"/>
      <c r="Y922" s="19" t="n"/>
      <c r="Z922" s="21">
        <f>IF(AND($A922="",$B922=""),"",IF(OR($E922="",$H922="",$H922="Proposed",$H922="Not Reported"),0,IF(AND($P922="Y",$Q922&lt;&gt;"Y"),0,IF(AND($K922="Point",N($L922)&lt;=0),0,IF(AND(N($L922)&lt;=0,N($N922)&lt;=0,N($R922)+N($S922)&lt;=0),0,1)))))</f>
        <v/>
      </c>
      <c r="AA922" s="21">
        <f>IF(AND($A922="",$B922=""),"",IF($E922="","Site type missing",IF($H922="","STATUS missing",IF($H922="Proposed","STATUS = Proposed",IF($H922="Not Reported","STATUS = Not Reported",IF(AND($P922="Y",$Q922&lt;&gt;"Y"),"UNESCO-MAB Biosphere Reserve",IF(AND($K922="Point",N($L922)&lt;=0),"Point without REP_AREA",IF(AND(N($L922)&lt;=0,N($N922)&lt;=0,N($R922)+N($S922)&lt;=0),"No area information",""))))))))</f>
        <v/>
      </c>
      <c r="AB922" s="22">
        <f>IF(AND($A922="",$B922=""),"",IF($K922="Point",N($L922),IF(N($N922)&gt;0,N($N922),N($L922))))</f>
        <v/>
      </c>
      <c r="AC922" s="22">
        <f>IF(AND($A922="",$B922=""),"",MIN(AB922,IF(N($J922)=0,0,IF(N($J922)=2,AB922,IF(AND($K922&lt;&gt;"Point",N($O922)&gt;0),N($O922),N($M922))))))</f>
        <v/>
      </c>
      <c r="AD922" s="22">
        <f>IF(AND($A922="",$B922=""),"",MAX(0,AB922-AC922))</f>
        <v/>
      </c>
      <c r="AE922" s="21">
        <f>IF(AND($A922="",$B922=""),"",IF(OR($R922&lt;&gt;"",$S922&lt;&gt;""),1,0))</f>
        <v/>
      </c>
      <c r="AF922" s="22">
        <f>IF(AND($A922="",$B922=""),"",IF(Z922=1,IF(AE922=1,N($R922),AD922),0))</f>
        <v/>
      </c>
      <c r="AG922" s="22">
        <f>IF(AND($A922="",$B922=""),"",IF(Z922=1,IF(AE922=1,N($S922),AC922),0))</f>
        <v/>
      </c>
      <c r="AH922" s="21">
        <f>IF(AND($A922="",$B922=""),"",IF(AND(ISNUMBER($I922),N($I922)&gt;0),$I922,0))</f>
        <v/>
      </c>
      <c r="AI922" s="23">
        <f>IF(AND(NOT(AND($A922="",$B922="")),$K922="Point",N($L922)&gt;0),SQRT(N($L922)/PI()),"")</f>
        <v/>
      </c>
      <c r="AJ922" s="21">
        <f>IF(AND($A922="",$B922=""),"",IFERROR(VLOOKUP($G922,Lists!$D$4:$E$15,2,FALSE),"Not reported"))</f>
        <v/>
      </c>
      <c r="AK922" s="21">
        <f>IF(AND($A922="",$B922=""),"",IF($X922&lt;&gt;"",$X922,IF($T922&lt;&gt;"Y","Not assessed",IF(AND(ISNUMBER($V922),Setup!$B$6-$V922&gt;Setup!$B$26),"Assessment outdated",IF(NOT(ISNUMBER($W922)),"Assessed – no score",IF($W922&gt;=Setup!$B$24,"High",IF($W922&gt;=Setup!$B$25,"Moderate","Low")))))))</f>
        <v/>
      </c>
      <c r="AL922" s="21">
        <f>IF(AND($A922="",$B922=""),"",IF(Z922=0,"",IF(AND(AE922=1,N($R922)&gt;AD922*1.01+0.001),"Net terrestrial &gt; gross; ","")&amp;IF(AND(AE922=1,N($S922)&gt;AC922*1.01+0.001),"Net marine &gt; gross; ","")&amp;IF(AE922=0,"No net area – gross used, overlaps may be double-counted; ","")&amp;IF(AH922=0,"STATUS_YR missing – imputed in time series; ","")&amp;IF(AND(ISNUMBER($I922),N($I922)&gt;Setup!$B$6),"STATUS_YR after reporting year; ","")&amp;IF(OR($G922="",$G922="Not Reported"),"GOV_TYPE not reported; ","")&amp;IF(AND(N($J922)=1,$K922="Point",N($M922)&lt;=0),"Coastal point without REP_M_AREA – land/sea split unknown; ","")&amp;IF(AND(N($J922)=0,N($S922)&gt;0),"MARINE=0 but net marine &gt;0; ","")&amp;IF(AND(N($J922)=2,N($R922)&gt;0),"MARINE=2 but net terrestrial &gt;0; ","")&amp;IF($K922="Point","Buffered point – coverage approximate; ","")))</f>
        <v/>
      </c>
    </row>
    <row r="923">
      <c r="A923" s="19" t="n"/>
      <c r="B923" s="19" t="n"/>
      <c r="C923" s="19" t="n"/>
      <c r="D923" s="19" t="n"/>
      <c r="E923" s="19" t="n"/>
      <c r="F923" s="19" t="n"/>
      <c r="G923" s="19" t="n"/>
      <c r="H923" s="19" t="n"/>
      <c r="I923" s="19" t="n"/>
      <c r="J923" s="19" t="n"/>
      <c r="K923" s="19" t="n"/>
      <c r="L923" s="20" t="n"/>
      <c r="M923" s="20" t="n"/>
      <c r="N923" s="20" t="n"/>
      <c r="O923" s="20" t="n"/>
      <c r="P923" s="19" t="n"/>
      <c r="Q923" s="19" t="n"/>
      <c r="R923" s="20" t="n"/>
      <c r="S923" s="20" t="n"/>
      <c r="T923" s="19" t="n"/>
      <c r="U923" s="19" t="n"/>
      <c r="V923" s="19" t="n"/>
      <c r="W923" s="19" t="n"/>
      <c r="X923" s="19" t="n"/>
      <c r="Y923" s="19" t="n"/>
      <c r="Z923" s="21">
        <f>IF(AND($A923="",$B923=""),"",IF(OR($E923="",$H923="",$H923="Proposed",$H923="Not Reported"),0,IF(AND($P923="Y",$Q923&lt;&gt;"Y"),0,IF(AND($K923="Point",N($L923)&lt;=0),0,IF(AND(N($L923)&lt;=0,N($N923)&lt;=0,N($R923)+N($S923)&lt;=0),0,1)))))</f>
        <v/>
      </c>
      <c r="AA923" s="21">
        <f>IF(AND($A923="",$B923=""),"",IF($E923="","Site type missing",IF($H923="","STATUS missing",IF($H923="Proposed","STATUS = Proposed",IF($H923="Not Reported","STATUS = Not Reported",IF(AND($P923="Y",$Q923&lt;&gt;"Y"),"UNESCO-MAB Biosphere Reserve",IF(AND($K923="Point",N($L923)&lt;=0),"Point without REP_AREA",IF(AND(N($L923)&lt;=0,N($N923)&lt;=0,N($R923)+N($S923)&lt;=0),"No area information",""))))))))</f>
        <v/>
      </c>
      <c r="AB923" s="22">
        <f>IF(AND($A923="",$B923=""),"",IF($K923="Point",N($L923),IF(N($N923)&gt;0,N($N923),N($L923))))</f>
        <v/>
      </c>
      <c r="AC923" s="22">
        <f>IF(AND($A923="",$B923=""),"",MIN(AB923,IF(N($J923)=0,0,IF(N($J923)=2,AB923,IF(AND($K923&lt;&gt;"Point",N($O923)&gt;0),N($O923),N($M923))))))</f>
        <v/>
      </c>
      <c r="AD923" s="22">
        <f>IF(AND($A923="",$B923=""),"",MAX(0,AB923-AC923))</f>
        <v/>
      </c>
      <c r="AE923" s="21">
        <f>IF(AND($A923="",$B923=""),"",IF(OR($R923&lt;&gt;"",$S923&lt;&gt;""),1,0))</f>
        <v/>
      </c>
      <c r="AF923" s="22">
        <f>IF(AND($A923="",$B923=""),"",IF(Z923=1,IF(AE923=1,N($R923),AD923),0))</f>
        <v/>
      </c>
      <c r="AG923" s="22">
        <f>IF(AND($A923="",$B923=""),"",IF(Z923=1,IF(AE923=1,N($S923),AC923),0))</f>
        <v/>
      </c>
      <c r="AH923" s="21">
        <f>IF(AND($A923="",$B923=""),"",IF(AND(ISNUMBER($I923),N($I923)&gt;0),$I923,0))</f>
        <v/>
      </c>
      <c r="AI923" s="23">
        <f>IF(AND(NOT(AND($A923="",$B923="")),$K923="Point",N($L923)&gt;0),SQRT(N($L923)/PI()),"")</f>
        <v/>
      </c>
      <c r="AJ923" s="21">
        <f>IF(AND($A923="",$B923=""),"",IFERROR(VLOOKUP($G923,Lists!$D$4:$E$15,2,FALSE),"Not reported"))</f>
        <v/>
      </c>
      <c r="AK923" s="21">
        <f>IF(AND($A923="",$B923=""),"",IF($X923&lt;&gt;"",$X923,IF($T923&lt;&gt;"Y","Not assessed",IF(AND(ISNUMBER($V923),Setup!$B$6-$V923&gt;Setup!$B$26),"Assessment outdated",IF(NOT(ISNUMBER($W923)),"Assessed – no score",IF($W923&gt;=Setup!$B$24,"High",IF($W923&gt;=Setup!$B$25,"Moderate","Low")))))))</f>
        <v/>
      </c>
      <c r="AL923" s="21">
        <f>IF(AND($A923="",$B923=""),"",IF(Z923=0,"",IF(AND(AE923=1,N($R923)&gt;AD923*1.01+0.001),"Net terrestrial &gt; gross; ","")&amp;IF(AND(AE923=1,N($S923)&gt;AC923*1.01+0.001),"Net marine &gt; gross; ","")&amp;IF(AE923=0,"No net area – gross used, overlaps may be double-counted; ","")&amp;IF(AH923=0,"STATUS_YR missing – imputed in time series; ","")&amp;IF(AND(ISNUMBER($I923),N($I923)&gt;Setup!$B$6),"STATUS_YR after reporting year; ","")&amp;IF(OR($G923="",$G923="Not Reported"),"GOV_TYPE not reported; ","")&amp;IF(AND(N($J923)=1,$K923="Point",N($M923)&lt;=0),"Coastal point without REP_M_AREA – land/sea split unknown; ","")&amp;IF(AND(N($J923)=0,N($S923)&gt;0),"MARINE=0 but net marine &gt;0; ","")&amp;IF(AND(N($J923)=2,N($R923)&gt;0),"MARINE=2 but net terrestrial &gt;0; ","")&amp;IF($K923="Point","Buffered point – coverage approximate; ","")))</f>
        <v/>
      </c>
    </row>
    <row r="924">
      <c r="A924" s="19" t="n"/>
      <c r="B924" s="19" t="n"/>
      <c r="C924" s="19" t="n"/>
      <c r="D924" s="19" t="n"/>
      <c r="E924" s="19" t="n"/>
      <c r="F924" s="19" t="n"/>
      <c r="G924" s="19" t="n"/>
      <c r="H924" s="19" t="n"/>
      <c r="I924" s="19" t="n"/>
      <c r="J924" s="19" t="n"/>
      <c r="K924" s="19" t="n"/>
      <c r="L924" s="20" t="n"/>
      <c r="M924" s="20" t="n"/>
      <c r="N924" s="20" t="n"/>
      <c r="O924" s="20" t="n"/>
      <c r="P924" s="19" t="n"/>
      <c r="Q924" s="19" t="n"/>
      <c r="R924" s="20" t="n"/>
      <c r="S924" s="20" t="n"/>
      <c r="T924" s="19" t="n"/>
      <c r="U924" s="19" t="n"/>
      <c r="V924" s="19" t="n"/>
      <c r="W924" s="19" t="n"/>
      <c r="X924" s="19" t="n"/>
      <c r="Y924" s="19" t="n"/>
      <c r="Z924" s="21">
        <f>IF(AND($A924="",$B924=""),"",IF(OR($E924="",$H924="",$H924="Proposed",$H924="Not Reported"),0,IF(AND($P924="Y",$Q924&lt;&gt;"Y"),0,IF(AND($K924="Point",N($L924)&lt;=0),0,IF(AND(N($L924)&lt;=0,N($N924)&lt;=0,N($R924)+N($S924)&lt;=0),0,1)))))</f>
        <v/>
      </c>
      <c r="AA924" s="21">
        <f>IF(AND($A924="",$B924=""),"",IF($E924="","Site type missing",IF($H924="","STATUS missing",IF($H924="Proposed","STATUS = Proposed",IF($H924="Not Reported","STATUS = Not Reported",IF(AND($P924="Y",$Q924&lt;&gt;"Y"),"UNESCO-MAB Biosphere Reserve",IF(AND($K924="Point",N($L924)&lt;=0),"Point without REP_AREA",IF(AND(N($L924)&lt;=0,N($N924)&lt;=0,N($R924)+N($S924)&lt;=0),"No area information",""))))))))</f>
        <v/>
      </c>
      <c r="AB924" s="22">
        <f>IF(AND($A924="",$B924=""),"",IF($K924="Point",N($L924),IF(N($N924)&gt;0,N($N924),N($L924))))</f>
        <v/>
      </c>
      <c r="AC924" s="22">
        <f>IF(AND($A924="",$B924=""),"",MIN(AB924,IF(N($J924)=0,0,IF(N($J924)=2,AB924,IF(AND($K924&lt;&gt;"Point",N($O924)&gt;0),N($O924),N($M924))))))</f>
        <v/>
      </c>
      <c r="AD924" s="22">
        <f>IF(AND($A924="",$B924=""),"",MAX(0,AB924-AC924))</f>
        <v/>
      </c>
      <c r="AE924" s="21">
        <f>IF(AND($A924="",$B924=""),"",IF(OR($R924&lt;&gt;"",$S924&lt;&gt;""),1,0))</f>
        <v/>
      </c>
      <c r="AF924" s="22">
        <f>IF(AND($A924="",$B924=""),"",IF(Z924=1,IF(AE924=1,N($R924),AD924),0))</f>
        <v/>
      </c>
      <c r="AG924" s="22">
        <f>IF(AND($A924="",$B924=""),"",IF(Z924=1,IF(AE924=1,N($S924),AC924),0))</f>
        <v/>
      </c>
      <c r="AH924" s="21">
        <f>IF(AND($A924="",$B924=""),"",IF(AND(ISNUMBER($I924),N($I924)&gt;0),$I924,0))</f>
        <v/>
      </c>
      <c r="AI924" s="23">
        <f>IF(AND(NOT(AND($A924="",$B924="")),$K924="Point",N($L924)&gt;0),SQRT(N($L924)/PI()),"")</f>
        <v/>
      </c>
      <c r="AJ924" s="21">
        <f>IF(AND($A924="",$B924=""),"",IFERROR(VLOOKUP($G924,Lists!$D$4:$E$15,2,FALSE),"Not reported"))</f>
        <v/>
      </c>
      <c r="AK924" s="21">
        <f>IF(AND($A924="",$B924=""),"",IF($X924&lt;&gt;"",$X924,IF($T924&lt;&gt;"Y","Not assessed",IF(AND(ISNUMBER($V924),Setup!$B$6-$V924&gt;Setup!$B$26),"Assessment outdated",IF(NOT(ISNUMBER($W924)),"Assessed – no score",IF($W924&gt;=Setup!$B$24,"High",IF($W924&gt;=Setup!$B$25,"Moderate","Low")))))))</f>
        <v/>
      </c>
      <c r="AL924" s="21">
        <f>IF(AND($A924="",$B924=""),"",IF(Z924=0,"",IF(AND(AE924=1,N($R924)&gt;AD924*1.01+0.001),"Net terrestrial &gt; gross; ","")&amp;IF(AND(AE924=1,N($S924)&gt;AC924*1.01+0.001),"Net marine &gt; gross; ","")&amp;IF(AE924=0,"No net area – gross used, overlaps may be double-counted; ","")&amp;IF(AH924=0,"STATUS_YR missing – imputed in time series; ","")&amp;IF(AND(ISNUMBER($I924),N($I924)&gt;Setup!$B$6),"STATUS_YR after reporting year; ","")&amp;IF(OR($G924="",$G924="Not Reported"),"GOV_TYPE not reported; ","")&amp;IF(AND(N($J924)=1,$K924="Point",N($M924)&lt;=0),"Coastal point without REP_M_AREA – land/sea split unknown; ","")&amp;IF(AND(N($J924)=0,N($S924)&gt;0),"MARINE=0 but net marine &gt;0; ","")&amp;IF(AND(N($J924)=2,N($R924)&gt;0),"MARINE=2 but net terrestrial &gt;0; ","")&amp;IF($K924="Point","Buffered point – coverage approximate; ","")))</f>
        <v/>
      </c>
    </row>
    <row r="925">
      <c r="A925" s="19" t="n"/>
      <c r="B925" s="19" t="n"/>
      <c r="C925" s="19" t="n"/>
      <c r="D925" s="19" t="n"/>
      <c r="E925" s="19" t="n"/>
      <c r="F925" s="19" t="n"/>
      <c r="G925" s="19" t="n"/>
      <c r="H925" s="19" t="n"/>
      <c r="I925" s="19" t="n"/>
      <c r="J925" s="19" t="n"/>
      <c r="K925" s="19" t="n"/>
      <c r="L925" s="20" t="n"/>
      <c r="M925" s="20" t="n"/>
      <c r="N925" s="20" t="n"/>
      <c r="O925" s="20" t="n"/>
      <c r="P925" s="19" t="n"/>
      <c r="Q925" s="19" t="n"/>
      <c r="R925" s="20" t="n"/>
      <c r="S925" s="20" t="n"/>
      <c r="T925" s="19" t="n"/>
      <c r="U925" s="19" t="n"/>
      <c r="V925" s="19" t="n"/>
      <c r="W925" s="19" t="n"/>
      <c r="X925" s="19" t="n"/>
      <c r="Y925" s="19" t="n"/>
      <c r="Z925" s="21">
        <f>IF(AND($A925="",$B925=""),"",IF(OR($E925="",$H925="",$H925="Proposed",$H925="Not Reported"),0,IF(AND($P925="Y",$Q925&lt;&gt;"Y"),0,IF(AND($K925="Point",N($L925)&lt;=0),0,IF(AND(N($L925)&lt;=0,N($N925)&lt;=0,N($R925)+N($S925)&lt;=0),0,1)))))</f>
        <v/>
      </c>
      <c r="AA925" s="21">
        <f>IF(AND($A925="",$B925=""),"",IF($E925="","Site type missing",IF($H925="","STATUS missing",IF($H925="Proposed","STATUS = Proposed",IF($H925="Not Reported","STATUS = Not Reported",IF(AND($P925="Y",$Q925&lt;&gt;"Y"),"UNESCO-MAB Biosphere Reserve",IF(AND($K925="Point",N($L925)&lt;=0),"Point without REP_AREA",IF(AND(N($L925)&lt;=0,N($N925)&lt;=0,N($R925)+N($S925)&lt;=0),"No area information",""))))))))</f>
        <v/>
      </c>
      <c r="AB925" s="22">
        <f>IF(AND($A925="",$B925=""),"",IF($K925="Point",N($L925),IF(N($N925)&gt;0,N($N925),N($L925))))</f>
        <v/>
      </c>
      <c r="AC925" s="22">
        <f>IF(AND($A925="",$B925=""),"",MIN(AB925,IF(N($J925)=0,0,IF(N($J925)=2,AB925,IF(AND($K925&lt;&gt;"Point",N($O925)&gt;0),N($O925),N($M925))))))</f>
        <v/>
      </c>
      <c r="AD925" s="22">
        <f>IF(AND($A925="",$B925=""),"",MAX(0,AB925-AC925))</f>
        <v/>
      </c>
      <c r="AE925" s="21">
        <f>IF(AND($A925="",$B925=""),"",IF(OR($R925&lt;&gt;"",$S925&lt;&gt;""),1,0))</f>
        <v/>
      </c>
      <c r="AF925" s="22">
        <f>IF(AND($A925="",$B925=""),"",IF(Z925=1,IF(AE925=1,N($R925),AD925),0))</f>
        <v/>
      </c>
      <c r="AG925" s="22">
        <f>IF(AND($A925="",$B925=""),"",IF(Z925=1,IF(AE925=1,N($S925),AC925),0))</f>
        <v/>
      </c>
      <c r="AH925" s="21">
        <f>IF(AND($A925="",$B925=""),"",IF(AND(ISNUMBER($I925),N($I925)&gt;0),$I925,0))</f>
        <v/>
      </c>
      <c r="AI925" s="23">
        <f>IF(AND(NOT(AND($A925="",$B925="")),$K925="Point",N($L925)&gt;0),SQRT(N($L925)/PI()),"")</f>
        <v/>
      </c>
      <c r="AJ925" s="21">
        <f>IF(AND($A925="",$B925=""),"",IFERROR(VLOOKUP($G925,Lists!$D$4:$E$15,2,FALSE),"Not reported"))</f>
        <v/>
      </c>
      <c r="AK925" s="21">
        <f>IF(AND($A925="",$B925=""),"",IF($X925&lt;&gt;"",$X925,IF($T925&lt;&gt;"Y","Not assessed",IF(AND(ISNUMBER($V925),Setup!$B$6-$V925&gt;Setup!$B$26),"Assessment outdated",IF(NOT(ISNUMBER($W925)),"Assessed – no score",IF($W925&gt;=Setup!$B$24,"High",IF($W925&gt;=Setup!$B$25,"Moderate","Low")))))))</f>
        <v/>
      </c>
      <c r="AL925" s="21">
        <f>IF(AND($A925="",$B925=""),"",IF(Z925=0,"",IF(AND(AE925=1,N($R925)&gt;AD925*1.01+0.001),"Net terrestrial &gt; gross; ","")&amp;IF(AND(AE925=1,N($S925)&gt;AC925*1.01+0.001),"Net marine &gt; gross; ","")&amp;IF(AE925=0,"No net area – gross used, overlaps may be double-counted; ","")&amp;IF(AH925=0,"STATUS_YR missing – imputed in time series; ","")&amp;IF(AND(ISNUMBER($I925),N($I925)&gt;Setup!$B$6),"STATUS_YR after reporting year; ","")&amp;IF(OR($G925="",$G925="Not Reported"),"GOV_TYPE not reported; ","")&amp;IF(AND(N($J925)=1,$K925="Point",N($M925)&lt;=0),"Coastal point without REP_M_AREA – land/sea split unknown; ","")&amp;IF(AND(N($J925)=0,N($S925)&gt;0),"MARINE=0 but net marine &gt;0; ","")&amp;IF(AND(N($J925)=2,N($R925)&gt;0),"MARINE=2 but net terrestrial &gt;0; ","")&amp;IF($K925="Point","Buffered point – coverage approximate; ","")))</f>
        <v/>
      </c>
    </row>
    <row r="926">
      <c r="A926" s="19" t="n"/>
      <c r="B926" s="19" t="n"/>
      <c r="C926" s="19" t="n"/>
      <c r="D926" s="19" t="n"/>
      <c r="E926" s="19" t="n"/>
      <c r="F926" s="19" t="n"/>
      <c r="G926" s="19" t="n"/>
      <c r="H926" s="19" t="n"/>
      <c r="I926" s="19" t="n"/>
      <c r="J926" s="19" t="n"/>
      <c r="K926" s="19" t="n"/>
      <c r="L926" s="20" t="n"/>
      <c r="M926" s="20" t="n"/>
      <c r="N926" s="20" t="n"/>
      <c r="O926" s="20" t="n"/>
      <c r="P926" s="19" t="n"/>
      <c r="Q926" s="19" t="n"/>
      <c r="R926" s="20" t="n"/>
      <c r="S926" s="20" t="n"/>
      <c r="T926" s="19" t="n"/>
      <c r="U926" s="19" t="n"/>
      <c r="V926" s="19" t="n"/>
      <c r="W926" s="19" t="n"/>
      <c r="X926" s="19" t="n"/>
      <c r="Y926" s="19" t="n"/>
      <c r="Z926" s="21">
        <f>IF(AND($A926="",$B926=""),"",IF(OR($E926="",$H926="",$H926="Proposed",$H926="Not Reported"),0,IF(AND($P926="Y",$Q926&lt;&gt;"Y"),0,IF(AND($K926="Point",N($L926)&lt;=0),0,IF(AND(N($L926)&lt;=0,N($N926)&lt;=0,N($R926)+N($S926)&lt;=0),0,1)))))</f>
        <v/>
      </c>
      <c r="AA926" s="21">
        <f>IF(AND($A926="",$B926=""),"",IF($E926="","Site type missing",IF($H926="","STATUS missing",IF($H926="Proposed","STATUS = Proposed",IF($H926="Not Reported","STATUS = Not Reported",IF(AND($P926="Y",$Q926&lt;&gt;"Y"),"UNESCO-MAB Biosphere Reserve",IF(AND($K926="Point",N($L926)&lt;=0),"Point without REP_AREA",IF(AND(N($L926)&lt;=0,N($N926)&lt;=0,N($R926)+N($S926)&lt;=0),"No area information",""))))))))</f>
        <v/>
      </c>
      <c r="AB926" s="22">
        <f>IF(AND($A926="",$B926=""),"",IF($K926="Point",N($L926),IF(N($N926)&gt;0,N($N926),N($L926))))</f>
        <v/>
      </c>
      <c r="AC926" s="22">
        <f>IF(AND($A926="",$B926=""),"",MIN(AB926,IF(N($J926)=0,0,IF(N($J926)=2,AB926,IF(AND($K926&lt;&gt;"Point",N($O926)&gt;0),N($O926),N($M926))))))</f>
        <v/>
      </c>
      <c r="AD926" s="22">
        <f>IF(AND($A926="",$B926=""),"",MAX(0,AB926-AC926))</f>
        <v/>
      </c>
      <c r="AE926" s="21">
        <f>IF(AND($A926="",$B926=""),"",IF(OR($R926&lt;&gt;"",$S926&lt;&gt;""),1,0))</f>
        <v/>
      </c>
      <c r="AF926" s="22">
        <f>IF(AND($A926="",$B926=""),"",IF(Z926=1,IF(AE926=1,N($R926),AD926),0))</f>
        <v/>
      </c>
      <c r="AG926" s="22">
        <f>IF(AND($A926="",$B926=""),"",IF(Z926=1,IF(AE926=1,N($S926),AC926),0))</f>
        <v/>
      </c>
      <c r="AH926" s="21">
        <f>IF(AND($A926="",$B926=""),"",IF(AND(ISNUMBER($I926),N($I926)&gt;0),$I926,0))</f>
        <v/>
      </c>
      <c r="AI926" s="23">
        <f>IF(AND(NOT(AND($A926="",$B926="")),$K926="Point",N($L926)&gt;0),SQRT(N($L926)/PI()),"")</f>
        <v/>
      </c>
      <c r="AJ926" s="21">
        <f>IF(AND($A926="",$B926=""),"",IFERROR(VLOOKUP($G926,Lists!$D$4:$E$15,2,FALSE),"Not reported"))</f>
        <v/>
      </c>
      <c r="AK926" s="21">
        <f>IF(AND($A926="",$B926=""),"",IF($X926&lt;&gt;"",$X926,IF($T926&lt;&gt;"Y","Not assessed",IF(AND(ISNUMBER($V926),Setup!$B$6-$V926&gt;Setup!$B$26),"Assessment outdated",IF(NOT(ISNUMBER($W926)),"Assessed – no score",IF($W926&gt;=Setup!$B$24,"High",IF($W926&gt;=Setup!$B$25,"Moderate","Low")))))))</f>
        <v/>
      </c>
      <c r="AL926" s="21">
        <f>IF(AND($A926="",$B926=""),"",IF(Z926=0,"",IF(AND(AE926=1,N($R926)&gt;AD926*1.01+0.001),"Net terrestrial &gt; gross; ","")&amp;IF(AND(AE926=1,N($S926)&gt;AC926*1.01+0.001),"Net marine &gt; gross; ","")&amp;IF(AE926=0,"No net area – gross used, overlaps may be double-counted; ","")&amp;IF(AH926=0,"STATUS_YR missing – imputed in time series; ","")&amp;IF(AND(ISNUMBER($I926),N($I926)&gt;Setup!$B$6),"STATUS_YR after reporting year; ","")&amp;IF(OR($G926="",$G926="Not Reported"),"GOV_TYPE not reported; ","")&amp;IF(AND(N($J926)=1,$K926="Point",N($M926)&lt;=0),"Coastal point without REP_M_AREA – land/sea split unknown; ","")&amp;IF(AND(N($J926)=0,N($S926)&gt;0),"MARINE=0 but net marine &gt;0; ","")&amp;IF(AND(N($J926)=2,N($R926)&gt;0),"MARINE=2 but net terrestrial &gt;0; ","")&amp;IF($K926="Point","Buffered point – coverage approximate; ","")))</f>
        <v/>
      </c>
    </row>
    <row r="927">
      <c r="A927" s="19" t="n"/>
      <c r="B927" s="19" t="n"/>
      <c r="C927" s="19" t="n"/>
      <c r="D927" s="19" t="n"/>
      <c r="E927" s="19" t="n"/>
      <c r="F927" s="19" t="n"/>
      <c r="G927" s="19" t="n"/>
      <c r="H927" s="19" t="n"/>
      <c r="I927" s="19" t="n"/>
      <c r="J927" s="19" t="n"/>
      <c r="K927" s="19" t="n"/>
      <c r="L927" s="20" t="n"/>
      <c r="M927" s="20" t="n"/>
      <c r="N927" s="20" t="n"/>
      <c r="O927" s="20" t="n"/>
      <c r="P927" s="19" t="n"/>
      <c r="Q927" s="19" t="n"/>
      <c r="R927" s="20" t="n"/>
      <c r="S927" s="20" t="n"/>
      <c r="T927" s="19" t="n"/>
      <c r="U927" s="19" t="n"/>
      <c r="V927" s="19" t="n"/>
      <c r="W927" s="19" t="n"/>
      <c r="X927" s="19" t="n"/>
      <c r="Y927" s="19" t="n"/>
      <c r="Z927" s="21">
        <f>IF(AND($A927="",$B927=""),"",IF(OR($E927="",$H927="",$H927="Proposed",$H927="Not Reported"),0,IF(AND($P927="Y",$Q927&lt;&gt;"Y"),0,IF(AND($K927="Point",N($L927)&lt;=0),0,IF(AND(N($L927)&lt;=0,N($N927)&lt;=0,N($R927)+N($S927)&lt;=0),0,1)))))</f>
        <v/>
      </c>
      <c r="AA927" s="21">
        <f>IF(AND($A927="",$B927=""),"",IF($E927="","Site type missing",IF($H927="","STATUS missing",IF($H927="Proposed","STATUS = Proposed",IF($H927="Not Reported","STATUS = Not Reported",IF(AND($P927="Y",$Q927&lt;&gt;"Y"),"UNESCO-MAB Biosphere Reserve",IF(AND($K927="Point",N($L927)&lt;=0),"Point without REP_AREA",IF(AND(N($L927)&lt;=0,N($N927)&lt;=0,N($R927)+N($S927)&lt;=0),"No area information",""))))))))</f>
        <v/>
      </c>
      <c r="AB927" s="22">
        <f>IF(AND($A927="",$B927=""),"",IF($K927="Point",N($L927),IF(N($N927)&gt;0,N($N927),N($L927))))</f>
        <v/>
      </c>
      <c r="AC927" s="22">
        <f>IF(AND($A927="",$B927=""),"",MIN(AB927,IF(N($J927)=0,0,IF(N($J927)=2,AB927,IF(AND($K927&lt;&gt;"Point",N($O927)&gt;0),N($O927),N($M927))))))</f>
        <v/>
      </c>
      <c r="AD927" s="22">
        <f>IF(AND($A927="",$B927=""),"",MAX(0,AB927-AC927))</f>
        <v/>
      </c>
      <c r="AE927" s="21">
        <f>IF(AND($A927="",$B927=""),"",IF(OR($R927&lt;&gt;"",$S927&lt;&gt;""),1,0))</f>
        <v/>
      </c>
      <c r="AF927" s="22">
        <f>IF(AND($A927="",$B927=""),"",IF(Z927=1,IF(AE927=1,N($R927),AD927),0))</f>
        <v/>
      </c>
      <c r="AG927" s="22">
        <f>IF(AND($A927="",$B927=""),"",IF(Z927=1,IF(AE927=1,N($S927),AC927),0))</f>
        <v/>
      </c>
      <c r="AH927" s="21">
        <f>IF(AND($A927="",$B927=""),"",IF(AND(ISNUMBER($I927),N($I927)&gt;0),$I927,0))</f>
        <v/>
      </c>
      <c r="AI927" s="23">
        <f>IF(AND(NOT(AND($A927="",$B927="")),$K927="Point",N($L927)&gt;0),SQRT(N($L927)/PI()),"")</f>
        <v/>
      </c>
      <c r="AJ927" s="21">
        <f>IF(AND($A927="",$B927=""),"",IFERROR(VLOOKUP($G927,Lists!$D$4:$E$15,2,FALSE),"Not reported"))</f>
        <v/>
      </c>
      <c r="AK927" s="21">
        <f>IF(AND($A927="",$B927=""),"",IF($X927&lt;&gt;"",$X927,IF($T927&lt;&gt;"Y","Not assessed",IF(AND(ISNUMBER($V927),Setup!$B$6-$V927&gt;Setup!$B$26),"Assessment outdated",IF(NOT(ISNUMBER($W927)),"Assessed – no score",IF($W927&gt;=Setup!$B$24,"High",IF($W927&gt;=Setup!$B$25,"Moderate","Low")))))))</f>
        <v/>
      </c>
      <c r="AL927" s="21">
        <f>IF(AND($A927="",$B927=""),"",IF(Z927=0,"",IF(AND(AE927=1,N($R927)&gt;AD927*1.01+0.001),"Net terrestrial &gt; gross; ","")&amp;IF(AND(AE927=1,N($S927)&gt;AC927*1.01+0.001),"Net marine &gt; gross; ","")&amp;IF(AE927=0,"No net area – gross used, overlaps may be double-counted; ","")&amp;IF(AH927=0,"STATUS_YR missing – imputed in time series; ","")&amp;IF(AND(ISNUMBER($I927),N($I927)&gt;Setup!$B$6),"STATUS_YR after reporting year; ","")&amp;IF(OR($G927="",$G927="Not Reported"),"GOV_TYPE not reported; ","")&amp;IF(AND(N($J927)=1,$K927="Point",N($M927)&lt;=0),"Coastal point without REP_M_AREA – land/sea split unknown; ","")&amp;IF(AND(N($J927)=0,N($S927)&gt;0),"MARINE=0 but net marine &gt;0; ","")&amp;IF(AND(N($J927)=2,N($R927)&gt;0),"MARINE=2 but net terrestrial &gt;0; ","")&amp;IF($K927="Point","Buffered point – coverage approximate; ","")))</f>
        <v/>
      </c>
    </row>
    <row r="928">
      <c r="A928" s="19" t="n"/>
      <c r="B928" s="19" t="n"/>
      <c r="C928" s="19" t="n"/>
      <c r="D928" s="19" t="n"/>
      <c r="E928" s="19" t="n"/>
      <c r="F928" s="19" t="n"/>
      <c r="G928" s="19" t="n"/>
      <c r="H928" s="19" t="n"/>
      <c r="I928" s="19" t="n"/>
      <c r="J928" s="19" t="n"/>
      <c r="K928" s="19" t="n"/>
      <c r="L928" s="20" t="n"/>
      <c r="M928" s="20" t="n"/>
      <c r="N928" s="20" t="n"/>
      <c r="O928" s="20" t="n"/>
      <c r="P928" s="19" t="n"/>
      <c r="Q928" s="19" t="n"/>
      <c r="R928" s="20" t="n"/>
      <c r="S928" s="20" t="n"/>
      <c r="T928" s="19" t="n"/>
      <c r="U928" s="19" t="n"/>
      <c r="V928" s="19" t="n"/>
      <c r="W928" s="19" t="n"/>
      <c r="X928" s="19" t="n"/>
      <c r="Y928" s="19" t="n"/>
      <c r="Z928" s="21">
        <f>IF(AND($A928="",$B928=""),"",IF(OR($E928="",$H928="",$H928="Proposed",$H928="Not Reported"),0,IF(AND($P928="Y",$Q928&lt;&gt;"Y"),0,IF(AND($K928="Point",N($L928)&lt;=0),0,IF(AND(N($L928)&lt;=0,N($N928)&lt;=0,N($R928)+N($S928)&lt;=0),0,1)))))</f>
        <v/>
      </c>
      <c r="AA928" s="21">
        <f>IF(AND($A928="",$B928=""),"",IF($E928="","Site type missing",IF($H928="","STATUS missing",IF($H928="Proposed","STATUS = Proposed",IF($H928="Not Reported","STATUS = Not Reported",IF(AND($P928="Y",$Q928&lt;&gt;"Y"),"UNESCO-MAB Biosphere Reserve",IF(AND($K928="Point",N($L928)&lt;=0),"Point without REP_AREA",IF(AND(N($L928)&lt;=0,N($N928)&lt;=0,N($R928)+N($S928)&lt;=0),"No area information",""))))))))</f>
        <v/>
      </c>
      <c r="AB928" s="22">
        <f>IF(AND($A928="",$B928=""),"",IF($K928="Point",N($L928),IF(N($N928)&gt;0,N($N928),N($L928))))</f>
        <v/>
      </c>
      <c r="AC928" s="22">
        <f>IF(AND($A928="",$B928=""),"",MIN(AB928,IF(N($J928)=0,0,IF(N($J928)=2,AB928,IF(AND($K928&lt;&gt;"Point",N($O928)&gt;0),N($O928),N($M928))))))</f>
        <v/>
      </c>
      <c r="AD928" s="22">
        <f>IF(AND($A928="",$B928=""),"",MAX(0,AB928-AC928))</f>
        <v/>
      </c>
      <c r="AE928" s="21">
        <f>IF(AND($A928="",$B928=""),"",IF(OR($R928&lt;&gt;"",$S928&lt;&gt;""),1,0))</f>
        <v/>
      </c>
      <c r="AF928" s="22">
        <f>IF(AND($A928="",$B928=""),"",IF(Z928=1,IF(AE928=1,N($R928),AD928),0))</f>
        <v/>
      </c>
      <c r="AG928" s="22">
        <f>IF(AND($A928="",$B928=""),"",IF(Z928=1,IF(AE928=1,N($S928),AC928),0))</f>
        <v/>
      </c>
      <c r="AH928" s="21">
        <f>IF(AND($A928="",$B928=""),"",IF(AND(ISNUMBER($I928),N($I928)&gt;0),$I928,0))</f>
        <v/>
      </c>
      <c r="AI928" s="23">
        <f>IF(AND(NOT(AND($A928="",$B928="")),$K928="Point",N($L928)&gt;0),SQRT(N($L928)/PI()),"")</f>
        <v/>
      </c>
      <c r="AJ928" s="21">
        <f>IF(AND($A928="",$B928=""),"",IFERROR(VLOOKUP($G928,Lists!$D$4:$E$15,2,FALSE),"Not reported"))</f>
        <v/>
      </c>
      <c r="AK928" s="21">
        <f>IF(AND($A928="",$B928=""),"",IF($X928&lt;&gt;"",$X928,IF($T928&lt;&gt;"Y","Not assessed",IF(AND(ISNUMBER($V928),Setup!$B$6-$V928&gt;Setup!$B$26),"Assessment outdated",IF(NOT(ISNUMBER($W928)),"Assessed – no score",IF($W928&gt;=Setup!$B$24,"High",IF($W928&gt;=Setup!$B$25,"Moderate","Low")))))))</f>
        <v/>
      </c>
      <c r="AL928" s="21">
        <f>IF(AND($A928="",$B928=""),"",IF(Z928=0,"",IF(AND(AE928=1,N($R928)&gt;AD928*1.01+0.001),"Net terrestrial &gt; gross; ","")&amp;IF(AND(AE928=1,N($S928)&gt;AC928*1.01+0.001),"Net marine &gt; gross; ","")&amp;IF(AE928=0,"No net area – gross used, overlaps may be double-counted; ","")&amp;IF(AH928=0,"STATUS_YR missing – imputed in time series; ","")&amp;IF(AND(ISNUMBER($I928),N($I928)&gt;Setup!$B$6),"STATUS_YR after reporting year; ","")&amp;IF(OR($G928="",$G928="Not Reported"),"GOV_TYPE not reported; ","")&amp;IF(AND(N($J928)=1,$K928="Point",N($M928)&lt;=0),"Coastal point without REP_M_AREA – land/sea split unknown; ","")&amp;IF(AND(N($J928)=0,N($S928)&gt;0),"MARINE=0 but net marine &gt;0; ","")&amp;IF(AND(N($J928)=2,N($R928)&gt;0),"MARINE=2 but net terrestrial &gt;0; ","")&amp;IF($K928="Point","Buffered point – coverage approximate; ","")))</f>
        <v/>
      </c>
    </row>
    <row r="929">
      <c r="A929" s="19" t="n"/>
      <c r="B929" s="19" t="n"/>
      <c r="C929" s="19" t="n"/>
      <c r="D929" s="19" t="n"/>
      <c r="E929" s="19" t="n"/>
      <c r="F929" s="19" t="n"/>
      <c r="G929" s="19" t="n"/>
      <c r="H929" s="19" t="n"/>
      <c r="I929" s="19" t="n"/>
      <c r="J929" s="19" t="n"/>
      <c r="K929" s="19" t="n"/>
      <c r="L929" s="20" t="n"/>
      <c r="M929" s="20" t="n"/>
      <c r="N929" s="20" t="n"/>
      <c r="O929" s="20" t="n"/>
      <c r="P929" s="19" t="n"/>
      <c r="Q929" s="19" t="n"/>
      <c r="R929" s="20" t="n"/>
      <c r="S929" s="20" t="n"/>
      <c r="T929" s="19" t="n"/>
      <c r="U929" s="19" t="n"/>
      <c r="V929" s="19" t="n"/>
      <c r="W929" s="19" t="n"/>
      <c r="X929" s="19" t="n"/>
      <c r="Y929" s="19" t="n"/>
      <c r="Z929" s="21">
        <f>IF(AND($A929="",$B929=""),"",IF(OR($E929="",$H929="",$H929="Proposed",$H929="Not Reported"),0,IF(AND($P929="Y",$Q929&lt;&gt;"Y"),0,IF(AND($K929="Point",N($L929)&lt;=0),0,IF(AND(N($L929)&lt;=0,N($N929)&lt;=0,N($R929)+N($S929)&lt;=0),0,1)))))</f>
        <v/>
      </c>
      <c r="AA929" s="21">
        <f>IF(AND($A929="",$B929=""),"",IF($E929="","Site type missing",IF($H929="","STATUS missing",IF($H929="Proposed","STATUS = Proposed",IF($H929="Not Reported","STATUS = Not Reported",IF(AND($P929="Y",$Q929&lt;&gt;"Y"),"UNESCO-MAB Biosphere Reserve",IF(AND($K929="Point",N($L929)&lt;=0),"Point without REP_AREA",IF(AND(N($L929)&lt;=0,N($N929)&lt;=0,N($R929)+N($S929)&lt;=0),"No area information",""))))))))</f>
        <v/>
      </c>
      <c r="AB929" s="22">
        <f>IF(AND($A929="",$B929=""),"",IF($K929="Point",N($L929),IF(N($N929)&gt;0,N($N929),N($L929))))</f>
        <v/>
      </c>
      <c r="AC929" s="22">
        <f>IF(AND($A929="",$B929=""),"",MIN(AB929,IF(N($J929)=0,0,IF(N($J929)=2,AB929,IF(AND($K929&lt;&gt;"Point",N($O929)&gt;0),N($O929),N($M929))))))</f>
        <v/>
      </c>
      <c r="AD929" s="22">
        <f>IF(AND($A929="",$B929=""),"",MAX(0,AB929-AC929))</f>
        <v/>
      </c>
      <c r="AE929" s="21">
        <f>IF(AND($A929="",$B929=""),"",IF(OR($R929&lt;&gt;"",$S929&lt;&gt;""),1,0))</f>
        <v/>
      </c>
      <c r="AF929" s="22">
        <f>IF(AND($A929="",$B929=""),"",IF(Z929=1,IF(AE929=1,N($R929),AD929),0))</f>
        <v/>
      </c>
      <c r="AG929" s="22">
        <f>IF(AND($A929="",$B929=""),"",IF(Z929=1,IF(AE929=1,N($S929),AC929),0))</f>
        <v/>
      </c>
      <c r="AH929" s="21">
        <f>IF(AND($A929="",$B929=""),"",IF(AND(ISNUMBER($I929),N($I929)&gt;0),$I929,0))</f>
        <v/>
      </c>
      <c r="AI929" s="23">
        <f>IF(AND(NOT(AND($A929="",$B929="")),$K929="Point",N($L929)&gt;0),SQRT(N($L929)/PI()),"")</f>
        <v/>
      </c>
      <c r="AJ929" s="21">
        <f>IF(AND($A929="",$B929=""),"",IFERROR(VLOOKUP($G929,Lists!$D$4:$E$15,2,FALSE),"Not reported"))</f>
        <v/>
      </c>
      <c r="AK929" s="21">
        <f>IF(AND($A929="",$B929=""),"",IF($X929&lt;&gt;"",$X929,IF($T929&lt;&gt;"Y","Not assessed",IF(AND(ISNUMBER($V929),Setup!$B$6-$V929&gt;Setup!$B$26),"Assessment outdated",IF(NOT(ISNUMBER($W929)),"Assessed – no score",IF($W929&gt;=Setup!$B$24,"High",IF($W929&gt;=Setup!$B$25,"Moderate","Low")))))))</f>
        <v/>
      </c>
      <c r="AL929" s="21">
        <f>IF(AND($A929="",$B929=""),"",IF(Z929=0,"",IF(AND(AE929=1,N($R929)&gt;AD929*1.01+0.001),"Net terrestrial &gt; gross; ","")&amp;IF(AND(AE929=1,N($S929)&gt;AC929*1.01+0.001),"Net marine &gt; gross; ","")&amp;IF(AE929=0,"No net area – gross used, overlaps may be double-counted; ","")&amp;IF(AH929=0,"STATUS_YR missing – imputed in time series; ","")&amp;IF(AND(ISNUMBER($I929),N($I929)&gt;Setup!$B$6),"STATUS_YR after reporting year; ","")&amp;IF(OR($G929="",$G929="Not Reported"),"GOV_TYPE not reported; ","")&amp;IF(AND(N($J929)=1,$K929="Point",N($M929)&lt;=0),"Coastal point without REP_M_AREA – land/sea split unknown; ","")&amp;IF(AND(N($J929)=0,N($S929)&gt;0),"MARINE=0 but net marine &gt;0; ","")&amp;IF(AND(N($J929)=2,N($R929)&gt;0),"MARINE=2 but net terrestrial &gt;0; ","")&amp;IF($K929="Point","Buffered point – coverage approximate; ","")))</f>
        <v/>
      </c>
    </row>
    <row r="930">
      <c r="A930" s="19" t="n"/>
      <c r="B930" s="19" t="n"/>
      <c r="C930" s="19" t="n"/>
      <c r="D930" s="19" t="n"/>
      <c r="E930" s="19" t="n"/>
      <c r="F930" s="19" t="n"/>
      <c r="G930" s="19" t="n"/>
      <c r="H930" s="19" t="n"/>
      <c r="I930" s="19" t="n"/>
      <c r="J930" s="19" t="n"/>
      <c r="K930" s="19" t="n"/>
      <c r="L930" s="20" t="n"/>
      <c r="M930" s="20" t="n"/>
      <c r="N930" s="20" t="n"/>
      <c r="O930" s="20" t="n"/>
      <c r="P930" s="19" t="n"/>
      <c r="Q930" s="19" t="n"/>
      <c r="R930" s="20" t="n"/>
      <c r="S930" s="20" t="n"/>
      <c r="T930" s="19" t="n"/>
      <c r="U930" s="19" t="n"/>
      <c r="V930" s="19" t="n"/>
      <c r="W930" s="19" t="n"/>
      <c r="X930" s="19" t="n"/>
      <c r="Y930" s="19" t="n"/>
      <c r="Z930" s="21">
        <f>IF(AND($A930="",$B930=""),"",IF(OR($E930="",$H930="",$H930="Proposed",$H930="Not Reported"),0,IF(AND($P930="Y",$Q930&lt;&gt;"Y"),0,IF(AND($K930="Point",N($L930)&lt;=0),0,IF(AND(N($L930)&lt;=0,N($N930)&lt;=0,N($R930)+N($S930)&lt;=0),0,1)))))</f>
        <v/>
      </c>
      <c r="AA930" s="21">
        <f>IF(AND($A930="",$B930=""),"",IF($E930="","Site type missing",IF($H930="","STATUS missing",IF($H930="Proposed","STATUS = Proposed",IF($H930="Not Reported","STATUS = Not Reported",IF(AND($P930="Y",$Q930&lt;&gt;"Y"),"UNESCO-MAB Biosphere Reserve",IF(AND($K930="Point",N($L930)&lt;=0),"Point without REP_AREA",IF(AND(N($L930)&lt;=0,N($N930)&lt;=0,N($R930)+N($S930)&lt;=0),"No area information",""))))))))</f>
        <v/>
      </c>
      <c r="AB930" s="22">
        <f>IF(AND($A930="",$B930=""),"",IF($K930="Point",N($L930),IF(N($N930)&gt;0,N($N930),N($L930))))</f>
        <v/>
      </c>
      <c r="AC930" s="22">
        <f>IF(AND($A930="",$B930=""),"",MIN(AB930,IF(N($J930)=0,0,IF(N($J930)=2,AB930,IF(AND($K930&lt;&gt;"Point",N($O930)&gt;0),N($O930),N($M930))))))</f>
        <v/>
      </c>
      <c r="AD930" s="22">
        <f>IF(AND($A930="",$B930=""),"",MAX(0,AB930-AC930))</f>
        <v/>
      </c>
      <c r="AE930" s="21">
        <f>IF(AND($A930="",$B930=""),"",IF(OR($R930&lt;&gt;"",$S930&lt;&gt;""),1,0))</f>
        <v/>
      </c>
      <c r="AF930" s="22">
        <f>IF(AND($A930="",$B930=""),"",IF(Z930=1,IF(AE930=1,N($R930),AD930),0))</f>
        <v/>
      </c>
      <c r="AG930" s="22">
        <f>IF(AND($A930="",$B930=""),"",IF(Z930=1,IF(AE930=1,N($S930),AC930),0))</f>
        <v/>
      </c>
      <c r="AH930" s="21">
        <f>IF(AND($A930="",$B930=""),"",IF(AND(ISNUMBER($I930),N($I930)&gt;0),$I930,0))</f>
        <v/>
      </c>
      <c r="AI930" s="23">
        <f>IF(AND(NOT(AND($A930="",$B930="")),$K930="Point",N($L930)&gt;0),SQRT(N($L930)/PI()),"")</f>
        <v/>
      </c>
      <c r="AJ930" s="21">
        <f>IF(AND($A930="",$B930=""),"",IFERROR(VLOOKUP($G930,Lists!$D$4:$E$15,2,FALSE),"Not reported"))</f>
        <v/>
      </c>
      <c r="AK930" s="21">
        <f>IF(AND($A930="",$B930=""),"",IF($X930&lt;&gt;"",$X930,IF($T930&lt;&gt;"Y","Not assessed",IF(AND(ISNUMBER($V930),Setup!$B$6-$V930&gt;Setup!$B$26),"Assessment outdated",IF(NOT(ISNUMBER($W930)),"Assessed – no score",IF($W930&gt;=Setup!$B$24,"High",IF($W930&gt;=Setup!$B$25,"Moderate","Low")))))))</f>
        <v/>
      </c>
      <c r="AL930" s="21">
        <f>IF(AND($A930="",$B930=""),"",IF(Z930=0,"",IF(AND(AE930=1,N($R930)&gt;AD930*1.01+0.001),"Net terrestrial &gt; gross; ","")&amp;IF(AND(AE930=1,N($S930)&gt;AC930*1.01+0.001),"Net marine &gt; gross; ","")&amp;IF(AE930=0,"No net area – gross used, overlaps may be double-counted; ","")&amp;IF(AH930=0,"STATUS_YR missing – imputed in time series; ","")&amp;IF(AND(ISNUMBER($I930),N($I930)&gt;Setup!$B$6),"STATUS_YR after reporting year; ","")&amp;IF(OR($G930="",$G930="Not Reported"),"GOV_TYPE not reported; ","")&amp;IF(AND(N($J930)=1,$K930="Point",N($M930)&lt;=0),"Coastal point without REP_M_AREA – land/sea split unknown; ","")&amp;IF(AND(N($J930)=0,N($S930)&gt;0),"MARINE=0 but net marine &gt;0; ","")&amp;IF(AND(N($J930)=2,N($R930)&gt;0),"MARINE=2 but net terrestrial &gt;0; ","")&amp;IF($K930="Point","Buffered point – coverage approximate; ","")))</f>
        <v/>
      </c>
    </row>
    <row r="931">
      <c r="A931" s="19" t="n"/>
      <c r="B931" s="19" t="n"/>
      <c r="C931" s="19" t="n"/>
      <c r="D931" s="19" t="n"/>
      <c r="E931" s="19" t="n"/>
      <c r="F931" s="19" t="n"/>
      <c r="G931" s="19" t="n"/>
      <c r="H931" s="19" t="n"/>
      <c r="I931" s="19" t="n"/>
      <c r="J931" s="19" t="n"/>
      <c r="K931" s="19" t="n"/>
      <c r="L931" s="20" t="n"/>
      <c r="M931" s="20" t="n"/>
      <c r="N931" s="20" t="n"/>
      <c r="O931" s="20" t="n"/>
      <c r="P931" s="19" t="n"/>
      <c r="Q931" s="19" t="n"/>
      <c r="R931" s="20" t="n"/>
      <c r="S931" s="20" t="n"/>
      <c r="T931" s="19" t="n"/>
      <c r="U931" s="19" t="n"/>
      <c r="V931" s="19" t="n"/>
      <c r="W931" s="19" t="n"/>
      <c r="X931" s="19" t="n"/>
      <c r="Y931" s="19" t="n"/>
      <c r="Z931" s="21">
        <f>IF(AND($A931="",$B931=""),"",IF(OR($E931="",$H931="",$H931="Proposed",$H931="Not Reported"),0,IF(AND($P931="Y",$Q931&lt;&gt;"Y"),0,IF(AND($K931="Point",N($L931)&lt;=0),0,IF(AND(N($L931)&lt;=0,N($N931)&lt;=0,N($R931)+N($S931)&lt;=0),0,1)))))</f>
        <v/>
      </c>
      <c r="AA931" s="21">
        <f>IF(AND($A931="",$B931=""),"",IF($E931="","Site type missing",IF($H931="","STATUS missing",IF($H931="Proposed","STATUS = Proposed",IF($H931="Not Reported","STATUS = Not Reported",IF(AND($P931="Y",$Q931&lt;&gt;"Y"),"UNESCO-MAB Biosphere Reserve",IF(AND($K931="Point",N($L931)&lt;=0),"Point without REP_AREA",IF(AND(N($L931)&lt;=0,N($N931)&lt;=0,N($R931)+N($S931)&lt;=0),"No area information",""))))))))</f>
        <v/>
      </c>
      <c r="AB931" s="22">
        <f>IF(AND($A931="",$B931=""),"",IF($K931="Point",N($L931),IF(N($N931)&gt;0,N($N931),N($L931))))</f>
        <v/>
      </c>
      <c r="AC931" s="22">
        <f>IF(AND($A931="",$B931=""),"",MIN(AB931,IF(N($J931)=0,0,IF(N($J931)=2,AB931,IF(AND($K931&lt;&gt;"Point",N($O931)&gt;0),N($O931),N($M931))))))</f>
        <v/>
      </c>
      <c r="AD931" s="22">
        <f>IF(AND($A931="",$B931=""),"",MAX(0,AB931-AC931))</f>
        <v/>
      </c>
      <c r="AE931" s="21">
        <f>IF(AND($A931="",$B931=""),"",IF(OR($R931&lt;&gt;"",$S931&lt;&gt;""),1,0))</f>
        <v/>
      </c>
      <c r="AF931" s="22">
        <f>IF(AND($A931="",$B931=""),"",IF(Z931=1,IF(AE931=1,N($R931),AD931),0))</f>
        <v/>
      </c>
      <c r="AG931" s="22">
        <f>IF(AND($A931="",$B931=""),"",IF(Z931=1,IF(AE931=1,N($S931),AC931),0))</f>
        <v/>
      </c>
      <c r="AH931" s="21">
        <f>IF(AND($A931="",$B931=""),"",IF(AND(ISNUMBER($I931),N($I931)&gt;0),$I931,0))</f>
        <v/>
      </c>
      <c r="AI931" s="23">
        <f>IF(AND(NOT(AND($A931="",$B931="")),$K931="Point",N($L931)&gt;0),SQRT(N($L931)/PI()),"")</f>
        <v/>
      </c>
      <c r="AJ931" s="21">
        <f>IF(AND($A931="",$B931=""),"",IFERROR(VLOOKUP($G931,Lists!$D$4:$E$15,2,FALSE),"Not reported"))</f>
        <v/>
      </c>
      <c r="AK931" s="21">
        <f>IF(AND($A931="",$B931=""),"",IF($X931&lt;&gt;"",$X931,IF($T931&lt;&gt;"Y","Not assessed",IF(AND(ISNUMBER($V931),Setup!$B$6-$V931&gt;Setup!$B$26),"Assessment outdated",IF(NOT(ISNUMBER($W931)),"Assessed – no score",IF($W931&gt;=Setup!$B$24,"High",IF($W931&gt;=Setup!$B$25,"Moderate","Low")))))))</f>
        <v/>
      </c>
      <c r="AL931" s="21">
        <f>IF(AND($A931="",$B931=""),"",IF(Z931=0,"",IF(AND(AE931=1,N($R931)&gt;AD931*1.01+0.001),"Net terrestrial &gt; gross; ","")&amp;IF(AND(AE931=1,N($S931)&gt;AC931*1.01+0.001),"Net marine &gt; gross; ","")&amp;IF(AE931=0,"No net area – gross used, overlaps may be double-counted; ","")&amp;IF(AH931=0,"STATUS_YR missing – imputed in time series; ","")&amp;IF(AND(ISNUMBER($I931),N($I931)&gt;Setup!$B$6),"STATUS_YR after reporting year; ","")&amp;IF(OR($G931="",$G931="Not Reported"),"GOV_TYPE not reported; ","")&amp;IF(AND(N($J931)=1,$K931="Point",N($M931)&lt;=0),"Coastal point without REP_M_AREA – land/sea split unknown; ","")&amp;IF(AND(N($J931)=0,N($S931)&gt;0),"MARINE=0 but net marine &gt;0; ","")&amp;IF(AND(N($J931)=2,N($R931)&gt;0),"MARINE=2 but net terrestrial &gt;0; ","")&amp;IF($K931="Point","Buffered point – coverage approximate; ","")))</f>
        <v/>
      </c>
    </row>
    <row r="932">
      <c r="A932" s="19" t="n"/>
      <c r="B932" s="19" t="n"/>
      <c r="C932" s="19" t="n"/>
      <c r="D932" s="19" t="n"/>
      <c r="E932" s="19" t="n"/>
      <c r="F932" s="19" t="n"/>
      <c r="G932" s="19" t="n"/>
      <c r="H932" s="19" t="n"/>
      <c r="I932" s="19" t="n"/>
      <c r="J932" s="19" t="n"/>
      <c r="K932" s="19" t="n"/>
      <c r="L932" s="20" t="n"/>
      <c r="M932" s="20" t="n"/>
      <c r="N932" s="20" t="n"/>
      <c r="O932" s="20" t="n"/>
      <c r="P932" s="19" t="n"/>
      <c r="Q932" s="19" t="n"/>
      <c r="R932" s="20" t="n"/>
      <c r="S932" s="20" t="n"/>
      <c r="T932" s="19" t="n"/>
      <c r="U932" s="19" t="n"/>
      <c r="V932" s="19" t="n"/>
      <c r="W932" s="19" t="n"/>
      <c r="X932" s="19" t="n"/>
      <c r="Y932" s="19" t="n"/>
      <c r="Z932" s="21">
        <f>IF(AND($A932="",$B932=""),"",IF(OR($E932="",$H932="",$H932="Proposed",$H932="Not Reported"),0,IF(AND($P932="Y",$Q932&lt;&gt;"Y"),0,IF(AND($K932="Point",N($L932)&lt;=0),0,IF(AND(N($L932)&lt;=0,N($N932)&lt;=0,N($R932)+N($S932)&lt;=0),0,1)))))</f>
        <v/>
      </c>
      <c r="AA932" s="21">
        <f>IF(AND($A932="",$B932=""),"",IF($E932="","Site type missing",IF($H932="","STATUS missing",IF($H932="Proposed","STATUS = Proposed",IF($H932="Not Reported","STATUS = Not Reported",IF(AND($P932="Y",$Q932&lt;&gt;"Y"),"UNESCO-MAB Biosphere Reserve",IF(AND($K932="Point",N($L932)&lt;=0),"Point without REP_AREA",IF(AND(N($L932)&lt;=0,N($N932)&lt;=0,N($R932)+N($S932)&lt;=0),"No area information",""))))))))</f>
        <v/>
      </c>
      <c r="AB932" s="22">
        <f>IF(AND($A932="",$B932=""),"",IF($K932="Point",N($L932),IF(N($N932)&gt;0,N($N932),N($L932))))</f>
        <v/>
      </c>
      <c r="AC932" s="22">
        <f>IF(AND($A932="",$B932=""),"",MIN(AB932,IF(N($J932)=0,0,IF(N($J932)=2,AB932,IF(AND($K932&lt;&gt;"Point",N($O932)&gt;0),N($O932),N($M932))))))</f>
        <v/>
      </c>
      <c r="AD932" s="22">
        <f>IF(AND($A932="",$B932=""),"",MAX(0,AB932-AC932))</f>
        <v/>
      </c>
      <c r="AE932" s="21">
        <f>IF(AND($A932="",$B932=""),"",IF(OR($R932&lt;&gt;"",$S932&lt;&gt;""),1,0))</f>
        <v/>
      </c>
      <c r="AF932" s="22">
        <f>IF(AND($A932="",$B932=""),"",IF(Z932=1,IF(AE932=1,N($R932),AD932),0))</f>
        <v/>
      </c>
      <c r="AG932" s="22">
        <f>IF(AND($A932="",$B932=""),"",IF(Z932=1,IF(AE932=1,N($S932),AC932),0))</f>
        <v/>
      </c>
      <c r="AH932" s="21">
        <f>IF(AND($A932="",$B932=""),"",IF(AND(ISNUMBER($I932),N($I932)&gt;0),$I932,0))</f>
        <v/>
      </c>
      <c r="AI932" s="23">
        <f>IF(AND(NOT(AND($A932="",$B932="")),$K932="Point",N($L932)&gt;0),SQRT(N($L932)/PI()),"")</f>
        <v/>
      </c>
      <c r="AJ932" s="21">
        <f>IF(AND($A932="",$B932=""),"",IFERROR(VLOOKUP($G932,Lists!$D$4:$E$15,2,FALSE),"Not reported"))</f>
        <v/>
      </c>
      <c r="AK932" s="21">
        <f>IF(AND($A932="",$B932=""),"",IF($X932&lt;&gt;"",$X932,IF($T932&lt;&gt;"Y","Not assessed",IF(AND(ISNUMBER($V932),Setup!$B$6-$V932&gt;Setup!$B$26),"Assessment outdated",IF(NOT(ISNUMBER($W932)),"Assessed – no score",IF($W932&gt;=Setup!$B$24,"High",IF($W932&gt;=Setup!$B$25,"Moderate","Low")))))))</f>
        <v/>
      </c>
      <c r="AL932" s="21">
        <f>IF(AND($A932="",$B932=""),"",IF(Z932=0,"",IF(AND(AE932=1,N($R932)&gt;AD932*1.01+0.001),"Net terrestrial &gt; gross; ","")&amp;IF(AND(AE932=1,N($S932)&gt;AC932*1.01+0.001),"Net marine &gt; gross; ","")&amp;IF(AE932=0,"No net area – gross used, overlaps may be double-counted; ","")&amp;IF(AH932=0,"STATUS_YR missing – imputed in time series; ","")&amp;IF(AND(ISNUMBER($I932),N($I932)&gt;Setup!$B$6),"STATUS_YR after reporting year; ","")&amp;IF(OR($G932="",$G932="Not Reported"),"GOV_TYPE not reported; ","")&amp;IF(AND(N($J932)=1,$K932="Point",N($M932)&lt;=0),"Coastal point without REP_M_AREA – land/sea split unknown; ","")&amp;IF(AND(N($J932)=0,N($S932)&gt;0),"MARINE=0 but net marine &gt;0; ","")&amp;IF(AND(N($J932)=2,N($R932)&gt;0),"MARINE=2 but net terrestrial &gt;0; ","")&amp;IF($K932="Point","Buffered point – coverage approximate; ","")))</f>
        <v/>
      </c>
    </row>
    <row r="933">
      <c r="A933" s="19" t="n"/>
      <c r="B933" s="19" t="n"/>
      <c r="C933" s="19" t="n"/>
      <c r="D933" s="19" t="n"/>
      <c r="E933" s="19" t="n"/>
      <c r="F933" s="19" t="n"/>
      <c r="G933" s="19" t="n"/>
      <c r="H933" s="19" t="n"/>
      <c r="I933" s="19" t="n"/>
      <c r="J933" s="19" t="n"/>
      <c r="K933" s="19" t="n"/>
      <c r="L933" s="20" t="n"/>
      <c r="M933" s="20" t="n"/>
      <c r="N933" s="20" t="n"/>
      <c r="O933" s="20" t="n"/>
      <c r="P933" s="19" t="n"/>
      <c r="Q933" s="19" t="n"/>
      <c r="R933" s="20" t="n"/>
      <c r="S933" s="20" t="n"/>
      <c r="T933" s="19" t="n"/>
      <c r="U933" s="19" t="n"/>
      <c r="V933" s="19" t="n"/>
      <c r="W933" s="19" t="n"/>
      <c r="X933" s="19" t="n"/>
      <c r="Y933" s="19" t="n"/>
      <c r="Z933" s="21">
        <f>IF(AND($A933="",$B933=""),"",IF(OR($E933="",$H933="",$H933="Proposed",$H933="Not Reported"),0,IF(AND($P933="Y",$Q933&lt;&gt;"Y"),0,IF(AND($K933="Point",N($L933)&lt;=0),0,IF(AND(N($L933)&lt;=0,N($N933)&lt;=0,N($R933)+N($S933)&lt;=0),0,1)))))</f>
        <v/>
      </c>
      <c r="AA933" s="21">
        <f>IF(AND($A933="",$B933=""),"",IF($E933="","Site type missing",IF($H933="","STATUS missing",IF($H933="Proposed","STATUS = Proposed",IF($H933="Not Reported","STATUS = Not Reported",IF(AND($P933="Y",$Q933&lt;&gt;"Y"),"UNESCO-MAB Biosphere Reserve",IF(AND($K933="Point",N($L933)&lt;=0),"Point without REP_AREA",IF(AND(N($L933)&lt;=0,N($N933)&lt;=0,N($R933)+N($S933)&lt;=0),"No area information",""))))))))</f>
        <v/>
      </c>
      <c r="AB933" s="22">
        <f>IF(AND($A933="",$B933=""),"",IF($K933="Point",N($L933),IF(N($N933)&gt;0,N($N933),N($L933))))</f>
        <v/>
      </c>
      <c r="AC933" s="22">
        <f>IF(AND($A933="",$B933=""),"",MIN(AB933,IF(N($J933)=0,0,IF(N($J933)=2,AB933,IF(AND($K933&lt;&gt;"Point",N($O933)&gt;0),N($O933),N($M933))))))</f>
        <v/>
      </c>
      <c r="AD933" s="22">
        <f>IF(AND($A933="",$B933=""),"",MAX(0,AB933-AC933))</f>
        <v/>
      </c>
      <c r="AE933" s="21">
        <f>IF(AND($A933="",$B933=""),"",IF(OR($R933&lt;&gt;"",$S933&lt;&gt;""),1,0))</f>
        <v/>
      </c>
      <c r="AF933" s="22">
        <f>IF(AND($A933="",$B933=""),"",IF(Z933=1,IF(AE933=1,N($R933),AD933),0))</f>
        <v/>
      </c>
      <c r="AG933" s="22">
        <f>IF(AND($A933="",$B933=""),"",IF(Z933=1,IF(AE933=1,N($S933),AC933),0))</f>
        <v/>
      </c>
      <c r="AH933" s="21">
        <f>IF(AND($A933="",$B933=""),"",IF(AND(ISNUMBER($I933),N($I933)&gt;0),$I933,0))</f>
        <v/>
      </c>
      <c r="AI933" s="23">
        <f>IF(AND(NOT(AND($A933="",$B933="")),$K933="Point",N($L933)&gt;0),SQRT(N($L933)/PI()),"")</f>
        <v/>
      </c>
      <c r="AJ933" s="21">
        <f>IF(AND($A933="",$B933=""),"",IFERROR(VLOOKUP($G933,Lists!$D$4:$E$15,2,FALSE),"Not reported"))</f>
        <v/>
      </c>
      <c r="AK933" s="21">
        <f>IF(AND($A933="",$B933=""),"",IF($X933&lt;&gt;"",$X933,IF($T933&lt;&gt;"Y","Not assessed",IF(AND(ISNUMBER($V933),Setup!$B$6-$V933&gt;Setup!$B$26),"Assessment outdated",IF(NOT(ISNUMBER($W933)),"Assessed – no score",IF($W933&gt;=Setup!$B$24,"High",IF($W933&gt;=Setup!$B$25,"Moderate","Low")))))))</f>
        <v/>
      </c>
      <c r="AL933" s="21">
        <f>IF(AND($A933="",$B933=""),"",IF(Z933=0,"",IF(AND(AE933=1,N($R933)&gt;AD933*1.01+0.001),"Net terrestrial &gt; gross; ","")&amp;IF(AND(AE933=1,N($S933)&gt;AC933*1.01+0.001),"Net marine &gt; gross; ","")&amp;IF(AE933=0,"No net area – gross used, overlaps may be double-counted; ","")&amp;IF(AH933=0,"STATUS_YR missing – imputed in time series; ","")&amp;IF(AND(ISNUMBER($I933),N($I933)&gt;Setup!$B$6),"STATUS_YR after reporting year; ","")&amp;IF(OR($G933="",$G933="Not Reported"),"GOV_TYPE not reported; ","")&amp;IF(AND(N($J933)=1,$K933="Point",N($M933)&lt;=0),"Coastal point without REP_M_AREA – land/sea split unknown; ","")&amp;IF(AND(N($J933)=0,N($S933)&gt;0),"MARINE=0 but net marine &gt;0; ","")&amp;IF(AND(N($J933)=2,N($R933)&gt;0),"MARINE=2 but net terrestrial &gt;0; ","")&amp;IF($K933="Point","Buffered point – coverage approximate; ","")))</f>
        <v/>
      </c>
    </row>
    <row r="934">
      <c r="A934" s="19" t="n"/>
      <c r="B934" s="19" t="n"/>
      <c r="C934" s="19" t="n"/>
      <c r="D934" s="19" t="n"/>
      <c r="E934" s="19" t="n"/>
      <c r="F934" s="19" t="n"/>
      <c r="G934" s="19" t="n"/>
      <c r="H934" s="19" t="n"/>
      <c r="I934" s="19" t="n"/>
      <c r="J934" s="19" t="n"/>
      <c r="K934" s="19" t="n"/>
      <c r="L934" s="20" t="n"/>
      <c r="M934" s="20" t="n"/>
      <c r="N934" s="20" t="n"/>
      <c r="O934" s="20" t="n"/>
      <c r="P934" s="19" t="n"/>
      <c r="Q934" s="19" t="n"/>
      <c r="R934" s="20" t="n"/>
      <c r="S934" s="20" t="n"/>
      <c r="T934" s="19" t="n"/>
      <c r="U934" s="19" t="n"/>
      <c r="V934" s="19" t="n"/>
      <c r="W934" s="19" t="n"/>
      <c r="X934" s="19" t="n"/>
      <c r="Y934" s="19" t="n"/>
      <c r="Z934" s="21">
        <f>IF(AND($A934="",$B934=""),"",IF(OR($E934="",$H934="",$H934="Proposed",$H934="Not Reported"),0,IF(AND($P934="Y",$Q934&lt;&gt;"Y"),0,IF(AND($K934="Point",N($L934)&lt;=0),0,IF(AND(N($L934)&lt;=0,N($N934)&lt;=0,N($R934)+N($S934)&lt;=0),0,1)))))</f>
        <v/>
      </c>
      <c r="AA934" s="21">
        <f>IF(AND($A934="",$B934=""),"",IF($E934="","Site type missing",IF($H934="","STATUS missing",IF($H934="Proposed","STATUS = Proposed",IF($H934="Not Reported","STATUS = Not Reported",IF(AND($P934="Y",$Q934&lt;&gt;"Y"),"UNESCO-MAB Biosphere Reserve",IF(AND($K934="Point",N($L934)&lt;=0),"Point without REP_AREA",IF(AND(N($L934)&lt;=0,N($N934)&lt;=0,N($R934)+N($S934)&lt;=0),"No area information",""))))))))</f>
        <v/>
      </c>
      <c r="AB934" s="22">
        <f>IF(AND($A934="",$B934=""),"",IF($K934="Point",N($L934),IF(N($N934)&gt;0,N($N934),N($L934))))</f>
        <v/>
      </c>
      <c r="AC934" s="22">
        <f>IF(AND($A934="",$B934=""),"",MIN(AB934,IF(N($J934)=0,0,IF(N($J934)=2,AB934,IF(AND($K934&lt;&gt;"Point",N($O934)&gt;0),N($O934),N($M934))))))</f>
        <v/>
      </c>
      <c r="AD934" s="22">
        <f>IF(AND($A934="",$B934=""),"",MAX(0,AB934-AC934))</f>
        <v/>
      </c>
      <c r="AE934" s="21">
        <f>IF(AND($A934="",$B934=""),"",IF(OR($R934&lt;&gt;"",$S934&lt;&gt;""),1,0))</f>
        <v/>
      </c>
      <c r="AF934" s="22">
        <f>IF(AND($A934="",$B934=""),"",IF(Z934=1,IF(AE934=1,N($R934),AD934),0))</f>
        <v/>
      </c>
      <c r="AG934" s="22">
        <f>IF(AND($A934="",$B934=""),"",IF(Z934=1,IF(AE934=1,N($S934),AC934),0))</f>
        <v/>
      </c>
      <c r="AH934" s="21">
        <f>IF(AND($A934="",$B934=""),"",IF(AND(ISNUMBER($I934),N($I934)&gt;0),$I934,0))</f>
        <v/>
      </c>
      <c r="AI934" s="23">
        <f>IF(AND(NOT(AND($A934="",$B934="")),$K934="Point",N($L934)&gt;0),SQRT(N($L934)/PI()),"")</f>
        <v/>
      </c>
      <c r="AJ934" s="21">
        <f>IF(AND($A934="",$B934=""),"",IFERROR(VLOOKUP($G934,Lists!$D$4:$E$15,2,FALSE),"Not reported"))</f>
        <v/>
      </c>
      <c r="AK934" s="21">
        <f>IF(AND($A934="",$B934=""),"",IF($X934&lt;&gt;"",$X934,IF($T934&lt;&gt;"Y","Not assessed",IF(AND(ISNUMBER($V934),Setup!$B$6-$V934&gt;Setup!$B$26),"Assessment outdated",IF(NOT(ISNUMBER($W934)),"Assessed – no score",IF($W934&gt;=Setup!$B$24,"High",IF($W934&gt;=Setup!$B$25,"Moderate","Low")))))))</f>
        <v/>
      </c>
      <c r="AL934" s="21">
        <f>IF(AND($A934="",$B934=""),"",IF(Z934=0,"",IF(AND(AE934=1,N($R934)&gt;AD934*1.01+0.001),"Net terrestrial &gt; gross; ","")&amp;IF(AND(AE934=1,N($S934)&gt;AC934*1.01+0.001),"Net marine &gt; gross; ","")&amp;IF(AE934=0,"No net area – gross used, overlaps may be double-counted; ","")&amp;IF(AH934=0,"STATUS_YR missing – imputed in time series; ","")&amp;IF(AND(ISNUMBER($I934),N($I934)&gt;Setup!$B$6),"STATUS_YR after reporting year; ","")&amp;IF(OR($G934="",$G934="Not Reported"),"GOV_TYPE not reported; ","")&amp;IF(AND(N($J934)=1,$K934="Point",N($M934)&lt;=0),"Coastal point without REP_M_AREA – land/sea split unknown; ","")&amp;IF(AND(N($J934)=0,N($S934)&gt;0),"MARINE=0 but net marine &gt;0; ","")&amp;IF(AND(N($J934)=2,N($R934)&gt;0),"MARINE=2 but net terrestrial &gt;0; ","")&amp;IF($K934="Point","Buffered point – coverage approximate; ","")))</f>
        <v/>
      </c>
    </row>
    <row r="935">
      <c r="A935" s="19" t="n"/>
      <c r="B935" s="19" t="n"/>
      <c r="C935" s="19" t="n"/>
      <c r="D935" s="19" t="n"/>
      <c r="E935" s="19" t="n"/>
      <c r="F935" s="19" t="n"/>
      <c r="G935" s="19" t="n"/>
      <c r="H935" s="19" t="n"/>
      <c r="I935" s="19" t="n"/>
      <c r="J935" s="19" t="n"/>
      <c r="K935" s="19" t="n"/>
      <c r="L935" s="20" t="n"/>
      <c r="M935" s="20" t="n"/>
      <c r="N935" s="20" t="n"/>
      <c r="O935" s="20" t="n"/>
      <c r="P935" s="19" t="n"/>
      <c r="Q935" s="19" t="n"/>
      <c r="R935" s="20" t="n"/>
      <c r="S935" s="20" t="n"/>
      <c r="T935" s="19" t="n"/>
      <c r="U935" s="19" t="n"/>
      <c r="V935" s="19" t="n"/>
      <c r="W935" s="19" t="n"/>
      <c r="X935" s="19" t="n"/>
      <c r="Y935" s="19" t="n"/>
      <c r="Z935" s="21">
        <f>IF(AND($A935="",$B935=""),"",IF(OR($E935="",$H935="",$H935="Proposed",$H935="Not Reported"),0,IF(AND($P935="Y",$Q935&lt;&gt;"Y"),0,IF(AND($K935="Point",N($L935)&lt;=0),0,IF(AND(N($L935)&lt;=0,N($N935)&lt;=0,N($R935)+N($S935)&lt;=0),0,1)))))</f>
        <v/>
      </c>
      <c r="AA935" s="21">
        <f>IF(AND($A935="",$B935=""),"",IF($E935="","Site type missing",IF($H935="","STATUS missing",IF($H935="Proposed","STATUS = Proposed",IF($H935="Not Reported","STATUS = Not Reported",IF(AND($P935="Y",$Q935&lt;&gt;"Y"),"UNESCO-MAB Biosphere Reserve",IF(AND($K935="Point",N($L935)&lt;=0),"Point without REP_AREA",IF(AND(N($L935)&lt;=0,N($N935)&lt;=0,N($R935)+N($S935)&lt;=0),"No area information",""))))))))</f>
        <v/>
      </c>
      <c r="AB935" s="22">
        <f>IF(AND($A935="",$B935=""),"",IF($K935="Point",N($L935),IF(N($N935)&gt;0,N($N935),N($L935))))</f>
        <v/>
      </c>
      <c r="AC935" s="22">
        <f>IF(AND($A935="",$B935=""),"",MIN(AB935,IF(N($J935)=0,0,IF(N($J935)=2,AB935,IF(AND($K935&lt;&gt;"Point",N($O935)&gt;0),N($O935),N($M935))))))</f>
        <v/>
      </c>
      <c r="AD935" s="22">
        <f>IF(AND($A935="",$B935=""),"",MAX(0,AB935-AC935))</f>
        <v/>
      </c>
      <c r="AE935" s="21">
        <f>IF(AND($A935="",$B935=""),"",IF(OR($R935&lt;&gt;"",$S935&lt;&gt;""),1,0))</f>
        <v/>
      </c>
      <c r="AF935" s="22">
        <f>IF(AND($A935="",$B935=""),"",IF(Z935=1,IF(AE935=1,N($R935),AD935),0))</f>
        <v/>
      </c>
      <c r="AG935" s="22">
        <f>IF(AND($A935="",$B935=""),"",IF(Z935=1,IF(AE935=1,N($S935),AC935),0))</f>
        <v/>
      </c>
      <c r="AH935" s="21">
        <f>IF(AND($A935="",$B935=""),"",IF(AND(ISNUMBER($I935),N($I935)&gt;0),$I935,0))</f>
        <v/>
      </c>
      <c r="AI935" s="23">
        <f>IF(AND(NOT(AND($A935="",$B935="")),$K935="Point",N($L935)&gt;0),SQRT(N($L935)/PI()),"")</f>
        <v/>
      </c>
      <c r="AJ935" s="21">
        <f>IF(AND($A935="",$B935=""),"",IFERROR(VLOOKUP($G935,Lists!$D$4:$E$15,2,FALSE),"Not reported"))</f>
        <v/>
      </c>
      <c r="AK935" s="21">
        <f>IF(AND($A935="",$B935=""),"",IF($X935&lt;&gt;"",$X935,IF($T935&lt;&gt;"Y","Not assessed",IF(AND(ISNUMBER($V935),Setup!$B$6-$V935&gt;Setup!$B$26),"Assessment outdated",IF(NOT(ISNUMBER($W935)),"Assessed – no score",IF($W935&gt;=Setup!$B$24,"High",IF($W935&gt;=Setup!$B$25,"Moderate","Low")))))))</f>
        <v/>
      </c>
      <c r="AL935" s="21">
        <f>IF(AND($A935="",$B935=""),"",IF(Z935=0,"",IF(AND(AE935=1,N($R935)&gt;AD935*1.01+0.001),"Net terrestrial &gt; gross; ","")&amp;IF(AND(AE935=1,N($S935)&gt;AC935*1.01+0.001),"Net marine &gt; gross; ","")&amp;IF(AE935=0,"No net area – gross used, overlaps may be double-counted; ","")&amp;IF(AH935=0,"STATUS_YR missing – imputed in time series; ","")&amp;IF(AND(ISNUMBER($I935),N($I935)&gt;Setup!$B$6),"STATUS_YR after reporting year; ","")&amp;IF(OR($G935="",$G935="Not Reported"),"GOV_TYPE not reported; ","")&amp;IF(AND(N($J935)=1,$K935="Point",N($M935)&lt;=0),"Coastal point without REP_M_AREA – land/sea split unknown; ","")&amp;IF(AND(N($J935)=0,N($S935)&gt;0),"MARINE=0 but net marine &gt;0; ","")&amp;IF(AND(N($J935)=2,N($R935)&gt;0),"MARINE=2 but net terrestrial &gt;0; ","")&amp;IF($K935="Point","Buffered point – coverage approximate; ","")))</f>
        <v/>
      </c>
    </row>
    <row r="936">
      <c r="A936" s="19" t="n"/>
      <c r="B936" s="19" t="n"/>
      <c r="C936" s="19" t="n"/>
      <c r="D936" s="19" t="n"/>
      <c r="E936" s="19" t="n"/>
      <c r="F936" s="19" t="n"/>
      <c r="G936" s="19" t="n"/>
      <c r="H936" s="19" t="n"/>
      <c r="I936" s="19" t="n"/>
      <c r="J936" s="19" t="n"/>
      <c r="K936" s="19" t="n"/>
      <c r="L936" s="20" t="n"/>
      <c r="M936" s="20" t="n"/>
      <c r="N936" s="20" t="n"/>
      <c r="O936" s="20" t="n"/>
      <c r="P936" s="19" t="n"/>
      <c r="Q936" s="19" t="n"/>
      <c r="R936" s="20" t="n"/>
      <c r="S936" s="20" t="n"/>
      <c r="T936" s="19" t="n"/>
      <c r="U936" s="19" t="n"/>
      <c r="V936" s="19" t="n"/>
      <c r="W936" s="19" t="n"/>
      <c r="X936" s="19" t="n"/>
      <c r="Y936" s="19" t="n"/>
      <c r="Z936" s="21">
        <f>IF(AND($A936="",$B936=""),"",IF(OR($E936="",$H936="",$H936="Proposed",$H936="Not Reported"),0,IF(AND($P936="Y",$Q936&lt;&gt;"Y"),0,IF(AND($K936="Point",N($L936)&lt;=0),0,IF(AND(N($L936)&lt;=0,N($N936)&lt;=0,N($R936)+N($S936)&lt;=0),0,1)))))</f>
        <v/>
      </c>
      <c r="AA936" s="21">
        <f>IF(AND($A936="",$B936=""),"",IF($E936="","Site type missing",IF($H936="","STATUS missing",IF($H936="Proposed","STATUS = Proposed",IF($H936="Not Reported","STATUS = Not Reported",IF(AND($P936="Y",$Q936&lt;&gt;"Y"),"UNESCO-MAB Biosphere Reserve",IF(AND($K936="Point",N($L936)&lt;=0),"Point without REP_AREA",IF(AND(N($L936)&lt;=0,N($N936)&lt;=0,N($R936)+N($S936)&lt;=0),"No area information",""))))))))</f>
        <v/>
      </c>
      <c r="AB936" s="22">
        <f>IF(AND($A936="",$B936=""),"",IF($K936="Point",N($L936),IF(N($N936)&gt;0,N($N936),N($L936))))</f>
        <v/>
      </c>
      <c r="AC936" s="22">
        <f>IF(AND($A936="",$B936=""),"",MIN(AB936,IF(N($J936)=0,0,IF(N($J936)=2,AB936,IF(AND($K936&lt;&gt;"Point",N($O936)&gt;0),N($O936),N($M936))))))</f>
        <v/>
      </c>
      <c r="AD936" s="22">
        <f>IF(AND($A936="",$B936=""),"",MAX(0,AB936-AC936))</f>
        <v/>
      </c>
      <c r="AE936" s="21">
        <f>IF(AND($A936="",$B936=""),"",IF(OR($R936&lt;&gt;"",$S936&lt;&gt;""),1,0))</f>
        <v/>
      </c>
      <c r="AF936" s="22">
        <f>IF(AND($A936="",$B936=""),"",IF(Z936=1,IF(AE936=1,N($R936),AD936),0))</f>
        <v/>
      </c>
      <c r="AG936" s="22">
        <f>IF(AND($A936="",$B936=""),"",IF(Z936=1,IF(AE936=1,N($S936),AC936),0))</f>
        <v/>
      </c>
      <c r="AH936" s="21">
        <f>IF(AND($A936="",$B936=""),"",IF(AND(ISNUMBER($I936),N($I936)&gt;0),$I936,0))</f>
        <v/>
      </c>
      <c r="AI936" s="23">
        <f>IF(AND(NOT(AND($A936="",$B936="")),$K936="Point",N($L936)&gt;0),SQRT(N($L936)/PI()),"")</f>
        <v/>
      </c>
      <c r="AJ936" s="21">
        <f>IF(AND($A936="",$B936=""),"",IFERROR(VLOOKUP($G936,Lists!$D$4:$E$15,2,FALSE),"Not reported"))</f>
        <v/>
      </c>
      <c r="AK936" s="21">
        <f>IF(AND($A936="",$B936=""),"",IF($X936&lt;&gt;"",$X936,IF($T936&lt;&gt;"Y","Not assessed",IF(AND(ISNUMBER($V936),Setup!$B$6-$V936&gt;Setup!$B$26),"Assessment outdated",IF(NOT(ISNUMBER($W936)),"Assessed – no score",IF($W936&gt;=Setup!$B$24,"High",IF($W936&gt;=Setup!$B$25,"Moderate","Low")))))))</f>
        <v/>
      </c>
      <c r="AL936" s="21">
        <f>IF(AND($A936="",$B936=""),"",IF(Z936=0,"",IF(AND(AE936=1,N($R936)&gt;AD936*1.01+0.001),"Net terrestrial &gt; gross; ","")&amp;IF(AND(AE936=1,N($S936)&gt;AC936*1.01+0.001),"Net marine &gt; gross; ","")&amp;IF(AE936=0,"No net area – gross used, overlaps may be double-counted; ","")&amp;IF(AH936=0,"STATUS_YR missing – imputed in time series; ","")&amp;IF(AND(ISNUMBER($I936),N($I936)&gt;Setup!$B$6),"STATUS_YR after reporting year; ","")&amp;IF(OR($G936="",$G936="Not Reported"),"GOV_TYPE not reported; ","")&amp;IF(AND(N($J936)=1,$K936="Point",N($M936)&lt;=0),"Coastal point without REP_M_AREA – land/sea split unknown; ","")&amp;IF(AND(N($J936)=0,N($S936)&gt;0),"MARINE=0 but net marine &gt;0; ","")&amp;IF(AND(N($J936)=2,N($R936)&gt;0),"MARINE=2 but net terrestrial &gt;0; ","")&amp;IF($K936="Point","Buffered point – coverage approximate; ","")))</f>
        <v/>
      </c>
    </row>
    <row r="937">
      <c r="A937" s="19" t="n"/>
      <c r="B937" s="19" t="n"/>
      <c r="C937" s="19" t="n"/>
      <c r="D937" s="19" t="n"/>
      <c r="E937" s="19" t="n"/>
      <c r="F937" s="19" t="n"/>
      <c r="G937" s="19" t="n"/>
      <c r="H937" s="19" t="n"/>
      <c r="I937" s="19" t="n"/>
      <c r="J937" s="19" t="n"/>
      <c r="K937" s="19" t="n"/>
      <c r="L937" s="20" t="n"/>
      <c r="M937" s="20" t="n"/>
      <c r="N937" s="20" t="n"/>
      <c r="O937" s="20" t="n"/>
      <c r="P937" s="19" t="n"/>
      <c r="Q937" s="19" t="n"/>
      <c r="R937" s="20" t="n"/>
      <c r="S937" s="20" t="n"/>
      <c r="T937" s="19" t="n"/>
      <c r="U937" s="19" t="n"/>
      <c r="V937" s="19" t="n"/>
      <c r="W937" s="19" t="n"/>
      <c r="X937" s="19" t="n"/>
      <c r="Y937" s="19" t="n"/>
      <c r="Z937" s="21">
        <f>IF(AND($A937="",$B937=""),"",IF(OR($E937="",$H937="",$H937="Proposed",$H937="Not Reported"),0,IF(AND($P937="Y",$Q937&lt;&gt;"Y"),0,IF(AND($K937="Point",N($L937)&lt;=0),0,IF(AND(N($L937)&lt;=0,N($N937)&lt;=0,N($R937)+N($S937)&lt;=0),0,1)))))</f>
        <v/>
      </c>
      <c r="AA937" s="21">
        <f>IF(AND($A937="",$B937=""),"",IF($E937="","Site type missing",IF($H937="","STATUS missing",IF($H937="Proposed","STATUS = Proposed",IF($H937="Not Reported","STATUS = Not Reported",IF(AND($P937="Y",$Q937&lt;&gt;"Y"),"UNESCO-MAB Biosphere Reserve",IF(AND($K937="Point",N($L937)&lt;=0),"Point without REP_AREA",IF(AND(N($L937)&lt;=0,N($N937)&lt;=0,N($R937)+N($S937)&lt;=0),"No area information",""))))))))</f>
        <v/>
      </c>
      <c r="AB937" s="22">
        <f>IF(AND($A937="",$B937=""),"",IF($K937="Point",N($L937),IF(N($N937)&gt;0,N($N937),N($L937))))</f>
        <v/>
      </c>
      <c r="AC937" s="22">
        <f>IF(AND($A937="",$B937=""),"",MIN(AB937,IF(N($J937)=0,0,IF(N($J937)=2,AB937,IF(AND($K937&lt;&gt;"Point",N($O937)&gt;0),N($O937),N($M937))))))</f>
        <v/>
      </c>
      <c r="AD937" s="22">
        <f>IF(AND($A937="",$B937=""),"",MAX(0,AB937-AC937))</f>
        <v/>
      </c>
      <c r="AE937" s="21">
        <f>IF(AND($A937="",$B937=""),"",IF(OR($R937&lt;&gt;"",$S937&lt;&gt;""),1,0))</f>
        <v/>
      </c>
      <c r="AF937" s="22">
        <f>IF(AND($A937="",$B937=""),"",IF(Z937=1,IF(AE937=1,N($R937),AD937),0))</f>
        <v/>
      </c>
      <c r="AG937" s="22">
        <f>IF(AND($A937="",$B937=""),"",IF(Z937=1,IF(AE937=1,N($S937),AC937),0))</f>
        <v/>
      </c>
      <c r="AH937" s="21">
        <f>IF(AND($A937="",$B937=""),"",IF(AND(ISNUMBER($I937),N($I937)&gt;0),$I937,0))</f>
        <v/>
      </c>
      <c r="AI937" s="23">
        <f>IF(AND(NOT(AND($A937="",$B937="")),$K937="Point",N($L937)&gt;0),SQRT(N($L937)/PI()),"")</f>
        <v/>
      </c>
      <c r="AJ937" s="21">
        <f>IF(AND($A937="",$B937=""),"",IFERROR(VLOOKUP($G937,Lists!$D$4:$E$15,2,FALSE),"Not reported"))</f>
        <v/>
      </c>
      <c r="AK937" s="21">
        <f>IF(AND($A937="",$B937=""),"",IF($X937&lt;&gt;"",$X937,IF($T937&lt;&gt;"Y","Not assessed",IF(AND(ISNUMBER($V937),Setup!$B$6-$V937&gt;Setup!$B$26),"Assessment outdated",IF(NOT(ISNUMBER($W937)),"Assessed – no score",IF($W937&gt;=Setup!$B$24,"High",IF($W937&gt;=Setup!$B$25,"Moderate","Low")))))))</f>
        <v/>
      </c>
      <c r="AL937" s="21">
        <f>IF(AND($A937="",$B937=""),"",IF(Z937=0,"",IF(AND(AE937=1,N($R937)&gt;AD937*1.01+0.001),"Net terrestrial &gt; gross; ","")&amp;IF(AND(AE937=1,N($S937)&gt;AC937*1.01+0.001),"Net marine &gt; gross; ","")&amp;IF(AE937=0,"No net area – gross used, overlaps may be double-counted; ","")&amp;IF(AH937=0,"STATUS_YR missing – imputed in time series; ","")&amp;IF(AND(ISNUMBER($I937),N($I937)&gt;Setup!$B$6),"STATUS_YR after reporting year; ","")&amp;IF(OR($G937="",$G937="Not Reported"),"GOV_TYPE not reported; ","")&amp;IF(AND(N($J937)=1,$K937="Point",N($M937)&lt;=0),"Coastal point without REP_M_AREA – land/sea split unknown; ","")&amp;IF(AND(N($J937)=0,N($S937)&gt;0),"MARINE=0 but net marine &gt;0; ","")&amp;IF(AND(N($J937)=2,N($R937)&gt;0),"MARINE=2 but net terrestrial &gt;0; ","")&amp;IF($K937="Point","Buffered point – coverage approximate; ","")))</f>
        <v/>
      </c>
    </row>
    <row r="938">
      <c r="A938" s="19" t="n"/>
      <c r="B938" s="19" t="n"/>
      <c r="C938" s="19" t="n"/>
      <c r="D938" s="19" t="n"/>
      <c r="E938" s="19" t="n"/>
      <c r="F938" s="19" t="n"/>
      <c r="G938" s="19" t="n"/>
      <c r="H938" s="19" t="n"/>
      <c r="I938" s="19" t="n"/>
      <c r="J938" s="19" t="n"/>
      <c r="K938" s="19" t="n"/>
      <c r="L938" s="20" t="n"/>
      <c r="M938" s="20" t="n"/>
      <c r="N938" s="20" t="n"/>
      <c r="O938" s="20" t="n"/>
      <c r="P938" s="19" t="n"/>
      <c r="Q938" s="19" t="n"/>
      <c r="R938" s="20" t="n"/>
      <c r="S938" s="20" t="n"/>
      <c r="T938" s="19" t="n"/>
      <c r="U938" s="19" t="n"/>
      <c r="V938" s="19" t="n"/>
      <c r="W938" s="19" t="n"/>
      <c r="X938" s="19" t="n"/>
      <c r="Y938" s="19" t="n"/>
      <c r="Z938" s="21">
        <f>IF(AND($A938="",$B938=""),"",IF(OR($E938="",$H938="",$H938="Proposed",$H938="Not Reported"),0,IF(AND($P938="Y",$Q938&lt;&gt;"Y"),0,IF(AND($K938="Point",N($L938)&lt;=0),0,IF(AND(N($L938)&lt;=0,N($N938)&lt;=0,N($R938)+N($S938)&lt;=0),0,1)))))</f>
        <v/>
      </c>
      <c r="AA938" s="21">
        <f>IF(AND($A938="",$B938=""),"",IF($E938="","Site type missing",IF($H938="","STATUS missing",IF($H938="Proposed","STATUS = Proposed",IF($H938="Not Reported","STATUS = Not Reported",IF(AND($P938="Y",$Q938&lt;&gt;"Y"),"UNESCO-MAB Biosphere Reserve",IF(AND($K938="Point",N($L938)&lt;=0),"Point without REP_AREA",IF(AND(N($L938)&lt;=0,N($N938)&lt;=0,N($R938)+N($S938)&lt;=0),"No area information",""))))))))</f>
        <v/>
      </c>
      <c r="AB938" s="22">
        <f>IF(AND($A938="",$B938=""),"",IF($K938="Point",N($L938),IF(N($N938)&gt;0,N($N938),N($L938))))</f>
        <v/>
      </c>
      <c r="AC938" s="22">
        <f>IF(AND($A938="",$B938=""),"",MIN(AB938,IF(N($J938)=0,0,IF(N($J938)=2,AB938,IF(AND($K938&lt;&gt;"Point",N($O938)&gt;0),N($O938),N($M938))))))</f>
        <v/>
      </c>
      <c r="AD938" s="22">
        <f>IF(AND($A938="",$B938=""),"",MAX(0,AB938-AC938))</f>
        <v/>
      </c>
      <c r="AE938" s="21">
        <f>IF(AND($A938="",$B938=""),"",IF(OR($R938&lt;&gt;"",$S938&lt;&gt;""),1,0))</f>
        <v/>
      </c>
      <c r="AF938" s="22">
        <f>IF(AND($A938="",$B938=""),"",IF(Z938=1,IF(AE938=1,N($R938),AD938),0))</f>
        <v/>
      </c>
      <c r="AG938" s="22">
        <f>IF(AND($A938="",$B938=""),"",IF(Z938=1,IF(AE938=1,N($S938),AC938),0))</f>
        <v/>
      </c>
      <c r="AH938" s="21">
        <f>IF(AND($A938="",$B938=""),"",IF(AND(ISNUMBER($I938),N($I938)&gt;0),$I938,0))</f>
        <v/>
      </c>
      <c r="AI938" s="23">
        <f>IF(AND(NOT(AND($A938="",$B938="")),$K938="Point",N($L938)&gt;0),SQRT(N($L938)/PI()),"")</f>
        <v/>
      </c>
      <c r="AJ938" s="21">
        <f>IF(AND($A938="",$B938=""),"",IFERROR(VLOOKUP($G938,Lists!$D$4:$E$15,2,FALSE),"Not reported"))</f>
        <v/>
      </c>
      <c r="AK938" s="21">
        <f>IF(AND($A938="",$B938=""),"",IF($X938&lt;&gt;"",$X938,IF($T938&lt;&gt;"Y","Not assessed",IF(AND(ISNUMBER($V938),Setup!$B$6-$V938&gt;Setup!$B$26),"Assessment outdated",IF(NOT(ISNUMBER($W938)),"Assessed – no score",IF($W938&gt;=Setup!$B$24,"High",IF($W938&gt;=Setup!$B$25,"Moderate","Low")))))))</f>
        <v/>
      </c>
      <c r="AL938" s="21">
        <f>IF(AND($A938="",$B938=""),"",IF(Z938=0,"",IF(AND(AE938=1,N($R938)&gt;AD938*1.01+0.001),"Net terrestrial &gt; gross; ","")&amp;IF(AND(AE938=1,N($S938)&gt;AC938*1.01+0.001),"Net marine &gt; gross; ","")&amp;IF(AE938=0,"No net area – gross used, overlaps may be double-counted; ","")&amp;IF(AH938=0,"STATUS_YR missing – imputed in time series; ","")&amp;IF(AND(ISNUMBER($I938),N($I938)&gt;Setup!$B$6),"STATUS_YR after reporting year; ","")&amp;IF(OR($G938="",$G938="Not Reported"),"GOV_TYPE not reported; ","")&amp;IF(AND(N($J938)=1,$K938="Point",N($M938)&lt;=0),"Coastal point without REP_M_AREA – land/sea split unknown; ","")&amp;IF(AND(N($J938)=0,N($S938)&gt;0),"MARINE=0 but net marine &gt;0; ","")&amp;IF(AND(N($J938)=2,N($R938)&gt;0),"MARINE=2 but net terrestrial &gt;0; ","")&amp;IF($K938="Point","Buffered point – coverage approximate; ","")))</f>
        <v/>
      </c>
    </row>
    <row r="939">
      <c r="A939" s="19" t="n"/>
      <c r="B939" s="19" t="n"/>
      <c r="C939" s="19" t="n"/>
      <c r="D939" s="19" t="n"/>
      <c r="E939" s="19" t="n"/>
      <c r="F939" s="19" t="n"/>
      <c r="G939" s="19" t="n"/>
      <c r="H939" s="19" t="n"/>
      <c r="I939" s="19" t="n"/>
      <c r="J939" s="19" t="n"/>
      <c r="K939" s="19" t="n"/>
      <c r="L939" s="20" t="n"/>
      <c r="M939" s="20" t="n"/>
      <c r="N939" s="20" t="n"/>
      <c r="O939" s="20" t="n"/>
      <c r="P939" s="19" t="n"/>
      <c r="Q939" s="19" t="n"/>
      <c r="R939" s="20" t="n"/>
      <c r="S939" s="20" t="n"/>
      <c r="T939" s="19" t="n"/>
      <c r="U939" s="19" t="n"/>
      <c r="V939" s="19" t="n"/>
      <c r="W939" s="19" t="n"/>
      <c r="X939" s="19" t="n"/>
      <c r="Y939" s="19" t="n"/>
      <c r="Z939" s="21">
        <f>IF(AND($A939="",$B939=""),"",IF(OR($E939="",$H939="",$H939="Proposed",$H939="Not Reported"),0,IF(AND($P939="Y",$Q939&lt;&gt;"Y"),0,IF(AND($K939="Point",N($L939)&lt;=0),0,IF(AND(N($L939)&lt;=0,N($N939)&lt;=0,N($R939)+N($S939)&lt;=0),0,1)))))</f>
        <v/>
      </c>
      <c r="AA939" s="21">
        <f>IF(AND($A939="",$B939=""),"",IF($E939="","Site type missing",IF($H939="","STATUS missing",IF($H939="Proposed","STATUS = Proposed",IF($H939="Not Reported","STATUS = Not Reported",IF(AND($P939="Y",$Q939&lt;&gt;"Y"),"UNESCO-MAB Biosphere Reserve",IF(AND($K939="Point",N($L939)&lt;=0),"Point without REP_AREA",IF(AND(N($L939)&lt;=0,N($N939)&lt;=0,N($R939)+N($S939)&lt;=0),"No area information",""))))))))</f>
        <v/>
      </c>
      <c r="AB939" s="22">
        <f>IF(AND($A939="",$B939=""),"",IF($K939="Point",N($L939),IF(N($N939)&gt;0,N($N939),N($L939))))</f>
        <v/>
      </c>
      <c r="AC939" s="22">
        <f>IF(AND($A939="",$B939=""),"",MIN(AB939,IF(N($J939)=0,0,IF(N($J939)=2,AB939,IF(AND($K939&lt;&gt;"Point",N($O939)&gt;0),N($O939),N($M939))))))</f>
        <v/>
      </c>
      <c r="AD939" s="22">
        <f>IF(AND($A939="",$B939=""),"",MAX(0,AB939-AC939))</f>
        <v/>
      </c>
      <c r="AE939" s="21">
        <f>IF(AND($A939="",$B939=""),"",IF(OR($R939&lt;&gt;"",$S939&lt;&gt;""),1,0))</f>
        <v/>
      </c>
      <c r="AF939" s="22">
        <f>IF(AND($A939="",$B939=""),"",IF(Z939=1,IF(AE939=1,N($R939),AD939),0))</f>
        <v/>
      </c>
      <c r="AG939" s="22">
        <f>IF(AND($A939="",$B939=""),"",IF(Z939=1,IF(AE939=1,N($S939),AC939),0))</f>
        <v/>
      </c>
      <c r="AH939" s="21">
        <f>IF(AND($A939="",$B939=""),"",IF(AND(ISNUMBER($I939),N($I939)&gt;0),$I939,0))</f>
        <v/>
      </c>
      <c r="AI939" s="23">
        <f>IF(AND(NOT(AND($A939="",$B939="")),$K939="Point",N($L939)&gt;0),SQRT(N($L939)/PI()),"")</f>
        <v/>
      </c>
      <c r="AJ939" s="21">
        <f>IF(AND($A939="",$B939=""),"",IFERROR(VLOOKUP($G939,Lists!$D$4:$E$15,2,FALSE),"Not reported"))</f>
        <v/>
      </c>
      <c r="AK939" s="21">
        <f>IF(AND($A939="",$B939=""),"",IF($X939&lt;&gt;"",$X939,IF($T939&lt;&gt;"Y","Not assessed",IF(AND(ISNUMBER($V939),Setup!$B$6-$V939&gt;Setup!$B$26),"Assessment outdated",IF(NOT(ISNUMBER($W939)),"Assessed – no score",IF($W939&gt;=Setup!$B$24,"High",IF($W939&gt;=Setup!$B$25,"Moderate","Low")))))))</f>
        <v/>
      </c>
      <c r="AL939" s="21">
        <f>IF(AND($A939="",$B939=""),"",IF(Z939=0,"",IF(AND(AE939=1,N($R939)&gt;AD939*1.01+0.001),"Net terrestrial &gt; gross; ","")&amp;IF(AND(AE939=1,N($S939)&gt;AC939*1.01+0.001),"Net marine &gt; gross; ","")&amp;IF(AE939=0,"No net area – gross used, overlaps may be double-counted; ","")&amp;IF(AH939=0,"STATUS_YR missing – imputed in time series; ","")&amp;IF(AND(ISNUMBER($I939),N($I939)&gt;Setup!$B$6),"STATUS_YR after reporting year; ","")&amp;IF(OR($G939="",$G939="Not Reported"),"GOV_TYPE not reported; ","")&amp;IF(AND(N($J939)=1,$K939="Point",N($M939)&lt;=0),"Coastal point without REP_M_AREA – land/sea split unknown; ","")&amp;IF(AND(N($J939)=0,N($S939)&gt;0),"MARINE=0 but net marine &gt;0; ","")&amp;IF(AND(N($J939)=2,N($R939)&gt;0),"MARINE=2 but net terrestrial &gt;0; ","")&amp;IF($K939="Point","Buffered point – coverage approximate; ","")))</f>
        <v/>
      </c>
    </row>
    <row r="940">
      <c r="A940" s="19" t="n"/>
      <c r="B940" s="19" t="n"/>
      <c r="C940" s="19" t="n"/>
      <c r="D940" s="19" t="n"/>
      <c r="E940" s="19" t="n"/>
      <c r="F940" s="19" t="n"/>
      <c r="G940" s="19" t="n"/>
      <c r="H940" s="19" t="n"/>
      <c r="I940" s="19" t="n"/>
      <c r="J940" s="19" t="n"/>
      <c r="K940" s="19" t="n"/>
      <c r="L940" s="20" t="n"/>
      <c r="M940" s="20" t="n"/>
      <c r="N940" s="20" t="n"/>
      <c r="O940" s="20" t="n"/>
      <c r="P940" s="19" t="n"/>
      <c r="Q940" s="19" t="n"/>
      <c r="R940" s="20" t="n"/>
      <c r="S940" s="20" t="n"/>
      <c r="T940" s="19" t="n"/>
      <c r="U940" s="19" t="n"/>
      <c r="V940" s="19" t="n"/>
      <c r="W940" s="19" t="n"/>
      <c r="X940" s="19" t="n"/>
      <c r="Y940" s="19" t="n"/>
      <c r="Z940" s="21">
        <f>IF(AND($A940="",$B940=""),"",IF(OR($E940="",$H940="",$H940="Proposed",$H940="Not Reported"),0,IF(AND($P940="Y",$Q940&lt;&gt;"Y"),0,IF(AND($K940="Point",N($L940)&lt;=0),0,IF(AND(N($L940)&lt;=0,N($N940)&lt;=0,N($R940)+N($S940)&lt;=0),0,1)))))</f>
        <v/>
      </c>
      <c r="AA940" s="21">
        <f>IF(AND($A940="",$B940=""),"",IF($E940="","Site type missing",IF($H940="","STATUS missing",IF($H940="Proposed","STATUS = Proposed",IF($H940="Not Reported","STATUS = Not Reported",IF(AND($P940="Y",$Q940&lt;&gt;"Y"),"UNESCO-MAB Biosphere Reserve",IF(AND($K940="Point",N($L940)&lt;=0),"Point without REP_AREA",IF(AND(N($L940)&lt;=0,N($N940)&lt;=0,N($R940)+N($S940)&lt;=0),"No area information",""))))))))</f>
        <v/>
      </c>
      <c r="AB940" s="22">
        <f>IF(AND($A940="",$B940=""),"",IF($K940="Point",N($L940),IF(N($N940)&gt;0,N($N940),N($L940))))</f>
        <v/>
      </c>
      <c r="AC940" s="22">
        <f>IF(AND($A940="",$B940=""),"",MIN(AB940,IF(N($J940)=0,0,IF(N($J940)=2,AB940,IF(AND($K940&lt;&gt;"Point",N($O940)&gt;0),N($O940),N($M940))))))</f>
        <v/>
      </c>
      <c r="AD940" s="22">
        <f>IF(AND($A940="",$B940=""),"",MAX(0,AB940-AC940))</f>
        <v/>
      </c>
      <c r="AE940" s="21">
        <f>IF(AND($A940="",$B940=""),"",IF(OR($R940&lt;&gt;"",$S940&lt;&gt;""),1,0))</f>
        <v/>
      </c>
      <c r="AF940" s="22">
        <f>IF(AND($A940="",$B940=""),"",IF(Z940=1,IF(AE940=1,N($R940),AD940),0))</f>
        <v/>
      </c>
      <c r="AG940" s="22">
        <f>IF(AND($A940="",$B940=""),"",IF(Z940=1,IF(AE940=1,N($S940),AC940),0))</f>
        <v/>
      </c>
      <c r="AH940" s="21">
        <f>IF(AND($A940="",$B940=""),"",IF(AND(ISNUMBER($I940),N($I940)&gt;0),$I940,0))</f>
        <v/>
      </c>
      <c r="AI940" s="23">
        <f>IF(AND(NOT(AND($A940="",$B940="")),$K940="Point",N($L940)&gt;0),SQRT(N($L940)/PI()),"")</f>
        <v/>
      </c>
      <c r="AJ940" s="21">
        <f>IF(AND($A940="",$B940=""),"",IFERROR(VLOOKUP($G940,Lists!$D$4:$E$15,2,FALSE),"Not reported"))</f>
        <v/>
      </c>
      <c r="AK940" s="21">
        <f>IF(AND($A940="",$B940=""),"",IF($X940&lt;&gt;"",$X940,IF($T940&lt;&gt;"Y","Not assessed",IF(AND(ISNUMBER($V940),Setup!$B$6-$V940&gt;Setup!$B$26),"Assessment outdated",IF(NOT(ISNUMBER($W940)),"Assessed – no score",IF($W940&gt;=Setup!$B$24,"High",IF($W940&gt;=Setup!$B$25,"Moderate","Low")))))))</f>
        <v/>
      </c>
      <c r="AL940" s="21">
        <f>IF(AND($A940="",$B940=""),"",IF(Z940=0,"",IF(AND(AE940=1,N($R940)&gt;AD940*1.01+0.001),"Net terrestrial &gt; gross; ","")&amp;IF(AND(AE940=1,N($S940)&gt;AC940*1.01+0.001),"Net marine &gt; gross; ","")&amp;IF(AE940=0,"No net area – gross used, overlaps may be double-counted; ","")&amp;IF(AH940=0,"STATUS_YR missing – imputed in time series; ","")&amp;IF(AND(ISNUMBER($I940),N($I940)&gt;Setup!$B$6),"STATUS_YR after reporting year; ","")&amp;IF(OR($G940="",$G940="Not Reported"),"GOV_TYPE not reported; ","")&amp;IF(AND(N($J940)=1,$K940="Point",N($M940)&lt;=0),"Coastal point without REP_M_AREA – land/sea split unknown; ","")&amp;IF(AND(N($J940)=0,N($S940)&gt;0),"MARINE=0 but net marine &gt;0; ","")&amp;IF(AND(N($J940)=2,N($R940)&gt;0),"MARINE=2 but net terrestrial &gt;0; ","")&amp;IF($K940="Point","Buffered point – coverage approximate; ","")))</f>
        <v/>
      </c>
    </row>
    <row r="941">
      <c r="A941" s="19" t="n"/>
      <c r="B941" s="19" t="n"/>
      <c r="C941" s="19" t="n"/>
      <c r="D941" s="19" t="n"/>
      <c r="E941" s="19" t="n"/>
      <c r="F941" s="19" t="n"/>
      <c r="G941" s="19" t="n"/>
      <c r="H941" s="19" t="n"/>
      <c r="I941" s="19" t="n"/>
      <c r="J941" s="19" t="n"/>
      <c r="K941" s="19" t="n"/>
      <c r="L941" s="20" t="n"/>
      <c r="M941" s="20" t="n"/>
      <c r="N941" s="20" t="n"/>
      <c r="O941" s="20" t="n"/>
      <c r="P941" s="19" t="n"/>
      <c r="Q941" s="19" t="n"/>
      <c r="R941" s="20" t="n"/>
      <c r="S941" s="20" t="n"/>
      <c r="T941" s="19" t="n"/>
      <c r="U941" s="19" t="n"/>
      <c r="V941" s="19" t="n"/>
      <c r="W941" s="19" t="n"/>
      <c r="X941" s="19" t="n"/>
      <c r="Y941" s="19" t="n"/>
      <c r="Z941" s="21">
        <f>IF(AND($A941="",$B941=""),"",IF(OR($E941="",$H941="",$H941="Proposed",$H941="Not Reported"),0,IF(AND($P941="Y",$Q941&lt;&gt;"Y"),0,IF(AND($K941="Point",N($L941)&lt;=0),0,IF(AND(N($L941)&lt;=0,N($N941)&lt;=0,N($R941)+N($S941)&lt;=0),0,1)))))</f>
        <v/>
      </c>
      <c r="AA941" s="21">
        <f>IF(AND($A941="",$B941=""),"",IF($E941="","Site type missing",IF($H941="","STATUS missing",IF($H941="Proposed","STATUS = Proposed",IF($H941="Not Reported","STATUS = Not Reported",IF(AND($P941="Y",$Q941&lt;&gt;"Y"),"UNESCO-MAB Biosphere Reserve",IF(AND($K941="Point",N($L941)&lt;=0),"Point without REP_AREA",IF(AND(N($L941)&lt;=0,N($N941)&lt;=0,N($R941)+N($S941)&lt;=0),"No area information",""))))))))</f>
        <v/>
      </c>
      <c r="AB941" s="22">
        <f>IF(AND($A941="",$B941=""),"",IF($K941="Point",N($L941),IF(N($N941)&gt;0,N($N941),N($L941))))</f>
        <v/>
      </c>
      <c r="AC941" s="22">
        <f>IF(AND($A941="",$B941=""),"",MIN(AB941,IF(N($J941)=0,0,IF(N($J941)=2,AB941,IF(AND($K941&lt;&gt;"Point",N($O941)&gt;0),N($O941),N($M941))))))</f>
        <v/>
      </c>
      <c r="AD941" s="22">
        <f>IF(AND($A941="",$B941=""),"",MAX(0,AB941-AC941))</f>
        <v/>
      </c>
      <c r="AE941" s="21">
        <f>IF(AND($A941="",$B941=""),"",IF(OR($R941&lt;&gt;"",$S941&lt;&gt;""),1,0))</f>
        <v/>
      </c>
      <c r="AF941" s="22">
        <f>IF(AND($A941="",$B941=""),"",IF(Z941=1,IF(AE941=1,N($R941),AD941),0))</f>
        <v/>
      </c>
      <c r="AG941" s="22">
        <f>IF(AND($A941="",$B941=""),"",IF(Z941=1,IF(AE941=1,N($S941),AC941),0))</f>
        <v/>
      </c>
      <c r="AH941" s="21">
        <f>IF(AND($A941="",$B941=""),"",IF(AND(ISNUMBER($I941),N($I941)&gt;0),$I941,0))</f>
        <v/>
      </c>
      <c r="AI941" s="23">
        <f>IF(AND(NOT(AND($A941="",$B941="")),$K941="Point",N($L941)&gt;0),SQRT(N($L941)/PI()),"")</f>
        <v/>
      </c>
      <c r="AJ941" s="21">
        <f>IF(AND($A941="",$B941=""),"",IFERROR(VLOOKUP($G941,Lists!$D$4:$E$15,2,FALSE),"Not reported"))</f>
        <v/>
      </c>
      <c r="AK941" s="21">
        <f>IF(AND($A941="",$B941=""),"",IF($X941&lt;&gt;"",$X941,IF($T941&lt;&gt;"Y","Not assessed",IF(AND(ISNUMBER($V941),Setup!$B$6-$V941&gt;Setup!$B$26),"Assessment outdated",IF(NOT(ISNUMBER($W941)),"Assessed – no score",IF($W941&gt;=Setup!$B$24,"High",IF($W941&gt;=Setup!$B$25,"Moderate","Low")))))))</f>
        <v/>
      </c>
      <c r="AL941" s="21">
        <f>IF(AND($A941="",$B941=""),"",IF(Z941=0,"",IF(AND(AE941=1,N($R941)&gt;AD941*1.01+0.001),"Net terrestrial &gt; gross; ","")&amp;IF(AND(AE941=1,N($S941)&gt;AC941*1.01+0.001),"Net marine &gt; gross; ","")&amp;IF(AE941=0,"No net area – gross used, overlaps may be double-counted; ","")&amp;IF(AH941=0,"STATUS_YR missing – imputed in time series; ","")&amp;IF(AND(ISNUMBER($I941),N($I941)&gt;Setup!$B$6),"STATUS_YR after reporting year; ","")&amp;IF(OR($G941="",$G941="Not Reported"),"GOV_TYPE not reported; ","")&amp;IF(AND(N($J941)=1,$K941="Point",N($M941)&lt;=0),"Coastal point without REP_M_AREA – land/sea split unknown; ","")&amp;IF(AND(N($J941)=0,N($S941)&gt;0),"MARINE=0 but net marine &gt;0; ","")&amp;IF(AND(N($J941)=2,N($R941)&gt;0),"MARINE=2 but net terrestrial &gt;0; ","")&amp;IF($K941="Point","Buffered point – coverage approximate; ","")))</f>
        <v/>
      </c>
    </row>
    <row r="942">
      <c r="A942" s="19" t="n"/>
      <c r="B942" s="19" t="n"/>
      <c r="C942" s="19" t="n"/>
      <c r="D942" s="19" t="n"/>
      <c r="E942" s="19" t="n"/>
      <c r="F942" s="19" t="n"/>
      <c r="G942" s="19" t="n"/>
      <c r="H942" s="19" t="n"/>
      <c r="I942" s="19" t="n"/>
      <c r="J942" s="19" t="n"/>
      <c r="K942" s="19" t="n"/>
      <c r="L942" s="20" t="n"/>
      <c r="M942" s="20" t="n"/>
      <c r="N942" s="20" t="n"/>
      <c r="O942" s="20" t="n"/>
      <c r="P942" s="19" t="n"/>
      <c r="Q942" s="19" t="n"/>
      <c r="R942" s="20" t="n"/>
      <c r="S942" s="20" t="n"/>
      <c r="T942" s="19" t="n"/>
      <c r="U942" s="19" t="n"/>
      <c r="V942" s="19" t="n"/>
      <c r="W942" s="19" t="n"/>
      <c r="X942" s="19" t="n"/>
      <c r="Y942" s="19" t="n"/>
      <c r="Z942" s="21">
        <f>IF(AND($A942="",$B942=""),"",IF(OR($E942="",$H942="",$H942="Proposed",$H942="Not Reported"),0,IF(AND($P942="Y",$Q942&lt;&gt;"Y"),0,IF(AND($K942="Point",N($L942)&lt;=0),0,IF(AND(N($L942)&lt;=0,N($N942)&lt;=0,N($R942)+N($S942)&lt;=0),0,1)))))</f>
        <v/>
      </c>
      <c r="AA942" s="21">
        <f>IF(AND($A942="",$B942=""),"",IF($E942="","Site type missing",IF($H942="","STATUS missing",IF($H942="Proposed","STATUS = Proposed",IF($H942="Not Reported","STATUS = Not Reported",IF(AND($P942="Y",$Q942&lt;&gt;"Y"),"UNESCO-MAB Biosphere Reserve",IF(AND($K942="Point",N($L942)&lt;=0),"Point without REP_AREA",IF(AND(N($L942)&lt;=0,N($N942)&lt;=0,N($R942)+N($S942)&lt;=0),"No area information",""))))))))</f>
        <v/>
      </c>
      <c r="AB942" s="22">
        <f>IF(AND($A942="",$B942=""),"",IF($K942="Point",N($L942),IF(N($N942)&gt;0,N($N942),N($L942))))</f>
        <v/>
      </c>
      <c r="AC942" s="22">
        <f>IF(AND($A942="",$B942=""),"",MIN(AB942,IF(N($J942)=0,0,IF(N($J942)=2,AB942,IF(AND($K942&lt;&gt;"Point",N($O942)&gt;0),N($O942),N($M942))))))</f>
        <v/>
      </c>
      <c r="AD942" s="22">
        <f>IF(AND($A942="",$B942=""),"",MAX(0,AB942-AC942))</f>
        <v/>
      </c>
      <c r="AE942" s="21">
        <f>IF(AND($A942="",$B942=""),"",IF(OR($R942&lt;&gt;"",$S942&lt;&gt;""),1,0))</f>
        <v/>
      </c>
      <c r="AF942" s="22">
        <f>IF(AND($A942="",$B942=""),"",IF(Z942=1,IF(AE942=1,N($R942),AD942),0))</f>
        <v/>
      </c>
      <c r="AG942" s="22">
        <f>IF(AND($A942="",$B942=""),"",IF(Z942=1,IF(AE942=1,N($S942),AC942),0))</f>
        <v/>
      </c>
      <c r="AH942" s="21">
        <f>IF(AND($A942="",$B942=""),"",IF(AND(ISNUMBER($I942),N($I942)&gt;0),$I942,0))</f>
        <v/>
      </c>
      <c r="AI942" s="23">
        <f>IF(AND(NOT(AND($A942="",$B942="")),$K942="Point",N($L942)&gt;0),SQRT(N($L942)/PI()),"")</f>
        <v/>
      </c>
      <c r="AJ942" s="21">
        <f>IF(AND($A942="",$B942=""),"",IFERROR(VLOOKUP($G942,Lists!$D$4:$E$15,2,FALSE),"Not reported"))</f>
        <v/>
      </c>
      <c r="AK942" s="21">
        <f>IF(AND($A942="",$B942=""),"",IF($X942&lt;&gt;"",$X942,IF($T942&lt;&gt;"Y","Not assessed",IF(AND(ISNUMBER($V942),Setup!$B$6-$V942&gt;Setup!$B$26),"Assessment outdated",IF(NOT(ISNUMBER($W942)),"Assessed – no score",IF($W942&gt;=Setup!$B$24,"High",IF($W942&gt;=Setup!$B$25,"Moderate","Low")))))))</f>
        <v/>
      </c>
      <c r="AL942" s="21">
        <f>IF(AND($A942="",$B942=""),"",IF(Z942=0,"",IF(AND(AE942=1,N($R942)&gt;AD942*1.01+0.001),"Net terrestrial &gt; gross; ","")&amp;IF(AND(AE942=1,N($S942)&gt;AC942*1.01+0.001),"Net marine &gt; gross; ","")&amp;IF(AE942=0,"No net area – gross used, overlaps may be double-counted; ","")&amp;IF(AH942=0,"STATUS_YR missing – imputed in time series; ","")&amp;IF(AND(ISNUMBER($I942),N($I942)&gt;Setup!$B$6),"STATUS_YR after reporting year; ","")&amp;IF(OR($G942="",$G942="Not Reported"),"GOV_TYPE not reported; ","")&amp;IF(AND(N($J942)=1,$K942="Point",N($M942)&lt;=0),"Coastal point without REP_M_AREA – land/sea split unknown; ","")&amp;IF(AND(N($J942)=0,N($S942)&gt;0),"MARINE=0 but net marine &gt;0; ","")&amp;IF(AND(N($J942)=2,N($R942)&gt;0),"MARINE=2 but net terrestrial &gt;0; ","")&amp;IF($K942="Point","Buffered point – coverage approximate; ","")))</f>
        <v/>
      </c>
    </row>
    <row r="943">
      <c r="A943" s="19" t="n"/>
      <c r="B943" s="19" t="n"/>
      <c r="C943" s="19" t="n"/>
      <c r="D943" s="19" t="n"/>
      <c r="E943" s="19" t="n"/>
      <c r="F943" s="19" t="n"/>
      <c r="G943" s="19" t="n"/>
      <c r="H943" s="19" t="n"/>
      <c r="I943" s="19" t="n"/>
      <c r="J943" s="19" t="n"/>
      <c r="K943" s="19" t="n"/>
      <c r="L943" s="20" t="n"/>
      <c r="M943" s="20" t="n"/>
      <c r="N943" s="20" t="n"/>
      <c r="O943" s="20" t="n"/>
      <c r="P943" s="19" t="n"/>
      <c r="Q943" s="19" t="n"/>
      <c r="R943" s="20" t="n"/>
      <c r="S943" s="20" t="n"/>
      <c r="T943" s="19" t="n"/>
      <c r="U943" s="19" t="n"/>
      <c r="V943" s="19" t="n"/>
      <c r="W943" s="19" t="n"/>
      <c r="X943" s="19" t="n"/>
      <c r="Y943" s="19" t="n"/>
      <c r="Z943" s="21">
        <f>IF(AND($A943="",$B943=""),"",IF(OR($E943="",$H943="",$H943="Proposed",$H943="Not Reported"),0,IF(AND($P943="Y",$Q943&lt;&gt;"Y"),0,IF(AND($K943="Point",N($L943)&lt;=0),0,IF(AND(N($L943)&lt;=0,N($N943)&lt;=0,N($R943)+N($S943)&lt;=0),0,1)))))</f>
        <v/>
      </c>
      <c r="AA943" s="21">
        <f>IF(AND($A943="",$B943=""),"",IF($E943="","Site type missing",IF($H943="","STATUS missing",IF($H943="Proposed","STATUS = Proposed",IF($H943="Not Reported","STATUS = Not Reported",IF(AND($P943="Y",$Q943&lt;&gt;"Y"),"UNESCO-MAB Biosphere Reserve",IF(AND($K943="Point",N($L943)&lt;=0),"Point without REP_AREA",IF(AND(N($L943)&lt;=0,N($N943)&lt;=0,N($R943)+N($S943)&lt;=0),"No area information",""))))))))</f>
        <v/>
      </c>
      <c r="AB943" s="22">
        <f>IF(AND($A943="",$B943=""),"",IF($K943="Point",N($L943),IF(N($N943)&gt;0,N($N943),N($L943))))</f>
        <v/>
      </c>
      <c r="AC943" s="22">
        <f>IF(AND($A943="",$B943=""),"",MIN(AB943,IF(N($J943)=0,0,IF(N($J943)=2,AB943,IF(AND($K943&lt;&gt;"Point",N($O943)&gt;0),N($O943),N($M943))))))</f>
        <v/>
      </c>
      <c r="AD943" s="22">
        <f>IF(AND($A943="",$B943=""),"",MAX(0,AB943-AC943))</f>
        <v/>
      </c>
      <c r="AE943" s="21">
        <f>IF(AND($A943="",$B943=""),"",IF(OR($R943&lt;&gt;"",$S943&lt;&gt;""),1,0))</f>
        <v/>
      </c>
      <c r="AF943" s="22">
        <f>IF(AND($A943="",$B943=""),"",IF(Z943=1,IF(AE943=1,N($R943),AD943),0))</f>
        <v/>
      </c>
      <c r="AG943" s="22">
        <f>IF(AND($A943="",$B943=""),"",IF(Z943=1,IF(AE943=1,N($S943),AC943),0))</f>
        <v/>
      </c>
      <c r="AH943" s="21">
        <f>IF(AND($A943="",$B943=""),"",IF(AND(ISNUMBER($I943),N($I943)&gt;0),$I943,0))</f>
        <v/>
      </c>
      <c r="AI943" s="23">
        <f>IF(AND(NOT(AND($A943="",$B943="")),$K943="Point",N($L943)&gt;0),SQRT(N($L943)/PI()),"")</f>
        <v/>
      </c>
      <c r="AJ943" s="21">
        <f>IF(AND($A943="",$B943=""),"",IFERROR(VLOOKUP($G943,Lists!$D$4:$E$15,2,FALSE),"Not reported"))</f>
        <v/>
      </c>
      <c r="AK943" s="21">
        <f>IF(AND($A943="",$B943=""),"",IF($X943&lt;&gt;"",$X943,IF($T943&lt;&gt;"Y","Not assessed",IF(AND(ISNUMBER($V943),Setup!$B$6-$V943&gt;Setup!$B$26),"Assessment outdated",IF(NOT(ISNUMBER($W943)),"Assessed – no score",IF($W943&gt;=Setup!$B$24,"High",IF($W943&gt;=Setup!$B$25,"Moderate","Low")))))))</f>
        <v/>
      </c>
      <c r="AL943" s="21">
        <f>IF(AND($A943="",$B943=""),"",IF(Z943=0,"",IF(AND(AE943=1,N($R943)&gt;AD943*1.01+0.001),"Net terrestrial &gt; gross; ","")&amp;IF(AND(AE943=1,N($S943)&gt;AC943*1.01+0.001),"Net marine &gt; gross; ","")&amp;IF(AE943=0,"No net area – gross used, overlaps may be double-counted; ","")&amp;IF(AH943=0,"STATUS_YR missing – imputed in time series; ","")&amp;IF(AND(ISNUMBER($I943),N($I943)&gt;Setup!$B$6),"STATUS_YR after reporting year; ","")&amp;IF(OR($G943="",$G943="Not Reported"),"GOV_TYPE not reported; ","")&amp;IF(AND(N($J943)=1,$K943="Point",N($M943)&lt;=0),"Coastal point without REP_M_AREA – land/sea split unknown; ","")&amp;IF(AND(N($J943)=0,N($S943)&gt;0),"MARINE=0 but net marine &gt;0; ","")&amp;IF(AND(N($J943)=2,N($R943)&gt;0),"MARINE=2 but net terrestrial &gt;0; ","")&amp;IF($K943="Point","Buffered point – coverage approximate; ","")))</f>
        <v/>
      </c>
    </row>
    <row r="944">
      <c r="A944" s="19" t="n"/>
      <c r="B944" s="19" t="n"/>
      <c r="C944" s="19" t="n"/>
      <c r="D944" s="19" t="n"/>
      <c r="E944" s="19" t="n"/>
      <c r="F944" s="19" t="n"/>
      <c r="G944" s="19" t="n"/>
      <c r="H944" s="19" t="n"/>
      <c r="I944" s="19" t="n"/>
      <c r="J944" s="19" t="n"/>
      <c r="K944" s="19" t="n"/>
      <c r="L944" s="20" t="n"/>
      <c r="M944" s="20" t="n"/>
      <c r="N944" s="20" t="n"/>
      <c r="O944" s="20" t="n"/>
      <c r="P944" s="19" t="n"/>
      <c r="Q944" s="19" t="n"/>
      <c r="R944" s="20" t="n"/>
      <c r="S944" s="20" t="n"/>
      <c r="T944" s="19" t="n"/>
      <c r="U944" s="19" t="n"/>
      <c r="V944" s="19" t="n"/>
      <c r="W944" s="19" t="n"/>
      <c r="X944" s="19" t="n"/>
      <c r="Y944" s="19" t="n"/>
      <c r="Z944" s="21">
        <f>IF(AND($A944="",$B944=""),"",IF(OR($E944="",$H944="",$H944="Proposed",$H944="Not Reported"),0,IF(AND($P944="Y",$Q944&lt;&gt;"Y"),0,IF(AND($K944="Point",N($L944)&lt;=0),0,IF(AND(N($L944)&lt;=0,N($N944)&lt;=0,N($R944)+N($S944)&lt;=0),0,1)))))</f>
        <v/>
      </c>
      <c r="AA944" s="21">
        <f>IF(AND($A944="",$B944=""),"",IF($E944="","Site type missing",IF($H944="","STATUS missing",IF($H944="Proposed","STATUS = Proposed",IF($H944="Not Reported","STATUS = Not Reported",IF(AND($P944="Y",$Q944&lt;&gt;"Y"),"UNESCO-MAB Biosphere Reserve",IF(AND($K944="Point",N($L944)&lt;=0),"Point without REP_AREA",IF(AND(N($L944)&lt;=0,N($N944)&lt;=0,N($R944)+N($S944)&lt;=0),"No area information",""))))))))</f>
        <v/>
      </c>
      <c r="AB944" s="22">
        <f>IF(AND($A944="",$B944=""),"",IF($K944="Point",N($L944),IF(N($N944)&gt;0,N($N944),N($L944))))</f>
        <v/>
      </c>
      <c r="AC944" s="22">
        <f>IF(AND($A944="",$B944=""),"",MIN(AB944,IF(N($J944)=0,0,IF(N($J944)=2,AB944,IF(AND($K944&lt;&gt;"Point",N($O944)&gt;0),N($O944),N($M944))))))</f>
        <v/>
      </c>
      <c r="AD944" s="22">
        <f>IF(AND($A944="",$B944=""),"",MAX(0,AB944-AC944))</f>
        <v/>
      </c>
      <c r="AE944" s="21">
        <f>IF(AND($A944="",$B944=""),"",IF(OR($R944&lt;&gt;"",$S944&lt;&gt;""),1,0))</f>
        <v/>
      </c>
      <c r="AF944" s="22">
        <f>IF(AND($A944="",$B944=""),"",IF(Z944=1,IF(AE944=1,N($R944),AD944),0))</f>
        <v/>
      </c>
      <c r="AG944" s="22">
        <f>IF(AND($A944="",$B944=""),"",IF(Z944=1,IF(AE944=1,N($S944),AC944),0))</f>
        <v/>
      </c>
      <c r="AH944" s="21">
        <f>IF(AND($A944="",$B944=""),"",IF(AND(ISNUMBER($I944),N($I944)&gt;0),$I944,0))</f>
        <v/>
      </c>
      <c r="AI944" s="23">
        <f>IF(AND(NOT(AND($A944="",$B944="")),$K944="Point",N($L944)&gt;0),SQRT(N($L944)/PI()),"")</f>
        <v/>
      </c>
      <c r="AJ944" s="21">
        <f>IF(AND($A944="",$B944=""),"",IFERROR(VLOOKUP($G944,Lists!$D$4:$E$15,2,FALSE),"Not reported"))</f>
        <v/>
      </c>
      <c r="AK944" s="21">
        <f>IF(AND($A944="",$B944=""),"",IF($X944&lt;&gt;"",$X944,IF($T944&lt;&gt;"Y","Not assessed",IF(AND(ISNUMBER($V944),Setup!$B$6-$V944&gt;Setup!$B$26),"Assessment outdated",IF(NOT(ISNUMBER($W944)),"Assessed – no score",IF($W944&gt;=Setup!$B$24,"High",IF($W944&gt;=Setup!$B$25,"Moderate","Low")))))))</f>
        <v/>
      </c>
      <c r="AL944" s="21">
        <f>IF(AND($A944="",$B944=""),"",IF(Z944=0,"",IF(AND(AE944=1,N($R944)&gt;AD944*1.01+0.001),"Net terrestrial &gt; gross; ","")&amp;IF(AND(AE944=1,N($S944)&gt;AC944*1.01+0.001),"Net marine &gt; gross; ","")&amp;IF(AE944=0,"No net area – gross used, overlaps may be double-counted; ","")&amp;IF(AH944=0,"STATUS_YR missing – imputed in time series; ","")&amp;IF(AND(ISNUMBER($I944),N($I944)&gt;Setup!$B$6),"STATUS_YR after reporting year; ","")&amp;IF(OR($G944="",$G944="Not Reported"),"GOV_TYPE not reported; ","")&amp;IF(AND(N($J944)=1,$K944="Point",N($M944)&lt;=0),"Coastal point without REP_M_AREA – land/sea split unknown; ","")&amp;IF(AND(N($J944)=0,N($S944)&gt;0),"MARINE=0 but net marine &gt;0; ","")&amp;IF(AND(N($J944)=2,N($R944)&gt;0),"MARINE=2 but net terrestrial &gt;0; ","")&amp;IF($K944="Point","Buffered point – coverage approximate; ","")))</f>
        <v/>
      </c>
    </row>
    <row r="945">
      <c r="A945" s="19" t="n"/>
      <c r="B945" s="19" t="n"/>
      <c r="C945" s="19" t="n"/>
      <c r="D945" s="19" t="n"/>
      <c r="E945" s="19" t="n"/>
      <c r="F945" s="19" t="n"/>
      <c r="G945" s="19" t="n"/>
      <c r="H945" s="19" t="n"/>
      <c r="I945" s="19" t="n"/>
      <c r="J945" s="19" t="n"/>
      <c r="K945" s="19" t="n"/>
      <c r="L945" s="20" t="n"/>
      <c r="M945" s="20" t="n"/>
      <c r="N945" s="20" t="n"/>
      <c r="O945" s="20" t="n"/>
      <c r="P945" s="19" t="n"/>
      <c r="Q945" s="19" t="n"/>
      <c r="R945" s="20" t="n"/>
      <c r="S945" s="20" t="n"/>
      <c r="T945" s="19" t="n"/>
      <c r="U945" s="19" t="n"/>
      <c r="V945" s="19" t="n"/>
      <c r="W945" s="19" t="n"/>
      <c r="X945" s="19" t="n"/>
      <c r="Y945" s="19" t="n"/>
      <c r="Z945" s="21">
        <f>IF(AND($A945="",$B945=""),"",IF(OR($E945="",$H945="",$H945="Proposed",$H945="Not Reported"),0,IF(AND($P945="Y",$Q945&lt;&gt;"Y"),0,IF(AND($K945="Point",N($L945)&lt;=0),0,IF(AND(N($L945)&lt;=0,N($N945)&lt;=0,N($R945)+N($S945)&lt;=0),0,1)))))</f>
        <v/>
      </c>
      <c r="AA945" s="21">
        <f>IF(AND($A945="",$B945=""),"",IF($E945="","Site type missing",IF($H945="","STATUS missing",IF($H945="Proposed","STATUS = Proposed",IF($H945="Not Reported","STATUS = Not Reported",IF(AND($P945="Y",$Q945&lt;&gt;"Y"),"UNESCO-MAB Biosphere Reserve",IF(AND($K945="Point",N($L945)&lt;=0),"Point without REP_AREA",IF(AND(N($L945)&lt;=0,N($N945)&lt;=0,N($R945)+N($S945)&lt;=0),"No area information",""))))))))</f>
        <v/>
      </c>
      <c r="AB945" s="22">
        <f>IF(AND($A945="",$B945=""),"",IF($K945="Point",N($L945),IF(N($N945)&gt;0,N($N945),N($L945))))</f>
        <v/>
      </c>
      <c r="AC945" s="22">
        <f>IF(AND($A945="",$B945=""),"",MIN(AB945,IF(N($J945)=0,0,IF(N($J945)=2,AB945,IF(AND($K945&lt;&gt;"Point",N($O945)&gt;0),N($O945),N($M945))))))</f>
        <v/>
      </c>
      <c r="AD945" s="22">
        <f>IF(AND($A945="",$B945=""),"",MAX(0,AB945-AC945))</f>
        <v/>
      </c>
      <c r="AE945" s="21">
        <f>IF(AND($A945="",$B945=""),"",IF(OR($R945&lt;&gt;"",$S945&lt;&gt;""),1,0))</f>
        <v/>
      </c>
      <c r="AF945" s="22">
        <f>IF(AND($A945="",$B945=""),"",IF(Z945=1,IF(AE945=1,N($R945),AD945),0))</f>
        <v/>
      </c>
      <c r="AG945" s="22">
        <f>IF(AND($A945="",$B945=""),"",IF(Z945=1,IF(AE945=1,N($S945),AC945),0))</f>
        <v/>
      </c>
      <c r="AH945" s="21">
        <f>IF(AND($A945="",$B945=""),"",IF(AND(ISNUMBER($I945),N($I945)&gt;0),$I945,0))</f>
        <v/>
      </c>
      <c r="AI945" s="23">
        <f>IF(AND(NOT(AND($A945="",$B945="")),$K945="Point",N($L945)&gt;0),SQRT(N($L945)/PI()),"")</f>
        <v/>
      </c>
      <c r="AJ945" s="21">
        <f>IF(AND($A945="",$B945=""),"",IFERROR(VLOOKUP($G945,Lists!$D$4:$E$15,2,FALSE),"Not reported"))</f>
        <v/>
      </c>
      <c r="AK945" s="21">
        <f>IF(AND($A945="",$B945=""),"",IF($X945&lt;&gt;"",$X945,IF($T945&lt;&gt;"Y","Not assessed",IF(AND(ISNUMBER($V945),Setup!$B$6-$V945&gt;Setup!$B$26),"Assessment outdated",IF(NOT(ISNUMBER($W945)),"Assessed – no score",IF($W945&gt;=Setup!$B$24,"High",IF($W945&gt;=Setup!$B$25,"Moderate","Low")))))))</f>
        <v/>
      </c>
      <c r="AL945" s="21">
        <f>IF(AND($A945="",$B945=""),"",IF(Z945=0,"",IF(AND(AE945=1,N($R945)&gt;AD945*1.01+0.001),"Net terrestrial &gt; gross; ","")&amp;IF(AND(AE945=1,N($S945)&gt;AC945*1.01+0.001),"Net marine &gt; gross; ","")&amp;IF(AE945=0,"No net area – gross used, overlaps may be double-counted; ","")&amp;IF(AH945=0,"STATUS_YR missing – imputed in time series; ","")&amp;IF(AND(ISNUMBER($I945),N($I945)&gt;Setup!$B$6),"STATUS_YR after reporting year; ","")&amp;IF(OR($G945="",$G945="Not Reported"),"GOV_TYPE not reported; ","")&amp;IF(AND(N($J945)=1,$K945="Point",N($M945)&lt;=0),"Coastal point without REP_M_AREA – land/sea split unknown; ","")&amp;IF(AND(N($J945)=0,N($S945)&gt;0),"MARINE=0 but net marine &gt;0; ","")&amp;IF(AND(N($J945)=2,N($R945)&gt;0),"MARINE=2 but net terrestrial &gt;0; ","")&amp;IF($K945="Point","Buffered point – coverage approximate; ","")))</f>
        <v/>
      </c>
    </row>
    <row r="946">
      <c r="A946" s="19" t="n"/>
      <c r="B946" s="19" t="n"/>
      <c r="C946" s="19" t="n"/>
      <c r="D946" s="19" t="n"/>
      <c r="E946" s="19" t="n"/>
      <c r="F946" s="19" t="n"/>
      <c r="G946" s="19" t="n"/>
      <c r="H946" s="19" t="n"/>
      <c r="I946" s="19" t="n"/>
      <c r="J946" s="19" t="n"/>
      <c r="K946" s="19" t="n"/>
      <c r="L946" s="20" t="n"/>
      <c r="M946" s="20" t="n"/>
      <c r="N946" s="20" t="n"/>
      <c r="O946" s="20" t="n"/>
      <c r="P946" s="19" t="n"/>
      <c r="Q946" s="19" t="n"/>
      <c r="R946" s="20" t="n"/>
      <c r="S946" s="20" t="n"/>
      <c r="T946" s="19" t="n"/>
      <c r="U946" s="19" t="n"/>
      <c r="V946" s="19" t="n"/>
      <c r="W946" s="19" t="n"/>
      <c r="X946" s="19" t="n"/>
      <c r="Y946" s="19" t="n"/>
      <c r="Z946" s="21">
        <f>IF(AND($A946="",$B946=""),"",IF(OR($E946="",$H946="",$H946="Proposed",$H946="Not Reported"),0,IF(AND($P946="Y",$Q946&lt;&gt;"Y"),0,IF(AND($K946="Point",N($L946)&lt;=0),0,IF(AND(N($L946)&lt;=0,N($N946)&lt;=0,N($R946)+N($S946)&lt;=0),0,1)))))</f>
        <v/>
      </c>
      <c r="AA946" s="21">
        <f>IF(AND($A946="",$B946=""),"",IF($E946="","Site type missing",IF($H946="","STATUS missing",IF($H946="Proposed","STATUS = Proposed",IF($H946="Not Reported","STATUS = Not Reported",IF(AND($P946="Y",$Q946&lt;&gt;"Y"),"UNESCO-MAB Biosphere Reserve",IF(AND($K946="Point",N($L946)&lt;=0),"Point without REP_AREA",IF(AND(N($L946)&lt;=0,N($N946)&lt;=0,N($R946)+N($S946)&lt;=0),"No area information",""))))))))</f>
        <v/>
      </c>
      <c r="AB946" s="22">
        <f>IF(AND($A946="",$B946=""),"",IF($K946="Point",N($L946),IF(N($N946)&gt;0,N($N946),N($L946))))</f>
        <v/>
      </c>
      <c r="AC946" s="22">
        <f>IF(AND($A946="",$B946=""),"",MIN(AB946,IF(N($J946)=0,0,IF(N($J946)=2,AB946,IF(AND($K946&lt;&gt;"Point",N($O946)&gt;0),N($O946),N($M946))))))</f>
        <v/>
      </c>
      <c r="AD946" s="22">
        <f>IF(AND($A946="",$B946=""),"",MAX(0,AB946-AC946))</f>
        <v/>
      </c>
      <c r="AE946" s="21">
        <f>IF(AND($A946="",$B946=""),"",IF(OR($R946&lt;&gt;"",$S946&lt;&gt;""),1,0))</f>
        <v/>
      </c>
      <c r="AF946" s="22">
        <f>IF(AND($A946="",$B946=""),"",IF(Z946=1,IF(AE946=1,N($R946),AD946),0))</f>
        <v/>
      </c>
      <c r="AG946" s="22">
        <f>IF(AND($A946="",$B946=""),"",IF(Z946=1,IF(AE946=1,N($S946),AC946),0))</f>
        <v/>
      </c>
      <c r="AH946" s="21">
        <f>IF(AND($A946="",$B946=""),"",IF(AND(ISNUMBER($I946),N($I946)&gt;0),$I946,0))</f>
        <v/>
      </c>
      <c r="AI946" s="23">
        <f>IF(AND(NOT(AND($A946="",$B946="")),$K946="Point",N($L946)&gt;0),SQRT(N($L946)/PI()),"")</f>
        <v/>
      </c>
      <c r="AJ946" s="21">
        <f>IF(AND($A946="",$B946=""),"",IFERROR(VLOOKUP($G946,Lists!$D$4:$E$15,2,FALSE),"Not reported"))</f>
        <v/>
      </c>
      <c r="AK946" s="21">
        <f>IF(AND($A946="",$B946=""),"",IF($X946&lt;&gt;"",$X946,IF($T946&lt;&gt;"Y","Not assessed",IF(AND(ISNUMBER($V946),Setup!$B$6-$V946&gt;Setup!$B$26),"Assessment outdated",IF(NOT(ISNUMBER($W946)),"Assessed – no score",IF($W946&gt;=Setup!$B$24,"High",IF($W946&gt;=Setup!$B$25,"Moderate","Low")))))))</f>
        <v/>
      </c>
      <c r="AL946" s="21">
        <f>IF(AND($A946="",$B946=""),"",IF(Z946=0,"",IF(AND(AE946=1,N($R946)&gt;AD946*1.01+0.001),"Net terrestrial &gt; gross; ","")&amp;IF(AND(AE946=1,N($S946)&gt;AC946*1.01+0.001),"Net marine &gt; gross; ","")&amp;IF(AE946=0,"No net area – gross used, overlaps may be double-counted; ","")&amp;IF(AH946=0,"STATUS_YR missing – imputed in time series; ","")&amp;IF(AND(ISNUMBER($I946),N($I946)&gt;Setup!$B$6),"STATUS_YR after reporting year; ","")&amp;IF(OR($G946="",$G946="Not Reported"),"GOV_TYPE not reported; ","")&amp;IF(AND(N($J946)=1,$K946="Point",N($M946)&lt;=0),"Coastal point without REP_M_AREA – land/sea split unknown; ","")&amp;IF(AND(N($J946)=0,N($S946)&gt;0),"MARINE=0 but net marine &gt;0; ","")&amp;IF(AND(N($J946)=2,N($R946)&gt;0),"MARINE=2 but net terrestrial &gt;0; ","")&amp;IF($K946="Point","Buffered point – coverage approximate; ","")))</f>
        <v/>
      </c>
    </row>
    <row r="947">
      <c r="A947" s="19" t="n"/>
      <c r="B947" s="19" t="n"/>
      <c r="C947" s="19" t="n"/>
      <c r="D947" s="19" t="n"/>
      <c r="E947" s="19" t="n"/>
      <c r="F947" s="19" t="n"/>
      <c r="G947" s="19" t="n"/>
      <c r="H947" s="19" t="n"/>
      <c r="I947" s="19" t="n"/>
      <c r="J947" s="19" t="n"/>
      <c r="K947" s="19" t="n"/>
      <c r="L947" s="20" t="n"/>
      <c r="M947" s="20" t="n"/>
      <c r="N947" s="20" t="n"/>
      <c r="O947" s="20" t="n"/>
      <c r="P947" s="19" t="n"/>
      <c r="Q947" s="19" t="n"/>
      <c r="R947" s="20" t="n"/>
      <c r="S947" s="20" t="n"/>
      <c r="T947" s="19" t="n"/>
      <c r="U947" s="19" t="n"/>
      <c r="V947" s="19" t="n"/>
      <c r="W947" s="19" t="n"/>
      <c r="X947" s="19" t="n"/>
      <c r="Y947" s="19" t="n"/>
      <c r="Z947" s="21">
        <f>IF(AND($A947="",$B947=""),"",IF(OR($E947="",$H947="",$H947="Proposed",$H947="Not Reported"),0,IF(AND($P947="Y",$Q947&lt;&gt;"Y"),0,IF(AND($K947="Point",N($L947)&lt;=0),0,IF(AND(N($L947)&lt;=0,N($N947)&lt;=0,N($R947)+N($S947)&lt;=0),0,1)))))</f>
        <v/>
      </c>
      <c r="AA947" s="21">
        <f>IF(AND($A947="",$B947=""),"",IF($E947="","Site type missing",IF($H947="","STATUS missing",IF($H947="Proposed","STATUS = Proposed",IF($H947="Not Reported","STATUS = Not Reported",IF(AND($P947="Y",$Q947&lt;&gt;"Y"),"UNESCO-MAB Biosphere Reserve",IF(AND($K947="Point",N($L947)&lt;=0),"Point without REP_AREA",IF(AND(N($L947)&lt;=0,N($N947)&lt;=0,N($R947)+N($S947)&lt;=0),"No area information",""))))))))</f>
        <v/>
      </c>
      <c r="AB947" s="22">
        <f>IF(AND($A947="",$B947=""),"",IF($K947="Point",N($L947),IF(N($N947)&gt;0,N($N947),N($L947))))</f>
        <v/>
      </c>
      <c r="AC947" s="22">
        <f>IF(AND($A947="",$B947=""),"",MIN(AB947,IF(N($J947)=0,0,IF(N($J947)=2,AB947,IF(AND($K947&lt;&gt;"Point",N($O947)&gt;0),N($O947),N($M947))))))</f>
        <v/>
      </c>
      <c r="AD947" s="22">
        <f>IF(AND($A947="",$B947=""),"",MAX(0,AB947-AC947))</f>
        <v/>
      </c>
      <c r="AE947" s="21">
        <f>IF(AND($A947="",$B947=""),"",IF(OR($R947&lt;&gt;"",$S947&lt;&gt;""),1,0))</f>
        <v/>
      </c>
      <c r="AF947" s="22">
        <f>IF(AND($A947="",$B947=""),"",IF(Z947=1,IF(AE947=1,N($R947),AD947),0))</f>
        <v/>
      </c>
      <c r="AG947" s="22">
        <f>IF(AND($A947="",$B947=""),"",IF(Z947=1,IF(AE947=1,N($S947),AC947),0))</f>
        <v/>
      </c>
      <c r="AH947" s="21">
        <f>IF(AND($A947="",$B947=""),"",IF(AND(ISNUMBER($I947),N($I947)&gt;0),$I947,0))</f>
        <v/>
      </c>
      <c r="AI947" s="23">
        <f>IF(AND(NOT(AND($A947="",$B947="")),$K947="Point",N($L947)&gt;0),SQRT(N($L947)/PI()),"")</f>
        <v/>
      </c>
      <c r="AJ947" s="21">
        <f>IF(AND($A947="",$B947=""),"",IFERROR(VLOOKUP($G947,Lists!$D$4:$E$15,2,FALSE),"Not reported"))</f>
        <v/>
      </c>
      <c r="AK947" s="21">
        <f>IF(AND($A947="",$B947=""),"",IF($X947&lt;&gt;"",$X947,IF($T947&lt;&gt;"Y","Not assessed",IF(AND(ISNUMBER($V947),Setup!$B$6-$V947&gt;Setup!$B$26),"Assessment outdated",IF(NOT(ISNUMBER($W947)),"Assessed – no score",IF($W947&gt;=Setup!$B$24,"High",IF($W947&gt;=Setup!$B$25,"Moderate","Low")))))))</f>
        <v/>
      </c>
      <c r="AL947" s="21">
        <f>IF(AND($A947="",$B947=""),"",IF(Z947=0,"",IF(AND(AE947=1,N($R947)&gt;AD947*1.01+0.001),"Net terrestrial &gt; gross; ","")&amp;IF(AND(AE947=1,N($S947)&gt;AC947*1.01+0.001),"Net marine &gt; gross; ","")&amp;IF(AE947=0,"No net area – gross used, overlaps may be double-counted; ","")&amp;IF(AH947=0,"STATUS_YR missing – imputed in time series; ","")&amp;IF(AND(ISNUMBER($I947),N($I947)&gt;Setup!$B$6),"STATUS_YR after reporting year; ","")&amp;IF(OR($G947="",$G947="Not Reported"),"GOV_TYPE not reported; ","")&amp;IF(AND(N($J947)=1,$K947="Point",N($M947)&lt;=0),"Coastal point without REP_M_AREA – land/sea split unknown; ","")&amp;IF(AND(N($J947)=0,N($S947)&gt;0),"MARINE=0 but net marine &gt;0; ","")&amp;IF(AND(N($J947)=2,N($R947)&gt;0),"MARINE=2 but net terrestrial &gt;0; ","")&amp;IF($K947="Point","Buffered point – coverage approximate; ","")))</f>
        <v/>
      </c>
    </row>
    <row r="948">
      <c r="A948" s="19" t="n"/>
      <c r="B948" s="19" t="n"/>
      <c r="C948" s="19" t="n"/>
      <c r="D948" s="19" t="n"/>
      <c r="E948" s="19" t="n"/>
      <c r="F948" s="19" t="n"/>
      <c r="G948" s="19" t="n"/>
      <c r="H948" s="19" t="n"/>
      <c r="I948" s="19" t="n"/>
      <c r="J948" s="19" t="n"/>
      <c r="K948" s="19" t="n"/>
      <c r="L948" s="20" t="n"/>
      <c r="M948" s="20" t="n"/>
      <c r="N948" s="20" t="n"/>
      <c r="O948" s="20" t="n"/>
      <c r="P948" s="19" t="n"/>
      <c r="Q948" s="19" t="n"/>
      <c r="R948" s="20" t="n"/>
      <c r="S948" s="20" t="n"/>
      <c r="T948" s="19" t="n"/>
      <c r="U948" s="19" t="n"/>
      <c r="V948" s="19" t="n"/>
      <c r="W948" s="19" t="n"/>
      <c r="X948" s="19" t="n"/>
      <c r="Y948" s="19" t="n"/>
      <c r="Z948" s="21">
        <f>IF(AND($A948="",$B948=""),"",IF(OR($E948="",$H948="",$H948="Proposed",$H948="Not Reported"),0,IF(AND($P948="Y",$Q948&lt;&gt;"Y"),0,IF(AND($K948="Point",N($L948)&lt;=0),0,IF(AND(N($L948)&lt;=0,N($N948)&lt;=0,N($R948)+N($S948)&lt;=0),0,1)))))</f>
        <v/>
      </c>
      <c r="AA948" s="21">
        <f>IF(AND($A948="",$B948=""),"",IF($E948="","Site type missing",IF($H948="","STATUS missing",IF($H948="Proposed","STATUS = Proposed",IF($H948="Not Reported","STATUS = Not Reported",IF(AND($P948="Y",$Q948&lt;&gt;"Y"),"UNESCO-MAB Biosphere Reserve",IF(AND($K948="Point",N($L948)&lt;=0),"Point without REP_AREA",IF(AND(N($L948)&lt;=0,N($N948)&lt;=0,N($R948)+N($S948)&lt;=0),"No area information",""))))))))</f>
        <v/>
      </c>
      <c r="AB948" s="22">
        <f>IF(AND($A948="",$B948=""),"",IF($K948="Point",N($L948),IF(N($N948)&gt;0,N($N948),N($L948))))</f>
        <v/>
      </c>
      <c r="AC948" s="22">
        <f>IF(AND($A948="",$B948=""),"",MIN(AB948,IF(N($J948)=0,0,IF(N($J948)=2,AB948,IF(AND($K948&lt;&gt;"Point",N($O948)&gt;0),N($O948),N($M948))))))</f>
        <v/>
      </c>
      <c r="AD948" s="22">
        <f>IF(AND($A948="",$B948=""),"",MAX(0,AB948-AC948))</f>
        <v/>
      </c>
      <c r="AE948" s="21">
        <f>IF(AND($A948="",$B948=""),"",IF(OR($R948&lt;&gt;"",$S948&lt;&gt;""),1,0))</f>
        <v/>
      </c>
      <c r="AF948" s="22">
        <f>IF(AND($A948="",$B948=""),"",IF(Z948=1,IF(AE948=1,N($R948),AD948),0))</f>
        <v/>
      </c>
      <c r="AG948" s="22">
        <f>IF(AND($A948="",$B948=""),"",IF(Z948=1,IF(AE948=1,N($S948),AC948),0))</f>
        <v/>
      </c>
      <c r="AH948" s="21">
        <f>IF(AND($A948="",$B948=""),"",IF(AND(ISNUMBER($I948),N($I948)&gt;0),$I948,0))</f>
        <v/>
      </c>
      <c r="AI948" s="23">
        <f>IF(AND(NOT(AND($A948="",$B948="")),$K948="Point",N($L948)&gt;0),SQRT(N($L948)/PI()),"")</f>
        <v/>
      </c>
      <c r="AJ948" s="21">
        <f>IF(AND($A948="",$B948=""),"",IFERROR(VLOOKUP($G948,Lists!$D$4:$E$15,2,FALSE),"Not reported"))</f>
        <v/>
      </c>
      <c r="AK948" s="21">
        <f>IF(AND($A948="",$B948=""),"",IF($X948&lt;&gt;"",$X948,IF($T948&lt;&gt;"Y","Not assessed",IF(AND(ISNUMBER($V948),Setup!$B$6-$V948&gt;Setup!$B$26),"Assessment outdated",IF(NOT(ISNUMBER($W948)),"Assessed – no score",IF($W948&gt;=Setup!$B$24,"High",IF($W948&gt;=Setup!$B$25,"Moderate","Low")))))))</f>
        <v/>
      </c>
      <c r="AL948" s="21">
        <f>IF(AND($A948="",$B948=""),"",IF(Z948=0,"",IF(AND(AE948=1,N($R948)&gt;AD948*1.01+0.001),"Net terrestrial &gt; gross; ","")&amp;IF(AND(AE948=1,N($S948)&gt;AC948*1.01+0.001),"Net marine &gt; gross; ","")&amp;IF(AE948=0,"No net area – gross used, overlaps may be double-counted; ","")&amp;IF(AH948=0,"STATUS_YR missing – imputed in time series; ","")&amp;IF(AND(ISNUMBER($I948),N($I948)&gt;Setup!$B$6),"STATUS_YR after reporting year; ","")&amp;IF(OR($G948="",$G948="Not Reported"),"GOV_TYPE not reported; ","")&amp;IF(AND(N($J948)=1,$K948="Point",N($M948)&lt;=0),"Coastal point without REP_M_AREA – land/sea split unknown; ","")&amp;IF(AND(N($J948)=0,N($S948)&gt;0),"MARINE=0 but net marine &gt;0; ","")&amp;IF(AND(N($J948)=2,N($R948)&gt;0),"MARINE=2 but net terrestrial &gt;0; ","")&amp;IF($K948="Point","Buffered point – coverage approximate; ","")))</f>
        <v/>
      </c>
    </row>
    <row r="949">
      <c r="A949" s="19" t="n"/>
      <c r="B949" s="19" t="n"/>
      <c r="C949" s="19" t="n"/>
      <c r="D949" s="19" t="n"/>
      <c r="E949" s="19" t="n"/>
      <c r="F949" s="19" t="n"/>
      <c r="G949" s="19" t="n"/>
      <c r="H949" s="19" t="n"/>
      <c r="I949" s="19" t="n"/>
      <c r="J949" s="19" t="n"/>
      <c r="K949" s="19" t="n"/>
      <c r="L949" s="20" t="n"/>
      <c r="M949" s="20" t="n"/>
      <c r="N949" s="20" t="n"/>
      <c r="O949" s="20" t="n"/>
      <c r="P949" s="19" t="n"/>
      <c r="Q949" s="19" t="n"/>
      <c r="R949" s="20" t="n"/>
      <c r="S949" s="20" t="n"/>
      <c r="T949" s="19" t="n"/>
      <c r="U949" s="19" t="n"/>
      <c r="V949" s="19" t="n"/>
      <c r="W949" s="19" t="n"/>
      <c r="X949" s="19" t="n"/>
      <c r="Y949" s="19" t="n"/>
      <c r="Z949" s="21">
        <f>IF(AND($A949="",$B949=""),"",IF(OR($E949="",$H949="",$H949="Proposed",$H949="Not Reported"),0,IF(AND($P949="Y",$Q949&lt;&gt;"Y"),0,IF(AND($K949="Point",N($L949)&lt;=0),0,IF(AND(N($L949)&lt;=0,N($N949)&lt;=0,N($R949)+N($S949)&lt;=0),0,1)))))</f>
        <v/>
      </c>
      <c r="AA949" s="21">
        <f>IF(AND($A949="",$B949=""),"",IF($E949="","Site type missing",IF($H949="","STATUS missing",IF($H949="Proposed","STATUS = Proposed",IF($H949="Not Reported","STATUS = Not Reported",IF(AND($P949="Y",$Q949&lt;&gt;"Y"),"UNESCO-MAB Biosphere Reserve",IF(AND($K949="Point",N($L949)&lt;=0),"Point without REP_AREA",IF(AND(N($L949)&lt;=0,N($N949)&lt;=0,N($R949)+N($S949)&lt;=0),"No area information",""))))))))</f>
        <v/>
      </c>
      <c r="AB949" s="22">
        <f>IF(AND($A949="",$B949=""),"",IF($K949="Point",N($L949),IF(N($N949)&gt;0,N($N949),N($L949))))</f>
        <v/>
      </c>
      <c r="AC949" s="22">
        <f>IF(AND($A949="",$B949=""),"",MIN(AB949,IF(N($J949)=0,0,IF(N($J949)=2,AB949,IF(AND($K949&lt;&gt;"Point",N($O949)&gt;0),N($O949),N($M949))))))</f>
        <v/>
      </c>
      <c r="AD949" s="22">
        <f>IF(AND($A949="",$B949=""),"",MAX(0,AB949-AC949))</f>
        <v/>
      </c>
      <c r="AE949" s="21">
        <f>IF(AND($A949="",$B949=""),"",IF(OR($R949&lt;&gt;"",$S949&lt;&gt;""),1,0))</f>
        <v/>
      </c>
      <c r="AF949" s="22">
        <f>IF(AND($A949="",$B949=""),"",IF(Z949=1,IF(AE949=1,N($R949),AD949),0))</f>
        <v/>
      </c>
      <c r="AG949" s="22">
        <f>IF(AND($A949="",$B949=""),"",IF(Z949=1,IF(AE949=1,N($S949),AC949),0))</f>
        <v/>
      </c>
      <c r="AH949" s="21">
        <f>IF(AND($A949="",$B949=""),"",IF(AND(ISNUMBER($I949),N($I949)&gt;0),$I949,0))</f>
        <v/>
      </c>
      <c r="AI949" s="23">
        <f>IF(AND(NOT(AND($A949="",$B949="")),$K949="Point",N($L949)&gt;0),SQRT(N($L949)/PI()),"")</f>
        <v/>
      </c>
      <c r="AJ949" s="21">
        <f>IF(AND($A949="",$B949=""),"",IFERROR(VLOOKUP($G949,Lists!$D$4:$E$15,2,FALSE),"Not reported"))</f>
        <v/>
      </c>
      <c r="AK949" s="21">
        <f>IF(AND($A949="",$B949=""),"",IF($X949&lt;&gt;"",$X949,IF($T949&lt;&gt;"Y","Not assessed",IF(AND(ISNUMBER($V949),Setup!$B$6-$V949&gt;Setup!$B$26),"Assessment outdated",IF(NOT(ISNUMBER($W949)),"Assessed – no score",IF($W949&gt;=Setup!$B$24,"High",IF($W949&gt;=Setup!$B$25,"Moderate","Low")))))))</f>
        <v/>
      </c>
      <c r="AL949" s="21">
        <f>IF(AND($A949="",$B949=""),"",IF(Z949=0,"",IF(AND(AE949=1,N($R949)&gt;AD949*1.01+0.001),"Net terrestrial &gt; gross; ","")&amp;IF(AND(AE949=1,N($S949)&gt;AC949*1.01+0.001),"Net marine &gt; gross; ","")&amp;IF(AE949=0,"No net area – gross used, overlaps may be double-counted; ","")&amp;IF(AH949=0,"STATUS_YR missing – imputed in time series; ","")&amp;IF(AND(ISNUMBER($I949),N($I949)&gt;Setup!$B$6),"STATUS_YR after reporting year; ","")&amp;IF(OR($G949="",$G949="Not Reported"),"GOV_TYPE not reported; ","")&amp;IF(AND(N($J949)=1,$K949="Point",N($M949)&lt;=0),"Coastal point without REP_M_AREA – land/sea split unknown; ","")&amp;IF(AND(N($J949)=0,N($S949)&gt;0),"MARINE=0 but net marine &gt;0; ","")&amp;IF(AND(N($J949)=2,N($R949)&gt;0),"MARINE=2 but net terrestrial &gt;0; ","")&amp;IF($K949="Point","Buffered point – coverage approximate; ","")))</f>
        <v/>
      </c>
    </row>
    <row r="950">
      <c r="A950" s="19" t="n"/>
      <c r="B950" s="19" t="n"/>
      <c r="C950" s="19" t="n"/>
      <c r="D950" s="19" t="n"/>
      <c r="E950" s="19" t="n"/>
      <c r="F950" s="19" t="n"/>
      <c r="G950" s="19" t="n"/>
      <c r="H950" s="19" t="n"/>
      <c r="I950" s="19" t="n"/>
      <c r="J950" s="19" t="n"/>
      <c r="K950" s="19" t="n"/>
      <c r="L950" s="20" t="n"/>
      <c r="M950" s="20" t="n"/>
      <c r="N950" s="20" t="n"/>
      <c r="O950" s="20" t="n"/>
      <c r="P950" s="19" t="n"/>
      <c r="Q950" s="19" t="n"/>
      <c r="R950" s="20" t="n"/>
      <c r="S950" s="20" t="n"/>
      <c r="T950" s="19" t="n"/>
      <c r="U950" s="19" t="n"/>
      <c r="V950" s="19" t="n"/>
      <c r="W950" s="19" t="n"/>
      <c r="X950" s="19" t="n"/>
      <c r="Y950" s="19" t="n"/>
      <c r="Z950" s="21">
        <f>IF(AND($A950="",$B950=""),"",IF(OR($E950="",$H950="",$H950="Proposed",$H950="Not Reported"),0,IF(AND($P950="Y",$Q950&lt;&gt;"Y"),0,IF(AND($K950="Point",N($L950)&lt;=0),0,IF(AND(N($L950)&lt;=0,N($N950)&lt;=0,N($R950)+N($S950)&lt;=0),0,1)))))</f>
        <v/>
      </c>
      <c r="AA950" s="21">
        <f>IF(AND($A950="",$B950=""),"",IF($E950="","Site type missing",IF($H950="","STATUS missing",IF($H950="Proposed","STATUS = Proposed",IF($H950="Not Reported","STATUS = Not Reported",IF(AND($P950="Y",$Q950&lt;&gt;"Y"),"UNESCO-MAB Biosphere Reserve",IF(AND($K950="Point",N($L950)&lt;=0),"Point without REP_AREA",IF(AND(N($L950)&lt;=0,N($N950)&lt;=0,N($R950)+N($S950)&lt;=0),"No area information",""))))))))</f>
        <v/>
      </c>
      <c r="AB950" s="22">
        <f>IF(AND($A950="",$B950=""),"",IF($K950="Point",N($L950),IF(N($N950)&gt;0,N($N950),N($L950))))</f>
        <v/>
      </c>
      <c r="AC950" s="22">
        <f>IF(AND($A950="",$B950=""),"",MIN(AB950,IF(N($J950)=0,0,IF(N($J950)=2,AB950,IF(AND($K950&lt;&gt;"Point",N($O950)&gt;0),N($O950),N($M950))))))</f>
        <v/>
      </c>
      <c r="AD950" s="22">
        <f>IF(AND($A950="",$B950=""),"",MAX(0,AB950-AC950))</f>
        <v/>
      </c>
      <c r="AE950" s="21">
        <f>IF(AND($A950="",$B950=""),"",IF(OR($R950&lt;&gt;"",$S950&lt;&gt;""),1,0))</f>
        <v/>
      </c>
      <c r="AF950" s="22">
        <f>IF(AND($A950="",$B950=""),"",IF(Z950=1,IF(AE950=1,N($R950),AD950),0))</f>
        <v/>
      </c>
      <c r="AG950" s="22">
        <f>IF(AND($A950="",$B950=""),"",IF(Z950=1,IF(AE950=1,N($S950),AC950),0))</f>
        <v/>
      </c>
      <c r="AH950" s="21">
        <f>IF(AND($A950="",$B950=""),"",IF(AND(ISNUMBER($I950),N($I950)&gt;0),$I950,0))</f>
        <v/>
      </c>
      <c r="AI950" s="23">
        <f>IF(AND(NOT(AND($A950="",$B950="")),$K950="Point",N($L950)&gt;0),SQRT(N($L950)/PI()),"")</f>
        <v/>
      </c>
      <c r="AJ950" s="21">
        <f>IF(AND($A950="",$B950=""),"",IFERROR(VLOOKUP($G950,Lists!$D$4:$E$15,2,FALSE),"Not reported"))</f>
        <v/>
      </c>
      <c r="AK950" s="21">
        <f>IF(AND($A950="",$B950=""),"",IF($X950&lt;&gt;"",$X950,IF($T950&lt;&gt;"Y","Not assessed",IF(AND(ISNUMBER($V950),Setup!$B$6-$V950&gt;Setup!$B$26),"Assessment outdated",IF(NOT(ISNUMBER($W950)),"Assessed – no score",IF($W950&gt;=Setup!$B$24,"High",IF($W950&gt;=Setup!$B$25,"Moderate","Low")))))))</f>
        <v/>
      </c>
      <c r="AL950" s="21">
        <f>IF(AND($A950="",$B950=""),"",IF(Z950=0,"",IF(AND(AE950=1,N($R950)&gt;AD950*1.01+0.001),"Net terrestrial &gt; gross; ","")&amp;IF(AND(AE950=1,N($S950)&gt;AC950*1.01+0.001),"Net marine &gt; gross; ","")&amp;IF(AE950=0,"No net area – gross used, overlaps may be double-counted; ","")&amp;IF(AH950=0,"STATUS_YR missing – imputed in time series; ","")&amp;IF(AND(ISNUMBER($I950),N($I950)&gt;Setup!$B$6),"STATUS_YR after reporting year; ","")&amp;IF(OR($G950="",$G950="Not Reported"),"GOV_TYPE not reported; ","")&amp;IF(AND(N($J950)=1,$K950="Point",N($M950)&lt;=0),"Coastal point without REP_M_AREA – land/sea split unknown; ","")&amp;IF(AND(N($J950)=0,N($S950)&gt;0),"MARINE=0 but net marine &gt;0; ","")&amp;IF(AND(N($J950)=2,N($R950)&gt;0),"MARINE=2 but net terrestrial &gt;0; ","")&amp;IF($K950="Point","Buffered point – coverage approximate; ","")))</f>
        <v/>
      </c>
    </row>
    <row r="951">
      <c r="A951" s="19" t="n"/>
      <c r="B951" s="19" t="n"/>
      <c r="C951" s="19" t="n"/>
      <c r="D951" s="19" t="n"/>
      <c r="E951" s="19" t="n"/>
      <c r="F951" s="19" t="n"/>
      <c r="G951" s="19" t="n"/>
      <c r="H951" s="19" t="n"/>
      <c r="I951" s="19" t="n"/>
      <c r="J951" s="19" t="n"/>
      <c r="K951" s="19" t="n"/>
      <c r="L951" s="20" t="n"/>
      <c r="M951" s="20" t="n"/>
      <c r="N951" s="20" t="n"/>
      <c r="O951" s="20" t="n"/>
      <c r="P951" s="19" t="n"/>
      <c r="Q951" s="19" t="n"/>
      <c r="R951" s="20" t="n"/>
      <c r="S951" s="20" t="n"/>
      <c r="T951" s="19" t="n"/>
      <c r="U951" s="19" t="n"/>
      <c r="V951" s="19" t="n"/>
      <c r="W951" s="19" t="n"/>
      <c r="X951" s="19" t="n"/>
      <c r="Y951" s="19" t="n"/>
      <c r="Z951" s="21">
        <f>IF(AND($A951="",$B951=""),"",IF(OR($E951="",$H951="",$H951="Proposed",$H951="Not Reported"),0,IF(AND($P951="Y",$Q951&lt;&gt;"Y"),0,IF(AND($K951="Point",N($L951)&lt;=0),0,IF(AND(N($L951)&lt;=0,N($N951)&lt;=0,N($R951)+N($S951)&lt;=0),0,1)))))</f>
        <v/>
      </c>
      <c r="AA951" s="21">
        <f>IF(AND($A951="",$B951=""),"",IF($E951="","Site type missing",IF($H951="","STATUS missing",IF($H951="Proposed","STATUS = Proposed",IF($H951="Not Reported","STATUS = Not Reported",IF(AND($P951="Y",$Q951&lt;&gt;"Y"),"UNESCO-MAB Biosphere Reserve",IF(AND($K951="Point",N($L951)&lt;=0),"Point without REP_AREA",IF(AND(N($L951)&lt;=0,N($N951)&lt;=0,N($R951)+N($S951)&lt;=0),"No area information",""))))))))</f>
        <v/>
      </c>
      <c r="AB951" s="22">
        <f>IF(AND($A951="",$B951=""),"",IF($K951="Point",N($L951),IF(N($N951)&gt;0,N($N951),N($L951))))</f>
        <v/>
      </c>
      <c r="AC951" s="22">
        <f>IF(AND($A951="",$B951=""),"",MIN(AB951,IF(N($J951)=0,0,IF(N($J951)=2,AB951,IF(AND($K951&lt;&gt;"Point",N($O951)&gt;0),N($O951),N($M951))))))</f>
        <v/>
      </c>
      <c r="AD951" s="22">
        <f>IF(AND($A951="",$B951=""),"",MAX(0,AB951-AC951))</f>
        <v/>
      </c>
      <c r="AE951" s="21">
        <f>IF(AND($A951="",$B951=""),"",IF(OR($R951&lt;&gt;"",$S951&lt;&gt;""),1,0))</f>
        <v/>
      </c>
      <c r="AF951" s="22">
        <f>IF(AND($A951="",$B951=""),"",IF(Z951=1,IF(AE951=1,N($R951),AD951),0))</f>
        <v/>
      </c>
      <c r="AG951" s="22">
        <f>IF(AND($A951="",$B951=""),"",IF(Z951=1,IF(AE951=1,N($S951),AC951),0))</f>
        <v/>
      </c>
      <c r="AH951" s="21">
        <f>IF(AND($A951="",$B951=""),"",IF(AND(ISNUMBER($I951),N($I951)&gt;0),$I951,0))</f>
        <v/>
      </c>
      <c r="AI951" s="23">
        <f>IF(AND(NOT(AND($A951="",$B951="")),$K951="Point",N($L951)&gt;0),SQRT(N($L951)/PI()),"")</f>
        <v/>
      </c>
      <c r="AJ951" s="21">
        <f>IF(AND($A951="",$B951=""),"",IFERROR(VLOOKUP($G951,Lists!$D$4:$E$15,2,FALSE),"Not reported"))</f>
        <v/>
      </c>
      <c r="AK951" s="21">
        <f>IF(AND($A951="",$B951=""),"",IF($X951&lt;&gt;"",$X951,IF($T951&lt;&gt;"Y","Not assessed",IF(AND(ISNUMBER($V951),Setup!$B$6-$V951&gt;Setup!$B$26),"Assessment outdated",IF(NOT(ISNUMBER($W951)),"Assessed – no score",IF($W951&gt;=Setup!$B$24,"High",IF($W951&gt;=Setup!$B$25,"Moderate","Low")))))))</f>
        <v/>
      </c>
      <c r="AL951" s="21">
        <f>IF(AND($A951="",$B951=""),"",IF(Z951=0,"",IF(AND(AE951=1,N($R951)&gt;AD951*1.01+0.001),"Net terrestrial &gt; gross; ","")&amp;IF(AND(AE951=1,N($S951)&gt;AC951*1.01+0.001),"Net marine &gt; gross; ","")&amp;IF(AE951=0,"No net area – gross used, overlaps may be double-counted; ","")&amp;IF(AH951=0,"STATUS_YR missing – imputed in time series; ","")&amp;IF(AND(ISNUMBER($I951),N($I951)&gt;Setup!$B$6),"STATUS_YR after reporting year; ","")&amp;IF(OR($G951="",$G951="Not Reported"),"GOV_TYPE not reported; ","")&amp;IF(AND(N($J951)=1,$K951="Point",N($M951)&lt;=0),"Coastal point without REP_M_AREA – land/sea split unknown; ","")&amp;IF(AND(N($J951)=0,N($S951)&gt;0),"MARINE=0 but net marine &gt;0; ","")&amp;IF(AND(N($J951)=2,N($R951)&gt;0),"MARINE=2 but net terrestrial &gt;0; ","")&amp;IF($K951="Point","Buffered point – coverage approximate; ","")))</f>
        <v/>
      </c>
    </row>
    <row r="952">
      <c r="A952" s="19" t="n"/>
      <c r="B952" s="19" t="n"/>
      <c r="C952" s="19" t="n"/>
      <c r="D952" s="19" t="n"/>
      <c r="E952" s="19" t="n"/>
      <c r="F952" s="19" t="n"/>
      <c r="G952" s="19" t="n"/>
      <c r="H952" s="19" t="n"/>
      <c r="I952" s="19" t="n"/>
      <c r="J952" s="19" t="n"/>
      <c r="K952" s="19" t="n"/>
      <c r="L952" s="20" t="n"/>
      <c r="M952" s="20" t="n"/>
      <c r="N952" s="20" t="n"/>
      <c r="O952" s="20" t="n"/>
      <c r="P952" s="19" t="n"/>
      <c r="Q952" s="19" t="n"/>
      <c r="R952" s="20" t="n"/>
      <c r="S952" s="20" t="n"/>
      <c r="T952" s="19" t="n"/>
      <c r="U952" s="19" t="n"/>
      <c r="V952" s="19" t="n"/>
      <c r="W952" s="19" t="n"/>
      <c r="X952" s="19" t="n"/>
      <c r="Y952" s="19" t="n"/>
      <c r="Z952" s="21">
        <f>IF(AND($A952="",$B952=""),"",IF(OR($E952="",$H952="",$H952="Proposed",$H952="Not Reported"),0,IF(AND($P952="Y",$Q952&lt;&gt;"Y"),0,IF(AND($K952="Point",N($L952)&lt;=0),0,IF(AND(N($L952)&lt;=0,N($N952)&lt;=0,N($R952)+N($S952)&lt;=0),0,1)))))</f>
        <v/>
      </c>
      <c r="AA952" s="21">
        <f>IF(AND($A952="",$B952=""),"",IF($E952="","Site type missing",IF($H952="","STATUS missing",IF($H952="Proposed","STATUS = Proposed",IF($H952="Not Reported","STATUS = Not Reported",IF(AND($P952="Y",$Q952&lt;&gt;"Y"),"UNESCO-MAB Biosphere Reserve",IF(AND($K952="Point",N($L952)&lt;=0),"Point without REP_AREA",IF(AND(N($L952)&lt;=0,N($N952)&lt;=0,N($R952)+N($S952)&lt;=0),"No area information",""))))))))</f>
        <v/>
      </c>
      <c r="AB952" s="22">
        <f>IF(AND($A952="",$B952=""),"",IF($K952="Point",N($L952),IF(N($N952)&gt;0,N($N952),N($L952))))</f>
        <v/>
      </c>
      <c r="AC952" s="22">
        <f>IF(AND($A952="",$B952=""),"",MIN(AB952,IF(N($J952)=0,0,IF(N($J952)=2,AB952,IF(AND($K952&lt;&gt;"Point",N($O952)&gt;0),N($O952),N($M952))))))</f>
        <v/>
      </c>
      <c r="AD952" s="22">
        <f>IF(AND($A952="",$B952=""),"",MAX(0,AB952-AC952))</f>
        <v/>
      </c>
      <c r="AE952" s="21">
        <f>IF(AND($A952="",$B952=""),"",IF(OR($R952&lt;&gt;"",$S952&lt;&gt;""),1,0))</f>
        <v/>
      </c>
      <c r="AF952" s="22">
        <f>IF(AND($A952="",$B952=""),"",IF(Z952=1,IF(AE952=1,N($R952),AD952),0))</f>
        <v/>
      </c>
      <c r="AG952" s="22">
        <f>IF(AND($A952="",$B952=""),"",IF(Z952=1,IF(AE952=1,N($S952),AC952),0))</f>
        <v/>
      </c>
      <c r="AH952" s="21">
        <f>IF(AND($A952="",$B952=""),"",IF(AND(ISNUMBER($I952),N($I952)&gt;0),$I952,0))</f>
        <v/>
      </c>
      <c r="AI952" s="23">
        <f>IF(AND(NOT(AND($A952="",$B952="")),$K952="Point",N($L952)&gt;0),SQRT(N($L952)/PI()),"")</f>
        <v/>
      </c>
      <c r="AJ952" s="21">
        <f>IF(AND($A952="",$B952=""),"",IFERROR(VLOOKUP($G952,Lists!$D$4:$E$15,2,FALSE),"Not reported"))</f>
        <v/>
      </c>
      <c r="AK952" s="21">
        <f>IF(AND($A952="",$B952=""),"",IF($X952&lt;&gt;"",$X952,IF($T952&lt;&gt;"Y","Not assessed",IF(AND(ISNUMBER($V952),Setup!$B$6-$V952&gt;Setup!$B$26),"Assessment outdated",IF(NOT(ISNUMBER($W952)),"Assessed – no score",IF($W952&gt;=Setup!$B$24,"High",IF($W952&gt;=Setup!$B$25,"Moderate","Low")))))))</f>
        <v/>
      </c>
      <c r="AL952" s="21">
        <f>IF(AND($A952="",$B952=""),"",IF(Z952=0,"",IF(AND(AE952=1,N($R952)&gt;AD952*1.01+0.001),"Net terrestrial &gt; gross; ","")&amp;IF(AND(AE952=1,N($S952)&gt;AC952*1.01+0.001),"Net marine &gt; gross; ","")&amp;IF(AE952=0,"No net area – gross used, overlaps may be double-counted; ","")&amp;IF(AH952=0,"STATUS_YR missing – imputed in time series; ","")&amp;IF(AND(ISNUMBER($I952),N($I952)&gt;Setup!$B$6),"STATUS_YR after reporting year; ","")&amp;IF(OR($G952="",$G952="Not Reported"),"GOV_TYPE not reported; ","")&amp;IF(AND(N($J952)=1,$K952="Point",N($M952)&lt;=0),"Coastal point without REP_M_AREA – land/sea split unknown; ","")&amp;IF(AND(N($J952)=0,N($S952)&gt;0),"MARINE=0 but net marine &gt;0; ","")&amp;IF(AND(N($J952)=2,N($R952)&gt;0),"MARINE=2 but net terrestrial &gt;0; ","")&amp;IF($K952="Point","Buffered point – coverage approximate; ","")))</f>
        <v/>
      </c>
    </row>
    <row r="953">
      <c r="A953" s="19" t="n"/>
      <c r="B953" s="19" t="n"/>
      <c r="C953" s="19" t="n"/>
      <c r="D953" s="19" t="n"/>
      <c r="E953" s="19" t="n"/>
      <c r="F953" s="19" t="n"/>
      <c r="G953" s="19" t="n"/>
      <c r="H953" s="19" t="n"/>
      <c r="I953" s="19" t="n"/>
      <c r="J953" s="19" t="n"/>
      <c r="K953" s="19" t="n"/>
      <c r="L953" s="20" t="n"/>
      <c r="M953" s="20" t="n"/>
      <c r="N953" s="20" t="n"/>
      <c r="O953" s="20" t="n"/>
      <c r="P953" s="19" t="n"/>
      <c r="Q953" s="19" t="n"/>
      <c r="R953" s="20" t="n"/>
      <c r="S953" s="20" t="n"/>
      <c r="T953" s="19" t="n"/>
      <c r="U953" s="19" t="n"/>
      <c r="V953" s="19" t="n"/>
      <c r="W953" s="19" t="n"/>
      <c r="X953" s="19" t="n"/>
      <c r="Y953" s="19" t="n"/>
      <c r="Z953" s="21">
        <f>IF(AND($A953="",$B953=""),"",IF(OR($E953="",$H953="",$H953="Proposed",$H953="Not Reported"),0,IF(AND($P953="Y",$Q953&lt;&gt;"Y"),0,IF(AND($K953="Point",N($L953)&lt;=0),0,IF(AND(N($L953)&lt;=0,N($N953)&lt;=0,N($R953)+N($S953)&lt;=0),0,1)))))</f>
        <v/>
      </c>
      <c r="AA953" s="21">
        <f>IF(AND($A953="",$B953=""),"",IF($E953="","Site type missing",IF($H953="","STATUS missing",IF($H953="Proposed","STATUS = Proposed",IF($H953="Not Reported","STATUS = Not Reported",IF(AND($P953="Y",$Q953&lt;&gt;"Y"),"UNESCO-MAB Biosphere Reserve",IF(AND($K953="Point",N($L953)&lt;=0),"Point without REP_AREA",IF(AND(N($L953)&lt;=0,N($N953)&lt;=0,N($R953)+N($S953)&lt;=0),"No area information",""))))))))</f>
        <v/>
      </c>
      <c r="AB953" s="22">
        <f>IF(AND($A953="",$B953=""),"",IF($K953="Point",N($L953),IF(N($N953)&gt;0,N($N953),N($L953))))</f>
        <v/>
      </c>
      <c r="AC953" s="22">
        <f>IF(AND($A953="",$B953=""),"",MIN(AB953,IF(N($J953)=0,0,IF(N($J953)=2,AB953,IF(AND($K953&lt;&gt;"Point",N($O953)&gt;0),N($O953),N($M953))))))</f>
        <v/>
      </c>
      <c r="AD953" s="22">
        <f>IF(AND($A953="",$B953=""),"",MAX(0,AB953-AC953))</f>
        <v/>
      </c>
      <c r="AE953" s="21">
        <f>IF(AND($A953="",$B953=""),"",IF(OR($R953&lt;&gt;"",$S953&lt;&gt;""),1,0))</f>
        <v/>
      </c>
      <c r="AF953" s="22">
        <f>IF(AND($A953="",$B953=""),"",IF(Z953=1,IF(AE953=1,N($R953),AD953),0))</f>
        <v/>
      </c>
      <c r="AG953" s="22">
        <f>IF(AND($A953="",$B953=""),"",IF(Z953=1,IF(AE953=1,N($S953),AC953),0))</f>
        <v/>
      </c>
      <c r="AH953" s="21">
        <f>IF(AND($A953="",$B953=""),"",IF(AND(ISNUMBER($I953),N($I953)&gt;0),$I953,0))</f>
        <v/>
      </c>
      <c r="AI953" s="23">
        <f>IF(AND(NOT(AND($A953="",$B953="")),$K953="Point",N($L953)&gt;0),SQRT(N($L953)/PI()),"")</f>
        <v/>
      </c>
      <c r="AJ953" s="21">
        <f>IF(AND($A953="",$B953=""),"",IFERROR(VLOOKUP($G953,Lists!$D$4:$E$15,2,FALSE),"Not reported"))</f>
        <v/>
      </c>
      <c r="AK953" s="21">
        <f>IF(AND($A953="",$B953=""),"",IF($X953&lt;&gt;"",$X953,IF($T953&lt;&gt;"Y","Not assessed",IF(AND(ISNUMBER($V953),Setup!$B$6-$V953&gt;Setup!$B$26),"Assessment outdated",IF(NOT(ISNUMBER($W953)),"Assessed – no score",IF($W953&gt;=Setup!$B$24,"High",IF($W953&gt;=Setup!$B$25,"Moderate","Low")))))))</f>
        <v/>
      </c>
      <c r="AL953" s="21">
        <f>IF(AND($A953="",$B953=""),"",IF(Z953=0,"",IF(AND(AE953=1,N($R953)&gt;AD953*1.01+0.001),"Net terrestrial &gt; gross; ","")&amp;IF(AND(AE953=1,N($S953)&gt;AC953*1.01+0.001),"Net marine &gt; gross; ","")&amp;IF(AE953=0,"No net area – gross used, overlaps may be double-counted; ","")&amp;IF(AH953=0,"STATUS_YR missing – imputed in time series; ","")&amp;IF(AND(ISNUMBER($I953),N($I953)&gt;Setup!$B$6),"STATUS_YR after reporting year; ","")&amp;IF(OR($G953="",$G953="Not Reported"),"GOV_TYPE not reported; ","")&amp;IF(AND(N($J953)=1,$K953="Point",N($M953)&lt;=0),"Coastal point without REP_M_AREA – land/sea split unknown; ","")&amp;IF(AND(N($J953)=0,N($S953)&gt;0),"MARINE=0 but net marine &gt;0; ","")&amp;IF(AND(N($J953)=2,N($R953)&gt;0),"MARINE=2 but net terrestrial &gt;0; ","")&amp;IF($K953="Point","Buffered point – coverage approximate; ","")))</f>
        <v/>
      </c>
    </row>
    <row r="954">
      <c r="A954" s="19" t="n"/>
      <c r="B954" s="19" t="n"/>
      <c r="C954" s="19" t="n"/>
      <c r="D954" s="19" t="n"/>
      <c r="E954" s="19" t="n"/>
      <c r="F954" s="19" t="n"/>
      <c r="G954" s="19" t="n"/>
      <c r="H954" s="19" t="n"/>
      <c r="I954" s="19" t="n"/>
      <c r="J954" s="19" t="n"/>
      <c r="K954" s="19" t="n"/>
      <c r="L954" s="20" t="n"/>
      <c r="M954" s="20" t="n"/>
      <c r="N954" s="20" t="n"/>
      <c r="O954" s="20" t="n"/>
      <c r="P954" s="19" t="n"/>
      <c r="Q954" s="19" t="n"/>
      <c r="R954" s="20" t="n"/>
      <c r="S954" s="20" t="n"/>
      <c r="T954" s="19" t="n"/>
      <c r="U954" s="19" t="n"/>
      <c r="V954" s="19" t="n"/>
      <c r="W954" s="19" t="n"/>
      <c r="X954" s="19" t="n"/>
      <c r="Y954" s="19" t="n"/>
      <c r="Z954" s="21">
        <f>IF(AND($A954="",$B954=""),"",IF(OR($E954="",$H954="",$H954="Proposed",$H954="Not Reported"),0,IF(AND($P954="Y",$Q954&lt;&gt;"Y"),0,IF(AND($K954="Point",N($L954)&lt;=0),0,IF(AND(N($L954)&lt;=0,N($N954)&lt;=0,N($R954)+N($S954)&lt;=0),0,1)))))</f>
        <v/>
      </c>
      <c r="AA954" s="21">
        <f>IF(AND($A954="",$B954=""),"",IF($E954="","Site type missing",IF($H954="","STATUS missing",IF($H954="Proposed","STATUS = Proposed",IF($H954="Not Reported","STATUS = Not Reported",IF(AND($P954="Y",$Q954&lt;&gt;"Y"),"UNESCO-MAB Biosphere Reserve",IF(AND($K954="Point",N($L954)&lt;=0),"Point without REP_AREA",IF(AND(N($L954)&lt;=0,N($N954)&lt;=0,N($R954)+N($S954)&lt;=0),"No area information",""))))))))</f>
        <v/>
      </c>
      <c r="AB954" s="22">
        <f>IF(AND($A954="",$B954=""),"",IF($K954="Point",N($L954),IF(N($N954)&gt;0,N($N954),N($L954))))</f>
        <v/>
      </c>
      <c r="AC954" s="22">
        <f>IF(AND($A954="",$B954=""),"",MIN(AB954,IF(N($J954)=0,0,IF(N($J954)=2,AB954,IF(AND($K954&lt;&gt;"Point",N($O954)&gt;0),N($O954),N($M954))))))</f>
        <v/>
      </c>
      <c r="AD954" s="22">
        <f>IF(AND($A954="",$B954=""),"",MAX(0,AB954-AC954))</f>
        <v/>
      </c>
      <c r="AE954" s="21">
        <f>IF(AND($A954="",$B954=""),"",IF(OR($R954&lt;&gt;"",$S954&lt;&gt;""),1,0))</f>
        <v/>
      </c>
      <c r="AF954" s="22">
        <f>IF(AND($A954="",$B954=""),"",IF(Z954=1,IF(AE954=1,N($R954),AD954),0))</f>
        <v/>
      </c>
      <c r="AG954" s="22">
        <f>IF(AND($A954="",$B954=""),"",IF(Z954=1,IF(AE954=1,N($S954),AC954),0))</f>
        <v/>
      </c>
      <c r="AH954" s="21">
        <f>IF(AND($A954="",$B954=""),"",IF(AND(ISNUMBER($I954),N($I954)&gt;0),$I954,0))</f>
        <v/>
      </c>
      <c r="AI954" s="23">
        <f>IF(AND(NOT(AND($A954="",$B954="")),$K954="Point",N($L954)&gt;0),SQRT(N($L954)/PI()),"")</f>
        <v/>
      </c>
      <c r="AJ954" s="21">
        <f>IF(AND($A954="",$B954=""),"",IFERROR(VLOOKUP($G954,Lists!$D$4:$E$15,2,FALSE),"Not reported"))</f>
        <v/>
      </c>
      <c r="AK954" s="21">
        <f>IF(AND($A954="",$B954=""),"",IF($X954&lt;&gt;"",$X954,IF($T954&lt;&gt;"Y","Not assessed",IF(AND(ISNUMBER($V954),Setup!$B$6-$V954&gt;Setup!$B$26),"Assessment outdated",IF(NOT(ISNUMBER($W954)),"Assessed – no score",IF($W954&gt;=Setup!$B$24,"High",IF($W954&gt;=Setup!$B$25,"Moderate","Low")))))))</f>
        <v/>
      </c>
      <c r="AL954" s="21">
        <f>IF(AND($A954="",$B954=""),"",IF(Z954=0,"",IF(AND(AE954=1,N($R954)&gt;AD954*1.01+0.001),"Net terrestrial &gt; gross; ","")&amp;IF(AND(AE954=1,N($S954)&gt;AC954*1.01+0.001),"Net marine &gt; gross; ","")&amp;IF(AE954=0,"No net area – gross used, overlaps may be double-counted; ","")&amp;IF(AH954=0,"STATUS_YR missing – imputed in time series; ","")&amp;IF(AND(ISNUMBER($I954),N($I954)&gt;Setup!$B$6),"STATUS_YR after reporting year; ","")&amp;IF(OR($G954="",$G954="Not Reported"),"GOV_TYPE not reported; ","")&amp;IF(AND(N($J954)=1,$K954="Point",N($M954)&lt;=0),"Coastal point without REP_M_AREA – land/sea split unknown; ","")&amp;IF(AND(N($J954)=0,N($S954)&gt;0),"MARINE=0 but net marine &gt;0; ","")&amp;IF(AND(N($J954)=2,N($R954)&gt;0),"MARINE=2 but net terrestrial &gt;0; ","")&amp;IF($K954="Point","Buffered point – coverage approximate; ","")))</f>
        <v/>
      </c>
    </row>
    <row r="955">
      <c r="A955" s="19" t="n"/>
      <c r="B955" s="19" t="n"/>
      <c r="C955" s="19" t="n"/>
      <c r="D955" s="19" t="n"/>
      <c r="E955" s="19" t="n"/>
      <c r="F955" s="19" t="n"/>
      <c r="G955" s="19" t="n"/>
      <c r="H955" s="19" t="n"/>
      <c r="I955" s="19" t="n"/>
      <c r="J955" s="19" t="n"/>
      <c r="K955" s="19" t="n"/>
      <c r="L955" s="20" t="n"/>
      <c r="M955" s="20" t="n"/>
      <c r="N955" s="20" t="n"/>
      <c r="O955" s="20" t="n"/>
      <c r="P955" s="19" t="n"/>
      <c r="Q955" s="19" t="n"/>
      <c r="R955" s="20" t="n"/>
      <c r="S955" s="20" t="n"/>
      <c r="T955" s="19" t="n"/>
      <c r="U955" s="19" t="n"/>
      <c r="V955" s="19" t="n"/>
      <c r="W955" s="19" t="n"/>
      <c r="X955" s="19" t="n"/>
      <c r="Y955" s="19" t="n"/>
      <c r="Z955" s="21">
        <f>IF(AND($A955="",$B955=""),"",IF(OR($E955="",$H955="",$H955="Proposed",$H955="Not Reported"),0,IF(AND($P955="Y",$Q955&lt;&gt;"Y"),0,IF(AND($K955="Point",N($L955)&lt;=0),0,IF(AND(N($L955)&lt;=0,N($N955)&lt;=0,N($R955)+N($S955)&lt;=0),0,1)))))</f>
        <v/>
      </c>
      <c r="AA955" s="21">
        <f>IF(AND($A955="",$B955=""),"",IF($E955="","Site type missing",IF($H955="","STATUS missing",IF($H955="Proposed","STATUS = Proposed",IF($H955="Not Reported","STATUS = Not Reported",IF(AND($P955="Y",$Q955&lt;&gt;"Y"),"UNESCO-MAB Biosphere Reserve",IF(AND($K955="Point",N($L955)&lt;=0),"Point without REP_AREA",IF(AND(N($L955)&lt;=0,N($N955)&lt;=0,N($R955)+N($S955)&lt;=0),"No area information",""))))))))</f>
        <v/>
      </c>
      <c r="AB955" s="22">
        <f>IF(AND($A955="",$B955=""),"",IF($K955="Point",N($L955),IF(N($N955)&gt;0,N($N955),N($L955))))</f>
        <v/>
      </c>
      <c r="AC955" s="22">
        <f>IF(AND($A955="",$B955=""),"",MIN(AB955,IF(N($J955)=0,0,IF(N($J955)=2,AB955,IF(AND($K955&lt;&gt;"Point",N($O955)&gt;0),N($O955),N($M955))))))</f>
        <v/>
      </c>
      <c r="AD955" s="22">
        <f>IF(AND($A955="",$B955=""),"",MAX(0,AB955-AC955))</f>
        <v/>
      </c>
      <c r="AE955" s="21">
        <f>IF(AND($A955="",$B955=""),"",IF(OR($R955&lt;&gt;"",$S955&lt;&gt;""),1,0))</f>
        <v/>
      </c>
      <c r="AF955" s="22">
        <f>IF(AND($A955="",$B955=""),"",IF(Z955=1,IF(AE955=1,N($R955),AD955),0))</f>
        <v/>
      </c>
      <c r="AG955" s="22">
        <f>IF(AND($A955="",$B955=""),"",IF(Z955=1,IF(AE955=1,N($S955),AC955),0))</f>
        <v/>
      </c>
      <c r="AH955" s="21">
        <f>IF(AND($A955="",$B955=""),"",IF(AND(ISNUMBER($I955),N($I955)&gt;0),$I955,0))</f>
        <v/>
      </c>
      <c r="AI955" s="23">
        <f>IF(AND(NOT(AND($A955="",$B955="")),$K955="Point",N($L955)&gt;0),SQRT(N($L955)/PI()),"")</f>
        <v/>
      </c>
      <c r="AJ955" s="21">
        <f>IF(AND($A955="",$B955=""),"",IFERROR(VLOOKUP($G955,Lists!$D$4:$E$15,2,FALSE),"Not reported"))</f>
        <v/>
      </c>
      <c r="AK955" s="21">
        <f>IF(AND($A955="",$B955=""),"",IF($X955&lt;&gt;"",$X955,IF($T955&lt;&gt;"Y","Not assessed",IF(AND(ISNUMBER($V955),Setup!$B$6-$V955&gt;Setup!$B$26),"Assessment outdated",IF(NOT(ISNUMBER($W955)),"Assessed – no score",IF($W955&gt;=Setup!$B$24,"High",IF($W955&gt;=Setup!$B$25,"Moderate","Low")))))))</f>
        <v/>
      </c>
      <c r="AL955" s="21">
        <f>IF(AND($A955="",$B955=""),"",IF(Z955=0,"",IF(AND(AE955=1,N($R955)&gt;AD955*1.01+0.001),"Net terrestrial &gt; gross; ","")&amp;IF(AND(AE955=1,N($S955)&gt;AC955*1.01+0.001),"Net marine &gt; gross; ","")&amp;IF(AE955=0,"No net area – gross used, overlaps may be double-counted; ","")&amp;IF(AH955=0,"STATUS_YR missing – imputed in time series; ","")&amp;IF(AND(ISNUMBER($I955),N($I955)&gt;Setup!$B$6),"STATUS_YR after reporting year; ","")&amp;IF(OR($G955="",$G955="Not Reported"),"GOV_TYPE not reported; ","")&amp;IF(AND(N($J955)=1,$K955="Point",N($M955)&lt;=0),"Coastal point without REP_M_AREA – land/sea split unknown; ","")&amp;IF(AND(N($J955)=0,N($S955)&gt;0),"MARINE=0 but net marine &gt;0; ","")&amp;IF(AND(N($J955)=2,N($R955)&gt;0),"MARINE=2 but net terrestrial &gt;0; ","")&amp;IF($K955="Point","Buffered point – coverage approximate; ","")))</f>
        <v/>
      </c>
    </row>
    <row r="956">
      <c r="A956" s="19" t="n"/>
      <c r="B956" s="19" t="n"/>
      <c r="C956" s="19" t="n"/>
      <c r="D956" s="19" t="n"/>
      <c r="E956" s="19" t="n"/>
      <c r="F956" s="19" t="n"/>
      <c r="G956" s="19" t="n"/>
      <c r="H956" s="19" t="n"/>
      <c r="I956" s="19" t="n"/>
      <c r="J956" s="19" t="n"/>
      <c r="K956" s="19" t="n"/>
      <c r="L956" s="20" t="n"/>
      <c r="M956" s="20" t="n"/>
      <c r="N956" s="20" t="n"/>
      <c r="O956" s="20" t="n"/>
      <c r="P956" s="19" t="n"/>
      <c r="Q956" s="19" t="n"/>
      <c r="R956" s="20" t="n"/>
      <c r="S956" s="20" t="n"/>
      <c r="T956" s="19" t="n"/>
      <c r="U956" s="19" t="n"/>
      <c r="V956" s="19" t="n"/>
      <c r="W956" s="19" t="n"/>
      <c r="X956" s="19" t="n"/>
      <c r="Y956" s="19" t="n"/>
      <c r="Z956" s="21">
        <f>IF(AND($A956="",$B956=""),"",IF(OR($E956="",$H956="",$H956="Proposed",$H956="Not Reported"),0,IF(AND($P956="Y",$Q956&lt;&gt;"Y"),0,IF(AND($K956="Point",N($L956)&lt;=0),0,IF(AND(N($L956)&lt;=0,N($N956)&lt;=0,N($R956)+N($S956)&lt;=0),0,1)))))</f>
        <v/>
      </c>
      <c r="AA956" s="21">
        <f>IF(AND($A956="",$B956=""),"",IF($E956="","Site type missing",IF($H956="","STATUS missing",IF($H956="Proposed","STATUS = Proposed",IF($H956="Not Reported","STATUS = Not Reported",IF(AND($P956="Y",$Q956&lt;&gt;"Y"),"UNESCO-MAB Biosphere Reserve",IF(AND($K956="Point",N($L956)&lt;=0),"Point without REP_AREA",IF(AND(N($L956)&lt;=0,N($N956)&lt;=0,N($R956)+N($S956)&lt;=0),"No area information",""))))))))</f>
        <v/>
      </c>
      <c r="AB956" s="22">
        <f>IF(AND($A956="",$B956=""),"",IF($K956="Point",N($L956),IF(N($N956)&gt;0,N($N956),N($L956))))</f>
        <v/>
      </c>
      <c r="AC956" s="22">
        <f>IF(AND($A956="",$B956=""),"",MIN(AB956,IF(N($J956)=0,0,IF(N($J956)=2,AB956,IF(AND($K956&lt;&gt;"Point",N($O956)&gt;0),N($O956),N($M956))))))</f>
        <v/>
      </c>
      <c r="AD956" s="22">
        <f>IF(AND($A956="",$B956=""),"",MAX(0,AB956-AC956))</f>
        <v/>
      </c>
      <c r="AE956" s="21">
        <f>IF(AND($A956="",$B956=""),"",IF(OR($R956&lt;&gt;"",$S956&lt;&gt;""),1,0))</f>
        <v/>
      </c>
      <c r="AF956" s="22">
        <f>IF(AND($A956="",$B956=""),"",IF(Z956=1,IF(AE956=1,N($R956),AD956),0))</f>
        <v/>
      </c>
      <c r="AG956" s="22">
        <f>IF(AND($A956="",$B956=""),"",IF(Z956=1,IF(AE956=1,N($S956),AC956),0))</f>
        <v/>
      </c>
      <c r="AH956" s="21">
        <f>IF(AND($A956="",$B956=""),"",IF(AND(ISNUMBER($I956),N($I956)&gt;0),$I956,0))</f>
        <v/>
      </c>
      <c r="AI956" s="23">
        <f>IF(AND(NOT(AND($A956="",$B956="")),$K956="Point",N($L956)&gt;0),SQRT(N($L956)/PI()),"")</f>
        <v/>
      </c>
      <c r="AJ956" s="21">
        <f>IF(AND($A956="",$B956=""),"",IFERROR(VLOOKUP($G956,Lists!$D$4:$E$15,2,FALSE),"Not reported"))</f>
        <v/>
      </c>
      <c r="AK956" s="21">
        <f>IF(AND($A956="",$B956=""),"",IF($X956&lt;&gt;"",$X956,IF($T956&lt;&gt;"Y","Not assessed",IF(AND(ISNUMBER($V956),Setup!$B$6-$V956&gt;Setup!$B$26),"Assessment outdated",IF(NOT(ISNUMBER($W956)),"Assessed – no score",IF($W956&gt;=Setup!$B$24,"High",IF($W956&gt;=Setup!$B$25,"Moderate","Low")))))))</f>
        <v/>
      </c>
      <c r="AL956" s="21">
        <f>IF(AND($A956="",$B956=""),"",IF(Z956=0,"",IF(AND(AE956=1,N($R956)&gt;AD956*1.01+0.001),"Net terrestrial &gt; gross; ","")&amp;IF(AND(AE956=1,N($S956)&gt;AC956*1.01+0.001),"Net marine &gt; gross; ","")&amp;IF(AE956=0,"No net area – gross used, overlaps may be double-counted; ","")&amp;IF(AH956=0,"STATUS_YR missing – imputed in time series; ","")&amp;IF(AND(ISNUMBER($I956),N($I956)&gt;Setup!$B$6),"STATUS_YR after reporting year; ","")&amp;IF(OR($G956="",$G956="Not Reported"),"GOV_TYPE not reported; ","")&amp;IF(AND(N($J956)=1,$K956="Point",N($M956)&lt;=0),"Coastal point without REP_M_AREA – land/sea split unknown; ","")&amp;IF(AND(N($J956)=0,N($S956)&gt;0),"MARINE=0 but net marine &gt;0; ","")&amp;IF(AND(N($J956)=2,N($R956)&gt;0),"MARINE=2 but net terrestrial &gt;0; ","")&amp;IF($K956="Point","Buffered point – coverage approximate; ","")))</f>
        <v/>
      </c>
    </row>
    <row r="957">
      <c r="A957" s="19" t="n"/>
      <c r="B957" s="19" t="n"/>
      <c r="C957" s="19" t="n"/>
      <c r="D957" s="19" t="n"/>
      <c r="E957" s="19" t="n"/>
      <c r="F957" s="19" t="n"/>
      <c r="G957" s="19" t="n"/>
      <c r="H957" s="19" t="n"/>
      <c r="I957" s="19" t="n"/>
      <c r="J957" s="19" t="n"/>
      <c r="K957" s="19" t="n"/>
      <c r="L957" s="20" t="n"/>
      <c r="M957" s="20" t="n"/>
      <c r="N957" s="20" t="n"/>
      <c r="O957" s="20" t="n"/>
      <c r="P957" s="19" t="n"/>
      <c r="Q957" s="19" t="n"/>
      <c r="R957" s="20" t="n"/>
      <c r="S957" s="20" t="n"/>
      <c r="T957" s="19" t="n"/>
      <c r="U957" s="19" t="n"/>
      <c r="V957" s="19" t="n"/>
      <c r="W957" s="19" t="n"/>
      <c r="X957" s="19" t="n"/>
      <c r="Y957" s="19" t="n"/>
      <c r="Z957" s="21">
        <f>IF(AND($A957="",$B957=""),"",IF(OR($E957="",$H957="",$H957="Proposed",$H957="Not Reported"),0,IF(AND($P957="Y",$Q957&lt;&gt;"Y"),0,IF(AND($K957="Point",N($L957)&lt;=0),0,IF(AND(N($L957)&lt;=0,N($N957)&lt;=0,N($R957)+N($S957)&lt;=0),0,1)))))</f>
        <v/>
      </c>
      <c r="AA957" s="21">
        <f>IF(AND($A957="",$B957=""),"",IF($E957="","Site type missing",IF($H957="","STATUS missing",IF($H957="Proposed","STATUS = Proposed",IF($H957="Not Reported","STATUS = Not Reported",IF(AND($P957="Y",$Q957&lt;&gt;"Y"),"UNESCO-MAB Biosphere Reserve",IF(AND($K957="Point",N($L957)&lt;=0),"Point without REP_AREA",IF(AND(N($L957)&lt;=0,N($N957)&lt;=0,N($R957)+N($S957)&lt;=0),"No area information",""))))))))</f>
        <v/>
      </c>
      <c r="AB957" s="22">
        <f>IF(AND($A957="",$B957=""),"",IF($K957="Point",N($L957),IF(N($N957)&gt;0,N($N957),N($L957))))</f>
        <v/>
      </c>
      <c r="AC957" s="22">
        <f>IF(AND($A957="",$B957=""),"",MIN(AB957,IF(N($J957)=0,0,IF(N($J957)=2,AB957,IF(AND($K957&lt;&gt;"Point",N($O957)&gt;0),N($O957),N($M957))))))</f>
        <v/>
      </c>
      <c r="AD957" s="22">
        <f>IF(AND($A957="",$B957=""),"",MAX(0,AB957-AC957))</f>
        <v/>
      </c>
      <c r="AE957" s="21">
        <f>IF(AND($A957="",$B957=""),"",IF(OR($R957&lt;&gt;"",$S957&lt;&gt;""),1,0))</f>
        <v/>
      </c>
      <c r="AF957" s="22">
        <f>IF(AND($A957="",$B957=""),"",IF(Z957=1,IF(AE957=1,N($R957),AD957),0))</f>
        <v/>
      </c>
      <c r="AG957" s="22">
        <f>IF(AND($A957="",$B957=""),"",IF(Z957=1,IF(AE957=1,N($S957),AC957),0))</f>
        <v/>
      </c>
      <c r="AH957" s="21">
        <f>IF(AND($A957="",$B957=""),"",IF(AND(ISNUMBER($I957),N($I957)&gt;0),$I957,0))</f>
        <v/>
      </c>
      <c r="AI957" s="23">
        <f>IF(AND(NOT(AND($A957="",$B957="")),$K957="Point",N($L957)&gt;0),SQRT(N($L957)/PI()),"")</f>
        <v/>
      </c>
      <c r="AJ957" s="21">
        <f>IF(AND($A957="",$B957=""),"",IFERROR(VLOOKUP($G957,Lists!$D$4:$E$15,2,FALSE),"Not reported"))</f>
        <v/>
      </c>
      <c r="AK957" s="21">
        <f>IF(AND($A957="",$B957=""),"",IF($X957&lt;&gt;"",$X957,IF($T957&lt;&gt;"Y","Not assessed",IF(AND(ISNUMBER($V957),Setup!$B$6-$V957&gt;Setup!$B$26),"Assessment outdated",IF(NOT(ISNUMBER($W957)),"Assessed – no score",IF($W957&gt;=Setup!$B$24,"High",IF($W957&gt;=Setup!$B$25,"Moderate","Low")))))))</f>
        <v/>
      </c>
      <c r="AL957" s="21">
        <f>IF(AND($A957="",$B957=""),"",IF(Z957=0,"",IF(AND(AE957=1,N($R957)&gt;AD957*1.01+0.001),"Net terrestrial &gt; gross; ","")&amp;IF(AND(AE957=1,N($S957)&gt;AC957*1.01+0.001),"Net marine &gt; gross; ","")&amp;IF(AE957=0,"No net area – gross used, overlaps may be double-counted; ","")&amp;IF(AH957=0,"STATUS_YR missing – imputed in time series; ","")&amp;IF(AND(ISNUMBER($I957),N($I957)&gt;Setup!$B$6),"STATUS_YR after reporting year; ","")&amp;IF(OR($G957="",$G957="Not Reported"),"GOV_TYPE not reported; ","")&amp;IF(AND(N($J957)=1,$K957="Point",N($M957)&lt;=0),"Coastal point without REP_M_AREA – land/sea split unknown; ","")&amp;IF(AND(N($J957)=0,N($S957)&gt;0),"MARINE=0 but net marine &gt;0; ","")&amp;IF(AND(N($J957)=2,N($R957)&gt;0),"MARINE=2 but net terrestrial &gt;0; ","")&amp;IF($K957="Point","Buffered point – coverage approximate; ","")))</f>
        <v/>
      </c>
    </row>
    <row r="958">
      <c r="A958" s="19" t="n"/>
      <c r="B958" s="19" t="n"/>
      <c r="C958" s="19" t="n"/>
      <c r="D958" s="19" t="n"/>
      <c r="E958" s="19" t="n"/>
      <c r="F958" s="19" t="n"/>
      <c r="G958" s="19" t="n"/>
      <c r="H958" s="19" t="n"/>
      <c r="I958" s="19" t="n"/>
      <c r="J958" s="19" t="n"/>
      <c r="K958" s="19" t="n"/>
      <c r="L958" s="20" t="n"/>
      <c r="M958" s="20" t="n"/>
      <c r="N958" s="20" t="n"/>
      <c r="O958" s="20" t="n"/>
      <c r="P958" s="19" t="n"/>
      <c r="Q958" s="19" t="n"/>
      <c r="R958" s="20" t="n"/>
      <c r="S958" s="20" t="n"/>
      <c r="T958" s="19" t="n"/>
      <c r="U958" s="19" t="n"/>
      <c r="V958" s="19" t="n"/>
      <c r="W958" s="19" t="n"/>
      <c r="X958" s="19" t="n"/>
      <c r="Y958" s="19" t="n"/>
      <c r="Z958" s="21">
        <f>IF(AND($A958="",$B958=""),"",IF(OR($E958="",$H958="",$H958="Proposed",$H958="Not Reported"),0,IF(AND($P958="Y",$Q958&lt;&gt;"Y"),0,IF(AND($K958="Point",N($L958)&lt;=0),0,IF(AND(N($L958)&lt;=0,N($N958)&lt;=0,N($R958)+N($S958)&lt;=0),0,1)))))</f>
        <v/>
      </c>
      <c r="AA958" s="21">
        <f>IF(AND($A958="",$B958=""),"",IF($E958="","Site type missing",IF($H958="","STATUS missing",IF($H958="Proposed","STATUS = Proposed",IF($H958="Not Reported","STATUS = Not Reported",IF(AND($P958="Y",$Q958&lt;&gt;"Y"),"UNESCO-MAB Biosphere Reserve",IF(AND($K958="Point",N($L958)&lt;=0),"Point without REP_AREA",IF(AND(N($L958)&lt;=0,N($N958)&lt;=0,N($R958)+N($S958)&lt;=0),"No area information",""))))))))</f>
        <v/>
      </c>
      <c r="AB958" s="22">
        <f>IF(AND($A958="",$B958=""),"",IF($K958="Point",N($L958),IF(N($N958)&gt;0,N($N958),N($L958))))</f>
        <v/>
      </c>
      <c r="AC958" s="22">
        <f>IF(AND($A958="",$B958=""),"",MIN(AB958,IF(N($J958)=0,0,IF(N($J958)=2,AB958,IF(AND($K958&lt;&gt;"Point",N($O958)&gt;0),N($O958),N($M958))))))</f>
        <v/>
      </c>
      <c r="AD958" s="22">
        <f>IF(AND($A958="",$B958=""),"",MAX(0,AB958-AC958))</f>
        <v/>
      </c>
      <c r="AE958" s="21">
        <f>IF(AND($A958="",$B958=""),"",IF(OR($R958&lt;&gt;"",$S958&lt;&gt;""),1,0))</f>
        <v/>
      </c>
      <c r="AF958" s="22">
        <f>IF(AND($A958="",$B958=""),"",IF(Z958=1,IF(AE958=1,N($R958),AD958),0))</f>
        <v/>
      </c>
      <c r="AG958" s="22">
        <f>IF(AND($A958="",$B958=""),"",IF(Z958=1,IF(AE958=1,N($S958),AC958),0))</f>
        <v/>
      </c>
      <c r="AH958" s="21">
        <f>IF(AND($A958="",$B958=""),"",IF(AND(ISNUMBER($I958),N($I958)&gt;0),$I958,0))</f>
        <v/>
      </c>
      <c r="AI958" s="23">
        <f>IF(AND(NOT(AND($A958="",$B958="")),$K958="Point",N($L958)&gt;0),SQRT(N($L958)/PI()),"")</f>
        <v/>
      </c>
      <c r="AJ958" s="21">
        <f>IF(AND($A958="",$B958=""),"",IFERROR(VLOOKUP($G958,Lists!$D$4:$E$15,2,FALSE),"Not reported"))</f>
        <v/>
      </c>
      <c r="AK958" s="21">
        <f>IF(AND($A958="",$B958=""),"",IF($X958&lt;&gt;"",$X958,IF($T958&lt;&gt;"Y","Not assessed",IF(AND(ISNUMBER($V958),Setup!$B$6-$V958&gt;Setup!$B$26),"Assessment outdated",IF(NOT(ISNUMBER($W958)),"Assessed – no score",IF($W958&gt;=Setup!$B$24,"High",IF($W958&gt;=Setup!$B$25,"Moderate","Low")))))))</f>
        <v/>
      </c>
      <c r="AL958" s="21">
        <f>IF(AND($A958="",$B958=""),"",IF(Z958=0,"",IF(AND(AE958=1,N($R958)&gt;AD958*1.01+0.001),"Net terrestrial &gt; gross; ","")&amp;IF(AND(AE958=1,N($S958)&gt;AC958*1.01+0.001),"Net marine &gt; gross; ","")&amp;IF(AE958=0,"No net area – gross used, overlaps may be double-counted; ","")&amp;IF(AH958=0,"STATUS_YR missing – imputed in time series; ","")&amp;IF(AND(ISNUMBER($I958),N($I958)&gt;Setup!$B$6),"STATUS_YR after reporting year; ","")&amp;IF(OR($G958="",$G958="Not Reported"),"GOV_TYPE not reported; ","")&amp;IF(AND(N($J958)=1,$K958="Point",N($M958)&lt;=0),"Coastal point without REP_M_AREA – land/sea split unknown; ","")&amp;IF(AND(N($J958)=0,N($S958)&gt;0),"MARINE=0 but net marine &gt;0; ","")&amp;IF(AND(N($J958)=2,N($R958)&gt;0),"MARINE=2 but net terrestrial &gt;0; ","")&amp;IF($K958="Point","Buffered point – coverage approximate; ","")))</f>
        <v/>
      </c>
    </row>
    <row r="959">
      <c r="A959" s="19" t="n"/>
      <c r="B959" s="19" t="n"/>
      <c r="C959" s="19" t="n"/>
      <c r="D959" s="19" t="n"/>
      <c r="E959" s="19" t="n"/>
      <c r="F959" s="19" t="n"/>
      <c r="G959" s="19" t="n"/>
      <c r="H959" s="19" t="n"/>
      <c r="I959" s="19" t="n"/>
      <c r="J959" s="19" t="n"/>
      <c r="K959" s="19" t="n"/>
      <c r="L959" s="20" t="n"/>
      <c r="M959" s="20" t="n"/>
      <c r="N959" s="20" t="n"/>
      <c r="O959" s="20" t="n"/>
      <c r="P959" s="19" t="n"/>
      <c r="Q959" s="19" t="n"/>
      <c r="R959" s="20" t="n"/>
      <c r="S959" s="20" t="n"/>
      <c r="T959" s="19" t="n"/>
      <c r="U959" s="19" t="n"/>
      <c r="V959" s="19" t="n"/>
      <c r="W959" s="19" t="n"/>
      <c r="X959" s="19" t="n"/>
      <c r="Y959" s="19" t="n"/>
      <c r="Z959" s="21">
        <f>IF(AND($A959="",$B959=""),"",IF(OR($E959="",$H959="",$H959="Proposed",$H959="Not Reported"),0,IF(AND($P959="Y",$Q959&lt;&gt;"Y"),0,IF(AND($K959="Point",N($L959)&lt;=0),0,IF(AND(N($L959)&lt;=0,N($N959)&lt;=0,N($R959)+N($S959)&lt;=0),0,1)))))</f>
        <v/>
      </c>
      <c r="AA959" s="21">
        <f>IF(AND($A959="",$B959=""),"",IF($E959="","Site type missing",IF($H959="","STATUS missing",IF($H959="Proposed","STATUS = Proposed",IF($H959="Not Reported","STATUS = Not Reported",IF(AND($P959="Y",$Q959&lt;&gt;"Y"),"UNESCO-MAB Biosphere Reserve",IF(AND($K959="Point",N($L959)&lt;=0),"Point without REP_AREA",IF(AND(N($L959)&lt;=0,N($N959)&lt;=0,N($R959)+N($S959)&lt;=0),"No area information",""))))))))</f>
        <v/>
      </c>
      <c r="AB959" s="22">
        <f>IF(AND($A959="",$B959=""),"",IF($K959="Point",N($L959),IF(N($N959)&gt;0,N($N959),N($L959))))</f>
        <v/>
      </c>
      <c r="AC959" s="22">
        <f>IF(AND($A959="",$B959=""),"",MIN(AB959,IF(N($J959)=0,0,IF(N($J959)=2,AB959,IF(AND($K959&lt;&gt;"Point",N($O959)&gt;0),N($O959),N($M959))))))</f>
        <v/>
      </c>
      <c r="AD959" s="22">
        <f>IF(AND($A959="",$B959=""),"",MAX(0,AB959-AC959))</f>
        <v/>
      </c>
      <c r="AE959" s="21">
        <f>IF(AND($A959="",$B959=""),"",IF(OR($R959&lt;&gt;"",$S959&lt;&gt;""),1,0))</f>
        <v/>
      </c>
      <c r="AF959" s="22">
        <f>IF(AND($A959="",$B959=""),"",IF(Z959=1,IF(AE959=1,N($R959),AD959),0))</f>
        <v/>
      </c>
      <c r="AG959" s="22">
        <f>IF(AND($A959="",$B959=""),"",IF(Z959=1,IF(AE959=1,N($S959),AC959),0))</f>
        <v/>
      </c>
      <c r="AH959" s="21">
        <f>IF(AND($A959="",$B959=""),"",IF(AND(ISNUMBER($I959),N($I959)&gt;0),$I959,0))</f>
        <v/>
      </c>
      <c r="AI959" s="23">
        <f>IF(AND(NOT(AND($A959="",$B959="")),$K959="Point",N($L959)&gt;0),SQRT(N($L959)/PI()),"")</f>
        <v/>
      </c>
      <c r="AJ959" s="21">
        <f>IF(AND($A959="",$B959=""),"",IFERROR(VLOOKUP($G959,Lists!$D$4:$E$15,2,FALSE),"Not reported"))</f>
        <v/>
      </c>
      <c r="AK959" s="21">
        <f>IF(AND($A959="",$B959=""),"",IF($X959&lt;&gt;"",$X959,IF($T959&lt;&gt;"Y","Not assessed",IF(AND(ISNUMBER($V959),Setup!$B$6-$V959&gt;Setup!$B$26),"Assessment outdated",IF(NOT(ISNUMBER($W959)),"Assessed – no score",IF($W959&gt;=Setup!$B$24,"High",IF($W959&gt;=Setup!$B$25,"Moderate","Low")))))))</f>
        <v/>
      </c>
      <c r="AL959" s="21">
        <f>IF(AND($A959="",$B959=""),"",IF(Z959=0,"",IF(AND(AE959=1,N($R959)&gt;AD959*1.01+0.001),"Net terrestrial &gt; gross; ","")&amp;IF(AND(AE959=1,N($S959)&gt;AC959*1.01+0.001),"Net marine &gt; gross; ","")&amp;IF(AE959=0,"No net area – gross used, overlaps may be double-counted; ","")&amp;IF(AH959=0,"STATUS_YR missing – imputed in time series; ","")&amp;IF(AND(ISNUMBER($I959),N($I959)&gt;Setup!$B$6),"STATUS_YR after reporting year; ","")&amp;IF(OR($G959="",$G959="Not Reported"),"GOV_TYPE not reported; ","")&amp;IF(AND(N($J959)=1,$K959="Point",N($M959)&lt;=0),"Coastal point without REP_M_AREA – land/sea split unknown; ","")&amp;IF(AND(N($J959)=0,N($S959)&gt;0),"MARINE=0 but net marine &gt;0; ","")&amp;IF(AND(N($J959)=2,N($R959)&gt;0),"MARINE=2 but net terrestrial &gt;0; ","")&amp;IF($K959="Point","Buffered point – coverage approximate; ","")))</f>
        <v/>
      </c>
    </row>
    <row r="960">
      <c r="A960" s="19" t="n"/>
      <c r="B960" s="19" t="n"/>
      <c r="C960" s="19" t="n"/>
      <c r="D960" s="19" t="n"/>
      <c r="E960" s="19" t="n"/>
      <c r="F960" s="19" t="n"/>
      <c r="G960" s="19" t="n"/>
      <c r="H960" s="19" t="n"/>
      <c r="I960" s="19" t="n"/>
      <c r="J960" s="19" t="n"/>
      <c r="K960" s="19" t="n"/>
      <c r="L960" s="20" t="n"/>
      <c r="M960" s="20" t="n"/>
      <c r="N960" s="20" t="n"/>
      <c r="O960" s="20" t="n"/>
      <c r="P960" s="19" t="n"/>
      <c r="Q960" s="19" t="n"/>
      <c r="R960" s="20" t="n"/>
      <c r="S960" s="20" t="n"/>
      <c r="T960" s="19" t="n"/>
      <c r="U960" s="19" t="n"/>
      <c r="V960" s="19" t="n"/>
      <c r="W960" s="19" t="n"/>
      <c r="X960" s="19" t="n"/>
      <c r="Y960" s="19" t="n"/>
      <c r="Z960" s="21">
        <f>IF(AND($A960="",$B960=""),"",IF(OR($E960="",$H960="",$H960="Proposed",$H960="Not Reported"),0,IF(AND($P960="Y",$Q960&lt;&gt;"Y"),0,IF(AND($K960="Point",N($L960)&lt;=0),0,IF(AND(N($L960)&lt;=0,N($N960)&lt;=0,N($R960)+N($S960)&lt;=0),0,1)))))</f>
        <v/>
      </c>
      <c r="AA960" s="21">
        <f>IF(AND($A960="",$B960=""),"",IF($E960="","Site type missing",IF($H960="","STATUS missing",IF($H960="Proposed","STATUS = Proposed",IF($H960="Not Reported","STATUS = Not Reported",IF(AND($P960="Y",$Q960&lt;&gt;"Y"),"UNESCO-MAB Biosphere Reserve",IF(AND($K960="Point",N($L960)&lt;=0),"Point without REP_AREA",IF(AND(N($L960)&lt;=0,N($N960)&lt;=0,N($R960)+N($S960)&lt;=0),"No area information",""))))))))</f>
        <v/>
      </c>
      <c r="AB960" s="22">
        <f>IF(AND($A960="",$B960=""),"",IF($K960="Point",N($L960),IF(N($N960)&gt;0,N($N960),N($L960))))</f>
        <v/>
      </c>
      <c r="AC960" s="22">
        <f>IF(AND($A960="",$B960=""),"",MIN(AB960,IF(N($J960)=0,0,IF(N($J960)=2,AB960,IF(AND($K960&lt;&gt;"Point",N($O960)&gt;0),N($O960),N($M960))))))</f>
        <v/>
      </c>
      <c r="AD960" s="22">
        <f>IF(AND($A960="",$B960=""),"",MAX(0,AB960-AC960))</f>
        <v/>
      </c>
      <c r="AE960" s="21">
        <f>IF(AND($A960="",$B960=""),"",IF(OR($R960&lt;&gt;"",$S960&lt;&gt;""),1,0))</f>
        <v/>
      </c>
      <c r="AF960" s="22">
        <f>IF(AND($A960="",$B960=""),"",IF(Z960=1,IF(AE960=1,N($R960),AD960),0))</f>
        <v/>
      </c>
      <c r="AG960" s="22">
        <f>IF(AND($A960="",$B960=""),"",IF(Z960=1,IF(AE960=1,N($S960),AC960),0))</f>
        <v/>
      </c>
      <c r="AH960" s="21">
        <f>IF(AND($A960="",$B960=""),"",IF(AND(ISNUMBER($I960),N($I960)&gt;0),$I960,0))</f>
        <v/>
      </c>
      <c r="AI960" s="23">
        <f>IF(AND(NOT(AND($A960="",$B960="")),$K960="Point",N($L960)&gt;0),SQRT(N($L960)/PI()),"")</f>
        <v/>
      </c>
      <c r="AJ960" s="21">
        <f>IF(AND($A960="",$B960=""),"",IFERROR(VLOOKUP($G960,Lists!$D$4:$E$15,2,FALSE),"Not reported"))</f>
        <v/>
      </c>
      <c r="AK960" s="21">
        <f>IF(AND($A960="",$B960=""),"",IF($X960&lt;&gt;"",$X960,IF($T960&lt;&gt;"Y","Not assessed",IF(AND(ISNUMBER($V960),Setup!$B$6-$V960&gt;Setup!$B$26),"Assessment outdated",IF(NOT(ISNUMBER($W960)),"Assessed – no score",IF($W960&gt;=Setup!$B$24,"High",IF($W960&gt;=Setup!$B$25,"Moderate","Low")))))))</f>
        <v/>
      </c>
      <c r="AL960" s="21">
        <f>IF(AND($A960="",$B960=""),"",IF(Z960=0,"",IF(AND(AE960=1,N($R960)&gt;AD960*1.01+0.001),"Net terrestrial &gt; gross; ","")&amp;IF(AND(AE960=1,N($S960)&gt;AC960*1.01+0.001),"Net marine &gt; gross; ","")&amp;IF(AE960=0,"No net area – gross used, overlaps may be double-counted; ","")&amp;IF(AH960=0,"STATUS_YR missing – imputed in time series; ","")&amp;IF(AND(ISNUMBER($I960),N($I960)&gt;Setup!$B$6),"STATUS_YR after reporting year; ","")&amp;IF(OR($G960="",$G960="Not Reported"),"GOV_TYPE not reported; ","")&amp;IF(AND(N($J960)=1,$K960="Point",N($M960)&lt;=0),"Coastal point without REP_M_AREA – land/sea split unknown; ","")&amp;IF(AND(N($J960)=0,N($S960)&gt;0),"MARINE=0 but net marine &gt;0; ","")&amp;IF(AND(N($J960)=2,N($R960)&gt;0),"MARINE=2 but net terrestrial &gt;0; ","")&amp;IF($K960="Point","Buffered point – coverage approximate; ","")))</f>
        <v/>
      </c>
    </row>
    <row r="961">
      <c r="A961" s="19" t="n"/>
      <c r="B961" s="19" t="n"/>
      <c r="C961" s="19" t="n"/>
      <c r="D961" s="19" t="n"/>
      <c r="E961" s="19" t="n"/>
      <c r="F961" s="19" t="n"/>
      <c r="G961" s="19" t="n"/>
      <c r="H961" s="19" t="n"/>
      <c r="I961" s="19" t="n"/>
      <c r="J961" s="19" t="n"/>
      <c r="K961" s="19" t="n"/>
      <c r="L961" s="20" t="n"/>
      <c r="M961" s="20" t="n"/>
      <c r="N961" s="20" t="n"/>
      <c r="O961" s="20" t="n"/>
      <c r="P961" s="19" t="n"/>
      <c r="Q961" s="19" t="n"/>
      <c r="R961" s="20" t="n"/>
      <c r="S961" s="20" t="n"/>
      <c r="T961" s="19" t="n"/>
      <c r="U961" s="19" t="n"/>
      <c r="V961" s="19" t="n"/>
      <c r="W961" s="19" t="n"/>
      <c r="X961" s="19" t="n"/>
      <c r="Y961" s="19" t="n"/>
      <c r="Z961" s="21">
        <f>IF(AND($A961="",$B961=""),"",IF(OR($E961="",$H961="",$H961="Proposed",$H961="Not Reported"),0,IF(AND($P961="Y",$Q961&lt;&gt;"Y"),0,IF(AND($K961="Point",N($L961)&lt;=0),0,IF(AND(N($L961)&lt;=0,N($N961)&lt;=0,N($R961)+N($S961)&lt;=0),0,1)))))</f>
        <v/>
      </c>
      <c r="AA961" s="21">
        <f>IF(AND($A961="",$B961=""),"",IF($E961="","Site type missing",IF($H961="","STATUS missing",IF($H961="Proposed","STATUS = Proposed",IF($H961="Not Reported","STATUS = Not Reported",IF(AND($P961="Y",$Q961&lt;&gt;"Y"),"UNESCO-MAB Biosphere Reserve",IF(AND($K961="Point",N($L961)&lt;=0),"Point without REP_AREA",IF(AND(N($L961)&lt;=0,N($N961)&lt;=0,N($R961)+N($S961)&lt;=0),"No area information",""))))))))</f>
        <v/>
      </c>
      <c r="AB961" s="22">
        <f>IF(AND($A961="",$B961=""),"",IF($K961="Point",N($L961),IF(N($N961)&gt;0,N($N961),N($L961))))</f>
        <v/>
      </c>
      <c r="AC961" s="22">
        <f>IF(AND($A961="",$B961=""),"",MIN(AB961,IF(N($J961)=0,0,IF(N($J961)=2,AB961,IF(AND($K961&lt;&gt;"Point",N($O961)&gt;0),N($O961),N($M961))))))</f>
        <v/>
      </c>
      <c r="AD961" s="22">
        <f>IF(AND($A961="",$B961=""),"",MAX(0,AB961-AC961))</f>
        <v/>
      </c>
      <c r="AE961" s="21">
        <f>IF(AND($A961="",$B961=""),"",IF(OR($R961&lt;&gt;"",$S961&lt;&gt;""),1,0))</f>
        <v/>
      </c>
      <c r="AF961" s="22">
        <f>IF(AND($A961="",$B961=""),"",IF(Z961=1,IF(AE961=1,N($R961),AD961),0))</f>
        <v/>
      </c>
      <c r="AG961" s="22">
        <f>IF(AND($A961="",$B961=""),"",IF(Z961=1,IF(AE961=1,N($S961),AC961),0))</f>
        <v/>
      </c>
      <c r="AH961" s="21">
        <f>IF(AND($A961="",$B961=""),"",IF(AND(ISNUMBER($I961),N($I961)&gt;0),$I961,0))</f>
        <v/>
      </c>
      <c r="AI961" s="23">
        <f>IF(AND(NOT(AND($A961="",$B961="")),$K961="Point",N($L961)&gt;0),SQRT(N($L961)/PI()),"")</f>
        <v/>
      </c>
      <c r="AJ961" s="21">
        <f>IF(AND($A961="",$B961=""),"",IFERROR(VLOOKUP($G961,Lists!$D$4:$E$15,2,FALSE),"Not reported"))</f>
        <v/>
      </c>
      <c r="AK961" s="21">
        <f>IF(AND($A961="",$B961=""),"",IF($X961&lt;&gt;"",$X961,IF($T961&lt;&gt;"Y","Not assessed",IF(AND(ISNUMBER($V961),Setup!$B$6-$V961&gt;Setup!$B$26),"Assessment outdated",IF(NOT(ISNUMBER($W961)),"Assessed – no score",IF($W961&gt;=Setup!$B$24,"High",IF($W961&gt;=Setup!$B$25,"Moderate","Low")))))))</f>
        <v/>
      </c>
      <c r="AL961" s="21">
        <f>IF(AND($A961="",$B961=""),"",IF(Z961=0,"",IF(AND(AE961=1,N($R961)&gt;AD961*1.01+0.001),"Net terrestrial &gt; gross; ","")&amp;IF(AND(AE961=1,N($S961)&gt;AC961*1.01+0.001),"Net marine &gt; gross; ","")&amp;IF(AE961=0,"No net area – gross used, overlaps may be double-counted; ","")&amp;IF(AH961=0,"STATUS_YR missing – imputed in time series; ","")&amp;IF(AND(ISNUMBER($I961),N($I961)&gt;Setup!$B$6),"STATUS_YR after reporting year; ","")&amp;IF(OR($G961="",$G961="Not Reported"),"GOV_TYPE not reported; ","")&amp;IF(AND(N($J961)=1,$K961="Point",N($M961)&lt;=0),"Coastal point without REP_M_AREA – land/sea split unknown; ","")&amp;IF(AND(N($J961)=0,N($S961)&gt;0),"MARINE=0 but net marine &gt;0; ","")&amp;IF(AND(N($J961)=2,N($R961)&gt;0),"MARINE=2 but net terrestrial &gt;0; ","")&amp;IF($K961="Point","Buffered point – coverage approximate; ","")))</f>
        <v/>
      </c>
    </row>
    <row r="962">
      <c r="A962" s="19" t="n"/>
      <c r="B962" s="19" t="n"/>
      <c r="C962" s="19" t="n"/>
      <c r="D962" s="19" t="n"/>
      <c r="E962" s="19" t="n"/>
      <c r="F962" s="19" t="n"/>
      <c r="G962" s="19" t="n"/>
      <c r="H962" s="19" t="n"/>
      <c r="I962" s="19" t="n"/>
      <c r="J962" s="19" t="n"/>
      <c r="K962" s="19" t="n"/>
      <c r="L962" s="20" t="n"/>
      <c r="M962" s="20" t="n"/>
      <c r="N962" s="20" t="n"/>
      <c r="O962" s="20" t="n"/>
      <c r="P962" s="19" t="n"/>
      <c r="Q962" s="19" t="n"/>
      <c r="R962" s="20" t="n"/>
      <c r="S962" s="20" t="n"/>
      <c r="T962" s="19" t="n"/>
      <c r="U962" s="19" t="n"/>
      <c r="V962" s="19" t="n"/>
      <c r="W962" s="19" t="n"/>
      <c r="X962" s="19" t="n"/>
      <c r="Y962" s="19" t="n"/>
      <c r="Z962" s="21">
        <f>IF(AND($A962="",$B962=""),"",IF(OR($E962="",$H962="",$H962="Proposed",$H962="Not Reported"),0,IF(AND($P962="Y",$Q962&lt;&gt;"Y"),0,IF(AND($K962="Point",N($L962)&lt;=0),0,IF(AND(N($L962)&lt;=0,N($N962)&lt;=0,N($R962)+N($S962)&lt;=0),0,1)))))</f>
        <v/>
      </c>
      <c r="AA962" s="21">
        <f>IF(AND($A962="",$B962=""),"",IF($E962="","Site type missing",IF($H962="","STATUS missing",IF($H962="Proposed","STATUS = Proposed",IF($H962="Not Reported","STATUS = Not Reported",IF(AND($P962="Y",$Q962&lt;&gt;"Y"),"UNESCO-MAB Biosphere Reserve",IF(AND($K962="Point",N($L962)&lt;=0),"Point without REP_AREA",IF(AND(N($L962)&lt;=0,N($N962)&lt;=0,N($R962)+N($S962)&lt;=0),"No area information",""))))))))</f>
        <v/>
      </c>
      <c r="AB962" s="22">
        <f>IF(AND($A962="",$B962=""),"",IF($K962="Point",N($L962),IF(N($N962)&gt;0,N($N962),N($L962))))</f>
        <v/>
      </c>
      <c r="AC962" s="22">
        <f>IF(AND($A962="",$B962=""),"",MIN(AB962,IF(N($J962)=0,0,IF(N($J962)=2,AB962,IF(AND($K962&lt;&gt;"Point",N($O962)&gt;0),N($O962),N($M962))))))</f>
        <v/>
      </c>
      <c r="AD962" s="22">
        <f>IF(AND($A962="",$B962=""),"",MAX(0,AB962-AC962))</f>
        <v/>
      </c>
      <c r="AE962" s="21">
        <f>IF(AND($A962="",$B962=""),"",IF(OR($R962&lt;&gt;"",$S962&lt;&gt;""),1,0))</f>
        <v/>
      </c>
      <c r="AF962" s="22">
        <f>IF(AND($A962="",$B962=""),"",IF(Z962=1,IF(AE962=1,N($R962),AD962),0))</f>
        <v/>
      </c>
      <c r="AG962" s="22">
        <f>IF(AND($A962="",$B962=""),"",IF(Z962=1,IF(AE962=1,N($S962),AC962),0))</f>
        <v/>
      </c>
      <c r="AH962" s="21">
        <f>IF(AND($A962="",$B962=""),"",IF(AND(ISNUMBER($I962),N($I962)&gt;0),$I962,0))</f>
        <v/>
      </c>
      <c r="AI962" s="23">
        <f>IF(AND(NOT(AND($A962="",$B962="")),$K962="Point",N($L962)&gt;0),SQRT(N($L962)/PI()),"")</f>
        <v/>
      </c>
      <c r="AJ962" s="21">
        <f>IF(AND($A962="",$B962=""),"",IFERROR(VLOOKUP($G962,Lists!$D$4:$E$15,2,FALSE),"Not reported"))</f>
        <v/>
      </c>
      <c r="AK962" s="21">
        <f>IF(AND($A962="",$B962=""),"",IF($X962&lt;&gt;"",$X962,IF($T962&lt;&gt;"Y","Not assessed",IF(AND(ISNUMBER($V962),Setup!$B$6-$V962&gt;Setup!$B$26),"Assessment outdated",IF(NOT(ISNUMBER($W962)),"Assessed – no score",IF($W962&gt;=Setup!$B$24,"High",IF($W962&gt;=Setup!$B$25,"Moderate","Low")))))))</f>
        <v/>
      </c>
      <c r="AL962" s="21">
        <f>IF(AND($A962="",$B962=""),"",IF(Z962=0,"",IF(AND(AE962=1,N($R962)&gt;AD962*1.01+0.001),"Net terrestrial &gt; gross; ","")&amp;IF(AND(AE962=1,N($S962)&gt;AC962*1.01+0.001),"Net marine &gt; gross; ","")&amp;IF(AE962=0,"No net area – gross used, overlaps may be double-counted; ","")&amp;IF(AH962=0,"STATUS_YR missing – imputed in time series; ","")&amp;IF(AND(ISNUMBER($I962),N($I962)&gt;Setup!$B$6),"STATUS_YR after reporting year; ","")&amp;IF(OR($G962="",$G962="Not Reported"),"GOV_TYPE not reported; ","")&amp;IF(AND(N($J962)=1,$K962="Point",N($M962)&lt;=0),"Coastal point without REP_M_AREA – land/sea split unknown; ","")&amp;IF(AND(N($J962)=0,N($S962)&gt;0),"MARINE=0 but net marine &gt;0; ","")&amp;IF(AND(N($J962)=2,N($R962)&gt;0),"MARINE=2 but net terrestrial &gt;0; ","")&amp;IF($K962="Point","Buffered point – coverage approximate; ","")))</f>
        <v/>
      </c>
    </row>
    <row r="963">
      <c r="A963" s="19" t="n"/>
      <c r="B963" s="19" t="n"/>
      <c r="C963" s="19" t="n"/>
      <c r="D963" s="19" t="n"/>
      <c r="E963" s="19" t="n"/>
      <c r="F963" s="19" t="n"/>
      <c r="G963" s="19" t="n"/>
      <c r="H963" s="19" t="n"/>
      <c r="I963" s="19" t="n"/>
      <c r="J963" s="19" t="n"/>
      <c r="K963" s="19" t="n"/>
      <c r="L963" s="20" t="n"/>
      <c r="M963" s="20" t="n"/>
      <c r="N963" s="20" t="n"/>
      <c r="O963" s="20" t="n"/>
      <c r="P963" s="19" t="n"/>
      <c r="Q963" s="19" t="n"/>
      <c r="R963" s="20" t="n"/>
      <c r="S963" s="20" t="n"/>
      <c r="T963" s="19" t="n"/>
      <c r="U963" s="19" t="n"/>
      <c r="V963" s="19" t="n"/>
      <c r="W963" s="19" t="n"/>
      <c r="X963" s="19" t="n"/>
      <c r="Y963" s="19" t="n"/>
      <c r="Z963" s="21">
        <f>IF(AND($A963="",$B963=""),"",IF(OR($E963="",$H963="",$H963="Proposed",$H963="Not Reported"),0,IF(AND($P963="Y",$Q963&lt;&gt;"Y"),0,IF(AND($K963="Point",N($L963)&lt;=0),0,IF(AND(N($L963)&lt;=0,N($N963)&lt;=0,N($R963)+N($S963)&lt;=0),0,1)))))</f>
        <v/>
      </c>
      <c r="AA963" s="21">
        <f>IF(AND($A963="",$B963=""),"",IF($E963="","Site type missing",IF($H963="","STATUS missing",IF($H963="Proposed","STATUS = Proposed",IF($H963="Not Reported","STATUS = Not Reported",IF(AND($P963="Y",$Q963&lt;&gt;"Y"),"UNESCO-MAB Biosphere Reserve",IF(AND($K963="Point",N($L963)&lt;=0),"Point without REP_AREA",IF(AND(N($L963)&lt;=0,N($N963)&lt;=0,N($R963)+N($S963)&lt;=0),"No area information",""))))))))</f>
        <v/>
      </c>
      <c r="AB963" s="22">
        <f>IF(AND($A963="",$B963=""),"",IF($K963="Point",N($L963),IF(N($N963)&gt;0,N($N963),N($L963))))</f>
        <v/>
      </c>
      <c r="AC963" s="22">
        <f>IF(AND($A963="",$B963=""),"",MIN(AB963,IF(N($J963)=0,0,IF(N($J963)=2,AB963,IF(AND($K963&lt;&gt;"Point",N($O963)&gt;0),N($O963),N($M963))))))</f>
        <v/>
      </c>
      <c r="AD963" s="22">
        <f>IF(AND($A963="",$B963=""),"",MAX(0,AB963-AC963))</f>
        <v/>
      </c>
      <c r="AE963" s="21">
        <f>IF(AND($A963="",$B963=""),"",IF(OR($R963&lt;&gt;"",$S963&lt;&gt;""),1,0))</f>
        <v/>
      </c>
      <c r="AF963" s="22">
        <f>IF(AND($A963="",$B963=""),"",IF(Z963=1,IF(AE963=1,N($R963),AD963),0))</f>
        <v/>
      </c>
      <c r="AG963" s="22">
        <f>IF(AND($A963="",$B963=""),"",IF(Z963=1,IF(AE963=1,N($S963),AC963),0))</f>
        <v/>
      </c>
      <c r="AH963" s="21">
        <f>IF(AND($A963="",$B963=""),"",IF(AND(ISNUMBER($I963),N($I963)&gt;0),$I963,0))</f>
        <v/>
      </c>
      <c r="AI963" s="23">
        <f>IF(AND(NOT(AND($A963="",$B963="")),$K963="Point",N($L963)&gt;0),SQRT(N($L963)/PI()),"")</f>
        <v/>
      </c>
      <c r="AJ963" s="21">
        <f>IF(AND($A963="",$B963=""),"",IFERROR(VLOOKUP($G963,Lists!$D$4:$E$15,2,FALSE),"Not reported"))</f>
        <v/>
      </c>
      <c r="AK963" s="21">
        <f>IF(AND($A963="",$B963=""),"",IF($X963&lt;&gt;"",$X963,IF($T963&lt;&gt;"Y","Not assessed",IF(AND(ISNUMBER($V963),Setup!$B$6-$V963&gt;Setup!$B$26),"Assessment outdated",IF(NOT(ISNUMBER($W963)),"Assessed – no score",IF($W963&gt;=Setup!$B$24,"High",IF($W963&gt;=Setup!$B$25,"Moderate","Low")))))))</f>
        <v/>
      </c>
      <c r="AL963" s="21">
        <f>IF(AND($A963="",$B963=""),"",IF(Z963=0,"",IF(AND(AE963=1,N($R963)&gt;AD963*1.01+0.001),"Net terrestrial &gt; gross; ","")&amp;IF(AND(AE963=1,N($S963)&gt;AC963*1.01+0.001),"Net marine &gt; gross; ","")&amp;IF(AE963=0,"No net area – gross used, overlaps may be double-counted; ","")&amp;IF(AH963=0,"STATUS_YR missing – imputed in time series; ","")&amp;IF(AND(ISNUMBER($I963),N($I963)&gt;Setup!$B$6),"STATUS_YR after reporting year; ","")&amp;IF(OR($G963="",$G963="Not Reported"),"GOV_TYPE not reported; ","")&amp;IF(AND(N($J963)=1,$K963="Point",N($M963)&lt;=0),"Coastal point without REP_M_AREA – land/sea split unknown; ","")&amp;IF(AND(N($J963)=0,N($S963)&gt;0),"MARINE=0 but net marine &gt;0; ","")&amp;IF(AND(N($J963)=2,N($R963)&gt;0),"MARINE=2 but net terrestrial &gt;0; ","")&amp;IF($K963="Point","Buffered point – coverage approximate; ","")))</f>
        <v/>
      </c>
    </row>
    <row r="964">
      <c r="A964" s="19" t="n"/>
      <c r="B964" s="19" t="n"/>
      <c r="C964" s="19" t="n"/>
      <c r="D964" s="19" t="n"/>
      <c r="E964" s="19" t="n"/>
      <c r="F964" s="19" t="n"/>
      <c r="G964" s="19" t="n"/>
      <c r="H964" s="19" t="n"/>
      <c r="I964" s="19" t="n"/>
      <c r="J964" s="19" t="n"/>
      <c r="K964" s="19" t="n"/>
      <c r="L964" s="20" t="n"/>
      <c r="M964" s="20" t="n"/>
      <c r="N964" s="20" t="n"/>
      <c r="O964" s="20" t="n"/>
      <c r="P964" s="19" t="n"/>
      <c r="Q964" s="19" t="n"/>
      <c r="R964" s="20" t="n"/>
      <c r="S964" s="20" t="n"/>
      <c r="T964" s="19" t="n"/>
      <c r="U964" s="19" t="n"/>
      <c r="V964" s="19" t="n"/>
      <c r="W964" s="19" t="n"/>
      <c r="X964" s="19" t="n"/>
      <c r="Y964" s="19" t="n"/>
      <c r="Z964" s="21">
        <f>IF(AND($A964="",$B964=""),"",IF(OR($E964="",$H964="",$H964="Proposed",$H964="Not Reported"),0,IF(AND($P964="Y",$Q964&lt;&gt;"Y"),0,IF(AND($K964="Point",N($L964)&lt;=0),0,IF(AND(N($L964)&lt;=0,N($N964)&lt;=0,N($R964)+N($S964)&lt;=0),0,1)))))</f>
        <v/>
      </c>
      <c r="AA964" s="21">
        <f>IF(AND($A964="",$B964=""),"",IF($E964="","Site type missing",IF($H964="","STATUS missing",IF($H964="Proposed","STATUS = Proposed",IF($H964="Not Reported","STATUS = Not Reported",IF(AND($P964="Y",$Q964&lt;&gt;"Y"),"UNESCO-MAB Biosphere Reserve",IF(AND($K964="Point",N($L964)&lt;=0),"Point without REP_AREA",IF(AND(N($L964)&lt;=0,N($N964)&lt;=0,N($R964)+N($S964)&lt;=0),"No area information",""))))))))</f>
        <v/>
      </c>
      <c r="AB964" s="22">
        <f>IF(AND($A964="",$B964=""),"",IF($K964="Point",N($L964),IF(N($N964)&gt;0,N($N964),N($L964))))</f>
        <v/>
      </c>
      <c r="AC964" s="22">
        <f>IF(AND($A964="",$B964=""),"",MIN(AB964,IF(N($J964)=0,0,IF(N($J964)=2,AB964,IF(AND($K964&lt;&gt;"Point",N($O964)&gt;0),N($O964),N($M964))))))</f>
        <v/>
      </c>
      <c r="AD964" s="22">
        <f>IF(AND($A964="",$B964=""),"",MAX(0,AB964-AC964))</f>
        <v/>
      </c>
      <c r="AE964" s="21">
        <f>IF(AND($A964="",$B964=""),"",IF(OR($R964&lt;&gt;"",$S964&lt;&gt;""),1,0))</f>
        <v/>
      </c>
      <c r="AF964" s="22">
        <f>IF(AND($A964="",$B964=""),"",IF(Z964=1,IF(AE964=1,N($R964),AD964),0))</f>
        <v/>
      </c>
      <c r="AG964" s="22">
        <f>IF(AND($A964="",$B964=""),"",IF(Z964=1,IF(AE964=1,N($S964),AC964),0))</f>
        <v/>
      </c>
      <c r="AH964" s="21">
        <f>IF(AND($A964="",$B964=""),"",IF(AND(ISNUMBER($I964),N($I964)&gt;0),$I964,0))</f>
        <v/>
      </c>
      <c r="AI964" s="23">
        <f>IF(AND(NOT(AND($A964="",$B964="")),$K964="Point",N($L964)&gt;0),SQRT(N($L964)/PI()),"")</f>
        <v/>
      </c>
      <c r="AJ964" s="21">
        <f>IF(AND($A964="",$B964=""),"",IFERROR(VLOOKUP($G964,Lists!$D$4:$E$15,2,FALSE),"Not reported"))</f>
        <v/>
      </c>
      <c r="AK964" s="21">
        <f>IF(AND($A964="",$B964=""),"",IF($X964&lt;&gt;"",$X964,IF($T964&lt;&gt;"Y","Not assessed",IF(AND(ISNUMBER($V964),Setup!$B$6-$V964&gt;Setup!$B$26),"Assessment outdated",IF(NOT(ISNUMBER($W964)),"Assessed – no score",IF($W964&gt;=Setup!$B$24,"High",IF($W964&gt;=Setup!$B$25,"Moderate","Low")))))))</f>
        <v/>
      </c>
      <c r="AL964" s="21">
        <f>IF(AND($A964="",$B964=""),"",IF(Z964=0,"",IF(AND(AE964=1,N($R964)&gt;AD964*1.01+0.001),"Net terrestrial &gt; gross; ","")&amp;IF(AND(AE964=1,N($S964)&gt;AC964*1.01+0.001),"Net marine &gt; gross; ","")&amp;IF(AE964=0,"No net area – gross used, overlaps may be double-counted; ","")&amp;IF(AH964=0,"STATUS_YR missing – imputed in time series; ","")&amp;IF(AND(ISNUMBER($I964),N($I964)&gt;Setup!$B$6),"STATUS_YR after reporting year; ","")&amp;IF(OR($G964="",$G964="Not Reported"),"GOV_TYPE not reported; ","")&amp;IF(AND(N($J964)=1,$K964="Point",N($M964)&lt;=0),"Coastal point without REP_M_AREA – land/sea split unknown; ","")&amp;IF(AND(N($J964)=0,N($S964)&gt;0),"MARINE=0 but net marine &gt;0; ","")&amp;IF(AND(N($J964)=2,N($R964)&gt;0),"MARINE=2 but net terrestrial &gt;0; ","")&amp;IF($K964="Point","Buffered point – coverage approximate; ","")))</f>
        <v/>
      </c>
    </row>
    <row r="965">
      <c r="A965" s="19" t="n"/>
      <c r="B965" s="19" t="n"/>
      <c r="C965" s="19" t="n"/>
      <c r="D965" s="19" t="n"/>
      <c r="E965" s="19" t="n"/>
      <c r="F965" s="19" t="n"/>
      <c r="G965" s="19" t="n"/>
      <c r="H965" s="19" t="n"/>
      <c r="I965" s="19" t="n"/>
      <c r="J965" s="19" t="n"/>
      <c r="K965" s="19" t="n"/>
      <c r="L965" s="20" t="n"/>
      <c r="M965" s="20" t="n"/>
      <c r="N965" s="20" t="n"/>
      <c r="O965" s="20" t="n"/>
      <c r="P965" s="19" t="n"/>
      <c r="Q965" s="19" t="n"/>
      <c r="R965" s="20" t="n"/>
      <c r="S965" s="20" t="n"/>
      <c r="T965" s="19" t="n"/>
      <c r="U965" s="19" t="n"/>
      <c r="V965" s="19" t="n"/>
      <c r="W965" s="19" t="n"/>
      <c r="X965" s="19" t="n"/>
      <c r="Y965" s="19" t="n"/>
      <c r="Z965" s="21">
        <f>IF(AND($A965="",$B965=""),"",IF(OR($E965="",$H965="",$H965="Proposed",$H965="Not Reported"),0,IF(AND($P965="Y",$Q965&lt;&gt;"Y"),0,IF(AND($K965="Point",N($L965)&lt;=0),0,IF(AND(N($L965)&lt;=0,N($N965)&lt;=0,N($R965)+N($S965)&lt;=0),0,1)))))</f>
        <v/>
      </c>
      <c r="AA965" s="21">
        <f>IF(AND($A965="",$B965=""),"",IF($E965="","Site type missing",IF($H965="","STATUS missing",IF($H965="Proposed","STATUS = Proposed",IF($H965="Not Reported","STATUS = Not Reported",IF(AND($P965="Y",$Q965&lt;&gt;"Y"),"UNESCO-MAB Biosphere Reserve",IF(AND($K965="Point",N($L965)&lt;=0),"Point without REP_AREA",IF(AND(N($L965)&lt;=0,N($N965)&lt;=0,N($R965)+N($S965)&lt;=0),"No area information",""))))))))</f>
        <v/>
      </c>
      <c r="AB965" s="22">
        <f>IF(AND($A965="",$B965=""),"",IF($K965="Point",N($L965),IF(N($N965)&gt;0,N($N965),N($L965))))</f>
        <v/>
      </c>
      <c r="AC965" s="22">
        <f>IF(AND($A965="",$B965=""),"",MIN(AB965,IF(N($J965)=0,0,IF(N($J965)=2,AB965,IF(AND($K965&lt;&gt;"Point",N($O965)&gt;0),N($O965),N($M965))))))</f>
        <v/>
      </c>
      <c r="AD965" s="22">
        <f>IF(AND($A965="",$B965=""),"",MAX(0,AB965-AC965))</f>
        <v/>
      </c>
      <c r="AE965" s="21">
        <f>IF(AND($A965="",$B965=""),"",IF(OR($R965&lt;&gt;"",$S965&lt;&gt;""),1,0))</f>
        <v/>
      </c>
      <c r="AF965" s="22">
        <f>IF(AND($A965="",$B965=""),"",IF(Z965=1,IF(AE965=1,N($R965),AD965),0))</f>
        <v/>
      </c>
      <c r="AG965" s="22">
        <f>IF(AND($A965="",$B965=""),"",IF(Z965=1,IF(AE965=1,N($S965),AC965),0))</f>
        <v/>
      </c>
      <c r="AH965" s="21">
        <f>IF(AND($A965="",$B965=""),"",IF(AND(ISNUMBER($I965),N($I965)&gt;0),$I965,0))</f>
        <v/>
      </c>
      <c r="AI965" s="23">
        <f>IF(AND(NOT(AND($A965="",$B965="")),$K965="Point",N($L965)&gt;0),SQRT(N($L965)/PI()),"")</f>
        <v/>
      </c>
      <c r="AJ965" s="21">
        <f>IF(AND($A965="",$B965=""),"",IFERROR(VLOOKUP($G965,Lists!$D$4:$E$15,2,FALSE),"Not reported"))</f>
        <v/>
      </c>
      <c r="AK965" s="21">
        <f>IF(AND($A965="",$B965=""),"",IF($X965&lt;&gt;"",$X965,IF($T965&lt;&gt;"Y","Not assessed",IF(AND(ISNUMBER($V965),Setup!$B$6-$V965&gt;Setup!$B$26),"Assessment outdated",IF(NOT(ISNUMBER($W965)),"Assessed – no score",IF($W965&gt;=Setup!$B$24,"High",IF($W965&gt;=Setup!$B$25,"Moderate","Low")))))))</f>
        <v/>
      </c>
      <c r="AL965" s="21">
        <f>IF(AND($A965="",$B965=""),"",IF(Z965=0,"",IF(AND(AE965=1,N($R965)&gt;AD965*1.01+0.001),"Net terrestrial &gt; gross; ","")&amp;IF(AND(AE965=1,N($S965)&gt;AC965*1.01+0.001),"Net marine &gt; gross; ","")&amp;IF(AE965=0,"No net area – gross used, overlaps may be double-counted; ","")&amp;IF(AH965=0,"STATUS_YR missing – imputed in time series; ","")&amp;IF(AND(ISNUMBER($I965),N($I965)&gt;Setup!$B$6),"STATUS_YR after reporting year; ","")&amp;IF(OR($G965="",$G965="Not Reported"),"GOV_TYPE not reported; ","")&amp;IF(AND(N($J965)=1,$K965="Point",N($M965)&lt;=0),"Coastal point without REP_M_AREA – land/sea split unknown; ","")&amp;IF(AND(N($J965)=0,N($S965)&gt;0),"MARINE=0 but net marine &gt;0; ","")&amp;IF(AND(N($J965)=2,N($R965)&gt;0),"MARINE=2 but net terrestrial &gt;0; ","")&amp;IF($K965="Point","Buffered point – coverage approximate; ","")))</f>
        <v/>
      </c>
    </row>
    <row r="966">
      <c r="A966" s="19" t="n"/>
      <c r="B966" s="19" t="n"/>
      <c r="C966" s="19" t="n"/>
      <c r="D966" s="19" t="n"/>
      <c r="E966" s="19" t="n"/>
      <c r="F966" s="19" t="n"/>
      <c r="G966" s="19" t="n"/>
      <c r="H966" s="19" t="n"/>
      <c r="I966" s="19" t="n"/>
      <c r="J966" s="19" t="n"/>
      <c r="K966" s="19" t="n"/>
      <c r="L966" s="20" t="n"/>
      <c r="M966" s="20" t="n"/>
      <c r="N966" s="20" t="n"/>
      <c r="O966" s="20" t="n"/>
      <c r="P966" s="19" t="n"/>
      <c r="Q966" s="19" t="n"/>
      <c r="R966" s="20" t="n"/>
      <c r="S966" s="20" t="n"/>
      <c r="T966" s="19" t="n"/>
      <c r="U966" s="19" t="n"/>
      <c r="V966" s="19" t="n"/>
      <c r="W966" s="19" t="n"/>
      <c r="X966" s="19" t="n"/>
      <c r="Y966" s="19" t="n"/>
      <c r="Z966" s="21">
        <f>IF(AND($A966="",$B966=""),"",IF(OR($E966="",$H966="",$H966="Proposed",$H966="Not Reported"),0,IF(AND($P966="Y",$Q966&lt;&gt;"Y"),0,IF(AND($K966="Point",N($L966)&lt;=0),0,IF(AND(N($L966)&lt;=0,N($N966)&lt;=0,N($R966)+N($S966)&lt;=0),0,1)))))</f>
        <v/>
      </c>
      <c r="AA966" s="21">
        <f>IF(AND($A966="",$B966=""),"",IF($E966="","Site type missing",IF($H966="","STATUS missing",IF($H966="Proposed","STATUS = Proposed",IF($H966="Not Reported","STATUS = Not Reported",IF(AND($P966="Y",$Q966&lt;&gt;"Y"),"UNESCO-MAB Biosphere Reserve",IF(AND($K966="Point",N($L966)&lt;=0),"Point without REP_AREA",IF(AND(N($L966)&lt;=0,N($N966)&lt;=0,N($R966)+N($S966)&lt;=0),"No area information",""))))))))</f>
        <v/>
      </c>
      <c r="AB966" s="22">
        <f>IF(AND($A966="",$B966=""),"",IF($K966="Point",N($L966),IF(N($N966)&gt;0,N($N966),N($L966))))</f>
        <v/>
      </c>
      <c r="AC966" s="22">
        <f>IF(AND($A966="",$B966=""),"",MIN(AB966,IF(N($J966)=0,0,IF(N($J966)=2,AB966,IF(AND($K966&lt;&gt;"Point",N($O966)&gt;0),N($O966),N($M966))))))</f>
        <v/>
      </c>
      <c r="AD966" s="22">
        <f>IF(AND($A966="",$B966=""),"",MAX(0,AB966-AC966))</f>
        <v/>
      </c>
      <c r="AE966" s="21">
        <f>IF(AND($A966="",$B966=""),"",IF(OR($R966&lt;&gt;"",$S966&lt;&gt;""),1,0))</f>
        <v/>
      </c>
      <c r="AF966" s="22">
        <f>IF(AND($A966="",$B966=""),"",IF(Z966=1,IF(AE966=1,N($R966),AD966),0))</f>
        <v/>
      </c>
      <c r="AG966" s="22">
        <f>IF(AND($A966="",$B966=""),"",IF(Z966=1,IF(AE966=1,N($S966),AC966),0))</f>
        <v/>
      </c>
      <c r="AH966" s="21">
        <f>IF(AND($A966="",$B966=""),"",IF(AND(ISNUMBER($I966),N($I966)&gt;0),$I966,0))</f>
        <v/>
      </c>
      <c r="AI966" s="23">
        <f>IF(AND(NOT(AND($A966="",$B966="")),$K966="Point",N($L966)&gt;0),SQRT(N($L966)/PI()),"")</f>
        <v/>
      </c>
      <c r="AJ966" s="21">
        <f>IF(AND($A966="",$B966=""),"",IFERROR(VLOOKUP($G966,Lists!$D$4:$E$15,2,FALSE),"Not reported"))</f>
        <v/>
      </c>
      <c r="AK966" s="21">
        <f>IF(AND($A966="",$B966=""),"",IF($X966&lt;&gt;"",$X966,IF($T966&lt;&gt;"Y","Not assessed",IF(AND(ISNUMBER($V966),Setup!$B$6-$V966&gt;Setup!$B$26),"Assessment outdated",IF(NOT(ISNUMBER($W966)),"Assessed – no score",IF($W966&gt;=Setup!$B$24,"High",IF($W966&gt;=Setup!$B$25,"Moderate","Low")))))))</f>
        <v/>
      </c>
      <c r="AL966" s="21">
        <f>IF(AND($A966="",$B966=""),"",IF(Z966=0,"",IF(AND(AE966=1,N($R966)&gt;AD966*1.01+0.001),"Net terrestrial &gt; gross; ","")&amp;IF(AND(AE966=1,N($S966)&gt;AC966*1.01+0.001),"Net marine &gt; gross; ","")&amp;IF(AE966=0,"No net area – gross used, overlaps may be double-counted; ","")&amp;IF(AH966=0,"STATUS_YR missing – imputed in time series; ","")&amp;IF(AND(ISNUMBER($I966),N($I966)&gt;Setup!$B$6),"STATUS_YR after reporting year; ","")&amp;IF(OR($G966="",$G966="Not Reported"),"GOV_TYPE not reported; ","")&amp;IF(AND(N($J966)=1,$K966="Point",N($M966)&lt;=0),"Coastal point without REP_M_AREA – land/sea split unknown; ","")&amp;IF(AND(N($J966)=0,N($S966)&gt;0),"MARINE=0 but net marine &gt;0; ","")&amp;IF(AND(N($J966)=2,N($R966)&gt;0),"MARINE=2 but net terrestrial &gt;0; ","")&amp;IF($K966="Point","Buffered point – coverage approximate; ","")))</f>
        <v/>
      </c>
    </row>
    <row r="967">
      <c r="A967" s="19" t="n"/>
      <c r="B967" s="19" t="n"/>
      <c r="C967" s="19" t="n"/>
      <c r="D967" s="19" t="n"/>
      <c r="E967" s="19" t="n"/>
      <c r="F967" s="19" t="n"/>
      <c r="G967" s="19" t="n"/>
      <c r="H967" s="19" t="n"/>
      <c r="I967" s="19" t="n"/>
      <c r="J967" s="19" t="n"/>
      <c r="K967" s="19" t="n"/>
      <c r="L967" s="20" t="n"/>
      <c r="M967" s="20" t="n"/>
      <c r="N967" s="20" t="n"/>
      <c r="O967" s="20" t="n"/>
      <c r="P967" s="19" t="n"/>
      <c r="Q967" s="19" t="n"/>
      <c r="R967" s="20" t="n"/>
      <c r="S967" s="20" t="n"/>
      <c r="T967" s="19" t="n"/>
      <c r="U967" s="19" t="n"/>
      <c r="V967" s="19" t="n"/>
      <c r="W967" s="19" t="n"/>
      <c r="X967" s="19" t="n"/>
      <c r="Y967" s="19" t="n"/>
      <c r="Z967" s="21">
        <f>IF(AND($A967="",$B967=""),"",IF(OR($E967="",$H967="",$H967="Proposed",$H967="Not Reported"),0,IF(AND($P967="Y",$Q967&lt;&gt;"Y"),0,IF(AND($K967="Point",N($L967)&lt;=0),0,IF(AND(N($L967)&lt;=0,N($N967)&lt;=0,N($R967)+N($S967)&lt;=0),0,1)))))</f>
        <v/>
      </c>
      <c r="AA967" s="21">
        <f>IF(AND($A967="",$B967=""),"",IF($E967="","Site type missing",IF($H967="","STATUS missing",IF($H967="Proposed","STATUS = Proposed",IF($H967="Not Reported","STATUS = Not Reported",IF(AND($P967="Y",$Q967&lt;&gt;"Y"),"UNESCO-MAB Biosphere Reserve",IF(AND($K967="Point",N($L967)&lt;=0),"Point without REP_AREA",IF(AND(N($L967)&lt;=0,N($N967)&lt;=0,N($R967)+N($S967)&lt;=0),"No area information",""))))))))</f>
        <v/>
      </c>
      <c r="AB967" s="22">
        <f>IF(AND($A967="",$B967=""),"",IF($K967="Point",N($L967),IF(N($N967)&gt;0,N($N967),N($L967))))</f>
        <v/>
      </c>
      <c r="AC967" s="22">
        <f>IF(AND($A967="",$B967=""),"",MIN(AB967,IF(N($J967)=0,0,IF(N($J967)=2,AB967,IF(AND($K967&lt;&gt;"Point",N($O967)&gt;0),N($O967),N($M967))))))</f>
        <v/>
      </c>
      <c r="AD967" s="22">
        <f>IF(AND($A967="",$B967=""),"",MAX(0,AB967-AC967))</f>
        <v/>
      </c>
      <c r="AE967" s="21">
        <f>IF(AND($A967="",$B967=""),"",IF(OR($R967&lt;&gt;"",$S967&lt;&gt;""),1,0))</f>
        <v/>
      </c>
      <c r="AF967" s="22">
        <f>IF(AND($A967="",$B967=""),"",IF(Z967=1,IF(AE967=1,N($R967),AD967),0))</f>
        <v/>
      </c>
      <c r="AG967" s="22">
        <f>IF(AND($A967="",$B967=""),"",IF(Z967=1,IF(AE967=1,N($S967),AC967),0))</f>
        <v/>
      </c>
      <c r="AH967" s="21">
        <f>IF(AND($A967="",$B967=""),"",IF(AND(ISNUMBER($I967),N($I967)&gt;0),$I967,0))</f>
        <v/>
      </c>
      <c r="AI967" s="23">
        <f>IF(AND(NOT(AND($A967="",$B967="")),$K967="Point",N($L967)&gt;0),SQRT(N($L967)/PI()),"")</f>
        <v/>
      </c>
      <c r="AJ967" s="21">
        <f>IF(AND($A967="",$B967=""),"",IFERROR(VLOOKUP($G967,Lists!$D$4:$E$15,2,FALSE),"Not reported"))</f>
        <v/>
      </c>
      <c r="AK967" s="21">
        <f>IF(AND($A967="",$B967=""),"",IF($X967&lt;&gt;"",$X967,IF($T967&lt;&gt;"Y","Not assessed",IF(AND(ISNUMBER($V967),Setup!$B$6-$V967&gt;Setup!$B$26),"Assessment outdated",IF(NOT(ISNUMBER($W967)),"Assessed – no score",IF($W967&gt;=Setup!$B$24,"High",IF($W967&gt;=Setup!$B$25,"Moderate","Low")))))))</f>
        <v/>
      </c>
      <c r="AL967" s="21">
        <f>IF(AND($A967="",$B967=""),"",IF(Z967=0,"",IF(AND(AE967=1,N($R967)&gt;AD967*1.01+0.001),"Net terrestrial &gt; gross; ","")&amp;IF(AND(AE967=1,N($S967)&gt;AC967*1.01+0.001),"Net marine &gt; gross; ","")&amp;IF(AE967=0,"No net area – gross used, overlaps may be double-counted; ","")&amp;IF(AH967=0,"STATUS_YR missing – imputed in time series; ","")&amp;IF(AND(ISNUMBER($I967),N($I967)&gt;Setup!$B$6),"STATUS_YR after reporting year; ","")&amp;IF(OR($G967="",$G967="Not Reported"),"GOV_TYPE not reported; ","")&amp;IF(AND(N($J967)=1,$K967="Point",N($M967)&lt;=0),"Coastal point without REP_M_AREA – land/sea split unknown; ","")&amp;IF(AND(N($J967)=0,N($S967)&gt;0),"MARINE=0 but net marine &gt;0; ","")&amp;IF(AND(N($J967)=2,N($R967)&gt;0),"MARINE=2 but net terrestrial &gt;0; ","")&amp;IF($K967="Point","Buffered point – coverage approximate; ","")))</f>
        <v/>
      </c>
    </row>
    <row r="968">
      <c r="A968" s="19" t="n"/>
      <c r="B968" s="19" t="n"/>
      <c r="C968" s="19" t="n"/>
      <c r="D968" s="19" t="n"/>
      <c r="E968" s="19" t="n"/>
      <c r="F968" s="19" t="n"/>
      <c r="G968" s="19" t="n"/>
      <c r="H968" s="19" t="n"/>
      <c r="I968" s="19" t="n"/>
      <c r="J968" s="19" t="n"/>
      <c r="K968" s="19" t="n"/>
      <c r="L968" s="20" t="n"/>
      <c r="M968" s="20" t="n"/>
      <c r="N968" s="20" t="n"/>
      <c r="O968" s="20" t="n"/>
      <c r="P968" s="19" t="n"/>
      <c r="Q968" s="19" t="n"/>
      <c r="R968" s="20" t="n"/>
      <c r="S968" s="20" t="n"/>
      <c r="T968" s="19" t="n"/>
      <c r="U968" s="19" t="n"/>
      <c r="V968" s="19" t="n"/>
      <c r="W968" s="19" t="n"/>
      <c r="X968" s="19" t="n"/>
      <c r="Y968" s="19" t="n"/>
      <c r="Z968" s="21">
        <f>IF(AND($A968="",$B968=""),"",IF(OR($E968="",$H968="",$H968="Proposed",$H968="Not Reported"),0,IF(AND($P968="Y",$Q968&lt;&gt;"Y"),0,IF(AND($K968="Point",N($L968)&lt;=0),0,IF(AND(N($L968)&lt;=0,N($N968)&lt;=0,N($R968)+N($S968)&lt;=0),0,1)))))</f>
        <v/>
      </c>
      <c r="AA968" s="21">
        <f>IF(AND($A968="",$B968=""),"",IF($E968="","Site type missing",IF($H968="","STATUS missing",IF($H968="Proposed","STATUS = Proposed",IF($H968="Not Reported","STATUS = Not Reported",IF(AND($P968="Y",$Q968&lt;&gt;"Y"),"UNESCO-MAB Biosphere Reserve",IF(AND($K968="Point",N($L968)&lt;=0),"Point without REP_AREA",IF(AND(N($L968)&lt;=0,N($N968)&lt;=0,N($R968)+N($S968)&lt;=0),"No area information",""))))))))</f>
        <v/>
      </c>
      <c r="AB968" s="22">
        <f>IF(AND($A968="",$B968=""),"",IF($K968="Point",N($L968),IF(N($N968)&gt;0,N($N968),N($L968))))</f>
        <v/>
      </c>
      <c r="AC968" s="22">
        <f>IF(AND($A968="",$B968=""),"",MIN(AB968,IF(N($J968)=0,0,IF(N($J968)=2,AB968,IF(AND($K968&lt;&gt;"Point",N($O968)&gt;0),N($O968),N($M968))))))</f>
        <v/>
      </c>
      <c r="AD968" s="22">
        <f>IF(AND($A968="",$B968=""),"",MAX(0,AB968-AC968))</f>
        <v/>
      </c>
      <c r="AE968" s="21">
        <f>IF(AND($A968="",$B968=""),"",IF(OR($R968&lt;&gt;"",$S968&lt;&gt;""),1,0))</f>
        <v/>
      </c>
      <c r="AF968" s="22">
        <f>IF(AND($A968="",$B968=""),"",IF(Z968=1,IF(AE968=1,N($R968),AD968),0))</f>
        <v/>
      </c>
      <c r="AG968" s="22">
        <f>IF(AND($A968="",$B968=""),"",IF(Z968=1,IF(AE968=1,N($S968),AC968),0))</f>
        <v/>
      </c>
      <c r="AH968" s="21">
        <f>IF(AND($A968="",$B968=""),"",IF(AND(ISNUMBER($I968),N($I968)&gt;0),$I968,0))</f>
        <v/>
      </c>
      <c r="AI968" s="23">
        <f>IF(AND(NOT(AND($A968="",$B968="")),$K968="Point",N($L968)&gt;0),SQRT(N($L968)/PI()),"")</f>
        <v/>
      </c>
      <c r="AJ968" s="21">
        <f>IF(AND($A968="",$B968=""),"",IFERROR(VLOOKUP($G968,Lists!$D$4:$E$15,2,FALSE),"Not reported"))</f>
        <v/>
      </c>
      <c r="AK968" s="21">
        <f>IF(AND($A968="",$B968=""),"",IF($X968&lt;&gt;"",$X968,IF($T968&lt;&gt;"Y","Not assessed",IF(AND(ISNUMBER($V968),Setup!$B$6-$V968&gt;Setup!$B$26),"Assessment outdated",IF(NOT(ISNUMBER($W968)),"Assessed – no score",IF($W968&gt;=Setup!$B$24,"High",IF($W968&gt;=Setup!$B$25,"Moderate","Low")))))))</f>
        <v/>
      </c>
      <c r="AL968" s="21">
        <f>IF(AND($A968="",$B968=""),"",IF(Z968=0,"",IF(AND(AE968=1,N($R968)&gt;AD968*1.01+0.001),"Net terrestrial &gt; gross; ","")&amp;IF(AND(AE968=1,N($S968)&gt;AC968*1.01+0.001),"Net marine &gt; gross; ","")&amp;IF(AE968=0,"No net area – gross used, overlaps may be double-counted; ","")&amp;IF(AH968=0,"STATUS_YR missing – imputed in time series; ","")&amp;IF(AND(ISNUMBER($I968),N($I968)&gt;Setup!$B$6),"STATUS_YR after reporting year; ","")&amp;IF(OR($G968="",$G968="Not Reported"),"GOV_TYPE not reported; ","")&amp;IF(AND(N($J968)=1,$K968="Point",N($M968)&lt;=0),"Coastal point without REP_M_AREA – land/sea split unknown; ","")&amp;IF(AND(N($J968)=0,N($S968)&gt;0),"MARINE=0 but net marine &gt;0; ","")&amp;IF(AND(N($J968)=2,N($R968)&gt;0),"MARINE=2 but net terrestrial &gt;0; ","")&amp;IF($K968="Point","Buffered point – coverage approximate; ","")))</f>
        <v/>
      </c>
    </row>
    <row r="969">
      <c r="A969" s="19" t="n"/>
      <c r="B969" s="19" t="n"/>
      <c r="C969" s="19" t="n"/>
      <c r="D969" s="19" t="n"/>
      <c r="E969" s="19" t="n"/>
      <c r="F969" s="19" t="n"/>
      <c r="G969" s="19" t="n"/>
      <c r="H969" s="19" t="n"/>
      <c r="I969" s="19" t="n"/>
      <c r="J969" s="19" t="n"/>
      <c r="K969" s="19" t="n"/>
      <c r="L969" s="20" t="n"/>
      <c r="M969" s="20" t="n"/>
      <c r="N969" s="20" t="n"/>
      <c r="O969" s="20" t="n"/>
      <c r="P969" s="19" t="n"/>
      <c r="Q969" s="19" t="n"/>
      <c r="R969" s="20" t="n"/>
      <c r="S969" s="20" t="n"/>
      <c r="T969" s="19" t="n"/>
      <c r="U969" s="19" t="n"/>
      <c r="V969" s="19" t="n"/>
      <c r="W969" s="19" t="n"/>
      <c r="X969" s="19" t="n"/>
      <c r="Y969" s="19" t="n"/>
      <c r="Z969" s="21">
        <f>IF(AND($A969="",$B969=""),"",IF(OR($E969="",$H969="",$H969="Proposed",$H969="Not Reported"),0,IF(AND($P969="Y",$Q969&lt;&gt;"Y"),0,IF(AND($K969="Point",N($L969)&lt;=0),0,IF(AND(N($L969)&lt;=0,N($N969)&lt;=0,N($R969)+N($S969)&lt;=0),0,1)))))</f>
        <v/>
      </c>
      <c r="AA969" s="21">
        <f>IF(AND($A969="",$B969=""),"",IF($E969="","Site type missing",IF($H969="","STATUS missing",IF($H969="Proposed","STATUS = Proposed",IF($H969="Not Reported","STATUS = Not Reported",IF(AND($P969="Y",$Q969&lt;&gt;"Y"),"UNESCO-MAB Biosphere Reserve",IF(AND($K969="Point",N($L969)&lt;=0),"Point without REP_AREA",IF(AND(N($L969)&lt;=0,N($N969)&lt;=0,N($R969)+N($S969)&lt;=0),"No area information",""))))))))</f>
        <v/>
      </c>
      <c r="AB969" s="22">
        <f>IF(AND($A969="",$B969=""),"",IF($K969="Point",N($L969),IF(N($N969)&gt;0,N($N969),N($L969))))</f>
        <v/>
      </c>
      <c r="AC969" s="22">
        <f>IF(AND($A969="",$B969=""),"",MIN(AB969,IF(N($J969)=0,0,IF(N($J969)=2,AB969,IF(AND($K969&lt;&gt;"Point",N($O969)&gt;0),N($O969),N($M969))))))</f>
        <v/>
      </c>
      <c r="AD969" s="22">
        <f>IF(AND($A969="",$B969=""),"",MAX(0,AB969-AC969))</f>
        <v/>
      </c>
      <c r="AE969" s="21">
        <f>IF(AND($A969="",$B969=""),"",IF(OR($R969&lt;&gt;"",$S969&lt;&gt;""),1,0))</f>
        <v/>
      </c>
      <c r="AF969" s="22">
        <f>IF(AND($A969="",$B969=""),"",IF(Z969=1,IF(AE969=1,N($R969),AD969),0))</f>
        <v/>
      </c>
      <c r="AG969" s="22">
        <f>IF(AND($A969="",$B969=""),"",IF(Z969=1,IF(AE969=1,N($S969),AC969),0))</f>
        <v/>
      </c>
      <c r="AH969" s="21">
        <f>IF(AND($A969="",$B969=""),"",IF(AND(ISNUMBER($I969),N($I969)&gt;0),$I969,0))</f>
        <v/>
      </c>
      <c r="AI969" s="23">
        <f>IF(AND(NOT(AND($A969="",$B969="")),$K969="Point",N($L969)&gt;0),SQRT(N($L969)/PI()),"")</f>
        <v/>
      </c>
      <c r="AJ969" s="21">
        <f>IF(AND($A969="",$B969=""),"",IFERROR(VLOOKUP($G969,Lists!$D$4:$E$15,2,FALSE),"Not reported"))</f>
        <v/>
      </c>
      <c r="AK969" s="21">
        <f>IF(AND($A969="",$B969=""),"",IF($X969&lt;&gt;"",$X969,IF($T969&lt;&gt;"Y","Not assessed",IF(AND(ISNUMBER($V969),Setup!$B$6-$V969&gt;Setup!$B$26),"Assessment outdated",IF(NOT(ISNUMBER($W969)),"Assessed – no score",IF($W969&gt;=Setup!$B$24,"High",IF($W969&gt;=Setup!$B$25,"Moderate","Low")))))))</f>
        <v/>
      </c>
      <c r="AL969" s="21">
        <f>IF(AND($A969="",$B969=""),"",IF(Z969=0,"",IF(AND(AE969=1,N($R969)&gt;AD969*1.01+0.001),"Net terrestrial &gt; gross; ","")&amp;IF(AND(AE969=1,N($S969)&gt;AC969*1.01+0.001),"Net marine &gt; gross; ","")&amp;IF(AE969=0,"No net area – gross used, overlaps may be double-counted; ","")&amp;IF(AH969=0,"STATUS_YR missing – imputed in time series; ","")&amp;IF(AND(ISNUMBER($I969),N($I969)&gt;Setup!$B$6),"STATUS_YR after reporting year; ","")&amp;IF(OR($G969="",$G969="Not Reported"),"GOV_TYPE not reported; ","")&amp;IF(AND(N($J969)=1,$K969="Point",N($M969)&lt;=0),"Coastal point without REP_M_AREA – land/sea split unknown; ","")&amp;IF(AND(N($J969)=0,N($S969)&gt;0),"MARINE=0 but net marine &gt;0; ","")&amp;IF(AND(N($J969)=2,N($R969)&gt;0),"MARINE=2 but net terrestrial &gt;0; ","")&amp;IF($K969="Point","Buffered point – coverage approximate; ","")))</f>
        <v/>
      </c>
    </row>
    <row r="970">
      <c r="A970" s="19" t="n"/>
      <c r="B970" s="19" t="n"/>
      <c r="C970" s="19" t="n"/>
      <c r="D970" s="19" t="n"/>
      <c r="E970" s="19" t="n"/>
      <c r="F970" s="19" t="n"/>
      <c r="G970" s="19" t="n"/>
      <c r="H970" s="19" t="n"/>
      <c r="I970" s="19" t="n"/>
      <c r="J970" s="19" t="n"/>
      <c r="K970" s="19" t="n"/>
      <c r="L970" s="20" t="n"/>
      <c r="M970" s="20" t="n"/>
      <c r="N970" s="20" t="n"/>
      <c r="O970" s="20" t="n"/>
      <c r="P970" s="19" t="n"/>
      <c r="Q970" s="19" t="n"/>
      <c r="R970" s="20" t="n"/>
      <c r="S970" s="20" t="n"/>
      <c r="T970" s="19" t="n"/>
      <c r="U970" s="19" t="n"/>
      <c r="V970" s="19" t="n"/>
      <c r="W970" s="19" t="n"/>
      <c r="X970" s="19" t="n"/>
      <c r="Y970" s="19" t="n"/>
      <c r="Z970" s="21">
        <f>IF(AND($A970="",$B970=""),"",IF(OR($E970="",$H970="",$H970="Proposed",$H970="Not Reported"),0,IF(AND($P970="Y",$Q970&lt;&gt;"Y"),0,IF(AND($K970="Point",N($L970)&lt;=0),0,IF(AND(N($L970)&lt;=0,N($N970)&lt;=0,N($R970)+N($S970)&lt;=0),0,1)))))</f>
        <v/>
      </c>
      <c r="AA970" s="21">
        <f>IF(AND($A970="",$B970=""),"",IF($E970="","Site type missing",IF($H970="","STATUS missing",IF($H970="Proposed","STATUS = Proposed",IF($H970="Not Reported","STATUS = Not Reported",IF(AND($P970="Y",$Q970&lt;&gt;"Y"),"UNESCO-MAB Biosphere Reserve",IF(AND($K970="Point",N($L970)&lt;=0),"Point without REP_AREA",IF(AND(N($L970)&lt;=0,N($N970)&lt;=0,N($R970)+N($S970)&lt;=0),"No area information",""))))))))</f>
        <v/>
      </c>
      <c r="AB970" s="22">
        <f>IF(AND($A970="",$B970=""),"",IF($K970="Point",N($L970),IF(N($N970)&gt;0,N($N970),N($L970))))</f>
        <v/>
      </c>
      <c r="AC970" s="22">
        <f>IF(AND($A970="",$B970=""),"",MIN(AB970,IF(N($J970)=0,0,IF(N($J970)=2,AB970,IF(AND($K970&lt;&gt;"Point",N($O970)&gt;0),N($O970),N($M970))))))</f>
        <v/>
      </c>
      <c r="AD970" s="22">
        <f>IF(AND($A970="",$B970=""),"",MAX(0,AB970-AC970))</f>
        <v/>
      </c>
      <c r="AE970" s="21">
        <f>IF(AND($A970="",$B970=""),"",IF(OR($R970&lt;&gt;"",$S970&lt;&gt;""),1,0))</f>
        <v/>
      </c>
      <c r="AF970" s="22">
        <f>IF(AND($A970="",$B970=""),"",IF(Z970=1,IF(AE970=1,N($R970),AD970),0))</f>
        <v/>
      </c>
      <c r="AG970" s="22">
        <f>IF(AND($A970="",$B970=""),"",IF(Z970=1,IF(AE970=1,N($S970),AC970),0))</f>
        <v/>
      </c>
      <c r="AH970" s="21">
        <f>IF(AND($A970="",$B970=""),"",IF(AND(ISNUMBER($I970),N($I970)&gt;0),$I970,0))</f>
        <v/>
      </c>
      <c r="AI970" s="23">
        <f>IF(AND(NOT(AND($A970="",$B970="")),$K970="Point",N($L970)&gt;0),SQRT(N($L970)/PI()),"")</f>
        <v/>
      </c>
      <c r="AJ970" s="21">
        <f>IF(AND($A970="",$B970=""),"",IFERROR(VLOOKUP($G970,Lists!$D$4:$E$15,2,FALSE),"Not reported"))</f>
        <v/>
      </c>
      <c r="AK970" s="21">
        <f>IF(AND($A970="",$B970=""),"",IF($X970&lt;&gt;"",$X970,IF($T970&lt;&gt;"Y","Not assessed",IF(AND(ISNUMBER($V970),Setup!$B$6-$V970&gt;Setup!$B$26),"Assessment outdated",IF(NOT(ISNUMBER($W970)),"Assessed – no score",IF($W970&gt;=Setup!$B$24,"High",IF($W970&gt;=Setup!$B$25,"Moderate","Low")))))))</f>
        <v/>
      </c>
      <c r="AL970" s="21">
        <f>IF(AND($A970="",$B970=""),"",IF(Z970=0,"",IF(AND(AE970=1,N($R970)&gt;AD970*1.01+0.001),"Net terrestrial &gt; gross; ","")&amp;IF(AND(AE970=1,N($S970)&gt;AC970*1.01+0.001),"Net marine &gt; gross; ","")&amp;IF(AE970=0,"No net area – gross used, overlaps may be double-counted; ","")&amp;IF(AH970=0,"STATUS_YR missing – imputed in time series; ","")&amp;IF(AND(ISNUMBER($I970),N($I970)&gt;Setup!$B$6),"STATUS_YR after reporting year; ","")&amp;IF(OR($G970="",$G970="Not Reported"),"GOV_TYPE not reported; ","")&amp;IF(AND(N($J970)=1,$K970="Point",N($M970)&lt;=0),"Coastal point without REP_M_AREA – land/sea split unknown; ","")&amp;IF(AND(N($J970)=0,N($S970)&gt;0),"MARINE=0 but net marine &gt;0; ","")&amp;IF(AND(N($J970)=2,N($R970)&gt;0),"MARINE=2 but net terrestrial &gt;0; ","")&amp;IF($K970="Point","Buffered point – coverage approximate; ","")))</f>
        <v/>
      </c>
    </row>
    <row r="971">
      <c r="A971" s="19" t="n"/>
      <c r="B971" s="19" t="n"/>
      <c r="C971" s="19" t="n"/>
      <c r="D971" s="19" t="n"/>
      <c r="E971" s="19" t="n"/>
      <c r="F971" s="19" t="n"/>
      <c r="G971" s="19" t="n"/>
      <c r="H971" s="19" t="n"/>
      <c r="I971" s="19" t="n"/>
      <c r="J971" s="19" t="n"/>
      <c r="K971" s="19" t="n"/>
      <c r="L971" s="20" t="n"/>
      <c r="M971" s="20" t="n"/>
      <c r="N971" s="20" t="n"/>
      <c r="O971" s="20" t="n"/>
      <c r="P971" s="19" t="n"/>
      <c r="Q971" s="19" t="n"/>
      <c r="R971" s="20" t="n"/>
      <c r="S971" s="20" t="n"/>
      <c r="T971" s="19" t="n"/>
      <c r="U971" s="19" t="n"/>
      <c r="V971" s="19" t="n"/>
      <c r="W971" s="19" t="n"/>
      <c r="X971" s="19" t="n"/>
      <c r="Y971" s="19" t="n"/>
      <c r="Z971" s="21">
        <f>IF(AND($A971="",$B971=""),"",IF(OR($E971="",$H971="",$H971="Proposed",$H971="Not Reported"),0,IF(AND($P971="Y",$Q971&lt;&gt;"Y"),0,IF(AND($K971="Point",N($L971)&lt;=0),0,IF(AND(N($L971)&lt;=0,N($N971)&lt;=0,N($R971)+N($S971)&lt;=0),0,1)))))</f>
        <v/>
      </c>
      <c r="AA971" s="21">
        <f>IF(AND($A971="",$B971=""),"",IF($E971="","Site type missing",IF($H971="","STATUS missing",IF($H971="Proposed","STATUS = Proposed",IF($H971="Not Reported","STATUS = Not Reported",IF(AND($P971="Y",$Q971&lt;&gt;"Y"),"UNESCO-MAB Biosphere Reserve",IF(AND($K971="Point",N($L971)&lt;=0),"Point without REP_AREA",IF(AND(N($L971)&lt;=0,N($N971)&lt;=0,N($R971)+N($S971)&lt;=0),"No area information",""))))))))</f>
        <v/>
      </c>
      <c r="AB971" s="22">
        <f>IF(AND($A971="",$B971=""),"",IF($K971="Point",N($L971),IF(N($N971)&gt;0,N($N971),N($L971))))</f>
        <v/>
      </c>
      <c r="AC971" s="22">
        <f>IF(AND($A971="",$B971=""),"",MIN(AB971,IF(N($J971)=0,0,IF(N($J971)=2,AB971,IF(AND($K971&lt;&gt;"Point",N($O971)&gt;0),N($O971),N($M971))))))</f>
        <v/>
      </c>
      <c r="AD971" s="22">
        <f>IF(AND($A971="",$B971=""),"",MAX(0,AB971-AC971))</f>
        <v/>
      </c>
      <c r="AE971" s="21">
        <f>IF(AND($A971="",$B971=""),"",IF(OR($R971&lt;&gt;"",$S971&lt;&gt;""),1,0))</f>
        <v/>
      </c>
      <c r="AF971" s="22">
        <f>IF(AND($A971="",$B971=""),"",IF(Z971=1,IF(AE971=1,N($R971),AD971),0))</f>
        <v/>
      </c>
      <c r="AG971" s="22">
        <f>IF(AND($A971="",$B971=""),"",IF(Z971=1,IF(AE971=1,N($S971),AC971),0))</f>
        <v/>
      </c>
      <c r="AH971" s="21">
        <f>IF(AND($A971="",$B971=""),"",IF(AND(ISNUMBER($I971),N($I971)&gt;0),$I971,0))</f>
        <v/>
      </c>
      <c r="AI971" s="23">
        <f>IF(AND(NOT(AND($A971="",$B971="")),$K971="Point",N($L971)&gt;0),SQRT(N($L971)/PI()),"")</f>
        <v/>
      </c>
      <c r="AJ971" s="21">
        <f>IF(AND($A971="",$B971=""),"",IFERROR(VLOOKUP($G971,Lists!$D$4:$E$15,2,FALSE),"Not reported"))</f>
        <v/>
      </c>
      <c r="AK971" s="21">
        <f>IF(AND($A971="",$B971=""),"",IF($X971&lt;&gt;"",$X971,IF($T971&lt;&gt;"Y","Not assessed",IF(AND(ISNUMBER($V971),Setup!$B$6-$V971&gt;Setup!$B$26),"Assessment outdated",IF(NOT(ISNUMBER($W971)),"Assessed – no score",IF($W971&gt;=Setup!$B$24,"High",IF($W971&gt;=Setup!$B$25,"Moderate","Low")))))))</f>
        <v/>
      </c>
      <c r="AL971" s="21">
        <f>IF(AND($A971="",$B971=""),"",IF(Z971=0,"",IF(AND(AE971=1,N($R971)&gt;AD971*1.01+0.001),"Net terrestrial &gt; gross; ","")&amp;IF(AND(AE971=1,N($S971)&gt;AC971*1.01+0.001),"Net marine &gt; gross; ","")&amp;IF(AE971=0,"No net area – gross used, overlaps may be double-counted; ","")&amp;IF(AH971=0,"STATUS_YR missing – imputed in time series; ","")&amp;IF(AND(ISNUMBER($I971),N($I971)&gt;Setup!$B$6),"STATUS_YR after reporting year; ","")&amp;IF(OR($G971="",$G971="Not Reported"),"GOV_TYPE not reported; ","")&amp;IF(AND(N($J971)=1,$K971="Point",N($M971)&lt;=0),"Coastal point without REP_M_AREA – land/sea split unknown; ","")&amp;IF(AND(N($J971)=0,N($S971)&gt;0),"MARINE=0 but net marine &gt;0; ","")&amp;IF(AND(N($J971)=2,N($R971)&gt;0),"MARINE=2 but net terrestrial &gt;0; ","")&amp;IF($K971="Point","Buffered point – coverage approximate; ","")))</f>
        <v/>
      </c>
    </row>
    <row r="972">
      <c r="A972" s="19" t="n"/>
      <c r="B972" s="19" t="n"/>
      <c r="C972" s="19" t="n"/>
      <c r="D972" s="19" t="n"/>
      <c r="E972" s="19" t="n"/>
      <c r="F972" s="19" t="n"/>
      <c r="G972" s="19" t="n"/>
      <c r="H972" s="19" t="n"/>
      <c r="I972" s="19" t="n"/>
      <c r="J972" s="19" t="n"/>
      <c r="K972" s="19" t="n"/>
      <c r="L972" s="20" t="n"/>
      <c r="M972" s="20" t="n"/>
      <c r="N972" s="20" t="n"/>
      <c r="O972" s="20" t="n"/>
      <c r="P972" s="19" t="n"/>
      <c r="Q972" s="19" t="n"/>
      <c r="R972" s="20" t="n"/>
      <c r="S972" s="20" t="n"/>
      <c r="T972" s="19" t="n"/>
      <c r="U972" s="19" t="n"/>
      <c r="V972" s="19" t="n"/>
      <c r="W972" s="19" t="n"/>
      <c r="X972" s="19" t="n"/>
      <c r="Y972" s="19" t="n"/>
      <c r="Z972" s="21">
        <f>IF(AND($A972="",$B972=""),"",IF(OR($E972="",$H972="",$H972="Proposed",$H972="Not Reported"),0,IF(AND($P972="Y",$Q972&lt;&gt;"Y"),0,IF(AND($K972="Point",N($L972)&lt;=0),0,IF(AND(N($L972)&lt;=0,N($N972)&lt;=0,N($R972)+N($S972)&lt;=0),0,1)))))</f>
        <v/>
      </c>
      <c r="AA972" s="21">
        <f>IF(AND($A972="",$B972=""),"",IF($E972="","Site type missing",IF($H972="","STATUS missing",IF($H972="Proposed","STATUS = Proposed",IF($H972="Not Reported","STATUS = Not Reported",IF(AND($P972="Y",$Q972&lt;&gt;"Y"),"UNESCO-MAB Biosphere Reserve",IF(AND($K972="Point",N($L972)&lt;=0),"Point without REP_AREA",IF(AND(N($L972)&lt;=0,N($N972)&lt;=0,N($R972)+N($S972)&lt;=0),"No area information",""))))))))</f>
        <v/>
      </c>
      <c r="AB972" s="22">
        <f>IF(AND($A972="",$B972=""),"",IF($K972="Point",N($L972),IF(N($N972)&gt;0,N($N972),N($L972))))</f>
        <v/>
      </c>
      <c r="AC972" s="22">
        <f>IF(AND($A972="",$B972=""),"",MIN(AB972,IF(N($J972)=0,0,IF(N($J972)=2,AB972,IF(AND($K972&lt;&gt;"Point",N($O972)&gt;0),N($O972),N($M972))))))</f>
        <v/>
      </c>
      <c r="AD972" s="22">
        <f>IF(AND($A972="",$B972=""),"",MAX(0,AB972-AC972))</f>
        <v/>
      </c>
      <c r="AE972" s="21">
        <f>IF(AND($A972="",$B972=""),"",IF(OR($R972&lt;&gt;"",$S972&lt;&gt;""),1,0))</f>
        <v/>
      </c>
      <c r="AF972" s="22">
        <f>IF(AND($A972="",$B972=""),"",IF(Z972=1,IF(AE972=1,N($R972),AD972),0))</f>
        <v/>
      </c>
      <c r="AG972" s="22">
        <f>IF(AND($A972="",$B972=""),"",IF(Z972=1,IF(AE972=1,N($S972),AC972),0))</f>
        <v/>
      </c>
      <c r="AH972" s="21">
        <f>IF(AND($A972="",$B972=""),"",IF(AND(ISNUMBER($I972),N($I972)&gt;0),$I972,0))</f>
        <v/>
      </c>
      <c r="AI972" s="23">
        <f>IF(AND(NOT(AND($A972="",$B972="")),$K972="Point",N($L972)&gt;0),SQRT(N($L972)/PI()),"")</f>
        <v/>
      </c>
      <c r="AJ972" s="21">
        <f>IF(AND($A972="",$B972=""),"",IFERROR(VLOOKUP($G972,Lists!$D$4:$E$15,2,FALSE),"Not reported"))</f>
        <v/>
      </c>
      <c r="AK972" s="21">
        <f>IF(AND($A972="",$B972=""),"",IF($X972&lt;&gt;"",$X972,IF($T972&lt;&gt;"Y","Not assessed",IF(AND(ISNUMBER($V972),Setup!$B$6-$V972&gt;Setup!$B$26),"Assessment outdated",IF(NOT(ISNUMBER($W972)),"Assessed – no score",IF($W972&gt;=Setup!$B$24,"High",IF($W972&gt;=Setup!$B$25,"Moderate","Low")))))))</f>
        <v/>
      </c>
      <c r="AL972" s="21">
        <f>IF(AND($A972="",$B972=""),"",IF(Z972=0,"",IF(AND(AE972=1,N($R972)&gt;AD972*1.01+0.001),"Net terrestrial &gt; gross; ","")&amp;IF(AND(AE972=1,N($S972)&gt;AC972*1.01+0.001),"Net marine &gt; gross; ","")&amp;IF(AE972=0,"No net area – gross used, overlaps may be double-counted; ","")&amp;IF(AH972=0,"STATUS_YR missing – imputed in time series; ","")&amp;IF(AND(ISNUMBER($I972),N($I972)&gt;Setup!$B$6),"STATUS_YR after reporting year; ","")&amp;IF(OR($G972="",$G972="Not Reported"),"GOV_TYPE not reported; ","")&amp;IF(AND(N($J972)=1,$K972="Point",N($M972)&lt;=0),"Coastal point without REP_M_AREA – land/sea split unknown; ","")&amp;IF(AND(N($J972)=0,N($S972)&gt;0),"MARINE=0 but net marine &gt;0; ","")&amp;IF(AND(N($J972)=2,N($R972)&gt;0),"MARINE=2 but net terrestrial &gt;0; ","")&amp;IF($K972="Point","Buffered point – coverage approximate; ","")))</f>
        <v/>
      </c>
    </row>
    <row r="973">
      <c r="A973" s="19" t="n"/>
      <c r="B973" s="19" t="n"/>
      <c r="C973" s="19" t="n"/>
      <c r="D973" s="19" t="n"/>
      <c r="E973" s="19" t="n"/>
      <c r="F973" s="19" t="n"/>
      <c r="G973" s="19" t="n"/>
      <c r="H973" s="19" t="n"/>
      <c r="I973" s="19" t="n"/>
      <c r="J973" s="19" t="n"/>
      <c r="K973" s="19" t="n"/>
      <c r="L973" s="20" t="n"/>
      <c r="M973" s="20" t="n"/>
      <c r="N973" s="20" t="n"/>
      <c r="O973" s="20" t="n"/>
      <c r="P973" s="19" t="n"/>
      <c r="Q973" s="19" t="n"/>
      <c r="R973" s="20" t="n"/>
      <c r="S973" s="20" t="n"/>
      <c r="T973" s="19" t="n"/>
      <c r="U973" s="19" t="n"/>
      <c r="V973" s="19" t="n"/>
      <c r="W973" s="19" t="n"/>
      <c r="X973" s="19" t="n"/>
      <c r="Y973" s="19" t="n"/>
      <c r="Z973" s="21">
        <f>IF(AND($A973="",$B973=""),"",IF(OR($E973="",$H973="",$H973="Proposed",$H973="Not Reported"),0,IF(AND($P973="Y",$Q973&lt;&gt;"Y"),0,IF(AND($K973="Point",N($L973)&lt;=0),0,IF(AND(N($L973)&lt;=0,N($N973)&lt;=0,N($R973)+N($S973)&lt;=0),0,1)))))</f>
        <v/>
      </c>
      <c r="AA973" s="21">
        <f>IF(AND($A973="",$B973=""),"",IF($E973="","Site type missing",IF($H973="","STATUS missing",IF($H973="Proposed","STATUS = Proposed",IF($H973="Not Reported","STATUS = Not Reported",IF(AND($P973="Y",$Q973&lt;&gt;"Y"),"UNESCO-MAB Biosphere Reserve",IF(AND($K973="Point",N($L973)&lt;=0),"Point without REP_AREA",IF(AND(N($L973)&lt;=0,N($N973)&lt;=0,N($R973)+N($S973)&lt;=0),"No area information",""))))))))</f>
        <v/>
      </c>
      <c r="AB973" s="22">
        <f>IF(AND($A973="",$B973=""),"",IF($K973="Point",N($L973),IF(N($N973)&gt;0,N($N973),N($L973))))</f>
        <v/>
      </c>
      <c r="AC973" s="22">
        <f>IF(AND($A973="",$B973=""),"",MIN(AB973,IF(N($J973)=0,0,IF(N($J973)=2,AB973,IF(AND($K973&lt;&gt;"Point",N($O973)&gt;0),N($O973),N($M973))))))</f>
        <v/>
      </c>
      <c r="AD973" s="22">
        <f>IF(AND($A973="",$B973=""),"",MAX(0,AB973-AC973))</f>
        <v/>
      </c>
      <c r="AE973" s="21">
        <f>IF(AND($A973="",$B973=""),"",IF(OR($R973&lt;&gt;"",$S973&lt;&gt;""),1,0))</f>
        <v/>
      </c>
      <c r="AF973" s="22">
        <f>IF(AND($A973="",$B973=""),"",IF(Z973=1,IF(AE973=1,N($R973),AD973),0))</f>
        <v/>
      </c>
      <c r="AG973" s="22">
        <f>IF(AND($A973="",$B973=""),"",IF(Z973=1,IF(AE973=1,N($S973),AC973),0))</f>
        <v/>
      </c>
      <c r="AH973" s="21">
        <f>IF(AND($A973="",$B973=""),"",IF(AND(ISNUMBER($I973),N($I973)&gt;0),$I973,0))</f>
        <v/>
      </c>
      <c r="AI973" s="23">
        <f>IF(AND(NOT(AND($A973="",$B973="")),$K973="Point",N($L973)&gt;0),SQRT(N($L973)/PI()),"")</f>
        <v/>
      </c>
      <c r="AJ973" s="21">
        <f>IF(AND($A973="",$B973=""),"",IFERROR(VLOOKUP($G973,Lists!$D$4:$E$15,2,FALSE),"Not reported"))</f>
        <v/>
      </c>
      <c r="AK973" s="21">
        <f>IF(AND($A973="",$B973=""),"",IF($X973&lt;&gt;"",$X973,IF($T973&lt;&gt;"Y","Not assessed",IF(AND(ISNUMBER($V973),Setup!$B$6-$V973&gt;Setup!$B$26),"Assessment outdated",IF(NOT(ISNUMBER($W973)),"Assessed – no score",IF($W973&gt;=Setup!$B$24,"High",IF($W973&gt;=Setup!$B$25,"Moderate","Low")))))))</f>
        <v/>
      </c>
      <c r="AL973" s="21">
        <f>IF(AND($A973="",$B973=""),"",IF(Z973=0,"",IF(AND(AE973=1,N($R973)&gt;AD973*1.01+0.001),"Net terrestrial &gt; gross; ","")&amp;IF(AND(AE973=1,N($S973)&gt;AC973*1.01+0.001),"Net marine &gt; gross; ","")&amp;IF(AE973=0,"No net area – gross used, overlaps may be double-counted; ","")&amp;IF(AH973=0,"STATUS_YR missing – imputed in time series; ","")&amp;IF(AND(ISNUMBER($I973),N($I973)&gt;Setup!$B$6),"STATUS_YR after reporting year; ","")&amp;IF(OR($G973="",$G973="Not Reported"),"GOV_TYPE not reported; ","")&amp;IF(AND(N($J973)=1,$K973="Point",N($M973)&lt;=0),"Coastal point without REP_M_AREA – land/sea split unknown; ","")&amp;IF(AND(N($J973)=0,N($S973)&gt;0),"MARINE=0 but net marine &gt;0; ","")&amp;IF(AND(N($J973)=2,N($R973)&gt;0),"MARINE=2 but net terrestrial &gt;0; ","")&amp;IF($K973="Point","Buffered point – coverage approximate; ","")))</f>
        <v/>
      </c>
    </row>
    <row r="974">
      <c r="A974" s="19" t="n"/>
      <c r="B974" s="19" t="n"/>
      <c r="C974" s="19" t="n"/>
      <c r="D974" s="19" t="n"/>
      <c r="E974" s="19" t="n"/>
      <c r="F974" s="19" t="n"/>
      <c r="G974" s="19" t="n"/>
      <c r="H974" s="19" t="n"/>
      <c r="I974" s="19" t="n"/>
      <c r="J974" s="19" t="n"/>
      <c r="K974" s="19" t="n"/>
      <c r="L974" s="20" t="n"/>
      <c r="M974" s="20" t="n"/>
      <c r="N974" s="20" t="n"/>
      <c r="O974" s="20" t="n"/>
      <c r="P974" s="19" t="n"/>
      <c r="Q974" s="19" t="n"/>
      <c r="R974" s="20" t="n"/>
      <c r="S974" s="20" t="n"/>
      <c r="T974" s="19" t="n"/>
      <c r="U974" s="19" t="n"/>
      <c r="V974" s="19" t="n"/>
      <c r="W974" s="19" t="n"/>
      <c r="X974" s="19" t="n"/>
      <c r="Y974" s="19" t="n"/>
      <c r="Z974" s="21">
        <f>IF(AND($A974="",$B974=""),"",IF(OR($E974="",$H974="",$H974="Proposed",$H974="Not Reported"),0,IF(AND($P974="Y",$Q974&lt;&gt;"Y"),0,IF(AND($K974="Point",N($L974)&lt;=0),0,IF(AND(N($L974)&lt;=0,N($N974)&lt;=0,N($R974)+N($S974)&lt;=0),0,1)))))</f>
        <v/>
      </c>
      <c r="AA974" s="21">
        <f>IF(AND($A974="",$B974=""),"",IF($E974="","Site type missing",IF($H974="","STATUS missing",IF($H974="Proposed","STATUS = Proposed",IF($H974="Not Reported","STATUS = Not Reported",IF(AND($P974="Y",$Q974&lt;&gt;"Y"),"UNESCO-MAB Biosphere Reserve",IF(AND($K974="Point",N($L974)&lt;=0),"Point without REP_AREA",IF(AND(N($L974)&lt;=0,N($N974)&lt;=0,N($R974)+N($S974)&lt;=0),"No area information",""))))))))</f>
        <v/>
      </c>
      <c r="AB974" s="22">
        <f>IF(AND($A974="",$B974=""),"",IF($K974="Point",N($L974),IF(N($N974)&gt;0,N($N974),N($L974))))</f>
        <v/>
      </c>
      <c r="AC974" s="22">
        <f>IF(AND($A974="",$B974=""),"",MIN(AB974,IF(N($J974)=0,0,IF(N($J974)=2,AB974,IF(AND($K974&lt;&gt;"Point",N($O974)&gt;0),N($O974),N($M974))))))</f>
        <v/>
      </c>
      <c r="AD974" s="22">
        <f>IF(AND($A974="",$B974=""),"",MAX(0,AB974-AC974))</f>
        <v/>
      </c>
      <c r="AE974" s="21">
        <f>IF(AND($A974="",$B974=""),"",IF(OR($R974&lt;&gt;"",$S974&lt;&gt;""),1,0))</f>
        <v/>
      </c>
      <c r="AF974" s="22">
        <f>IF(AND($A974="",$B974=""),"",IF(Z974=1,IF(AE974=1,N($R974),AD974),0))</f>
        <v/>
      </c>
      <c r="AG974" s="22">
        <f>IF(AND($A974="",$B974=""),"",IF(Z974=1,IF(AE974=1,N($S974),AC974),0))</f>
        <v/>
      </c>
      <c r="AH974" s="21">
        <f>IF(AND($A974="",$B974=""),"",IF(AND(ISNUMBER($I974),N($I974)&gt;0),$I974,0))</f>
        <v/>
      </c>
      <c r="AI974" s="23">
        <f>IF(AND(NOT(AND($A974="",$B974="")),$K974="Point",N($L974)&gt;0),SQRT(N($L974)/PI()),"")</f>
        <v/>
      </c>
      <c r="AJ974" s="21">
        <f>IF(AND($A974="",$B974=""),"",IFERROR(VLOOKUP($G974,Lists!$D$4:$E$15,2,FALSE),"Not reported"))</f>
        <v/>
      </c>
      <c r="AK974" s="21">
        <f>IF(AND($A974="",$B974=""),"",IF($X974&lt;&gt;"",$X974,IF($T974&lt;&gt;"Y","Not assessed",IF(AND(ISNUMBER($V974),Setup!$B$6-$V974&gt;Setup!$B$26),"Assessment outdated",IF(NOT(ISNUMBER($W974)),"Assessed – no score",IF($W974&gt;=Setup!$B$24,"High",IF($W974&gt;=Setup!$B$25,"Moderate","Low")))))))</f>
        <v/>
      </c>
      <c r="AL974" s="21">
        <f>IF(AND($A974="",$B974=""),"",IF(Z974=0,"",IF(AND(AE974=1,N($R974)&gt;AD974*1.01+0.001),"Net terrestrial &gt; gross; ","")&amp;IF(AND(AE974=1,N($S974)&gt;AC974*1.01+0.001),"Net marine &gt; gross; ","")&amp;IF(AE974=0,"No net area – gross used, overlaps may be double-counted; ","")&amp;IF(AH974=0,"STATUS_YR missing – imputed in time series; ","")&amp;IF(AND(ISNUMBER($I974),N($I974)&gt;Setup!$B$6),"STATUS_YR after reporting year; ","")&amp;IF(OR($G974="",$G974="Not Reported"),"GOV_TYPE not reported; ","")&amp;IF(AND(N($J974)=1,$K974="Point",N($M974)&lt;=0),"Coastal point without REP_M_AREA – land/sea split unknown; ","")&amp;IF(AND(N($J974)=0,N($S974)&gt;0),"MARINE=0 but net marine &gt;0; ","")&amp;IF(AND(N($J974)=2,N($R974)&gt;0),"MARINE=2 but net terrestrial &gt;0; ","")&amp;IF($K974="Point","Buffered point – coverage approximate; ","")))</f>
        <v/>
      </c>
    </row>
    <row r="975">
      <c r="A975" s="19" t="n"/>
      <c r="B975" s="19" t="n"/>
      <c r="C975" s="19" t="n"/>
      <c r="D975" s="19" t="n"/>
      <c r="E975" s="19" t="n"/>
      <c r="F975" s="19" t="n"/>
      <c r="G975" s="19" t="n"/>
      <c r="H975" s="19" t="n"/>
      <c r="I975" s="19" t="n"/>
      <c r="J975" s="19" t="n"/>
      <c r="K975" s="19" t="n"/>
      <c r="L975" s="20" t="n"/>
      <c r="M975" s="20" t="n"/>
      <c r="N975" s="20" t="n"/>
      <c r="O975" s="20" t="n"/>
      <c r="P975" s="19" t="n"/>
      <c r="Q975" s="19" t="n"/>
      <c r="R975" s="20" t="n"/>
      <c r="S975" s="20" t="n"/>
      <c r="T975" s="19" t="n"/>
      <c r="U975" s="19" t="n"/>
      <c r="V975" s="19" t="n"/>
      <c r="W975" s="19" t="n"/>
      <c r="X975" s="19" t="n"/>
      <c r="Y975" s="19" t="n"/>
      <c r="Z975" s="21">
        <f>IF(AND($A975="",$B975=""),"",IF(OR($E975="",$H975="",$H975="Proposed",$H975="Not Reported"),0,IF(AND($P975="Y",$Q975&lt;&gt;"Y"),0,IF(AND($K975="Point",N($L975)&lt;=0),0,IF(AND(N($L975)&lt;=0,N($N975)&lt;=0,N($R975)+N($S975)&lt;=0),0,1)))))</f>
        <v/>
      </c>
      <c r="AA975" s="21">
        <f>IF(AND($A975="",$B975=""),"",IF($E975="","Site type missing",IF($H975="","STATUS missing",IF($H975="Proposed","STATUS = Proposed",IF($H975="Not Reported","STATUS = Not Reported",IF(AND($P975="Y",$Q975&lt;&gt;"Y"),"UNESCO-MAB Biosphere Reserve",IF(AND($K975="Point",N($L975)&lt;=0),"Point without REP_AREA",IF(AND(N($L975)&lt;=0,N($N975)&lt;=0,N($R975)+N($S975)&lt;=0),"No area information",""))))))))</f>
        <v/>
      </c>
      <c r="AB975" s="22">
        <f>IF(AND($A975="",$B975=""),"",IF($K975="Point",N($L975),IF(N($N975)&gt;0,N($N975),N($L975))))</f>
        <v/>
      </c>
      <c r="AC975" s="22">
        <f>IF(AND($A975="",$B975=""),"",MIN(AB975,IF(N($J975)=0,0,IF(N($J975)=2,AB975,IF(AND($K975&lt;&gt;"Point",N($O975)&gt;0),N($O975),N($M975))))))</f>
        <v/>
      </c>
      <c r="AD975" s="22">
        <f>IF(AND($A975="",$B975=""),"",MAX(0,AB975-AC975))</f>
        <v/>
      </c>
      <c r="AE975" s="21">
        <f>IF(AND($A975="",$B975=""),"",IF(OR($R975&lt;&gt;"",$S975&lt;&gt;""),1,0))</f>
        <v/>
      </c>
      <c r="AF975" s="22">
        <f>IF(AND($A975="",$B975=""),"",IF(Z975=1,IF(AE975=1,N($R975),AD975),0))</f>
        <v/>
      </c>
      <c r="AG975" s="22">
        <f>IF(AND($A975="",$B975=""),"",IF(Z975=1,IF(AE975=1,N($S975),AC975),0))</f>
        <v/>
      </c>
      <c r="AH975" s="21">
        <f>IF(AND($A975="",$B975=""),"",IF(AND(ISNUMBER($I975),N($I975)&gt;0),$I975,0))</f>
        <v/>
      </c>
      <c r="AI975" s="23">
        <f>IF(AND(NOT(AND($A975="",$B975="")),$K975="Point",N($L975)&gt;0),SQRT(N($L975)/PI()),"")</f>
        <v/>
      </c>
      <c r="AJ975" s="21">
        <f>IF(AND($A975="",$B975=""),"",IFERROR(VLOOKUP($G975,Lists!$D$4:$E$15,2,FALSE),"Not reported"))</f>
        <v/>
      </c>
      <c r="AK975" s="21">
        <f>IF(AND($A975="",$B975=""),"",IF($X975&lt;&gt;"",$X975,IF($T975&lt;&gt;"Y","Not assessed",IF(AND(ISNUMBER($V975),Setup!$B$6-$V975&gt;Setup!$B$26),"Assessment outdated",IF(NOT(ISNUMBER($W975)),"Assessed – no score",IF($W975&gt;=Setup!$B$24,"High",IF($W975&gt;=Setup!$B$25,"Moderate","Low")))))))</f>
        <v/>
      </c>
      <c r="AL975" s="21">
        <f>IF(AND($A975="",$B975=""),"",IF(Z975=0,"",IF(AND(AE975=1,N($R975)&gt;AD975*1.01+0.001),"Net terrestrial &gt; gross; ","")&amp;IF(AND(AE975=1,N($S975)&gt;AC975*1.01+0.001),"Net marine &gt; gross; ","")&amp;IF(AE975=0,"No net area – gross used, overlaps may be double-counted; ","")&amp;IF(AH975=0,"STATUS_YR missing – imputed in time series; ","")&amp;IF(AND(ISNUMBER($I975),N($I975)&gt;Setup!$B$6),"STATUS_YR after reporting year; ","")&amp;IF(OR($G975="",$G975="Not Reported"),"GOV_TYPE not reported; ","")&amp;IF(AND(N($J975)=1,$K975="Point",N($M975)&lt;=0),"Coastal point without REP_M_AREA – land/sea split unknown; ","")&amp;IF(AND(N($J975)=0,N($S975)&gt;0),"MARINE=0 but net marine &gt;0; ","")&amp;IF(AND(N($J975)=2,N($R975)&gt;0),"MARINE=2 but net terrestrial &gt;0; ","")&amp;IF($K975="Point","Buffered point – coverage approximate; ","")))</f>
        <v/>
      </c>
    </row>
    <row r="976">
      <c r="A976" s="19" t="n"/>
      <c r="B976" s="19" t="n"/>
      <c r="C976" s="19" t="n"/>
      <c r="D976" s="19" t="n"/>
      <c r="E976" s="19" t="n"/>
      <c r="F976" s="19" t="n"/>
      <c r="G976" s="19" t="n"/>
      <c r="H976" s="19" t="n"/>
      <c r="I976" s="19" t="n"/>
      <c r="J976" s="19" t="n"/>
      <c r="K976" s="19" t="n"/>
      <c r="L976" s="20" t="n"/>
      <c r="M976" s="20" t="n"/>
      <c r="N976" s="20" t="n"/>
      <c r="O976" s="20" t="n"/>
      <c r="P976" s="19" t="n"/>
      <c r="Q976" s="19" t="n"/>
      <c r="R976" s="20" t="n"/>
      <c r="S976" s="20" t="n"/>
      <c r="T976" s="19" t="n"/>
      <c r="U976" s="19" t="n"/>
      <c r="V976" s="19" t="n"/>
      <c r="W976" s="19" t="n"/>
      <c r="X976" s="19" t="n"/>
      <c r="Y976" s="19" t="n"/>
      <c r="Z976" s="21">
        <f>IF(AND($A976="",$B976=""),"",IF(OR($E976="",$H976="",$H976="Proposed",$H976="Not Reported"),0,IF(AND($P976="Y",$Q976&lt;&gt;"Y"),0,IF(AND($K976="Point",N($L976)&lt;=0),0,IF(AND(N($L976)&lt;=0,N($N976)&lt;=0,N($R976)+N($S976)&lt;=0),0,1)))))</f>
        <v/>
      </c>
      <c r="AA976" s="21">
        <f>IF(AND($A976="",$B976=""),"",IF($E976="","Site type missing",IF($H976="","STATUS missing",IF($H976="Proposed","STATUS = Proposed",IF($H976="Not Reported","STATUS = Not Reported",IF(AND($P976="Y",$Q976&lt;&gt;"Y"),"UNESCO-MAB Biosphere Reserve",IF(AND($K976="Point",N($L976)&lt;=0),"Point without REP_AREA",IF(AND(N($L976)&lt;=0,N($N976)&lt;=0,N($R976)+N($S976)&lt;=0),"No area information",""))))))))</f>
        <v/>
      </c>
      <c r="AB976" s="22">
        <f>IF(AND($A976="",$B976=""),"",IF($K976="Point",N($L976),IF(N($N976)&gt;0,N($N976),N($L976))))</f>
        <v/>
      </c>
      <c r="AC976" s="22">
        <f>IF(AND($A976="",$B976=""),"",MIN(AB976,IF(N($J976)=0,0,IF(N($J976)=2,AB976,IF(AND($K976&lt;&gt;"Point",N($O976)&gt;0),N($O976),N($M976))))))</f>
        <v/>
      </c>
      <c r="AD976" s="22">
        <f>IF(AND($A976="",$B976=""),"",MAX(0,AB976-AC976))</f>
        <v/>
      </c>
      <c r="AE976" s="21">
        <f>IF(AND($A976="",$B976=""),"",IF(OR($R976&lt;&gt;"",$S976&lt;&gt;""),1,0))</f>
        <v/>
      </c>
      <c r="AF976" s="22">
        <f>IF(AND($A976="",$B976=""),"",IF(Z976=1,IF(AE976=1,N($R976),AD976),0))</f>
        <v/>
      </c>
      <c r="AG976" s="22">
        <f>IF(AND($A976="",$B976=""),"",IF(Z976=1,IF(AE976=1,N($S976),AC976),0))</f>
        <v/>
      </c>
      <c r="AH976" s="21">
        <f>IF(AND($A976="",$B976=""),"",IF(AND(ISNUMBER($I976),N($I976)&gt;0),$I976,0))</f>
        <v/>
      </c>
      <c r="AI976" s="23">
        <f>IF(AND(NOT(AND($A976="",$B976="")),$K976="Point",N($L976)&gt;0),SQRT(N($L976)/PI()),"")</f>
        <v/>
      </c>
      <c r="AJ976" s="21">
        <f>IF(AND($A976="",$B976=""),"",IFERROR(VLOOKUP($G976,Lists!$D$4:$E$15,2,FALSE),"Not reported"))</f>
        <v/>
      </c>
      <c r="AK976" s="21">
        <f>IF(AND($A976="",$B976=""),"",IF($X976&lt;&gt;"",$X976,IF($T976&lt;&gt;"Y","Not assessed",IF(AND(ISNUMBER($V976),Setup!$B$6-$V976&gt;Setup!$B$26),"Assessment outdated",IF(NOT(ISNUMBER($W976)),"Assessed – no score",IF($W976&gt;=Setup!$B$24,"High",IF($W976&gt;=Setup!$B$25,"Moderate","Low")))))))</f>
        <v/>
      </c>
      <c r="AL976" s="21">
        <f>IF(AND($A976="",$B976=""),"",IF(Z976=0,"",IF(AND(AE976=1,N($R976)&gt;AD976*1.01+0.001),"Net terrestrial &gt; gross; ","")&amp;IF(AND(AE976=1,N($S976)&gt;AC976*1.01+0.001),"Net marine &gt; gross; ","")&amp;IF(AE976=0,"No net area – gross used, overlaps may be double-counted; ","")&amp;IF(AH976=0,"STATUS_YR missing – imputed in time series; ","")&amp;IF(AND(ISNUMBER($I976),N($I976)&gt;Setup!$B$6),"STATUS_YR after reporting year; ","")&amp;IF(OR($G976="",$G976="Not Reported"),"GOV_TYPE not reported; ","")&amp;IF(AND(N($J976)=1,$K976="Point",N($M976)&lt;=0),"Coastal point without REP_M_AREA – land/sea split unknown; ","")&amp;IF(AND(N($J976)=0,N($S976)&gt;0),"MARINE=0 but net marine &gt;0; ","")&amp;IF(AND(N($J976)=2,N($R976)&gt;0),"MARINE=2 but net terrestrial &gt;0; ","")&amp;IF($K976="Point","Buffered point – coverage approximate; ","")))</f>
        <v/>
      </c>
    </row>
    <row r="977">
      <c r="A977" s="19" t="n"/>
      <c r="B977" s="19" t="n"/>
      <c r="C977" s="19" t="n"/>
      <c r="D977" s="19" t="n"/>
      <c r="E977" s="19" t="n"/>
      <c r="F977" s="19" t="n"/>
      <c r="G977" s="19" t="n"/>
      <c r="H977" s="19" t="n"/>
      <c r="I977" s="19" t="n"/>
      <c r="J977" s="19" t="n"/>
      <c r="K977" s="19" t="n"/>
      <c r="L977" s="20" t="n"/>
      <c r="M977" s="20" t="n"/>
      <c r="N977" s="20" t="n"/>
      <c r="O977" s="20" t="n"/>
      <c r="P977" s="19" t="n"/>
      <c r="Q977" s="19" t="n"/>
      <c r="R977" s="20" t="n"/>
      <c r="S977" s="20" t="n"/>
      <c r="T977" s="19" t="n"/>
      <c r="U977" s="19" t="n"/>
      <c r="V977" s="19" t="n"/>
      <c r="W977" s="19" t="n"/>
      <c r="X977" s="19" t="n"/>
      <c r="Y977" s="19" t="n"/>
      <c r="Z977" s="21">
        <f>IF(AND($A977="",$B977=""),"",IF(OR($E977="",$H977="",$H977="Proposed",$H977="Not Reported"),0,IF(AND($P977="Y",$Q977&lt;&gt;"Y"),0,IF(AND($K977="Point",N($L977)&lt;=0),0,IF(AND(N($L977)&lt;=0,N($N977)&lt;=0,N($R977)+N($S977)&lt;=0),0,1)))))</f>
        <v/>
      </c>
      <c r="AA977" s="21">
        <f>IF(AND($A977="",$B977=""),"",IF($E977="","Site type missing",IF($H977="","STATUS missing",IF($H977="Proposed","STATUS = Proposed",IF($H977="Not Reported","STATUS = Not Reported",IF(AND($P977="Y",$Q977&lt;&gt;"Y"),"UNESCO-MAB Biosphere Reserve",IF(AND($K977="Point",N($L977)&lt;=0),"Point without REP_AREA",IF(AND(N($L977)&lt;=0,N($N977)&lt;=0,N($R977)+N($S977)&lt;=0),"No area information",""))))))))</f>
        <v/>
      </c>
      <c r="AB977" s="22">
        <f>IF(AND($A977="",$B977=""),"",IF($K977="Point",N($L977),IF(N($N977)&gt;0,N($N977),N($L977))))</f>
        <v/>
      </c>
      <c r="AC977" s="22">
        <f>IF(AND($A977="",$B977=""),"",MIN(AB977,IF(N($J977)=0,0,IF(N($J977)=2,AB977,IF(AND($K977&lt;&gt;"Point",N($O977)&gt;0),N($O977),N($M977))))))</f>
        <v/>
      </c>
      <c r="AD977" s="22">
        <f>IF(AND($A977="",$B977=""),"",MAX(0,AB977-AC977))</f>
        <v/>
      </c>
      <c r="AE977" s="21">
        <f>IF(AND($A977="",$B977=""),"",IF(OR($R977&lt;&gt;"",$S977&lt;&gt;""),1,0))</f>
        <v/>
      </c>
      <c r="AF977" s="22">
        <f>IF(AND($A977="",$B977=""),"",IF(Z977=1,IF(AE977=1,N($R977),AD977),0))</f>
        <v/>
      </c>
      <c r="AG977" s="22">
        <f>IF(AND($A977="",$B977=""),"",IF(Z977=1,IF(AE977=1,N($S977),AC977),0))</f>
        <v/>
      </c>
      <c r="AH977" s="21">
        <f>IF(AND($A977="",$B977=""),"",IF(AND(ISNUMBER($I977),N($I977)&gt;0),$I977,0))</f>
        <v/>
      </c>
      <c r="AI977" s="23">
        <f>IF(AND(NOT(AND($A977="",$B977="")),$K977="Point",N($L977)&gt;0),SQRT(N($L977)/PI()),"")</f>
        <v/>
      </c>
      <c r="AJ977" s="21">
        <f>IF(AND($A977="",$B977=""),"",IFERROR(VLOOKUP($G977,Lists!$D$4:$E$15,2,FALSE),"Not reported"))</f>
        <v/>
      </c>
      <c r="AK977" s="21">
        <f>IF(AND($A977="",$B977=""),"",IF($X977&lt;&gt;"",$X977,IF($T977&lt;&gt;"Y","Not assessed",IF(AND(ISNUMBER($V977),Setup!$B$6-$V977&gt;Setup!$B$26),"Assessment outdated",IF(NOT(ISNUMBER($W977)),"Assessed – no score",IF($W977&gt;=Setup!$B$24,"High",IF($W977&gt;=Setup!$B$25,"Moderate","Low")))))))</f>
        <v/>
      </c>
      <c r="AL977" s="21">
        <f>IF(AND($A977="",$B977=""),"",IF(Z977=0,"",IF(AND(AE977=1,N($R977)&gt;AD977*1.01+0.001),"Net terrestrial &gt; gross; ","")&amp;IF(AND(AE977=1,N($S977)&gt;AC977*1.01+0.001),"Net marine &gt; gross; ","")&amp;IF(AE977=0,"No net area – gross used, overlaps may be double-counted; ","")&amp;IF(AH977=0,"STATUS_YR missing – imputed in time series; ","")&amp;IF(AND(ISNUMBER($I977),N($I977)&gt;Setup!$B$6),"STATUS_YR after reporting year; ","")&amp;IF(OR($G977="",$G977="Not Reported"),"GOV_TYPE not reported; ","")&amp;IF(AND(N($J977)=1,$K977="Point",N($M977)&lt;=0),"Coastal point without REP_M_AREA – land/sea split unknown; ","")&amp;IF(AND(N($J977)=0,N($S977)&gt;0),"MARINE=0 but net marine &gt;0; ","")&amp;IF(AND(N($J977)=2,N($R977)&gt;0),"MARINE=2 but net terrestrial &gt;0; ","")&amp;IF($K977="Point","Buffered point – coverage approximate; ","")))</f>
        <v/>
      </c>
    </row>
    <row r="978">
      <c r="A978" s="19" t="n"/>
      <c r="B978" s="19" t="n"/>
      <c r="C978" s="19" t="n"/>
      <c r="D978" s="19" t="n"/>
      <c r="E978" s="19" t="n"/>
      <c r="F978" s="19" t="n"/>
      <c r="G978" s="19" t="n"/>
      <c r="H978" s="19" t="n"/>
      <c r="I978" s="19" t="n"/>
      <c r="J978" s="19" t="n"/>
      <c r="K978" s="19" t="n"/>
      <c r="L978" s="20" t="n"/>
      <c r="M978" s="20" t="n"/>
      <c r="N978" s="20" t="n"/>
      <c r="O978" s="20" t="n"/>
      <c r="P978" s="19" t="n"/>
      <c r="Q978" s="19" t="n"/>
      <c r="R978" s="20" t="n"/>
      <c r="S978" s="20" t="n"/>
      <c r="T978" s="19" t="n"/>
      <c r="U978" s="19" t="n"/>
      <c r="V978" s="19" t="n"/>
      <c r="W978" s="19" t="n"/>
      <c r="X978" s="19" t="n"/>
      <c r="Y978" s="19" t="n"/>
      <c r="Z978" s="21">
        <f>IF(AND($A978="",$B978=""),"",IF(OR($E978="",$H978="",$H978="Proposed",$H978="Not Reported"),0,IF(AND($P978="Y",$Q978&lt;&gt;"Y"),0,IF(AND($K978="Point",N($L978)&lt;=0),0,IF(AND(N($L978)&lt;=0,N($N978)&lt;=0,N($R978)+N($S978)&lt;=0),0,1)))))</f>
        <v/>
      </c>
      <c r="AA978" s="21">
        <f>IF(AND($A978="",$B978=""),"",IF($E978="","Site type missing",IF($H978="","STATUS missing",IF($H978="Proposed","STATUS = Proposed",IF($H978="Not Reported","STATUS = Not Reported",IF(AND($P978="Y",$Q978&lt;&gt;"Y"),"UNESCO-MAB Biosphere Reserve",IF(AND($K978="Point",N($L978)&lt;=0),"Point without REP_AREA",IF(AND(N($L978)&lt;=0,N($N978)&lt;=0,N($R978)+N($S978)&lt;=0),"No area information",""))))))))</f>
        <v/>
      </c>
      <c r="AB978" s="22">
        <f>IF(AND($A978="",$B978=""),"",IF($K978="Point",N($L978),IF(N($N978)&gt;0,N($N978),N($L978))))</f>
        <v/>
      </c>
      <c r="AC978" s="22">
        <f>IF(AND($A978="",$B978=""),"",MIN(AB978,IF(N($J978)=0,0,IF(N($J978)=2,AB978,IF(AND($K978&lt;&gt;"Point",N($O978)&gt;0),N($O978),N($M978))))))</f>
        <v/>
      </c>
      <c r="AD978" s="22">
        <f>IF(AND($A978="",$B978=""),"",MAX(0,AB978-AC978))</f>
        <v/>
      </c>
      <c r="AE978" s="21">
        <f>IF(AND($A978="",$B978=""),"",IF(OR($R978&lt;&gt;"",$S978&lt;&gt;""),1,0))</f>
        <v/>
      </c>
      <c r="AF978" s="22">
        <f>IF(AND($A978="",$B978=""),"",IF(Z978=1,IF(AE978=1,N($R978),AD978),0))</f>
        <v/>
      </c>
      <c r="AG978" s="22">
        <f>IF(AND($A978="",$B978=""),"",IF(Z978=1,IF(AE978=1,N($S978),AC978),0))</f>
        <v/>
      </c>
      <c r="AH978" s="21">
        <f>IF(AND($A978="",$B978=""),"",IF(AND(ISNUMBER($I978),N($I978)&gt;0),$I978,0))</f>
        <v/>
      </c>
      <c r="AI978" s="23">
        <f>IF(AND(NOT(AND($A978="",$B978="")),$K978="Point",N($L978)&gt;0),SQRT(N($L978)/PI()),"")</f>
        <v/>
      </c>
      <c r="AJ978" s="21">
        <f>IF(AND($A978="",$B978=""),"",IFERROR(VLOOKUP($G978,Lists!$D$4:$E$15,2,FALSE),"Not reported"))</f>
        <v/>
      </c>
      <c r="AK978" s="21">
        <f>IF(AND($A978="",$B978=""),"",IF($X978&lt;&gt;"",$X978,IF($T978&lt;&gt;"Y","Not assessed",IF(AND(ISNUMBER($V978),Setup!$B$6-$V978&gt;Setup!$B$26),"Assessment outdated",IF(NOT(ISNUMBER($W978)),"Assessed – no score",IF($W978&gt;=Setup!$B$24,"High",IF($W978&gt;=Setup!$B$25,"Moderate","Low")))))))</f>
        <v/>
      </c>
      <c r="AL978" s="21">
        <f>IF(AND($A978="",$B978=""),"",IF(Z978=0,"",IF(AND(AE978=1,N($R978)&gt;AD978*1.01+0.001),"Net terrestrial &gt; gross; ","")&amp;IF(AND(AE978=1,N($S978)&gt;AC978*1.01+0.001),"Net marine &gt; gross; ","")&amp;IF(AE978=0,"No net area – gross used, overlaps may be double-counted; ","")&amp;IF(AH978=0,"STATUS_YR missing – imputed in time series; ","")&amp;IF(AND(ISNUMBER($I978),N($I978)&gt;Setup!$B$6),"STATUS_YR after reporting year; ","")&amp;IF(OR($G978="",$G978="Not Reported"),"GOV_TYPE not reported; ","")&amp;IF(AND(N($J978)=1,$K978="Point",N($M978)&lt;=0),"Coastal point without REP_M_AREA – land/sea split unknown; ","")&amp;IF(AND(N($J978)=0,N($S978)&gt;0),"MARINE=0 but net marine &gt;0; ","")&amp;IF(AND(N($J978)=2,N($R978)&gt;0),"MARINE=2 but net terrestrial &gt;0; ","")&amp;IF($K978="Point","Buffered point – coverage approximate; ","")))</f>
        <v/>
      </c>
    </row>
    <row r="979">
      <c r="A979" s="19" t="n"/>
      <c r="B979" s="19" t="n"/>
      <c r="C979" s="19" t="n"/>
      <c r="D979" s="19" t="n"/>
      <c r="E979" s="19" t="n"/>
      <c r="F979" s="19" t="n"/>
      <c r="G979" s="19" t="n"/>
      <c r="H979" s="19" t="n"/>
      <c r="I979" s="19" t="n"/>
      <c r="J979" s="19" t="n"/>
      <c r="K979" s="19" t="n"/>
      <c r="L979" s="20" t="n"/>
      <c r="M979" s="20" t="n"/>
      <c r="N979" s="20" t="n"/>
      <c r="O979" s="20" t="n"/>
      <c r="P979" s="19" t="n"/>
      <c r="Q979" s="19" t="n"/>
      <c r="R979" s="20" t="n"/>
      <c r="S979" s="20" t="n"/>
      <c r="T979" s="19" t="n"/>
      <c r="U979" s="19" t="n"/>
      <c r="V979" s="19" t="n"/>
      <c r="W979" s="19" t="n"/>
      <c r="X979" s="19" t="n"/>
      <c r="Y979" s="19" t="n"/>
      <c r="Z979" s="21">
        <f>IF(AND($A979="",$B979=""),"",IF(OR($E979="",$H979="",$H979="Proposed",$H979="Not Reported"),0,IF(AND($P979="Y",$Q979&lt;&gt;"Y"),0,IF(AND($K979="Point",N($L979)&lt;=0),0,IF(AND(N($L979)&lt;=0,N($N979)&lt;=0,N($R979)+N($S979)&lt;=0),0,1)))))</f>
        <v/>
      </c>
      <c r="AA979" s="21">
        <f>IF(AND($A979="",$B979=""),"",IF($E979="","Site type missing",IF($H979="","STATUS missing",IF($H979="Proposed","STATUS = Proposed",IF($H979="Not Reported","STATUS = Not Reported",IF(AND($P979="Y",$Q979&lt;&gt;"Y"),"UNESCO-MAB Biosphere Reserve",IF(AND($K979="Point",N($L979)&lt;=0),"Point without REP_AREA",IF(AND(N($L979)&lt;=0,N($N979)&lt;=0,N($R979)+N($S979)&lt;=0),"No area information",""))))))))</f>
        <v/>
      </c>
      <c r="AB979" s="22">
        <f>IF(AND($A979="",$B979=""),"",IF($K979="Point",N($L979),IF(N($N979)&gt;0,N($N979),N($L979))))</f>
        <v/>
      </c>
      <c r="AC979" s="22">
        <f>IF(AND($A979="",$B979=""),"",MIN(AB979,IF(N($J979)=0,0,IF(N($J979)=2,AB979,IF(AND($K979&lt;&gt;"Point",N($O979)&gt;0),N($O979),N($M979))))))</f>
        <v/>
      </c>
      <c r="AD979" s="22">
        <f>IF(AND($A979="",$B979=""),"",MAX(0,AB979-AC979))</f>
        <v/>
      </c>
      <c r="AE979" s="21">
        <f>IF(AND($A979="",$B979=""),"",IF(OR($R979&lt;&gt;"",$S979&lt;&gt;""),1,0))</f>
        <v/>
      </c>
      <c r="AF979" s="22">
        <f>IF(AND($A979="",$B979=""),"",IF(Z979=1,IF(AE979=1,N($R979),AD979),0))</f>
        <v/>
      </c>
      <c r="AG979" s="22">
        <f>IF(AND($A979="",$B979=""),"",IF(Z979=1,IF(AE979=1,N($S979),AC979),0))</f>
        <v/>
      </c>
      <c r="AH979" s="21">
        <f>IF(AND($A979="",$B979=""),"",IF(AND(ISNUMBER($I979),N($I979)&gt;0),$I979,0))</f>
        <v/>
      </c>
      <c r="AI979" s="23">
        <f>IF(AND(NOT(AND($A979="",$B979="")),$K979="Point",N($L979)&gt;0),SQRT(N($L979)/PI()),"")</f>
        <v/>
      </c>
      <c r="AJ979" s="21">
        <f>IF(AND($A979="",$B979=""),"",IFERROR(VLOOKUP($G979,Lists!$D$4:$E$15,2,FALSE),"Not reported"))</f>
        <v/>
      </c>
      <c r="AK979" s="21">
        <f>IF(AND($A979="",$B979=""),"",IF($X979&lt;&gt;"",$X979,IF($T979&lt;&gt;"Y","Not assessed",IF(AND(ISNUMBER($V979),Setup!$B$6-$V979&gt;Setup!$B$26),"Assessment outdated",IF(NOT(ISNUMBER($W979)),"Assessed – no score",IF($W979&gt;=Setup!$B$24,"High",IF($W979&gt;=Setup!$B$25,"Moderate","Low")))))))</f>
        <v/>
      </c>
      <c r="AL979" s="21">
        <f>IF(AND($A979="",$B979=""),"",IF(Z979=0,"",IF(AND(AE979=1,N($R979)&gt;AD979*1.01+0.001),"Net terrestrial &gt; gross; ","")&amp;IF(AND(AE979=1,N($S979)&gt;AC979*1.01+0.001),"Net marine &gt; gross; ","")&amp;IF(AE979=0,"No net area – gross used, overlaps may be double-counted; ","")&amp;IF(AH979=0,"STATUS_YR missing – imputed in time series; ","")&amp;IF(AND(ISNUMBER($I979),N($I979)&gt;Setup!$B$6),"STATUS_YR after reporting year; ","")&amp;IF(OR($G979="",$G979="Not Reported"),"GOV_TYPE not reported; ","")&amp;IF(AND(N($J979)=1,$K979="Point",N($M979)&lt;=0),"Coastal point without REP_M_AREA – land/sea split unknown; ","")&amp;IF(AND(N($J979)=0,N($S979)&gt;0),"MARINE=0 but net marine &gt;0; ","")&amp;IF(AND(N($J979)=2,N($R979)&gt;0),"MARINE=2 but net terrestrial &gt;0; ","")&amp;IF($K979="Point","Buffered point – coverage approximate; ","")))</f>
        <v/>
      </c>
    </row>
    <row r="980">
      <c r="A980" s="19" t="n"/>
      <c r="B980" s="19" t="n"/>
      <c r="C980" s="19" t="n"/>
      <c r="D980" s="19" t="n"/>
      <c r="E980" s="19" t="n"/>
      <c r="F980" s="19" t="n"/>
      <c r="G980" s="19" t="n"/>
      <c r="H980" s="19" t="n"/>
      <c r="I980" s="19" t="n"/>
      <c r="J980" s="19" t="n"/>
      <c r="K980" s="19" t="n"/>
      <c r="L980" s="20" t="n"/>
      <c r="M980" s="20" t="n"/>
      <c r="N980" s="20" t="n"/>
      <c r="O980" s="20" t="n"/>
      <c r="P980" s="19" t="n"/>
      <c r="Q980" s="19" t="n"/>
      <c r="R980" s="20" t="n"/>
      <c r="S980" s="20" t="n"/>
      <c r="T980" s="19" t="n"/>
      <c r="U980" s="19" t="n"/>
      <c r="V980" s="19" t="n"/>
      <c r="W980" s="19" t="n"/>
      <c r="X980" s="19" t="n"/>
      <c r="Y980" s="19" t="n"/>
      <c r="Z980" s="21">
        <f>IF(AND($A980="",$B980=""),"",IF(OR($E980="",$H980="",$H980="Proposed",$H980="Not Reported"),0,IF(AND($P980="Y",$Q980&lt;&gt;"Y"),0,IF(AND($K980="Point",N($L980)&lt;=0),0,IF(AND(N($L980)&lt;=0,N($N980)&lt;=0,N($R980)+N($S980)&lt;=0),0,1)))))</f>
        <v/>
      </c>
      <c r="AA980" s="21">
        <f>IF(AND($A980="",$B980=""),"",IF($E980="","Site type missing",IF($H980="","STATUS missing",IF($H980="Proposed","STATUS = Proposed",IF($H980="Not Reported","STATUS = Not Reported",IF(AND($P980="Y",$Q980&lt;&gt;"Y"),"UNESCO-MAB Biosphere Reserve",IF(AND($K980="Point",N($L980)&lt;=0),"Point without REP_AREA",IF(AND(N($L980)&lt;=0,N($N980)&lt;=0,N($R980)+N($S980)&lt;=0),"No area information",""))))))))</f>
        <v/>
      </c>
      <c r="AB980" s="22">
        <f>IF(AND($A980="",$B980=""),"",IF($K980="Point",N($L980),IF(N($N980)&gt;0,N($N980),N($L980))))</f>
        <v/>
      </c>
      <c r="AC980" s="22">
        <f>IF(AND($A980="",$B980=""),"",MIN(AB980,IF(N($J980)=0,0,IF(N($J980)=2,AB980,IF(AND($K980&lt;&gt;"Point",N($O980)&gt;0),N($O980),N($M980))))))</f>
        <v/>
      </c>
      <c r="AD980" s="22">
        <f>IF(AND($A980="",$B980=""),"",MAX(0,AB980-AC980))</f>
        <v/>
      </c>
      <c r="AE980" s="21">
        <f>IF(AND($A980="",$B980=""),"",IF(OR($R980&lt;&gt;"",$S980&lt;&gt;""),1,0))</f>
        <v/>
      </c>
      <c r="AF980" s="22">
        <f>IF(AND($A980="",$B980=""),"",IF(Z980=1,IF(AE980=1,N($R980),AD980),0))</f>
        <v/>
      </c>
      <c r="AG980" s="22">
        <f>IF(AND($A980="",$B980=""),"",IF(Z980=1,IF(AE980=1,N($S980),AC980),0))</f>
        <v/>
      </c>
      <c r="AH980" s="21">
        <f>IF(AND($A980="",$B980=""),"",IF(AND(ISNUMBER($I980),N($I980)&gt;0),$I980,0))</f>
        <v/>
      </c>
      <c r="AI980" s="23">
        <f>IF(AND(NOT(AND($A980="",$B980="")),$K980="Point",N($L980)&gt;0),SQRT(N($L980)/PI()),"")</f>
        <v/>
      </c>
      <c r="AJ980" s="21">
        <f>IF(AND($A980="",$B980=""),"",IFERROR(VLOOKUP($G980,Lists!$D$4:$E$15,2,FALSE),"Not reported"))</f>
        <v/>
      </c>
      <c r="AK980" s="21">
        <f>IF(AND($A980="",$B980=""),"",IF($X980&lt;&gt;"",$X980,IF($T980&lt;&gt;"Y","Not assessed",IF(AND(ISNUMBER($V980),Setup!$B$6-$V980&gt;Setup!$B$26),"Assessment outdated",IF(NOT(ISNUMBER($W980)),"Assessed – no score",IF($W980&gt;=Setup!$B$24,"High",IF($W980&gt;=Setup!$B$25,"Moderate","Low")))))))</f>
        <v/>
      </c>
      <c r="AL980" s="21">
        <f>IF(AND($A980="",$B980=""),"",IF(Z980=0,"",IF(AND(AE980=1,N($R980)&gt;AD980*1.01+0.001),"Net terrestrial &gt; gross; ","")&amp;IF(AND(AE980=1,N($S980)&gt;AC980*1.01+0.001),"Net marine &gt; gross; ","")&amp;IF(AE980=0,"No net area – gross used, overlaps may be double-counted; ","")&amp;IF(AH980=0,"STATUS_YR missing – imputed in time series; ","")&amp;IF(AND(ISNUMBER($I980),N($I980)&gt;Setup!$B$6),"STATUS_YR after reporting year; ","")&amp;IF(OR($G980="",$G980="Not Reported"),"GOV_TYPE not reported; ","")&amp;IF(AND(N($J980)=1,$K980="Point",N($M980)&lt;=0),"Coastal point without REP_M_AREA – land/sea split unknown; ","")&amp;IF(AND(N($J980)=0,N($S980)&gt;0),"MARINE=0 but net marine &gt;0; ","")&amp;IF(AND(N($J980)=2,N($R980)&gt;0),"MARINE=2 but net terrestrial &gt;0; ","")&amp;IF($K980="Point","Buffered point – coverage approximate; ","")))</f>
        <v/>
      </c>
    </row>
    <row r="981">
      <c r="A981" s="19" t="n"/>
      <c r="B981" s="19" t="n"/>
      <c r="C981" s="19" t="n"/>
      <c r="D981" s="19" t="n"/>
      <c r="E981" s="19" t="n"/>
      <c r="F981" s="19" t="n"/>
      <c r="G981" s="19" t="n"/>
      <c r="H981" s="19" t="n"/>
      <c r="I981" s="19" t="n"/>
      <c r="J981" s="19" t="n"/>
      <c r="K981" s="19" t="n"/>
      <c r="L981" s="20" t="n"/>
      <c r="M981" s="20" t="n"/>
      <c r="N981" s="20" t="n"/>
      <c r="O981" s="20" t="n"/>
      <c r="P981" s="19" t="n"/>
      <c r="Q981" s="19" t="n"/>
      <c r="R981" s="20" t="n"/>
      <c r="S981" s="20" t="n"/>
      <c r="T981" s="19" t="n"/>
      <c r="U981" s="19" t="n"/>
      <c r="V981" s="19" t="n"/>
      <c r="W981" s="19" t="n"/>
      <c r="X981" s="19" t="n"/>
      <c r="Y981" s="19" t="n"/>
      <c r="Z981" s="21">
        <f>IF(AND($A981="",$B981=""),"",IF(OR($E981="",$H981="",$H981="Proposed",$H981="Not Reported"),0,IF(AND($P981="Y",$Q981&lt;&gt;"Y"),0,IF(AND($K981="Point",N($L981)&lt;=0),0,IF(AND(N($L981)&lt;=0,N($N981)&lt;=0,N($R981)+N($S981)&lt;=0),0,1)))))</f>
        <v/>
      </c>
      <c r="AA981" s="21">
        <f>IF(AND($A981="",$B981=""),"",IF($E981="","Site type missing",IF($H981="","STATUS missing",IF($H981="Proposed","STATUS = Proposed",IF($H981="Not Reported","STATUS = Not Reported",IF(AND($P981="Y",$Q981&lt;&gt;"Y"),"UNESCO-MAB Biosphere Reserve",IF(AND($K981="Point",N($L981)&lt;=0),"Point without REP_AREA",IF(AND(N($L981)&lt;=0,N($N981)&lt;=0,N($R981)+N($S981)&lt;=0),"No area information",""))))))))</f>
        <v/>
      </c>
      <c r="AB981" s="22">
        <f>IF(AND($A981="",$B981=""),"",IF($K981="Point",N($L981),IF(N($N981)&gt;0,N($N981),N($L981))))</f>
        <v/>
      </c>
      <c r="AC981" s="22">
        <f>IF(AND($A981="",$B981=""),"",MIN(AB981,IF(N($J981)=0,0,IF(N($J981)=2,AB981,IF(AND($K981&lt;&gt;"Point",N($O981)&gt;0),N($O981),N($M981))))))</f>
        <v/>
      </c>
      <c r="AD981" s="22">
        <f>IF(AND($A981="",$B981=""),"",MAX(0,AB981-AC981))</f>
        <v/>
      </c>
      <c r="AE981" s="21">
        <f>IF(AND($A981="",$B981=""),"",IF(OR($R981&lt;&gt;"",$S981&lt;&gt;""),1,0))</f>
        <v/>
      </c>
      <c r="AF981" s="22">
        <f>IF(AND($A981="",$B981=""),"",IF(Z981=1,IF(AE981=1,N($R981),AD981),0))</f>
        <v/>
      </c>
      <c r="AG981" s="22">
        <f>IF(AND($A981="",$B981=""),"",IF(Z981=1,IF(AE981=1,N($S981),AC981),0))</f>
        <v/>
      </c>
      <c r="AH981" s="21">
        <f>IF(AND($A981="",$B981=""),"",IF(AND(ISNUMBER($I981),N($I981)&gt;0),$I981,0))</f>
        <v/>
      </c>
      <c r="AI981" s="23">
        <f>IF(AND(NOT(AND($A981="",$B981="")),$K981="Point",N($L981)&gt;0),SQRT(N($L981)/PI()),"")</f>
        <v/>
      </c>
      <c r="AJ981" s="21">
        <f>IF(AND($A981="",$B981=""),"",IFERROR(VLOOKUP($G981,Lists!$D$4:$E$15,2,FALSE),"Not reported"))</f>
        <v/>
      </c>
      <c r="AK981" s="21">
        <f>IF(AND($A981="",$B981=""),"",IF($X981&lt;&gt;"",$X981,IF($T981&lt;&gt;"Y","Not assessed",IF(AND(ISNUMBER($V981),Setup!$B$6-$V981&gt;Setup!$B$26),"Assessment outdated",IF(NOT(ISNUMBER($W981)),"Assessed – no score",IF($W981&gt;=Setup!$B$24,"High",IF($W981&gt;=Setup!$B$25,"Moderate","Low")))))))</f>
        <v/>
      </c>
      <c r="AL981" s="21">
        <f>IF(AND($A981="",$B981=""),"",IF(Z981=0,"",IF(AND(AE981=1,N($R981)&gt;AD981*1.01+0.001),"Net terrestrial &gt; gross; ","")&amp;IF(AND(AE981=1,N($S981)&gt;AC981*1.01+0.001),"Net marine &gt; gross; ","")&amp;IF(AE981=0,"No net area – gross used, overlaps may be double-counted; ","")&amp;IF(AH981=0,"STATUS_YR missing – imputed in time series; ","")&amp;IF(AND(ISNUMBER($I981),N($I981)&gt;Setup!$B$6),"STATUS_YR after reporting year; ","")&amp;IF(OR($G981="",$G981="Not Reported"),"GOV_TYPE not reported; ","")&amp;IF(AND(N($J981)=1,$K981="Point",N($M981)&lt;=0),"Coastal point without REP_M_AREA – land/sea split unknown; ","")&amp;IF(AND(N($J981)=0,N($S981)&gt;0),"MARINE=0 but net marine &gt;0; ","")&amp;IF(AND(N($J981)=2,N($R981)&gt;0),"MARINE=2 but net terrestrial &gt;0; ","")&amp;IF($K981="Point","Buffered point – coverage approximate; ","")))</f>
        <v/>
      </c>
    </row>
    <row r="982">
      <c r="A982" s="19" t="n"/>
      <c r="B982" s="19" t="n"/>
      <c r="C982" s="19" t="n"/>
      <c r="D982" s="19" t="n"/>
      <c r="E982" s="19" t="n"/>
      <c r="F982" s="19" t="n"/>
      <c r="G982" s="19" t="n"/>
      <c r="H982" s="19" t="n"/>
      <c r="I982" s="19" t="n"/>
      <c r="J982" s="19" t="n"/>
      <c r="K982" s="19" t="n"/>
      <c r="L982" s="20" t="n"/>
      <c r="M982" s="20" t="n"/>
      <c r="N982" s="20" t="n"/>
      <c r="O982" s="20" t="n"/>
      <c r="P982" s="19" t="n"/>
      <c r="Q982" s="19" t="n"/>
      <c r="R982" s="20" t="n"/>
      <c r="S982" s="20" t="n"/>
      <c r="T982" s="19" t="n"/>
      <c r="U982" s="19" t="n"/>
      <c r="V982" s="19" t="n"/>
      <c r="W982" s="19" t="n"/>
      <c r="X982" s="19" t="n"/>
      <c r="Y982" s="19" t="n"/>
      <c r="Z982" s="21">
        <f>IF(AND($A982="",$B982=""),"",IF(OR($E982="",$H982="",$H982="Proposed",$H982="Not Reported"),0,IF(AND($P982="Y",$Q982&lt;&gt;"Y"),0,IF(AND($K982="Point",N($L982)&lt;=0),0,IF(AND(N($L982)&lt;=0,N($N982)&lt;=0,N($R982)+N($S982)&lt;=0),0,1)))))</f>
        <v/>
      </c>
      <c r="AA982" s="21">
        <f>IF(AND($A982="",$B982=""),"",IF($E982="","Site type missing",IF($H982="","STATUS missing",IF($H982="Proposed","STATUS = Proposed",IF($H982="Not Reported","STATUS = Not Reported",IF(AND($P982="Y",$Q982&lt;&gt;"Y"),"UNESCO-MAB Biosphere Reserve",IF(AND($K982="Point",N($L982)&lt;=0),"Point without REP_AREA",IF(AND(N($L982)&lt;=0,N($N982)&lt;=0,N($R982)+N($S982)&lt;=0),"No area information",""))))))))</f>
        <v/>
      </c>
      <c r="AB982" s="22">
        <f>IF(AND($A982="",$B982=""),"",IF($K982="Point",N($L982),IF(N($N982)&gt;0,N($N982),N($L982))))</f>
        <v/>
      </c>
      <c r="AC982" s="22">
        <f>IF(AND($A982="",$B982=""),"",MIN(AB982,IF(N($J982)=0,0,IF(N($J982)=2,AB982,IF(AND($K982&lt;&gt;"Point",N($O982)&gt;0),N($O982),N($M982))))))</f>
        <v/>
      </c>
      <c r="AD982" s="22">
        <f>IF(AND($A982="",$B982=""),"",MAX(0,AB982-AC982))</f>
        <v/>
      </c>
      <c r="AE982" s="21">
        <f>IF(AND($A982="",$B982=""),"",IF(OR($R982&lt;&gt;"",$S982&lt;&gt;""),1,0))</f>
        <v/>
      </c>
      <c r="AF982" s="22">
        <f>IF(AND($A982="",$B982=""),"",IF(Z982=1,IF(AE982=1,N($R982),AD982),0))</f>
        <v/>
      </c>
      <c r="AG982" s="22">
        <f>IF(AND($A982="",$B982=""),"",IF(Z982=1,IF(AE982=1,N($S982),AC982),0))</f>
        <v/>
      </c>
      <c r="AH982" s="21">
        <f>IF(AND($A982="",$B982=""),"",IF(AND(ISNUMBER($I982),N($I982)&gt;0),$I982,0))</f>
        <v/>
      </c>
      <c r="AI982" s="23">
        <f>IF(AND(NOT(AND($A982="",$B982="")),$K982="Point",N($L982)&gt;0),SQRT(N($L982)/PI()),"")</f>
        <v/>
      </c>
      <c r="AJ982" s="21">
        <f>IF(AND($A982="",$B982=""),"",IFERROR(VLOOKUP($G982,Lists!$D$4:$E$15,2,FALSE),"Not reported"))</f>
        <v/>
      </c>
      <c r="AK982" s="21">
        <f>IF(AND($A982="",$B982=""),"",IF($X982&lt;&gt;"",$X982,IF($T982&lt;&gt;"Y","Not assessed",IF(AND(ISNUMBER($V982),Setup!$B$6-$V982&gt;Setup!$B$26),"Assessment outdated",IF(NOT(ISNUMBER($W982)),"Assessed – no score",IF($W982&gt;=Setup!$B$24,"High",IF($W982&gt;=Setup!$B$25,"Moderate","Low")))))))</f>
        <v/>
      </c>
      <c r="AL982" s="21">
        <f>IF(AND($A982="",$B982=""),"",IF(Z982=0,"",IF(AND(AE982=1,N($R982)&gt;AD982*1.01+0.001),"Net terrestrial &gt; gross; ","")&amp;IF(AND(AE982=1,N($S982)&gt;AC982*1.01+0.001),"Net marine &gt; gross; ","")&amp;IF(AE982=0,"No net area – gross used, overlaps may be double-counted; ","")&amp;IF(AH982=0,"STATUS_YR missing – imputed in time series; ","")&amp;IF(AND(ISNUMBER($I982),N($I982)&gt;Setup!$B$6),"STATUS_YR after reporting year; ","")&amp;IF(OR($G982="",$G982="Not Reported"),"GOV_TYPE not reported; ","")&amp;IF(AND(N($J982)=1,$K982="Point",N($M982)&lt;=0),"Coastal point without REP_M_AREA – land/sea split unknown; ","")&amp;IF(AND(N($J982)=0,N($S982)&gt;0),"MARINE=0 but net marine &gt;0; ","")&amp;IF(AND(N($J982)=2,N($R982)&gt;0),"MARINE=2 but net terrestrial &gt;0; ","")&amp;IF($K982="Point","Buffered point – coverage approximate; ","")))</f>
        <v/>
      </c>
    </row>
    <row r="983">
      <c r="A983" s="19" t="n"/>
      <c r="B983" s="19" t="n"/>
      <c r="C983" s="19" t="n"/>
      <c r="D983" s="19" t="n"/>
      <c r="E983" s="19" t="n"/>
      <c r="F983" s="19" t="n"/>
      <c r="G983" s="19" t="n"/>
      <c r="H983" s="19" t="n"/>
      <c r="I983" s="19" t="n"/>
      <c r="J983" s="19" t="n"/>
      <c r="K983" s="19" t="n"/>
      <c r="L983" s="20" t="n"/>
      <c r="M983" s="20" t="n"/>
      <c r="N983" s="20" t="n"/>
      <c r="O983" s="20" t="n"/>
      <c r="P983" s="19" t="n"/>
      <c r="Q983" s="19" t="n"/>
      <c r="R983" s="20" t="n"/>
      <c r="S983" s="20" t="n"/>
      <c r="T983" s="19" t="n"/>
      <c r="U983" s="19" t="n"/>
      <c r="V983" s="19" t="n"/>
      <c r="W983" s="19" t="n"/>
      <c r="X983" s="19" t="n"/>
      <c r="Y983" s="19" t="n"/>
      <c r="Z983" s="21">
        <f>IF(AND($A983="",$B983=""),"",IF(OR($E983="",$H983="",$H983="Proposed",$H983="Not Reported"),0,IF(AND($P983="Y",$Q983&lt;&gt;"Y"),0,IF(AND($K983="Point",N($L983)&lt;=0),0,IF(AND(N($L983)&lt;=0,N($N983)&lt;=0,N($R983)+N($S983)&lt;=0),0,1)))))</f>
        <v/>
      </c>
      <c r="AA983" s="21">
        <f>IF(AND($A983="",$B983=""),"",IF($E983="","Site type missing",IF($H983="","STATUS missing",IF($H983="Proposed","STATUS = Proposed",IF($H983="Not Reported","STATUS = Not Reported",IF(AND($P983="Y",$Q983&lt;&gt;"Y"),"UNESCO-MAB Biosphere Reserve",IF(AND($K983="Point",N($L983)&lt;=0),"Point without REP_AREA",IF(AND(N($L983)&lt;=0,N($N983)&lt;=0,N($R983)+N($S983)&lt;=0),"No area information",""))))))))</f>
        <v/>
      </c>
      <c r="AB983" s="22">
        <f>IF(AND($A983="",$B983=""),"",IF($K983="Point",N($L983),IF(N($N983)&gt;0,N($N983),N($L983))))</f>
        <v/>
      </c>
      <c r="AC983" s="22">
        <f>IF(AND($A983="",$B983=""),"",MIN(AB983,IF(N($J983)=0,0,IF(N($J983)=2,AB983,IF(AND($K983&lt;&gt;"Point",N($O983)&gt;0),N($O983),N($M983))))))</f>
        <v/>
      </c>
      <c r="AD983" s="22">
        <f>IF(AND($A983="",$B983=""),"",MAX(0,AB983-AC983))</f>
        <v/>
      </c>
      <c r="AE983" s="21">
        <f>IF(AND($A983="",$B983=""),"",IF(OR($R983&lt;&gt;"",$S983&lt;&gt;""),1,0))</f>
        <v/>
      </c>
      <c r="AF983" s="22">
        <f>IF(AND($A983="",$B983=""),"",IF(Z983=1,IF(AE983=1,N($R983),AD983),0))</f>
        <v/>
      </c>
      <c r="AG983" s="22">
        <f>IF(AND($A983="",$B983=""),"",IF(Z983=1,IF(AE983=1,N($S983),AC983),0))</f>
        <v/>
      </c>
      <c r="AH983" s="21">
        <f>IF(AND($A983="",$B983=""),"",IF(AND(ISNUMBER($I983),N($I983)&gt;0),$I983,0))</f>
        <v/>
      </c>
      <c r="AI983" s="23">
        <f>IF(AND(NOT(AND($A983="",$B983="")),$K983="Point",N($L983)&gt;0),SQRT(N($L983)/PI()),"")</f>
        <v/>
      </c>
      <c r="AJ983" s="21">
        <f>IF(AND($A983="",$B983=""),"",IFERROR(VLOOKUP($G983,Lists!$D$4:$E$15,2,FALSE),"Not reported"))</f>
        <v/>
      </c>
      <c r="AK983" s="21">
        <f>IF(AND($A983="",$B983=""),"",IF($X983&lt;&gt;"",$X983,IF($T983&lt;&gt;"Y","Not assessed",IF(AND(ISNUMBER($V983),Setup!$B$6-$V983&gt;Setup!$B$26),"Assessment outdated",IF(NOT(ISNUMBER($W983)),"Assessed – no score",IF($W983&gt;=Setup!$B$24,"High",IF($W983&gt;=Setup!$B$25,"Moderate","Low")))))))</f>
        <v/>
      </c>
      <c r="AL983" s="21">
        <f>IF(AND($A983="",$B983=""),"",IF(Z983=0,"",IF(AND(AE983=1,N($R983)&gt;AD983*1.01+0.001),"Net terrestrial &gt; gross; ","")&amp;IF(AND(AE983=1,N($S983)&gt;AC983*1.01+0.001),"Net marine &gt; gross; ","")&amp;IF(AE983=0,"No net area – gross used, overlaps may be double-counted; ","")&amp;IF(AH983=0,"STATUS_YR missing – imputed in time series; ","")&amp;IF(AND(ISNUMBER($I983),N($I983)&gt;Setup!$B$6),"STATUS_YR after reporting year; ","")&amp;IF(OR($G983="",$G983="Not Reported"),"GOV_TYPE not reported; ","")&amp;IF(AND(N($J983)=1,$K983="Point",N($M983)&lt;=0),"Coastal point without REP_M_AREA – land/sea split unknown; ","")&amp;IF(AND(N($J983)=0,N($S983)&gt;0),"MARINE=0 but net marine &gt;0; ","")&amp;IF(AND(N($J983)=2,N($R983)&gt;0),"MARINE=2 but net terrestrial &gt;0; ","")&amp;IF($K983="Point","Buffered point – coverage approximate; ","")))</f>
        <v/>
      </c>
    </row>
    <row r="984">
      <c r="A984" s="19" t="n"/>
      <c r="B984" s="19" t="n"/>
      <c r="C984" s="19" t="n"/>
      <c r="D984" s="19" t="n"/>
      <c r="E984" s="19" t="n"/>
      <c r="F984" s="19" t="n"/>
      <c r="G984" s="19" t="n"/>
      <c r="H984" s="19" t="n"/>
      <c r="I984" s="19" t="n"/>
      <c r="J984" s="19" t="n"/>
      <c r="K984" s="19" t="n"/>
      <c r="L984" s="20" t="n"/>
      <c r="M984" s="20" t="n"/>
      <c r="N984" s="20" t="n"/>
      <c r="O984" s="20" t="n"/>
      <c r="P984" s="19" t="n"/>
      <c r="Q984" s="19" t="n"/>
      <c r="R984" s="20" t="n"/>
      <c r="S984" s="20" t="n"/>
      <c r="T984" s="19" t="n"/>
      <c r="U984" s="19" t="n"/>
      <c r="V984" s="19" t="n"/>
      <c r="W984" s="19" t="n"/>
      <c r="X984" s="19" t="n"/>
      <c r="Y984" s="19" t="n"/>
      <c r="Z984" s="21">
        <f>IF(AND($A984="",$B984=""),"",IF(OR($E984="",$H984="",$H984="Proposed",$H984="Not Reported"),0,IF(AND($P984="Y",$Q984&lt;&gt;"Y"),0,IF(AND($K984="Point",N($L984)&lt;=0),0,IF(AND(N($L984)&lt;=0,N($N984)&lt;=0,N($R984)+N($S984)&lt;=0),0,1)))))</f>
        <v/>
      </c>
      <c r="AA984" s="21">
        <f>IF(AND($A984="",$B984=""),"",IF($E984="","Site type missing",IF($H984="","STATUS missing",IF($H984="Proposed","STATUS = Proposed",IF($H984="Not Reported","STATUS = Not Reported",IF(AND($P984="Y",$Q984&lt;&gt;"Y"),"UNESCO-MAB Biosphere Reserve",IF(AND($K984="Point",N($L984)&lt;=0),"Point without REP_AREA",IF(AND(N($L984)&lt;=0,N($N984)&lt;=0,N($R984)+N($S984)&lt;=0),"No area information",""))))))))</f>
        <v/>
      </c>
      <c r="AB984" s="22">
        <f>IF(AND($A984="",$B984=""),"",IF($K984="Point",N($L984),IF(N($N984)&gt;0,N($N984),N($L984))))</f>
        <v/>
      </c>
      <c r="AC984" s="22">
        <f>IF(AND($A984="",$B984=""),"",MIN(AB984,IF(N($J984)=0,0,IF(N($J984)=2,AB984,IF(AND($K984&lt;&gt;"Point",N($O984)&gt;0),N($O984),N($M984))))))</f>
        <v/>
      </c>
      <c r="AD984" s="22">
        <f>IF(AND($A984="",$B984=""),"",MAX(0,AB984-AC984))</f>
        <v/>
      </c>
      <c r="AE984" s="21">
        <f>IF(AND($A984="",$B984=""),"",IF(OR($R984&lt;&gt;"",$S984&lt;&gt;""),1,0))</f>
        <v/>
      </c>
      <c r="AF984" s="22">
        <f>IF(AND($A984="",$B984=""),"",IF(Z984=1,IF(AE984=1,N($R984),AD984),0))</f>
        <v/>
      </c>
      <c r="AG984" s="22">
        <f>IF(AND($A984="",$B984=""),"",IF(Z984=1,IF(AE984=1,N($S984),AC984),0))</f>
        <v/>
      </c>
      <c r="AH984" s="21">
        <f>IF(AND($A984="",$B984=""),"",IF(AND(ISNUMBER($I984),N($I984)&gt;0),$I984,0))</f>
        <v/>
      </c>
      <c r="AI984" s="23">
        <f>IF(AND(NOT(AND($A984="",$B984="")),$K984="Point",N($L984)&gt;0),SQRT(N($L984)/PI()),"")</f>
        <v/>
      </c>
      <c r="AJ984" s="21">
        <f>IF(AND($A984="",$B984=""),"",IFERROR(VLOOKUP($G984,Lists!$D$4:$E$15,2,FALSE),"Not reported"))</f>
        <v/>
      </c>
      <c r="AK984" s="21">
        <f>IF(AND($A984="",$B984=""),"",IF($X984&lt;&gt;"",$X984,IF($T984&lt;&gt;"Y","Not assessed",IF(AND(ISNUMBER($V984),Setup!$B$6-$V984&gt;Setup!$B$26),"Assessment outdated",IF(NOT(ISNUMBER($W984)),"Assessed – no score",IF($W984&gt;=Setup!$B$24,"High",IF($W984&gt;=Setup!$B$25,"Moderate","Low")))))))</f>
        <v/>
      </c>
      <c r="AL984" s="21">
        <f>IF(AND($A984="",$B984=""),"",IF(Z984=0,"",IF(AND(AE984=1,N($R984)&gt;AD984*1.01+0.001),"Net terrestrial &gt; gross; ","")&amp;IF(AND(AE984=1,N($S984)&gt;AC984*1.01+0.001),"Net marine &gt; gross; ","")&amp;IF(AE984=0,"No net area – gross used, overlaps may be double-counted; ","")&amp;IF(AH984=0,"STATUS_YR missing – imputed in time series; ","")&amp;IF(AND(ISNUMBER($I984),N($I984)&gt;Setup!$B$6),"STATUS_YR after reporting year; ","")&amp;IF(OR($G984="",$G984="Not Reported"),"GOV_TYPE not reported; ","")&amp;IF(AND(N($J984)=1,$K984="Point",N($M984)&lt;=0),"Coastal point without REP_M_AREA – land/sea split unknown; ","")&amp;IF(AND(N($J984)=0,N($S984)&gt;0),"MARINE=0 but net marine &gt;0; ","")&amp;IF(AND(N($J984)=2,N($R984)&gt;0),"MARINE=2 but net terrestrial &gt;0; ","")&amp;IF($K984="Point","Buffered point – coverage approximate; ","")))</f>
        <v/>
      </c>
    </row>
    <row r="985">
      <c r="A985" s="19" t="n"/>
      <c r="B985" s="19" t="n"/>
      <c r="C985" s="19" t="n"/>
      <c r="D985" s="19" t="n"/>
      <c r="E985" s="19" t="n"/>
      <c r="F985" s="19" t="n"/>
      <c r="G985" s="19" t="n"/>
      <c r="H985" s="19" t="n"/>
      <c r="I985" s="19" t="n"/>
      <c r="J985" s="19" t="n"/>
      <c r="K985" s="19" t="n"/>
      <c r="L985" s="20" t="n"/>
      <c r="M985" s="20" t="n"/>
      <c r="N985" s="20" t="n"/>
      <c r="O985" s="20" t="n"/>
      <c r="P985" s="19" t="n"/>
      <c r="Q985" s="19" t="n"/>
      <c r="R985" s="20" t="n"/>
      <c r="S985" s="20" t="n"/>
      <c r="T985" s="19" t="n"/>
      <c r="U985" s="19" t="n"/>
      <c r="V985" s="19" t="n"/>
      <c r="W985" s="19" t="n"/>
      <c r="X985" s="19" t="n"/>
      <c r="Y985" s="19" t="n"/>
      <c r="Z985" s="21">
        <f>IF(AND($A985="",$B985=""),"",IF(OR($E985="",$H985="",$H985="Proposed",$H985="Not Reported"),0,IF(AND($P985="Y",$Q985&lt;&gt;"Y"),0,IF(AND($K985="Point",N($L985)&lt;=0),0,IF(AND(N($L985)&lt;=0,N($N985)&lt;=0,N($R985)+N($S985)&lt;=0),0,1)))))</f>
        <v/>
      </c>
      <c r="AA985" s="21">
        <f>IF(AND($A985="",$B985=""),"",IF($E985="","Site type missing",IF($H985="","STATUS missing",IF($H985="Proposed","STATUS = Proposed",IF($H985="Not Reported","STATUS = Not Reported",IF(AND($P985="Y",$Q985&lt;&gt;"Y"),"UNESCO-MAB Biosphere Reserve",IF(AND($K985="Point",N($L985)&lt;=0),"Point without REP_AREA",IF(AND(N($L985)&lt;=0,N($N985)&lt;=0,N($R985)+N($S985)&lt;=0),"No area information",""))))))))</f>
        <v/>
      </c>
      <c r="AB985" s="22">
        <f>IF(AND($A985="",$B985=""),"",IF($K985="Point",N($L985),IF(N($N985)&gt;0,N($N985),N($L985))))</f>
        <v/>
      </c>
      <c r="AC985" s="22">
        <f>IF(AND($A985="",$B985=""),"",MIN(AB985,IF(N($J985)=0,0,IF(N($J985)=2,AB985,IF(AND($K985&lt;&gt;"Point",N($O985)&gt;0),N($O985),N($M985))))))</f>
        <v/>
      </c>
      <c r="AD985" s="22">
        <f>IF(AND($A985="",$B985=""),"",MAX(0,AB985-AC985))</f>
        <v/>
      </c>
      <c r="AE985" s="21">
        <f>IF(AND($A985="",$B985=""),"",IF(OR($R985&lt;&gt;"",$S985&lt;&gt;""),1,0))</f>
        <v/>
      </c>
      <c r="AF985" s="22">
        <f>IF(AND($A985="",$B985=""),"",IF(Z985=1,IF(AE985=1,N($R985),AD985),0))</f>
        <v/>
      </c>
      <c r="AG985" s="22">
        <f>IF(AND($A985="",$B985=""),"",IF(Z985=1,IF(AE985=1,N($S985),AC985),0))</f>
        <v/>
      </c>
      <c r="AH985" s="21">
        <f>IF(AND($A985="",$B985=""),"",IF(AND(ISNUMBER($I985),N($I985)&gt;0),$I985,0))</f>
        <v/>
      </c>
      <c r="AI985" s="23">
        <f>IF(AND(NOT(AND($A985="",$B985="")),$K985="Point",N($L985)&gt;0),SQRT(N($L985)/PI()),"")</f>
        <v/>
      </c>
      <c r="AJ985" s="21">
        <f>IF(AND($A985="",$B985=""),"",IFERROR(VLOOKUP($G985,Lists!$D$4:$E$15,2,FALSE),"Not reported"))</f>
        <v/>
      </c>
      <c r="AK985" s="21">
        <f>IF(AND($A985="",$B985=""),"",IF($X985&lt;&gt;"",$X985,IF($T985&lt;&gt;"Y","Not assessed",IF(AND(ISNUMBER($V985),Setup!$B$6-$V985&gt;Setup!$B$26),"Assessment outdated",IF(NOT(ISNUMBER($W985)),"Assessed – no score",IF($W985&gt;=Setup!$B$24,"High",IF($W985&gt;=Setup!$B$25,"Moderate","Low")))))))</f>
        <v/>
      </c>
      <c r="AL985" s="21">
        <f>IF(AND($A985="",$B985=""),"",IF(Z985=0,"",IF(AND(AE985=1,N($R985)&gt;AD985*1.01+0.001),"Net terrestrial &gt; gross; ","")&amp;IF(AND(AE985=1,N($S985)&gt;AC985*1.01+0.001),"Net marine &gt; gross; ","")&amp;IF(AE985=0,"No net area – gross used, overlaps may be double-counted; ","")&amp;IF(AH985=0,"STATUS_YR missing – imputed in time series; ","")&amp;IF(AND(ISNUMBER($I985),N($I985)&gt;Setup!$B$6),"STATUS_YR after reporting year; ","")&amp;IF(OR($G985="",$G985="Not Reported"),"GOV_TYPE not reported; ","")&amp;IF(AND(N($J985)=1,$K985="Point",N($M985)&lt;=0),"Coastal point without REP_M_AREA – land/sea split unknown; ","")&amp;IF(AND(N($J985)=0,N($S985)&gt;0),"MARINE=0 but net marine &gt;0; ","")&amp;IF(AND(N($J985)=2,N($R985)&gt;0),"MARINE=2 but net terrestrial &gt;0; ","")&amp;IF($K985="Point","Buffered point – coverage approximate; ","")))</f>
        <v/>
      </c>
    </row>
    <row r="986">
      <c r="A986" s="19" t="n"/>
      <c r="B986" s="19" t="n"/>
      <c r="C986" s="19" t="n"/>
      <c r="D986" s="19" t="n"/>
      <c r="E986" s="19" t="n"/>
      <c r="F986" s="19" t="n"/>
      <c r="G986" s="19" t="n"/>
      <c r="H986" s="19" t="n"/>
      <c r="I986" s="19" t="n"/>
      <c r="J986" s="19" t="n"/>
      <c r="K986" s="19" t="n"/>
      <c r="L986" s="20" t="n"/>
      <c r="M986" s="20" t="n"/>
      <c r="N986" s="20" t="n"/>
      <c r="O986" s="20" t="n"/>
      <c r="P986" s="19" t="n"/>
      <c r="Q986" s="19" t="n"/>
      <c r="R986" s="20" t="n"/>
      <c r="S986" s="20" t="n"/>
      <c r="T986" s="19" t="n"/>
      <c r="U986" s="19" t="n"/>
      <c r="V986" s="19" t="n"/>
      <c r="W986" s="19" t="n"/>
      <c r="X986" s="19" t="n"/>
      <c r="Y986" s="19" t="n"/>
      <c r="Z986" s="21">
        <f>IF(AND($A986="",$B986=""),"",IF(OR($E986="",$H986="",$H986="Proposed",$H986="Not Reported"),0,IF(AND($P986="Y",$Q986&lt;&gt;"Y"),0,IF(AND($K986="Point",N($L986)&lt;=0),0,IF(AND(N($L986)&lt;=0,N($N986)&lt;=0,N($R986)+N($S986)&lt;=0),0,1)))))</f>
        <v/>
      </c>
      <c r="AA986" s="21">
        <f>IF(AND($A986="",$B986=""),"",IF($E986="","Site type missing",IF($H986="","STATUS missing",IF($H986="Proposed","STATUS = Proposed",IF($H986="Not Reported","STATUS = Not Reported",IF(AND($P986="Y",$Q986&lt;&gt;"Y"),"UNESCO-MAB Biosphere Reserve",IF(AND($K986="Point",N($L986)&lt;=0),"Point without REP_AREA",IF(AND(N($L986)&lt;=0,N($N986)&lt;=0,N($R986)+N($S986)&lt;=0),"No area information",""))))))))</f>
        <v/>
      </c>
      <c r="AB986" s="22">
        <f>IF(AND($A986="",$B986=""),"",IF($K986="Point",N($L986),IF(N($N986)&gt;0,N($N986),N($L986))))</f>
        <v/>
      </c>
      <c r="AC986" s="22">
        <f>IF(AND($A986="",$B986=""),"",MIN(AB986,IF(N($J986)=0,0,IF(N($J986)=2,AB986,IF(AND($K986&lt;&gt;"Point",N($O986)&gt;0),N($O986),N($M986))))))</f>
        <v/>
      </c>
      <c r="AD986" s="22">
        <f>IF(AND($A986="",$B986=""),"",MAX(0,AB986-AC986))</f>
        <v/>
      </c>
      <c r="AE986" s="21">
        <f>IF(AND($A986="",$B986=""),"",IF(OR($R986&lt;&gt;"",$S986&lt;&gt;""),1,0))</f>
        <v/>
      </c>
      <c r="AF986" s="22">
        <f>IF(AND($A986="",$B986=""),"",IF(Z986=1,IF(AE986=1,N($R986),AD986),0))</f>
        <v/>
      </c>
      <c r="AG986" s="22">
        <f>IF(AND($A986="",$B986=""),"",IF(Z986=1,IF(AE986=1,N($S986),AC986),0))</f>
        <v/>
      </c>
      <c r="AH986" s="21">
        <f>IF(AND($A986="",$B986=""),"",IF(AND(ISNUMBER($I986),N($I986)&gt;0),$I986,0))</f>
        <v/>
      </c>
      <c r="AI986" s="23">
        <f>IF(AND(NOT(AND($A986="",$B986="")),$K986="Point",N($L986)&gt;0),SQRT(N($L986)/PI()),"")</f>
        <v/>
      </c>
      <c r="AJ986" s="21">
        <f>IF(AND($A986="",$B986=""),"",IFERROR(VLOOKUP($G986,Lists!$D$4:$E$15,2,FALSE),"Not reported"))</f>
        <v/>
      </c>
      <c r="AK986" s="21">
        <f>IF(AND($A986="",$B986=""),"",IF($X986&lt;&gt;"",$X986,IF($T986&lt;&gt;"Y","Not assessed",IF(AND(ISNUMBER($V986),Setup!$B$6-$V986&gt;Setup!$B$26),"Assessment outdated",IF(NOT(ISNUMBER($W986)),"Assessed – no score",IF($W986&gt;=Setup!$B$24,"High",IF($W986&gt;=Setup!$B$25,"Moderate","Low")))))))</f>
        <v/>
      </c>
      <c r="AL986" s="21">
        <f>IF(AND($A986="",$B986=""),"",IF(Z986=0,"",IF(AND(AE986=1,N($R986)&gt;AD986*1.01+0.001),"Net terrestrial &gt; gross; ","")&amp;IF(AND(AE986=1,N($S986)&gt;AC986*1.01+0.001),"Net marine &gt; gross; ","")&amp;IF(AE986=0,"No net area – gross used, overlaps may be double-counted; ","")&amp;IF(AH986=0,"STATUS_YR missing – imputed in time series; ","")&amp;IF(AND(ISNUMBER($I986),N($I986)&gt;Setup!$B$6),"STATUS_YR after reporting year; ","")&amp;IF(OR($G986="",$G986="Not Reported"),"GOV_TYPE not reported; ","")&amp;IF(AND(N($J986)=1,$K986="Point",N($M986)&lt;=0),"Coastal point without REP_M_AREA – land/sea split unknown; ","")&amp;IF(AND(N($J986)=0,N($S986)&gt;0),"MARINE=0 but net marine &gt;0; ","")&amp;IF(AND(N($J986)=2,N($R986)&gt;0),"MARINE=2 but net terrestrial &gt;0; ","")&amp;IF($K986="Point","Buffered point – coverage approximate; ","")))</f>
        <v/>
      </c>
    </row>
    <row r="987">
      <c r="A987" s="19" t="n"/>
      <c r="B987" s="19" t="n"/>
      <c r="C987" s="19" t="n"/>
      <c r="D987" s="19" t="n"/>
      <c r="E987" s="19" t="n"/>
      <c r="F987" s="19" t="n"/>
      <c r="G987" s="19" t="n"/>
      <c r="H987" s="19" t="n"/>
      <c r="I987" s="19" t="n"/>
      <c r="J987" s="19" t="n"/>
      <c r="K987" s="19" t="n"/>
      <c r="L987" s="20" t="n"/>
      <c r="M987" s="20" t="n"/>
      <c r="N987" s="20" t="n"/>
      <c r="O987" s="20" t="n"/>
      <c r="P987" s="19" t="n"/>
      <c r="Q987" s="19" t="n"/>
      <c r="R987" s="20" t="n"/>
      <c r="S987" s="20" t="n"/>
      <c r="T987" s="19" t="n"/>
      <c r="U987" s="19" t="n"/>
      <c r="V987" s="19" t="n"/>
      <c r="W987" s="19" t="n"/>
      <c r="X987" s="19" t="n"/>
      <c r="Y987" s="19" t="n"/>
      <c r="Z987" s="21">
        <f>IF(AND($A987="",$B987=""),"",IF(OR($E987="",$H987="",$H987="Proposed",$H987="Not Reported"),0,IF(AND($P987="Y",$Q987&lt;&gt;"Y"),0,IF(AND($K987="Point",N($L987)&lt;=0),0,IF(AND(N($L987)&lt;=0,N($N987)&lt;=0,N($R987)+N($S987)&lt;=0),0,1)))))</f>
        <v/>
      </c>
      <c r="AA987" s="21">
        <f>IF(AND($A987="",$B987=""),"",IF($E987="","Site type missing",IF($H987="","STATUS missing",IF($H987="Proposed","STATUS = Proposed",IF($H987="Not Reported","STATUS = Not Reported",IF(AND($P987="Y",$Q987&lt;&gt;"Y"),"UNESCO-MAB Biosphere Reserve",IF(AND($K987="Point",N($L987)&lt;=0),"Point without REP_AREA",IF(AND(N($L987)&lt;=0,N($N987)&lt;=0,N($R987)+N($S987)&lt;=0),"No area information",""))))))))</f>
        <v/>
      </c>
      <c r="AB987" s="22">
        <f>IF(AND($A987="",$B987=""),"",IF($K987="Point",N($L987),IF(N($N987)&gt;0,N($N987),N($L987))))</f>
        <v/>
      </c>
      <c r="AC987" s="22">
        <f>IF(AND($A987="",$B987=""),"",MIN(AB987,IF(N($J987)=0,0,IF(N($J987)=2,AB987,IF(AND($K987&lt;&gt;"Point",N($O987)&gt;0),N($O987),N($M987))))))</f>
        <v/>
      </c>
      <c r="AD987" s="22">
        <f>IF(AND($A987="",$B987=""),"",MAX(0,AB987-AC987))</f>
        <v/>
      </c>
      <c r="AE987" s="21">
        <f>IF(AND($A987="",$B987=""),"",IF(OR($R987&lt;&gt;"",$S987&lt;&gt;""),1,0))</f>
        <v/>
      </c>
      <c r="AF987" s="22">
        <f>IF(AND($A987="",$B987=""),"",IF(Z987=1,IF(AE987=1,N($R987),AD987),0))</f>
        <v/>
      </c>
      <c r="AG987" s="22">
        <f>IF(AND($A987="",$B987=""),"",IF(Z987=1,IF(AE987=1,N($S987),AC987),0))</f>
        <v/>
      </c>
      <c r="AH987" s="21">
        <f>IF(AND($A987="",$B987=""),"",IF(AND(ISNUMBER($I987),N($I987)&gt;0),$I987,0))</f>
        <v/>
      </c>
      <c r="AI987" s="23">
        <f>IF(AND(NOT(AND($A987="",$B987="")),$K987="Point",N($L987)&gt;0),SQRT(N($L987)/PI()),"")</f>
        <v/>
      </c>
      <c r="AJ987" s="21">
        <f>IF(AND($A987="",$B987=""),"",IFERROR(VLOOKUP($G987,Lists!$D$4:$E$15,2,FALSE),"Not reported"))</f>
        <v/>
      </c>
      <c r="AK987" s="21">
        <f>IF(AND($A987="",$B987=""),"",IF($X987&lt;&gt;"",$X987,IF($T987&lt;&gt;"Y","Not assessed",IF(AND(ISNUMBER($V987),Setup!$B$6-$V987&gt;Setup!$B$26),"Assessment outdated",IF(NOT(ISNUMBER($W987)),"Assessed – no score",IF($W987&gt;=Setup!$B$24,"High",IF($W987&gt;=Setup!$B$25,"Moderate","Low")))))))</f>
        <v/>
      </c>
      <c r="AL987" s="21">
        <f>IF(AND($A987="",$B987=""),"",IF(Z987=0,"",IF(AND(AE987=1,N($R987)&gt;AD987*1.01+0.001),"Net terrestrial &gt; gross; ","")&amp;IF(AND(AE987=1,N($S987)&gt;AC987*1.01+0.001),"Net marine &gt; gross; ","")&amp;IF(AE987=0,"No net area – gross used, overlaps may be double-counted; ","")&amp;IF(AH987=0,"STATUS_YR missing – imputed in time series; ","")&amp;IF(AND(ISNUMBER($I987),N($I987)&gt;Setup!$B$6),"STATUS_YR after reporting year; ","")&amp;IF(OR($G987="",$G987="Not Reported"),"GOV_TYPE not reported; ","")&amp;IF(AND(N($J987)=1,$K987="Point",N($M987)&lt;=0),"Coastal point without REP_M_AREA – land/sea split unknown; ","")&amp;IF(AND(N($J987)=0,N($S987)&gt;0),"MARINE=0 but net marine &gt;0; ","")&amp;IF(AND(N($J987)=2,N($R987)&gt;0),"MARINE=2 but net terrestrial &gt;0; ","")&amp;IF($K987="Point","Buffered point – coverage approximate; ","")))</f>
        <v/>
      </c>
    </row>
    <row r="988">
      <c r="A988" s="19" t="n"/>
      <c r="B988" s="19" t="n"/>
      <c r="C988" s="19" t="n"/>
      <c r="D988" s="19" t="n"/>
      <c r="E988" s="19" t="n"/>
      <c r="F988" s="19" t="n"/>
      <c r="G988" s="19" t="n"/>
      <c r="H988" s="19" t="n"/>
      <c r="I988" s="19" t="n"/>
      <c r="J988" s="19" t="n"/>
      <c r="K988" s="19" t="n"/>
      <c r="L988" s="20" t="n"/>
      <c r="M988" s="20" t="n"/>
      <c r="N988" s="20" t="n"/>
      <c r="O988" s="20" t="n"/>
      <c r="P988" s="19" t="n"/>
      <c r="Q988" s="19" t="n"/>
      <c r="R988" s="20" t="n"/>
      <c r="S988" s="20" t="n"/>
      <c r="T988" s="19" t="n"/>
      <c r="U988" s="19" t="n"/>
      <c r="V988" s="19" t="n"/>
      <c r="W988" s="19" t="n"/>
      <c r="X988" s="19" t="n"/>
      <c r="Y988" s="19" t="n"/>
      <c r="Z988" s="21">
        <f>IF(AND($A988="",$B988=""),"",IF(OR($E988="",$H988="",$H988="Proposed",$H988="Not Reported"),0,IF(AND($P988="Y",$Q988&lt;&gt;"Y"),0,IF(AND($K988="Point",N($L988)&lt;=0),0,IF(AND(N($L988)&lt;=0,N($N988)&lt;=0,N($R988)+N($S988)&lt;=0),0,1)))))</f>
        <v/>
      </c>
      <c r="AA988" s="21">
        <f>IF(AND($A988="",$B988=""),"",IF($E988="","Site type missing",IF($H988="","STATUS missing",IF($H988="Proposed","STATUS = Proposed",IF($H988="Not Reported","STATUS = Not Reported",IF(AND($P988="Y",$Q988&lt;&gt;"Y"),"UNESCO-MAB Biosphere Reserve",IF(AND($K988="Point",N($L988)&lt;=0),"Point without REP_AREA",IF(AND(N($L988)&lt;=0,N($N988)&lt;=0,N($R988)+N($S988)&lt;=0),"No area information",""))))))))</f>
        <v/>
      </c>
      <c r="AB988" s="22">
        <f>IF(AND($A988="",$B988=""),"",IF($K988="Point",N($L988),IF(N($N988)&gt;0,N($N988),N($L988))))</f>
        <v/>
      </c>
      <c r="AC988" s="22">
        <f>IF(AND($A988="",$B988=""),"",MIN(AB988,IF(N($J988)=0,0,IF(N($J988)=2,AB988,IF(AND($K988&lt;&gt;"Point",N($O988)&gt;0),N($O988),N($M988))))))</f>
        <v/>
      </c>
      <c r="AD988" s="22">
        <f>IF(AND($A988="",$B988=""),"",MAX(0,AB988-AC988))</f>
        <v/>
      </c>
      <c r="AE988" s="21">
        <f>IF(AND($A988="",$B988=""),"",IF(OR($R988&lt;&gt;"",$S988&lt;&gt;""),1,0))</f>
        <v/>
      </c>
      <c r="AF988" s="22">
        <f>IF(AND($A988="",$B988=""),"",IF(Z988=1,IF(AE988=1,N($R988),AD988),0))</f>
        <v/>
      </c>
      <c r="AG988" s="22">
        <f>IF(AND($A988="",$B988=""),"",IF(Z988=1,IF(AE988=1,N($S988),AC988),0))</f>
        <v/>
      </c>
      <c r="AH988" s="21">
        <f>IF(AND($A988="",$B988=""),"",IF(AND(ISNUMBER($I988),N($I988)&gt;0),$I988,0))</f>
        <v/>
      </c>
      <c r="AI988" s="23">
        <f>IF(AND(NOT(AND($A988="",$B988="")),$K988="Point",N($L988)&gt;0),SQRT(N($L988)/PI()),"")</f>
        <v/>
      </c>
      <c r="AJ988" s="21">
        <f>IF(AND($A988="",$B988=""),"",IFERROR(VLOOKUP($G988,Lists!$D$4:$E$15,2,FALSE),"Not reported"))</f>
        <v/>
      </c>
      <c r="AK988" s="21">
        <f>IF(AND($A988="",$B988=""),"",IF($X988&lt;&gt;"",$X988,IF($T988&lt;&gt;"Y","Not assessed",IF(AND(ISNUMBER($V988),Setup!$B$6-$V988&gt;Setup!$B$26),"Assessment outdated",IF(NOT(ISNUMBER($W988)),"Assessed – no score",IF($W988&gt;=Setup!$B$24,"High",IF($W988&gt;=Setup!$B$25,"Moderate","Low")))))))</f>
        <v/>
      </c>
      <c r="AL988" s="21">
        <f>IF(AND($A988="",$B988=""),"",IF(Z988=0,"",IF(AND(AE988=1,N($R988)&gt;AD988*1.01+0.001),"Net terrestrial &gt; gross; ","")&amp;IF(AND(AE988=1,N($S988)&gt;AC988*1.01+0.001),"Net marine &gt; gross; ","")&amp;IF(AE988=0,"No net area – gross used, overlaps may be double-counted; ","")&amp;IF(AH988=0,"STATUS_YR missing – imputed in time series; ","")&amp;IF(AND(ISNUMBER($I988),N($I988)&gt;Setup!$B$6),"STATUS_YR after reporting year; ","")&amp;IF(OR($G988="",$G988="Not Reported"),"GOV_TYPE not reported; ","")&amp;IF(AND(N($J988)=1,$K988="Point",N($M988)&lt;=0),"Coastal point without REP_M_AREA – land/sea split unknown; ","")&amp;IF(AND(N($J988)=0,N($S988)&gt;0),"MARINE=0 but net marine &gt;0; ","")&amp;IF(AND(N($J988)=2,N($R988)&gt;0),"MARINE=2 but net terrestrial &gt;0; ","")&amp;IF($K988="Point","Buffered point – coverage approximate; ","")))</f>
        <v/>
      </c>
    </row>
    <row r="989">
      <c r="A989" s="19" t="n"/>
      <c r="B989" s="19" t="n"/>
      <c r="C989" s="19" t="n"/>
      <c r="D989" s="19" t="n"/>
      <c r="E989" s="19" t="n"/>
      <c r="F989" s="19" t="n"/>
      <c r="G989" s="19" t="n"/>
      <c r="H989" s="19" t="n"/>
      <c r="I989" s="19" t="n"/>
      <c r="J989" s="19" t="n"/>
      <c r="K989" s="19" t="n"/>
      <c r="L989" s="20" t="n"/>
      <c r="M989" s="20" t="n"/>
      <c r="N989" s="20" t="n"/>
      <c r="O989" s="20" t="n"/>
      <c r="P989" s="19" t="n"/>
      <c r="Q989" s="19" t="n"/>
      <c r="R989" s="20" t="n"/>
      <c r="S989" s="20" t="n"/>
      <c r="T989" s="19" t="n"/>
      <c r="U989" s="19" t="n"/>
      <c r="V989" s="19" t="n"/>
      <c r="W989" s="19" t="n"/>
      <c r="X989" s="19" t="n"/>
      <c r="Y989" s="19" t="n"/>
      <c r="Z989" s="21">
        <f>IF(AND($A989="",$B989=""),"",IF(OR($E989="",$H989="",$H989="Proposed",$H989="Not Reported"),0,IF(AND($P989="Y",$Q989&lt;&gt;"Y"),0,IF(AND($K989="Point",N($L989)&lt;=0),0,IF(AND(N($L989)&lt;=0,N($N989)&lt;=0,N($R989)+N($S989)&lt;=0),0,1)))))</f>
        <v/>
      </c>
      <c r="AA989" s="21">
        <f>IF(AND($A989="",$B989=""),"",IF($E989="","Site type missing",IF($H989="","STATUS missing",IF($H989="Proposed","STATUS = Proposed",IF($H989="Not Reported","STATUS = Not Reported",IF(AND($P989="Y",$Q989&lt;&gt;"Y"),"UNESCO-MAB Biosphere Reserve",IF(AND($K989="Point",N($L989)&lt;=0),"Point without REP_AREA",IF(AND(N($L989)&lt;=0,N($N989)&lt;=0,N($R989)+N($S989)&lt;=0),"No area information",""))))))))</f>
        <v/>
      </c>
      <c r="AB989" s="22">
        <f>IF(AND($A989="",$B989=""),"",IF($K989="Point",N($L989),IF(N($N989)&gt;0,N($N989),N($L989))))</f>
        <v/>
      </c>
      <c r="AC989" s="22">
        <f>IF(AND($A989="",$B989=""),"",MIN(AB989,IF(N($J989)=0,0,IF(N($J989)=2,AB989,IF(AND($K989&lt;&gt;"Point",N($O989)&gt;0),N($O989),N($M989))))))</f>
        <v/>
      </c>
      <c r="AD989" s="22">
        <f>IF(AND($A989="",$B989=""),"",MAX(0,AB989-AC989))</f>
        <v/>
      </c>
      <c r="AE989" s="21">
        <f>IF(AND($A989="",$B989=""),"",IF(OR($R989&lt;&gt;"",$S989&lt;&gt;""),1,0))</f>
        <v/>
      </c>
      <c r="AF989" s="22">
        <f>IF(AND($A989="",$B989=""),"",IF(Z989=1,IF(AE989=1,N($R989),AD989),0))</f>
        <v/>
      </c>
      <c r="AG989" s="22">
        <f>IF(AND($A989="",$B989=""),"",IF(Z989=1,IF(AE989=1,N($S989),AC989),0))</f>
        <v/>
      </c>
      <c r="AH989" s="21">
        <f>IF(AND($A989="",$B989=""),"",IF(AND(ISNUMBER($I989),N($I989)&gt;0),$I989,0))</f>
        <v/>
      </c>
      <c r="AI989" s="23">
        <f>IF(AND(NOT(AND($A989="",$B989="")),$K989="Point",N($L989)&gt;0),SQRT(N($L989)/PI()),"")</f>
        <v/>
      </c>
      <c r="AJ989" s="21">
        <f>IF(AND($A989="",$B989=""),"",IFERROR(VLOOKUP($G989,Lists!$D$4:$E$15,2,FALSE),"Not reported"))</f>
        <v/>
      </c>
      <c r="AK989" s="21">
        <f>IF(AND($A989="",$B989=""),"",IF($X989&lt;&gt;"",$X989,IF($T989&lt;&gt;"Y","Not assessed",IF(AND(ISNUMBER($V989),Setup!$B$6-$V989&gt;Setup!$B$26),"Assessment outdated",IF(NOT(ISNUMBER($W989)),"Assessed – no score",IF($W989&gt;=Setup!$B$24,"High",IF($W989&gt;=Setup!$B$25,"Moderate","Low")))))))</f>
        <v/>
      </c>
      <c r="AL989" s="21">
        <f>IF(AND($A989="",$B989=""),"",IF(Z989=0,"",IF(AND(AE989=1,N($R989)&gt;AD989*1.01+0.001),"Net terrestrial &gt; gross; ","")&amp;IF(AND(AE989=1,N($S989)&gt;AC989*1.01+0.001),"Net marine &gt; gross; ","")&amp;IF(AE989=0,"No net area – gross used, overlaps may be double-counted; ","")&amp;IF(AH989=0,"STATUS_YR missing – imputed in time series; ","")&amp;IF(AND(ISNUMBER($I989),N($I989)&gt;Setup!$B$6),"STATUS_YR after reporting year; ","")&amp;IF(OR($G989="",$G989="Not Reported"),"GOV_TYPE not reported; ","")&amp;IF(AND(N($J989)=1,$K989="Point",N($M989)&lt;=0),"Coastal point without REP_M_AREA – land/sea split unknown; ","")&amp;IF(AND(N($J989)=0,N($S989)&gt;0),"MARINE=0 but net marine &gt;0; ","")&amp;IF(AND(N($J989)=2,N($R989)&gt;0),"MARINE=2 but net terrestrial &gt;0; ","")&amp;IF($K989="Point","Buffered point – coverage approximate; ","")))</f>
        <v/>
      </c>
    </row>
    <row r="990">
      <c r="A990" s="19" t="n"/>
      <c r="B990" s="19" t="n"/>
      <c r="C990" s="19" t="n"/>
      <c r="D990" s="19" t="n"/>
      <c r="E990" s="19" t="n"/>
      <c r="F990" s="19" t="n"/>
      <c r="G990" s="19" t="n"/>
      <c r="H990" s="19" t="n"/>
      <c r="I990" s="19" t="n"/>
      <c r="J990" s="19" t="n"/>
      <c r="K990" s="19" t="n"/>
      <c r="L990" s="20" t="n"/>
      <c r="M990" s="20" t="n"/>
      <c r="N990" s="20" t="n"/>
      <c r="O990" s="20" t="n"/>
      <c r="P990" s="19" t="n"/>
      <c r="Q990" s="19" t="n"/>
      <c r="R990" s="20" t="n"/>
      <c r="S990" s="20" t="n"/>
      <c r="T990" s="19" t="n"/>
      <c r="U990" s="19" t="n"/>
      <c r="V990" s="19" t="n"/>
      <c r="W990" s="19" t="n"/>
      <c r="X990" s="19" t="n"/>
      <c r="Y990" s="19" t="n"/>
      <c r="Z990" s="21">
        <f>IF(AND($A990="",$B990=""),"",IF(OR($E990="",$H990="",$H990="Proposed",$H990="Not Reported"),0,IF(AND($P990="Y",$Q990&lt;&gt;"Y"),0,IF(AND($K990="Point",N($L990)&lt;=0),0,IF(AND(N($L990)&lt;=0,N($N990)&lt;=0,N($R990)+N($S990)&lt;=0),0,1)))))</f>
        <v/>
      </c>
      <c r="AA990" s="21">
        <f>IF(AND($A990="",$B990=""),"",IF($E990="","Site type missing",IF($H990="","STATUS missing",IF($H990="Proposed","STATUS = Proposed",IF($H990="Not Reported","STATUS = Not Reported",IF(AND($P990="Y",$Q990&lt;&gt;"Y"),"UNESCO-MAB Biosphere Reserve",IF(AND($K990="Point",N($L990)&lt;=0),"Point without REP_AREA",IF(AND(N($L990)&lt;=0,N($N990)&lt;=0,N($R990)+N($S990)&lt;=0),"No area information",""))))))))</f>
        <v/>
      </c>
      <c r="AB990" s="22">
        <f>IF(AND($A990="",$B990=""),"",IF($K990="Point",N($L990),IF(N($N990)&gt;0,N($N990),N($L990))))</f>
        <v/>
      </c>
      <c r="AC990" s="22">
        <f>IF(AND($A990="",$B990=""),"",MIN(AB990,IF(N($J990)=0,0,IF(N($J990)=2,AB990,IF(AND($K990&lt;&gt;"Point",N($O990)&gt;0),N($O990),N($M990))))))</f>
        <v/>
      </c>
      <c r="AD990" s="22">
        <f>IF(AND($A990="",$B990=""),"",MAX(0,AB990-AC990))</f>
        <v/>
      </c>
      <c r="AE990" s="21">
        <f>IF(AND($A990="",$B990=""),"",IF(OR($R990&lt;&gt;"",$S990&lt;&gt;""),1,0))</f>
        <v/>
      </c>
      <c r="AF990" s="22">
        <f>IF(AND($A990="",$B990=""),"",IF(Z990=1,IF(AE990=1,N($R990),AD990),0))</f>
        <v/>
      </c>
      <c r="AG990" s="22">
        <f>IF(AND($A990="",$B990=""),"",IF(Z990=1,IF(AE990=1,N($S990),AC990),0))</f>
        <v/>
      </c>
      <c r="AH990" s="21">
        <f>IF(AND($A990="",$B990=""),"",IF(AND(ISNUMBER($I990),N($I990)&gt;0),$I990,0))</f>
        <v/>
      </c>
      <c r="AI990" s="23">
        <f>IF(AND(NOT(AND($A990="",$B990="")),$K990="Point",N($L990)&gt;0),SQRT(N($L990)/PI()),"")</f>
        <v/>
      </c>
      <c r="AJ990" s="21">
        <f>IF(AND($A990="",$B990=""),"",IFERROR(VLOOKUP($G990,Lists!$D$4:$E$15,2,FALSE),"Not reported"))</f>
        <v/>
      </c>
      <c r="AK990" s="21">
        <f>IF(AND($A990="",$B990=""),"",IF($X990&lt;&gt;"",$X990,IF($T990&lt;&gt;"Y","Not assessed",IF(AND(ISNUMBER($V990),Setup!$B$6-$V990&gt;Setup!$B$26),"Assessment outdated",IF(NOT(ISNUMBER($W990)),"Assessed – no score",IF($W990&gt;=Setup!$B$24,"High",IF($W990&gt;=Setup!$B$25,"Moderate","Low")))))))</f>
        <v/>
      </c>
      <c r="AL990" s="21">
        <f>IF(AND($A990="",$B990=""),"",IF(Z990=0,"",IF(AND(AE990=1,N($R990)&gt;AD990*1.01+0.001),"Net terrestrial &gt; gross; ","")&amp;IF(AND(AE990=1,N($S990)&gt;AC990*1.01+0.001),"Net marine &gt; gross; ","")&amp;IF(AE990=0,"No net area – gross used, overlaps may be double-counted; ","")&amp;IF(AH990=0,"STATUS_YR missing – imputed in time series; ","")&amp;IF(AND(ISNUMBER($I990),N($I990)&gt;Setup!$B$6),"STATUS_YR after reporting year; ","")&amp;IF(OR($G990="",$G990="Not Reported"),"GOV_TYPE not reported; ","")&amp;IF(AND(N($J990)=1,$K990="Point",N($M990)&lt;=0),"Coastal point without REP_M_AREA – land/sea split unknown; ","")&amp;IF(AND(N($J990)=0,N($S990)&gt;0),"MARINE=0 but net marine &gt;0; ","")&amp;IF(AND(N($J990)=2,N($R990)&gt;0),"MARINE=2 but net terrestrial &gt;0; ","")&amp;IF($K990="Point","Buffered point – coverage approximate; ","")))</f>
        <v/>
      </c>
    </row>
    <row r="991">
      <c r="A991" s="19" t="n"/>
      <c r="B991" s="19" t="n"/>
      <c r="C991" s="19" t="n"/>
      <c r="D991" s="19" t="n"/>
      <c r="E991" s="19" t="n"/>
      <c r="F991" s="19" t="n"/>
      <c r="G991" s="19" t="n"/>
      <c r="H991" s="19" t="n"/>
      <c r="I991" s="19" t="n"/>
      <c r="J991" s="19" t="n"/>
      <c r="K991" s="19" t="n"/>
      <c r="L991" s="20" t="n"/>
      <c r="M991" s="20" t="n"/>
      <c r="N991" s="20" t="n"/>
      <c r="O991" s="20" t="n"/>
      <c r="P991" s="19" t="n"/>
      <c r="Q991" s="19" t="n"/>
      <c r="R991" s="20" t="n"/>
      <c r="S991" s="20" t="n"/>
      <c r="T991" s="19" t="n"/>
      <c r="U991" s="19" t="n"/>
      <c r="V991" s="19" t="n"/>
      <c r="W991" s="19" t="n"/>
      <c r="X991" s="19" t="n"/>
      <c r="Y991" s="19" t="n"/>
      <c r="Z991" s="21">
        <f>IF(AND($A991="",$B991=""),"",IF(OR($E991="",$H991="",$H991="Proposed",$H991="Not Reported"),0,IF(AND($P991="Y",$Q991&lt;&gt;"Y"),0,IF(AND($K991="Point",N($L991)&lt;=0),0,IF(AND(N($L991)&lt;=0,N($N991)&lt;=0,N($R991)+N($S991)&lt;=0),0,1)))))</f>
        <v/>
      </c>
      <c r="AA991" s="21">
        <f>IF(AND($A991="",$B991=""),"",IF($E991="","Site type missing",IF($H991="","STATUS missing",IF($H991="Proposed","STATUS = Proposed",IF($H991="Not Reported","STATUS = Not Reported",IF(AND($P991="Y",$Q991&lt;&gt;"Y"),"UNESCO-MAB Biosphere Reserve",IF(AND($K991="Point",N($L991)&lt;=0),"Point without REP_AREA",IF(AND(N($L991)&lt;=0,N($N991)&lt;=0,N($R991)+N($S991)&lt;=0),"No area information",""))))))))</f>
        <v/>
      </c>
      <c r="AB991" s="22">
        <f>IF(AND($A991="",$B991=""),"",IF($K991="Point",N($L991),IF(N($N991)&gt;0,N($N991),N($L991))))</f>
        <v/>
      </c>
      <c r="AC991" s="22">
        <f>IF(AND($A991="",$B991=""),"",MIN(AB991,IF(N($J991)=0,0,IF(N($J991)=2,AB991,IF(AND($K991&lt;&gt;"Point",N($O991)&gt;0),N($O991),N($M991))))))</f>
        <v/>
      </c>
      <c r="AD991" s="22">
        <f>IF(AND($A991="",$B991=""),"",MAX(0,AB991-AC991))</f>
        <v/>
      </c>
      <c r="AE991" s="21">
        <f>IF(AND($A991="",$B991=""),"",IF(OR($R991&lt;&gt;"",$S991&lt;&gt;""),1,0))</f>
        <v/>
      </c>
      <c r="AF991" s="22">
        <f>IF(AND($A991="",$B991=""),"",IF(Z991=1,IF(AE991=1,N($R991),AD991),0))</f>
        <v/>
      </c>
      <c r="AG991" s="22">
        <f>IF(AND($A991="",$B991=""),"",IF(Z991=1,IF(AE991=1,N($S991),AC991),0))</f>
        <v/>
      </c>
      <c r="AH991" s="21">
        <f>IF(AND($A991="",$B991=""),"",IF(AND(ISNUMBER($I991),N($I991)&gt;0),$I991,0))</f>
        <v/>
      </c>
      <c r="AI991" s="23">
        <f>IF(AND(NOT(AND($A991="",$B991="")),$K991="Point",N($L991)&gt;0),SQRT(N($L991)/PI()),"")</f>
        <v/>
      </c>
      <c r="AJ991" s="21">
        <f>IF(AND($A991="",$B991=""),"",IFERROR(VLOOKUP($G991,Lists!$D$4:$E$15,2,FALSE),"Not reported"))</f>
        <v/>
      </c>
      <c r="AK991" s="21">
        <f>IF(AND($A991="",$B991=""),"",IF($X991&lt;&gt;"",$X991,IF($T991&lt;&gt;"Y","Not assessed",IF(AND(ISNUMBER($V991),Setup!$B$6-$V991&gt;Setup!$B$26),"Assessment outdated",IF(NOT(ISNUMBER($W991)),"Assessed – no score",IF($W991&gt;=Setup!$B$24,"High",IF($W991&gt;=Setup!$B$25,"Moderate","Low")))))))</f>
        <v/>
      </c>
      <c r="AL991" s="21">
        <f>IF(AND($A991="",$B991=""),"",IF(Z991=0,"",IF(AND(AE991=1,N($R991)&gt;AD991*1.01+0.001),"Net terrestrial &gt; gross; ","")&amp;IF(AND(AE991=1,N($S991)&gt;AC991*1.01+0.001),"Net marine &gt; gross; ","")&amp;IF(AE991=0,"No net area – gross used, overlaps may be double-counted; ","")&amp;IF(AH991=0,"STATUS_YR missing – imputed in time series; ","")&amp;IF(AND(ISNUMBER($I991),N($I991)&gt;Setup!$B$6),"STATUS_YR after reporting year; ","")&amp;IF(OR($G991="",$G991="Not Reported"),"GOV_TYPE not reported; ","")&amp;IF(AND(N($J991)=1,$K991="Point",N($M991)&lt;=0),"Coastal point without REP_M_AREA – land/sea split unknown; ","")&amp;IF(AND(N($J991)=0,N($S991)&gt;0),"MARINE=0 but net marine &gt;0; ","")&amp;IF(AND(N($J991)=2,N($R991)&gt;0),"MARINE=2 but net terrestrial &gt;0; ","")&amp;IF($K991="Point","Buffered point – coverage approximate; ","")))</f>
        <v/>
      </c>
    </row>
    <row r="992">
      <c r="A992" s="19" t="n"/>
      <c r="B992" s="19" t="n"/>
      <c r="C992" s="19" t="n"/>
      <c r="D992" s="19" t="n"/>
      <c r="E992" s="19" t="n"/>
      <c r="F992" s="19" t="n"/>
      <c r="G992" s="19" t="n"/>
      <c r="H992" s="19" t="n"/>
      <c r="I992" s="19" t="n"/>
      <c r="J992" s="19" t="n"/>
      <c r="K992" s="19" t="n"/>
      <c r="L992" s="20" t="n"/>
      <c r="M992" s="20" t="n"/>
      <c r="N992" s="20" t="n"/>
      <c r="O992" s="20" t="n"/>
      <c r="P992" s="19" t="n"/>
      <c r="Q992" s="19" t="n"/>
      <c r="R992" s="20" t="n"/>
      <c r="S992" s="20" t="n"/>
      <c r="T992" s="19" t="n"/>
      <c r="U992" s="19" t="n"/>
      <c r="V992" s="19" t="n"/>
      <c r="W992" s="19" t="n"/>
      <c r="X992" s="19" t="n"/>
      <c r="Y992" s="19" t="n"/>
      <c r="Z992" s="21">
        <f>IF(AND($A992="",$B992=""),"",IF(OR($E992="",$H992="",$H992="Proposed",$H992="Not Reported"),0,IF(AND($P992="Y",$Q992&lt;&gt;"Y"),0,IF(AND($K992="Point",N($L992)&lt;=0),0,IF(AND(N($L992)&lt;=0,N($N992)&lt;=0,N($R992)+N($S992)&lt;=0),0,1)))))</f>
        <v/>
      </c>
      <c r="AA992" s="21">
        <f>IF(AND($A992="",$B992=""),"",IF($E992="","Site type missing",IF($H992="","STATUS missing",IF($H992="Proposed","STATUS = Proposed",IF($H992="Not Reported","STATUS = Not Reported",IF(AND($P992="Y",$Q992&lt;&gt;"Y"),"UNESCO-MAB Biosphere Reserve",IF(AND($K992="Point",N($L992)&lt;=0),"Point without REP_AREA",IF(AND(N($L992)&lt;=0,N($N992)&lt;=0,N($R992)+N($S992)&lt;=0),"No area information",""))))))))</f>
        <v/>
      </c>
      <c r="AB992" s="22">
        <f>IF(AND($A992="",$B992=""),"",IF($K992="Point",N($L992),IF(N($N992)&gt;0,N($N992),N($L992))))</f>
        <v/>
      </c>
      <c r="AC992" s="22">
        <f>IF(AND($A992="",$B992=""),"",MIN(AB992,IF(N($J992)=0,0,IF(N($J992)=2,AB992,IF(AND($K992&lt;&gt;"Point",N($O992)&gt;0),N($O992),N($M992))))))</f>
        <v/>
      </c>
      <c r="AD992" s="22">
        <f>IF(AND($A992="",$B992=""),"",MAX(0,AB992-AC992))</f>
        <v/>
      </c>
      <c r="AE992" s="21">
        <f>IF(AND($A992="",$B992=""),"",IF(OR($R992&lt;&gt;"",$S992&lt;&gt;""),1,0))</f>
        <v/>
      </c>
      <c r="AF992" s="22">
        <f>IF(AND($A992="",$B992=""),"",IF(Z992=1,IF(AE992=1,N($R992),AD992),0))</f>
        <v/>
      </c>
      <c r="AG992" s="22">
        <f>IF(AND($A992="",$B992=""),"",IF(Z992=1,IF(AE992=1,N($S992),AC992),0))</f>
        <v/>
      </c>
      <c r="AH992" s="21">
        <f>IF(AND($A992="",$B992=""),"",IF(AND(ISNUMBER($I992),N($I992)&gt;0),$I992,0))</f>
        <v/>
      </c>
      <c r="AI992" s="23">
        <f>IF(AND(NOT(AND($A992="",$B992="")),$K992="Point",N($L992)&gt;0),SQRT(N($L992)/PI()),"")</f>
        <v/>
      </c>
      <c r="AJ992" s="21">
        <f>IF(AND($A992="",$B992=""),"",IFERROR(VLOOKUP($G992,Lists!$D$4:$E$15,2,FALSE),"Not reported"))</f>
        <v/>
      </c>
      <c r="AK992" s="21">
        <f>IF(AND($A992="",$B992=""),"",IF($X992&lt;&gt;"",$X992,IF($T992&lt;&gt;"Y","Not assessed",IF(AND(ISNUMBER($V992),Setup!$B$6-$V992&gt;Setup!$B$26),"Assessment outdated",IF(NOT(ISNUMBER($W992)),"Assessed – no score",IF($W992&gt;=Setup!$B$24,"High",IF($W992&gt;=Setup!$B$25,"Moderate","Low")))))))</f>
        <v/>
      </c>
      <c r="AL992" s="21">
        <f>IF(AND($A992="",$B992=""),"",IF(Z992=0,"",IF(AND(AE992=1,N($R992)&gt;AD992*1.01+0.001),"Net terrestrial &gt; gross; ","")&amp;IF(AND(AE992=1,N($S992)&gt;AC992*1.01+0.001),"Net marine &gt; gross; ","")&amp;IF(AE992=0,"No net area – gross used, overlaps may be double-counted; ","")&amp;IF(AH992=0,"STATUS_YR missing – imputed in time series; ","")&amp;IF(AND(ISNUMBER($I992),N($I992)&gt;Setup!$B$6),"STATUS_YR after reporting year; ","")&amp;IF(OR($G992="",$G992="Not Reported"),"GOV_TYPE not reported; ","")&amp;IF(AND(N($J992)=1,$K992="Point",N($M992)&lt;=0),"Coastal point without REP_M_AREA – land/sea split unknown; ","")&amp;IF(AND(N($J992)=0,N($S992)&gt;0),"MARINE=0 but net marine &gt;0; ","")&amp;IF(AND(N($J992)=2,N($R992)&gt;0),"MARINE=2 but net terrestrial &gt;0; ","")&amp;IF($K992="Point","Buffered point – coverage approximate; ","")))</f>
        <v/>
      </c>
    </row>
    <row r="993">
      <c r="A993" s="19" t="n"/>
      <c r="B993" s="19" t="n"/>
      <c r="C993" s="19" t="n"/>
      <c r="D993" s="19" t="n"/>
      <c r="E993" s="19" t="n"/>
      <c r="F993" s="19" t="n"/>
      <c r="G993" s="19" t="n"/>
      <c r="H993" s="19" t="n"/>
      <c r="I993" s="19" t="n"/>
      <c r="J993" s="19" t="n"/>
      <c r="K993" s="19" t="n"/>
      <c r="L993" s="20" t="n"/>
      <c r="M993" s="20" t="n"/>
      <c r="N993" s="20" t="n"/>
      <c r="O993" s="20" t="n"/>
      <c r="P993" s="19" t="n"/>
      <c r="Q993" s="19" t="n"/>
      <c r="R993" s="20" t="n"/>
      <c r="S993" s="20" t="n"/>
      <c r="T993" s="19" t="n"/>
      <c r="U993" s="19" t="n"/>
      <c r="V993" s="19" t="n"/>
      <c r="W993" s="19" t="n"/>
      <c r="X993" s="19" t="n"/>
      <c r="Y993" s="19" t="n"/>
      <c r="Z993" s="21">
        <f>IF(AND($A993="",$B993=""),"",IF(OR($E993="",$H993="",$H993="Proposed",$H993="Not Reported"),0,IF(AND($P993="Y",$Q993&lt;&gt;"Y"),0,IF(AND($K993="Point",N($L993)&lt;=0),0,IF(AND(N($L993)&lt;=0,N($N993)&lt;=0,N($R993)+N($S993)&lt;=0),0,1)))))</f>
        <v/>
      </c>
      <c r="AA993" s="21">
        <f>IF(AND($A993="",$B993=""),"",IF($E993="","Site type missing",IF($H993="","STATUS missing",IF($H993="Proposed","STATUS = Proposed",IF($H993="Not Reported","STATUS = Not Reported",IF(AND($P993="Y",$Q993&lt;&gt;"Y"),"UNESCO-MAB Biosphere Reserve",IF(AND($K993="Point",N($L993)&lt;=0),"Point without REP_AREA",IF(AND(N($L993)&lt;=0,N($N993)&lt;=0,N($R993)+N($S993)&lt;=0),"No area information",""))))))))</f>
        <v/>
      </c>
      <c r="AB993" s="22">
        <f>IF(AND($A993="",$B993=""),"",IF($K993="Point",N($L993),IF(N($N993)&gt;0,N($N993),N($L993))))</f>
        <v/>
      </c>
      <c r="AC993" s="22">
        <f>IF(AND($A993="",$B993=""),"",MIN(AB993,IF(N($J993)=0,0,IF(N($J993)=2,AB993,IF(AND($K993&lt;&gt;"Point",N($O993)&gt;0),N($O993),N($M993))))))</f>
        <v/>
      </c>
      <c r="AD993" s="22">
        <f>IF(AND($A993="",$B993=""),"",MAX(0,AB993-AC993))</f>
        <v/>
      </c>
      <c r="AE993" s="21">
        <f>IF(AND($A993="",$B993=""),"",IF(OR($R993&lt;&gt;"",$S993&lt;&gt;""),1,0))</f>
        <v/>
      </c>
      <c r="AF993" s="22">
        <f>IF(AND($A993="",$B993=""),"",IF(Z993=1,IF(AE993=1,N($R993),AD993),0))</f>
        <v/>
      </c>
      <c r="AG993" s="22">
        <f>IF(AND($A993="",$B993=""),"",IF(Z993=1,IF(AE993=1,N($S993),AC993),0))</f>
        <v/>
      </c>
      <c r="AH993" s="21">
        <f>IF(AND($A993="",$B993=""),"",IF(AND(ISNUMBER($I993),N($I993)&gt;0),$I993,0))</f>
        <v/>
      </c>
      <c r="AI993" s="23">
        <f>IF(AND(NOT(AND($A993="",$B993="")),$K993="Point",N($L993)&gt;0),SQRT(N($L993)/PI()),"")</f>
        <v/>
      </c>
      <c r="AJ993" s="21">
        <f>IF(AND($A993="",$B993=""),"",IFERROR(VLOOKUP($G993,Lists!$D$4:$E$15,2,FALSE),"Not reported"))</f>
        <v/>
      </c>
      <c r="AK993" s="21">
        <f>IF(AND($A993="",$B993=""),"",IF($X993&lt;&gt;"",$X993,IF($T993&lt;&gt;"Y","Not assessed",IF(AND(ISNUMBER($V993),Setup!$B$6-$V993&gt;Setup!$B$26),"Assessment outdated",IF(NOT(ISNUMBER($W993)),"Assessed – no score",IF($W993&gt;=Setup!$B$24,"High",IF($W993&gt;=Setup!$B$25,"Moderate","Low")))))))</f>
        <v/>
      </c>
      <c r="AL993" s="21">
        <f>IF(AND($A993="",$B993=""),"",IF(Z993=0,"",IF(AND(AE993=1,N($R993)&gt;AD993*1.01+0.001),"Net terrestrial &gt; gross; ","")&amp;IF(AND(AE993=1,N($S993)&gt;AC993*1.01+0.001),"Net marine &gt; gross; ","")&amp;IF(AE993=0,"No net area – gross used, overlaps may be double-counted; ","")&amp;IF(AH993=0,"STATUS_YR missing – imputed in time series; ","")&amp;IF(AND(ISNUMBER($I993),N($I993)&gt;Setup!$B$6),"STATUS_YR after reporting year; ","")&amp;IF(OR($G993="",$G993="Not Reported"),"GOV_TYPE not reported; ","")&amp;IF(AND(N($J993)=1,$K993="Point",N($M993)&lt;=0),"Coastal point without REP_M_AREA – land/sea split unknown; ","")&amp;IF(AND(N($J993)=0,N($S993)&gt;0),"MARINE=0 but net marine &gt;0; ","")&amp;IF(AND(N($J993)=2,N($R993)&gt;0),"MARINE=2 but net terrestrial &gt;0; ","")&amp;IF($K993="Point","Buffered point – coverage approximate; ","")))</f>
        <v/>
      </c>
    </row>
    <row r="994">
      <c r="A994" s="19" t="n"/>
      <c r="B994" s="19" t="n"/>
      <c r="C994" s="19" t="n"/>
      <c r="D994" s="19" t="n"/>
      <c r="E994" s="19" t="n"/>
      <c r="F994" s="19" t="n"/>
      <c r="G994" s="19" t="n"/>
      <c r="H994" s="19" t="n"/>
      <c r="I994" s="19" t="n"/>
      <c r="J994" s="19" t="n"/>
      <c r="K994" s="19" t="n"/>
      <c r="L994" s="20" t="n"/>
      <c r="M994" s="20" t="n"/>
      <c r="N994" s="20" t="n"/>
      <c r="O994" s="20" t="n"/>
      <c r="P994" s="19" t="n"/>
      <c r="Q994" s="19" t="n"/>
      <c r="R994" s="20" t="n"/>
      <c r="S994" s="20" t="n"/>
      <c r="T994" s="19" t="n"/>
      <c r="U994" s="19" t="n"/>
      <c r="V994" s="19" t="n"/>
      <c r="W994" s="19" t="n"/>
      <c r="X994" s="19" t="n"/>
      <c r="Y994" s="19" t="n"/>
      <c r="Z994" s="21">
        <f>IF(AND($A994="",$B994=""),"",IF(OR($E994="",$H994="",$H994="Proposed",$H994="Not Reported"),0,IF(AND($P994="Y",$Q994&lt;&gt;"Y"),0,IF(AND($K994="Point",N($L994)&lt;=0),0,IF(AND(N($L994)&lt;=0,N($N994)&lt;=0,N($R994)+N($S994)&lt;=0),0,1)))))</f>
        <v/>
      </c>
      <c r="AA994" s="21">
        <f>IF(AND($A994="",$B994=""),"",IF($E994="","Site type missing",IF($H994="","STATUS missing",IF($H994="Proposed","STATUS = Proposed",IF($H994="Not Reported","STATUS = Not Reported",IF(AND($P994="Y",$Q994&lt;&gt;"Y"),"UNESCO-MAB Biosphere Reserve",IF(AND($K994="Point",N($L994)&lt;=0),"Point without REP_AREA",IF(AND(N($L994)&lt;=0,N($N994)&lt;=0,N($R994)+N($S994)&lt;=0),"No area information",""))))))))</f>
        <v/>
      </c>
      <c r="AB994" s="22">
        <f>IF(AND($A994="",$B994=""),"",IF($K994="Point",N($L994),IF(N($N994)&gt;0,N($N994),N($L994))))</f>
        <v/>
      </c>
      <c r="AC994" s="22">
        <f>IF(AND($A994="",$B994=""),"",MIN(AB994,IF(N($J994)=0,0,IF(N($J994)=2,AB994,IF(AND($K994&lt;&gt;"Point",N($O994)&gt;0),N($O994),N($M994))))))</f>
        <v/>
      </c>
      <c r="AD994" s="22">
        <f>IF(AND($A994="",$B994=""),"",MAX(0,AB994-AC994))</f>
        <v/>
      </c>
      <c r="AE994" s="21">
        <f>IF(AND($A994="",$B994=""),"",IF(OR($R994&lt;&gt;"",$S994&lt;&gt;""),1,0))</f>
        <v/>
      </c>
      <c r="AF994" s="22">
        <f>IF(AND($A994="",$B994=""),"",IF(Z994=1,IF(AE994=1,N($R994),AD994),0))</f>
        <v/>
      </c>
      <c r="AG994" s="22">
        <f>IF(AND($A994="",$B994=""),"",IF(Z994=1,IF(AE994=1,N($S994),AC994),0))</f>
        <v/>
      </c>
      <c r="AH994" s="21">
        <f>IF(AND($A994="",$B994=""),"",IF(AND(ISNUMBER($I994),N($I994)&gt;0),$I994,0))</f>
        <v/>
      </c>
      <c r="AI994" s="23">
        <f>IF(AND(NOT(AND($A994="",$B994="")),$K994="Point",N($L994)&gt;0),SQRT(N($L994)/PI()),"")</f>
        <v/>
      </c>
      <c r="AJ994" s="21">
        <f>IF(AND($A994="",$B994=""),"",IFERROR(VLOOKUP($G994,Lists!$D$4:$E$15,2,FALSE),"Not reported"))</f>
        <v/>
      </c>
      <c r="AK994" s="21">
        <f>IF(AND($A994="",$B994=""),"",IF($X994&lt;&gt;"",$X994,IF($T994&lt;&gt;"Y","Not assessed",IF(AND(ISNUMBER($V994),Setup!$B$6-$V994&gt;Setup!$B$26),"Assessment outdated",IF(NOT(ISNUMBER($W994)),"Assessed – no score",IF($W994&gt;=Setup!$B$24,"High",IF($W994&gt;=Setup!$B$25,"Moderate","Low")))))))</f>
        <v/>
      </c>
      <c r="AL994" s="21">
        <f>IF(AND($A994="",$B994=""),"",IF(Z994=0,"",IF(AND(AE994=1,N($R994)&gt;AD994*1.01+0.001),"Net terrestrial &gt; gross; ","")&amp;IF(AND(AE994=1,N($S994)&gt;AC994*1.01+0.001),"Net marine &gt; gross; ","")&amp;IF(AE994=0,"No net area – gross used, overlaps may be double-counted; ","")&amp;IF(AH994=0,"STATUS_YR missing – imputed in time series; ","")&amp;IF(AND(ISNUMBER($I994),N($I994)&gt;Setup!$B$6),"STATUS_YR after reporting year; ","")&amp;IF(OR($G994="",$G994="Not Reported"),"GOV_TYPE not reported; ","")&amp;IF(AND(N($J994)=1,$K994="Point",N($M994)&lt;=0),"Coastal point without REP_M_AREA – land/sea split unknown; ","")&amp;IF(AND(N($J994)=0,N($S994)&gt;0),"MARINE=0 but net marine &gt;0; ","")&amp;IF(AND(N($J994)=2,N($R994)&gt;0),"MARINE=2 but net terrestrial &gt;0; ","")&amp;IF($K994="Point","Buffered point – coverage approximate; ","")))</f>
        <v/>
      </c>
    </row>
    <row r="995">
      <c r="A995" s="19" t="n"/>
      <c r="B995" s="19" t="n"/>
      <c r="C995" s="19" t="n"/>
      <c r="D995" s="19" t="n"/>
      <c r="E995" s="19" t="n"/>
      <c r="F995" s="19" t="n"/>
      <c r="G995" s="19" t="n"/>
      <c r="H995" s="19" t="n"/>
      <c r="I995" s="19" t="n"/>
      <c r="J995" s="19" t="n"/>
      <c r="K995" s="19" t="n"/>
      <c r="L995" s="20" t="n"/>
      <c r="M995" s="20" t="n"/>
      <c r="N995" s="20" t="n"/>
      <c r="O995" s="20" t="n"/>
      <c r="P995" s="19" t="n"/>
      <c r="Q995" s="19" t="n"/>
      <c r="R995" s="20" t="n"/>
      <c r="S995" s="20" t="n"/>
      <c r="T995" s="19" t="n"/>
      <c r="U995" s="19" t="n"/>
      <c r="V995" s="19" t="n"/>
      <c r="W995" s="19" t="n"/>
      <c r="X995" s="19" t="n"/>
      <c r="Y995" s="19" t="n"/>
      <c r="Z995" s="21">
        <f>IF(AND($A995="",$B995=""),"",IF(OR($E995="",$H995="",$H995="Proposed",$H995="Not Reported"),0,IF(AND($P995="Y",$Q995&lt;&gt;"Y"),0,IF(AND($K995="Point",N($L995)&lt;=0),0,IF(AND(N($L995)&lt;=0,N($N995)&lt;=0,N($R995)+N($S995)&lt;=0),0,1)))))</f>
        <v/>
      </c>
      <c r="AA995" s="21">
        <f>IF(AND($A995="",$B995=""),"",IF($E995="","Site type missing",IF($H995="","STATUS missing",IF($H995="Proposed","STATUS = Proposed",IF($H995="Not Reported","STATUS = Not Reported",IF(AND($P995="Y",$Q995&lt;&gt;"Y"),"UNESCO-MAB Biosphere Reserve",IF(AND($K995="Point",N($L995)&lt;=0),"Point without REP_AREA",IF(AND(N($L995)&lt;=0,N($N995)&lt;=0,N($R995)+N($S995)&lt;=0),"No area information",""))))))))</f>
        <v/>
      </c>
      <c r="AB995" s="22">
        <f>IF(AND($A995="",$B995=""),"",IF($K995="Point",N($L995),IF(N($N995)&gt;0,N($N995),N($L995))))</f>
        <v/>
      </c>
      <c r="AC995" s="22">
        <f>IF(AND($A995="",$B995=""),"",MIN(AB995,IF(N($J995)=0,0,IF(N($J995)=2,AB995,IF(AND($K995&lt;&gt;"Point",N($O995)&gt;0),N($O995),N($M995))))))</f>
        <v/>
      </c>
      <c r="AD995" s="22">
        <f>IF(AND($A995="",$B995=""),"",MAX(0,AB995-AC995))</f>
        <v/>
      </c>
      <c r="AE995" s="21">
        <f>IF(AND($A995="",$B995=""),"",IF(OR($R995&lt;&gt;"",$S995&lt;&gt;""),1,0))</f>
        <v/>
      </c>
      <c r="AF995" s="22">
        <f>IF(AND($A995="",$B995=""),"",IF(Z995=1,IF(AE995=1,N($R995),AD995),0))</f>
        <v/>
      </c>
      <c r="AG995" s="22">
        <f>IF(AND($A995="",$B995=""),"",IF(Z995=1,IF(AE995=1,N($S995),AC995),0))</f>
        <v/>
      </c>
      <c r="AH995" s="21">
        <f>IF(AND($A995="",$B995=""),"",IF(AND(ISNUMBER($I995),N($I995)&gt;0),$I995,0))</f>
        <v/>
      </c>
      <c r="AI995" s="23">
        <f>IF(AND(NOT(AND($A995="",$B995="")),$K995="Point",N($L995)&gt;0),SQRT(N($L995)/PI()),"")</f>
        <v/>
      </c>
      <c r="AJ995" s="21">
        <f>IF(AND($A995="",$B995=""),"",IFERROR(VLOOKUP($G995,Lists!$D$4:$E$15,2,FALSE),"Not reported"))</f>
        <v/>
      </c>
      <c r="AK995" s="21">
        <f>IF(AND($A995="",$B995=""),"",IF($X995&lt;&gt;"",$X995,IF($T995&lt;&gt;"Y","Not assessed",IF(AND(ISNUMBER($V995),Setup!$B$6-$V995&gt;Setup!$B$26),"Assessment outdated",IF(NOT(ISNUMBER($W995)),"Assessed – no score",IF($W995&gt;=Setup!$B$24,"High",IF($W995&gt;=Setup!$B$25,"Moderate","Low")))))))</f>
        <v/>
      </c>
      <c r="AL995" s="21">
        <f>IF(AND($A995="",$B995=""),"",IF(Z995=0,"",IF(AND(AE995=1,N($R995)&gt;AD995*1.01+0.001),"Net terrestrial &gt; gross; ","")&amp;IF(AND(AE995=1,N($S995)&gt;AC995*1.01+0.001),"Net marine &gt; gross; ","")&amp;IF(AE995=0,"No net area – gross used, overlaps may be double-counted; ","")&amp;IF(AH995=0,"STATUS_YR missing – imputed in time series; ","")&amp;IF(AND(ISNUMBER($I995),N($I995)&gt;Setup!$B$6),"STATUS_YR after reporting year; ","")&amp;IF(OR($G995="",$G995="Not Reported"),"GOV_TYPE not reported; ","")&amp;IF(AND(N($J995)=1,$K995="Point",N($M995)&lt;=0),"Coastal point without REP_M_AREA – land/sea split unknown; ","")&amp;IF(AND(N($J995)=0,N($S995)&gt;0),"MARINE=0 but net marine &gt;0; ","")&amp;IF(AND(N($J995)=2,N($R995)&gt;0),"MARINE=2 but net terrestrial &gt;0; ","")&amp;IF($K995="Point","Buffered point – coverage approximate; ","")))</f>
        <v/>
      </c>
    </row>
    <row r="996">
      <c r="A996" s="19" t="n"/>
      <c r="B996" s="19" t="n"/>
      <c r="C996" s="19" t="n"/>
      <c r="D996" s="19" t="n"/>
      <c r="E996" s="19" t="n"/>
      <c r="F996" s="19" t="n"/>
      <c r="G996" s="19" t="n"/>
      <c r="H996" s="19" t="n"/>
      <c r="I996" s="19" t="n"/>
      <c r="J996" s="19" t="n"/>
      <c r="K996" s="19" t="n"/>
      <c r="L996" s="20" t="n"/>
      <c r="M996" s="20" t="n"/>
      <c r="N996" s="20" t="n"/>
      <c r="O996" s="20" t="n"/>
      <c r="P996" s="19" t="n"/>
      <c r="Q996" s="19" t="n"/>
      <c r="R996" s="20" t="n"/>
      <c r="S996" s="20" t="n"/>
      <c r="T996" s="19" t="n"/>
      <c r="U996" s="19" t="n"/>
      <c r="V996" s="19" t="n"/>
      <c r="W996" s="19" t="n"/>
      <c r="X996" s="19" t="n"/>
      <c r="Y996" s="19" t="n"/>
      <c r="Z996" s="21">
        <f>IF(AND($A996="",$B996=""),"",IF(OR($E996="",$H996="",$H996="Proposed",$H996="Not Reported"),0,IF(AND($P996="Y",$Q996&lt;&gt;"Y"),0,IF(AND($K996="Point",N($L996)&lt;=0),0,IF(AND(N($L996)&lt;=0,N($N996)&lt;=0,N($R996)+N($S996)&lt;=0),0,1)))))</f>
        <v/>
      </c>
      <c r="AA996" s="21">
        <f>IF(AND($A996="",$B996=""),"",IF($E996="","Site type missing",IF($H996="","STATUS missing",IF($H996="Proposed","STATUS = Proposed",IF($H996="Not Reported","STATUS = Not Reported",IF(AND($P996="Y",$Q996&lt;&gt;"Y"),"UNESCO-MAB Biosphere Reserve",IF(AND($K996="Point",N($L996)&lt;=0),"Point without REP_AREA",IF(AND(N($L996)&lt;=0,N($N996)&lt;=0,N($R996)+N($S996)&lt;=0),"No area information",""))))))))</f>
        <v/>
      </c>
      <c r="AB996" s="22">
        <f>IF(AND($A996="",$B996=""),"",IF($K996="Point",N($L996),IF(N($N996)&gt;0,N($N996),N($L996))))</f>
        <v/>
      </c>
      <c r="AC996" s="22">
        <f>IF(AND($A996="",$B996=""),"",MIN(AB996,IF(N($J996)=0,0,IF(N($J996)=2,AB996,IF(AND($K996&lt;&gt;"Point",N($O996)&gt;0),N($O996),N($M996))))))</f>
        <v/>
      </c>
      <c r="AD996" s="22">
        <f>IF(AND($A996="",$B996=""),"",MAX(0,AB996-AC996))</f>
        <v/>
      </c>
      <c r="AE996" s="21">
        <f>IF(AND($A996="",$B996=""),"",IF(OR($R996&lt;&gt;"",$S996&lt;&gt;""),1,0))</f>
        <v/>
      </c>
      <c r="AF996" s="22">
        <f>IF(AND($A996="",$B996=""),"",IF(Z996=1,IF(AE996=1,N($R996),AD996),0))</f>
        <v/>
      </c>
      <c r="AG996" s="22">
        <f>IF(AND($A996="",$B996=""),"",IF(Z996=1,IF(AE996=1,N($S996),AC996),0))</f>
        <v/>
      </c>
      <c r="AH996" s="21">
        <f>IF(AND($A996="",$B996=""),"",IF(AND(ISNUMBER($I996),N($I996)&gt;0),$I996,0))</f>
        <v/>
      </c>
      <c r="AI996" s="23">
        <f>IF(AND(NOT(AND($A996="",$B996="")),$K996="Point",N($L996)&gt;0),SQRT(N($L996)/PI()),"")</f>
        <v/>
      </c>
      <c r="AJ996" s="21">
        <f>IF(AND($A996="",$B996=""),"",IFERROR(VLOOKUP($G996,Lists!$D$4:$E$15,2,FALSE),"Not reported"))</f>
        <v/>
      </c>
      <c r="AK996" s="21">
        <f>IF(AND($A996="",$B996=""),"",IF($X996&lt;&gt;"",$X996,IF($T996&lt;&gt;"Y","Not assessed",IF(AND(ISNUMBER($V996),Setup!$B$6-$V996&gt;Setup!$B$26),"Assessment outdated",IF(NOT(ISNUMBER($W996)),"Assessed – no score",IF($W996&gt;=Setup!$B$24,"High",IF($W996&gt;=Setup!$B$25,"Moderate","Low")))))))</f>
        <v/>
      </c>
      <c r="AL996" s="21">
        <f>IF(AND($A996="",$B996=""),"",IF(Z996=0,"",IF(AND(AE996=1,N($R996)&gt;AD996*1.01+0.001),"Net terrestrial &gt; gross; ","")&amp;IF(AND(AE996=1,N($S996)&gt;AC996*1.01+0.001),"Net marine &gt; gross; ","")&amp;IF(AE996=0,"No net area – gross used, overlaps may be double-counted; ","")&amp;IF(AH996=0,"STATUS_YR missing – imputed in time series; ","")&amp;IF(AND(ISNUMBER($I996),N($I996)&gt;Setup!$B$6),"STATUS_YR after reporting year; ","")&amp;IF(OR($G996="",$G996="Not Reported"),"GOV_TYPE not reported; ","")&amp;IF(AND(N($J996)=1,$K996="Point",N($M996)&lt;=0),"Coastal point without REP_M_AREA – land/sea split unknown; ","")&amp;IF(AND(N($J996)=0,N($S996)&gt;0),"MARINE=0 but net marine &gt;0; ","")&amp;IF(AND(N($J996)=2,N($R996)&gt;0),"MARINE=2 but net terrestrial &gt;0; ","")&amp;IF($K996="Point","Buffered point – coverage approximate; ","")))</f>
        <v/>
      </c>
    </row>
    <row r="997">
      <c r="A997" s="19" t="n"/>
      <c r="B997" s="19" t="n"/>
      <c r="C997" s="19" t="n"/>
      <c r="D997" s="19" t="n"/>
      <c r="E997" s="19" t="n"/>
      <c r="F997" s="19" t="n"/>
      <c r="G997" s="19" t="n"/>
      <c r="H997" s="19" t="n"/>
      <c r="I997" s="19" t="n"/>
      <c r="J997" s="19" t="n"/>
      <c r="K997" s="19" t="n"/>
      <c r="L997" s="20" t="n"/>
      <c r="M997" s="20" t="n"/>
      <c r="N997" s="20" t="n"/>
      <c r="O997" s="20" t="n"/>
      <c r="P997" s="19" t="n"/>
      <c r="Q997" s="19" t="n"/>
      <c r="R997" s="20" t="n"/>
      <c r="S997" s="20" t="n"/>
      <c r="T997" s="19" t="n"/>
      <c r="U997" s="19" t="n"/>
      <c r="V997" s="19" t="n"/>
      <c r="W997" s="19" t="n"/>
      <c r="X997" s="19" t="n"/>
      <c r="Y997" s="19" t="n"/>
      <c r="Z997" s="21">
        <f>IF(AND($A997="",$B997=""),"",IF(OR($E997="",$H997="",$H997="Proposed",$H997="Not Reported"),0,IF(AND($P997="Y",$Q997&lt;&gt;"Y"),0,IF(AND($K997="Point",N($L997)&lt;=0),0,IF(AND(N($L997)&lt;=0,N($N997)&lt;=0,N($R997)+N($S997)&lt;=0),0,1)))))</f>
        <v/>
      </c>
      <c r="AA997" s="21">
        <f>IF(AND($A997="",$B997=""),"",IF($E997="","Site type missing",IF($H997="","STATUS missing",IF($H997="Proposed","STATUS = Proposed",IF($H997="Not Reported","STATUS = Not Reported",IF(AND($P997="Y",$Q997&lt;&gt;"Y"),"UNESCO-MAB Biosphere Reserve",IF(AND($K997="Point",N($L997)&lt;=0),"Point without REP_AREA",IF(AND(N($L997)&lt;=0,N($N997)&lt;=0,N($R997)+N($S997)&lt;=0),"No area information",""))))))))</f>
        <v/>
      </c>
      <c r="AB997" s="22">
        <f>IF(AND($A997="",$B997=""),"",IF($K997="Point",N($L997),IF(N($N997)&gt;0,N($N997),N($L997))))</f>
        <v/>
      </c>
      <c r="AC997" s="22">
        <f>IF(AND($A997="",$B997=""),"",MIN(AB997,IF(N($J997)=0,0,IF(N($J997)=2,AB997,IF(AND($K997&lt;&gt;"Point",N($O997)&gt;0),N($O997),N($M997))))))</f>
        <v/>
      </c>
      <c r="AD997" s="22">
        <f>IF(AND($A997="",$B997=""),"",MAX(0,AB997-AC997))</f>
        <v/>
      </c>
      <c r="AE997" s="21">
        <f>IF(AND($A997="",$B997=""),"",IF(OR($R997&lt;&gt;"",$S997&lt;&gt;""),1,0))</f>
        <v/>
      </c>
      <c r="AF997" s="22">
        <f>IF(AND($A997="",$B997=""),"",IF(Z997=1,IF(AE997=1,N($R997),AD997),0))</f>
        <v/>
      </c>
      <c r="AG997" s="22">
        <f>IF(AND($A997="",$B997=""),"",IF(Z997=1,IF(AE997=1,N($S997),AC997),0))</f>
        <v/>
      </c>
      <c r="AH997" s="21">
        <f>IF(AND($A997="",$B997=""),"",IF(AND(ISNUMBER($I997),N($I997)&gt;0),$I997,0))</f>
        <v/>
      </c>
      <c r="AI997" s="23">
        <f>IF(AND(NOT(AND($A997="",$B997="")),$K997="Point",N($L997)&gt;0),SQRT(N($L997)/PI()),"")</f>
        <v/>
      </c>
      <c r="AJ997" s="21">
        <f>IF(AND($A997="",$B997=""),"",IFERROR(VLOOKUP($G997,Lists!$D$4:$E$15,2,FALSE),"Not reported"))</f>
        <v/>
      </c>
      <c r="AK997" s="21">
        <f>IF(AND($A997="",$B997=""),"",IF($X997&lt;&gt;"",$X997,IF($T997&lt;&gt;"Y","Not assessed",IF(AND(ISNUMBER($V997),Setup!$B$6-$V997&gt;Setup!$B$26),"Assessment outdated",IF(NOT(ISNUMBER($W997)),"Assessed – no score",IF($W997&gt;=Setup!$B$24,"High",IF($W997&gt;=Setup!$B$25,"Moderate","Low")))))))</f>
        <v/>
      </c>
      <c r="AL997" s="21">
        <f>IF(AND($A997="",$B997=""),"",IF(Z997=0,"",IF(AND(AE997=1,N($R997)&gt;AD997*1.01+0.001),"Net terrestrial &gt; gross; ","")&amp;IF(AND(AE997=1,N($S997)&gt;AC997*1.01+0.001),"Net marine &gt; gross; ","")&amp;IF(AE997=0,"No net area – gross used, overlaps may be double-counted; ","")&amp;IF(AH997=0,"STATUS_YR missing – imputed in time series; ","")&amp;IF(AND(ISNUMBER($I997),N($I997)&gt;Setup!$B$6),"STATUS_YR after reporting year; ","")&amp;IF(OR($G997="",$G997="Not Reported"),"GOV_TYPE not reported; ","")&amp;IF(AND(N($J997)=1,$K997="Point",N($M997)&lt;=0),"Coastal point without REP_M_AREA – land/sea split unknown; ","")&amp;IF(AND(N($J997)=0,N($S997)&gt;0),"MARINE=0 but net marine &gt;0; ","")&amp;IF(AND(N($J997)=2,N($R997)&gt;0),"MARINE=2 but net terrestrial &gt;0; ","")&amp;IF($K997="Point","Buffered point – coverage approximate; ","")))</f>
        <v/>
      </c>
    </row>
    <row r="998">
      <c r="A998" s="19" t="n"/>
      <c r="B998" s="19" t="n"/>
      <c r="C998" s="19" t="n"/>
      <c r="D998" s="19" t="n"/>
      <c r="E998" s="19" t="n"/>
      <c r="F998" s="19" t="n"/>
      <c r="G998" s="19" t="n"/>
      <c r="H998" s="19" t="n"/>
      <c r="I998" s="19" t="n"/>
      <c r="J998" s="19" t="n"/>
      <c r="K998" s="19" t="n"/>
      <c r="L998" s="20" t="n"/>
      <c r="M998" s="20" t="n"/>
      <c r="N998" s="20" t="n"/>
      <c r="O998" s="20" t="n"/>
      <c r="P998" s="19" t="n"/>
      <c r="Q998" s="19" t="n"/>
      <c r="R998" s="20" t="n"/>
      <c r="S998" s="20" t="n"/>
      <c r="T998" s="19" t="n"/>
      <c r="U998" s="19" t="n"/>
      <c r="V998" s="19" t="n"/>
      <c r="W998" s="19" t="n"/>
      <c r="X998" s="19" t="n"/>
      <c r="Y998" s="19" t="n"/>
      <c r="Z998" s="21">
        <f>IF(AND($A998="",$B998=""),"",IF(OR($E998="",$H998="",$H998="Proposed",$H998="Not Reported"),0,IF(AND($P998="Y",$Q998&lt;&gt;"Y"),0,IF(AND($K998="Point",N($L998)&lt;=0),0,IF(AND(N($L998)&lt;=0,N($N998)&lt;=0,N($R998)+N($S998)&lt;=0),0,1)))))</f>
        <v/>
      </c>
      <c r="AA998" s="21">
        <f>IF(AND($A998="",$B998=""),"",IF($E998="","Site type missing",IF($H998="","STATUS missing",IF($H998="Proposed","STATUS = Proposed",IF($H998="Not Reported","STATUS = Not Reported",IF(AND($P998="Y",$Q998&lt;&gt;"Y"),"UNESCO-MAB Biosphere Reserve",IF(AND($K998="Point",N($L998)&lt;=0),"Point without REP_AREA",IF(AND(N($L998)&lt;=0,N($N998)&lt;=0,N($R998)+N($S998)&lt;=0),"No area information",""))))))))</f>
        <v/>
      </c>
      <c r="AB998" s="22">
        <f>IF(AND($A998="",$B998=""),"",IF($K998="Point",N($L998),IF(N($N998)&gt;0,N($N998),N($L998))))</f>
        <v/>
      </c>
      <c r="AC998" s="22">
        <f>IF(AND($A998="",$B998=""),"",MIN(AB998,IF(N($J998)=0,0,IF(N($J998)=2,AB998,IF(AND($K998&lt;&gt;"Point",N($O998)&gt;0),N($O998),N($M998))))))</f>
        <v/>
      </c>
      <c r="AD998" s="22">
        <f>IF(AND($A998="",$B998=""),"",MAX(0,AB998-AC998))</f>
        <v/>
      </c>
      <c r="AE998" s="21">
        <f>IF(AND($A998="",$B998=""),"",IF(OR($R998&lt;&gt;"",$S998&lt;&gt;""),1,0))</f>
        <v/>
      </c>
      <c r="AF998" s="22">
        <f>IF(AND($A998="",$B998=""),"",IF(Z998=1,IF(AE998=1,N($R998),AD998),0))</f>
        <v/>
      </c>
      <c r="AG998" s="22">
        <f>IF(AND($A998="",$B998=""),"",IF(Z998=1,IF(AE998=1,N($S998),AC998),0))</f>
        <v/>
      </c>
      <c r="AH998" s="21">
        <f>IF(AND($A998="",$B998=""),"",IF(AND(ISNUMBER($I998),N($I998)&gt;0),$I998,0))</f>
        <v/>
      </c>
      <c r="AI998" s="23">
        <f>IF(AND(NOT(AND($A998="",$B998="")),$K998="Point",N($L998)&gt;0),SQRT(N($L998)/PI()),"")</f>
        <v/>
      </c>
      <c r="AJ998" s="21">
        <f>IF(AND($A998="",$B998=""),"",IFERROR(VLOOKUP($G998,Lists!$D$4:$E$15,2,FALSE),"Not reported"))</f>
        <v/>
      </c>
      <c r="AK998" s="21">
        <f>IF(AND($A998="",$B998=""),"",IF($X998&lt;&gt;"",$X998,IF($T998&lt;&gt;"Y","Not assessed",IF(AND(ISNUMBER($V998),Setup!$B$6-$V998&gt;Setup!$B$26),"Assessment outdated",IF(NOT(ISNUMBER($W998)),"Assessed – no score",IF($W998&gt;=Setup!$B$24,"High",IF($W998&gt;=Setup!$B$25,"Moderate","Low")))))))</f>
        <v/>
      </c>
      <c r="AL998" s="21">
        <f>IF(AND($A998="",$B998=""),"",IF(Z998=0,"",IF(AND(AE998=1,N($R998)&gt;AD998*1.01+0.001),"Net terrestrial &gt; gross; ","")&amp;IF(AND(AE998=1,N($S998)&gt;AC998*1.01+0.001),"Net marine &gt; gross; ","")&amp;IF(AE998=0,"No net area – gross used, overlaps may be double-counted; ","")&amp;IF(AH998=0,"STATUS_YR missing – imputed in time series; ","")&amp;IF(AND(ISNUMBER($I998),N($I998)&gt;Setup!$B$6),"STATUS_YR after reporting year; ","")&amp;IF(OR($G998="",$G998="Not Reported"),"GOV_TYPE not reported; ","")&amp;IF(AND(N($J998)=1,$K998="Point",N($M998)&lt;=0),"Coastal point without REP_M_AREA – land/sea split unknown; ","")&amp;IF(AND(N($J998)=0,N($S998)&gt;0),"MARINE=0 but net marine &gt;0; ","")&amp;IF(AND(N($J998)=2,N($R998)&gt;0),"MARINE=2 but net terrestrial &gt;0; ","")&amp;IF($K998="Point","Buffered point – coverage approximate; ","")))</f>
        <v/>
      </c>
    </row>
    <row r="999">
      <c r="A999" s="19" t="n"/>
      <c r="B999" s="19" t="n"/>
      <c r="C999" s="19" t="n"/>
      <c r="D999" s="19" t="n"/>
      <c r="E999" s="19" t="n"/>
      <c r="F999" s="19" t="n"/>
      <c r="G999" s="19" t="n"/>
      <c r="H999" s="19" t="n"/>
      <c r="I999" s="19" t="n"/>
      <c r="J999" s="19" t="n"/>
      <c r="K999" s="19" t="n"/>
      <c r="L999" s="20" t="n"/>
      <c r="M999" s="20" t="n"/>
      <c r="N999" s="20" t="n"/>
      <c r="O999" s="20" t="n"/>
      <c r="P999" s="19" t="n"/>
      <c r="Q999" s="19" t="n"/>
      <c r="R999" s="20" t="n"/>
      <c r="S999" s="20" t="n"/>
      <c r="T999" s="19" t="n"/>
      <c r="U999" s="19" t="n"/>
      <c r="V999" s="19" t="n"/>
      <c r="W999" s="19" t="n"/>
      <c r="X999" s="19" t="n"/>
      <c r="Y999" s="19" t="n"/>
      <c r="Z999" s="21">
        <f>IF(AND($A999="",$B999=""),"",IF(OR($E999="",$H999="",$H999="Proposed",$H999="Not Reported"),0,IF(AND($P999="Y",$Q999&lt;&gt;"Y"),0,IF(AND($K999="Point",N($L999)&lt;=0),0,IF(AND(N($L999)&lt;=0,N($N999)&lt;=0,N($R999)+N($S999)&lt;=0),0,1)))))</f>
        <v/>
      </c>
      <c r="AA999" s="21">
        <f>IF(AND($A999="",$B999=""),"",IF($E999="","Site type missing",IF($H999="","STATUS missing",IF($H999="Proposed","STATUS = Proposed",IF($H999="Not Reported","STATUS = Not Reported",IF(AND($P999="Y",$Q999&lt;&gt;"Y"),"UNESCO-MAB Biosphere Reserve",IF(AND($K999="Point",N($L999)&lt;=0),"Point without REP_AREA",IF(AND(N($L999)&lt;=0,N($N999)&lt;=0,N($R999)+N($S999)&lt;=0),"No area information",""))))))))</f>
        <v/>
      </c>
      <c r="AB999" s="22">
        <f>IF(AND($A999="",$B999=""),"",IF($K999="Point",N($L999),IF(N($N999)&gt;0,N($N999),N($L999))))</f>
        <v/>
      </c>
      <c r="AC999" s="22">
        <f>IF(AND($A999="",$B999=""),"",MIN(AB999,IF(N($J999)=0,0,IF(N($J999)=2,AB999,IF(AND($K999&lt;&gt;"Point",N($O999)&gt;0),N($O999),N($M999))))))</f>
        <v/>
      </c>
      <c r="AD999" s="22">
        <f>IF(AND($A999="",$B999=""),"",MAX(0,AB999-AC999))</f>
        <v/>
      </c>
      <c r="AE999" s="21">
        <f>IF(AND($A999="",$B999=""),"",IF(OR($R999&lt;&gt;"",$S999&lt;&gt;""),1,0))</f>
        <v/>
      </c>
      <c r="AF999" s="22">
        <f>IF(AND($A999="",$B999=""),"",IF(Z999=1,IF(AE999=1,N($R999),AD999),0))</f>
        <v/>
      </c>
      <c r="AG999" s="22">
        <f>IF(AND($A999="",$B999=""),"",IF(Z999=1,IF(AE999=1,N($S999),AC999),0))</f>
        <v/>
      </c>
      <c r="AH999" s="21">
        <f>IF(AND($A999="",$B999=""),"",IF(AND(ISNUMBER($I999),N($I999)&gt;0),$I999,0))</f>
        <v/>
      </c>
      <c r="AI999" s="23">
        <f>IF(AND(NOT(AND($A999="",$B999="")),$K999="Point",N($L999)&gt;0),SQRT(N($L999)/PI()),"")</f>
        <v/>
      </c>
      <c r="AJ999" s="21">
        <f>IF(AND($A999="",$B999=""),"",IFERROR(VLOOKUP($G999,Lists!$D$4:$E$15,2,FALSE),"Not reported"))</f>
        <v/>
      </c>
      <c r="AK999" s="21">
        <f>IF(AND($A999="",$B999=""),"",IF($X999&lt;&gt;"",$X999,IF($T999&lt;&gt;"Y","Not assessed",IF(AND(ISNUMBER($V999),Setup!$B$6-$V999&gt;Setup!$B$26),"Assessment outdated",IF(NOT(ISNUMBER($W999)),"Assessed – no score",IF($W999&gt;=Setup!$B$24,"High",IF($W999&gt;=Setup!$B$25,"Moderate","Low")))))))</f>
        <v/>
      </c>
      <c r="AL999" s="21">
        <f>IF(AND($A999="",$B999=""),"",IF(Z999=0,"",IF(AND(AE999=1,N($R999)&gt;AD999*1.01+0.001),"Net terrestrial &gt; gross; ","")&amp;IF(AND(AE999=1,N($S999)&gt;AC999*1.01+0.001),"Net marine &gt; gross; ","")&amp;IF(AE999=0,"No net area – gross used, overlaps may be double-counted; ","")&amp;IF(AH999=0,"STATUS_YR missing – imputed in time series; ","")&amp;IF(AND(ISNUMBER($I999),N($I999)&gt;Setup!$B$6),"STATUS_YR after reporting year; ","")&amp;IF(OR($G999="",$G999="Not Reported"),"GOV_TYPE not reported; ","")&amp;IF(AND(N($J999)=1,$K999="Point",N($M999)&lt;=0),"Coastal point without REP_M_AREA – land/sea split unknown; ","")&amp;IF(AND(N($J999)=0,N($S999)&gt;0),"MARINE=0 but net marine &gt;0; ","")&amp;IF(AND(N($J999)=2,N($R999)&gt;0),"MARINE=2 but net terrestrial &gt;0; ","")&amp;IF($K999="Point","Buffered point – coverage approximate; ","")))</f>
        <v/>
      </c>
    </row>
    <row r="1000">
      <c r="A1000" s="19" t="n"/>
      <c r="B1000" s="19" t="n"/>
      <c r="C1000" s="19" t="n"/>
      <c r="D1000" s="19" t="n"/>
      <c r="E1000" s="19" t="n"/>
      <c r="F1000" s="19" t="n"/>
      <c r="G1000" s="19" t="n"/>
      <c r="H1000" s="19" t="n"/>
      <c r="I1000" s="19" t="n"/>
      <c r="J1000" s="19" t="n"/>
      <c r="K1000" s="19" t="n"/>
      <c r="L1000" s="20" t="n"/>
      <c r="M1000" s="20" t="n"/>
      <c r="N1000" s="20" t="n"/>
      <c r="O1000" s="20" t="n"/>
      <c r="P1000" s="19" t="n"/>
      <c r="Q1000" s="19" t="n"/>
      <c r="R1000" s="20" t="n"/>
      <c r="S1000" s="20" t="n"/>
      <c r="T1000" s="19" t="n"/>
      <c r="U1000" s="19" t="n"/>
      <c r="V1000" s="19" t="n"/>
      <c r="W1000" s="19" t="n"/>
      <c r="X1000" s="19" t="n"/>
      <c r="Y1000" s="19" t="n"/>
      <c r="Z1000" s="21">
        <f>IF(AND($A1000="",$B1000=""),"",IF(OR($E1000="",$H1000="",$H1000="Proposed",$H1000="Not Reported"),0,IF(AND($P1000="Y",$Q1000&lt;&gt;"Y"),0,IF(AND($K1000="Point",N($L1000)&lt;=0),0,IF(AND(N($L1000)&lt;=0,N($N1000)&lt;=0,N($R1000)+N($S1000)&lt;=0),0,1)))))</f>
        <v/>
      </c>
      <c r="AA1000" s="21">
        <f>IF(AND($A1000="",$B1000=""),"",IF($E1000="","Site type missing",IF($H1000="","STATUS missing",IF($H1000="Proposed","STATUS = Proposed",IF($H1000="Not Reported","STATUS = Not Reported",IF(AND($P1000="Y",$Q1000&lt;&gt;"Y"),"UNESCO-MAB Biosphere Reserve",IF(AND($K1000="Point",N($L1000)&lt;=0),"Point without REP_AREA",IF(AND(N($L1000)&lt;=0,N($N1000)&lt;=0,N($R1000)+N($S1000)&lt;=0),"No area information",""))))))))</f>
        <v/>
      </c>
      <c r="AB1000" s="22">
        <f>IF(AND($A1000="",$B1000=""),"",IF($K1000="Point",N($L1000),IF(N($N1000)&gt;0,N($N1000),N($L1000))))</f>
        <v/>
      </c>
      <c r="AC1000" s="22">
        <f>IF(AND($A1000="",$B1000=""),"",MIN(AB1000,IF(N($J1000)=0,0,IF(N($J1000)=2,AB1000,IF(AND($K1000&lt;&gt;"Point",N($O1000)&gt;0),N($O1000),N($M1000))))))</f>
        <v/>
      </c>
      <c r="AD1000" s="22">
        <f>IF(AND($A1000="",$B1000=""),"",MAX(0,AB1000-AC1000))</f>
        <v/>
      </c>
      <c r="AE1000" s="21">
        <f>IF(AND($A1000="",$B1000=""),"",IF(OR($R1000&lt;&gt;"",$S1000&lt;&gt;""),1,0))</f>
        <v/>
      </c>
      <c r="AF1000" s="22">
        <f>IF(AND($A1000="",$B1000=""),"",IF(Z1000=1,IF(AE1000=1,N($R1000),AD1000),0))</f>
        <v/>
      </c>
      <c r="AG1000" s="22">
        <f>IF(AND($A1000="",$B1000=""),"",IF(Z1000=1,IF(AE1000=1,N($S1000),AC1000),0))</f>
        <v/>
      </c>
      <c r="AH1000" s="21">
        <f>IF(AND($A1000="",$B1000=""),"",IF(AND(ISNUMBER($I1000),N($I1000)&gt;0),$I1000,0))</f>
        <v/>
      </c>
      <c r="AI1000" s="23">
        <f>IF(AND(NOT(AND($A1000="",$B1000="")),$K1000="Point",N($L1000)&gt;0),SQRT(N($L1000)/PI()),"")</f>
        <v/>
      </c>
      <c r="AJ1000" s="21">
        <f>IF(AND($A1000="",$B1000=""),"",IFERROR(VLOOKUP($G1000,Lists!$D$4:$E$15,2,FALSE),"Not reported"))</f>
        <v/>
      </c>
      <c r="AK1000" s="21">
        <f>IF(AND($A1000="",$B1000=""),"",IF($X1000&lt;&gt;"",$X1000,IF($T1000&lt;&gt;"Y","Not assessed",IF(AND(ISNUMBER($V1000),Setup!$B$6-$V1000&gt;Setup!$B$26),"Assessment outdated",IF(NOT(ISNUMBER($W1000)),"Assessed – no score",IF($W1000&gt;=Setup!$B$24,"High",IF($W1000&gt;=Setup!$B$25,"Moderate","Low")))))))</f>
        <v/>
      </c>
      <c r="AL1000" s="21">
        <f>IF(AND($A1000="",$B1000=""),"",IF(Z1000=0,"",IF(AND(AE1000=1,N($R1000)&gt;AD1000*1.01+0.001),"Net terrestrial &gt; gross; ","")&amp;IF(AND(AE1000=1,N($S1000)&gt;AC1000*1.01+0.001),"Net marine &gt; gross; ","")&amp;IF(AE1000=0,"No net area – gross used, overlaps may be double-counted; ","")&amp;IF(AH1000=0,"STATUS_YR missing – imputed in time series; ","")&amp;IF(AND(ISNUMBER($I1000),N($I1000)&gt;Setup!$B$6),"STATUS_YR after reporting year; ","")&amp;IF(OR($G1000="",$G1000="Not Reported"),"GOV_TYPE not reported; ","")&amp;IF(AND(N($J1000)=1,$K1000="Point",N($M1000)&lt;=0),"Coastal point without REP_M_AREA – land/sea split unknown; ","")&amp;IF(AND(N($J1000)=0,N($S1000)&gt;0),"MARINE=0 but net marine &gt;0; ","")&amp;IF(AND(N($J1000)=2,N($R1000)&gt;0),"MARINE=2 but net terrestrial &gt;0; ","")&amp;IF($K1000="Point","Buffered point – coverage approximate; ","")))</f>
        <v/>
      </c>
    </row>
    <row r="1001">
      <c r="A1001" s="19" t="n"/>
      <c r="B1001" s="19" t="n"/>
      <c r="C1001" s="19" t="n"/>
      <c r="D1001" s="19" t="n"/>
      <c r="E1001" s="19" t="n"/>
      <c r="F1001" s="19" t="n"/>
      <c r="G1001" s="19" t="n"/>
      <c r="H1001" s="19" t="n"/>
      <c r="I1001" s="19" t="n"/>
      <c r="J1001" s="19" t="n"/>
      <c r="K1001" s="19" t="n"/>
      <c r="L1001" s="20" t="n"/>
      <c r="M1001" s="20" t="n"/>
      <c r="N1001" s="20" t="n"/>
      <c r="O1001" s="20" t="n"/>
      <c r="P1001" s="19" t="n"/>
      <c r="Q1001" s="19" t="n"/>
      <c r="R1001" s="20" t="n"/>
      <c r="S1001" s="20" t="n"/>
      <c r="T1001" s="19" t="n"/>
      <c r="U1001" s="19" t="n"/>
      <c r="V1001" s="19" t="n"/>
      <c r="W1001" s="19" t="n"/>
      <c r="X1001" s="19" t="n"/>
      <c r="Y1001" s="19" t="n"/>
      <c r="Z1001" s="21">
        <f>IF(AND($A1001="",$B1001=""),"",IF(OR($E1001="",$H1001="",$H1001="Proposed",$H1001="Not Reported"),0,IF(AND($P1001="Y",$Q1001&lt;&gt;"Y"),0,IF(AND($K1001="Point",N($L1001)&lt;=0),0,IF(AND(N($L1001)&lt;=0,N($N1001)&lt;=0,N($R1001)+N($S1001)&lt;=0),0,1)))))</f>
        <v/>
      </c>
      <c r="AA1001" s="21">
        <f>IF(AND($A1001="",$B1001=""),"",IF($E1001="","Site type missing",IF($H1001="","STATUS missing",IF($H1001="Proposed","STATUS = Proposed",IF($H1001="Not Reported","STATUS = Not Reported",IF(AND($P1001="Y",$Q1001&lt;&gt;"Y"),"UNESCO-MAB Biosphere Reserve",IF(AND($K1001="Point",N($L1001)&lt;=0),"Point without REP_AREA",IF(AND(N($L1001)&lt;=0,N($N1001)&lt;=0,N($R1001)+N($S1001)&lt;=0),"No area information",""))))))))</f>
        <v/>
      </c>
      <c r="AB1001" s="22">
        <f>IF(AND($A1001="",$B1001=""),"",IF($K1001="Point",N($L1001),IF(N($N1001)&gt;0,N($N1001),N($L1001))))</f>
        <v/>
      </c>
      <c r="AC1001" s="22">
        <f>IF(AND($A1001="",$B1001=""),"",MIN(AB1001,IF(N($J1001)=0,0,IF(N($J1001)=2,AB1001,IF(AND($K1001&lt;&gt;"Point",N($O1001)&gt;0),N($O1001),N($M1001))))))</f>
        <v/>
      </c>
      <c r="AD1001" s="22">
        <f>IF(AND($A1001="",$B1001=""),"",MAX(0,AB1001-AC1001))</f>
        <v/>
      </c>
      <c r="AE1001" s="21">
        <f>IF(AND($A1001="",$B1001=""),"",IF(OR($R1001&lt;&gt;"",$S1001&lt;&gt;""),1,0))</f>
        <v/>
      </c>
      <c r="AF1001" s="22">
        <f>IF(AND($A1001="",$B1001=""),"",IF(Z1001=1,IF(AE1001=1,N($R1001),AD1001),0))</f>
        <v/>
      </c>
      <c r="AG1001" s="22">
        <f>IF(AND($A1001="",$B1001=""),"",IF(Z1001=1,IF(AE1001=1,N($S1001),AC1001),0))</f>
        <v/>
      </c>
      <c r="AH1001" s="21">
        <f>IF(AND($A1001="",$B1001=""),"",IF(AND(ISNUMBER($I1001),N($I1001)&gt;0),$I1001,0))</f>
        <v/>
      </c>
      <c r="AI1001" s="23">
        <f>IF(AND(NOT(AND($A1001="",$B1001="")),$K1001="Point",N($L1001)&gt;0),SQRT(N($L1001)/PI()),"")</f>
        <v/>
      </c>
      <c r="AJ1001" s="21">
        <f>IF(AND($A1001="",$B1001=""),"",IFERROR(VLOOKUP($G1001,Lists!$D$4:$E$15,2,FALSE),"Not reported"))</f>
        <v/>
      </c>
      <c r="AK1001" s="21">
        <f>IF(AND($A1001="",$B1001=""),"",IF($X1001&lt;&gt;"",$X1001,IF($T1001&lt;&gt;"Y","Not assessed",IF(AND(ISNUMBER($V1001),Setup!$B$6-$V1001&gt;Setup!$B$26),"Assessment outdated",IF(NOT(ISNUMBER($W1001)),"Assessed – no score",IF($W1001&gt;=Setup!$B$24,"High",IF($W1001&gt;=Setup!$B$25,"Moderate","Low")))))))</f>
        <v/>
      </c>
      <c r="AL1001" s="21">
        <f>IF(AND($A1001="",$B1001=""),"",IF(Z1001=0,"",IF(AND(AE1001=1,N($R1001)&gt;AD1001*1.01+0.001),"Net terrestrial &gt; gross; ","")&amp;IF(AND(AE1001=1,N($S1001)&gt;AC1001*1.01+0.001),"Net marine &gt; gross; ","")&amp;IF(AE1001=0,"No net area – gross used, overlaps may be double-counted; ","")&amp;IF(AH1001=0,"STATUS_YR missing – imputed in time series; ","")&amp;IF(AND(ISNUMBER($I1001),N($I1001)&gt;Setup!$B$6),"STATUS_YR after reporting year; ","")&amp;IF(OR($G1001="",$G1001="Not Reported"),"GOV_TYPE not reported; ","")&amp;IF(AND(N($J1001)=1,$K1001="Point",N($M1001)&lt;=0),"Coastal point without REP_M_AREA – land/sea split unknown; ","")&amp;IF(AND(N($J1001)=0,N($S1001)&gt;0),"MARINE=0 but net marine &gt;0; ","")&amp;IF(AND(N($J1001)=2,N($R1001)&gt;0),"MARINE=2 but net terrestrial &gt;0; ","")&amp;IF($K1001="Point","Buffered point – coverage approximate; ","")))</f>
        <v/>
      </c>
    </row>
    <row r="1002">
      <c r="A1002" s="19" t="n"/>
      <c r="B1002" s="19" t="n"/>
      <c r="C1002" s="19" t="n"/>
      <c r="D1002" s="19" t="n"/>
      <c r="E1002" s="19" t="n"/>
      <c r="F1002" s="19" t="n"/>
      <c r="G1002" s="19" t="n"/>
      <c r="H1002" s="19" t="n"/>
      <c r="I1002" s="19" t="n"/>
      <c r="J1002" s="19" t="n"/>
      <c r="K1002" s="19" t="n"/>
      <c r="L1002" s="20" t="n"/>
      <c r="M1002" s="20" t="n"/>
      <c r="N1002" s="20" t="n"/>
      <c r="O1002" s="20" t="n"/>
      <c r="P1002" s="19" t="n"/>
      <c r="Q1002" s="19" t="n"/>
      <c r="R1002" s="20" t="n"/>
      <c r="S1002" s="20" t="n"/>
      <c r="T1002" s="19" t="n"/>
      <c r="U1002" s="19" t="n"/>
      <c r="V1002" s="19" t="n"/>
      <c r="W1002" s="19" t="n"/>
      <c r="X1002" s="19" t="n"/>
      <c r="Y1002" s="19" t="n"/>
      <c r="Z1002" s="21">
        <f>IF(AND($A1002="",$B1002=""),"",IF(OR($E1002="",$H1002="",$H1002="Proposed",$H1002="Not Reported"),0,IF(AND($P1002="Y",$Q1002&lt;&gt;"Y"),0,IF(AND($K1002="Point",N($L1002)&lt;=0),0,IF(AND(N($L1002)&lt;=0,N($N1002)&lt;=0,N($R1002)+N($S1002)&lt;=0),0,1)))))</f>
        <v/>
      </c>
      <c r="AA1002" s="21">
        <f>IF(AND($A1002="",$B1002=""),"",IF($E1002="","Site type missing",IF($H1002="","STATUS missing",IF($H1002="Proposed","STATUS = Proposed",IF($H1002="Not Reported","STATUS = Not Reported",IF(AND($P1002="Y",$Q1002&lt;&gt;"Y"),"UNESCO-MAB Biosphere Reserve",IF(AND($K1002="Point",N($L1002)&lt;=0),"Point without REP_AREA",IF(AND(N($L1002)&lt;=0,N($N1002)&lt;=0,N($R1002)+N($S1002)&lt;=0),"No area information",""))))))))</f>
        <v/>
      </c>
      <c r="AB1002" s="22">
        <f>IF(AND($A1002="",$B1002=""),"",IF($K1002="Point",N($L1002),IF(N($N1002)&gt;0,N($N1002),N($L1002))))</f>
        <v/>
      </c>
      <c r="AC1002" s="22">
        <f>IF(AND($A1002="",$B1002=""),"",MIN(AB1002,IF(N($J1002)=0,0,IF(N($J1002)=2,AB1002,IF(AND($K1002&lt;&gt;"Point",N($O1002)&gt;0),N($O1002),N($M1002))))))</f>
        <v/>
      </c>
      <c r="AD1002" s="22">
        <f>IF(AND($A1002="",$B1002=""),"",MAX(0,AB1002-AC1002))</f>
        <v/>
      </c>
      <c r="AE1002" s="21">
        <f>IF(AND($A1002="",$B1002=""),"",IF(OR($R1002&lt;&gt;"",$S1002&lt;&gt;""),1,0))</f>
        <v/>
      </c>
      <c r="AF1002" s="22">
        <f>IF(AND($A1002="",$B1002=""),"",IF(Z1002=1,IF(AE1002=1,N($R1002),AD1002),0))</f>
        <v/>
      </c>
      <c r="AG1002" s="22">
        <f>IF(AND($A1002="",$B1002=""),"",IF(Z1002=1,IF(AE1002=1,N($S1002),AC1002),0))</f>
        <v/>
      </c>
      <c r="AH1002" s="21">
        <f>IF(AND($A1002="",$B1002=""),"",IF(AND(ISNUMBER($I1002),N($I1002)&gt;0),$I1002,0))</f>
        <v/>
      </c>
      <c r="AI1002" s="23">
        <f>IF(AND(NOT(AND($A1002="",$B1002="")),$K1002="Point",N($L1002)&gt;0),SQRT(N($L1002)/PI()),"")</f>
        <v/>
      </c>
      <c r="AJ1002" s="21">
        <f>IF(AND($A1002="",$B1002=""),"",IFERROR(VLOOKUP($G1002,Lists!$D$4:$E$15,2,FALSE),"Not reported"))</f>
        <v/>
      </c>
      <c r="AK1002" s="21">
        <f>IF(AND($A1002="",$B1002=""),"",IF($X1002&lt;&gt;"",$X1002,IF($T1002&lt;&gt;"Y","Not assessed",IF(AND(ISNUMBER($V1002),Setup!$B$6-$V1002&gt;Setup!$B$26),"Assessment outdated",IF(NOT(ISNUMBER($W1002)),"Assessed – no score",IF($W1002&gt;=Setup!$B$24,"High",IF($W1002&gt;=Setup!$B$25,"Moderate","Low")))))))</f>
        <v/>
      </c>
      <c r="AL1002" s="21">
        <f>IF(AND($A1002="",$B1002=""),"",IF(Z1002=0,"",IF(AND(AE1002=1,N($R1002)&gt;AD1002*1.01+0.001),"Net terrestrial &gt; gross; ","")&amp;IF(AND(AE1002=1,N($S1002)&gt;AC1002*1.01+0.001),"Net marine &gt; gross; ","")&amp;IF(AE1002=0,"No net area – gross used, overlaps may be double-counted; ","")&amp;IF(AH1002=0,"STATUS_YR missing – imputed in time series; ","")&amp;IF(AND(ISNUMBER($I1002),N($I1002)&gt;Setup!$B$6),"STATUS_YR after reporting year; ","")&amp;IF(OR($G1002="",$G1002="Not Reported"),"GOV_TYPE not reported; ","")&amp;IF(AND(N($J1002)=1,$K1002="Point",N($M1002)&lt;=0),"Coastal point without REP_M_AREA – land/sea split unknown; ","")&amp;IF(AND(N($J1002)=0,N($S1002)&gt;0),"MARINE=0 but net marine &gt;0; ","")&amp;IF(AND(N($J1002)=2,N($R1002)&gt;0),"MARINE=2 but net terrestrial &gt;0; ","")&amp;IF($K1002="Point","Buffered point – coverage approximate; ","")))</f>
        <v/>
      </c>
    </row>
    <row r="1003">
      <c r="A1003" s="19" t="n"/>
      <c r="B1003" s="19" t="n"/>
      <c r="C1003" s="19" t="n"/>
      <c r="D1003" s="19" t="n"/>
      <c r="E1003" s="19" t="n"/>
      <c r="F1003" s="19" t="n"/>
      <c r="G1003" s="19" t="n"/>
      <c r="H1003" s="19" t="n"/>
      <c r="I1003" s="19" t="n"/>
      <c r="J1003" s="19" t="n"/>
      <c r="K1003" s="19" t="n"/>
      <c r="L1003" s="20" t="n"/>
      <c r="M1003" s="20" t="n"/>
      <c r="N1003" s="20" t="n"/>
      <c r="O1003" s="20" t="n"/>
      <c r="P1003" s="19" t="n"/>
      <c r="Q1003" s="19" t="n"/>
      <c r="R1003" s="20" t="n"/>
      <c r="S1003" s="20" t="n"/>
      <c r="T1003" s="19" t="n"/>
      <c r="U1003" s="19" t="n"/>
      <c r="V1003" s="19" t="n"/>
      <c r="W1003" s="19" t="n"/>
      <c r="X1003" s="19" t="n"/>
      <c r="Y1003" s="19" t="n"/>
      <c r="Z1003" s="21">
        <f>IF(AND($A1003="",$B1003=""),"",IF(OR($E1003="",$H1003="",$H1003="Proposed",$H1003="Not Reported"),0,IF(AND($P1003="Y",$Q1003&lt;&gt;"Y"),0,IF(AND($K1003="Point",N($L1003)&lt;=0),0,IF(AND(N($L1003)&lt;=0,N($N1003)&lt;=0,N($R1003)+N($S1003)&lt;=0),0,1)))))</f>
        <v/>
      </c>
      <c r="AA1003" s="21">
        <f>IF(AND($A1003="",$B1003=""),"",IF($E1003="","Site type missing",IF($H1003="","STATUS missing",IF($H1003="Proposed","STATUS = Proposed",IF($H1003="Not Reported","STATUS = Not Reported",IF(AND($P1003="Y",$Q1003&lt;&gt;"Y"),"UNESCO-MAB Biosphere Reserve",IF(AND($K1003="Point",N($L1003)&lt;=0),"Point without REP_AREA",IF(AND(N($L1003)&lt;=0,N($N1003)&lt;=0,N($R1003)+N($S1003)&lt;=0),"No area information",""))))))))</f>
        <v/>
      </c>
      <c r="AB1003" s="22">
        <f>IF(AND($A1003="",$B1003=""),"",IF($K1003="Point",N($L1003),IF(N($N1003)&gt;0,N($N1003),N($L1003))))</f>
        <v/>
      </c>
      <c r="AC1003" s="22">
        <f>IF(AND($A1003="",$B1003=""),"",MIN(AB1003,IF(N($J1003)=0,0,IF(N($J1003)=2,AB1003,IF(AND($K1003&lt;&gt;"Point",N($O1003)&gt;0),N($O1003),N($M1003))))))</f>
        <v/>
      </c>
      <c r="AD1003" s="22">
        <f>IF(AND($A1003="",$B1003=""),"",MAX(0,AB1003-AC1003))</f>
        <v/>
      </c>
      <c r="AE1003" s="21">
        <f>IF(AND($A1003="",$B1003=""),"",IF(OR($R1003&lt;&gt;"",$S1003&lt;&gt;""),1,0))</f>
        <v/>
      </c>
      <c r="AF1003" s="22">
        <f>IF(AND($A1003="",$B1003=""),"",IF(Z1003=1,IF(AE1003=1,N($R1003),AD1003),0))</f>
        <v/>
      </c>
      <c r="AG1003" s="22">
        <f>IF(AND($A1003="",$B1003=""),"",IF(Z1003=1,IF(AE1003=1,N($S1003),AC1003),0))</f>
        <v/>
      </c>
      <c r="AH1003" s="21">
        <f>IF(AND($A1003="",$B1003=""),"",IF(AND(ISNUMBER($I1003),N($I1003)&gt;0),$I1003,0))</f>
        <v/>
      </c>
      <c r="AI1003" s="23">
        <f>IF(AND(NOT(AND($A1003="",$B1003="")),$K1003="Point",N($L1003)&gt;0),SQRT(N($L1003)/PI()),"")</f>
        <v/>
      </c>
      <c r="AJ1003" s="21">
        <f>IF(AND($A1003="",$B1003=""),"",IFERROR(VLOOKUP($G1003,Lists!$D$4:$E$15,2,FALSE),"Not reported"))</f>
        <v/>
      </c>
      <c r="AK1003" s="21">
        <f>IF(AND($A1003="",$B1003=""),"",IF($X1003&lt;&gt;"",$X1003,IF($T1003&lt;&gt;"Y","Not assessed",IF(AND(ISNUMBER($V1003),Setup!$B$6-$V1003&gt;Setup!$B$26),"Assessment outdated",IF(NOT(ISNUMBER($W1003)),"Assessed – no score",IF($W1003&gt;=Setup!$B$24,"High",IF($W1003&gt;=Setup!$B$25,"Moderate","Low")))))))</f>
        <v/>
      </c>
      <c r="AL1003" s="21">
        <f>IF(AND($A1003="",$B1003=""),"",IF(Z1003=0,"",IF(AND(AE1003=1,N($R1003)&gt;AD1003*1.01+0.001),"Net terrestrial &gt; gross; ","")&amp;IF(AND(AE1003=1,N($S1003)&gt;AC1003*1.01+0.001),"Net marine &gt; gross; ","")&amp;IF(AE1003=0,"No net area – gross used, overlaps may be double-counted; ","")&amp;IF(AH1003=0,"STATUS_YR missing – imputed in time series; ","")&amp;IF(AND(ISNUMBER($I1003),N($I1003)&gt;Setup!$B$6),"STATUS_YR after reporting year; ","")&amp;IF(OR($G1003="",$G1003="Not Reported"),"GOV_TYPE not reported; ","")&amp;IF(AND(N($J1003)=1,$K1003="Point",N($M1003)&lt;=0),"Coastal point without REP_M_AREA – land/sea split unknown; ","")&amp;IF(AND(N($J1003)=0,N($S1003)&gt;0),"MARINE=0 but net marine &gt;0; ","")&amp;IF(AND(N($J1003)=2,N($R1003)&gt;0),"MARINE=2 but net terrestrial &gt;0; ","")&amp;IF($K1003="Point","Buffered point – coverage approximate; ","")))</f>
        <v/>
      </c>
    </row>
    <row r="1004">
      <c r="A1004" s="19" t="n"/>
      <c r="B1004" s="19" t="n"/>
      <c r="C1004" s="19" t="n"/>
      <c r="D1004" s="19" t="n"/>
      <c r="E1004" s="19" t="n"/>
      <c r="F1004" s="19" t="n"/>
      <c r="G1004" s="19" t="n"/>
      <c r="H1004" s="19" t="n"/>
      <c r="I1004" s="19" t="n"/>
      <c r="J1004" s="19" t="n"/>
      <c r="K1004" s="19" t="n"/>
      <c r="L1004" s="20" t="n"/>
      <c r="M1004" s="20" t="n"/>
      <c r="N1004" s="20" t="n"/>
      <c r="O1004" s="20" t="n"/>
      <c r="P1004" s="19" t="n"/>
      <c r="Q1004" s="19" t="n"/>
      <c r="R1004" s="20" t="n"/>
      <c r="S1004" s="20" t="n"/>
      <c r="T1004" s="19" t="n"/>
      <c r="U1004" s="19" t="n"/>
      <c r="V1004" s="19" t="n"/>
      <c r="W1004" s="19" t="n"/>
      <c r="X1004" s="19" t="n"/>
      <c r="Y1004" s="19" t="n"/>
      <c r="Z1004" s="21">
        <f>IF(AND($A1004="",$B1004=""),"",IF(OR($E1004="",$H1004="",$H1004="Proposed",$H1004="Not Reported"),0,IF(AND($P1004="Y",$Q1004&lt;&gt;"Y"),0,IF(AND($K1004="Point",N($L1004)&lt;=0),0,IF(AND(N($L1004)&lt;=0,N($N1004)&lt;=0,N($R1004)+N($S1004)&lt;=0),0,1)))))</f>
        <v/>
      </c>
      <c r="AA1004" s="21">
        <f>IF(AND($A1004="",$B1004=""),"",IF($E1004="","Site type missing",IF($H1004="","STATUS missing",IF($H1004="Proposed","STATUS = Proposed",IF($H1004="Not Reported","STATUS = Not Reported",IF(AND($P1004="Y",$Q1004&lt;&gt;"Y"),"UNESCO-MAB Biosphere Reserve",IF(AND($K1004="Point",N($L1004)&lt;=0),"Point without REP_AREA",IF(AND(N($L1004)&lt;=0,N($N1004)&lt;=0,N($R1004)+N($S1004)&lt;=0),"No area information",""))))))))</f>
        <v/>
      </c>
      <c r="AB1004" s="22">
        <f>IF(AND($A1004="",$B1004=""),"",IF($K1004="Point",N($L1004),IF(N($N1004)&gt;0,N($N1004),N($L1004))))</f>
        <v/>
      </c>
      <c r="AC1004" s="22">
        <f>IF(AND($A1004="",$B1004=""),"",MIN(AB1004,IF(N($J1004)=0,0,IF(N($J1004)=2,AB1004,IF(AND($K1004&lt;&gt;"Point",N($O1004)&gt;0),N($O1004),N($M1004))))))</f>
        <v/>
      </c>
      <c r="AD1004" s="22">
        <f>IF(AND($A1004="",$B1004=""),"",MAX(0,AB1004-AC1004))</f>
        <v/>
      </c>
      <c r="AE1004" s="21">
        <f>IF(AND($A1004="",$B1004=""),"",IF(OR($R1004&lt;&gt;"",$S1004&lt;&gt;""),1,0))</f>
        <v/>
      </c>
      <c r="AF1004" s="22">
        <f>IF(AND($A1004="",$B1004=""),"",IF(Z1004=1,IF(AE1004=1,N($R1004),AD1004),0))</f>
        <v/>
      </c>
      <c r="AG1004" s="22">
        <f>IF(AND($A1004="",$B1004=""),"",IF(Z1004=1,IF(AE1004=1,N($S1004),AC1004),0))</f>
        <v/>
      </c>
      <c r="AH1004" s="21">
        <f>IF(AND($A1004="",$B1004=""),"",IF(AND(ISNUMBER($I1004),N($I1004)&gt;0),$I1004,0))</f>
        <v/>
      </c>
      <c r="AI1004" s="23">
        <f>IF(AND(NOT(AND($A1004="",$B1004="")),$K1004="Point",N($L1004)&gt;0),SQRT(N($L1004)/PI()),"")</f>
        <v/>
      </c>
      <c r="AJ1004" s="21">
        <f>IF(AND($A1004="",$B1004=""),"",IFERROR(VLOOKUP($G1004,Lists!$D$4:$E$15,2,FALSE),"Not reported"))</f>
        <v/>
      </c>
      <c r="AK1004" s="21">
        <f>IF(AND($A1004="",$B1004=""),"",IF($X1004&lt;&gt;"",$X1004,IF($T1004&lt;&gt;"Y","Not assessed",IF(AND(ISNUMBER($V1004),Setup!$B$6-$V1004&gt;Setup!$B$26),"Assessment outdated",IF(NOT(ISNUMBER($W1004)),"Assessed – no score",IF($W1004&gt;=Setup!$B$24,"High",IF($W1004&gt;=Setup!$B$25,"Moderate","Low")))))))</f>
        <v/>
      </c>
      <c r="AL1004" s="21">
        <f>IF(AND($A1004="",$B1004=""),"",IF(Z1004=0,"",IF(AND(AE1004=1,N($R1004)&gt;AD1004*1.01+0.001),"Net terrestrial &gt; gross; ","")&amp;IF(AND(AE1004=1,N($S1004)&gt;AC1004*1.01+0.001),"Net marine &gt; gross; ","")&amp;IF(AE1004=0,"No net area – gross used, overlaps may be double-counted; ","")&amp;IF(AH1004=0,"STATUS_YR missing – imputed in time series; ","")&amp;IF(AND(ISNUMBER($I1004),N($I1004)&gt;Setup!$B$6),"STATUS_YR after reporting year; ","")&amp;IF(OR($G1004="",$G1004="Not Reported"),"GOV_TYPE not reported; ","")&amp;IF(AND(N($J1004)=1,$K1004="Point",N($M1004)&lt;=0),"Coastal point without REP_M_AREA – land/sea split unknown; ","")&amp;IF(AND(N($J1004)=0,N($S1004)&gt;0),"MARINE=0 but net marine &gt;0; ","")&amp;IF(AND(N($J1004)=2,N($R1004)&gt;0),"MARINE=2 but net terrestrial &gt;0; ","")&amp;IF($K1004="Point","Buffered point – coverage approximate; ","")))</f>
        <v/>
      </c>
    </row>
    <row r="1005">
      <c r="A1005" s="19" t="n"/>
      <c r="B1005" s="19" t="n"/>
      <c r="C1005" s="19" t="n"/>
      <c r="D1005" s="19" t="n"/>
      <c r="E1005" s="19" t="n"/>
      <c r="F1005" s="19" t="n"/>
      <c r="G1005" s="19" t="n"/>
      <c r="H1005" s="19" t="n"/>
      <c r="I1005" s="19" t="n"/>
      <c r="J1005" s="19" t="n"/>
      <c r="K1005" s="19" t="n"/>
      <c r="L1005" s="20" t="n"/>
      <c r="M1005" s="20" t="n"/>
      <c r="N1005" s="20" t="n"/>
      <c r="O1005" s="20" t="n"/>
      <c r="P1005" s="19" t="n"/>
      <c r="Q1005" s="19" t="n"/>
      <c r="R1005" s="20" t="n"/>
      <c r="S1005" s="20" t="n"/>
      <c r="T1005" s="19" t="n"/>
      <c r="U1005" s="19" t="n"/>
      <c r="V1005" s="19" t="n"/>
      <c r="W1005" s="19" t="n"/>
      <c r="X1005" s="19" t="n"/>
      <c r="Y1005" s="19" t="n"/>
      <c r="Z1005" s="21">
        <f>IF(AND($A1005="",$B1005=""),"",IF(OR($E1005="",$H1005="",$H1005="Proposed",$H1005="Not Reported"),0,IF(AND($P1005="Y",$Q1005&lt;&gt;"Y"),0,IF(AND($K1005="Point",N($L1005)&lt;=0),0,IF(AND(N($L1005)&lt;=0,N($N1005)&lt;=0,N($R1005)+N($S1005)&lt;=0),0,1)))))</f>
        <v/>
      </c>
      <c r="AA1005" s="21">
        <f>IF(AND($A1005="",$B1005=""),"",IF($E1005="","Site type missing",IF($H1005="","STATUS missing",IF($H1005="Proposed","STATUS = Proposed",IF($H1005="Not Reported","STATUS = Not Reported",IF(AND($P1005="Y",$Q1005&lt;&gt;"Y"),"UNESCO-MAB Biosphere Reserve",IF(AND($K1005="Point",N($L1005)&lt;=0),"Point without REP_AREA",IF(AND(N($L1005)&lt;=0,N($N1005)&lt;=0,N($R1005)+N($S1005)&lt;=0),"No area information",""))))))))</f>
        <v/>
      </c>
      <c r="AB1005" s="22">
        <f>IF(AND($A1005="",$B1005=""),"",IF($K1005="Point",N($L1005),IF(N($N1005)&gt;0,N($N1005),N($L1005))))</f>
        <v/>
      </c>
      <c r="AC1005" s="22">
        <f>IF(AND($A1005="",$B1005=""),"",MIN(AB1005,IF(N($J1005)=0,0,IF(N($J1005)=2,AB1005,IF(AND($K1005&lt;&gt;"Point",N($O1005)&gt;0),N($O1005),N($M1005))))))</f>
        <v/>
      </c>
      <c r="AD1005" s="22">
        <f>IF(AND($A1005="",$B1005=""),"",MAX(0,AB1005-AC1005))</f>
        <v/>
      </c>
      <c r="AE1005" s="21">
        <f>IF(AND($A1005="",$B1005=""),"",IF(OR($R1005&lt;&gt;"",$S1005&lt;&gt;""),1,0))</f>
        <v/>
      </c>
      <c r="AF1005" s="22">
        <f>IF(AND($A1005="",$B1005=""),"",IF(Z1005=1,IF(AE1005=1,N($R1005),AD1005),0))</f>
        <v/>
      </c>
      <c r="AG1005" s="22">
        <f>IF(AND($A1005="",$B1005=""),"",IF(Z1005=1,IF(AE1005=1,N($S1005),AC1005),0))</f>
        <v/>
      </c>
      <c r="AH1005" s="21">
        <f>IF(AND($A1005="",$B1005=""),"",IF(AND(ISNUMBER($I1005),N($I1005)&gt;0),$I1005,0))</f>
        <v/>
      </c>
      <c r="AI1005" s="23">
        <f>IF(AND(NOT(AND($A1005="",$B1005="")),$K1005="Point",N($L1005)&gt;0),SQRT(N($L1005)/PI()),"")</f>
        <v/>
      </c>
      <c r="AJ1005" s="21">
        <f>IF(AND($A1005="",$B1005=""),"",IFERROR(VLOOKUP($G1005,Lists!$D$4:$E$15,2,FALSE),"Not reported"))</f>
        <v/>
      </c>
      <c r="AK1005" s="21">
        <f>IF(AND($A1005="",$B1005=""),"",IF($X1005&lt;&gt;"",$X1005,IF($T1005&lt;&gt;"Y","Not assessed",IF(AND(ISNUMBER($V1005),Setup!$B$6-$V1005&gt;Setup!$B$26),"Assessment outdated",IF(NOT(ISNUMBER($W1005)),"Assessed – no score",IF($W1005&gt;=Setup!$B$24,"High",IF($W1005&gt;=Setup!$B$25,"Moderate","Low")))))))</f>
        <v/>
      </c>
      <c r="AL1005" s="21">
        <f>IF(AND($A1005="",$B1005=""),"",IF(Z1005=0,"",IF(AND(AE1005=1,N($R1005)&gt;AD1005*1.01+0.001),"Net terrestrial &gt; gross; ","")&amp;IF(AND(AE1005=1,N($S1005)&gt;AC1005*1.01+0.001),"Net marine &gt; gross; ","")&amp;IF(AE1005=0,"No net area – gross used, overlaps may be double-counted; ","")&amp;IF(AH1005=0,"STATUS_YR missing – imputed in time series; ","")&amp;IF(AND(ISNUMBER($I1005),N($I1005)&gt;Setup!$B$6),"STATUS_YR after reporting year; ","")&amp;IF(OR($G1005="",$G1005="Not Reported"),"GOV_TYPE not reported; ","")&amp;IF(AND(N($J1005)=1,$K1005="Point",N($M1005)&lt;=0),"Coastal point without REP_M_AREA – land/sea split unknown; ","")&amp;IF(AND(N($J1005)=0,N($S1005)&gt;0),"MARINE=0 but net marine &gt;0; ","")&amp;IF(AND(N($J1005)=2,N($R1005)&gt;0),"MARINE=2 but net terrestrial &gt;0; ","")&amp;IF($K1005="Point","Buffered point – coverage approximate; ","")))</f>
        <v/>
      </c>
    </row>
    <row r="1006">
      <c r="A1006" s="19" t="n"/>
      <c r="B1006" s="19" t="n"/>
      <c r="C1006" s="19" t="n"/>
      <c r="D1006" s="19" t="n"/>
      <c r="E1006" s="19" t="n"/>
      <c r="F1006" s="19" t="n"/>
      <c r="G1006" s="19" t="n"/>
      <c r="H1006" s="19" t="n"/>
      <c r="I1006" s="19" t="n"/>
      <c r="J1006" s="19" t="n"/>
      <c r="K1006" s="19" t="n"/>
      <c r="L1006" s="20" t="n"/>
      <c r="M1006" s="20" t="n"/>
      <c r="N1006" s="20" t="n"/>
      <c r="O1006" s="20" t="n"/>
      <c r="P1006" s="19" t="n"/>
      <c r="Q1006" s="19" t="n"/>
      <c r="R1006" s="20" t="n"/>
      <c r="S1006" s="20" t="n"/>
      <c r="T1006" s="19" t="n"/>
      <c r="U1006" s="19" t="n"/>
      <c r="V1006" s="19" t="n"/>
      <c r="W1006" s="19" t="n"/>
      <c r="X1006" s="19" t="n"/>
      <c r="Y1006" s="19" t="n"/>
      <c r="Z1006" s="21">
        <f>IF(AND($A1006="",$B1006=""),"",IF(OR($E1006="",$H1006="",$H1006="Proposed",$H1006="Not Reported"),0,IF(AND($P1006="Y",$Q1006&lt;&gt;"Y"),0,IF(AND($K1006="Point",N($L1006)&lt;=0),0,IF(AND(N($L1006)&lt;=0,N($N1006)&lt;=0,N($R1006)+N($S1006)&lt;=0),0,1)))))</f>
        <v/>
      </c>
      <c r="AA1006" s="21">
        <f>IF(AND($A1006="",$B1006=""),"",IF($E1006="","Site type missing",IF($H1006="","STATUS missing",IF($H1006="Proposed","STATUS = Proposed",IF($H1006="Not Reported","STATUS = Not Reported",IF(AND($P1006="Y",$Q1006&lt;&gt;"Y"),"UNESCO-MAB Biosphere Reserve",IF(AND($K1006="Point",N($L1006)&lt;=0),"Point without REP_AREA",IF(AND(N($L1006)&lt;=0,N($N1006)&lt;=0,N($R1006)+N($S1006)&lt;=0),"No area information",""))))))))</f>
        <v/>
      </c>
      <c r="AB1006" s="22">
        <f>IF(AND($A1006="",$B1006=""),"",IF($K1006="Point",N($L1006),IF(N($N1006)&gt;0,N($N1006),N($L1006))))</f>
        <v/>
      </c>
      <c r="AC1006" s="22">
        <f>IF(AND($A1006="",$B1006=""),"",MIN(AB1006,IF(N($J1006)=0,0,IF(N($J1006)=2,AB1006,IF(AND($K1006&lt;&gt;"Point",N($O1006)&gt;0),N($O1006),N($M1006))))))</f>
        <v/>
      </c>
      <c r="AD1006" s="22">
        <f>IF(AND($A1006="",$B1006=""),"",MAX(0,AB1006-AC1006))</f>
        <v/>
      </c>
      <c r="AE1006" s="21">
        <f>IF(AND($A1006="",$B1006=""),"",IF(OR($R1006&lt;&gt;"",$S1006&lt;&gt;""),1,0))</f>
        <v/>
      </c>
      <c r="AF1006" s="22">
        <f>IF(AND($A1006="",$B1006=""),"",IF(Z1006=1,IF(AE1006=1,N($R1006),AD1006),0))</f>
        <v/>
      </c>
      <c r="AG1006" s="22">
        <f>IF(AND($A1006="",$B1006=""),"",IF(Z1006=1,IF(AE1006=1,N($S1006),AC1006),0))</f>
        <v/>
      </c>
      <c r="AH1006" s="21">
        <f>IF(AND($A1006="",$B1006=""),"",IF(AND(ISNUMBER($I1006),N($I1006)&gt;0),$I1006,0))</f>
        <v/>
      </c>
      <c r="AI1006" s="23">
        <f>IF(AND(NOT(AND($A1006="",$B1006="")),$K1006="Point",N($L1006)&gt;0),SQRT(N($L1006)/PI()),"")</f>
        <v/>
      </c>
      <c r="AJ1006" s="21">
        <f>IF(AND($A1006="",$B1006=""),"",IFERROR(VLOOKUP($G1006,Lists!$D$4:$E$15,2,FALSE),"Not reported"))</f>
        <v/>
      </c>
      <c r="AK1006" s="21">
        <f>IF(AND($A1006="",$B1006=""),"",IF($X1006&lt;&gt;"",$X1006,IF($T1006&lt;&gt;"Y","Not assessed",IF(AND(ISNUMBER($V1006),Setup!$B$6-$V1006&gt;Setup!$B$26),"Assessment outdated",IF(NOT(ISNUMBER($W1006)),"Assessed – no score",IF($W1006&gt;=Setup!$B$24,"High",IF($W1006&gt;=Setup!$B$25,"Moderate","Low")))))))</f>
        <v/>
      </c>
      <c r="AL1006" s="21">
        <f>IF(AND($A1006="",$B1006=""),"",IF(Z1006=0,"",IF(AND(AE1006=1,N($R1006)&gt;AD1006*1.01+0.001),"Net terrestrial &gt; gross; ","")&amp;IF(AND(AE1006=1,N($S1006)&gt;AC1006*1.01+0.001),"Net marine &gt; gross; ","")&amp;IF(AE1006=0,"No net area – gross used, overlaps may be double-counted; ","")&amp;IF(AH1006=0,"STATUS_YR missing – imputed in time series; ","")&amp;IF(AND(ISNUMBER($I1006),N($I1006)&gt;Setup!$B$6),"STATUS_YR after reporting year; ","")&amp;IF(OR($G1006="",$G1006="Not Reported"),"GOV_TYPE not reported; ","")&amp;IF(AND(N($J1006)=1,$K1006="Point",N($M1006)&lt;=0),"Coastal point without REP_M_AREA – land/sea split unknown; ","")&amp;IF(AND(N($J1006)=0,N($S1006)&gt;0),"MARINE=0 but net marine &gt;0; ","")&amp;IF(AND(N($J1006)=2,N($R1006)&gt;0),"MARINE=2 but net terrestrial &gt;0; ","")&amp;IF($K1006="Point","Buffered point – coverage approximate; ","")))</f>
        <v/>
      </c>
    </row>
    <row r="1007">
      <c r="A1007" s="19" t="n"/>
      <c r="B1007" s="19" t="n"/>
      <c r="C1007" s="19" t="n"/>
      <c r="D1007" s="19" t="n"/>
      <c r="E1007" s="19" t="n"/>
      <c r="F1007" s="19" t="n"/>
      <c r="G1007" s="19" t="n"/>
      <c r="H1007" s="19" t="n"/>
      <c r="I1007" s="19" t="n"/>
      <c r="J1007" s="19" t="n"/>
      <c r="K1007" s="19" t="n"/>
      <c r="L1007" s="20" t="n"/>
      <c r="M1007" s="20" t="n"/>
      <c r="N1007" s="20" t="n"/>
      <c r="O1007" s="20" t="n"/>
      <c r="P1007" s="19" t="n"/>
      <c r="Q1007" s="19" t="n"/>
      <c r="R1007" s="20" t="n"/>
      <c r="S1007" s="20" t="n"/>
      <c r="T1007" s="19" t="n"/>
      <c r="U1007" s="19" t="n"/>
      <c r="V1007" s="19" t="n"/>
      <c r="W1007" s="19" t="n"/>
      <c r="X1007" s="19" t="n"/>
      <c r="Y1007" s="19" t="n"/>
      <c r="Z1007" s="21">
        <f>IF(AND($A1007="",$B1007=""),"",IF(OR($E1007="",$H1007="",$H1007="Proposed",$H1007="Not Reported"),0,IF(AND($P1007="Y",$Q1007&lt;&gt;"Y"),0,IF(AND($K1007="Point",N($L1007)&lt;=0),0,IF(AND(N($L1007)&lt;=0,N($N1007)&lt;=0,N($R1007)+N($S1007)&lt;=0),0,1)))))</f>
        <v/>
      </c>
      <c r="AA1007" s="21">
        <f>IF(AND($A1007="",$B1007=""),"",IF($E1007="","Site type missing",IF($H1007="","STATUS missing",IF($H1007="Proposed","STATUS = Proposed",IF($H1007="Not Reported","STATUS = Not Reported",IF(AND($P1007="Y",$Q1007&lt;&gt;"Y"),"UNESCO-MAB Biosphere Reserve",IF(AND($K1007="Point",N($L1007)&lt;=0),"Point without REP_AREA",IF(AND(N($L1007)&lt;=0,N($N1007)&lt;=0,N($R1007)+N($S1007)&lt;=0),"No area information",""))))))))</f>
        <v/>
      </c>
      <c r="AB1007" s="22">
        <f>IF(AND($A1007="",$B1007=""),"",IF($K1007="Point",N($L1007),IF(N($N1007)&gt;0,N($N1007),N($L1007))))</f>
        <v/>
      </c>
      <c r="AC1007" s="22">
        <f>IF(AND($A1007="",$B1007=""),"",MIN(AB1007,IF(N($J1007)=0,0,IF(N($J1007)=2,AB1007,IF(AND($K1007&lt;&gt;"Point",N($O1007)&gt;0),N($O1007),N($M1007))))))</f>
        <v/>
      </c>
      <c r="AD1007" s="22">
        <f>IF(AND($A1007="",$B1007=""),"",MAX(0,AB1007-AC1007))</f>
        <v/>
      </c>
      <c r="AE1007" s="21">
        <f>IF(AND($A1007="",$B1007=""),"",IF(OR($R1007&lt;&gt;"",$S1007&lt;&gt;""),1,0))</f>
        <v/>
      </c>
      <c r="AF1007" s="22">
        <f>IF(AND($A1007="",$B1007=""),"",IF(Z1007=1,IF(AE1007=1,N($R1007),AD1007),0))</f>
        <v/>
      </c>
      <c r="AG1007" s="22">
        <f>IF(AND($A1007="",$B1007=""),"",IF(Z1007=1,IF(AE1007=1,N($S1007),AC1007),0))</f>
        <v/>
      </c>
      <c r="AH1007" s="21">
        <f>IF(AND($A1007="",$B1007=""),"",IF(AND(ISNUMBER($I1007),N($I1007)&gt;0),$I1007,0))</f>
        <v/>
      </c>
      <c r="AI1007" s="23">
        <f>IF(AND(NOT(AND($A1007="",$B1007="")),$K1007="Point",N($L1007)&gt;0),SQRT(N($L1007)/PI()),"")</f>
        <v/>
      </c>
      <c r="AJ1007" s="21">
        <f>IF(AND($A1007="",$B1007=""),"",IFERROR(VLOOKUP($G1007,Lists!$D$4:$E$15,2,FALSE),"Not reported"))</f>
        <v/>
      </c>
      <c r="AK1007" s="21">
        <f>IF(AND($A1007="",$B1007=""),"",IF($X1007&lt;&gt;"",$X1007,IF($T1007&lt;&gt;"Y","Not assessed",IF(AND(ISNUMBER($V1007),Setup!$B$6-$V1007&gt;Setup!$B$26),"Assessment outdated",IF(NOT(ISNUMBER($W1007)),"Assessed – no score",IF($W1007&gt;=Setup!$B$24,"High",IF($W1007&gt;=Setup!$B$25,"Moderate","Low")))))))</f>
        <v/>
      </c>
      <c r="AL1007" s="21">
        <f>IF(AND($A1007="",$B1007=""),"",IF(Z1007=0,"",IF(AND(AE1007=1,N($R1007)&gt;AD1007*1.01+0.001),"Net terrestrial &gt; gross; ","")&amp;IF(AND(AE1007=1,N($S1007)&gt;AC1007*1.01+0.001),"Net marine &gt; gross; ","")&amp;IF(AE1007=0,"No net area – gross used, overlaps may be double-counted; ","")&amp;IF(AH1007=0,"STATUS_YR missing – imputed in time series; ","")&amp;IF(AND(ISNUMBER($I1007),N($I1007)&gt;Setup!$B$6),"STATUS_YR after reporting year; ","")&amp;IF(OR($G1007="",$G1007="Not Reported"),"GOV_TYPE not reported; ","")&amp;IF(AND(N($J1007)=1,$K1007="Point",N($M1007)&lt;=0),"Coastal point without REP_M_AREA – land/sea split unknown; ","")&amp;IF(AND(N($J1007)=0,N($S1007)&gt;0),"MARINE=0 but net marine &gt;0; ","")&amp;IF(AND(N($J1007)=2,N($R1007)&gt;0),"MARINE=2 but net terrestrial &gt;0; ","")&amp;IF($K1007="Point","Buffered point – coverage approximate; ","")))</f>
        <v/>
      </c>
    </row>
    <row r="1008">
      <c r="A1008" s="19" t="n"/>
      <c r="B1008" s="19" t="n"/>
      <c r="C1008" s="19" t="n"/>
      <c r="D1008" s="19" t="n"/>
      <c r="E1008" s="19" t="n"/>
      <c r="F1008" s="19" t="n"/>
      <c r="G1008" s="19" t="n"/>
      <c r="H1008" s="19" t="n"/>
      <c r="I1008" s="19" t="n"/>
      <c r="J1008" s="19" t="n"/>
      <c r="K1008" s="19" t="n"/>
      <c r="L1008" s="20" t="n"/>
      <c r="M1008" s="20" t="n"/>
      <c r="N1008" s="20" t="n"/>
      <c r="O1008" s="20" t="n"/>
      <c r="P1008" s="19" t="n"/>
      <c r="Q1008" s="19" t="n"/>
      <c r="R1008" s="20" t="n"/>
      <c r="S1008" s="20" t="n"/>
      <c r="T1008" s="19" t="n"/>
      <c r="U1008" s="19" t="n"/>
      <c r="V1008" s="19" t="n"/>
      <c r="W1008" s="19" t="n"/>
      <c r="X1008" s="19" t="n"/>
      <c r="Y1008" s="19" t="n"/>
      <c r="Z1008" s="21">
        <f>IF(AND($A1008="",$B1008=""),"",IF(OR($E1008="",$H1008="",$H1008="Proposed",$H1008="Not Reported"),0,IF(AND($P1008="Y",$Q1008&lt;&gt;"Y"),0,IF(AND($K1008="Point",N($L1008)&lt;=0),0,IF(AND(N($L1008)&lt;=0,N($N1008)&lt;=0,N($R1008)+N($S1008)&lt;=0),0,1)))))</f>
        <v/>
      </c>
      <c r="AA1008" s="21">
        <f>IF(AND($A1008="",$B1008=""),"",IF($E1008="","Site type missing",IF($H1008="","STATUS missing",IF($H1008="Proposed","STATUS = Proposed",IF($H1008="Not Reported","STATUS = Not Reported",IF(AND($P1008="Y",$Q1008&lt;&gt;"Y"),"UNESCO-MAB Biosphere Reserve",IF(AND($K1008="Point",N($L1008)&lt;=0),"Point without REP_AREA",IF(AND(N($L1008)&lt;=0,N($N1008)&lt;=0,N($R1008)+N($S1008)&lt;=0),"No area information",""))))))))</f>
        <v/>
      </c>
      <c r="AB1008" s="22">
        <f>IF(AND($A1008="",$B1008=""),"",IF($K1008="Point",N($L1008),IF(N($N1008)&gt;0,N($N1008),N($L1008))))</f>
        <v/>
      </c>
      <c r="AC1008" s="22">
        <f>IF(AND($A1008="",$B1008=""),"",MIN(AB1008,IF(N($J1008)=0,0,IF(N($J1008)=2,AB1008,IF(AND($K1008&lt;&gt;"Point",N($O1008)&gt;0),N($O1008),N($M1008))))))</f>
        <v/>
      </c>
      <c r="AD1008" s="22">
        <f>IF(AND($A1008="",$B1008=""),"",MAX(0,AB1008-AC1008))</f>
        <v/>
      </c>
      <c r="AE1008" s="21">
        <f>IF(AND($A1008="",$B1008=""),"",IF(OR($R1008&lt;&gt;"",$S1008&lt;&gt;""),1,0))</f>
        <v/>
      </c>
      <c r="AF1008" s="22">
        <f>IF(AND($A1008="",$B1008=""),"",IF(Z1008=1,IF(AE1008=1,N($R1008),AD1008),0))</f>
        <v/>
      </c>
      <c r="AG1008" s="22">
        <f>IF(AND($A1008="",$B1008=""),"",IF(Z1008=1,IF(AE1008=1,N($S1008),AC1008),0))</f>
        <v/>
      </c>
      <c r="AH1008" s="21">
        <f>IF(AND($A1008="",$B1008=""),"",IF(AND(ISNUMBER($I1008),N($I1008)&gt;0),$I1008,0))</f>
        <v/>
      </c>
      <c r="AI1008" s="23">
        <f>IF(AND(NOT(AND($A1008="",$B1008="")),$K1008="Point",N($L1008)&gt;0),SQRT(N($L1008)/PI()),"")</f>
        <v/>
      </c>
      <c r="AJ1008" s="21">
        <f>IF(AND($A1008="",$B1008=""),"",IFERROR(VLOOKUP($G1008,Lists!$D$4:$E$15,2,FALSE),"Not reported"))</f>
        <v/>
      </c>
      <c r="AK1008" s="21">
        <f>IF(AND($A1008="",$B1008=""),"",IF($X1008&lt;&gt;"",$X1008,IF($T1008&lt;&gt;"Y","Not assessed",IF(AND(ISNUMBER($V1008),Setup!$B$6-$V1008&gt;Setup!$B$26),"Assessment outdated",IF(NOT(ISNUMBER($W1008)),"Assessed – no score",IF($W1008&gt;=Setup!$B$24,"High",IF($W1008&gt;=Setup!$B$25,"Moderate","Low")))))))</f>
        <v/>
      </c>
      <c r="AL1008" s="21">
        <f>IF(AND($A1008="",$B1008=""),"",IF(Z1008=0,"",IF(AND(AE1008=1,N($R1008)&gt;AD1008*1.01+0.001),"Net terrestrial &gt; gross; ","")&amp;IF(AND(AE1008=1,N($S1008)&gt;AC1008*1.01+0.001),"Net marine &gt; gross; ","")&amp;IF(AE1008=0,"No net area – gross used, overlaps may be double-counted; ","")&amp;IF(AH1008=0,"STATUS_YR missing – imputed in time series; ","")&amp;IF(AND(ISNUMBER($I1008),N($I1008)&gt;Setup!$B$6),"STATUS_YR after reporting year; ","")&amp;IF(OR($G1008="",$G1008="Not Reported"),"GOV_TYPE not reported; ","")&amp;IF(AND(N($J1008)=1,$K1008="Point",N($M1008)&lt;=0),"Coastal point without REP_M_AREA – land/sea split unknown; ","")&amp;IF(AND(N($J1008)=0,N($S1008)&gt;0),"MARINE=0 but net marine &gt;0; ","")&amp;IF(AND(N($J1008)=2,N($R1008)&gt;0),"MARINE=2 but net terrestrial &gt;0; ","")&amp;IF($K1008="Point","Buffered point – coverage approximate; ","")))</f>
        <v/>
      </c>
    </row>
    <row r="1009">
      <c r="A1009" s="19" t="n"/>
      <c r="B1009" s="19" t="n"/>
      <c r="C1009" s="19" t="n"/>
      <c r="D1009" s="19" t="n"/>
      <c r="E1009" s="19" t="n"/>
      <c r="F1009" s="19" t="n"/>
      <c r="G1009" s="19" t="n"/>
      <c r="H1009" s="19" t="n"/>
      <c r="I1009" s="19" t="n"/>
      <c r="J1009" s="19" t="n"/>
      <c r="K1009" s="19" t="n"/>
      <c r="L1009" s="20" t="n"/>
      <c r="M1009" s="20" t="n"/>
      <c r="N1009" s="20" t="n"/>
      <c r="O1009" s="20" t="n"/>
      <c r="P1009" s="19" t="n"/>
      <c r="Q1009" s="19" t="n"/>
      <c r="R1009" s="20" t="n"/>
      <c r="S1009" s="20" t="n"/>
      <c r="T1009" s="19" t="n"/>
      <c r="U1009" s="19" t="n"/>
      <c r="V1009" s="19" t="n"/>
      <c r="W1009" s="19" t="n"/>
      <c r="X1009" s="19" t="n"/>
      <c r="Y1009" s="19" t="n"/>
      <c r="Z1009" s="21">
        <f>IF(AND($A1009="",$B1009=""),"",IF(OR($E1009="",$H1009="",$H1009="Proposed",$H1009="Not Reported"),0,IF(AND($P1009="Y",$Q1009&lt;&gt;"Y"),0,IF(AND($K1009="Point",N($L1009)&lt;=0),0,IF(AND(N($L1009)&lt;=0,N($N1009)&lt;=0,N($R1009)+N($S1009)&lt;=0),0,1)))))</f>
        <v/>
      </c>
      <c r="AA1009" s="21">
        <f>IF(AND($A1009="",$B1009=""),"",IF($E1009="","Site type missing",IF($H1009="","STATUS missing",IF($H1009="Proposed","STATUS = Proposed",IF($H1009="Not Reported","STATUS = Not Reported",IF(AND($P1009="Y",$Q1009&lt;&gt;"Y"),"UNESCO-MAB Biosphere Reserve",IF(AND($K1009="Point",N($L1009)&lt;=0),"Point without REP_AREA",IF(AND(N($L1009)&lt;=0,N($N1009)&lt;=0,N($R1009)+N($S1009)&lt;=0),"No area information",""))))))))</f>
        <v/>
      </c>
      <c r="AB1009" s="22">
        <f>IF(AND($A1009="",$B1009=""),"",IF($K1009="Point",N($L1009),IF(N($N1009)&gt;0,N($N1009),N($L1009))))</f>
        <v/>
      </c>
      <c r="AC1009" s="22">
        <f>IF(AND($A1009="",$B1009=""),"",MIN(AB1009,IF(N($J1009)=0,0,IF(N($J1009)=2,AB1009,IF(AND($K1009&lt;&gt;"Point",N($O1009)&gt;0),N($O1009),N($M1009))))))</f>
        <v/>
      </c>
      <c r="AD1009" s="22">
        <f>IF(AND($A1009="",$B1009=""),"",MAX(0,AB1009-AC1009))</f>
        <v/>
      </c>
      <c r="AE1009" s="21">
        <f>IF(AND($A1009="",$B1009=""),"",IF(OR($R1009&lt;&gt;"",$S1009&lt;&gt;""),1,0))</f>
        <v/>
      </c>
      <c r="AF1009" s="22">
        <f>IF(AND($A1009="",$B1009=""),"",IF(Z1009=1,IF(AE1009=1,N($R1009),AD1009),0))</f>
        <v/>
      </c>
      <c r="AG1009" s="22">
        <f>IF(AND($A1009="",$B1009=""),"",IF(Z1009=1,IF(AE1009=1,N($S1009),AC1009),0))</f>
        <v/>
      </c>
      <c r="AH1009" s="21">
        <f>IF(AND($A1009="",$B1009=""),"",IF(AND(ISNUMBER($I1009),N($I1009)&gt;0),$I1009,0))</f>
        <v/>
      </c>
      <c r="AI1009" s="23">
        <f>IF(AND(NOT(AND($A1009="",$B1009="")),$K1009="Point",N($L1009)&gt;0),SQRT(N($L1009)/PI()),"")</f>
        <v/>
      </c>
      <c r="AJ1009" s="21">
        <f>IF(AND($A1009="",$B1009=""),"",IFERROR(VLOOKUP($G1009,Lists!$D$4:$E$15,2,FALSE),"Not reported"))</f>
        <v/>
      </c>
      <c r="AK1009" s="21">
        <f>IF(AND($A1009="",$B1009=""),"",IF($X1009&lt;&gt;"",$X1009,IF($T1009&lt;&gt;"Y","Not assessed",IF(AND(ISNUMBER($V1009),Setup!$B$6-$V1009&gt;Setup!$B$26),"Assessment outdated",IF(NOT(ISNUMBER($W1009)),"Assessed – no score",IF($W1009&gt;=Setup!$B$24,"High",IF($W1009&gt;=Setup!$B$25,"Moderate","Low")))))))</f>
        <v/>
      </c>
      <c r="AL1009" s="21">
        <f>IF(AND($A1009="",$B1009=""),"",IF(Z1009=0,"",IF(AND(AE1009=1,N($R1009)&gt;AD1009*1.01+0.001),"Net terrestrial &gt; gross; ","")&amp;IF(AND(AE1009=1,N($S1009)&gt;AC1009*1.01+0.001),"Net marine &gt; gross; ","")&amp;IF(AE1009=0,"No net area – gross used, overlaps may be double-counted; ","")&amp;IF(AH1009=0,"STATUS_YR missing – imputed in time series; ","")&amp;IF(AND(ISNUMBER($I1009),N($I1009)&gt;Setup!$B$6),"STATUS_YR after reporting year; ","")&amp;IF(OR($G1009="",$G1009="Not Reported"),"GOV_TYPE not reported; ","")&amp;IF(AND(N($J1009)=1,$K1009="Point",N($M1009)&lt;=0),"Coastal point without REP_M_AREA – land/sea split unknown; ","")&amp;IF(AND(N($J1009)=0,N($S1009)&gt;0),"MARINE=0 but net marine &gt;0; ","")&amp;IF(AND(N($J1009)=2,N($R1009)&gt;0),"MARINE=2 but net terrestrial &gt;0; ","")&amp;IF($K1009="Point","Buffered point – coverage approximate; ","")))</f>
        <v/>
      </c>
    </row>
    <row r="1010">
      <c r="A1010" s="19" t="n"/>
      <c r="B1010" s="19" t="n"/>
      <c r="C1010" s="19" t="n"/>
      <c r="D1010" s="19" t="n"/>
      <c r="E1010" s="19" t="n"/>
      <c r="F1010" s="19" t="n"/>
      <c r="G1010" s="19" t="n"/>
      <c r="H1010" s="19" t="n"/>
      <c r="I1010" s="19" t="n"/>
      <c r="J1010" s="19" t="n"/>
      <c r="K1010" s="19" t="n"/>
      <c r="L1010" s="20" t="n"/>
      <c r="M1010" s="20" t="n"/>
      <c r="N1010" s="20" t="n"/>
      <c r="O1010" s="20" t="n"/>
      <c r="P1010" s="19" t="n"/>
      <c r="Q1010" s="19" t="n"/>
      <c r="R1010" s="20" t="n"/>
      <c r="S1010" s="20" t="n"/>
      <c r="T1010" s="19" t="n"/>
      <c r="U1010" s="19" t="n"/>
      <c r="V1010" s="19" t="n"/>
      <c r="W1010" s="19" t="n"/>
      <c r="X1010" s="19" t="n"/>
      <c r="Y1010" s="19" t="n"/>
      <c r="Z1010" s="21">
        <f>IF(AND($A1010="",$B1010=""),"",IF(OR($E1010="",$H1010="",$H1010="Proposed",$H1010="Not Reported"),0,IF(AND($P1010="Y",$Q1010&lt;&gt;"Y"),0,IF(AND($K1010="Point",N($L1010)&lt;=0),0,IF(AND(N($L1010)&lt;=0,N($N1010)&lt;=0,N($R1010)+N($S1010)&lt;=0),0,1)))))</f>
        <v/>
      </c>
      <c r="AA1010" s="21">
        <f>IF(AND($A1010="",$B1010=""),"",IF($E1010="","Site type missing",IF($H1010="","STATUS missing",IF($H1010="Proposed","STATUS = Proposed",IF($H1010="Not Reported","STATUS = Not Reported",IF(AND($P1010="Y",$Q1010&lt;&gt;"Y"),"UNESCO-MAB Biosphere Reserve",IF(AND($K1010="Point",N($L1010)&lt;=0),"Point without REP_AREA",IF(AND(N($L1010)&lt;=0,N($N1010)&lt;=0,N($R1010)+N($S1010)&lt;=0),"No area information",""))))))))</f>
        <v/>
      </c>
      <c r="AB1010" s="22">
        <f>IF(AND($A1010="",$B1010=""),"",IF($K1010="Point",N($L1010),IF(N($N1010)&gt;0,N($N1010),N($L1010))))</f>
        <v/>
      </c>
      <c r="AC1010" s="22">
        <f>IF(AND($A1010="",$B1010=""),"",MIN(AB1010,IF(N($J1010)=0,0,IF(N($J1010)=2,AB1010,IF(AND($K1010&lt;&gt;"Point",N($O1010)&gt;0),N($O1010),N($M1010))))))</f>
        <v/>
      </c>
      <c r="AD1010" s="22">
        <f>IF(AND($A1010="",$B1010=""),"",MAX(0,AB1010-AC1010))</f>
        <v/>
      </c>
      <c r="AE1010" s="21">
        <f>IF(AND($A1010="",$B1010=""),"",IF(OR($R1010&lt;&gt;"",$S1010&lt;&gt;""),1,0))</f>
        <v/>
      </c>
      <c r="AF1010" s="22">
        <f>IF(AND($A1010="",$B1010=""),"",IF(Z1010=1,IF(AE1010=1,N($R1010),AD1010),0))</f>
        <v/>
      </c>
      <c r="AG1010" s="22">
        <f>IF(AND($A1010="",$B1010=""),"",IF(Z1010=1,IF(AE1010=1,N($S1010),AC1010),0))</f>
        <v/>
      </c>
      <c r="AH1010" s="21">
        <f>IF(AND($A1010="",$B1010=""),"",IF(AND(ISNUMBER($I1010),N($I1010)&gt;0),$I1010,0))</f>
        <v/>
      </c>
      <c r="AI1010" s="23">
        <f>IF(AND(NOT(AND($A1010="",$B1010="")),$K1010="Point",N($L1010)&gt;0),SQRT(N($L1010)/PI()),"")</f>
        <v/>
      </c>
      <c r="AJ1010" s="21">
        <f>IF(AND($A1010="",$B1010=""),"",IFERROR(VLOOKUP($G1010,Lists!$D$4:$E$15,2,FALSE),"Not reported"))</f>
        <v/>
      </c>
      <c r="AK1010" s="21">
        <f>IF(AND($A1010="",$B1010=""),"",IF($X1010&lt;&gt;"",$X1010,IF($T1010&lt;&gt;"Y","Not assessed",IF(AND(ISNUMBER($V1010),Setup!$B$6-$V1010&gt;Setup!$B$26),"Assessment outdated",IF(NOT(ISNUMBER($W1010)),"Assessed – no score",IF($W1010&gt;=Setup!$B$24,"High",IF($W1010&gt;=Setup!$B$25,"Moderate","Low")))))))</f>
        <v/>
      </c>
      <c r="AL1010" s="21">
        <f>IF(AND($A1010="",$B1010=""),"",IF(Z1010=0,"",IF(AND(AE1010=1,N($R1010)&gt;AD1010*1.01+0.001),"Net terrestrial &gt; gross; ","")&amp;IF(AND(AE1010=1,N($S1010)&gt;AC1010*1.01+0.001),"Net marine &gt; gross; ","")&amp;IF(AE1010=0,"No net area – gross used, overlaps may be double-counted; ","")&amp;IF(AH1010=0,"STATUS_YR missing – imputed in time series; ","")&amp;IF(AND(ISNUMBER($I1010),N($I1010)&gt;Setup!$B$6),"STATUS_YR after reporting year; ","")&amp;IF(OR($G1010="",$G1010="Not Reported"),"GOV_TYPE not reported; ","")&amp;IF(AND(N($J1010)=1,$K1010="Point",N($M1010)&lt;=0),"Coastal point without REP_M_AREA – land/sea split unknown; ","")&amp;IF(AND(N($J1010)=0,N($S1010)&gt;0),"MARINE=0 but net marine &gt;0; ","")&amp;IF(AND(N($J1010)=2,N($R1010)&gt;0),"MARINE=2 but net terrestrial &gt;0; ","")&amp;IF($K1010="Point","Buffered point – coverage approximate; ","")))</f>
        <v/>
      </c>
    </row>
    <row r="1011">
      <c r="A1011" s="19" t="n"/>
      <c r="B1011" s="19" t="n"/>
      <c r="C1011" s="19" t="n"/>
      <c r="D1011" s="19" t="n"/>
      <c r="E1011" s="19" t="n"/>
      <c r="F1011" s="19" t="n"/>
      <c r="G1011" s="19" t="n"/>
      <c r="H1011" s="19" t="n"/>
      <c r="I1011" s="19" t="n"/>
      <c r="J1011" s="19" t="n"/>
      <c r="K1011" s="19" t="n"/>
      <c r="L1011" s="20" t="n"/>
      <c r="M1011" s="20" t="n"/>
      <c r="N1011" s="20" t="n"/>
      <c r="O1011" s="20" t="n"/>
      <c r="P1011" s="19" t="n"/>
      <c r="Q1011" s="19" t="n"/>
      <c r="R1011" s="20" t="n"/>
      <c r="S1011" s="20" t="n"/>
      <c r="T1011" s="19" t="n"/>
      <c r="U1011" s="19" t="n"/>
      <c r="V1011" s="19" t="n"/>
      <c r="W1011" s="19" t="n"/>
      <c r="X1011" s="19" t="n"/>
      <c r="Y1011" s="19" t="n"/>
      <c r="Z1011" s="21">
        <f>IF(AND($A1011="",$B1011=""),"",IF(OR($E1011="",$H1011="",$H1011="Proposed",$H1011="Not Reported"),0,IF(AND($P1011="Y",$Q1011&lt;&gt;"Y"),0,IF(AND($K1011="Point",N($L1011)&lt;=0),0,IF(AND(N($L1011)&lt;=0,N($N1011)&lt;=0,N($R1011)+N($S1011)&lt;=0),0,1)))))</f>
        <v/>
      </c>
      <c r="AA1011" s="21">
        <f>IF(AND($A1011="",$B1011=""),"",IF($E1011="","Site type missing",IF($H1011="","STATUS missing",IF($H1011="Proposed","STATUS = Proposed",IF($H1011="Not Reported","STATUS = Not Reported",IF(AND($P1011="Y",$Q1011&lt;&gt;"Y"),"UNESCO-MAB Biosphere Reserve",IF(AND($K1011="Point",N($L1011)&lt;=0),"Point without REP_AREA",IF(AND(N($L1011)&lt;=0,N($N1011)&lt;=0,N($R1011)+N($S1011)&lt;=0),"No area information",""))))))))</f>
        <v/>
      </c>
      <c r="AB1011" s="22">
        <f>IF(AND($A1011="",$B1011=""),"",IF($K1011="Point",N($L1011),IF(N($N1011)&gt;0,N($N1011),N($L1011))))</f>
        <v/>
      </c>
      <c r="AC1011" s="22">
        <f>IF(AND($A1011="",$B1011=""),"",MIN(AB1011,IF(N($J1011)=0,0,IF(N($J1011)=2,AB1011,IF(AND($K1011&lt;&gt;"Point",N($O1011)&gt;0),N($O1011),N($M1011))))))</f>
        <v/>
      </c>
      <c r="AD1011" s="22">
        <f>IF(AND($A1011="",$B1011=""),"",MAX(0,AB1011-AC1011))</f>
        <v/>
      </c>
      <c r="AE1011" s="21">
        <f>IF(AND($A1011="",$B1011=""),"",IF(OR($R1011&lt;&gt;"",$S1011&lt;&gt;""),1,0))</f>
        <v/>
      </c>
      <c r="AF1011" s="22">
        <f>IF(AND($A1011="",$B1011=""),"",IF(Z1011=1,IF(AE1011=1,N($R1011),AD1011),0))</f>
        <v/>
      </c>
      <c r="AG1011" s="22">
        <f>IF(AND($A1011="",$B1011=""),"",IF(Z1011=1,IF(AE1011=1,N($S1011),AC1011),0))</f>
        <v/>
      </c>
      <c r="AH1011" s="21">
        <f>IF(AND($A1011="",$B1011=""),"",IF(AND(ISNUMBER($I1011),N($I1011)&gt;0),$I1011,0))</f>
        <v/>
      </c>
      <c r="AI1011" s="23">
        <f>IF(AND(NOT(AND($A1011="",$B1011="")),$K1011="Point",N($L1011)&gt;0),SQRT(N($L1011)/PI()),"")</f>
        <v/>
      </c>
      <c r="AJ1011" s="21">
        <f>IF(AND($A1011="",$B1011=""),"",IFERROR(VLOOKUP($G1011,Lists!$D$4:$E$15,2,FALSE),"Not reported"))</f>
        <v/>
      </c>
      <c r="AK1011" s="21">
        <f>IF(AND($A1011="",$B1011=""),"",IF($X1011&lt;&gt;"",$X1011,IF($T1011&lt;&gt;"Y","Not assessed",IF(AND(ISNUMBER($V1011),Setup!$B$6-$V1011&gt;Setup!$B$26),"Assessment outdated",IF(NOT(ISNUMBER($W1011)),"Assessed – no score",IF($W1011&gt;=Setup!$B$24,"High",IF($W1011&gt;=Setup!$B$25,"Moderate","Low")))))))</f>
        <v/>
      </c>
      <c r="AL1011" s="21">
        <f>IF(AND($A1011="",$B1011=""),"",IF(Z1011=0,"",IF(AND(AE1011=1,N($R1011)&gt;AD1011*1.01+0.001),"Net terrestrial &gt; gross; ","")&amp;IF(AND(AE1011=1,N($S1011)&gt;AC1011*1.01+0.001),"Net marine &gt; gross; ","")&amp;IF(AE1011=0,"No net area – gross used, overlaps may be double-counted; ","")&amp;IF(AH1011=0,"STATUS_YR missing – imputed in time series; ","")&amp;IF(AND(ISNUMBER($I1011),N($I1011)&gt;Setup!$B$6),"STATUS_YR after reporting year; ","")&amp;IF(OR($G1011="",$G1011="Not Reported"),"GOV_TYPE not reported; ","")&amp;IF(AND(N($J1011)=1,$K1011="Point",N($M1011)&lt;=0),"Coastal point without REP_M_AREA – land/sea split unknown; ","")&amp;IF(AND(N($J1011)=0,N($S1011)&gt;0),"MARINE=0 but net marine &gt;0; ","")&amp;IF(AND(N($J1011)=2,N($R1011)&gt;0),"MARINE=2 but net terrestrial &gt;0; ","")&amp;IF($K1011="Point","Buffered point – coverage approximate; ","")))</f>
        <v/>
      </c>
    </row>
    <row r="1012">
      <c r="A1012" s="19" t="n"/>
      <c r="B1012" s="19" t="n"/>
      <c r="C1012" s="19" t="n"/>
      <c r="D1012" s="19" t="n"/>
      <c r="E1012" s="19" t="n"/>
      <c r="F1012" s="19" t="n"/>
      <c r="G1012" s="19" t="n"/>
      <c r="H1012" s="19" t="n"/>
      <c r="I1012" s="19" t="n"/>
      <c r="J1012" s="19" t="n"/>
      <c r="K1012" s="19" t="n"/>
      <c r="L1012" s="20" t="n"/>
      <c r="M1012" s="20" t="n"/>
      <c r="N1012" s="20" t="n"/>
      <c r="O1012" s="20" t="n"/>
      <c r="P1012" s="19" t="n"/>
      <c r="Q1012" s="19" t="n"/>
      <c r="R1012" s="20" t="n"/>
      <c r="S1012" s="20" t="n"/>
      <c r="T1012" s="19" t="n"/>
      <c r="U1012" s="19" t="n"/>
      <c r="V1012" s="19" t="n"/>
      <c r="W1012" s="19" t="n"/>
      <c r="X1012" s="19" t="n"/>
      <c r="Y1012" s="19" t="n"/>
      <c r="Z1012" s="21">
        <f>IF(AND($A1012="",$B1012=""),"",IF(OR($E1012="",$H1012="",$H1012="Proposed",$H1012="Not Reported"),0,IF(AND($P1012="Y",$Q1012&lt;&gt;"Y"),0,IF(AND($K1012="Point",N($L1012)&lt;=0),0,IF(AND(N($L1012)&lt;=0,N($N1012)&lt;=0,N($R1012)+N($S1012)&lt;=0),0,1)))))</f>
        <v/>
      </c>
      <c r="AA1012" s="21">
        <f>IF(AND($A1012="",$B1012=""),"",IF($E1012="","Site type missing",IF($H1012="","STATUS missing",IF($H1012="Proposed","STATUS = Proposed",IF($H1012="Not Reported","STATUS = Not Reported",IF(AND($P1012="Y",$Q1012&lt;&gt;"Y"),"UNESCO-MAB Biosphere Reserve",IF(AND($K1012="Point",N($L1012)&lt;=0),"Point without REP_AREA",IF(AND(N($L1012)&lt;=0,N($N1012)&lt;=0,N($R1012)+N($S1012)&lt;=0),"No area information",""))))))))</f>
        <v/>
      </c>
      <c r="AB1012" s="22">
        <f>IF(AND($A1012="",$B1012=""),"",IF($K1012="Point",N($L1012),IF(N($N1012)&gt;0,N($N1012),N($L1012))))</f>
        <v/>
      </c>
      <c r="AC1012" s="22">
        <f>IF(AND($A1012="",$B1012=""),"",MIN(AB1012,IF(N($J1012)=0,0,IF(N($J1012)=2,AB1012,IF(AND($K1012&lt;&gt;"Point",N($O1012)&gt;0),N($O1012),N($M1012))))))</f>
        <v/>
      </c>
      <c r="AD1012" s="22">
        <f>IF(AND($A1012="",$B1012=""),"",MAX(0,AB1012-AC1012))</f>
        <v/>
      </c>
      <c r="AE1012" s="21">
        <f>IF(AND($A1012="",$B1012=""),"",IF(OR($R1012&lt;&gt;"",$S1012&lt;&gt;""),1,0))</f>
        <v/>
      </c>
      <c r="AF1012" s="22">
        <f>IF(AND($A1012="",$B1012=""),"",IF(Z1012=1,IF(AE1012=1,N($R1012),AD1012),0))</f>
        <v/>
      </c>
      <c r="AG1012" s="22">
        <f>IF(AND($A1012="",$B1012=""),"",IF(Z1012=1,IF(AE1012=1,N($S1012),AC1012),0))</f>
        <v/>
      </c>
      <c r="AH1012" s="21">
        <f>IF(AND($A1012="",$B1012=""),"",IF(AND(ISNUMBER($I1012),N($I1012)&gt;0),$I1012,0))</f>
        <v/>
      </c>
      <c r="AI1012" s="23">
        <f>IF(AND(NOT(AND($A1012="",$B1012="")),$K1012="Point",N($L1012)&gt;0),SQRT(N($L1012)/PI()),"")</f>
        <v/>
      </c>
      <c r="AJ1012" s="21">
        <f>IF(AND($A1012="",$B1012=""),"",IFERROR(VLOOKUP($G1012,Lists!$D$4:$E$15,2,FALSE),"Not reported"))</f>
        <v/>
      </c>
      <c r="AK1012" s="21">
        <f>IF(AND($A1012="",$B1012=""),"",IF($X1012&lt;&gt;"",$X1012,IF($T1012&lt;&gt;"Y","Not assessed",IF(AND(ISNUMBER($V1012),Setup!$B$6-$V1012&gt;Setup!$B$26),"Assessment outdated",IF(NOT(ISNUMBER($W1012)),"Assessed – no score",IF($W1012&gt;=Setup!$B$24,"High",IF($W1012&gt;=Setup!$B$25,"Moderate","Low")))))))</f>
        <v/>
      </c>
      <c r="AL1012" s="21">
        <f>IF(AND($A1012="",$B1012=""),"",IF(Z1012=0,"",IF(AND(AE1012=1,N($R1012)&gt;AD1012*1.01+0.001),"Net terrestrial &gt; gross; ","")&amp;IF(AND(AE1012=1,N($S1012)&gt;AC1012*1.01+0.001),"Net marine &gt; gross; ","")&amp;IF(AE1012=0,"No net area – gross used, overlaps may be double-counted; ","")&amp;IF(AH1012=0,"STATUS_YR missing – imputed in time series; ","")&amp;IF(AND(ISNUMBER($I1012),N($I1012)&gt;Setup!$B$6),"STATUS_YR after reporting year; ","")&amp;IF(OR($G1012="",$G1012="Not Reported"),"GOV_TYPE not reported; ","")&amp;IF(AND(N($J1012)=1,$K1012="Point",N($M1012)&lt;=0),"Coastal point without REP_M_AREA – land/sea split unknown; ","")&amp;IF(AND(N($J1012)=0,N($S1012)&gt;0),"MARINE=0 but net marine &gt;0; ","")&amp;IF(AND(N($J1012)=2,N($R1012)&gt;0),"MARINE=2 but net terrestrial &gt;0; ","")&amp;IF($K1012="Point","Buffered point – coverage approximate; ","")))</f>
        <v/>
      </c>
    </row>
    <row r="1013">
      <c r="A1013" s="19" t="n"/>
      <c r="B1013" s="19" t="n"/>
      <c r="C1013" s="19" t="n"/>
      <c r="D1013" s="19" t="n"/>
      <c r="E1013" s="19" t="n"/>
      <c r="F1013" s="19" t="n"/>
      <c r="G1013" s="19" t="n"/>
      <c r="H1013" s="19" t="n"/>
      <c r="I1013" s="19" t="n"/>
      <c r="J1013" s="19" t="n"/>
      <c r="K1013" s="19" t="n"/>
      <c r="L1013" s="20" t="n"/>
      <c r="M1013" s="20" t="n"/>
      <c r="N1013" s="20" t="n"/>
      <c r="O1013" s="20" t="n"/>
      <c r="P1013" s="19" t="n"/>
      <c r="Q1013" s="19" t="n"/>
      <c r="R1013" s="20" t="n"/>
      <c r="S1013" s="20" t="n"/>
      <c r="T1013" s="19" t="n"/>
      <c r="U1013" s="19" t="n"/>
      <c r="V1013" s="19" t="n"/>
      <c r="W1013" s="19" t="n"/>
      <c r="X1013" s="19" t="n"/>
      <c r="Y1013" s="19" t="n"/>
      <c r="Z1013" s="21">
        <f>IF(AND($A1013="",$B1013=""),"",IF(OR($E1013="",$H1013="",$H1013="Proposed",$H1013="Not Reported"),0,IF(AND($P1013="Y",$Q1013&lt;&gt;"Y"),0,IF(AND($K1013="Point",N($L1013)&lt;=0),0,IF(AND(N($L1013)&lt;=0,N($N1013)&lt;=0,N($R1013)+N($S1013)&lt;=0),0,1)))))</f>
        <v/>
      </c>
      <c r="AA1013" s="21">
        <f>IF(AND($A1013="",$B1013=""),"",IF($E1013="","Site type missing",IF($H1013="","STATUS missing",IF($H1013="Proposed","STATUS = Proposed",IF($H1013="Not Reported","STATUS = Not Reported",IF(AND($P1013="Y",$Q1013&lt;&gt;"Y"),"UNESCO-MAB Biosphere Reserve",IF(AND($K1013="Point",N($L1013)&lt;=0),"Point without REP_AREA",IF(AND(N($L1013)&lt;=0,N($N1013)&lt;=0,N($R1013)+N($S1013)&lt;=0),"No area information",""))))))))</f>
        <v/>
      </c>
      <c r="AB1013" s="22">
        <f>IF(AND($A1013="",$B1013=""),"",IF($K1013="Point",N($L1013),IF(N($N1013)&gt;0,N($N1013),N($L1013))))</f>
        <v/>
      </c>
      <c r="AC1013" s="22">
        <f>IF(AND($A1013="",$B1013=""),"",MIN(AB1013,IF(N($J1013)=0,0,IF(N($J1013)=2,AB1013,IF(AND($K1013&lt;&gt;"Point",N($O1013)&gt;0),N($O1013),N($M1013))))))</f>
        <v/>
      </c>
      <c r="AD1013" s="22">
        <f>IF(AND($A1013="",$B1013=""),"",MAX(0,AB1013-AC1013))</f>
        <v/>
      </c>
      <c r="AE1013" s="21">
        <f>IF(AND($A1013="",$B1013=""),"",IF(OR($R1013&lt;&gt;"",$S1013&lt;&gt;""),1,0))</f>
        <v/>
      </c>
      <c r="AF1013" s="22">
        <f>IF(AND($A1013="",$B1013=""),"",IF(Z1013=1,IF(AE1013=1,N($R1013),AD1013),0))</f>
        <v/>
      </c>
      <c r="AG1013" s="22">
        <f>IF(AND($A1013="",$B1013=""),"",IF(Z1013=1,IF(AE1013=1,N($S1013),AC1013),0))</f>
        <v/>
      </c>
      <c r="AH1013" s="21">
        <f>IF(AND($A1013="",$B1013=""),"",IF(AND(ISNUMBER($I1013),N($I1013)&gt;0),$I1013,0))</f>
        <v/>
      </c>
      <c r="AI1013" s="23">
        <f>IF(AND(NOT(AND($A1013="",$B1013="")),$K1013="Point",N($L1013)&gt;0),SQRT(N($L1013)/PI()),"")</f>
        <v/>
      </c>
      <c r="AJ1013" s="21">
        <f>IF(AND($A1013="",$B1013=""),"",IFERROR(VLOOKUP($G1013,Lists!$D$4:$E$15,2,FALSE),"Not reported"))</f>
        <v/>
      </c>
      <c r="AK1013" s="21">
        <f>IF(AND($A1013="",$B1013=""),"",IF($X1013&lt;&gt;"",$X1013,IF($T1013&lt;&gt;"Y","Not assessed",IF(AND(ISNUMBER($V1013),Setup!$B$6-$V1013&gt;Setup!$B$26),"Assessment outdated",IF(NOT(ISNUMBER($W1013)),"Assessed – no score",IF($W1013&gt;=Setup!$B$24,"High",IF($W1013&gt;=Setup!$B$25,"Moderate","Low")))))))</f>
        <v/>
      </c>
      <c r="AL1013" s="21">
        <f>IF(AND($A1013="",$B1013=""),"",IF(Z1013=0,"",IF(AND(AE1013=1,N($R1013)&gt;AD1013*1.01+0.001),"Net terrestrial &gt; gross; ","")&amp;IF(AND(AE1013=1,N($S1013)&gt;AC1013*1.01+0.001),"Net marine &gt; gross; ","")&amp;IF(AE1013=0,"No net area – gross used, overlaps may be double-counted; ","")&amp;IF(AH1013=0,"STATUS_YR missing – imputed in time series; ","")&amp;IF(AND(ISNUMBER($I1013),N($I1013)&gt;Setup!$B$6),"STATUS_YR after reporting year; ","")&amp;IF(OR($G1013="",$G1013="Not Reported"),"GOV_TYPE not reported; ","")&amp;IF(AND(N($J1013)=1,$K1013="Point",N($M1013)&lt;=0),"Coastal point without REP_M_AREA – land/sea split unknown; ","")&amp;IF(AND(N($J1013)=0,N($S1013)&gt;0),"MARINE=0 but net marine &gt;0; ","")&amp;IF(AND(N($J1013)=2,N($R1013)&gt;0),"MARINE=2 but net terrestrial &gt;0; ","")&amp;IF($K1013="Point","Buffered point – coverage approximate; ","")))</f>
        <v/>
      </c>
    </row>
    <row r="1014">
      <c r="A1014" s="19" t="n"/>
      <c r="B1014" s="19" t="n"/>
      <c r="C1014" s="19" t="n"/>
      <c r="D1014" s="19" t="n"/>
      <c r="E1014" s="19" t="n"/>
      <c r="F1014" s="19" t="n"/>
      <c r="G1014" s="19" t="n"/>
      <c r="H1014" s="19" t="n"/>
      <c r="I1014" s="19" t="n"/>
      <c r="J1014" s="19" t="n"/>
      <c r="K1014" s="19" t="n"/>
      <c r="L1014" s="20" t="n"/>
      <c r="M1014" s="20" t="n"/>
      <c r="N1014" s="20" t="n"/>
      <c r="O1014" s="20" t="n"/>
      <c r="P1014" s="19" t="n"/>
      <c r="Q1014" s="19" t="n"/>
      <c r="R1014" s="20" t="n"/>
      <c r="S1014" s="20" t="n"/>
      <c r="T1014" s="19" t="n"/>
      <c r="U1014" s="19" t="n"/>
      <c r="V1014" s="19" t="n"/>
      <c r="W1014" s="19" t="n"/>
      <c r="X1014" s="19" t="n"/>
      <c r="Y1014" s="19" t="n"/>
      <c r="Z1014" s="21">
        <f>IF(AND($A1014="",$B1014=""),"",IF(OR($E1014="",$H1014="",$H1014="Proposed",$H1014="Not Reported"),0,IF(AND($P1014="Y",$Q1014&lt;&gt;"Y"),0,IF(AND($K1014="Point",N($L1014)&lt;=0),0,IF(AND(N($L1014)&lt;=0,N($N1014)&lt;=0,N($R1014)+N($S1014)&lt;=0),0,1)))))</f>
        <v/>
      </c>
      <c r="AA1014" s="21">
        <f>IF(AND($A1014="",$B1014=""),"",IF($E1014="","Site type missing",IF($H1014="","STATUS missing",IF($H1014="Proposed","STATUS = Proposed",IF($H1014="Not Reported","STATUS = Not Reported",IF(AND($P1014="Y",$Q1014&lt;&gt;"Y"),"UNESCO-MAB Biosphere Reserve",IF(AND($K1014="Point",N($L1014)&lt;=0),"Point without REP_AREA",IF(AND(N($L1014)&lt;=0,N($N1014)&lt;=0,N($R1014)+N($S1014)&lt;=0),"No area information",""))))))))</f>
        <v/>
      </c>
      <c r="AB1014" s="22">
        <f>IF(AND($A1014="",$B1014=""),"",IF($K1014="Point",N($L1014),IF(N($N1014)&gt;0,N($N1014),N($L1014))))</f>
        <v/>
      </c>
      <c r="AC1014" s="22">
        <f>IF(AND($A1014="",$B1014=""),"",MIN(AB1014,IF(N($J1014)=0,0,IF(N($J1014)=2,AB1014,IF(AND($K1014&lt;&gt;"Point",N($O1014)&gt;0),N($O1014),N($M1014))))))</f>
        <v/>
      </c>
      <c r="AD1014" s="22">
        <f>IF(AND($A1014="",$B1014=""),"",MAX(0,AB1014-AC1014))</f>
        <v/>
      </c>
      <c r="AE1014" s="21">
        <f>IF(AND($A1014="",$B1014=""),"",IF(OR($R1014&lt;&gt;"",$S1014&lt;&gt;""),1,0))</f>
        <v/>
      </c>
      <c r="AF1014" s="22">
        <f>IF(AND($A1014="",$B1014=""),"",IF(Z1014=1,IF(AE1014=1,N($R1014),AD1014),0))</f>
        <v/>
      </c>
      <c r="AG1014" s="22">
        <f>IF(AND($A1014="",$B1014=""),"",IF(Z1014=1,IF(AE1014=1,N($S1014),AC1014),0))</f>
        <v/>
      </c>
      <c r="AH1014" s="21">
        <f>IF(AND($A1014="",$B1014=""),"",IF(AND(ISNUMBER($I1014),N($I1014)&gt;0),$I1014,0))</f>
        <v/>
      </c>
      <c r="AI1014" s="23">
        <f>IF(AND(NOT(AND($A1014="",$B1014="")),$K1014="Point",N($L1014)&gt;0),SQRT(N($L1014)/PI()),"")</f>
        <v/>
      </c>
      <c r="AJ1014" s="21">
        <f>IF(AND($A1014="",$B1014=""),"",IFERROR(VLOOKUP($G1014,Lists!$D$4:$E$15,2,FALSE),"Not reported"))</f>
        <v/>
      </c>
      <c r="AK1014" s="21">
        <f>IF(AND($A1014="",$B1014=""),"",IF($X1014&lt;&gt;"",$X1014,IF($T1014&lt;&gt;"Y","Not assessed",IF(AND(ISNUMBER($V1014),Setup!$B$6-$V1014&gt;Setup!$B$26),"Assessment outdated",IF(NOT(ISNUMBER($W1014)),"Assessed – no score",IF($W1014&gt;=Setup!$B$24,"High",IF($W1014&gt;=Setup!$B$25,"Moderate","Low")))))))</f>
        <v/>
      </c>
      <c r="AL1014" s="21">
        <f>IF(AND($A1014="",$B1014=""),"",IF(Z1014=0,"",IF(AND(AE1014=1,N($R1014)&gt;AD1014*1.01+0.001),"Net terrestrial &gt; gross; ","")&amp;IF(AND(AE1014=1,N($S1014)&gt;AC1014*1.01+0.001),"Net marine &gt; gross; ","")&amp;IF(AE1014=0,"No net area – gross used, overlaps may be double-counted; ","")&amp;IF(AH1014=0,"STATUS_YR missing – imputed in time series; ","")&amp;IF(AND(ISNUMBER($I1014),N($I1014)&gt;Setup!$B$6),"STATUS_YR after reporting year; ","")&amp;IF(OR($G1014="",$G1014="Not Reported"),"GOV_TYPE not reported; ","")&amp;IF(AND(N($J1014)=1,$K1014="Point",N($M1014)&lt;=0),"Coastal point without REP_M_AREA – land/sea split unknown; ","")&amp;IF(AND(N($J1014)=0,N($S1014)&gt;0),"MARINE=0 but net marine &gt;0; ","")&amp;IF(AND(N($J1014)=2,N($R1014)&gt;0),"MARINE=2 but net terrestrial &gt;0; ","")&amp;IF($K1014="Point","Buffered point – coverage approximate; ","")))</f>
        <v/>
      </c>
    </row>
    <row r="1015">
      <c r="A1015" s="19" t="n"/>
      <c r="B1015" s="19" t="n"/>
      <c r="C1015" s="19" t="n"/>
      <c r="D1015" s="19" t="n"/>
      <c r="E1015" s="19" t="n"/>
      <c r="F1015" s="19" t="n"/>
      <c r="G1015" s="19" t="n"/>
      <c r="H1015" s="19" t="n"/>
      <c r="I1015" s="19" t="n"/>
      <c r="J1015" s="19" t="n"/>
      <c r="K1015" s="19" t="n"/>
      <c r="L1015" s="20" t="n"/>
      <c r="M1015" s="20" t="n"/>
      <c r="N1015" s="20" t="n"/>
      <c r="O1015" s="20" t="n"/>
      <c r="P1015" s="19" t="n"/>
      <c r="Q1015" s="19" t="n"/>
      <c r="R1015" s="20" t="n"/>
      <c r="S1015" s="20" t="n"/>
      <c r="T1015" s="19" t="n"/>
      <c r="U1015" s="19" t="n"/>
      <c r="V1015" s="19" t="n"/>
      <c r="W1015" s="19" t="n"/>
      <c r="X1015" s="19" t="n"/>
      <c r="Y1015" s="19" t="n"/>
      <c r="Z1015" s="21">
        <f>IF(AND($A1015="",$B1015=""),"",IF(OR($E1015="",$H1015="",$H1015="Proposed",$H1015="Not Reported"),0,IF(AND($P1015="Y",$Q1015&lt;&gt;"Y"),0,IF(AND($K1015="Point",N($L1015)&lt;=0),0,IF(AND(N($L1015)&lt;=0,N($N1015)&lt;=0,N($R1015)+N($S1015)&lt;=0),0,1)))))</f>
        <v/>
      </c>
      <c r="AA1015" s="21">
        <f>IF(AND($A1015="",$B1015=""),"",IF($E1015="","Site type missing",IF($H1015="","STATUS missing",IF($H1015="Proposed","STATUS = Proposed",IF($H1015="Not Reported","STATUS = Not Reported",IF(AND($P1015="Y",$Q1015&lt;&gt;"Y"),"UNESCO-MAB Biosphere Reserve",IF(AND($K1015="Point",N($L1015)&lt;=0),"Point without REP_AREA",IF(AND(N($L1015)&lt;=0,N($N1015)&lt;=0,N($R1015)+N($S1015)&lt;=0),"No area information",""))))))))</f>
        <v/>
      </c>
      <c r="AB1015" s="22">
        <f>IF(AND($A1015="",$B1015=""),"",IF($K1015="Point",N($L1015),IF(N($N1015)&gt;0,N($N1015),N($L1015))))</f>
        <v/>
      </c>
      <c r="AC1015" s="22">
        <f>IF(AND($A1015="",$B1015=""),"",MIN(AB1015,IF(N($J1015)=0,0,IF(N($J1015)=2,AB1015,IF(AND($K1015&lt;&gt;"Point",N($O1015)&gt;0),N($O1015),N($M1015))))))</f>
        <v/>
      </c>
      <c r="AD1015" s="22">
        <f>IF(AND($A1015="",$B1015=""),"",MAX(0,AB1015-AC1015))</f>
        <v/>
      </c>
      <c r="AE1015" s="21">
        <f>IF(AND($A1015="",$B1015=""),"",IF(OR($R1015&lt;&gt;"",$S1015&lt;&gt;""),1,0))</f>
        <v/>
      </c>
      <c r="AF1015" s="22">
        <f>IF(AND($A1015="",$B1015=""),"",IF(Z1015=1,IF(AE1015=1,N($R1015),AD1015),0))</f>
        <v/>
      </c>
      <c r="AG1015" s="22">
        <f>IF(AND($A1015="",$B1015=""),"",IF(Z1015=1,IF(AE1015=1,N($S1015),AC1015),0))</f>
        <v/>
      </c>
      <c r="AH1015" s="21">
        <f>IF(AND($A1015="",$B1015=""),"",IF(AND(ISNUMBER($I1015),N($I1015)&gt;0),$I1015,0))</f>
        <v/>
      </c>
      <c r="AI1015" s="23">
        <f>IF(AND(NOT(AND($A1015="",$B1015="")),$K1015="Point",N($L1015)&gt;0),SQRT(N($L1015)/PI()),"")</f>
        <v/>
      </c>
      <c r="AJ1015" s="21">
        <f>IF(AND($A1015="",$B1015=""),"",IFERROR(VLOOKUP($G1015,Lists!$D$4:$E$15,2,FALSE),"Not reported"))</f>
        <v/>
      </c>
      <c r="AK1015" s="21">
        <f>IF(AND($A1015="",$B1015=""),"",IF($X1015&lt;&gt;"",$X1015,IF($T1015&lt;&gt;"Y","Not assessed",IF(AND(ISNUMBER($V1015),Setup!$B$6-$V1015&gt;Setup!$B$26),"Assessment outdated",IF(NOT(ISNUMBER($W1015)),"Assessed – no score",IF($W1015&gt;=Setup!$B$24,"High",IF($W1015&gt;=Setup!$B$25,"Moderate","Low")))))))</f>
        <v/>
      </c>
      <c r="AL1015" s="21">
        <f>IF(AND($A1015="",$B1015=""),"",IF(Z1015=0,"",IF(AND(AE1015=1,N($R1015)&gt;AD1015*1.01+0.001),"Net terrestrial &gt; gross; ","")&amp;IF(AND(AE1015=1,N($S1015)&gt;AC1015*1.01+0.001),"Net marine &gt; gross; ","")&amp;IF(AE1015=0,"No net area – gross used, overlaps may be double-counted; ","")&amp;IF(AH1015=0,"STATUS_YR missing – imputed in time series; ","")&amp;IF(AND(ISNUMBER($I1015),N($I1015)&gt;Setup!$B$6),"STATUS_YR after reporting year; ","")&amp;IF(OR($G1015="",$G1015="Not Reported"),"GOV_TYPE not reported; ","")&amp;IF(AND(N($J1015)=1,$K1015="Point",N($M1015)&lt;=0),"Coastal point without REP_M_AREA – land/sea split unknown; ","")&amp;IF(AND(N($J1015)=0,N($S1015)&gt;0),"MARINE=0 but net marine &gt;0; ","")&amp;IF(AND(N($J1015)=2,N($R1015)&gt;0),"MARINE=2 but net terrestrial &gt;0; ","")&amp;IF($K1015="Point","Buffered point – coverage approximate; ","")))</f>
        <v/>
      </c>
    </row>
    <row r="1016">
      <c r="A1016" s="19" t="n"/>
      <c r="B1016" s="19" t="n"/>
      <c r="C1016" s="19" t="n"/>
      <c r="D1016" s="19" t="n"/>
      <c r="E1016" s="19" t="n"/>
      <c r="F1016" s="19" t="n"/>
      <c r="G1016" s="19" t="n"/>
      <c r="H1016" s="19" t="n"/>
      <c r="I1016" s="19" t="n"/>
      <c r="J1016" s="19" t="n"/>
      <c r="K1016" s="19" t="n"/>
      <c r="L1016" s="20" t="n"/>
      <c r="M1016" s="20" t="n"/>
      <c r="N1016" s="20" t="n"/>
      <c r="O1016" s="20" t="n"/>
      <c r="P1016" s="19" t="n"/>
      <c r="Q1016" s="19" t="n"/>
      <c r="R1016" s="20" t="n"/>
      <c r="S1016" s="20" t="n"/>
      <c r="T1016" s="19" t="n"/>
      <c r="U1016" s="19" t="n"/>
      <c r="V1016" s="19" t="n"/>
      <c r="W1016" s="19" t="n"/>
      <c r="X1016" s="19" t="n"/>
      <c r="Y1016" s="19" t="n"/>
      <c r="Z1016" s="21">
        <f>IF(AND($A1016="",$B1016=""),"",IF(OR($E1016="",$H1016="",$H1016="Proposed",$H1016="Not Reported"),0,IF(AND($P1016="Y",$Q1016&lt;&gt;"Y"),0,IF(AND($K1016="Point",N($L1016)&lt;=0),0,IF(AND(N($L1016)&lt;=0,N($N1016)&lt;=0,N($R1016)+N($S1016)&lt;=0),0,1)))))</f>
        <v/>
      </c>
      <c r="AA1016" s="21">
        <f>IF(AND($A1016="",$B1016=""),"",IF($E1016="","Site type missing",IF($H1016="","STATUS missing",IF($H1016="Proposed","STATUS = Proposed",IF($H1016="Not Reported","STATUS = Not Reported",IF(AND($P1016="Y",$Q1016&lt;&gt;"Y"),"UNESCO-MAB Biosphere Reserve",IF(AND($K1016="Point",N($L1016)&lt;=0),"Point without REP_AREA",IF(AND(N($L1016)&lt;=0,N($N1016)&lt;=0,N($R1016)+N($S1016)&lt;=0),"No area information",""))))))))</f>
        <v/>
      </c>
      <c r="AB1016" s="22">
        <f>IF(AND($A1016="",$B1016=""),"",IF($K1016="Point",N($L1016),IF(N($N1016)&gt;0,N($N1016),N($L1016))))</f>
        <v/>
      </c>
      <c r="AC1016" s="22">
        <f>IF(AND($A1016="",$B1016=""),"",MIN(AB1016,IF(N($J1016)=0,0,IF(N($J1016)=2,AB1016,IF(AND($K1016&lt;&gt;"Point",N($O1016)&gt;0),N($O1016),N($M1016))))))</f>
        <v/>
      </c>
      <c r="AD1016" s="22">
        <f>IF(AND($A1016="",$B1016=""),"",MAX(0,AB1016-AC1016))</f>
        <v/>
      </c>
      <c r="AE1016" s="21">
        <f>IF(AND($A1016="",$B1016=""),"",IF(OR($R1016&lt;&gt;"",$S1016&lt;&gt;""),1,0))</f>
        <v/>
      </c>
      <c r="AF1016" s="22">
        <f>IF(AND($A1016="",$B1016=""),"",IF(Z1016=1,IF(AE1016=1,N($R1016),AD1016),0))</f>
        <v/>
      </c>
      <c r="AG1016" s="22">
        <f>IF(AND($A1016="",$B1016=""),"",IF(Z1016=1,IF(AE1016=1,N($S1016),AC1016),0))</f>
        <v/>
      </c>
      <c r="AH1016" s="21">
        <f>IF(AND($A1016="",$B1016=""),"",IF(AND(ISNUMBER($I1016),N($I1016)&gt;0),$I1016,0))</f>
        <v/>
      </c>
      <c r="AI1016" s="23">
        <f>IF(AND(NOT(AND($A1016="",$B1016="")),$K1016="Point",N($L1016)&gt;0),SQRT(N($L1016)/PI()),"")</f>
        <v/>
      </c>
      <c r="AJ1016" s="21">
        <f>IF(AND($A1016="",$B1016=""),"",IFERROR(VLOOKUP($G1016,Lists!$D$4:$E$15,2,FALSE),"Not reported"))</f>
        <v/>
      </c>
      <c r="AK1016" s="21">
        <f>IF(AND($A1016="",$B1016=""),"",IF($X1016&lt;&gt;"",$X1016,IF($T1016&lt;&gt;"Y","Not assessed",IF(AND(ISNUMBER($V1016),Setup!$B$6-$V1016&gt;Setup!$B$26),"Assessment outdated",IF(NOT(ISNUMBER($W1016)),"Assessed – no score",IF($W1016&gt;=Setup!$B$24,"High",IF($W1016&gt;=Setup!$B$25,"Moderate","Low")))))))</f>
        <v/>
      </c>
      <c r="AL1016" s="21">
        <f>IF(AND($A1016="",$B1016=""),"",IF(Z1016=0,"",IF(AND(AE1016=1,N($R1016)&gt;AD1016*1.01+0.001),"Net terrestrial &gt; gross; ","")&amp;IF(AND(AE1016=1,N($S1016)&gt;AC1016*1.01+0.001),"Net marine &gt; gross; ","")&amp;IF(AE1016=0,"No net area – gross used, overlaps may be double-counted; ","")&amp;IF(AH1016=0,"STATUS_YR missing – imputed in time series; ","")&amp;IF(AND(ISNUMBER($I1016),N($I1016)&gt;Setup!$B$6),"STATUS_YR after reporting year; ","")&amp;IF(OR($G1016="",$G1016="Not Reported"),"GOV_TYPE not reported; ","")&amp;IF(AND(N($J1016)=1,$K1016="Point",N($M1016)&lt;=0),"Coastal point without REP_M_AREA – land/sea split unknown; ","")&amp;IF(AND(N($J1016)=0,N($S1016)&gt;0),"MARINE=0 but net marine &gt;0; ","")&amp;IF(AND(N($J1016)=2,N($R1016)&gt;0),"MARINE=2 but net terrestrial &gt;0; ","")&amp;IF($K1016="Point","Buffered point – coverage approximate; ","")))</f>
        <v/>
      </c>
    </row>
    <row r="1017">
      <c r="A1017" s="19" t="n"/>
      <c r="B1017" s="19" t="n"/>
      <c r="C1017" s="19" t="n"/>
      <c r="D1017" s="19" t="n"/>
      <c r="E1017" s="19" t="n"/>
      <c r="F1017" s="19" t="n"/>
      <c r="G1017" s="19" t="n"/>
      <c r="H1017" s="19" t="n"/>
      <c r="I1017" s="19" t="n"/>
      <c r="J1017" s="19" t="n"/>
      <c r="K1017" s="19" t="n"/>
      <c r="L1017" s="20" t="n"/>
      <c r="M1017" s="20" t="n"/>
      <c r="N1017" s="20" t="n"/>
      <c r="O1017" s="20" t="n"/>
      <c r="P1017" s="19" t="n"/>
      <c r="Q1017" s="19" t="n"/>
      <c r="R1017" s="20" t="n"/>
      <c r="S1017" s="20" t="n"/>
      <c r="T1017" s="19" t="n"/>
      <c r="U1017" s="19" t="n"/>
      <c r="V1017" s="19" t="n"/>
      <c r="W1017" s="19" t="n"/>
      <c r="X1017" s="19" t="n"/>
      <c r="Y1017" s="19" t="n"/>
      <c r="Z1017" s="21">
        <f>IF(AND($A1017="",$B1017=""),"",IF(OR($E1017="",$H1017="",$H1017="Proposed",$H1017="Not Reported"),0,IF(AND($P1017="Y",$Q1017&lt;&gt;"Y"),0,IF(AND($K1017="Point",N($L1017)&lt;=0),0,IF(AND(N($L1017)&lt;=0,N($N1017)&lt;=0,N($R1017)+N($S1017)&lt;=0),0,1)))))</f>
        <v/>
      </c>
      <c r="AA1017" s="21">
        <f>IF(AND($A1017="",$B1017=""),"",IF($E1017="","Site type missing",IF($H1017="","STATUS missing",IF($H1017="Proposed","STATUS = Proposed",IF($H1017="Not Reported","STATUS = Not Reported",IF(AND($P1017="Y",$Q1017&lt;&gt;"Y"),"UNESCO-MAB Biosphere Reserve",IF(AND($K1017="Point",N($L1017)&lt;=0),"Point without REP_AREA",IF(AND(N($L1017)&lt;=0,N($N1017)&lt;=0,N($R1017)+N($S1017)&lt;=0),"No area information",""))))))))</f>
        <v/>
      </c>
      <c r="AB1017" s="22">
        <f>IF(AND($A1017="",$B1017=""),"",IF($K1017="Point",N($L1017),IF(N($N1017)&gt;0,N($N1017),N($L1017))))</f>
        <v/>
      </c>
      <c r="AC1017" s="22">
        <f>IF(AND($A1017="",$B1017=""),"",MIN(AB1017,IF(N($J1017)=0,0,IF(N($J1017)=2,AB1017,IF(AND($K1017&lt;&gt;"Point",N($O1017)&gt;0),N($O1017),N($M1017))))))</f>
        <v/>
      </c>
      <c r="AD1017" s="22">
        <f>IF(AND($A1017="",$B1017=""),"",MAX(0,AB1017-AC1017))</f>
        <v/>
      </c>
      <c r="AE1017" s="21">
        <f>IF(AND($A1017="",$B1017=""),"",IF(OR($R1017&lt;&gt;"",$S1017&lt;&gt;""),1,0))</f>
        <v/>
      </c>
      <c r="AF1017" s="22">
        <f>IF(AND($A1017="",$B1017=""),"",IF(Z1017=1,IF(AE1017=1,N($R1017),AD1017),0))</f>
        <v/>
      </c>
      <c r="AG1017" s="22">
        <f>IF(AND($A1017="",$B1017=""),"",IF(Z1017=1,IF(AE1017=1,N($S1017),AC1017),0))</f>
        <v/>
      </c>
      <c r="AH1017" s="21">
        <f>IF(AND($A1017="",$B1017=""),"",IF(AND(ISNUMBER($I1017),N($I1017)&gt;0),$I1017,0))</f>
        <v/>
      </c>
      <c r="AI1017" s="23">
        <f>IF(AND(NOT(AND($A1017="",$B1017="")),$K1017="Point",N($L1017)&gt;0),SQRT(N($L1017)/PI()),"")</f>
        <v/>
      </c>
      <c r="AJ1017" s="21">
        <f>IF(AND($A1017="",$B1017=""),"",IFERROR(VLOOKUP($G1017,Lists!$D$4:$E$15,2,FALSE),"Not reported"))</f>
        <v/>
      </c>
      <c r="AK1017" s="21">
        <f>IF(AND($A1017="",$B1017=""),"",IF($X1017&lt;&gt;"",$X1017,IF($T1017&lt;&gt;"Y","Not assessed",IF(AND(ISNUMBER($V1017),Setup!$B$6-$V1017&gt;Setup!$B$26),"Assessment outdated",IF(NOT(ISNUMBER($W1017)),"Assessed – no score",IF($W1017&gt;=Setup!$B$24,"High",IF($W1017&gt;=Setup!$B$25,"Moderate","Low")))))))</f>
        <v/>
      </c>
      <c r="AL1017" s="21">
        <f>IF(AND($A1017="",$B1017=""),"",IF(Z1017=0,"",IF(AND(AE1017=1,N($R1017)&gt;AD1017*1.01+0.001),"Net terrestrial &gt; gross; ","")&amp;IF(AND(AE1017=1,N($S1017)&gt;AC1017*1.01+0.001),"Net marine &gt; gross; ","")&amp;IF(AE1017=0,"No net area – gross used, overlaps may be double-counted; ","")&amp;IF(AH1017=0,"STATUS_YR missing – imputed in time series; ","")&amp;IF(AND(ISNUMBER($I1017),N($I1017)&gt;Setup!$B$6),"STATUS_YR after reporting year; ","")&amp;IF(OR($G1017="",$G1017="Not Reported"),"GOV_TYPE not reported; ","")&amp;IF(AND(N($J1017)=1,$K1017="Point",N($M1017)&lt;=0),"Coastal point without REP_M_AREA – land/sea split unknown; ","")&amp;IF(AND(N($J1017)=0,N($S1017)&gt;0),"MARINE=0 but net marine &gt;0; ","")&amp;IF(AND(N($J1017)=2,N($R1017)&gt;0),"MARINE=2 but net terrestrial &gt;0; ","")&amp;IF($K1017="Point","Buffered point – coverage approximate; ","")))</f>
        <v/>
      </c>
    </row>
    <row r="1018">
      <c r="A1018" s="19" t="n"/>
      <c r="B1018" s="19" t="n"/>
      <c r="C1018" s="19" t="n"/>
      <c r="D1018" s="19" t="n"/>
      <c r="E1018" s="19" t="n"/>
      <c r="F1018" s="19" t="n"/>
      <c r="G1018" s="19" t="n"/>
      <c r="H1018" s="19" t="n"/>
      <c r="I1018" s="19" t="n"/>
      <c r="J1018" s="19" t="n"/>
      <c r="K1018" s="19" t="n"/>
      <c r="L1018" s="20" t="n"/>
      <c r="M1018" s="20" t="n"/>
      <c r="N1018" s="20" t="n"/>
      <c r="O1018" s="20" t="n"/>
      <c r="P1018" s="19" t="n"/>
      <c r="Q1018" s="19" t="n"/>
      <c r="R1018" s="20" t="n"/>
      <c r="S1018" s="20" t="n"/>
      <c r="T1018" s="19" t="n"/>
      <c r="U1018" s="19" t="n"/>
      <c r="V1018" s="19" t="n"/>
      <c r="W1018" s="19" t="n"/>
      <c r="X1018" s="19" t="n"/>
      <c r="Y1018" s="19" t="n"/>
      <c r="Z1018" s="21">
        <f>IF(AND($A1018="",$B1018=""),"",IF(OR($E1018="",$H1018="",$H1018="Proposed",$H1018="Not Reported"),0,IF(AND($P1018="Y",$Q1018&lt;&gt;"Y"),0,IF(AND($K1018="Point",N($L1018)&lt;=0),0,IF(AND(N($L1018)&lt;=0,N($N1018)&lt;=0,N($R1018)+N($S1018)&lt;=0),0,1)))))</f>
        <v/>
      </c>
      <c r="AA1018" s="21">
        <f>IF(AND($A1018="",$B1018=""),"",IF($E1018="","Site type missing",IF($H1018="","STATUS missing",IF($H1018="Proposed","STATUS = Proposed",IF($H1018="Not Reported","STATUS = Not Reported",IF(AND($P1018="Y",$Q1018&lt;&gt;"Y"),"UNESCO-MAB Biosphere Reserve",IF(AND($K1018="Point",N($L1018)&lt;=0),"Point without REP_AREA",IF(AND(N($L1018)&lt;=0,N($N1018)&lt;=0,N($R1018)+N($S1018)&lt;=0),"No area information",""))))))))</f>
        <v/>
      </c>
      <c r="AB1018" s="22">
        <f>IF(AND($A1018="",$B1018=""),"",IF($K1018="Point",N($L1018),IF(N($N1018)&gt;0,N($N1018),N($L1018))))</f>
        <v/>
      </c>
      <c r="AC1018" s="22">
        <f>IF(AND($A1018="",$B1018=""),"",MIN(AB1018,IF(N($J1018)=0,0,IF(N($J1018)=2,AB1018,IF(AND($K1018&lt;&gt;"Point",N($O1018)&gt;0),N($O1018),N($M1018))))))</f>
        <v/>
      </c>
      <c r="AD1018" s="22">
        <f>IF(AND($A1018="",$B1018=""),"",MAX(0,AB1018-AC1018))</f>
        <v/>
      </c>
      <c r="AE1018" s="21">
        <f>IF(AND($A1018="",$B1018=""),"",IF(OR($R1018&lt;&gt;"",$S1018&lt;&gt;""),1,0))</f>
        <v/>
      </c>
      <c r="AF1018" s="22">
        <f>IF(AND($A1018="",$B1018=""),"",IF(Z1018=1,IF(AE1018=1,N($R1018),AD1018),0))</f>
        <v/>
      </c>
      <c r="AG1018" s="22">
        <f>IF(AND($A1018="",$B1018=""),"",IF(Z1018=1,IF(AE1018=1,N($S1018),AC1018),0))</f>
        <v/>
      </c>
      <c r="AH1018" s="21">
        <f>IF(AND($A1018="",$B1018=""),"",IF(AND(ISNUMBER($I1018),N($I1018)&gt;0),$I1018,0))</f>
        <v/>
      </c>
      <c r="AI1018" s="23">
        <f>IF(AND(NOT(AND($A1018="",$B1018="")),$K1018="Point",N($L1018)&gt;0),SQRT(N($L1018)/PI()),"")</f>
        <v/>
      </c>
      <c r="AJ1018" s="21">
        <f>IF(AND($A1018="",$B1018=""),"",IFERROR(VLOOKUP($G1018,Lists!$D$4:$E$15,2,FALSE),"Not reported"))</f>
        <v/>
      </c>
      <c r="AK1018" s="21">
        <f>IF(AND($A1018="",$B1018=""),"",IF($X1018&lt;&gt;"",$X1018,IF($T1018&lt;&gt;"Y","Not assessed",IF(AND(ISNUMBER($V1018),Setup!$B$6-$V1018&gt;Setup!$B$26),"Assessment outdated",IF(NOT(ISNUMBER($W1018)),"Assessed – no score",IF($W1018&gt;=Setup!$B$24,"High",IF($W1018&gt;=Setup!$B$25,"Moderate","Low")))))))</f>
        <v/>
      </c>
      <c r="AL1018" s="21">
        <f>IF(AND($A1018="",$B1018=""),"",IF(Z1018=0,"",IF(AND(AE1018=1,N($R1018)&gt;AD1018*1.01+0.001),"Net terrestrial &gt; gross; ","")&amp;IF(AND(AE1018=1,N($S1018)&gt;AC1018*1.01+0.001),"Net marine &gt; gross; ","")&amp;IF(AE1018=0,"No net area – gross used, overlaps may be double-counted; ","")&amp;IF(AH1018=0,"STATUS_YR missing – imputed in time series; ","")&amp;IF(AND(ISNUMBER($I1018),N($I1018)&gt;Setup!$B$6),"STATUS_YR after reporting year; ","")&amp;IF(OR($G1018="",$G1018="Not Reported"),"GOV_TYPE not reported; ","")&amp;IF(AND(N($J1018)=1,$K1018="Point",N($M1018)&lt;=0),"Coastal point without REP_M_AREA – land/sea split unknown; ","")&amp;IF(AND(N($J1018)=0,N($S1018)&gt;0),"MARINE=0 but net marine &gt;0; ","")&amp;IF(AND(N($J1018)=2,N($R1018)&gt;0),"MARINE=2 but net terrestrial &gt;0; ","")&amp;IF($K1018="Point","Buffered point – coverage approximate; ","")))</f>
        <v/>
      </c>
    </row>
    <row r="1019">
      <c r="A1019" s="19" t="n"/>
      <c r="B1019" s="19" t="n"/>
      <c r="C1019" s="19" t="n"/>
      <c r="D1019" s="19" t="n"/>
      <c r="E1019" s="19" t="n"/>
      <c r="F1019" s="19" t="n"/>
      <c r="G1019" s="19" t="n"/>
      <c r="H1019" s="19" t="n"/>
      <c r="I1019" s="19" t="n"/>
      <c r="J1019" s="19" t="n"/>
      <c r="K1019" s="19" t="n"/>
      <c r="L1019" s="20" t="n"/>
      <c r="M1019" s="20" t="n"/>
      <c r="N1019" s="20" t="n"/>
      <c r="O1019" s="20" t="n"/>
      <c r="P1019" s="19" t="n"/>
      <c r="Q1019" s="19" t="n"/>
      <c r="R1019" s="20" t="n"/>
      <c r="S1019" s="20" t="n"/>
      <c r="T1019" s="19" t="n"/>
      <c r="U1019" s="19" t="n"/>
      <c r="V1019" s="19" t="n"/>
      <c r="W1019" s="19" t="n"/>
      <c r="X1019" s="19" t="n"/>
      <c r="Y1019" s="19" t="n"/>
      <c r="Z1019" s="21">
        <f>IF(AND($A1019="",$B1019=""),"",IF(OR($E1019="",$H1019="",$H1019="Proposed",$H1019="Not Reported"),0,IF(AND($P1019="Y",$Q1019&lt;&gt;"Y"),0,IF(AND($K1019="Point",N($L1019)&lt;=0),0,IF(AND(N($L1019)&lt;=0,N($N1019)&lt;=0,N($R1019)+N($S1019)&lt;=0),0,1)))))</f>
        <v/>
      </c>
      <c r="AA1019" s="21">
        <f>IF(AND($A1019="",$B1019=""),"",IF($E1019="","Site type missing",IF($H1019="","STATUS missing",IF($H1019="Proposed","STATUS = Proposed",IF($H1019="Not Reported","STATUS = Not Reported",IF(AND($P1019="Y",$Q1019&lt;&gt;"Y"),"UNESCO-MAB Biosphere Reserve",IF(AND($K1019="Point",N($L1019)&lt;=0),"Point without REP_AREA",IF(AND(N($L1019)&lt;=0,N($N1019)&lt;=0,N($R1019)+N($S1019)&lt;=0),"No area information",""))))))))</f>
        <v/>
      </c>
      <c r="AB1019" s="22">
        <f>IF(AND($A1019="",$B1019=""),"",IF($K1019="Point",N($L1019),IF(N($N1019)&gt;0,N($N1019),N($L1019))))</f>
        <v/>
      </c>
      <c r="AC1019" s="22">
        <f>IF(AND($A1019="",$B1019=""),"",MIN(AB1019,IF(N($J1019)=0,0,IF(N($J1019)=2,AB1019,IF(AND($K1019&lt;&gt;"Point",N($O1019)&gt;0),N($O1019),N($M1019))))))</f>
        <v/>
      </c>
      <c r="AD1019" s="22">
        <f>IF(AND($A1019="",$B1019=""),"",MAX(0,AB1019-AC1019))</f>
        <v/>
      </c>
      <c r="AE1019" s="21">
        <f>IF(AND($A1019="",$B1019=""),"",IF(OR($R1019&lt;&gt;"",$S1019&lt;&gt;""),1,0))</f>
        <v/>
      </c>
      <c r="AF1019" s="22">
        <f>IF(AND($A1019="",$B1019=""),"",IF(Z1019=1,IF(AE1019=1,N($R1019),AD1019),0))</f>
        <v/>
      </c>
      <c r="AG1019" s="22">
        <f>IF(AND($A1019="",$B1019=""),"",IF(Z1019=1,IF(AE1019=1,N($S1019),AC1019),0))</f>
        <v/>
      </c>
      <c r="AH1019" s="21">
        <f>IF(AND($A1019="",$B1019=""),"",IF(AND(ISNUMBER($I1019),N($I1019)&gt;0),$I1019,0))</f>
        <v/>
      </c>
      <c r="AI1019" s="23">
        <f>IF(AND(NOT(AND($A1019="",$B1019="")),$K1019="Point",N($L1019)&gt;0),SQRT(N($L1019)/PI()),"")</f>
        <v/>
      </c>
      <c r="AJ1019" s="21">
        <f>IF(AND($A1019="",$B1019=""),"",IFERROR(VLOOKUP($G1019,Lists!$D$4:$E$15,2,FALSE),"Not reported"))</f>
        <v/>
      </c>
      <c r="AK1019" s="21">
        <f>IF(AND($A1019="",$B1019=""),"",IF($X1019&lt;&gt;"",$X1019,IF($T1019&lt;&gt;"Y","Not assessed",IF(AND(ISNUMBER($V1019),Setup!$B$6-$V1019&gt;Setup!$B$26),"Assessment outdated",IF(NOT(ISNUMBER($W1019)),"Assessed – no score",IF($W1019&gt;=Setup!$B$24,"High",IF($W1019&gt;=Setup!$B$25,"Moderate","Low")))))))</f>
        <v/>
      </c>
      <c r="AL1019" s="21">
        <f>IF(AND($A1019="",$B1019=""),"",IF(Z1019=0,"",IF(AND(AE1019=1,N($R1019)&gt;AD1019*1.01+0.001),"Net terrestrial &gt; gross; ","")&amp;IF(AND(AE1019=1,N($S1019)&gt;AC1019*1.01+0.001),"Net marine &gt; gross; ","")&amp;IF(AE1019=0,"No net area – gross used, overlaps may be double-counted; ","")&amp;IF(AH1019=0,"STATUS_YR missing – imputed in time series; ","")&amp;IF(AND(ISNUMBER($I1019),N($I1019)&gt;Setup!$B$6),"STATUS_YR after reporting year; ","")&amp;IF(OR($G1019="",$G1019="Not Reported"),"GOV_TYPE not reported; ","")&amp;IF(AND(N($J1019)=1,$K1019="Point",N($M1019)&lt;=0),"Coastal point without REP_M_AREA – land/sea split unknown; ","")&amp;IF(AND(N($J1019)=0,N($S1019)&gt;0),"MARINE=0 but net marine &gt;0; ","")&amp;IF(AND(N($J1019)=2,N($R1019)&gt;0),"MARINE=2 but net terrestrial &gt;0; ","")&amp;IF($K1019="Point","Buffered point – coverage approximate; ","")))</f>
        <v/>
      </c>
    </row>
    <row r="1020">
      <c r="A1020" s="19" t="n"/>
      <c r="B1020" s="19" t="n"/>
      <c r="C1020" s="19" t="n"/>
      <c r="D1020" s="19" t="n"/>
      <c r="E1020" s="19" t="n"/>
      <c r="F1020" s="19" t="n"/>
      <c r="G1020" s="19" t="n"/>
      <c r="H1020" s="19" t="n"/>
      <c r="I1020" s="19" t="n"/>
      <c r="J1020" s="19" t="n"/>
      <c r="K1020" s="19" t="n"/>
      <c r="L1020" s="20" t="n"/>
      <c r="M1020" s="20" t="n"/>
      <c r="N1020" s="20" t="n"/>
      <c r="O1020" s="20" t="n"/>
      <c r="P1020" s="19" t="n"/>
      <c r="Q1020" s="19" t="n"/>
      <c r="R1020" s="20" t="n"/>
      <c r="S1020" s="20" t="n"/>
      <c r="T1020" s="19" t="n"/>
      <c r="U1020" s="19" t="n"/>
      <c r="V1020" s="19" t="n"/>
      <c r="W1020" s="19" t="n"/>
      <c r="X1020" s="19" t="n"/>
      <c r="Y1020" s="19" t="n"/>
      <c r="Z1020" s="21">
        <f>IF(AND($A1020="",$B1020=""),"",IF(OR($E1020="",$H1020="",$H1020="Proposed",$H1020="Not Reported"),0,IF(AND($P1020="Y",$Q1020&lt;&gt;"Y"),0,IF(AND($K1020="Point",N($L1020)&lt;=0),0,IF(AND(N($L1020)&lt;=0,N($N1020)&lt;=0,N($R1020)+N($S1020)&lt;=0),0,1)))))</f>
        <v/>
      </c>
      <c r="AA1020" s="21">
        <f>IF(AND($A1020="",$B1020=""),"",IF($E1020="","Site type missing",IF($H1020="","STATUS missing",IF($H1020="Proposed","STATUS = Proposed",IF($H1020="Not Reported","STATUS = Not Reported",IF(AND($P1020="Y",$Q1020&lt;&gt;"Y"),"UNESCO-MAB Biosphere Reserve",IF(AND($K1020="Point",N($L1020)&lt;=0),"Point without REP_AREA",IF(AND(N($L1020)&lt;=0,N($N1020)&lt;=0,N($R1020)+N($S1020)&lt;=0),"No area information",""))))))))</f>
        <v/>
      </c>
      <c r="AB1020" s="22">
        <f>IF(AND($A1020="",$B1020=""),"",IF($K1020="Point",N($L1020),IF(N($N1020)&gt;0,N($N1020),N($L1020))))</f>
        <v/>
      </c>
      <c r="AC1020" s="22">
        <f>IF(AND($A1020="",$B1020=""),"",MIN(AB1020,IF(N($J1020)=0,0,IF(N($J1020)=2,AB1020,IF(AND($K1020&lt;&gt;"Point",N($O1020)&gt;0),N($O1020),N($M1020))))))</f>
        <v/>
      </c>
      <c r="AD1020" s="22">
        <f>IF(AND($A1020="",$B1020=""),"",MAX(0,AB1020-AC1020))</f>
        <v/>
      </c>
      <c r="AE1020" s="21">
        <f>IF(AND($A1020="",$B1020=""),"",IF(OR($R1020&lt;&gt;"",$S1020&lt;&gt;""),1,0))</f>
        <v/>
      </c>
      <c r="AF1020" s="22">
        <f>IF(AND($A1020="",$B1020=""),"",IF(Z1020=1,IF(AE1020=1,N($R1020),AD1020),0))</f>
        <v/>
      </c>
      <c r="AG1020" s="22">
        <f>IF(AND($A1020="",$B1020=""),"",IF(Z1020=1,IF(AE1020=1,N($S1020),AC1020),0))</f>
        <v/>
      </c>
      <c r="AH1020" s="21">
        <f>IF(AND($A1020="",$B1020=""),"",IF(AND(ISNUMBER($I1020),N($I1020)&gt;0),$I1020,0))</f>
        <v/>
      </c>
      <c r="AI1020" s="23">
        <f>IF(AND(NOT(AND($A1020="",$B1020="")),$K1020="Point",N($L1020)&gt;0),SQRT(N($L1020)/PI()),"")</f>
        <v/>
      </c>
      <c r="AJ1020" s="21">
        <f>IF(AND($A1020="",$B1020=""),"",IFERROR(VLOOKUP($G1020,Lists!$D$4:$E$15,2,FALSE),"Not reported"))</f>
        <v/>
      </c>
      <c r="AK1020" s="21">
        <f>IF(AND($A1020="",$B1020=""),"",IF($X1020&lt;&gt;"",$X1020,IF($T1020&lt;&gt;"Y","Not assessed",IF(AND(ISNUMBER($V1020),Setup!$B$6-$V1020&gt;Setup!$B$26),"Assessment outdated",IF(NOT(ISNUMBER($W1020)),"Assessed – no score",IF($W1020&gt;=Setup!$B$24,"High",IF($W1020&gt;=Setup!$B$25,"Moderate","Low")))))))</f>
        <v/>
      </c>
      <c r="AL1020" s="21">
        <f>IF(AND($A1020="",$B1020=""),"",IF(Z1020=0,"",IF(AND(AE1020=1,N($R1020)&gt;AD1020*1.01+0.001),"Net terrestrial &gt; gross; ","")&amp;IF(AND(AE1020=1,N($S1020)&gt;AC1020*1.01+0.001),"Net marine &gt; gross; ","")&amp;IF(AE1020=0,"No net area – gross used, overlaps may be double-counted; ","")&amp;IF(AH1020=0,"STATUS_YR missing – imputed in time series; ","")&amp;IF(AND(ISNUMBER($I1020),N($I1020)&gt;Setup!$B$6),"STATUS_YR after reporting year; ","")&amp;IF(OR($G1020="",$G1020="Not Reported"),"GOV_TYPE not reported; ","")&amp;IF(AND(N($J1020)=1,$K1020="Point",N($M1020)&lt;=0),"Coastal point without REP_M_AREA – land/sea split unknown; ","")&amp;IF(AND(N($J1020)=0,N($S1020)&gt;0),"MARINE=0 but net marine &gt;0; ","")&amp;IF(AND(N($J1020)=2,N($R1020)&gt;0),"MARINE=2 but net terrestrial &gt;0; ","")&amp;IF($K1020="Point","Buffered point – coverage approximate; ","")))</f>
        <v/>
      </c>
    </row>
    <row r="1021">
      <c r="A1021" s="19" t="n"/>
      <c r="B1021" s="19" t="n"/>
      <c r="C1021" s="19" t="n"/>
      <c r="D1021" s="19" t="n"/>
      <c r="E1021" s="19" t="n"/>
      <c r="F1021" s="19" t="n"/>
      <c r="G1021" s="19" t="n"/>
      <c r="H1021" s="19" t="n"/>
      <c r="I1021" s="19" t="n"/>
      <c r="J1021" s="19" t="n"/>
      <c r="K1021" s="19" t="n"/>
      <c r="L1021" s="20" t="n"/>
      <c r="M1021" s="20" t="n"/>
      <c r="N1021" s="20" t="n"/>
      <c r="O1021" s="20" t="n"/>
      <c r="P1021" s="19" t="n"/>
      <c r="Q1021" s="19" t="n"/>
      <c r="R1021" s="20" t="n"/>
      <c r="S1021" s="20" t="n"/>
      <c r="T1021" s="19" t="n"/>
      <c r="U1021" s="19" t="n"/>
      <c r="V1021" s="19" t="n"/>
      <c r="W1021" s="19" t="n"/>
      <c r="X1021" s="19" t="n"/>
      <c r="Y1021" s="19" t="n"/>
      <c r="Z1021" s="21">
        <f>IF(AND($A1021="",$B1021=""),"",IF(OR($E1021="",$H1021="",$H1021="Proposed",$H1021="Not Reported"),0,IF(AND($P1021="Y",$Q1021&lt;&gt;"Y"),0,IF(AND($K1021="Point",N($L1021)&lt;=0),0,IF(AND(N($L1021)&lt;=0,N($N1021)&lt;=0,N($R1021)+N($S1021)&lt;=0),0,1)))))</f>
        <v/>
      </c>
      <c r="AA1021" s="21">
        <f>IF(AND($A1021="",$B1021=""),"",IF($E1021="","Site type missing",IF($H1021="","STATUS missing",IF($H1021="Proposed","STATUS = Proposed",IF($H1021="Not Reported","STATUS = Not Reported",IF(AND($P1021="Y",$Q1021&lt;&gt;"Y"),"UNESCO-MAB Biosphere Reserve",IF(AND($K1021="Point",N($L1021)&lt;=0),"Point without REP_AREA",IF(AND(N($L1021)&lt;=0,N($N1021)&lt;=0,N($R1021)+N($S1021)&lt;=0),"No area information",""))))))))</f>
        <v/>
      </c>
      <c r="AB1021" s="22">
        <f>IF(AND($A1021="",$B1021=""),"",IF($K1021="Point",N($L1021),IF(N($N1021)&gt;0,N($N1021),N($L1021))))</f>
        <v/>
      </c>
      <c r="AC1021" s="22">
        <f>IF(AND($A1021="",$B1021=""),"",MIN(AB1021,IF(N($J1021)=0,0,IF(N($J1021)=2,AB1021,IF(AND($K1021&lt;&gt;"Point",N($O1021)&gt;0),N($O1021),N($M1021))))))</f>
        <v/>
      </c>
      <c r="AD1021" s="22">
        <f>IF(AND($A1021="",$B1021=""),"",MAX(0,AB1021-AC1021))</f>
        <v/>
      </c>
      <c r="AE1021" s="21">
        <f>IF(AND($A1021="",$B1021=""),"",IF(OR($R1021&lt;&gt;"",$S1021&lt;&gt;""),1,0))</f>
        <v/>
      </c>
      <c r="AF1021" s="22">
        <f>IF(AND($A1021="",$B1021=""),"",IF(Z1021=1,IF(AE1021=1,N($R1021),AD1021),0))</f>
        <v/>
      </c>
      <c r="AG1021" s="22">
        <f>IF(AND($A1021="",$B1021=""),"",IF(Z1021=1,IF(AE1021=1,N($S1021),AC1021),0))</f>
        <v/>
      </c>
      <c r="AH1021" s="21">
        <f>IF(AND($A1021="",$B1021=""),"",IF(AND(ISNUMBER($I1021),N($I1021)&gt;0),$I1021,0))</f>
        <v/>
      </c>
      <c r="AI1021" s="23">
        <f>IF(AND(NOT(AND($A1021="",$B1021="")),$K1021="Point",N($L1021)&gt;0),SQRT(N($L1021)/PI()),"")</f>
        <v/>
      </c>
      <c r="AJ1021" s="21">
        <f>IF(AND($A1021="",$B1021=""),"",IFERROR(VLOOKUP($G1021,Lists!$D$4:$E$15,2,FALSE),"Not reported"))</f>
        <v/>
      </c>
      <c r="AK1021" s="21">
        <f>IF(AND($A1021="",$B1021=""),"",IF($X1021&lt;&gt;"",$X1021,IF($T1021&lt;&gt;"Y","Not assessed",IF(AND(ISNUMBER($V1021),Setup!$B$6-$V1021&gt;Setup!$B$26),"Assessment outdated",IF(NOT(ISNUMBER($W1021)),"Assessed – no score",IF($W1021&gt;=Setup!$B$24,"High",IF($W1021&gt;=Setup!$B$25,"Moderate","Low")))))))</f>
        <v/>
      </c>
      <c r="AL1021" s="21">
        <f>IF(AND($A1021="",$B1021=""),"",IF(Z1021=0,"",IF(AND(AE1021=1,N($R1021)&gt;AD1021*1.01+0.001),"Net terrestrial &gt; gross; ","")&amp;IF(AND(AE1021=1,N($S1021)&gt;AC1021*1.01+0.001),"Net marine &gt; gross; ","")&amp;IF(AE1021=0,"No net area – gross used, overlaps may be double-counted; ","")&amp;IF(AH1021=0,"STATUS_YR missing – imputed in time series; ","")&amp;IF(AND(ISNUMBER($I1021),N($I1021)&gt;Setup!$B$6),"STATUS_YR after reporting year; ","")&amp;IF(OR($G1021="",$G1021="Not Reported"),"GOV_TYPE not reported; ","")&amp;IF(AND(N($J1021)=1,$K1021="Point",N($M1021)&lt;=0),"Coastal point without REP_M_AREA – land/sea split unknown; ","")&amp;IF(AND(N($J1021)=0,N($S1021)&gt;0),"MARINE=0 but net marine &gt;0; ","")&amp;IF(AND(N($J1021)=2,N($R1021)&gt;0),"MARINE=2 but net terrestrial &gt;0; ","")&amp;IF($K1021="Point","Buffered point – coverage approximate; ","")))</f>
        <v/>
      </c>
    </row>
    <row r="1022">
      <c r="A1022" s="19" t="n"/>
      <c r="B1022" s="19" t="n"/>
      <c r="C1022" s="19" t="n"/>
      <c r="D1022" s="19" t="n"/>
      <c r="E1022" s="19" t="n"/>
      <c r="F1022" s="19" t="n"/>
      <c r="G1022" s="19" t="n"/>
      <c r="H1022" s="19" t="n"/>
      <c r="I1022" s="19" t="n"/>
      <c r="J1022" s="19" t="n"/>
      <c r="K1022" s="19" t="n"/>
      <c r="L1022" s="20" t="n"/>
      <c r="M1022" s="20" t="n"/>
      <c r="N1022" s="20" t="n"/>
      <c r="O1022" s="20" t="n"/>
      <c r="P1022" s="19" t="n"/>
      <c r="Q1022" s="19" t="n"/>
      <c r="R1022" s="20" t="n"/>
      <c r="S1022" s="20" t="n"/>
      <c r="T1022" s="19" t="n"/>
      <c r="U1022" s="19" t="n"/>
      <c r="V1022" s="19" t="n"/>
      <c r="W1022" s="19" t="n"/>
      <c r="X1022" s="19" t="n"/>
      <c r="Y1022" s="19" t="n"/>
      <c r="Z1022" s="21">
        <f>IF(AND($A1022="",$B1022=""),"",IF(OR($E1022="",$H1022="",$H1022="Proposed",$H1022="Not Reported"),0,IF(AND($P1022="Y",$Q1022&lt;&gt;"Y"),0,IF(AND($K1022="Point",N($L1022)&lt;=0),0,IF(AND(N($L1022)&lt;=0,N($N1022)&lt;=0,N($R1022)+N($S1022)&lt;=0),0,1)))))</f>
        <v/>
      </c>
      <c r="AA1022" s="21">
        <f>IF(AND($A1022="",$B1022=""),"",IF($E1022="","Site type missing",IF($H1022="","STATUS missing",IF($H1022="Proposed","STATUS = Proposed",IF($H1022="Not Reported","STATUS = Not Reported",IF(AND($P1022="Y",$Q1022&lt;&gt;"Y"),"UNESCO-MAB Biosphere Reserve",IF(AND($K1022="Point",N($L1022)&lt;=0),"Point without REP_AREA",IF(AND(N($L1022)&lt;=0,N($N1022)&lt;=0,N($R1022)+N($S1022)&lt;=0),"No area information",""))))))))</f>
        <v/>
      </c>
      <c r="AB1022" s="22">
        <f>IF(AND($A1022="",$B1022=""),"",IF($K1022="Point",N($L1022),IF(N($N1022)&gt;0,N($N1022),N($L1022))))</f>
        <v/>
      </c>
      <c r="AC1022" s="22">
        <f>IF(AND($A1022="",$B1022=""),"",MIN(AB1022,IF(N($J1022)=0,0,IF(N($J1022)=2,AB1022,IF(AND($K1022&lt;&gt;"Point",N($O1022)&gt;0),N($O1022),N($M1022))))))</f>
        <v/>
      </c>
      <c r="AD1022" s="22">
        <f>IF(AND($A1022="",$B1022=""),"",MAX(0,AB1022-AC1022))</f>
        <v/>
      </c>
      <c r="AE1022" s="21">
        <f>IF(AND($A1022="",$B1022=""),"",IF(OR($R1022&lt;&gt;"",$S1022&lt;&gt;""),1,0))</f>
        <v/>
      </c>
      <c r="AF1022" s="22">
        <f>IF(AND($A1022="",$B1022=""),"",IF(Z1022=1,IF(AE1022=1,N($R1022),AD1022),0))</f>
        <v/>
      </c>
      <c r="AG1022" s="22">
        <f>IF(AND($A1022="",$B1022=""),"",IF(Z1022=1,IF(AE1022=1,N($S1022),AC1022),0))</f>
        <v/>
      </c>
      <c r="AH1022" s="21">
        <f>IF(AND($A1022="",$B1022=""),"",IF(AND(ISNUMBER($I1022),N($I1022)&gt;0),$I1022,0))</f>
        <v/>
      </c>
      <c r="AI1022" s="23">
        <f>IF(AND(NOT(AND($A1022="",$B1022="")),$K1022="Point",N($L1022)&gt;0),SQRT(N($L1022)/PI()),"")</f>
        <v/>
      </c>
      <c r="AJ1022" s="21">
        <f>IF(AND($A1022="",$B1022=""),"",IFERROR(VLOOKUP($G1022,Lists!$D$4:$E$15,2,FALSE),"Not reported"))</f>
        <v/>
      </c>
      <c r="AK1022" s="21">
        <f>IF(AND($A1022="",$B1022=""),"",IF($X1022&lt;&gt;"",$X1022,IF($T1022&lt;&gt;"Y","Not assessed",IF(AND(ISNUMBER($V1022),Setup!$B$6-$V1022&gt;Setup!$B$26),"Assessment outdated",IF(NOT(ISNUMBER($W1022)),"Assessed – no score",IF($W1022&gt;=Setup!$B$24,"High",IF($W1022&gt;=Setup!$B$25,"Moderate","Low")))))))</f>
        <v/>
      </c>
      <c r="AL1022" s="21">
        <f>IF(AND($A1022="",$B1022=""),"",IF(Z1022=0,"",IF(AND(AE1022=1,N($R1022)&gt;AD1022*1.01+0.001),"Net terrestrial &gt; gross; ","")&amp;IF(AND(AE1022=1,N($S1022)&gt;AC1022*1.01+0.001),"Net marine &gt; gross; ","")&amp;IF(AE1022=0,"No net area – gross used, overlaps may be double-counted; ","")&amp;IF(AH1022=0,"STATUS_YR missing – imputed in time series; ","")&amp;IF(AND(ISNUMBER($I1022),N($I1022)&gt;Setup!$B$6),"STATUS_YR after reporting year; ","")&amp;IF(OR($G1022="",$G1022="Not Reported"),"GOV_TYPE not reported; ","")&amp;IF(AND(N($J1022)=1,$K1022="Point",N($M1022)&lt;=0),"Coastal point without REP_M_AREA – land/sea split unknown; ","")&amp;IF(AND(N($J1022)=0,N($S1022)&gt;0),"MARINE=0 but net marine &gt;0; ","")&amp;IF(AND(N($J1022)=2,N($R1022)&gt;0),"MARINE=2 but net terrestrial &gt;0; ","")&amp;IF($K1022="Point","Buffered point – coverage approximate; ","")))</f>
        <v/>
      </c>
    </row>
    <row r="1023">
      <c r="A1023" s="19" t="n"/>
      <c r="B1023" s="19" t="n"/>
      <c r="C1023" s="19" t="n"/>
      <c r="D1023" s="19" t="n"/>
      <c r="E1023" s="19" t="n"/>
      <c r="F1023" s="19" t="n"/>
      <c r="G1023" s="19" t="n"/>
      <c r="H1023" s="19" t="n"/>
      <c r="I1023" s="19" t="n"/>
      <c r="J1023" s="19" t="n"/>
      <c r="K1023" s="19" t="n"/>
      <c r="L1023" s="20" t="n"/>
      <c r="M1023" s="20" t="n"/>
      <c r="N1023" s="20" t="n"/>
      <c r="O1023" s="20" t="n"/>
      <c r="P1023" s="19" t="n"/>
      <c r="Q1023" s="19" t="n"/>
      <c r="R1023" s="20" t="n"/>
      <c r="S1023" s="20" t="n"/>
      <c r="T1023" s="19" t="n"/>
      <c r="U1023" s="19" t="n"/>
      <c r="V1023" s="19" t="n"/>
      <c r="W1023" s="19" t="n"/>
      <c r="X1023" s="19" t="n"/>
      <c r="Y1023" s="19" t="n"/>
      <c r="Z1023" s="21">
        <f>IF(AND($A1023="",$B1023=""),"",IF(OR($E1023="",$H1023="",$H1023="Proposed",$H1023="Not Reported"),0,IF(AND($P1023="Y",$Q1023&lt;&gt;"Y"),0,IF(AND($K1023="Point",N($L1023)&lt;=0),0,IF(AND(N($L1023)&lt;=0,N($N1023)&lt;=0,N($R1023)+N($S1023)&lt;=0),0,1)))))</f>
        <v/>
      </c>
      <c r="AA1023" s="21">
        <f>IF(AND($A1023="",$B1023=""),"",IF($E1023="","Site type missing",IF($H1023="","STATUS missing",IF($H1023="Proposed","STATUS = Proposed",IF($H1023="Not Reported","STATUS = Not Reported",IF(AND($P1023="Y",$Q1023&lt;&gt;"Y"),"UNESCO-MAB Biosphere Reserve",IF(AND($K1023="Point",N($L1023)&lt;=0),"Point without REP_AREA",IF(AND(N($L1023)&lt;=0,N($N1023)&lt;=0,N($R1023)+N($S1023)&lt;=0),"No area information",""))))))))</f>
        <v/>
      </c>
      <c r="AB1023" s="22">
        <f>IF(AND($A1023="",$B1023=""),"",IF($K1023="Point",N($L1023),IF(N($N1023)&gt;0,N($N1023),N($L1023))))</f>
        <v/>
      </c>
      <c r="AC1023" s="22">
        <f>IF(AND($A1023="",$B1023=""),"",MIN(AB1023,IF(N($J1023)=0,0,IF(N($J1023)=2,AB1023,IF(AND($K1023&lt;&gt;"Point",N($O1023)&gt;0),N($O1023),N($M1023))))))</f>
        <v/>
      </c>
      <c r="AD1023" s="22">
        <f>IF(AND($A1023="",$B1023=""),"",MAX(0,AB1023-AC1023))</f>
        <v/>
      </c>
      <c r="AE1023" s="21">
        <f>IF(AND($A1023="",$B1023=""),"",IF(OR($R1023&lt;&gt;"",$S1023&lt;&gt;""),1,0))</f>
        <v/>
      </c>
      <c r="AF1023" s="22">
        <f>IF(AND($A1023="",$B1023=""),"",IF(Z1023=1,IF(AE1023=1,N($R1023),AD1023),0))</f>
        <v/>
      </c>
      <c r="AG1023" s="22">
        <f>IF(AND($A1023="",$B1023=""),"",IF(Z1023=1,IF(AE1023=1,N($S1023),AC1023),0))</f>
        <v/>
      </c>
      <c r="AH1023" s="21">
        <f>IF(AND($A1023="",$B1023=""),"",IF(AND(ISNUMBER($I1023),N($I1023)&gt;0),$I1023,0))</f>
        <v/>
      </c>
      <c r="AI1023" s="23">
        <f>IF(AND(NOT(AND($A1023="",$B1023="")),$K1023="Point",N($L1023)&gt;0),SQRT(N($L1023)/PI()),"")</f>
        <v/>
      </c>
      <c r="AJ1023" s="21">
        <f>IF(AND($A1023="",$B1023=""),"",IFERROR(VLOOKUP($G1023,Lists!$D$4:$E$15,2,FALSE),"Not reported"))</f>
        <v/>
      </c>
      <c r="AK1023" s="21">
        <f>IF(AND($A1023="",$B1023=""),"",IF($X1023&lt;&gt;"",$X1023,IF($T1023&lt;&gt;"Y","Not assessed",IF(AND(ISNUMBER($V1023),Setup!$B$6-$V1023&gt;Setup!$B$26),"Assessment outdated",IF(NOT(ISNUMBER($W1023)),"Assessed – no score",IF($W1023&gt;=Setup!$B$24,"High",IF($W1023&gt;=Setup!$B$25,"Moderate","Low")))))))</f>
        <v/>
      </c>
      <c r="AL1023" s="21">
        <f>IF(AND($A1023="",$B1023=""),"",IF(Z1023=0,"",IF(AND(AE1023=1,N($R1023)&gt;AD1023*1.01+0.001),"Net terrestrial &gt; gross; ","")&amp;IF(AND(AE1023=1,N($S1023)&gt;AC1023*1.01+0.001),"Net marine &gt; gross; ","")&amp;IF(AE1023=0,"No net area – gross used, overlaps may be double-counted; ","")&amp;IF(AH1023=0,"STATUS_YR missing – imputed in time series; ","")&amp;IF(AND(ISNUMBER($I1023),N($I1023)&gt;Setup!$B$6),"STATUS_YR after reporting year; ","")&amp;IF(OR($G1023="",$G1023="Not Reported"),"GOV_TYPE not reported; ","")&amp;IF(AND(N($J1023)=1,$K1023="Point",N($M1023)&lt;=0),"Coastal point without REP_M_AREA – land/sea split unknown; ","")&amp;IF(AND(N($J1023)=0,N($S1023)&gt;0),"MARINE=0 but net marine &gt;0; ","")&amp;IF(AND(N($J1023)=2,N($R1023)&gt;0),"MARINE=2 but net terrestrial &gt;0; ","")&amp;IF($K1023="Point","Buffered point – coverage approximate; ","")))</f>
        <v/>
      </c>
    </row>
    <row r="1024">
      <c r="A1024" s="19" t="n"/>
      <c r="B1024" s="19" t="n"/>
      <c r="C1024" s="19" t="n"/>
      <c r="D1024" s="19" t="n"/>
      <c r="E1024" s="19" t="n"/>
      <c r="F1024" s="19" t="n"/>
      <c r="G1024" s="19" t="n"/>
      <c r="H1024" s="19" t="n"/>
      <c r="I1024" s="19" t="n"/>
      <c r="J1024" s="19" t="n"/>
      <c r="K1024" s="19" t="n"/>
      <c r="L1024" s="20" t="n"/>
      <c r="M1024" s="20" t="n"/>
      <c r="N1024" s="20" t="n"/>
      <c r="O1024" s="20" t="n"/>
      <c r="P1024" s="19" t="n"/>
      <c r="Q1024" s="19" t="n"/>
      <c r="R1024" s="20" t="n"/>
      <c r="S1024" s="20" t="n"/>
      <c r="T1024" s="19" t="n"/>
      <c r="U1024" s="19" t="n"/>
      <c r="V1024" s="19" t="n"/>
      <c r="W1024" s="19" t="n"/>
      <c r="X1024" s="19" t="n"/>
      <c r="Y1024" s="19" t="n"/>
      <c r="Z1024" s="21">
        <f>IF(AND($A1024="",$B1024=""),"",IF(OR($E1024="",$H1024="",$H1024="Proposed",$H1024="Not Reported"),0,IF(AND($P1024="Y",$Q1024&lt;&gt;"Y"),0,IF(AND($K1024="Point",N($L1024)&lt;=0),0,IF(AND(N($L1024)&lt;=0,N($N1024)&lt;=0,N($R1024)+N($S1024)&lt;=0),0,1)))))</f>
        <v/>
      </c>
      <c r="AA1024" s="21">
        <f>IF(AND($A1024="",$B1024=""),"",IF($E1024="","Site type missing",IF($H1024="","STATUS missing",IF($H1024="Proposed","STATUS = Proposed",IF($H1024="Not Reported","STATUS = Not Reported",IF(AND($P1024="Y",$Q1024&lt;&gt;"Y"),"UNESCO-MAB Biosphere Reserve",IF(AND($K1024="Point",N($L1024)&lt;=0),"Point without REP_AREA",IF(AND(N($L1024)&lt;=0,N($N1024)&lt;=0,N($R1024)+N($S1024)&lt;=0),"No area information",""))))))))</f>
        <v/>
      </c>
      <c r="AB1024" s="22">
        <f>IF(AND($A1024="",$B1024=""),"",IF($K1024="Point",N($L1024),IF(N($N1024)&gt;0,N($N1024),N($L1024))))</f>
        <v/>
      </c>
      <c r="AC1024" s="22">
        <f>IF(AND($A1024="",$B1024=""),"",MIN(AB1024,IF(N($J1024)=0,0,IF(N($J1024)=2,AB1024,IF(AND($K1024&lt;&gt;"Point",N($O1024)&gt;0),N($O1024),N($M1024))))))</f>
        <v/>
      </c>
      <c r="AD1024" s="22">
        <f>IF(AND($A1024="",$B1024=""),"",MAX(0,AB1024-AC1024))</f>
        <v/>
      </c>
      <c r="AE1024" s="21">
        <f>IF(AND($A1024="",$B1024=""),"",IF(OR($R1024&lt;&gt;"",$S1024&lt;&gt;""),1,0))</f>
        <v/>
      </c>
      <c r="AF1024" s="22">
        <f>IF(AND($A1024="",$B1024=""),"",IF(Z1024=1,IF(AE1024=1,N($R1024),AD1024),0))</f>
        <v/>
      </c>
      <c r="AG1024" s="22">
        <f>IF(AND($A1024="",$B1024=""),"",IF(Z1024=1,IF(AE1024=1,N($S1024),AC1024),0))</f>
        <v/>
      </c>
      <c r="AH1024" s="21">
        <f>IF(AND($A1024="",$B1024=""),"",IF(AND(ISNUMBER($I1024),N($I1024)&gt;0),$I1024,0))</f>
        <v/>
      </c>
      <c r="AI1024" s="23">
        <f>IF(AND(NOT(AND($A1024="",$B1024="")),$K1024="Point",N($L1024)&gt;0),SQRT(N($L1024)/PI()),"")</f>
        <v/>
      </c>
      <c r="AJ1024" s="21">
        <f>IF(AND($A1024="",$B1024=""),"",IFERROR(VLOOKUP($G1024,Lists!$D$4:$E$15,2,FALSE),"Not reported"))</f>
        <v/>
      </c>
      <c r="AK1024" s="21">
        <f>IF(AND($A1024="",$B1024=""),"",IF($X1024&lt;&gt;"",$X1024,IF($T1024&lt;&gt;"Y","Not assessed",IF(AND(ISNUMBER($V1024),Setup!$B$6-$V1024&gt;Setup!$B$26),"Assessment outdated",IF(NOT(ISNUMBER($W1024)),"Assessed – no score",IF($W1024&gt;=Setup!$B$24,"High",IF($W1024&gt;=Setup!$B$25,"Moderate","Low")))))))</f>
        <v/>
      </c>
      <c r="AL1024" s="21">
        <f>IF(AND($A1024="",$B1024=""),"",IF(Z1024=0,"",IF(AND(AE1024=1,N($R1024)&gt;AD1024*1.01+0.001),"Net terrestrial &gt; gross; ","")&amp;IF(AND(AE1024=1,N($S1024)&gt;AC1024*1.01+0.001),"Net marine &gt; gross; ","")&amp;IF(AE1024=0,"No net area – gross used, overlaps may be double-counted; ","")&amp;IF(AH1024=0,"STATUS_YR missing – imputed in time series; ","")&amp;IF(AND(ISNUMBER($I1024),N($I1024)&gt;Setup!$B$6),"STATUS_YR after reporting year; ","")&amp;IF(OR($G1024="",$G1024="Not Reported"),"GOV_TYPE not reported; ","")&amp;IF(AND(N($J1024)=1,$K1024="Point",N($M1024)&lt;=0),"Coastal point without REP_M_AREA – land/sea split unknown; ","")&amp;IF(AND(N($J1024)=0,N($S1024)&gt;0),"MARINE=0 but net marine &gt;0; ","")&amp;IF(AND(N($J1024)=2,N($R1024)&gt;0),"MARINE=2 but net terrestrial &gt;0; ","")&amp;IF($K1024="Point","Buffered point – coverage approximate; ","")))</f>
        <v/>
      </c>
    </row>
    <row r="1025">
      <c r="A1025" s="19" t="n"/>
      <c r="B1025" s="19" t="n"/>
      <c r="C1025" s="19" t="n"/>
      <c r="D1025" s="19" t="n"/>
      <c r="E1025" s="19" t="n"/>
      <c r="F1025" s="19" t="n"/>
      <c r="G1025" s="19" t="n"/>
      <c r="H1025" s="19" t="n"/>
      <c r="I1025" s="19" t="n"/>
      <c r="J1025" s="19" t="n"/>
      <c r="K1025" s="19" t="n"/>
      <c r="L1025" s="20" t="n"/>
      <c r="M1025" s="20" t="n"/>
      <c r="N1025" s="20" t="n"/>
      <c r="O1025" s="20" t="n"/>
      <c r="P1025" s="19" t="n"/>
      <c r="Q1025" s="19" t="n"/>
      <c r="R1025" s="20" t="n"/>
      <c r="S1025" s="20" t="n"/>
      <c r="T1025" s="19" t="n"/>
      <c r="U1025" s="19" t="n"/>
      <c r="V1025" s="19" t="n"/>
      <c r="W1025" s="19" t="n"/>
      <c r="X1025" s="19" t="n"/>
      <c r="Y1025" s="19" t="n"/>
      <c r="Z1025" s="21">
        <f>IF(AND($A1025="",$B1025=""),"",IF(OR($E1025="",$H1025="",$H1025="Proposed",$H1025="Not Reported"),0,IF(AND($P1025="Y",$Q1025&lt;&gt;"Y"),0,IF(AND($K1025="Point",N($L1025)&lt;=0),0,IF(AND(N($L1025)&lt;=0,N($N1025)&lt;=0,N($R1025)+N($S1025)&lt;=0),0,1)))))</f>
        <v/>
      </c>
      <c r="AA1025" s="21">
        <f>IF(AND($A1025="",$B1025=""),"",IF($E1025="","Site type missing",IF($H1025="","STATUS missing",IF($H1025="Proposed","STATUS = Proposed",IF($H1025="Not Reported","STATUS = Not Reported",IF(AND($P1025="Y",$Q1025&lt;&gt;"Y"),"UNESCO-MAB Biosphere Reserve",IF(AND($K1025="Point",N($L1025)&lt;=0),"Point without REP_AREA",IF(AND(N($L1025)&lt;=0,N($N1025)&lt;=0,N($R1025)+N($S1025)&lt;=0),"No area information",""))))))))</f>
        <v/>
      </c>
      <c r="AB1025" s="22">
        <f>IF(AND($A1025="",$B1025=""),"",IF($K1025="Point",N($L1025),IF(N($N1025)&gt;0,N($N1025),N($L1025))))</f>
        <v/>
      </c>
      <c r="AC1025" s="22">
        <f>IF(AND($A1025="",$B1025=""),"",MIN(AB1025,IF(N($J1025)=0,0,IF(N($J1025)=2,AB1025,IF(AND($K1025&lt;&gt;"Point",N($O1025)&gt;0),N($O1025),N($M1025))))))</f>
        <v/>
      </c>
      <c r="AD1025" s="22">
        <f>IF(AND($A1025="",$B1025=""),"",MAX(0,AB1025-AC1025))</f>
        <v/>
      </c>
      <c r="AE1025" s="21">
        <f>IF(AND($A1025="",$B1025=""),"",IF(OR($R1025&lt;&gt;"",$S1025&lt;&gt;""),1,0))</f>
        <v/>
      </c>
      <c r="AF1025" s="22">
        <f>IF(AND($A1025="",$B1025=""),"",IF(Z1025=1,IF(AE1025=1,N($R1025),AD1025),0))</f>
        <v/>
      </c>
      <c r="AG1025" s="22">
        <f>IF(AND($A1025="",$B1025=""),"",IF(Z1025=1,IF(AE1025=1,N($S1025),AC1025),0))</f>
        <v/>
      </c>
      <c r="AH1025" s="21">
        <f>IF(AND($A1025="",$B1025=""),"",IF(AND(ISNUMBER($I1025),N($I1025)&gt;0),$I1025,0))</f>
        <v/>
      </c>
      <c r="AI1025" s="23">
        <f>IF(AND(NOT(AND($A1025="",$B1025="")),$K1025="Point",N($L1025)&gt;0),SQRT(N($L1025)/PI()),"")</f>
        <v/>
      </c>
      <c r="AJ1025" s="21">
        <f>IF(AND($A1025="",$B1025=""),"",IFERROR(VLOOKUP($G1025,Lists!$D$4:$E$15,2,FALSE),"Not reported"))</f>
        <v/>
      </c>
      <c r="AK1025" s="21">
        <f>IF(AND($A1025="",$B1025=""),"",IF($X1025&lt;&gt;"",$X1025,IF($T1025&lt;&gt;"Y","Not assessed",IF(AND(ISNUMBER($V1025),Setup!$B$6-$V1025&gt;Setup!$B$26),"Assessment outdated",IF(NOT(ISNUMBER($W1025)),"Assessed – no score",IF($W1025&gt;=Setup!$B$24,"High",IF($W1025&gt;=Setup!$B$25,"Moderate","Low")))))))</f>
        <v/>
      </c>
      <c r="AL1025" s="21">
        <f>IF(AND($A1025="",$B1025=""),"",IF(Z1025=0,"",IF(AND(AE1025=1,N($R1025)&gt;AD1025*1.01+0.001),"Net terrestrial &gt; gross; ","")&amp;IF(AND(AE1025=1,N($S1025)&gt;AC1025*1.01+0.001),"Net marine &gt; gross; ","")&amp;IF(AE1025=0,"No net area – gross used, overlaps may be double-counted; ","")&amp;IF(AH1025=0,"STATUS_YR missing – imputed in time series; ","")&amp;IF(AND(ISNUMBER($I1025),N($I1025)&gt;Setup!$B$6),"STATUS_YR after reporting year; ","")&amp;IF(OR($G1025="",$G1025="Not Reported"),"GOV_TYPE not reported; ","")&amp;IF(AND(N($J1025)=1,$K1025="Point",N($M1025)&lt;=0),"Coastal point without REP_M_AREA – land/sea split unknown; ","")&amp;IF(AND(N($J1025)=0,N($S1025)&gt;0),"MARINE=0 but net marine &gt;0; ","")&amp;IF(AND(N($J1025)=2,N($R1025)&gt;0),"MARINE=2 but net terrestrial &gt;0; ","")&amp;IF($K1025="Point","Buffered point – coverage approximate; ","")))</f>
        <v/>
      </c>
    </row>
    <row r="1026">
      <c r="A1026" s="19" t="n"/>
      <c r="B1026" s="19" t="n"/>
      <c r="C1026" s="19" t="n"/>
      <c r="D1026" s="19" t="n"/>
      <c r="E1026" s="19" t="n"/>
      <c r="F1026" s="19" t="n"/>
      <c r="G1026" s="19" t="n"/>
      <c r="H1026" s="19" t="n"/>
      <c r="I1026" s="19" t="n"/>
      <c r="J1026" s="19" t="n"/>
      <c r="K1026" s="19" t="n"/>
      <c r="L1026" s="20" t="n"/>
      <c r="M1026" s="20" t="n"/>
      <c r="N1026" s="20" t="n"/>
      <c r="O1026" s="20" t="n"/>
      <c r="P1026" s="19" t="n"/>
      <c r="Q1026" s="19" t="n"/>
      <c r="R1026" s="20" t="n"/>
      <c r="S1026" s="20" t="n"/>
      <c r="T1026" s="19" t="n"/>
      <c r="U1026" s="19" t="n"/>
      <c r="V1026" s="19" t="n"/>
      <c r="W1026" s="19" t="n"/>
      <c r="X1026" s="19" t="n"/>
      <c r="Y1026" s="19" t="n"/>
      <c r="Z1026" s="21">
        <f>IF(AND($A1026="",$B1026=""),"",IF(OR($E1026="",$H1026="",$H1026="Proposed",$H1026="Not Reported"),0,IF(AND($P1026="Y",$Q1026&lt;&gt;"Y"),0,IF(AND($K1026="Point",N($L1026)&lt;=0),0,IF(AND(N($L1026)&lt;=0,N($N1026)&lt;=0,N($R1026)+N($S1026)&lt;=0),0,1)))))</f>
        <v/>
      </c>
      <c r="AA1026" s="21">
        <f>IF(AND($A1026="",$B1026=""),"",IF($E1026="","Site type missing",IF($H1026="","STATUS missing",IF($H1026="Proposed","STATUS = Proposed",IF($H1026="Not Reported","STATUS = Not Reported",IF(AND($P1026="Y",$Q1026&lt;&gt;"Y"),"UNESCO-MAB Biosphere Reserve",IF(AND($K1026="Point",N($L1026)&lt;=0),"Point without REP_AREA",IF(AND(N($L1026)&lt;=0,N($N1026)&lt;=0,N($R1026)+N($S1026)&lt;=0),"No area information",""))))))))</f>
        <v/>
      </c>
      <c r="AB1026" s="22">
        <f>IF(AND($A1026="",$B1026=""),"",IF($K1026="Point",N($L1026),IF(N($N1026)&gt;0,N($N1026),N($L1026))))</f>
        <v/>
      </c>
      <c r="AC1026" s="22">
        <f>IF(AND($A1026="",$B1026=""),"",MIN(AB1026,IF(N($J1026)=0,0,IF(N($J1026)=2,AB1026,IF(AND($K1026&lt;&gt;"Point",N($O1026)&gt;0),N($O1026),N($M1026))))))</f>
        <v/>
      </c>
      <c r="AD1026" s="22">
        <f>IF(AND($A1026="",$B1026=""),"",MAX(0,AB1026-AC1026))</f>
        <v/>
      </c>
      <c r="AE1026" s="21">
        <f>IF(AND($A1026="",$B1026=""),"",IF(OR($R1026&lt;&gt;"",$S1026&lt;&gt;""),1,0))</f>
        <v/>
      </c>
      <c r="AF1026" s="22">
        <f>IF(AND($A1026="",$B1026=""),"",IF(Z1026=1,IF(AE1026=1,N($R1026),AD1026),0))</f>
        <v/>
      </c>
      <c r="AG1026" s="22">
        <f>IF(AND($A1026="",$B1026=""),"",IF(Z1026=1,IF(AE1026=1,N($S1026),AC1026),0))</f>
        <v/>
      </c>
      <c r="AH1026" s="21">
        <f>IF(AND($A1026="",$B1026=""),"",IF(AND(ISNUMBER($I1026),N($I1026)&gt;0),$I1026,0))</f>
        <v/>
      </c>
      <c r="AI1026" s="23">
        <f>IF(AND(NOT(AND($A1026="",$B1026="")),$K1026="Point",N($L1026)&gt;0),SQRT(N($L1026)/PI()),"")</f>
        <v/>
      </c>
      <c r="AJ1026" s="21">
        <f>IF(AND($A1026="",$B1026=""),"",IFERROR(VLOOKUP($G1026,Lists!$D$4:$E$15,2,FALSE),"Not reported"))</f>
        <v/>
      </c>
      <c r="AK1026" s="21">
        <f>IF(AND($A1026="",$B1026=""),"",IF($X1026&lt;&gt;"",$X1026,IF($T1026&lt;&gt;"Y","Not assessed",IF(AND(ISNUMBER($V1026),Setup!$B$6-$V1026&gt;Setup!$B$26),"Assessment outdated",IF(NOT(ISNUMBER($W1026)),"Assessed – no score",IF($W1026&gt;=Setup!$B$24,"High",IF($W1026&gt;=Setup!$B$25,"Moderate","Low")))))))</f>
        <v/>
      </c>
      <c r="AL1026" s="21">
        <f>IF(AND($A1026="",$B1026=""),"",IF(Z1026=0,"",IF(AND(AE1026=1,N($R1026)&gt;AD1026*1.01+0.001),"Net terrestrial &gt; gross; ","")&amp;IF(AND(AE1026=1,N($S1026)&gt;AC1026*1.01+0.001),"Net marine &gt; gross; ","")&amp;IF(AE1026=0,"No net area – gross used, overlaps may be double-counted; ","")&amp;IF(AH1026=0,"STATUS_YR missing – imputed in time series; ","")&amp;IF(AND(ISNUMBER($I1026),N($I1026)&gt;Setup!$B$6),"STATUS_YR after reporting year; ","")&amp;IF(OR($G1026="",$G1026="Not Reported"),"GOV_TYPE not reported; ","")&amp;IF(AND(N($J1026)=1,$K1026="Point",N($M1026)&lt;=0),"Coastal point without REP_M_AREA – land/sea split unknown; ","")&amp;IF(AND(N($J1026)=0,N($S1026)&gt;0),"MARINE=0 but net marine &gt;0; ","")&amp;IF(AND(N($J1026)=2,N($R1026)&gt;0),"MARINE=2 but net terrestrial &gt;0; ","")&amp;IF($K1026="Point","Buffered point – coverage approximate; ","")))</f>
        <v/>
      </c>
    </row>
    <row r="1027">
      <c r="A1027" s="19" t="n"/>
      <c r="B1027" s="19" t="n"/>
      <c r="C1027" s="19" t="n"/>
      <c r="D1027" s="19" t="n"/>
      <c r="E1027" s="19" t="n"/>
      <c r="F1027" s="19" t="n"/>
      <c r="G1027" s="19" t="n"/>
      <c r="H1027" s="19" t="n"/>
      <c r="I1027" s="19" t="n"/>
      <c r="J1027" s="19" t="n"/>
      <c r="K1027" s="19" t="n"/>
      <c r="L1027" s="20" t="n"/>
      <c r="M1027" s="20" t="n"/>
      <c r="N1027" s="20" t="n"/>
      <c r="O1027" s="20" t="n"/>
      <c r="P1027" s="19" t="n"/>
      <c r="Q1027" s="19" t="n"/>
      <c r="R1027" s="20" t="n"/>
      <c r="S1027" s="20" t="n"/>
      <c r="T1027" s="19" t="n"/>
      <c r="U1027" s="19" t="n"/>
      <c r="V1027" s="19" t="n"/>
      <c r="W1027" s="19" t="n"/>
      <c r="X1027" s="19" t="n"/>
      <c r="Y1027" s="19" t="n"/>
      <c r="Z1027" s="21">
        <f>IF(AND($A1027="",$B1027=""),"",IF(OR($E1027="",$H1027="",$H1027="Proposed",$H1027="Not Reported"),0,IF(AND($P1027="Y",$Q1027&lt;&gt;"Y"),0,IF(AND($K1027="Point",N($L1027)&lt;=0),0,IF(AND(N($L1027)&lt;=0,N($N1027)&lt;=0,N($R1027)+N($S1027)&lt;=0),0,1)))))</f>
        <v/>
      </c>
      <c r="AA1027" s="21">
        <f>IF(AND($A1027="",$B1027=""),"",IF($E1027="","Site type missing",IF($H1027="","STATUS missing",IF($H1027="Proposed","STATUS = Proposed",IF($H1027="Not Reported","STATUS = Not Reported",IF(AND($P1027="Y",$Q1027&lt;&gt;"Y"),"UNESCO-MAB Biosphere Reserve",IF(AND($K1027="Point",N($L1027)&lt;=0),"Point without REP_AREA",IF(AND(N($L1027)&lt;=0,N($N1027)&lt;=0,N($R1027)+N($S1027)&lt;=0),"No area information",""))))))))</f>
        <v/>
      </c>
      <c r="AB1027" s="22">
        <f>IF(AND($A1027="",$B1027=""),"",IF($K1027="Point",N($L1027),IF(N($N1027)&gt;0,N($N1027),N($L1027))))</f>
        <v/>
      </c>
      <c r="AC1027" s="22">
        <f>IF(AND($A1027="",$B1027=""),"",MIN(AB1027,IF(N($J1027)=0,0,IF(N($J1027)=2,AB1027,IF(AND($K1027&lt;&gt;"Point",N($O1027)&gt;0),N($O1027),N($M1027))))))</f>
        <v/>
      </c>
      <c r="AD1027" s="22">
        <f>IF(AND($A1027="",$B1027=""),"",MAX(0,AB1027-AC1027))</f>
        <v/>
      </c>
      <c r="AE1027" s="21">
        <f>IF(AND($A1027="",$B1027=""),"",IF(OR($R1027&lt;&gt;"",$S1027&lt;&gt;""),1,0))</f>
        <v/>
      </c>
      <c r="AF1027" s="22">
        <f>IF(AND($A1027="",$B1027=""),"",IF(Z1027=1,IF(AE1027=1,N($R1027),AD1027),0))</f>
        <v/>
      </c>
      <c r="AG1027" s="22">
        <f>IF(AND($A1027="",$B1027=""),"",IF(Z1027=1,IF(AE1027=1,N($S1027),AC1027),0))</f>
        <v/>
      </c>
      <c r="AH1027" s="21">
        <f>IF(AND($A1027="",$B1027=""),"",IF(AND(ISNUMBER($I1027),N($I1027)&gt;0),$I1027,0))</f>
        <v/>
      </c>
      <c r="AI1027" s="23">
        <f>IF(AND(NOT(AND($A1027="",$B1027="")),$K1027="Point",N($L1027)&gt;0),SQRT(N($L1027)/PI()),"")</f>
        <v/>
      </c>
      <c r="AJ1027" s="21">
        <f>IF(AND($A1027="",$B1027=""),"",IFERROR(VLOOKUP($G1027,Lists!$D$4:$E$15,2,FALSE),"Not reported"))</f>
        <v/>
      </c>
      <c r="AK1027" s="21">
        <f>IF(AND($A1027="",$B1027=""),"",IF($X1027&lt;&gt;"",$X1027,IF($T1027&lt;&gt;"Y","Not assessed",IF(AND(ISNUMBER($V1027),Setup!$B$6-$V1027&gt;Setup!$B$26),"Assessment outdated",IF(NOT(ISNUMBER($W1027)),"Assessed – no score",IF($W1027&gt;=Setup!$B$24,"High",IF($W1027&gt;=Setup!$B$25,"Moderate","Low")))))))</f>
        <v/>
      </c>
      <c r="AL1027" s="21">
        <f>IF(AND($A1027="",$B1027=""),"",IF(Z1027=0,"",IF(AND(AE1027=1,N($R1027)&gt;AD1027*1.01+0.001),"Net terrestrial &gt; gross; ","")&amp;IF(AND(AE1027=1,N($S1027)&gt;AC1027*1.01+0.001),"Net marine &gt; gross; ","")&amp;IF(AE1027=0,"No net area – gross used, overlaps may be double-counted; ","")&amp;IF(AH1027=0,"STATUS_YR missing – imputed in time series; ","")&amp;IF(AND(ISNUMBER($I1027),N($I1027)&gt;Setup!$B$6),"STATUS_YR after reporting year; ","")&amp;IF(OR($G1027="",$G1027="Not Reported"),"GOV_TYPE not reported; ","")&amp;IF(AND(N($J1027)=1,$K1027="Point",N($M1027)&lt;=0),"Coastal point without REP_M_AREA – land/sea split unknown; ","")&amp;IF(AND(N($J1027)=0,N($S1027)&gt;0),"MARINE=0 but net marine &gt;0; ","")&amp;IF(AND(N($J1027)=2,N($R1027)&gt;0),"MARINE=2 but net terrestrial &gt;0; ","")&amp;IF($K1027="Point","Buffered point – coverage approximate; ","")))</f>
        <v/>
      </c>
    </row>
    <row r="1028">
      <c r="A1028" s="19" t="n"/>
      <c r="B1028" s="19" t="n"/>
      <c r="C1028" s="19" t="n"/>
      <c r="D1028" s="19" t="n"/>
      <c r="E1028" s="19" t="n"/>
      <c r="F1028" s="19" t="n"/>
      <c r="G1028" s="19" t="n"/>
      <c r="H1028" s="19" t="n"/>
      <c r="I1028" s="19" t="n"/>
      <c r="J1028" s="19" t="n"/>
      <c r="K1028" s="19" t="n"/>
      <c r="L1028" s="20" t="n"/>
      <c r="M1028" s="20" t="n"/>
      <c r="N1028" s="20" t="n"/>
      <c r="O1028" s="20" t="n"/>
      <c r="P1028" s="19" t="n"/>
      <c r="Q1028" s="19" t="n"/>
      <c r="R1028" s="20" t="n"/>
      <c r="S1028" s="20" t="n"/>
      <c r="T1028" s="19" t="n"/>
      <c r="U1028" s="19" t="n"/>
      <c r="V1028" s="19" t="n"/>
      <c r="W1028" s="19" t="n"/>
      <c r="X1028" s="19" t="n"/>
      <c r="Y1028" s="19" t="n"/>
      <c r="Z1028" s="21">
        <f>IF(AND($A1028="",$B1028=""),"",IF(OR($E1028="",$H1028="",$H1028="Proposed",$H1028="Not Reported"),0,IF(AND($P1028="Y",$Q1028&lt;&gt;"Y"),0,IF(AND($K1028="Point",N($L1028)&lt;=0),0,IF(AND(N($L1028)&lt;=0,N($N1028)&lt;=0,N($R1028)+N($S1028)&lt;=0),0,1)))))</f>
        <v/>
      </c>
      <c r="AA1028" s="21">
        <f>IF(AND($A1028="",$B1028=""),"",IF($E1028="","Site type missing",IF($H1028="","STATUS missing",IF($H1028="Proposed","STATUS = Proposed",IF($H1028="Not Reported","STATUS = Not Reported",IF(AND($P1028="Y",$Q1028&lt;&gt;"Y"),"UNESCO-MAB Biosphere Reserve",IF(AND($K1028="Point",N($L1028)&lt;=0),"Point without REP_AREA",IF(AND(N($L1028)&lt;=0,N($N1028)&lt;=0,N($R1028)+N($S1028)&lt;=0),"No area information",""))))))))</f>
        <v/>
      </c>
      <c r="AB1028" s="22">
        <f>IF(AND($A1028="",$B1028=""),"",IF($K1028="Point",N($L1028),IF(N($N1028)&gt;0,N($N1028),N($L1028))))</f>
        <v/>
      </c>
      <c r="AC1028" s="22">
        <f>IF(AND($A1028="",$B1028=""),"",MIN(AB1028,IF(N($J1028)=0,0,IF(N($J1028)=2,AB1028,IF(AND($K1028&lt;&gt;"Point",N($O1028)&gt;0),N($O1028),N($M1028))))))</f>
        <v/>
      </c>
      <c r="AD1028" s="22">
        <f>IF(AND($A1028="",$B1028=""),"",MAX(0,AB1028-AC1028))</f>
        <v/>
      </c>
      <c r="AE1028" s="21">
        <f>IF(AND($A1028="",$B1028=""),"",IF(OR($R1028&lt;&gt;"",$S1028&lt;&gt;""),1,0))</f>
        <v/>
      </c>
      <c r="AF1028" s="22">
        <f>IF(AND($A1028="",$B1028=""),"",IF(Z1028=1,IF(AE1028=1,N($R1028),AD1028),0))</f>
        <v/>
      </c>
      <c r="AG1028" s="22">
        <f>IF(AND($A1028="",$B1028=""),"",IF(Z1028=1,IF(AE1028=1,N($S1028),AC1028),0))</f>
        <v/>
      </c>
      <c r="AH1028" s="21">
        <f>IF(AND($A1028="",$B1028=""),"",IF(AND(ISNUMBER($I1028),N($I1028)&gt;0),$I1028,0))</f>
        <v/>
      </c>
      <c r="AI1028" s="23">
        <f>IF(AND(NOT(AND($A1028="",$B1028="")),$K1028="Point",N($L1028)&gt;0),SQRT(N($L1028)/PI()),"")</f>
        <v/>
      </c>
      <c r="AJ1028" s="21">
        <f>IF(AND($A1028="",$B1028=""),"",IFERROR(VLOOKUP($G1028,Lists!$D$4:$E$15,2,FALSE),"Not reported"))</f>
        <v/>
      </c>
      <c r="AK1028" s="21">
        <f>IF(AND($A1028="",$B1028=""),"",IF($X1028&lt;&gt;"",$X1028,IF($T1028&lt;&gt;"Y","Not assessed",IF(AND(ISNUMBER($V1028),Setup!$B$6-$V1028&gt;Setup!$B$26),"Assessment outdated",IF(NOT(ISNUMBER($W1028)),"Assessed – no score",IF($W1028&gt;=Setup!$B$24,"High",IF($W1028&gt;=Setup!$B$25,"Moderate","Low")))))))</f>
        <v/>
      </c>
      <c r="AL1028" s="21">
        <f>IF(AND($A1028="",$B1028=""),"",IF(Z1028=0,"",IF(AND(AE1028=1,N($R1028)&gt;AD1028*1.01+0.001),"Net terrestrial &gt; gross; ","")&amp;IF(AND(AE1028=1,N($S1028)&gt;AC1028*1.01+0.001),"Net marine &gt; gross; ","")&amp;IF(AE1028=0,"No net area – gross used, overlaps may be double-counted; ","")&amp;IF(AH1028=0,"STATUS_YR missing – imputed in time series; ","")&amp;IF(AND(ISNUMBER($I1028),N($I1028)&gt;Setup!$B$6),"STATUS_YR after reporting year; ","")&amp;IF(OR($G1028="",$G1028="Not Reported"),"GOV_TYPE not reported; ","")&amp;IF(AND(N($J1028)=1,$K1028="Point",N($M1028)&lt;=0),"Coastal point without REP_M_AREA – land/sea split unknown; ","")&amp;IF(AND(N($J1028)=0,N($S1028)&gt;0),"MARINE=0 but net marine &gt;0; ","")&amp;IF(AND(N($J1028)=2,N($R1028)&gt;0),"MARINE=2 but net terrestrial &gt;0; ","")&amp;IF($K1028="Point","Buffered point – coverage approximate; ","")))</f>
        <v/>
      </c>
    </row>
    <row r="1029">
      <c r="A1029" s="19" t="n"/>
      <c r="B1029" s="19" t="n"/>
      <c r="C1029" s="19" t="n"/>
      <c r="D1029" s="19" t="n"/>
      <c r="E1029" s="19" t="n"/>
      <c r="F1029" s="19" t="n"/>
      <c r="G1029" s="19" t="n"/>
      <c r="H1029" s="19" t="n"/>
      <c r="I1029" s="19" t="n"/>
      <c r="J1029" s="19" t="n"/>
      <c r="K1029" s="19" t="n"/>
      <c r="L1029" s="20" t="n"/>
      <c r="M1029" s="20" t="n"/>
      <c r="N1029" s="20" t="n"/>
      <c r="O1029" s="20" t="n"/>
      <c r="P1029" s="19" t="n"/>
      <c r="Q1029" s="19" t="n"/>
      <c r="R1029" s="20" t="n"/>
      <c r="S1029" s="20" t="n"/>
      <c r="T1029" s="19" t="n"/>
      <c r="U1029" s="19" t="n"/>
      <c r="V1029" s="19" t="n"/>
      <c r="W1029" s="19" t="n"/>
      <c r="X1029" s="19" t="n"/>
      <c r="Y1029" s="19" t="n"/>
      <c r="Z1029" s="21">
        <f>IF(AND($A1029="",$B1029=""),"",IF(OR($E1029="",$H1029="",$H1029="Proposed",$H1029="Not Reported"),0,IF(AND($P1029="Y",$Q1029&lt;&gt;"Y"),0,IF(AND($K1029="Point",N($L1029)&lt;=0),0,IF(AND(N($L1029)&lt;=0,N($N1029)&lt;=0,N($R1029)+N($S1029)&lt;=0),0,1)))))</f>
        <v/>
      </c>
      <c r="AA1029" s="21">
        <f>IF(AND($A1029="",$B1029=""),"",IF($E1029="","Site type missing",IF($H1029="","STATUS missing",IF($H1029="Proposed","STATUS = Proposed",IF($H1029="Not Reported","STATUS = Not Reported",IF(AND($P1029="Y",$Q1029&lt;&gt;"Y"),"UNESCO-MAB Biosphere Reserve",IF(AND($K1029="Point",N($L1029)&lt;=0),"Point without REP_AREA",IF(AND(N($L1029)&lt;=0,N($N1029)&lt;=0,N($R1029)+N($S1029)&lt;=0),"No area information",""))))))))</f>
        <v/>
      </c>
      <c r="AB1029" s="22">
        <f>IF(AND($A1029="",$B1029=""),"",IF($K1029="Point",N($L1029),IF(N($N1029)&gt;0,N($N1029),N($L1029))))</f>
        <v/>
      </c>
      <c r="AC1029" s="22">
        <f>IF(AND($A1029="",$B1029=""),"",MIN(AB1029,IF(N($J1029)=0,0,IF(N($J1029)=2,AB1029,IF(AND($K1029&lt;&gt;"Point",N($O1029)&gt;0),N($O1029),N($M1029))))))</f>
        <v/>
      </c>
      <c r="AD1029" s="22">
        <f>IF(AND($A1029="",$B1029=""),"",MAX(0,AB1029-AC1029))</f>
        <v/>
      </c>
      <c r="AE1029" s="21">
        <f>IF(AND($A1029="",$B1029=""),"",IF(OR($R1029&lt;&gt;"",$S1029&lt;&gt;""),1,0))</f>
        <v/>
      </c>
      <c r="AF1029" s="22">
        <f>IF(AND($A1029="",$B1029=""),"",IF(Z1029=1,IF(AE1029=1,N($R1029),AD1029),0))</f>
        <v/>
      </c>
      <c r="AG1029" s="22">
        <f>IF(AND($A1029="",$B1029=""),"",IF(Z1029=1,IF(AE1029=1,N($S1029),AC1029),0))</f>
        <v/>
      </c>
      <c r="AH1029" s="21">
        <f>IF(AND($A1029="",$B1029=""),"",IF(AND(ISNUMBER($I1029),N($I1029)&gt;0),$I1029,0))</f>
        <v/>
      </c>
      <c r="AI1029" s="23">
        <f>IF(AND(NOT(AND($A1029="",$B1029="")),$K1029="Point",N($L1029)&gt;0),SQRT(N($L1029)/PI()),"")</f>
        <v/>
      </c>
      <c r="AJ1029" s="21">
        <f>IF(AND($A1029="",$B1029=""),"",IFERROR(VLOOKUP($G1029,Lists!$D$4:$E$15,2,FALSE),"Not reported"))</f>
        <v/>
      </c>
      <c r="AK1029" s="21">
        <f>IF(AND($A1029="",$B1029=""),"",IF($X1029&lt;&gt;"",$X1029,IF($T1029&lt;&gt;"Y","Not assessed",IF(AND(ISNUMBER($V1029),Setup!$B$6-$V1029&gt;Setup!$B$26),"Assessment outdated",IF(NOT(ISNUMBER($W1029)),"Assessed – no score",IF($W1029&gt;=Setup!$B$24,"High",IF($W1029&gt;=Setup!$B$25,"Moderate","Low")))))))</f>
        <v/>
      </c>
      <c r="AL1029" s="21">
        <f>IF(AND($A1029="",$B1029=""),"",IF(Z1029=0,"",IF(AND(AE1029=1,N($R1029)&gt;AD1029*1.01+0.001),"Net terrestrial &gt; gross; ","")&amp;IF(AND(AE1029=1,N($S1029)&gt;AC1029*1.01+0.001),"Net marine &gt; gross; ","")&amp;IF(AE1029=0,"No net area – gross used, overlaps may be double-counted; ","")&amp;IF(AH1029=0,"STATUS_YR missing – imputed in time series; ","")&amp;IF(AND(ISNUMBER($I1029),N($I1029)&gt;Setup!$B$6),"STATUS_YR after reporting year; ","")&amp;IF(OR($G1029="",$G1029="Not Reported"),"GOV_TYPE not reported; ","")&amp;IF(AND(N($J1029)=1,$K1029="Point",N($M1029)&lt;=0),"Coastal point without REP_M_AREA – land/sea split unknown; ","")&amp;IF(AND(N($J1029)=0,N($S1029)&gt;0),"MARINE=0 but net marine &gt;0; ","")&amp;IF(AND(N($J1029)=2,N($R1029)&gt;0),"MARINE=2 but net terrestrial &gt;0; ","")&amp;IF($K1029="Point","Buffered point – coverage approximate; ","")))</f>
        <v/>
      </c>
    </row>
    <row r="1030">
      <c r="A1030" s="19" t="n"/>
      <c r="B1030" s="19" t="n"/>
      <c r="C1030" s="19" t="n"/>
      <c r="D1030" s="19" t="n"/>
      <c r="E1030" s="19" t="n"/>
      <c r="F1030" s="19" t="n"/>
      <c r="G1030" s="19" t="n"/>
      <c r="H1030" s="19" t="n"/>
      <c r="I1030" s="19" t="n"/>
      <c r="J1030" s="19" t="n"/>
      <c r="K1030" s="19" t="n"/>
      <c r="L1030" s="20" t="n"/>
      <c r="M1030" s="20" t="n"/>
      <c r="N1030" s="20" t="n"/>
      <c r="O1030" s="20" t="n"/>
      <c r="P1030" s="19" t="n"/>
      <c r="Q1030" s="19" t="n"/>
      <c r="R1030" s="20" t="n"/>
      <c r="S1030" s="20" t="n"/>
      <c r="T1030" s="19" t="n"/>
      <c r="U1030" s="19" t="n"/>
      <c r="V1030" s="19" t="n"/>
      <c r="W1030" s="19" t="n"/>
      <c r="X1030" s="19" t="n"/>
      <c r="Y1030" s="19" t="n"/>
      <c r="Z1030" s="21">
        <f>IF(AND($A1030="",$B1030=""),"",IF(OR($E1030="",$H1030="",$H1030="Proposed",$H1030="Not Reported"),0,IF(AND($P1030="Y",$Q1030&lt;&gt;"Y"),0,IF(AND($K1030="Point",N($L1030)&lt;=0),0,IF(AND(N($L1030)&lt;=0,N($N1030)&lt;=0,N($R1030)+N($S1030)&lt;=0),0,1)))))</f>
        <v/>
      </c>
      <c r="AA1030" s="21">
        <f>IF(AND($A1030="",$B1030=""),"",IF($E1030="","Site type missing",IF($H1030="","STATUS missing",IF($H1030="Proposed","STATUS = Proposed",IF($H1030="Not Reported","STATUS = Not Reported",IF(AND($P1030="Y",$Q1030&lt;&gt;"Y"),"UNESCO-MAB Biosphere Reserve",IF(AND($K1030="Point",N($L1030)&lt;=0),"Point without REP_AREA",IF(AND(N($L1030)&lt;=0,N($N1030)&lt;=0,N($R1030)+N($S1030)&lt;=0),"No area information",""))))))))</f>
        <v/>
      </c>
      <c r="AB1030" s="22">
        <f>IF(AND($A1030="",$B1030=""),"",IF($K1030="Point",N($L1030),IF(N($N1030)&gt;0,N($N1030),N($L1030))))</f>
        <v/>
      </c>
      <c r="AC1030" s="22">
        <f>IF(AND($A1030="",$B1030=""),"",MIN(AB1030,IF(N($J1030)=0,0,IF(N($J1030)=2,AB1030,IF(AND($K1030&lt;&gt;"Point",N($O1030)&gt;0),N($O1030),N($M1030))))))</f>
        <v/>
      </c>
      <c r="AD1030" s="22">
        <f>IF(AND($A1030="",$B1030=""),"",MAX(0,AB1030-AC1030))</f>
        <v/>
      </c>
      <c r="AE1030" s="21">
        <f>IF(AND($A1030="",$B1030=""),"",IF(OR($R1030&lt;&gt;"",$S1030&lt;&gt;""),1,0))</f>
        <v/>
      </c>
      <c r="AF1030" s="22">
        <f>IF(AND($A1030="",$B1030=""),"",IF(Z1030=1,IF(AE1030=1,N($R1030),AD1030),0))</f>
        <v/>
      </c>
      <c r="AG1030" s="22">
        <f>IF(AND($A1030="",$B1030=""),"",IF(Z1030=1,IF(AE1030=1,N($S1030),AC1030),0))</f>
        <v/>
      </c>
      <c r="AH1030" s="21">
        <f>IF(AND($A1030="",$B1030=""),"",IF(AND(ISNUMBER($I1030),N($I1030)&gt;0),$I1030,0))</f>
        <v/>
      </c>
      <c r="AI1030" s="23">
        <f>IF(AND(NOT(AND($A1030="",$B1030="")),$K1030="Point",N($L1030)&gt;0),SQRT(N($L1030)/PI()),"")</f>
        <v/>
      </c>
      <c r="AJ1030" s="21">
        <f>IF(AND($A1030="",$B1030=""),"",IFERROR(VLOOKUP($G1030,Lists!$D$4:$E$15,2,FALSE),"Not reported"))</f>
        <v/>
      </c>
      <c r="AK1030" s="21">
        <f>IF(AND($A1030="",$B1030=""),"",IF($X1030&lt;&gt;"",$X1030,IF($T1030&lt;&gt;"Y","Not assessed",IF(AND(ISNUMBER($V1030),Setup!$B$6-$V1030&gt;Setup!$B$26),"Assessment outdated",IF(NOT(ISNUMBER($W1030)),"Assessed – no score",IF($W1030&gt;=Setup!$B$24,"High",IF($W1030&gt;=Setup!$B$25,"Moderate","Low")))))))</f>
        <v/>
      </c>
      <c r="AL1030" s="21">
        <f>IF(AND($A1030="",$B1030=""),"",IF(Z1030=0,"",IF(AND(AE1030=1,N($R1030)&gt;AD1030*1.01+0.001),"Net terrestrial &gt; gross; ","")&amp;IF(AND(AE1030=1,N($S1030)&gt;AC1030*1.01+0.001),"Net marine &gt; gross; ","")&amp;IF(AE1030=0,"No net area – gross used, overlaps may be double-counted; ","")&amp;IF(AH1030=0,"STATUS_YR missing – imputed in time series; ","")&amp;IF(AND(ISNUMBER($I1030),N($I1030)&gt;Setup!$B$6),"STATUS_YR after reporting year; ","")&amp;IF(OR($G1030="",$G1030="Not Reported"),"GOV_TYPE not reported; ","")&amp;IF(AND(N($J1030)=1,$K1030="Point",N($M1030)&lt;=0),"Coastal point without REP_M_AREA – land/sea split unknown; ","")&amp;IF(AND(N($J1030)=0,N($S1030)&gt;0),"MARINE=0 but net marine &gt;0; ","")&amp;IF(AND(N($J1030)=2,N($R1030)&gt;0),"MARINE=2 but net terrestrial &gt;0; ","")&amp;IF($K1030="Point","Buffered point – coverage approximate; ","")))</f>
        <v/>
      </c>
    </row>
    <row r="1031">
      <c r="A1031" s="19" t="n"/>
      <c r="B1031" s="19" t="n"/>
      <c r="C1031" s="19" t="n"/>
      <c r="D1031" s="19" t="n"/>
      <c r="E1031" s="19" t="n"/>
      <c r="F1031" s="19" t="n"/>
      <c r="G1031" s="19" t="n"/>
      <c r="H1031" s="19" t="n"/>
      <c r="I1031" s="19" t="n"/>
      <c r="J1031" s="19" t="n"/>
      <c r="K1031" s="19" t="n"/>
      <c r="L1031" s="20" t="n"/>
      <c r="M1031" s="20" t="n"/>
      <c r="N1031" s="20" t="n"/>
      <c r="O1031" s="20" t="n"/>
      <c r="P1031" s="19" t="n"/>
      <c r="Q1031" s="19" t="n"/>
      <c r="R1031" s="20" t="n"/>
      <c r="S1031" s="20" t="n"/>
      <c r="T1031" s="19" t="n"/>
      <c r="U1031" s="19" t="n"/>
      <c r="V1031" s="19" t="n"/>
      <c r="W1031" s="19" t="n"/>
      <c r="X1031" s="19" t="n"/>
      <c r="Y1031" s="19" t="n"/>
      <c r="Z1031" s="21">
        <f>IF(AND($A1031="",$B1031=""),"",IF(OR($E1031="",$H1031="",$H1031="Proposed",$H1031="Not Reported"),0,IF(AND($P1031="Y",$Q1031&lt;&gt;"Y"),0,IF(AND($K1031="Point",N($L1031)&lt;=0),0,IF(AND(N($L1031)&lt;=0,N($N1031)&lt;=0,N($R1031)+N($S1031)&lt;=0),0,1)))))</f>
        <v/>
      </c>
      <c r="AA1031" s="21">
        <f>IF(AND($A1031="",$B1031=""),"",IF($E1031="","Site type missing",IF($H1031="","STATUS missing",IF($H1031="Proposed","STATUS = Proposed",IF($H1031="Not Reported","STATUS = Not Reported",IF(AND($P1031="Y",$Q1031&lt;&gt;"Y"),"UNESCO-MAB Biosphere Reserve",IF(AND($K1031="Point",N($L1031)&lt;=0),"Point without REP_AREA",IF(AND(N($L1031)&lt;=0,N($N1031)&lt;=0,N($R1031)+N($S1031)&lt;=0),"No area information",""))))))))</f>
        <v/>
      </c>
      <c r="AB1031" s="22">
        <f>IF(AND($A1031="",$B1031=""),"",IF($K1031="Point",N($L1031),IF(N($N1031)&gt;0,N($N1031),N($L1031))))</f>
        <v/>
      </c>
      <c r="AC1031" s="22">
        <f>IF(AND($A1031="",$B1031=""),"",MIN(AB1031,IF(N($J1031)=0,0,IF(N($J1031)=2,AB1031,IF(AND($K1031&lt;&gt;"Point",N($O1031)&gt;0),N($O1031),N($M1031))))))</f>
        <v/>
      </c>
      <c r="AD1031" s="22">
        <f>IF(AND($A1031="",$B1031=""),"",MAX(0,AB1031-AC1031))</f>
        <v/>
      </c>
      <c r="AE1031" s="21">
        <f>IF(AND($A1031="",$B1031=""),"",IF(OR($R1031&lt;&gt;"",$S1031&lt;&gt;""),1,0))</f>
        <v/>
      </c>
      <c r="AF1031" s="22">
        <f>IF(AND($A1031="",$B1031=""),"",IF(Z1031=1,IF(AE1031=1,N($R1031),AD1031),0))</f>
        <v/>
      </c>
      <c r="AG1031" s="22">
        <f>IF(AND($A1031="",$B1031=""),"",IF(Z1031=1,IF(AE1031=1,N($S1031),AC1031),0))</f>
        <v/>
      </c>
      <c r="AH1031" s="21">
        <f>IF(AND($A1031="",$B1031=""),"",IF(AND(ISNUMBER($I1031),N($I1031)&gt;0),$I1031,0))</f>
        <v/>
      </c>
      <c r="AI1031" s="23">
        <f>IF(AND(NOT(AND($A1031="",$B1031="")),$K1031="Point",N($L1031)&gt;0),SQRT(N($L1031)/PI()),"")</f>
        <v/>
      </c>
      <c r="AJ1031" s="21">
        <f>IF(AND($A1031="",$B1031=""),"",IFERROR(VLOOKUP($G1031,Lists!$D$4:$E$15,2,FALSE),"Not reported"))</f>
        <v/>
      </c>
      <c r="AK1031" s="21">
        <f>IF(AND($A1031="",$B1031=""),"",IF($X1031&lt;&gt;"",$X1031,IF($T1031&lt;&gt;"Y","Not assessed",IF(AND(ISNUMBER($V1031),Setup!$B$6-$V1031&gt;Setup!$B$26),"Assessment outdated",IF(NOT(ISNUMBER($W1031)),"Assessed – no score",IF($W1031&gt;=Setup!$B$24,"High",IF($W1031&gt;=Setup!$B$25,"Moderate","Low")))))))</f>
        <v/>
      </c>
      <c r="AL1031" s="21">
        <f>IF(AND($A1031="",$B1031=""),"",IF(Z1031=0,"",IF(AND(AE1031=1,N($R1031)&gt;AD1031*1.01+0.001),"Net terrestrial &gt; gross; ","")&amp;IF(AND(AE1031=1,N($S1031)&gt;AC1031*1.01+0.001),"Net marine &gt; gross; ","")&amp;IF(AE1031=0,"No net area – gross used, overlaps may be double-counted; ","")&amp;IF(AH1031=0,"STATUS_YR missing – imputed in time series; ","")&amp;IF(AND(ISNUMBER($I1031),N($I1031)&gt;Setup!$B$6),"STATUS_YR after reporting year; ","")&amp;IF(OR($G1031="",$G1031="Not Reported"),"GOV_TYPE not reported; ","")&amp;IF(AND(N($J1031)=1,$K1031="Point",N($M1031)&lt;=0),"Coastal point without REP_M_AREA – land/sea split unknown; ","")&amp;IF(AND(N($J1031)=0,N($S1031)&gt;0),"MARINE=0 but net marine &gt;0; ","")&amp;IF(AND(N($J1031)=2,N($R1031)&gt;0),"MARINE=2 but net terrestrial &gt;0; ","")&amp;IF($K1031="Point","Buffered point – coverage approximate; ","")))</f>
        <v/>
      </c>
    </row>
    <row r="1032">
      <c r="A1032" s="19" t="n"/>
      <c r="B1032" s="19" t="n"/>
      <c r="C1032" s="19" t="n"/>
      <c r="D1032" s="19" t="n"/>
      <c r="E1032" s="19" t="n"/>
      <c r="F1032" s="19" t="n"/>
      <c r="G1032" s="19" t="n"/>
      <c r="H1032" s="19" t="n"/>
      <c r="I1032" s="19" t="n"/>
      <c r="J1032" s="19" t="n"/>
      <c r="K1032" s="19" t="n"/>
      <c r="L1032" s="20" t="n"/>
      <c r="M1032" s="20" t="n"/>
      <c r="N1032" s="20" t="n"/>
      <c r="O1032" s="20" t="n"/>
      <c r="P1032" s="19" t="n"/>
      <c r="Q1032" s="19" t="n"/>
      <c r="R1032" s="20" t="n"/>
      <c r="S1032" s="20" t="n"/>
      <c r="T1032" s="19" t="n"/>
      <c r="U1032" s="19" t="n"/>
      <c r="V1032" s="19" t="n"/>
      <c r="W1032" s="19" t="n"/>
      <c r="X1032" s="19" t="n"/>
      <c r="Y1032" s="19" t="n"/>
      <c r="Z1032" s="21">
        <f>IF(AND($A1032="",$B1032=""),"",IF(OR($E1032="",$H1032="",$H1032="Proposed",$H1032="Not Reported"),0,IF(AND($P1032="Y",$Q1032&lt;&gt;"Y"),0,IF(AND($K1032="Point",N($L1032)&lt;=0),0,IF(AND(N($L1032)&lt;=0,N($N1032)&lt;=0,N($R1032)+N($S1032)&lt;=0),0,1)))))</f>
        <v/>
      </c>
      <c r="AA1032" s="21">
        <f>IF(AND($A1032="",$B1032=""),"",IF($E1032="","Site type missing",IF($H1032="","STATUS missing",IF($H1032="Proposed","STATUS = Proposed",IF($H1032="Not Reported","STATUS = Not Reported",IF(AND($P1032="Y",$Q1032&lt;&gt;"Y"),"UNESCO-MAB Biosphere Reserve",IF(AND($K1032="Point",N($L1032)&lt;=0),"Point without REP_AREA",IF(AND(N($L1032)&lt;=0,N($N1032)&lt;=0,N($R1032)+N($S1032)&lt;=0),"No area information",""))))))))</f>
        <v/>
      </c>
      <c r="AB1032" s="22">
        <f>IF(AND($A1032="",$B1032=""),"",IF($K1032="Point",N($L1032),IF(N($N1032)&gt;0,N($N1032),N($L1032))))</f>
        <v/>
      </c>
      <c r="AC1032" s="22">
        <f>IF(AND($A1032="",$B1032=""),"",MIN(AB1032,IF(N($J1032)=0,0,IF(N($J1032)=2,AB1032,IF(AND($K1032&lt;&gt;"Point",N($O1032)&gt;0),N($O1032),N($M1032))))))</f>
        <v/>
      </c>
      <c r="AD1032" s="22">
        <f>IF(AND($A1032="",$B1032=""),"",MAX(0,AB1032-AC1032))</f>
        <v/>
      </c>
      <c r="AE1032" s="21">
        <f>IF(AND($A1032="",$B1032=""),"",IF(OR($R1032&lt;&gt;"",$S1032&lt;&gt;""),1,0))</f>
        <v/>
      </c>
      <c r="AF1032" s="22">
        <f>IF(AND($A1032="",$B1032=""),"",IF(Z1032=1,IF(AE1032=1,N($R1032),AD1032),0))</f>
        <v/>
      </c>
      <c r="AG1032" s="22">
        <f>IF(AND($A1032="",$B1032=""),"",IF(Z1032=1,IF(AE1032=1,N($S1032),AC1032),0))</f>
        <v/>
      </c>
      <c r="AH1032" s="21">
        <f>IF(AND($A1032="",$B1032=""),"",IF(AND(ISNUMBER($I1032),N($I1032)&gt;0),$I1032,0))</f>
        <v/>
      </c>
      <c r="AI1032" s="23">
        <f>IF(AND(NOT(AND($A1032="",$B1032="")),$K1032="Point",N($L1032)&gt;0),SQRT(N($L1032)/PI()),"")</f>
        <v/>
      </c>
      <c r="AJ1032" s="21">
        <f>IF(AND($A1032="",$B1032=""),"",IFERROR(VLOOKUP($G1032,Lists!$D$4:$E$15,2,FALSE),"Not reported"))</f>
        <v/>
      </c>
      <c r="AK1032" s="21">
        <f>IF(AND($A1032="",$B1032=""),"",IF($X1032&lt;&gt;"",$X1032,IF($T1032&lt;&gt;"Y","Not assessed",IF(AND(ISNUMBER($V1032),Setup!$B$6-$V1032&gt;Setup!$B$26),"Assessment outdated",IF(NOT(ISNUMBER($W1032)),"Assessed – no score",IF($W1032&gt;=Setup!$B$24,"High",IF($W1032&gt;=Setup!$B$25,"Moderate","Low")))))))</f>
        <v/>
      </c>
      <c r="AL1032" s="21">
        <f>IF(AND($A1032="",$B1032=""),"",IF(Z1032=0,"",IF(AND(AE1032=1,N($R1032)&gt;AD1032*1.01+0.001),"Net terrestrial &gt; gross; ","")&amp;IF(AND(AE1032=1,N($S1032)&gt;AC1032*1.01+0.001),"Net marine &gt; gross; ","")&amp;IF(AE1032=0,"No net area – gross used, overlaps may be double-counted; ","")&amp;IF(AH1032=0,"STATUS_YR missing – imputed in time series; ","")&amp;IF(AND(ISNUMBER($I1032),N($I1032)&gt;Setup!$B$6),"STATUS_YR after reporting year; ","")&amp;IF(OR($G1032="",$G1032="Not Reported"),"GOV_TYPE not reported; ","")&amp;IF(AND(N($J1032)=1,$K1032="Point",N($M1032)&lt;=0),"Coastal point without REP_M_AREA – land/sea split unknown; ","")&amp;IF(AND(N($J1032)=0,N($S1032)&gt;0),"MARINE=0 but net marine &gt;0; ","")&amp;IF(AND(N($J1032)=2,N($R1032)&gt;0),"MARINE=2 but net terrestrial &gt;0; ","")&amp;IF($K1032="Point","Buffered point – coverage approximate; ","")))</f>
        <v/>
      </c>
    </row>
    <row r="1033">
      <c r="A1033" s="19" t="n"/>
      <c r="B1033" s="19" t="n"/>
      <c r="C1033" s="19" t="n"/>
      <c r="D1033" s="19" t="n"/>
      <c r="E1033" s="19" t="n"/>
      <c r="F1033" s="19" t="n"/>
      <c r="G1033" s="19" t="n"/>
      <c r="H1033" s="19" t="n"/>
      <c r="I1033" s="19" t="n"/>
      <c r="J1033" s="19" t="n"/>
      <c r="K1033" s="19" t="n"/>
      <c r="L1033" s="20" t="n"/>
      <c r="M1033" s="20" t="n"/>
      <c r="N1033" s="20" t="n"/>
      <c r="O1033" s="20" t="n"/>
      <c r="P1033" s="19" t="n"/>
      <c r="Q1033" s="19" t="n"/>
      <c r="R1033" s="20" t="n"/>
      <c r="S1033" s="20" t="n"/>
      <c r="T1033" s="19" t="n"/>
      <c r="U1033" s="19" t="n"/>
      <c r="V1033" s="19" t="n"/>
      <c r="W1033" s="19" t="n"/>
      <c r="X1033" s="19" t="n"/>
      <c r="Y1033" s="19" t="n"/>
      <c r="Z1033" s="21">
        <f>IF(AND($A1033="",$B1033=""),"",IF(OR($E1033="",$H1033="",$H1033="Proposed",$H1033="Not Reported"),0,IF(AND($P1033="Y",$Q1033&lt;&gt;"Y"),0,IF(AND($K1033="Point",N($L1033)&lt;=0),0,IF(AND(N($L1033)&lt;=0,N($N1033)&lt;=0,N($R1033)+N($S1033)&lt;=0),0,1)))))</f>
        <v/>
      </c>
      <c r="AA1033" s="21">
        <f>IF(AND($A1033="",$B1033=""),"",IF($E1033="","Site type missing",IF($H1033="","STATUS missing",IF($H1033="Proposed","STATUS = Proposed",IF($H1033="Not Reported","STATUS = Not Reported",IF(AND($P1033="Y",$Q1033&lt;&gt;"Y"),"UNESCO-MAB Biosphere Reserve",IF(AND($K1033="Point",N($L1033)&lt;=0),"Point without REP_AREA",IF(AND(N($L1033)&lt;=0,N($N1033)&lt;=0,N($R1033)+N($S1033)&lt;=0),"No area information",""))))))))</f>
        <v/>
      </c>
      <c r="AB1033" s="22">
        <f>IF(AND($A1033="",$B1033=""),"",IF($K1033="Point",N($L1033),IF(N($N1033)&gt;0,N($N1033),N($L1033))))</f>
        <v/>
      </c>
      <c r="AC1033" s="22">
        <f>IF(AND($A1033="",$B1033=""),"",MIN(AB1033,IF(N($J1033)=0,0,IF(N($J1033)=2,AB1033,IF(AND($K1033&lt;&gt;"Point",N($O1033)&gt;0),N($O1033),N($M1033))))))</f>
        <v/>
      </c>
      <c r="AD1033" s="22">
        <f>IF(AND($A1033="",$B1033=""),"",MAX(0,AB1033-AC1033))</f>
        <v/>
      </c>
      <c r="AE1033" s="21">
        <f>IF(AND($A1033="",$B1033=""),"",IF(OR($R1033&lt;&gt;"",$S1033&lt;&gt;""),1,0))</f>
        <v/>
      </c>
      <c r="AF1033" s="22">
        <f>IF(AND($A1033="",$B1033=""),"",IF(Z1033=1,IF(AE1033=1,N($R1033),AD1033),0))</f>
        <v/>
      </c>
      <c r="AG1033" s="22">
        <f>IF(AND($A1033="",$B1033=""),"",IF(Z1033=1,IF(AE1033=1,N($S1033),AC1033),0))</f>
        <v/>
      </c>
      <c r="AH1033" s="21">
        <f>IF(AND($A1033="",$B1033=""),"",IF(AND(ISNUMBER($I1033),N($I1033)&gt;0),$I1033,0))</f>
        <v/>
      </c>
      <c r="AI1033" s="23">
        <f>IF(AND(NOT(AND($A1033="",$B1033="")),$K1033="Point",N($L1033)&gt;0),SQRT(N($L1033)/PI()),"")</f>
        <v/>
      </c>
      <c r="AJ1033" s="21">
        <f>IF(AND($A1033="",$B1033=""),"",IFERROR(VLOOKUP($G1033,Lists!$D$4:$E$15,2,FALSE),"Not reported"))</f>
        <v/>
      </c>
      <c r="AK1033" s="21">
        <f>IF(AND($A1033="",$B1033=""),"",IF($X1033&lt;&gt;"",$X1033,IF($T1033&lt;&gt;"Y","Not assessed",IF(AND(ISNUMBER($V1033),Setup!$B$6-$V1033&gt;Setup!$B$26),"Assessment outdated",IF(NOT(ISNUMBER($W1033)),"Assessed – no score",IF($W1033&gt;=Setup!$B$24,"High",IF($W1033&gt;=Setup!$B$25,"Moderate","Low")))))))</f>
        <v/>
      </c>
      <c r="AL1033" s="21">
        <f>IF(AND($A1033="",$B1033=""),"",IF(Z1033=0,"",IF(AND(AE1033=1,N($R1033)&gt;AD1033*1.01+0.001),"Net terrestrial &gt; gross; ","")&amp;IF(AND(AE1033=1,N($S1033)&gt;AC1033*1.01+0.001),"Net marine &gt; gross; ","")&amp;IF(AE1033=0,"No net area – gross used, overlaps may be double-counted; ","")&amp;IF(AH1033=0,"STATUS_YR missing – imputed in time series; ","")&amp;IF(AND(ISNUMBER($I1033),N($I1033)&gt;Setup!$B$6),"STATUS_YR after reporting year; ","")&amp;IF(OR($G1033="",$G1033="Not Reported"),"GOV_TYPE not reported; ","")&amp;IF(AND(N($J1033)=1,$K1033="Point",N($M1033)&lt;=0),"Coastal point without REP_M_AREA – land/sea split unknown; ","")&amp;IF(AND(N($J1033)=0,N($S1033)&gt;0),"MARINE=0 but net marine &gt;0; ","")&amp;IF(AND(N($J1033)=2,N($R1033)&gt;0),"MARINE=2 but net terrestrial &gt;0; ","")&amp;IF($K1033="Point","Buffered point – coverage approximate; ","")))</f>
        <v/>
      </c>
    </row>
    <row r="1034">
      <c r="A1034" s="19" t="n"/>
      <c r="B1034" s="19" t="n"/>
      <c r="C1034" s="19" t="n"/>
      <c r="D1034" s="19" t="n"/>
      <c r="E1034" s="19" t="n"/>
      <c r="F1034" s="19" t="n"/>
      <c r="G1034" s="19" t="n"/>
      <c r="H1034" s="19" t="n"/>
      <c r="I1034" s="19" t="n"/>
      <c r="J1034" s="19" t="n"/>
      <c r="K1034" s="19" t="n"/>
      <c r="L1034" s="20" t="n"/>
      <c r="M1034" s="20" t="n"/>
      <c r="N1034" s="20" t="n"/>
      <c r="O1034" s="20" t="n"/>
      <c r="P1034" s="19" t="n"/>
      <c r="Q1034" s="19" t="n"/>
      <c r="R1034" s="20" t="n"/>
      <c r="S1034" s="20" t="n"/>
      <c r="T1034" s="19" t="n"/>
      <c r="U1034" s="19" t="n"/>
      <c r="V1034" s="19" t="n"/>
      <c r="W1034" s="19" t="n"/>
      <c r="X1034" s="19" t="n"/>
      <c r="Y1034" s="19" t="n"/>
      <c r="Z1034" s="21">
        <f>IF(AND($A1034="",$B1034=""),"",IF(OR($E1034="",$H1034="",$H1034="Proposed",$H1034="Not Reported"),0,IF(AND($P1034="Y",$Q1034&lt;&gt;"Y"),0,IF(AND($K1034="Point",N($L1034)&lt;=0),0,IF(AND(N($L1034)&lt;=0,N($N1034)&lt;=0,N($R1034)+N($S1034)&lt;=0),0,1)))))</f>
        <v/>
      </c>
      <c r="AA1034" s="21">
        <f>IF(AND($A1034="",$B1034=""),"",IF($E1034="","Site type missing",IF($H1034="","STATUS missing",IF($H1034="Proposed","STATUS = Proposed",IF($H1034="Not Reported","STATUS = Not Reported",IF(AND($P1034="Y",$Q1034&lt;&gt;"Y"),"UNESCO-MAB Biosphere Reserve",IF(AND($K1034="Point",N($L1034)&lt;=0),"Point without REP_AREA",IF(AND(N($L1034)&lt;=0,N($N1034)&lt;=0,N($R1034)+N($S1034)&lt;=0),"No area information",""))))))))</f>
        <v/>
      </c>
      <c r="AB1034" s="22">
        <f>IF(AND($A1034="",$B1034=""),"",IF($K1034="Point",N($L1034),IF(N($N1034)&gt;0,N($N1034),N($L1034))))</f>
        <v/>
      </c>
      <c r="AC1034" s="22">
        <f>IF(AND($A1034="",$B1034=""),"",MIN(AB1034,IF(N($J1034)=0,0,IF(N($J1034)=2,AB1034,IF(AND($K1034&lt;&gt;"Point",N($O1034)&gt;0),N($O1034),N($M1034))))))</f>
        <v/>
      </c>
      <c r="AD1034" s="22">
        <f>IF(AND($A1034="",$B1034=""),"",MAX(0,AB1034-AC1034))</f>
        <v/>
      </c>
      <c r="AE1034" s="21">
        <f>IF(AND($A1034="",$B1034=""),"",IF(OR($R1034&lt;&gt;"",$S1034&lt;&gt;""),1,0))</f>
        <v/>
      </c>
      <c r="AF1034" s="22">
        <f>IF(AND($A1034="",$B1034=""),"",IF(Z1034=1,IF(AE1034=1,N($R1034),AD1034),0))</f>
        <v/>
      </c>
      <c r="AG1034" s="22">
        <f>IF(AND($A1034="",$B1034=""),"",IF(Z1034=1,IF(AE1034=1,N($S1034),AC1034),0))</f>
        <v/>
      </c>
      <c r="AH1034" s="21">
        <f>IF(AND($A1034="",$B1034=""),"",IF(AND(ISNUMBER($I1034),N($I1034)&gt;0),$I1034,0))</f>
        <v/>
      </c>
      <c r="AI1034" s="23">
        <f>IF(AND(NOT(AND($A1034="",$B1034="")),$K1034="Point",N($L1034)&gt;0),SQRT(N($L1034)/PI()),"")</f>
        <v/>
      </c>
      <c r="AJ1034" s="21">
        <f>IF(AND($A1034="",$B1034=""),"",IFERROR(VLOOKUP($G1034,Lists!$D$4:$E$15,2,FALSE),"Not reported"))</f>
        <v/>
      </c>
      <c r="AK1034" s="21">
        <f>IF(AND($A1034="",$B1034=""),"",IF($X1034&lt;&gt;"",$X1034,IF($T1034&lt;&gt;"Y","Not assessed",IF(AND(ISNUMBER($V1034),Setup!$B$6-$V1034&gt;Setup!$B$26),"Assessment outdated",IF(NOT(ISNUMBER($W1034)),"Assessed – no score",IF($W1034&gt;=Setup!$B$24,"High",IF($W1034&gt;=Setup!$B$25,"Moderate","Low")))))))</f>
        <v/>
      </c>
      <c r="AL1034" s="21">
        <f>IF(AND($A1034="",$B1034=""),"",IF(Z1034=0,"",IF(AND(AE1034=1,N($R1034)&gt;AD1034*1.01+0.001),"Net terrestrial &gt; gross; ","")&amp;IF(AND(AE1034=1,N($S1034)&gt;AC1034*1.01+0.001),"Net marine &gt; gross; ","")&amp;IF(AE1034=0,"No net area – gross used, overlaps may be double-counted; ","")&amp;IF(AH1034=0,"STATUS_YR missing – imputed in time series; ","")&amp;IF(AND(ISNUMBER($I1034),N($I1034)&gt;Setup!$B$6),"STATUS_YR after reporting year; ","")&amp;IF(OR($G1034="",$G1034="Not Reported"),"GOV_TYPE not reported; ","")&amp;IF(AND(N($J1034)=1,$K1034="Point",N($M1034)&lt;=0),"Coastal point without REP_M_AREA – land/sea split unknown; ","")&amp;IF(AND(N($J1034)=0,N($S1034)&gt;0),"MARINE=0 but net marine &gt;0; ","")&amp;IF(AND(N($J1034)=2,N($R1034)&gt;0),"MARINE=2 but net terrestrial &gt;0; ","")&amp;IF($K1034="Point","Buffered point – coverage approximate; ","")))</f>
        <v/>
      </c>
    </row>
    <row r="1035">
      <c r="A1035" s="19" t="n"/>
      <c r="B1035" s="19" t="n"/>
      <c r="C1035" s="19" t="n"/>
      <c r="D1035" s="19" t="n"/>
      <c r="E1035" s="19" t="n"/>
      <c r="F1035" s="19" t="n"/>
      <c r="G1035" s="19" t="n"/>
      <c r="H1035" s="19" t="n"/>
      <c r="I1035" s="19" t="n"/>
      <c r="J1035" s="19" t="n"/>
      <c r="K1035" s="19" t="n"/>
      <c r="L1035" s="20" t="n"/>
      <c r="M1035" s="20" t="n"/>
      <c r="N1035" s="20" t="n"/>
      <c r="O1035" s="20" t="n"/>
      <c r="P1035" s="19" t="n"/>
      <c r="Q1035" s="19" t="n"/>
      <c r="R1035" s="20" t="n"/>
      <c r="S1035" s="20" t="n"/>
      <c r="T1035" s="19" t="n"/>
      <c r="U1035" s="19" t="n"/>
      <c r="V1035" s="19" t="n"/>
      <c r="W1035" s="19" t="n"/>
      <c r="X1035" s="19" t="n"/>
      <c r="Y1035" s="19" t="n"/>
      <c r="Z1035" s="21">
        <f>IF(AND($A1035="",$B1035=""),"",IF(OR($E1035="",$H1035="",$H1035="Proposed",$H1035="Not Reported"),0,IF(AND($P1035="Y",$Q1035&lt;&gt;"Y"),0,IF(AND($K1035="Point",N($L1035)&lt;=0),0,IF(AND(N($L1035)&lt;=0,N($N1035)&lt;=0,N($R1035)+N($S1035)&lt;=0),0,1)))))</f>
        <v/>
      </c>
      <c r="AA1035" s="21">
        <f>IF(AND($A1035="",$B1035=""),"",IF($E1035="","Site type missing",IF($H1035="","STATUS missing",IF($H1035="Proposed","STATUS = Proposed",IF($H1035="Not Reported","STATUS = Not Reported",IF(AND($P1035="Y",$Q1035&lt;&gt;"Y"),"UNESCO-MAB Biosphere Reserve",IF(AND($K1035="Point",N($L1035)&lt;=0),"Point without REP_AREA",IF(AND(N($L1035)&lt;=0,N($N1035)&lt;=0,N($R1035)+N($S1035)&lt;=0),"No area information",""))))))))</f>
        <v/>
      </c>
      <c r="AB1035" s="22">
        <f>IF(AND($A1035="",$B1035=""),"",IF($K1035="Point",N($L1035),IF(N($N1035)&gt;0,N($N1035),N($L1035))))</f>
        <v/>
      </c>
      <c r="AC1035" s="22">
        <f>IF(AND($A1035="",$B1035=""),"",MIN(AB1035,IF(N($J1035)=0,0,IF(N($J1035)=2,AB1035,IF(AND($K1035&lt;&gt;"Point",N($O1035)&gt;0),N($O1035),N($M1035))))))</f>
        <v/>
      </c>
      <c r="AD1035" s="22">
        <f>IF(AND($A1035="",$B1035=""),"",MAX(0,AB1035-AC1035))</f>
        <v/>
      </c>
      <c r="AE1035" s="21">
        <f>IF(AND($A1035="",$B1035=""),"",IF(OR($R1035&lt;&gt;"",$S1035&lt;&gt;""),1,0))</f>
        <v/>
      </c>
      <c r="AF1035" s="22">
        <f>IF(AND($A1035="",$B1035=""),"",IF(Z1035=1,IF(AE1035=1,N($R1035),AD1035),0))</f>
        <v/>
      </c>
      <c r="AG1035" s="22">
        <f>IF(AND($A1035="",$B1035=""),"",IF(Z1035=1,IF(AE1035=1,N($S1035),AC1035),0))</f>
        <v/>
      </c>
      <c r="AH1035" s="21">
        <f>IF(AND($A1035="",$B1035=""),"",IF(AND(ISNUMBER($I1035),N($I1035)&gt;0),$I1035,0))</f>
        <v/>
      </c>
      <c r="AI1035" s="23">
        <f>IF(AND(NOT(AND($A1035="",$B1035="")),$K1035="Point",N($L1035)&gt;0),SQRT(N($L1035)/PI()),"")</f>
        <v/>
      </c>
      <c r="AJ1035" s="21">
        <f>IF(AND($A1035="",$B1035=""),"",IFERROR(VLOOKUP($G1035,Lists!$D$4:$E$15,2,FALSE),"Not reported"))</f>
        <v/>
      </c>
      <c r="AK1035" s="21">
        <f>IF(AND($A1035="",$B1035=""),"",IF($X1035&lt;&gt;"",$X1035,IF($T1035&lt;&gt;"Y","Not assessed",IF(AND(ISNUMBER($V1035),Setup!$B$6-$V1035&gt;Setup!$B$26),"Assessment outdated",IF(NOT(ISNUMBER($W1035)),"Assessed – no score",IF($W1035&gt;=Setup!$B$24,"High",IF($W1035&gt;=Setup!$B$25,"Moderate","Low")))))))</f>
        <v/>
      </c>
      <c r="AL1035" s="21">
        <f>IF(AND($A1035="",$B1035=""),"",IF(Z1035=0,"",IF(AND(AE1035=1,N($R1035)&gt;AD1035*1.01+0.001),"Net terrestrial &gt; gross; ","")&amp;IF(AND(AE1035=1,N($S1035)&gt;AC1035*1.01+0.001),"Net marine &gt; gross; ","")&amp;IF(AE1035=0,"No net area – gross used, overlaps may be double-counted; ","")&amp;IF(AH1035=0,"STATUS_YR missing – imputed in time series; ","")&amp;IF(AND(ISNUMBER($I1035),N($I1035)&gt;Setup!$B$6),"STATUS_YR after reporting year; ","")&amp;IF(OR($G1035="",$G1035="Not Reported"),"GOV_TYPE not reported; ","")&amp;IF(AND(N($J1035)=1,$K1035="Point",N($M1035)&lt;=0),"Coastal point without REP_M_AREA – land/sea split unknown; ","")&amp;IF(AND(N($J1035)=0,N($S1035)&gt;0),"MARINE=0 but net marine &gt;0; ","")&amp;IF(AND(N($J1035)=2,N($R1035)&gt;0),"MARINE=2 but net terrestrial &gt;0; ","")&amp;IF($K1035="Point","Buffered point – coverage approximate; ","")))</f>
        <v/>
      </c>
    </row>
    <row r="1036">
      <c r="A1036" s="19" t="n"/>
      <c r="B1036" s="19" t="n"/>
      <c r="C1036" s="19" t="n"/>
      <c r="D1036" s="19" t="n"/>
      <c r="E1036" s="19" t="n"/>
      <c r="F1036" s="19" t="n"/>
      <c r="G1036" s="19" t="n"/>
      <c r="H1036" s="19" t="n"/>
      <c r="I1036" s="19" t="n"/>
      <c r="J1036" s="19" t="n"/>
      <c r="K1036" s="19" t="n"/>
      <c r="L1036" s="20" t="n"/>
      <c r="M1036" s="20" t="n"/>
      <c r="N1036" s="20" t="n"/>
      <c r="O1036" s="20" t="n"/>
      <c r="P1036" s="19" t="n"/>
      <c r="Q1036" s="19" t="n"/>
      <c r="R1036" s="20" t="n"/>
      <c r="S1036" s="20" t="n"/>
      <c r="T1036" s="19" t="n"/>
      <c r="U1036" s="19" t="n"/>
      <c r="V1036" s="19" t="n"/>
      <c r="W1036" s="19" t="n"/>
      <c r="X1036" s="19" t="n"/>
      <c r="Y1036" s="19" t="n"/>
      <c r="Z1036" s="21">
        <f>IF(AND($A1036="",$B1036=""),"",IF(OR($E1036="",$H1036="",$H1036="Proposed",$H1036="Not Reported"),0,IF(AND($P1036="Y",$Q1036&lt;&gt;"Y"),0,IF(AND($K1036="Point",N($L1036)&lt;=0),0,IF(AND(N($L1036)&lt;=0,N($N1036)&lt;=0,N($R1036)+N($S1036)&lt;=0),0,1)))))</f>
        <v/>
      </c>
      <c r="AA1036" s="21">
        <f>IF(AND($A1036="",$B1036=""),"",IF($E1036="","Site type missing",IF($H1036="","STATUS missing",IF($H1036="Proposed","STATUS = Proposed",IF($H1036="Not Reported","STATUS = Not Reported",IF(AND($P1036="Y",$Q1036&lt;&gt;"Y"),"UNESCO-MAB Biosphere Reserve",IF(AND($K1036="Point",N($L1036)&lt;=0),"Point without REP_AREA",IF(AND(N($L1036)&lt;=0,N($N1036)&lt;=0,N($R1036)+N($S1036)&lt;=0),"No area information",""))))))))</f>
        <v/>
      </c>
      <c r="AB1036" s="22">
        <f>IF(AND($A1036="",$B1036=""),"",IF($K1036="Point",N($L1036),IF(N($N1036)&gt;0,N($N1036),N($L1036))))</f>
        <v/>
      </c>
      <c r="AC1036" s="22">
        <f>IF(AND($A1036="",$B1036=""),"",MIN(AB1036,IF(N($J1036)=0,0,IF(N($J1036)=2,AB1036,IF(AND($K1036&lt;&gt;"Point",N($O1036)&gt;0),N($O1036),N($M1036))))))</f>
        <v/>
      </c>
      <c r="AD1036" s="22">
        <f>IF(AND($A1036="",$B1036=""),"",MAX(0,AB1036-AC1036))</f>
        <v/>
      </c>
      <c r="AE1036" s="21">
        <f>IF(AND($A1036="",$B1036=""),"",IF(OR($R1036&lt;&gt;"",$S1036&lt;&gt;""),1,0))</f>
        <v/>
      </c>
      <c r="AF1036" s="22">
        <f>IF(AND($A1036="",$B1036=""),"",IF(Z1036=1,IF(AE1036=1,N($R1036),AD1036),0))</f>
        <v/>
      </c>
      <c r="AG1036" s="22">
        <f>IF(AND($A1036="",$B1036=""),"",IF(Z1036=1,IF(AE1036=1,N($S1036),AC1036),0))</f>
        <v/>
      </c>
      <c r="AH1036" s="21">
        <f>IF(AND($A1036="",$B1036=""),"",IF(AND(ISNUMBER($I1036),N($I1036)&gt;0),$I1036,0))</f>
        <v/>
      </c>
      <c r="AI1036" s="23">
        <f>IF(AND(NOT(AND($A1036="",$B1036="")),$K1036="Point",N($L1036)&gt;0),SQRT(N($L1036)/PI()),"")</f>
        <v/>
      </c>
      <c r="AJ1036" s="21">
        <f>IF(AND($A1036="",$B1036=""),"",IFERROR(VLOOKUP($G1036,Lists!$D$4:$E$15,2,FALSE),"Not reported"))</f>
        <v/>
      </c>
      <c r="AK1036" s="21">
        <f>IF(AND($A1036="",$B1036=""),"",IF($X1036&lt;&gt;"",$X1036,IF($T1036&lt;&gt;"Y","Not assessed",IF(AND(ISNUMBER($V1036),Setup!$B$6-$V1036&gt;Setup!$B$26),"Assessment outdated",IF(NOT(ISNUMBER($W1036)),"Assessed – no score",IF($W1036&gt;=Setup!$B$24,"High",IF($W1036&gt;=Setup!$B$25,"Moderate","Low")))))))</f>
        <v/>
      </c>
      <c r="AL1036" s="21">
        <f>IF(AND($A1036="",$B1036=""),"",IF(Z1036=0,"",IF(AND(AE1036=1,N($R1036)&gt;AD1036*1.01+0.001),"Net terrestrial &gt; gross; ","")&amp;IF(AND(AE1036=1,N($S1036)&gt;AC1036*1.01+0.001),"Net marine &gt; gross; ","")&amp;IF(AE1036=0,"No net area – gross used, overlaps may be double-counted; ","")&amp;IF(AH1036=0,"STATUS_YR missing – imputed in time series; ","")&amp;IF(AND(ISNUMBER($I1036),N($I1036)&gt;Setup!$B$6),"STATUS_YR after reporting year; ","")&amp;IF(OR($G1036="",$G1036="Not Reported"),"GOV_TYPE not reported; ","")&amp;IF(AND(N($J1036)=1,$K1036="Point",N($M1036)&lt;=0),"Coastal point without REP_M_AREA – land/sea split unknown; ","")&amp;IF(AND(N($J1036)=0,N($S1036)&gt;0),"MARINE=0 but net marine &gt;0; ","")&amp;IF(AND(N($J1036)=2,N($R1036)&gt;0),"MARINE=2 but net terrestrial &gt;0; ","")&amp;IF($K1036="Point","Buffered point – coverage approximate; ","")))</f>
        <v/>
      </c>
    </row>
    <row r="1037">
      <c r="A1037" s="19" t="n"/>
      <c r="B1037" s="19" t="n"/>
      <c r="C1037" s="19" t="n"/>
      <c r="D1037" s="19" t="n"/>
      <c r="E1037" s="19" t="n"/>
      <c r="F1037" s="19" t="n"/>
      <c r="G1037" s="19" t="n"/>
      <c r="H1037" s="19" t="n"/>
      <c r="I1037" s="19" t="n"/>
      <c r="J1037" s="19" t="n"/>
      <c r="K1037" s="19" t="n"/>
      <c r="L1037" s="20" t="n"/>
      <c r="M1037" s="20" t="n"/>
      <c r="N1037" s="20" t="n"/>
      <c r="O1037" s="20" t="n"/>
      <c r="P1037" s="19" t="n"/>
      <c r="Q1037" s="19" t="n"/>
      <c r="R1037" s="20" t="n"/>
      <c r="S1037" s="20" t="n"/>
      <c r="T1037" s="19" t="n"/>
      <c r="U1037" s="19" t="n"/>
      <c r="V1037" s="19" t="n"/>
      <c r="W1037" s="19" t="n"/>
      <c r="X1037" s="19" t="n"/>
      <c r="Y1037" s="19" t="n"/>
      <c r="Z1037" s="21">
        <f>IF(AND($A1037="",$B1037=""),"",IF(OR($E1037="",$H1037="",$H1037="Proposed",$H1037="Not Reported"),0,IF(AND($P1037="Y",$Q1037&lt;&gt;"Y"),0,IF(AND($K1037="Point",N($L1037)&lt;=0),0,IF(AND(N($L1037)&lt;=0,N($N1037)&lt;=0,N($R1037)+N($S1037)&lt;=0),0,1)))))</f>
        <v/>
      </c>
      <c r="AA1037" s="21">
        <f>IF(AND($A1037="",$B1037=""),"",IF($E1037="","Site type missing",IF($H1037="","STATUS missing",IF($H1037="Proposed","STATUS = Proposed",IF($H1037="Not Reported","STATUS = Not Reported",IF(AND($P1037="Y",$Q1037&lt;&gt;"Y"),"UNESCO-MAB Biosphere Reserve",IF(AND($K1037="Point",N($L1037)&lt;=0),"Point without REP_AREA",IF(AND(N($L1037)&lt;=0,N($N1037)&lt;=0,N($R1037)+N($S1037)&lt;=0),"No area information",""))))))))</f>
        <v/>
      </c>
      <c r="AB1037" s="22">
        <f>IF(AND($A1037="",$B1037=""),"",IF($K1037="Point",N($L1037),IF(N($N1037)&gt;0,N($N1037),N($L1037))))</f>
        <v/>
      </c>
      <c r="AC1037" s="22">
        <f>IF(AND($A1037="",$B1037=""),"",MIN(AB1037,IF(N($J1037)=0,0,IF(N($J1037)=2,AB1037,IF(AND($K1037&lt;&gt;"Point",N($O1037)&gt;0),N($O1037),N($M1037))))))</f>
        <v/>
      </c>
      <c r="AD1037" s="22">
        <f>IF(AND($A1037="",$B1037=""),"",MAX(0,AB1037-AC1037))</f>
        <v/>
      </c>
      <c r="AE1037" s="21">
        <f>IF(AND($A1037="",$B1037=""),"",IF(OR($R1037&lt;&gt;"",$S1037&lt;&gt;""),1,0))</f>
        <v/>
      </c>
      <c r="AF1037" s="22">
        <f>IF(AND($A1037="",$B1037=""),"",IF(Z1037=1,IF(AE1037=1,N($R1037),AD1037),0))</f>
        <v/>
      </c>
      <c r="AG1037" s="22">
        <f>IF(AND($A1037="",$B1037=""),"",IF(Z1037=1,IF(AE1037=1,N($S1037),AC1037),0))</f>
        <v/>
      </c>
      <c r="AH1037" s="21">
        <f>IF(AND($A1037="",$B1037=""),"",IF(AND(ISNUMBER($I1037),N($I1037)&gt;0),$I1037,0))</f>
        <v/>
      </c>
      <c r="AI1037" s="23">
        <f>IF(AND(NOT(AND($A1037="",$B1037="")),$K1037="Point",N($L1037)&gt;0),SQRT(N($L1037)/PI()),"")</f>
        <v/>
      </c>
      <c r="AJ1037" s="21">
        <f>IF(AND($A1037="",$B1037=""),"",IFERROR(VLOOKUP($G1037,Lists!$D$4:$E$15,2,FALSE),"Not reported"))</f>
        <v/>
      </c>
      <c r="AK1037" s="21">
        <f>IF(AND($A1037="",$B1037=""),"",IF($X1037&lt;&gt;"",$X1037,IF($T1037&lt;&gt;"Y","Not assessed",IF(AND(ISNUMBER($V1037),Setup!$B$6-$V1037&gt;Setup!$B$26),"Assessment outdated",IF(NOT(ISNUMBER($W1037)),"Assessed – no score",IF($W1037&gt;=Setup!$B$24,"High",IF($W1037&gt;=Setup!$B$25,"Moderate","Low")))))))</f>
        <v/>
      </c>
      <c r="AL1037" s="21">
        <f>IF(AND($A1037="",$B1037=""),"",IF(Z1037=0,"",IF(AND(AE1037=1,N($R1037)&gt;AD1037*1.01+0.001),"Net terrestrial &gt; gross; ","")&amp;IF(AND(AE1037=1,N($S1037)&gt;AC1037*1.01+0.001),"Net marine &gt; gross; ","")&amp;IF(AE1037=0,"No net area – gross used, overlaps may be double-counted; ","")&amp;IF(AH1037=0,"STATUS_YR missing – imputed in time series; ","")&amp;IF(AND(ISNUMBER($I1037),N($I1037)&gt;Setup!$B$6),"STATUS_YR after reporting year; ","")&amp;IF(OR($G1037="",$G1037="Not Reported"),"GOV_TYPE not reported; ","")&amp;IF(AND(N($J1037)=1,$K1037="Point",N($M1037)&lt;=0),"Coastal point without REP_M_AREA – land/sea split unknown; ","")&amp;IF(AND(N($J1037)=0,N($S1037)&gt;0),"MARINE=0 but net marine &gt;0; ","")&amp;IF(AND(N($J1037)=2,N($R1037)&gt;0),"MARINE=2 but net terrestrial &gt;0; ","")&amp;IF($K1037="Point","Buffered point – coverage approximate; ","")))</f>
        <v/>
      </c>
    </row>
    <row r="1038">
      <c r="A1038" s="19" t="n"/>
      <c r="B1038" s="19" t="n"/>
      <c r="C1038" s="19" t="n"/>
      <c r="D1038" s="19" t="n"/>
      <c r="E1038" s="19" t="n"/>
      <c r="F1038" s="19" t="n"/>
      <c r="G1038" s="19" t="n"/>
      <c r="H1038" s="19" t="n"/>
      <c r="I1038" s="19" t="n"/>
      <c r="J1038" s="19" t="n"/>
      <c r="K1038" s="19" t="n"/>
      <c r="L1038" s="20" t="n"/>
      <c r="M1038" s="20" t="n"/>
      <c r="N1038" s="20" t="n"/>
      <c r="O1038" s="20" t="n"/>
      <c r="P1038" s="19" t="n"/>
      <c r="Q1038" s="19" t="n"/>
      <c r="R1038" s="20" t="n"/>
      <c r="S1038" s="20" t="n"/>
      <c r="T1038" s="19" t="n"/>
      <c r="U1038" s="19" t="n"/>
      <c r="V1038" s="19" t="n"/>
      <c r="W1038" s="19" t="n"/>
      <c r="X1038" s="19" t="n"/>
      <c r="Y1038" s="19" t="n"/>
      <c r="Z1038" s="21">
        <f>IF(AND($A1038="",$B1038=""),"",IF(OR($E1038="",$H1038="",$H1038="Proposed",$H1038="Not Reported"),0,IF(AND($P1038="Y",$Q1038&lt;&gt;"Y"),0,IF(AND($K1038="Point",N($L1038)&lt;=0),0,IF(AND(N($L1038)&lt;=0,N($N1038)&lt;=0,N($R1038)+N($S1038)&lt;=0),0,1)))))</f>
        <v/>
      </c>
      <c r="AA1038" s="21">
        <f>IF(AND($A1038="",$B1038=""),"",IF($E1038="","Site type missing",IF($H1038="","STATUS missing",IF($H1038="Proposed","STATUS = Proposed",IF($H1038="Not Reported","STATUS = Not Reported",IF(AND($P1038="Y",$Q1038&lt;&gt;"Y"),"UNESCO-MAB Biosphere Reserve",IF(AND($K1038="Point",N($L1038)&lt;=0),"Point without REP_AREA",IF(AND(N($L1038)&lt;=0,N($N1038)&lt;=0,N($R1038)+N($S1038)&lt;=0),"No area information",""))))))))</f>
        <v/>
      </c>
      <c r="AB1038" s="22">
        <f>IF(AND($A1038="",$B1038=""),"",IF($K1038="Point",N($L1038),IF(N($N1038)&gt;0,N($N1038),N($L1038))))</f>
        <v/>
      </c>
      <c r="AC1038" s="22">
        <f>IF(AND($A1038="",$B1038=""),"",MIN(AB1038,IF(N($J1038)=0,0,IF(N($J1038)=2,AB1038,IF(AND($K1038&lt;&gt;"Point",N($O1038)&gt;0),N($O1038),N($M1038))))))</f>
        <v/>
      </c>
      <c r="AD1038" s="22">
        <f>IF(AND($A1038="",$B1038=""),"",MAX(0,AB1038-AC1038))</f>
        <v/>
      </c>
      <c r="AE1038" s="21">
        <f>IF(AND($A1038="",$B1038=""),"",IF(OR($R1038&lt;&gt;"",$S1038&lt;&gt;""),1,0))</f>
        <v/>
      </c>
      <c r="AF1038" s="22">
        <f>IF(AND($A1038="",$B1038=""),"",IF(Z1038=1,IF(AE1038=1,N($R1038),AD1038),0))</f>
        <v/>
      </c>
      <c r="AG1038" s="22">
        <f>IF(AND($A1038="",$B1038=""),"",IF(Z1038=1,IF(AE1038=1,N($S1038),AC1038),0))</f>
        <v/>
      </c>
      <c r="AH1038" s="21">
        <f>IF(AND($A1038="",$B1038=""),"",IF(AND(ISNUMBER($I1038),N($I1038)&gt;0),$I1038,0))</f>
        <v/>
      </c>
      <c r="AI1038" s="23">
        <f>IF(AND(NOT(AND($A1038="",$B1038="")),$K1038="Point",N($L1038)&gt;0),SQRT(N($L1038)/PI()),"")</f>
        <v/>
      </c>
      <c r="AJ1038" s="21">
        <f>IF(AND($A1038="",$B1038=""),"",IFERROR(VLOOKUP($G1038,Lists!$D$4:$E$15,2,FALSE),"Not reported"))</f>
        <v/>
      </c>
      <c r="AK1038" s="21">
        <f>IF(AND($A1038="",$B1038=""),"",IF($X1038&lt;&gt;"",$X1038,IF($T1038&lt;&gt;"Y","Not assessed",IF(AND(ISNUMBER($V1038),Setup!$B$6-$V1038&gt;Setup!$B$26),"Assessment outdated",IF(NOT(ISNUMBER($W1038)),"Assessed – no score",IF($W1038&gt;=Setup!$B$24,"High",IF($W1038&gt;=Setup!$B$25,"Moderate","Low")))))))</f>
        <v/>
      </c>
      <c r="AL1038" s="21">
        <f>IF(AND($A1038="",$B1038=""),"",IF(Z1038=0,"",IF(AND(AE1038=1,N($R1038)&gt;AD1038*1.01+0.001),"Net terrestrial &gt; gross; ","")&amp;IF(AND(AE1038=1,N($S1038)&gt;AC1038*1.01+0.001),"Net marine &gt; gross; ","")&amp;IF(AE1038=0,"No net area – gross used, overlaps may be double-counted; ","")&amp;IF(AH1038=0,"STATUS_YR missing – imputed in time series; ","")&amp;IF(AND(ISNUMBER($I1038),N($I1038)&gt;Setup!$B$6),"STATUS_YR after reporting year; ","")&amp;IF(OR($G1038="",$G1038="Not Reported"),"GOV_TYPE not reported; ","")&amp;IF(AND(N($J1038)=1,$K1038="Point",N($M1038)&lt;=0),"Coastal point without REP_M_AREA – land/sea split unknown; ","")&amp;IF(AND(N($J1038)=0,N($S1038)&gt;0),"MARINE=0 but net marine &gt;0; ","")&amp;IF(AND(N($J1038)=2,N($R1038)&gt;0),"MARINE=2 but net terrestrial &gt;0; ","")&amp;IF($K1038="Point","Buffered point – coverage approximate; ","")))</f>
        <v/>
      </c>
    </row>
    <row r="1039">
      <c r="A1039" s="19" t="n"/>
      <c r="B1039" s="19" t="n"/>
      <c r="C1039" s="19" t="n"/>
      <c r="D1039" s="19" t="n"/>
      <c r="E1039" s="19" t="n"/>
      <c r="F1039" s="19" t="n"/>
      <c r="G1039" s="19" t="n"/>
      <c r="H1039" s="19" t="n"/>
      <c r="I1039" s="19" t="n"/>
      <c r="J1039" s="19" t="n"/>
      <c r="K1039" s="19" t="n"/>
      <c r="L1039" s="20" t="n"/>
      <c r="M1039" s="20" t="n"/>
      <c r="N1039" s="20" t="n"/>
      <c r="O1039" s="20" t="n"/>
      <c r="P1039" s="19" t="n"/>
      <c r="Q1039" s="19" t="n"/>
      <c r="R1039" s="20" t="n"/>
      <c r="S1039" s="20" t="n"/>
      <c r="T1039" s="19" t="n"/>
      <c r="U1039" s="19" t="n"/>
      <c r="V1039" s="19" t="n"/>
      <c r="W1039" s="19" t="n"/>
      <c r="X1039" s="19" t="n"/>
      <c r="Y1039" s="19" t="n"/>
      <c r="Z1039" s="21">
        <f>IF(AND($A1039="",$B1039=""),"",IF(OR($E1039="",$H1039="",$H1039="Proposed",$H1039="Not Reported"),0,IF(AND($P1039="Y",$Q1039&lt;&gt;"Y"),0,IF(AND($K1039="Point",N($L1039)&lt;=0),0,IF(AND(N($L1039)&lt;=0,N($N1039)&lt;=0,N($R1039)+N($S1039)&lt;=0),0,1)))))</f>
        <v/>
      </c>
      <c r="AA1039" s="21">
        <f>IF(AND($A1039="",$B1039=""),"",IF($E1039="","Site type missing",IF($H1039="","STATUS missing",IF($H1039="Proposed","STATUS = Proposed",IF($H1039="Not Reported","STATUS = Not Reported",IF(AND($P1039="Y",$Q1039&lt;&gt;"Y"),"UNESCO-MAB Biosphere Reserve",IF(AND($K1039="Point",N($L1039)&lt;=0),"Point without REP_AREA",IF(AND(N($L1039)&lt;=0,N($N1039)&lt;=0,N($R1039)+N($S1039)&lt;=0),"No area information",""))))))))</f>
        <v/>
      </c>
      <c r="AB1039" s="22">
        <f>IF(AND($A1039="",$B1039=""),"",IF($K1039="Point",N($L1039),IF(N($N1039)&gt;0,N($N1039),N($L1039))))</f>
        <v/>
      </c>
      <c r="AC1039" s="22">
        <f>IF(AND($A1039="",$B1039=""),"",MIN(AB1039,IF(N($J1039)=0,0,IF(N($J1039)=2,AB1039,IF(AND($K1039&lt;&gt;"Point",N($O1039)&gt;0),N($O1039),N($M1039))))))</f>
        <v/>
      </c>
      <c r="AD1039" s="22">
        <f>IF(AND($A1039="",$B1039=""),"",MAX(0,AB1039-AC1039))</f>
        <v/>
      </c>
      <c r="AE1039" s="21">
        <f>IF(AND($A1039="",$B1039=""),"",IF(OR($R1039&lt;&gt;"",$S1039&lt;&gt;""),1,0))</f>
        <v/>
      </c>
      <c r="AF1039" s="22">
        <f>IF(AND($A1039="",$B1039=""),"",IF(Z1039=1,IF(AE1039=1,N($R1039),AD1039),0))</f>
        <v/>
      </c>
      <c r="AG1039" s="22">
        <f>IF(AND($A1039="",$B1039=""),"",IF(Z1039=1,IF(AE1039=1,N($S1039),AC1039),0))</f>
        <v/>
      </c>
      <c r="AH1039" s="21">
        <f>IF(AND($A1039="",$B1039=""),"",IF(AND(ISNUMBER($I1039),N($I1039)&gt;0),$I1039,0))</f>
        <v/>
      </c>
      <c r="AI1039" s="23">
        <f>IF(AND(NOT(AND($A1039="",$B1039="")),$K1039="Point",N($L1039)&gt;0),SQRT(N($L1039)/PI()),"")</f>
        <v/>
      </c>
      <c r="AJ1039" s="21">
        <f>IF(AND($A1039="",$B1039=""),"",IFERROR(VLOOKUP($G1039,Lists!$D$4:$E$15,2,FALSE),"Not reported"))</f>
        <v/>
      </c>
      <c r="AK1039" s="21">
        <f>IF(AND($A1039="",$B1039=""),"",IF($X1039&lt;&gt;"",$X1039,IF($T1039&lt;&gt;"Y","Not assessed",IF(AND(ISNUMBER($V1039),Setup!$B$6-$V1039&gt;Setup!$B$26),"Assessment outdated",IF(NOT(ISNUMBER($W1039)),"Assessed – no score",IF($W1039&gt;=Setup!$B$24,"High",IF($W1039&gt;=Setup!$B$25,"Moderate","Low")))))))</f>
        <v/>
      </c>
      <c r="AL1039" s="21">
        <f>IF(AND($A1039="",$B1039=""),"",IF(Z1039=0,"",IF(AND(AE1039=1,N($R1039)&gt;AD1039*1.01+0.001),"Net terrestrial &gt; gross; ","")&amp;IF(AND(AE1039=1,N($S1039)&gt;AC1039*1.01+0.001),"Net marine &gt; gross; ","")&amp;IF(AE1039=0,"No net area – gross used, overlaps may be double-counted; ","")&amp;IF(AH1039=0,"STATUS_YR missing – imputed in time series; ","")&amp;IF(AND(ISNUMBER($I1039),N($I1039)&gt;Setup!$B$6),"STATUS_YR after reporting year; ","")&amp;IF(OR($G1039="",$G1039="Not Reported"),"GOV_TYPE not reported; ","")&amp;IF(AND(N($J1039)=1,$K1039="Point",N($M1039)&lt;=0),"Coastal point without REP_M_AREA – land/sea split unknown; ","")&amp;IF(AND(N($J1039)=0,N($S1039)&gt;0),"MARINE=0 but net marine &gt;0; ","")&amp;IF(AND(N($J1039)=2,N($R1039)&gt;0),"MARINE=2 but net terrestrial &gt;0; ","")&amp;IF($K1039="Point","Buffered point – coverage approximate; ","")))</f>
        <v/>
      </c>
    </row>
    <row r="1040">
      <c r="A1040" s="19" t="n"/>
      <c r="B1040" s="19" t="n"/>
      <c r="C1040" s="19" t="n"/>
      <c r="D1040" s="19" t="n"/>
      <c r="E1040" s="19" t="n"/>
      <c r="F1040" s="19" t="n"/>
      <c r="G1040" s="19" t="n"/>
      <c r="H1040" s="19" t="n"/>
      <c r="I1040" s="19" t="n"/>
      <c r="J1040" s="19" t="n"/>
      <c r="K1040" s="19" t="n"/>
      <c r="L1040" s="20" t="n"/>
      <c r="M1040" s="20" t="n"/>
      <c r="N1040" s="20" t="n"/>
      <c r="O1040" s="20" t="n"/>
      <c r="P1040" s="19" t="n"/>
      <c r="Q1040" s="19" t="n"/>
      <c r="R1040" s="20" t="n"/>
      <c r="S1040" s="20" t="n"/>
      <c r="T1040" s="19" t="n"/>
      <c r="U1040" s="19" t="n"/>
      <c r="V1040" s="19" t="n"/>
      <c r="W1040" s="19" t="n"/>
      <c r="X1040" s="19" t="n"/>
      <c r="Y1040" s="19" t="n"/>
      <c r="Z1040" s="21">
        <f>IF(AND($A1040="",$B1040=""),"",IF(OR($E1040="",$H1040="",$H1040="Proposed",$H1040="Not Reported"),0,IF(AND($P1040="Y",$Q1040&lt;&gt;"Y"),0,IF(AND($K1040="Point",N($L1040)&lt;=0),0,IF(AND(N($L1040)&lt;=0,N($N1040)&lt;=0,N($R1040)+N($S1040)&lt;=0),0,1)))))</f>
        <v/>
      </c>
      <c r="AA1040" s="21">
        <f>IF(AND($A1040="",$B1040=""),"",IF($E1040="","Site type missing",IF($H1040="","STATUS missing",IF($H1040="Proposed","STATUS = Proposed",IF($H1040="Not Reported","STATUS = Not Reported",IF(AND($P1040="Y",$Q1040&lt;&gt;"Y"),"UNESCO-MAB Biosphere Reserve",IF(AND($K1040="Point",N($L1040)&lt;=0),"Point without REP_AREA",IF(AND(N($L1040)&lt;=0,N($N1040)&lt;=0,N($R1040)+N($S1040)&lt;=0),"No area information",""))))))))</f>
        <v/>
      </c>
      <c r="AB1040" s="22">
        <f>IF(AND($A1040="",$B1040=""),"",IF($K1040="Point",N($L1040),IF(N($N1040)&gt;0,N($N1040),N($L1040))))</f>
        <v/>
      </c>
      <c r="AC1040" s="22">
        <f>IF(AND($A1040="",$B1040=""),"",MIN(AB1040,IF(N($J1040)=0,0,IF(N($J1040)=2,AB1040,IF(AND($K1040&lt;&gt;"Point",N($O1040)&gt;0),N($O1040),N($M1040))))))</f>
        <v/>
      </c>
      <c r="AD1040" s="22">
        <f>IF(AND($A1040="",$B1040=""),"",MAX(0,AB1040-AC1040))</f>
        <v/>
      </c>
      <c r="AE1040" s="21">
        <f>IF(AND($A1040="",$B1040=""),"",IF(OR($R1040&lt;&gt;"",$S1040&lt;&gt;""),1,0))</f>
        <v/>
      </c>
      <c r="AF1040" s="22">
        <f>IF(AND($A1040="",$B1040=""),"",IF(Z1040=1,IF(AE1040=1,N($R1040),AD1040),0))</f>
        <v/>
      </c>
      <c r="AG1040" s="22">
        <f>IF(AND($A1040="",$B1040=""),"",IF(Z1040=1,IF(AE1040=1,N($S1040),AC1040),0))</f>
        <v/>
      </c>
      <c r="AH1040" s="21">
        <f>IF(AND($A1040="",$B1040=""),"",IF(AND(ISNUMBER($I1040),N($I1040)&gt;0),$I1040,0))</f>
        <v/>
      </c>
      <c r="AI1040" s="23">
        <f>IF(AND(NOT(AND($A1040="",$B1040="")),$K1040="Point",N($L1040)&gt;0),SQRT(N($L1040)/PI()),"")</f>
        <v/>
      </c>
      <c r="AJ1040" s="21">
        <f>IF(AND($A1040="",$B1040=""),"",IFERROR(VLOOKUP($G1040,Lists!$D$4:$E$15,2,FALSE),"Not reported"))</f>
        <v/>
      </c>
      <c r="AK1040" s="21">
        <f>IF(AND($A1040="",$B1040=""),"",IF($X1040&lt;&gt;"",$X1040,IF($T1040&lt;&gt;"Y","Not assessed",IF(AND(ISNUMBER($V1040),Setup!$B$6-$V1040&gt;Setup!$B$26),"Assessment outdated",IF(NOT(ISNUMBER($W1040)),"Assessed – no score",IF($W1040&gt;=Setup!$B$24,"High",IF($W1040&gt;=Setup!$B$25,"Moderate","Low")))))))</f>
        <v/>
      </c>
      <c r="AL1040" s="21">
        <f>IF(AND($A1040="",$B1040=""),"",IF(Z1040=0,"",IF(AND(AE1040=1,N($R1040)&gt;AD1040*1.01+0.001),"Net terrestrial &gt; gross; ","")&amp;IF(AND(AE1040=1,N($S1040)&gt;AC1040*1.01+0.001),"Net marine &gt; gross; ","")&amp;IF(AE1040=0,"No net area – gross used, overlaps may be double-counted; ","")&amp;IF(AH1040=0,"STATUS_YR missing – imputed in time series; ","")&amp;IF(AND(ISNUMBER($I1040),N($I1040)&gt;Setup!$B$6),"STATUS_YR after reporting year; ","")&amp;IF(OR($G1040="",$G1040="Not Reported"),"GOV_TYPE not reported; ","")&amp;IF(AND(N($J1040)=1,$K1040="Point",N($M1040)&lt;=0),"Coastal point without REP_M_AREA – land/sea split unknown; ","")&amp;IF(AND(N($J1040)=0,N($S1040)&gt;0),"MARINE=0 but net marine &gt;0; ","")&amp;IF(AND(N($J1040)=2,N($R1040)&gt;0),"MARINE=2 but net terrestrial &gt;0; ","")&amp;IF($K1040="Point","Buffered point – coverage approximate; ","")))</f>
        <v/>
      </c>
    </row>
    <row r="1041">
      <c r="A1041" s="19" t="n"/>
      <c r="B1041" s="19" t="n"/>
      <c r="C1041" s="19" t="n"/>
      <c r="D1041" s="19" t="n"/>
      <c r="E1041" s="19" t="n"/>
      <c r="F1041" s="19" t="n"/>
      <c r="G1041" s="19" t="n"/>
      <c r="H1041" s="19" t="n"/>
      <c r="I1041" s="19" t="n"/>
      <c r="J1041" s="19" t="n"/>
      <c r="K1041" s="19" t="n"/>
      <c r="L1041" s="20" t="n"/>
      <c r="M1041" s="20" t="n"/>
      <c r="N1041" s="20" t="n"/>
      <c r="O1041" s="20" t="n"/>
      <c r="P1041" s="19" t="n"/>
      <c r="Q1041" s="19" t="n"/>
      <c r="R1041" s="20" t="n"/>
      <c r="S1041" s="20" t="n"/>
      <c r="T1041" s="19" t="n"/>
      <c r="U1041" s="19" t="n"/>
      <c r="V1041" s="19" t="n"/>
      <c r="W1041" s="19" t="n"/>
      <c r="X1041" s="19" t="n"/>
      <c r="Y1041" s="19" t="n"/>
      <c r="Z1041" s="21">
        <f>IF(AND($A1041="",$B1041=""),"",IF(OR($E1041="",$H1041="",$H1041="Proposed",$H1041="Not Reported"),0,IF(AND($P1041="Y",$Q1041&lt;&gt;"Y"),0,IF(AND($K1041="Point",N($L1041)&lt;=0),0,IF(AND(N($L1041)&lt;=0,N($N1041)&lt;=0,N($R1041)+N($S1041)&lt;=0),0,1)))))</f>
        <v/>
      </c>
      <c r="AA1041" s="21">
        <f>IF(AND($A1041="",$B1041=""),"",IF($E1041="","Site type missing",IF($H1041="","STATUS missing",IF($H1041="Proposed","STATUS = Proposed",IF($H1041="Not Reported","STATUS = Not Reported",IF(AND($P1041="Y",$Q1041&lt;&gt;"Y"),"UNESCO-MAB Biosphere Reserve",IF(AND($K1041="Point",N($L1041)&lt;=0),"Point without REP_AREA",IF(AND(N($L1041)&lt;=0,N($N1041)&lt;=0,N($R1041)+N($S1041)&lt;=0),"No area information",""))))))))</f>
        <v/>
      </c>
      <c r="AB1041" s="22">
        <f>IF(AND($A1041="",$B1041=""),"",IF($K1041="Point",N($L1041),IF(N($N1041)&gt;0,N($N1041),N($L1041))))</f>
        <v/>
      </c>
      <c r="AC1041" s="22">
        <f>IF(AND($A1041="",$B1041=""),"",MIN(AB1041,IF(N($J1041)=0,0,IF(N($J1041)=2,AB1041,IF(AND($K1041&lt;&gt;"Point",N($O1041)&gt;0),N($O1041),N($M1041))))))</f>
        <v/>
      </c>
      <c r="AD1041" s="22">
        <f>IF(AND($A1041="",$B1041=""),"",MAX(0,AB1041-AC1041))</f>
        <v/>
      </c>
      <c r="AE1041" s="21">
        <f>IF(AND($A1041="",$B1041=""),"",IF(OR($R1041&lt;&gt;"",$S1041&lt;&gt;""),1,0))</f>
        <v/>
      </c>
      <c r="AF1041" s="22">
        <f>IF(AND($A1041="",$B1041=""),"",IF(Z1041=1,IF(AE1041=1,N($R1041),AD1041),0))</f>
        <v/>
      </c>
      <c r="AG1041" s="22">
        <f>IF(AND($A1041="",$B1041=""),"",IF(Z1041=1,IF(AE1041=1,N($S1041),AC1041),0))</f>
        <v/>
      </c>
      <c r="AH1041" s="21">
        <f>IF(AND($A1041="",$B1041=""),"",IF(AND(ISNUMBER($I1041),N($I1041)&gt;0),$I1041,0))</f>
        <v/>
      </c>
      <c r="AI1041" s="23">
        <f>IF(AND(NOT(AND($A1041="",$B1041="")),$K1041="Point",N($L1041)&gt;0),SQRT(N($L1041)/PI()),"")</f>
        <v/>
      </c>
      <c r="AJ1041" s="21">
        <f>IF(AND($A1041="",$B1041=""),"",IFERROR(VLOOKUP($G1041,Lists!$D$4:$E$15,2,FALSE),"Not reported"))</f>
        <v/>
      </c>
      <c r="AK1041" s="21">
        <f>IF(AND($A1041="",$B1041=""),"",IF($X1041&lt;&gt;"",$X1041,IF($T1041&lt;&gt;"Y","Not assessed",IF(AND(ISNUMBER($V1041),Setup!$B$6-$V1041&gt;Setup!$B$26),"Assessment outdated",IF(NOT(ISNUMBER($W1041)),"Assessed – no score",IF($W1041&gt;=Setup!$B$24,"High",IF($W1041&gt;=Setup!$B$25,"Moderate","Low")))))))</f>
        <v/>
      </c>
      <c r="AL1041" s="21">
        <f>IF(AND($A1041="",$B1041=""),"",IF(Z1041=0,"",IF(AND(AE1041=1,N($R1041)&gt;AD1041*1.01+0.001),"Net terrestrial &gt; gross; ","")&amp;IF(AND(AE1041=1,N($S1041)&gt;AC1041*1.01+0.001),"Net marine &gt; gross; ","")&amp;IF(AE1041=0,"No net area – gross used, overlaps may be double-counted; ","")&amp;IF(AH1041=0,"STATUS_YR missing – imputed in time series; ","")&amp;IF(AND(ISNUMBER($I1041),N($I1041)&gt;Setup!$B$6),"STATUS_YR after reporting year; ","")&amp;IF(OR($G1041="",$G1041="Not Reported"),"GOV_TYPE not reported; ","")&amp;IF(AND(N($J1041)=1,$K1041="Point",N($M1041)&lt;=0),"Coastal point without REP_M_AREA – land/sea split unknown; ","")&amp;IF(AND(N($J1041)=0,N($S1041)&gt;0),"MARINE=0 but net marine &gt;0; ","")&amp;IF(AND(N($J1041)=2,N($R1041)&gt;0),"MARINE=2 but net terrestrial &gt;0; ","")&amp;IF($K1041="Point","Buffered point – coverage approximate; ","")))</f>
        <v/>
      </c>
    </row>
    <row r="1042">
      <c r="A1042" s="19" t="n"/>
      <c r="B1042" s="19" t="n"/>
      <c r="C1042" s="19" t="n"/>
      <c r="D1042" s="19" t="n"/>
      <c r="E1042" s="19" t="n"/>
      <c r="F1042" s="19" t="n"/>
      <c r="G1042" s="19" t="n"/>
      <c r="H1042" s="19" t="n"/>
      <c r="I1042" s="19" t="n"/>
      <c r="J1042" s="19" t="n"/>
      <c r="K1042" s="19" t="n"/>
      <c r="L1042" s="20" t="n"/>
      <c r="M1042" s="20" t="n"/>
      <c r="N1042" s="20" t="n"/>
      <c r="O1042" s="20" t="n"/>
      <c r="P1042" s="19" t="n"/>
      <c r="Q1042" s="19" t="n"/>
      <c r="R1042" s="20" t="n"/>
      <c r="S1042" s="20" t="n"/>
      <c r="T1042" s="19" t="n"/>
      <c r="U1042" s="19" t="n"/>
      <c r="V1042" s="19" t="n"/>
      <c r="W1042" s="19" t="n"/>
      <c r="X1042" s="19" t="n"/>
      <c r="Y1042" s="19" t="n"/>
      <c r="Z1042" s="21">
        <f>IF(AND($A1042="",$B1042=""),"",IF(OR($E1042="",$H1042="",$H1042="Proposed",$H1042="Not Reported"),0,IF(AND($P1042="Y",$Q1042&lt;&gt;"Y"),0,IF(AND($K1042="Point",N($L1042)&lt;=0),0,IF(AND(N($L1042)&lt;=0,N($N1042)&lt;=0,N($R1042)+N($S1042)&lt;=0),0,1)))))</f>
        <v/>
      </c>
      <c r="AA1042" s="21">
        <f>IF(AND($A1042="",$B1042=""),"",IF($E1042="","Site type missing",IF($H1042="","STATUS missing",IF($H1042="Proposed","STATUS = Proposed",IF($H1042="Not Reported","STATUS = Not Reported",IF(AND($P1042="Y",$Q1042&lt;&gt;"Y"),"UNESCO-MAB Biosphere Reserve",IF(AND($K1042="Point",N($L1042)&lt;=0),"Point without REP_AREA",IF(AND(N($L1042)&lt;=0,N($N1042)&lt;=0,N($R1042)+N($S1042)&lt;=0),"No area information",""))))))))</f>
        <v/>
      </c>
      <c r="AB1042" s="22">
        <f>IF(AND($A1042="",$B1042=""),"",IF($K1042="Point",N($L1042),IF(N($N1042)&gt;0,N($N1042),N($L1042))))</f>
        <v/>
      </c>
      <c r="AC1042" s="22">
        <f>IF(AND($A1042="",$B1042=""),"",MIN(AB1042,IF(N($J1042)=0,0,IF(N($J1042)=2,AB1042,IF(AND($K1042&lt;&gt;"Point",N($O1042)&gt;0),N($O1042),N($M1042))))))</f>
        <v/>
      </c>
      <c r="AD1042" s="22">
        <f>IF(AND($A1042="",$B1042=""),"",MAX(0,AB1042-AC1042))</f>
        <v/>
      </c>
      <c r="AE1042" s="21">
        <f>IF(AND($A1042="",$B1042=""),"",IF(OR($R1042&lt;&gt;"",$S1042&lt;&gt;""),1,0))</f>
        <v/>
      </c>
      <c r="AF1042" s="22">
        <f>IF(AND($A1042="",$B1042=""),"",IF(Z1042=1,IF(AE1042=1,N($R1042),AD1042),0))</f>
        <v/>
      </c>
      <c r="AG1042" s="22">
        <f>IF(AND($A1042="",$B1042=""),"",IF(Z1042=1,IF(AE1042=1,N($S1042),AC1042),0))</f>
        <v/>
      </c>
      <c r="AH1042" s="21">
        <f>IF(AND($A1042="",$B1042=""),"",IF(AND(ISNUMBER($I1042),N($I1042)&gt;0),$I1042,0))</f>
        <v/>
      </c>
      <c r="AI1042" s="23">
        <f>IF(AND(NOT(AND($A1042="",$B1042="")),$K1042="Point",N($L1042)&gt;0),SQRT(N($L1042)/PI()),"")</f>
        <v/>
      </c>
      <c r="AJ1042" s="21">
        <f>IF(AND($A1042="",$B1042=""),"",IFERROR(VLOOKUP($G1042,Lists!$D$4:$E$15,2,FALSE),"Not reported"))</f>
        <v/>
      </c>
      <c r="AK1042" s="21">
        <f>IF(AND($A1042="",$B1042=""),"",IF($X1042&lt;&gt;"",$X1042,IF($T1042&lt;&gt;"Y","Not assessed",IF(AND(ISNUMBER($V1042),Setup!$B$6-$V1042&gt;Setup!$B$26),"Assessment outdated",IF(NOT(ISNUMBER($W1042)),"Assessed – no score",IF($W1042&gt;=Setup!$B$24,"High",IF($W1042&gt;=Setup!$B$25,"Moderate","Low")))))))</f>
        <v/>
      </c>
      <c r="AL1042" s="21">
        <f>IF(AND($A1042="",$B1042=""),"",IF(Z1042=0,"",IF(AND(AE1042=1,N($R1042)&gt;AD1042*1.01+0.001),"Net terrestrial &gt; gross; ","")&amp;IF(AND(AE1042=1,N($S1042)&gt;AC1042*1.01+0.001),"Net marine &gt; gross; ","")&amp;IF(AE1042=0,"No net area – gross used, overlaps may be double-counted; ","")&amp;IF(AH1042=0,"STATUS_YR missing – imputed in time series; ","")&amp;IF(AND(ISNUMBER($I1042),N($I1042)&gt;Setup!$B$6),"STATUS_YR after reporting year; ","")&amp;IF(OR($G1042="",$G1042="Not Reported"),"GOV_TYPE not reported; ","")&amp;IF(AND(N($J1042)=1,$K1042="Point",N($M1042)&lt;=0),"Coastal point without REP_M_AREA – land/sea split unknown; ","")&amp;IF(AND(N($J1042)=0,N($S1042)&gt;0),"MARINE=0 but net marine &gt;0; ","")&amp;IF(AND(N($J1042)=2,N($R1042)&gt;0),"MARINE=2 but net terrestrial &gt;0; ","")&amp;IF($K1042="Point","Buffered point – coverage approximate; ","")))</f>
        <v/>
      </c>
    </row>
    <row r="1043">
      <c r="A1043" s="19" t="n"/>
      <c r="B1043" s="19" t="n"/>
      <c r="C1043" s="19" t="n"/>
      <c r="D1043" s="19" t="n"/>
      <c r="E1043" s="19" t="n"/>
      <c r="F1043" s="19" t="n"/>
      <c r="G1043" s="19" t="n"/>
      <c r="H1043" s="19" t="n"/>
      <c r="I1043" s="19" t="n"/>
      <c r="J1043" s="19" t="n"/>
      <c r="K1043" s="19" t="n"/>
      <c r="L1043" s="20" t="n"/>
      <c r="M1043" s="20" t="n"/>
      <c r="N1043" s="20" t="n"/>
      <c r="O1043" s="20" t="n"/>
      <c r="P1043" s="19" t="n"/>
      <c r="Q1043" s="19" t="n"/>
      <c r="R1043" s="20" t="n"/>
      <c r="S1043" s="20" t="n"/>
      <c r="T1043" s="19" t="n"/>
      <c r="U1043" s="19" t="n"/>
      <c r="V1043" s="19" t="n"/>
      <c r="W1043" s="19" t="n"/>
      <c r="X1043" s="19" t="n"/>
      <c r="Y1043" s="19" t="n"/>
      <c r="Z1043" s="21">
        <f>IF(AND($A1043="",$B1043=""),"",IF(OR($E1043="",$H1043="",$H1043="Proposed",$H1043="Not Reported"),0,IF(AND($P1043="Y",$Q1043&lt;&gt;"Y"),0,IF(AND($K1043="Point",N($L1043)&lt;=0),0,IF(AND(N($L1043)&lt;=0,N($N1043)&lt;=0,N($R1043)+N($S1043)&lt;=0),0,1)))))</f>
        <v/>
      </c>
      <c r="AA1043" s="21">
        <f>IF(AND($A1043="",$B1043=""),"",IF($E1043="","Site type missing",IF($H1043="","STATUS missing",IF($H1043="Proposed","STATUS = Proposed",IF($H1043="Not Reported","STATUS = Not Reported",IF(AND($P1043="Y",$Q1043&lt;&gt;"Y"),"UNESCO-MAB Biosphere Reserve",IF(AND($K1043="Point",N($L1043)&lt;=0),"Point without REP_AREA",IF(AND(N($L1043)&lt;=0,N($N1043)&lt;=0,N($R1043)+N($S1043)&lt;=0),"No area information",""))))))))</f>
        <v/>
      </c>
      <c r="AB1043" s="22">
        <f>IF(AND($A1043="",$B1043=""),"",IF($K1043="Point",N($L1043),IF(N($N1043)&gt;0,N($N1043),N($L1043))))</f>
        <v/>
      </c>
      <c r="AC1043" s="22">
        <f>IF(AND($A1043="",$B1043=""),"",MIN(AB1043,IF(N($J1043)=0,0,IF(N($J1043)=2,AB1043,IF(AND($K1043&lt;&gt;"Point",N($O1043)&gt;0),N($O1043),N($M1043))))))</f>
        <v/>
      </c>
      <c r="AD1043" s="22">
        <f>IF(AND($A1043="",$B1043=""),"",MAX(0,AB1043-AC1043))</f>
        <v/>
      </c>
      <c r="AE1043" s="21">
        <f>IF(AND($A1043="",$B1043=""),"",IF(OR($R1043&lt;&gt;"",$S1043&lt;&gt;""),1,0))</f>
        <v/>
      </c>
      <c r="AF1043" s="22">
        <f>IF(AND($A1043="",$B1043=""),"",IF(Z1043=1,IF(AE1043=1,N($R1043),AD1043),0))</f>
        <v/>
      </c>
      <c r="AG1043" s="22">
        <f>IF(AND($A1043="",$B1043=""),"",IF(Z1043=1,IF(AE1043=1,N($S1043),AC1043),0))</f>
        <v/>
      </c>
      <c r="AH1043" s="21">
        <f>IF(AND($A1043="",$B1043=""),"",IF(AND(ISNUMBER($I1043),N($I1043)&gt;0),$I1043,0))</f>
        <v/>
      </c>
      <c r="AI1043" s="23">
        <f>IF(AND(NOT(AND($A1043="",$B1043="")),$K1043="Point",N($L1043)&gt;0),SQRT(N($L1043)/PI()),"")</f>
        <v/>
      </c>
      <c r="AJ1043" s="21">
        <f>IF(AND($A1043="",$B1043=""),"",IFERROR(VLOOKUP($G1043,Lists!$D$4:$E$15,2,FALSE),"Not reported"))</f>
        <v/>
      </c>
      <c r="AK1043" s="21">
        <f>IF(AND($A1043="",$B1043=""),"",IF($X1043&lt;&gt;"",$X1043,IF($T1043&lt;&gt;"Y","Not assessed",IF(AND(ISNUMBER($V1043),Setup!$B$6-$V1043&gt;Setup!$B$26),"Assessment outdated",IF(NOT(ISNUMBER($W1043)),"Assessed – no score",IF($W1043&gt;=Setup!$B$24,"High",IF($W1043&gt;=Setup!$B$25,"Moderate","Low")))))))</f>
        <v/>
      </c>
      <c r="AL1043" s="21">
        <f>IF(AND($A1043="",$B1043=""),"",IF(Z1043=0,"",IF(AND(AE1043=1,N($R1043)&gt;AD1043*1.01+0.001),"Net terrestrial &gt; gross; ","")&amp;IF(AND(AE1043=1,N($S1043)&gt;AC1043*1.01+0.001),"Net marine &gt; gross; ","")&amp;IF(AE1043=0,"No net area – gross used, overlaps may be double-counted; ","")&amp;IF(AH1043=0,"STATUS_YR missing – imputed in time series; ","")&amp;IF(AND(ISNUMBER($I1043),N($I1043)&gt;Setup!$B$6),"STATUS_YR after reporting year; ","")&amp;IF(OR($G1043="",$G1043="Not Reported"),"GOV_TYPE not reported; ","")&amp;IF(AND(N($J1043)=1,$K1043="Point",N($M1043)&lt;=0),"Coastal point without REP_M_AREA – land/sea split unknown; ","")&amp;IF(AND(N($J1043)=0,N($S1043)&gt;0),"MARINE=0 but net marine &gt;0; ","")&amp;IF(AND(N($J1043)=2,N($R1043)&gt;0),"MARINE=2 but net terrestrial &gt;0; ","")&amp;IF($K1043="Point","Buffered point – coverage approximate; ","")))</f>
        <v/>
      </c>
    </row>
    <row r="1044">
      <c r="A1044" s="19" t="n"/>
      <c r="B1044" s="19" t="n"/>
      <c r="C1044" s="19" t="n"/>
      <c r="D1044" s="19" t="n"/>
      <c r="E1044" s="19" t="n"/>
      <c r="F1044" s="19" t="n"/>
      <c r="G1044" s="19" t="n"/>
      <c r="H1044" s="19" t="n"/>
      <c r="I1044" s="19" t="n"/>
      <c r="J1044" s="19" t="n"/>
      <c r="K1044" s="19" t="n"/>
      <c r="L1044" s="20" t="n"/>
      <c r="M1044" s="20" t="n"/>
      <c r="N1044" s="20" t="n"/>
      <c r="O1044" s="20" t="n"/>
      <c r="P1044" s="19" t="n"/>
      <c r="Q1044" s="19" t="n"/>
      <c r="R1044" s="20" t="n"/>
      <c r="S1044" s="20" t="n"/>
      <c r="T1044" s="19" t="n"/>
      <c r="U1044" s="19" t="n"/>
      <c r="V1044" s="19" t="n"/>
      <c r="W1044" s="19" t="n"/>
      <c r="X1044" s="19" t="n"/>
      <c r="Y1044" s="19" t="n"/>
      <c r="Z1044" s="21">
        <f>IF(AND($A1044="",$B1044=""),"",IF(OR($E1044="",$H1044="",$H1044="Proposed",$H1044="Not Reported"),0,IF(AND($P1044="Y",$Q1044&lt;&gt;"Y"),0,IF(AND($K1044="Point",N($L1044)&lt;=0),0,IF(AND(N($L1044)&lt;=0,N($N1044)&lt;=0,N($R1044)+N($S1044)&lt;=0),0,1)))))</f>
        <v/>
      </c>
      <c r="AA1044" s="21">
        <f>IF(AND($A1044="",$B1044=""),"",IF($E1044="","Site type missing",IF($H1044="","STATUS missing",IF($H1044="Proposed","STATUS = Proposed",IF($H1044="Not Reported","STATUS = Not Reported",IF(AND($P1044="Y",$Q1044&lt;&gt;"Y"),"UNESCO-MAB Biosphere Reserve",IF(AND($K1044="Point",N($L1044)&lt;=0),"Point without REP_AREA",IF(AND(N($L1044)&lt;=0,N($N1044)&lt;=0,N($R1044)+N($S1044)&lt;=0),"No area information",""))))))))</f>
        <v/>
      </c>
      <c r="AB1044" s="22">
        <f>IF(AND($A1044="",$B1044=""),"",IF($K1044="Point",N($L1044),IF(N($N1044)&gt;0,N($N1044),N($L1044))))</f>
        <v/>
      </c>
      <c r="AC1044" s="22">
        <f>IF(AND($A1044="",$B1044=""),"",MIN(AB1044,IF(N($J1044)=0,0,IF(N($J1044)=2,AB1044,IF(AND($K1044&lt;&gt;"Point",N($O1044)&gt;0),N($O1044),N($M1044))))))</f>
        <v/>
      </c>
      <c r="AD1044" s="22">
        <f>IF(AND($A1044="",$B1044=""),"",MAX(0,AB1044-AC1044))</f>
        <v/>
      </c>
      <c r="AE1044" s="21">
        <f>IF(AND($A1044="",$B1044=""),"",IF(OR($R1044&lt;&gt;"",$S1044&lt;&gt;""),1,0))</f>
        <v/>
      </c>
      <c r="AF1044" s="22">
        <f>IF(AND($A1044="",$B1044=""),"",IF(Z1044=1,IF(AE1044=1,N($R1044),AD1044),0))</f>
        <v/>
      </c>
      <c r="AG1044" s="22">
        <f>IF(AND($A1044="",$B1044=""),"",IF(Z1044=1,IF(AE1044=1,N($S1044),AC1044),0))</f>
        <v/>
      </c>
      <c r="AH1044" s="21">
        <f>IF(AND($A1044="",$B1044=""),"",IF(AND(ISNUMBER($I1044),N($I1044)&gt;0),$I1044,0))</f>
        <v/>
      </c>
      <c r="AI1044" s="23">
        <f>IF(AND(NOT(AND($A1044="",$B1044="")),$K1044="Point",N($L1044)&gt;0),SQRT(N($L1044)/PI()),"")</f>
        <v/>
      </c>
      <c r="AJ1044" s="21">
        <f>IF(AND($A1044="",$B1044=""),"",IFERROR(VLOOKUP($G1044,Lists!$D$4:$E$15,2,FALSE),"Not reported"))</f>
        <v/>
      </c>
      <c r="AK1044" s="21">
        <f>IF(AND($A1044="",$B1044=""),"",IF($X1044&lt;&gt;"",$X1044,IF($T1044&lt;&gt;"Y","Not assessed",IF(AND(ISNUMBER($V1044),Setup!$B$6-$V1044&gt;Setup!$B$26),"Assessment outdated",IF(NOT(ISNUMBER($W1044)),"Assessed – no score",IF($W1044&gt;=Setup!$B$24,"High",IF($W1044&gt;=Setup!$B$25,"Moderate","Low")))))))</f>
        <v/>
      </c>
      <c r="AL1044" s="21">
        <f>IF(AND($A1044="",$B1044=""),"",IF(Z1044=0,"",IF(AND(AE1044=1,N($R1044)&gt;AD1044*1.01+0.001),"Net terrestrial &gt; gross; ","")&amp;IF(AND(AE1044=1,N($S1044)&gt;AC1044*1.01+0.001),"Net marine &gt; gross; ","")&amp;IF(AE1044=0,"No net area – gross used, overlaps may be double-counted; ","")&amp;IF(AH1044=0,"STATUS_YR missing – imputed in time series; ","")&amp;IF(AND(ISNUMBER($I1044),N($I1044)&gt;Setup!$B$6),"STATUS_YR after reporting year; ","")&amp;IF(OR($G1044="",$G1044="Not Reported"),"GOV_TYPE not reported; ","")&amp;IF(AND(N($J1044)=1,$K1044="Point",N($M1044)&lt;=0),"Coastal point without REP_M_AREA – land/sea split unknown; ","")&amp;IF(AND(N($J1044)=0,N($S1044)&gt;0),"MARINE=0 but net marine &gt;0; ","")&amp;IF(AND(N($J1044)=2,N($R1044)&gt;0),"MARINE=2 but net terrestrial &gt;0; ","")&amp;IF($K1044="Point","Buffered point – coverage approximate; ","")))</f>
        <v/>
      </c>
    </row>
    <row r="1045">
      <c r="A1045" s="19" t="n"/>
      <c r="B1045" s="19" t="n"/>
      <c r="C1045" s="19" t="n"/>
      <c r="D1045" s="19" t="n"/>
      <c r="E1045" s="19" t="n"/>
      <c r="F1045" s="19" t="n"/>
      <c r="G1045" s="19" t="n"/>
      <c r="H1045" s="19" t="n"/>
      <c r="I1045" s="19" t="n"/>
      <c r="J1045" s="19" t="n"/>
      <c r="K1045" s="19" t="n"/>
      <c r="L1045" s="20" t="n"/>
      <c r="M1045" s="20" t="n"/>
      <c r="N1045" s="20" t="n"/>
      <c r="O1045" s="20" t="n"/>
      <c r="P1045" s="19" t="n"/>
      <c r="Q1045" s="19" t="n"/>
      <c r="R1045" s="20" t="n"/>
      <c r="S1045" s="20" t="n"/>
      <c r="T1045" s="19" t="n"/>
      <c r="U1045" s="19" t="n"/>
      <c r="V1045" s="19" t="n"/>
      <c r="W1045" s="19" t="n"/>
      <c r="X1045" s="19" t="n"/>
      <c r="Y1045" s="19" t="n"/>
      <c r="Z1045" s="21">
        <f>IF(AND($A1045="",$B1045=""),"",IF(OR($E1045="",$H1045="",$H1045="Proposed",$H1045="Not Reported"),0,IF(AND($P1045="Y",$Q1045&lt;&gt;"Y"),0,IF(AND($K1045="Point",N($L1045)&lt;=0),0,IF(AND(N($L1045)&lt;=0,N($N1045)&lt;=0,N($R1045)+N($S1045)&lt;=0),0,1)))))</f>
        <v/>
      </c>
      <c r="AA1045" s="21">
        <f>IF(AND($A1045="",$B1045=""),"",IF($E1045="","Site type missing",IF($H1045="","STATUS missing",IF($H1045="Proposed","STATUS = Proposed",IF($H1045="Not Reported","STATUS = Not Reported",IF(AND($P1045="Y",$Q1045&lt;&gt;"Y"),"UNESCO-MAB Biosphere Reserve",IF(AND($K1045="Point",N($L1045)&lt;=0),"Point without REP_AREA",IF(AND(N($L1045)&lt;=0,N($N1045)&lt;=0,N($R1045)+N($S1045)&lt;=0),"No area information",""))))))))</f>
        <v/>
      </c>
      <c r="AB1045" s="22">
        <f>IF(AND($A1045="",$B1045=""),"",IF($K1045="Point",N($L1045),IF(N($N1045)&gt;0,N($N1045),N($L1045))))</f>
        <v/>
      </c>
      <c r="AC1045" s="22">
        <f>IF(AND($A1045="",$B1045=""),"",MIN(AB1045,IF(N($J1045)=0,0,IF(N($J1045)=2,AB1045,IF(AND($K1045&lt;&gt;"Point",N($O1045)&gt;0),N($O1045),N($M1045))))))</f>
        <v/>
      </c>
      <c r="AD1045" s="22">
        <f>IF(AND($A1045="",$B1045=""),"",MAX(0,AB1045-AC1045))</f>
        <v/>
      </c>
      <c r="AE1045" s="21">
        <f>IF(AND($A1045="",$B1045=""),"",IF(OR($R1045&lt;&gt;"",$S1045&lt;&gt;""),1,0))</f>
        <v/>
      </c>
      <c r="AF1045" s="22">
        <f>IF(AND($A1045="",$B1045=""),"",IF(Z1045=1,IF(AE1045=1,N($R1045),AD1045),0))</f>
        <v/>
      </c>
      <c r="AG1045" s="22">
        <f>IF(AND($A1045="",$B1045=""),"",IF(Z1045=1,IF(AE1045=1,N($S1045),AC1045),0))</f>
        <v/>
      </c>
      <c r="AH1045" s="21">
        <f>IF(AND($A1045="",$B1045=""),"",IF(AND(ISNUMBER($I1045),N($I1045)&gt;0),$I1045,0))</f>
        <v/>
      </c>
      <c r="AI1045" s="23">
        <f>IF(AND(NOT(AND($A1045="",$B1045="")),$K1045="Point",N($L1045)&gt;0),SQRT(N($L1045)/PI()),"")</f>
        <v/>
      </c>
      <c r="AJ1045" s="21">
        <f>IF(AND($A1045="",$B1045=""),"",IFERROR(VLOOKUP($G1045,Lists!$D$4:$E$15,2,FALSE),"Not reported"))</f>
        <v/>
      </c>
      <c r="AK1045" s="21">
        <f>IF(AND($A1045="",$B1045=""),"",IF($X1045&lt;&gt;"",$X1045,IF($T1045&lt;&gt;"Y","Not assessed",IF(AND(ISNUMBER($V1045),Setup!$B$6-$V1045&gt;Setup!$B$26),"Assessment outdated",IF(NOT(ISNUMBER($W1045)),"Assessed – no score",IF($W1045&gt;=Setup!$B$24,"High",IF($W1045&gt;=Setup!$B$25,"Moderate","Low")))))))</f>
        <v/>
      </c>
      <c r="AL1045" s="21">
        <f>IF(AND($A1045="",$B1045=""),"",IF(Z1045=0,"",IF(AND(AE1045=1,N($R1045)&gt;AD1045*1.01+0.001),"Net terrestrial &gt; gross; ","")&amp;IF(AND(AE1045=1,N($S1045)&gt;AC1045*1.01+0.001),"Net marine &gt; gross; ","")&amp;IF(AE1045=0,"No net area – gross used, overlaps may be double-counted; ","")&amp;IF(AH1045=0,"STATUS_YR missing – imputed in time series; ","")&amp;IF(AND(ISNUMBER($I1045),N($I1045)&gt;Setup!$B$6),"STATUS_YR after reporting year; ","")&amp;IF(OR($G1045="",$G1045="Not Reported"),"GOV_TYPE not reported; ","")&amp;IF(AND(N($J1045)=1,$K1045="Point",N($M1045)&lt;=0),"Coastal point without REP_M_AREA – land/sea split unknown; ","")&amp;IF(AND(N($J1045)=0,N($S1045)&gt;0),"MARINE=0 but net marine &gt;0; ","")&amp;IF(AND(N($J1045)=2,N($R1045)&gt;0),"MARINE=2 but net terrestrial &gt;0; ","")&amp;IF($K1045="Point","Buffered point – coverage approximate; ","")))</f>
        <v/>
      </c>
    </row>
    <row r="1046">
      <c r="A1046" s="19" t="n"/>
      <c r="B1046" s="19" t="n"/>
      <c r="C1046" s="19" t="n"/>
      <c r="D1046" s="19" t="n"/>
      <c r="E1046" s="19" t="n"/>
      <c r="F1046" s="19" t="n"/>
      <c r="G1046" s="19" t="n"/>
      <c r="H1046" s="19" t="n"/>
      <c r="I1046" s="19" t="n"/>
      <c r="J1046" s="19" t="n"/>
      <c r="K1046" s="19" t="n"/>
      <c r="L1046" s="20" t="n"/>
      <c r="M1046" s="20" t="n"/>
      <c r="N1046" s="20" t="n"/>
      <c r="O1046" s="20" t="n"/>
      <c r="P1046" s="19" t="n"/>
      <c r="Q1046" s="19" t="n"/>
      <c r="R1046" s="20" t="n"/>
      <c r="S1046" s="20" t="n"/>
      <c r="T1046" s="19" t="n"/>
      <c r="U1046" s="19" t="n"/>
      <c r="V1046" s="19" t="n"/>
      <c r="W1046" s="19" t="n"/>
      <c r="X1046" s="19" t="n"/>
      <c r="Y1046" s="19" t="n"/>
      <c r="Z1046" s="21">
        <f>IF(AND($A1046="",$B1046=""),"",IF(OR($E1046="",$H1046="",$H1046="Proposed",$H1046="Not Reported"),0,IF(AND($P1046="Y",$Q1046&lt;&gt;"Y"),0,IF(AND($K1046="Point",N($L1046)&lt;=0),0,IF(AND(N($L1046)&lt;=0,N($N1046)&lt;=0,N($R1046)+N($S1046)&lt;=0),0,1)))))</f>
        <v/>
      </c>
      <c r="AA1046" s="21">
        <f>IF(AND($A1046="",$B1046=""),"",IF($E1046="","Site type missing",IF($H1046="","STATUS missing",IF($H1046="Proposed","STATUS = Proposed",IF($H1046="Not Reported","STATUS = Not Reported",IF(AND($P1046="Y",$Q1046&lt;&gt;"Y"),"UNESCO-MAB Biosphere Reserve",IF(AND($K1046="Point",N($L1046)&lt;=0),"Point without REP_AREA",IF(AND(N($L1046)&lt;=0,N($N1046)&lt;=0,N($R1046)+N($S1046)&lt;=0),"No area information",""))))))))</f>
        <v/>
      </c>
      <c r="AB1046" s="22">
        <f>IF(AND($A1046="",$B1046=""),"",IF($K1046="Point",N($L1046),IF(N($N1046)&gt;0,N($N1046),N($L1046))))</f>
        <v/>
      </c>
      <c r="AC1046" s="22">
        <f>IF(AND($A1046="",$B1046=""),"",MIN(AB1046,IF(N($J1046)=0,0,IF(N($J1046)=2,AB1046,IF(AND($K1046&lt;&gt;"Point",N($O1046)&gt;0),N($O1046),N($M1046))))))</f>
        <v/>
      </c>
      <c r="AD1046" s="22">
        <f>IF(AND($A1046="",$B1046=""),"",MAX(0,AB1046-AC1046))</f>
        <v/>
      </c>
      <c r="AE1046" s="21">
        <f>IF(AND($A1046="",$B1046=""),"",IF(OR($R1046&lt;&gt;"",$S1046&lt;&gt;""),1,0))</f>
        <v/>
      </c>
      <c r="AF1046" s="22">
        <f>IF(AND($A1046="",$B1046=""),"",IF(Z1046=1,IF(AE1046=1,N($R1046),AD1046),0))</f>
        <v/>
      </c>
      <c r="AG1046" s="22">
        <f>IF(AND($A1046="",$B1046=""),"",IF(Z1046=1,IF(AE1046=1,N($S1046),AC1046),0))</f>
        <v/>
      </c>
      <c r="AH1046" s="21">
        <f>IF(AND($A1046="",$B1046=""),"",IF(AND(ISNUMBER($I1046),N($I1046)&gt;0),$I1046,0))</f>
        <v/>
      </c>
      <c r="AI1046" s="23">
        <f>IF(AND(NOT(AND($A1046="",$B1046="")),$K1046="Point",N($L1046)&gt;0),SQRT(N($L1046)/PI()),"")</f>
        <v/>
      </c>
      <c r="AJ1046" s="21">
        <f>IF(AND($A1046="",$B1046=""),"",IFERROR(VLOOKUP($G1046,Lists!$D$4:$E$15,2,FALSE),"Not reported"))</f>
        <v/>
      </c>
      <c r="AK1046" s="21">
        <f>IF(AND($A1046="",$B1046=""),"",IF($X1046&lt;&gt;"",$X1046,IF($T1046&lt;&gt;"Y","Not assessed",IF(AND(ISNUMBER($V1046),Setup!$B$6-$V1046&gt;Setup!$B$26),"Assessment outdated",IF(NOT(ISNUMBER($W1046)),"Assessed – no score",IF($W1046&gt;=Setup!$B$24,"High",IF($W1046&gt;=Setup!$B$25,"Moderate","Low")))))))</f>
        <v/>
      </c>
      <c r="AL1046" s="21">
        <f>IF(AND($A1046="",$B1046=""),"",IF(Z1046=0,"",IF(AND(AE1046=1,N($R1046)&gt;AD1046*1.01+0.001),"Net terrestrial &gt; gross; ","")&amp;IF(AND(AE1046=1,N($S1046)&gt;AC1046*1.01+0.001),"Net marine &gt; gross; ","")&amp;IF(AE1046=0,"No net area – gross used, overlaps may be double-counted; ","")&amp;IF(AH1046=0,"STATUS_YR missing – imputed in time series; ","")&amp;IF(AND(ISNUMBER($I1046),N($I1046)&gt;Setup!$B$6),"STATUS_YR after reporting year; ","")&amp;IF(OR($G1046="",$G1046="Not Reported"),"GOV_TYPE not reported; ","")&amp;IF(AND(N($J1046)=1,$K1046="Point",N($M1046)&lt;=0),"Coastal point without REP_M_AREA – land/sea split unknown; ","")&amp;IF(AND(N($J1046)=0,N($S1046)&gt;0),"MARINE=0 but net marine &gt;0; ","")&amp;IF(AND(N($J1046)=2,N($R1046)&gt;0),"MARINE=2 but net terrestrial &gt;0; ","")&amp;IF($K1046="Point","Buffered point – coverage approximate; ","")))</f>
        <v/>
      </c>
    </row>
    <row r="1047">
      <c r="A1047" s="19" t="n"/>
      <c r="B1047" s="19" t="n"/>
      <c r="C1047" s="19" t="n"/>
      <c r="D1047" s="19" t="n"/>
      <c r="E1047" s="19" t="n"/>
      <c r="F1047" s="19" t="n"/>
      <c r="G1047" s="19" t="n"/>
      <c r="H1047" s="19" t="n"/>
      <c r="I1047" s="19" t="n"/>
      <c r="J1047" s="19" t="n"/>
      <c r="K1047" s="19" t="n"/>
      <c r="L1047" s="20" t="n"/>
      <c r="M1047" s="20" t="n"/>
      <c r="N1047" s="20" t="n"/>
      <c r="O1047" s="20" t="n"/>
      <c r="P1047" s="19" t="n"/>
      <c r="Q1047" s="19" t="n"/>
      <c r="R1047" s="20" t="n"/>
      <c r="S1047" s="20" t="n"/>
      <c r="T1047" s="19" t="n"/>
      <c r="U1047" s="19" t="n"/>
      <c r="V1047" s="19" t="n"/>
      <c r="W1047" s="19" t="n"/>
      <c r="X1047" s="19" t="n"/>
      <c r="Y1047" s="19" t="n"/>
      <c r="Z1047" s="21">
        <f>IF(AND($A1047="",$B1047=""),"",IF(OR($E1047="",$H1047="",$H1047="Proposed",$H1047="Not Reported"),0,IF(AND($P1047="Y",$Q1047&lt;&gt;"Y"),0,IF(AND($K1047="Point",N($L1047)&lt;=0),0,IF(AND(N($L1047)&lt;=0,N($N1047)&lt;=0,N($R1047)+N($S1047)&lt;=0),0,1)))))</f>
        <v/>
      </c>
      <c r="AA1047" s="21">
        <f>IF(AND($A1047="",$B1047=""),"",IF($E1047="","Site type missing",IF($H1047="","STATUS missing",IF($H1047="Proposed","STATUS = Proposed",IF($H1047="Not Reported","STATUS = Not Reported",IF(AND($P1047="Y",$Q1047&lt;&gt;"Y"),"UNESCO-MAB Biosphere Reserve",IF(AND($K1047="Point",N($L1047)&lt;=0),"Point without REP_AREA",IF(AND(N($L1047)&lt;=0,N($N1047)&lt;=0,N($R1047)+N($S1047)&lt;=0),"No area information",""))))))))</f>
        <v/>
      </c>
      <c r="AB1047" s="22">
        <f>IF(AND($A1047="",$B1047=""),"",IF($K1047="Point",N($L1047),IF(N($N1047)&gt;0,N($N1047),N($L1047))))</f>
        <v/>
      </c>
      <c r="AC1047" s="22">
        <f>IF(AND($A1047="",$B1047=""),"",MIN(AB1047,IF(N($J1047)=0,0,IF(N($J1047)=2,AB1047,IF(AND($K1047&lt;&gt;"Point",N($O1047)&gt;0),N($O1047),N($M1047))))))</f>
        <v/>
      </c>
      <c r="AD1047" s="22">
        <f>IF(AND($A1047="",$B1047=""),"",MAX(0,AB1047-AC1047))</f>
        <v/>
      </c>
      <c r="AE1047" s="21">
        <f>IF(AND($A1047="",$B1047=""),"",IF(OR($R1047&lt;&gt;"",$S1047&lt;&gt;""),1,0))</f>
        <v/>
      </c>
      <c r="AF1047" s="22">
        <f>IF(AND($A1047="",$B1047=""),"",IF(Z1047=1,IF(AE1047=1,N($R1047),AD1047),0))</f>
        <v/>
      </c>
      <c r="AG1047" s="22">
        <f>IF(AND($A1047="",$B1047=""),"",IF(Z1047=1,IF(AE1047=1,N($S1047),AC1047),0))</f>
        <v/>
      </c>
      <c r="AH1047" s="21">
        <f>IF(AND($A1047="",$B1047=""),"",IF(AND(ISNUMBER($I1047),N($I1047)&gt;0),$I1047,0))</f>
        <v/>
      </c>
      <c r="AI1047" s="23">
        <f>IF(AND(NOT(AND($A1047="",$B1047="")),$K1047="Point",N($L1047)&gt;0),SQRT(N($L1047)/PI()),"")</f>
        <v/>
      </c>
      <c r="AJ1047" s="21">
        <f>IF(AND($A1047="",$B1047=""),"",IFERROR(VLOOKUP($G1047,Lists!$D$4:$E$15,2,FALSE),"Not reported"))</f>
        <v/>
      </c>
      <c r="AK1047" s="21">
        <f>IF(AND($A1047="",$B1047=""),"",IF($X1047&lt;&gt;"",$X1047,IF($T1047&lt;&gt;"Y","Not assessed",IF(AND(ISNUMBER($V1047),Setup!$B$6-$V1047&gt;Setup!$B$26),"Assessment outdated",IF(NOT(ISNUMBER($W1047)),"Assessed – no score",IF($W1047&gt;=Setup!$B$24,"High",IF($W1047&gt;=Setup!$B$25,"Moderate","Low")))))))</f>
        <v/>
      </c>
      <c r="AL1047" s="21">
        <f>IF(AND($A1047="",$B1047=""),"",IF(Z1047=0,"",IF(AND(AE1047=1,N($R1047)&gt;AD1047*1.01+0.001),"Net terrestrial &gt; gross; ","")&amp;IF(AND(AE1047=1,N($S1047)&gt;AC1047*1.01+0.001),"Net marine &gt; gross; ","")&amp;IF(AE1047=0,"No net area – gross used, overlaps may be double-counted; ","")&amp;IF(AH1047=0,"STATUS_YR missing – imputed in time series; ","")&amp;IF(AND(ISNUMBER($I1047),N($I1047)&gt;Setup!$B$6),"STATUS_YR after reporting year; ","")&amp;IF(OR($G1047="",$G1047="Not Reported"),"GOV_TYPE not reported; ","")&amp;IF(AND(N($J1047)=1,$K1047="Point",N($M1047)&lt;=0),"Coastal point without REP_M_AREA – land/sea split unknown; ","")&amp;IF(AND(N($J1047)=0,N($S1047)&gt;0),"MARINE=0 but net marine &gt;0; ","")&amp;IF(AND(N($J1047)=2,N($R1047)&gt;0),"MARINE=2 but net terrestrial &gt;0; ","")&amp;IF($K1047="Point","Buffered point – coverage approximate; ","")))</f>
        <v/>
      </c>
    </row>
    <row r="1048">
      <c r="A1048" s="19" t="n"/>
      <c r="B1048" s="19" t="n"/>
      <c r="C1048" s="19" t="n"/>
      <c r="D1048" s="19" t="n"/>
      <c r="E1048" s="19" t="n"/>
      <c r="F1048" s="19" t="n"/>
      <c r="G1048" s="19" t="n"/>
      <c r="H1048" s="19" t="n"/>
      <c r="I1048" s="19" t="n"/>
      <c r="J1048" s="19" t="n"/>
      <c r="K1048" s="19" t="n"/>
      <c r="L1048" s="20" t="n"/>
      <c r="M1048" s="20" t="n"/>
      <c r="N1048" s="20" t="n"/>
      <c r="O1048" s="20" t="n"/>
      <c r="P1048" s="19" t="n"/>
      <c r="Q1048" s="19" t="n"/>
      <c r="R1048" s="20" t="n"/>
      <c r="S1048" s="20" t="n"/>
      <c r="T1048" s="19" t="n"/>
      <c r="U1048" s="19" t="n"/>
      <c r="V1048" s="19" t="n"/>
      <c r="W1048" s="19" t="n"/>
      <c r="X1048" s="19" t="n"/>
      <c r="Y1048" s="19" t="n"/>
      <c r="Z1048" s="21">
        <f>IF(AND($A1048="",$B1048=""),"",IF(OR($E1048="",$H1048="",$H1048="Proposed",$H1048="Not Reported"),0,IF(AND($P1048="Y",$Q1048&lt;&gt;"Y"),0,IF(AND($K1048="Point",N($L1048)&lt;=0),0,IF(AND(N($L1048)&lt;=0,N($N1048)&lt;=0,N($R1048)+N($S1048)&lt;=0),0,1)))))</f>
        <v/>
      </c>
      <c r="AA1048" s="21">
        <f>IF(AND($A1048="",$B1048=""),"",IF($E1048="","Site type missing",IF($H1048="","STATUS missing",IF($H1048="Proposed","STATUS = Proposed",IF($H1048="Not Reported","STATUS = Not Reported",IF(AND($P1048="Y",$Q1048&lt;&gt;"Y"),"UNESCO-MAB Biosphere Reserve",IF(AND($K1048="Point",N($L1048)&lt;=0),"Point without REP_AREA",IF(AND(N($L1048)&lt;=0,N($N1048)&lt;=0,N($R1048)+N($S1048)&lt;=0),"No area information",""))))))))</f>
        <v/>
      </c>
      <c r="AB1048" s="22">
        <f>IF(AND($A1048="",$B1048=""),"",IF($K1048="Point",N($L1048),IF(N($N1048)&gt;0,N($N1048),N($L1048))))</f>
        <v/>
      </c>
      <c r="AC1048" s="22">
        <f>IF(AND($A1048="",$B1048=""),"",MIN(AB1048,IF(N($J1048)=0,0,IF(N($J1048)=2,AB1048,IF(AND($K1048&lt;&gt;"Point",N($O1048)&gt;0),N($O1048),N($M1048))))))</f>
        <v/>
      </c>
      <c r="AD1048" s="22">
        <f>IF(AND($A1048="",$B1048=""),"",MAX(0,AB1048-AC1048))</f>
        <v/>
      </c>
      <c r="AE1048" s="21">
        <f>IF(AND($A1048="",$B1048=""),"",IF(OR($R1048&lt;&gt;"",$S1048&lt;&gt;""),1,0))</f>
        <v/>
      </c>
      <c r="AF1048" s="22">
        <f>IF(AND($A1048="",$B1048=""),"",IF(Z1048=1,IF(AE1048=1,N($R1048),AD1048),0))</f>
        <v/>
      </c>
      <c r="AG1048" s="22">
        <f>IF(AND($A1048="",$B1048=""),"",IF(Z1048=1,IF(AE1048=1,N($S1048),AC1048),0))</f>
        <v/>
      </c>
      <c r="AH1048" s="21">
        <f>IF(AND($A1048="",$B1048=""),"",IF(AND(ISNUMBER($I1048),N($I1048)&gt;0),$I1048,0))</f>
        <v/>
      </c>
      <c r="AI1048" s="23">
        <f>IF(AND(NOT(AND($A1048="",$B1048="")),$K1048="Point",N($L1048)&gt;0),SQRT(N($L1048)/PI()),"")</f>
        <v/>
      </c>
      <c r="AJ1048" s="21">
        <f>IF(AND($A1048="",$B1048=""),"",IFERROR(VLOOKUP($G1048,Lists!$D$4:$E$15,2,FALSE),"Not reported"))</f>
        <v/>
      </c>
      <c r="AK1048" s="21">
        <f>IF(AND($A1048="",$B1048=""),"",IF($X1048&lt;&gt;"",$X1048,IF($T1048&lt;&gt;"Y","Not assessed",IF(AND(ISNUMBER($V1048),Setup!$B$6-$V1048&gt;Setup!$B$26),"Assessment outdated",IF(NOT(ISNUMBER($W1048)),"Assessed – no score",IF($W1048&gt;=Setup!$B$24,"High",IF($W1048&gt;=Setup!$B$25,"Moderate","Low")))))))</f>
        <v/>
      </c>
      <c r="AL1048" s="21">
        <f>IF(AND($A1048="",$B1048=""),"",IF(Z1048=0,"",IF(AND(AE1048=1,N($R1048)&gt;AD1048*1.01+0.001),"Net terrestrial &gt; gross; ","")&amp;IF(AND(AE1048=1,N($S1048)&gt;AC1048*1.01+0.001),"Net marine &gt; gross; ","")&amp;IF(AE1048=0,"No net area – gross used, overlaps may be double-counted; ","")&amp;IF(AH1048=0,"STATUS_YR missing – imputed in time series; ","")&amp;IF(AND(ISNUMBER($I1048),N($I1048)&gt;Setup!$B$6),"STATUS_YR after reporting year; ","")&amp;IF(OR($G1048="",$G1048="Not Reported"),"GOV_TYPE not reported; ","")&amp;IF(AND(N($J1048)=1,$K1048="Point",N($M1048)&lt;=0),"Coastal point without REP_M_AREA – land/sea split unknown; ","")&amp;IF(AND(N($J1048)=0,N($S1048)&gt;0),"MARINE=0 but net marine &gt;0; ","")&amp;IF(AND(N($J1048)=2,N($R1048)&gt;0),"MARINE=2 but net terrestrial &gt;0; ","")&amp;IF($K1048="Point","Buffered point – coverage approximate; ","")))</f>
        <v/>
      </c>
    </row>
    <row r="1049">
      <c r="A1049" s="19" t="n"/>
      <c r="B1049" s="19" t="n"/>
      <c r="C1049" s="19" t="n"/>
      <c r="D1049" s="19" t="n"/>
      <c r="E1049" s="19" t="n"/>
      <c r="F1049" s="19" t="n"/>
      <c r="G1049" s="19" t="n"/>
      <c r="H1049" s="19" t="n"/>
      <c r="I1049" s="19" t="n"/>
      <c r="J1049" s="19" t="n"/>
      <c r="K1049" s="19" t="n"/>
      <c r="L1049" s="20" t="n"/>
      <c r="M1049" s="20" t="n"/>
      <c r="N1049" s="20" t="n"/>
      <c r="O1049" s="20" t="n"/>
      <c r="P1049" s="19" t="n"/>
      <c r="Q1049" s="19" t="n"/>
      <c r="R1049" s="20" t="n"/>
      <c r="S1049" s="20" t="n"/>
      <c r="T1049" s="19" t="n"/>
      <c r="U1049" s="19" t="n"/>
      <c r="V1049" s="19" t="n"/>
      <c r="W1049" s="19" t="n"/>
      <c r="X1049" s="19" t="n"/>
      <c r="Y1049" s="19" t="n"/>
      <c r="Z1049" s="21">
        <f>IF(AND($A1049="",$B1049=""),"",IF(OR($E1049="",$H1049="",$H1049="Proposed",$H1049="Not Reported"),0,IF(AND($P1049="Y",$Q1049&lt;&gt;"Y"),0,IF(AND($K1049="Point",N($L1049)&lt;=0),0,IF(AND(N($L1049)&lt;=0,N($N1049)&lt;=0,N($R1049)+N($S1049)&lt;=0),0,1)))))</f>
        <v/>
      </c>
      <c r="AA1049" s="21">
        <f>IF(AND($A1049="",$B1049=""),"",IF($E1049="","Site type missing",IF($H1049="","STATUS missing",IF($H1049="Proposed","STATUS = Proposed",IF($H1049="Not Reported","STATUS = Not Reported",IF(AND($P1049="Y",$Q1049&lt;&gt;"Y"),"UNESCO-MAB Biosphere Reserve",IF(AND($K1049="Point",N($L1049)&lt;=0),"Point without REP_AREA",IF(AND(N($L1049)&lt;=0,N($N1049)&lt;=0,N($R1049)+N($S1049)&lt;=0),"No area information",""))))))))</f>
        <v/>
      </c>
      <c r="AB1049" s="22">
        <f>IF(AND($A1049="",$B1049=""),"",IF($K1049="Point",N($L1049),IF(N($N1049)&gt;0,N($N1049),N($L1049))))</f>
        <v/>
      </c>
      <c r="AC1049" s="22">
        <f>IF(AND($A1049="",$B1049=""),"",MIN(AB1049,IF(N($J1049)=0,0,IF(N($J1049)=2,AB1049,IF(AND($K1049&lt;&gt;"Point",N($O1049)&gt;0),N($O1049),N($M1049))))))</f>
        <v/>
      </c>
      <c r="AD1049" s="22">
        <f>IF(AND($A1049="",$B1049=""),"",MAX(0,AB1049-AC1049))</f>
        <v/>
      </c>
      <c r="AE1049" s="21">
        <f>IF(AND($A1049="",$B1049=""),"",IF(OR($R1049&lt;&gt;"",$S1049&lt;&gt;""),1,0))</f>
        <v/>
      </c>
      <c r="AF1049" s="22">
        <f>IF(AND($A1049="",$B1049=""),"",IF(Z1049=1,IF(AE1049=1,N($R1049),AD1049),0))</f>
        <v/>
      </c>
      <c r="AG1049" s="22">
        <f>IF(AND($A1049="",$B1049=""),"",IF(Z1049=1,IF(AE1049=1,N($S1049),AC1049),0))</f>
        <v/>
      </c>
      <c r="AH1049" s="21">
        <f>IF(AND($A1049="",$B1049=""),"",IF(AND(ISNUMBER($I1049),N($I1049)&gt;0),$I1049,0))</f>
        <v/>
      </c>
      <c r="AI1049" s="23">
        <f>IF(AND(NOT(AND($A1049="",$B1049="")),$K1049="Point",N($L1049)&gt;0),SQRT(N($L1049)/PI()),"")</f>
        <v/>
      </c>
      <c r="AJ1049" s="21">
        <f>IF(AND($A1049="",$B1049=""),"",IFERROR(VLOOKUP($G1049,Lists!$D$4:$E$15,2,FALSE),"Not reported"))</f>
        <v/>
      </c>
      <c r="AK1049" s="21">
        <f>IF(AND($A1049="",$B1049=""),"",IF($X1049&lt;&gt;"",$X1049,IF($T1049&lt;&gt;"Y","Not assessed",IF(AND(ISNUMBER($V1049),Setup!$B$6-$V1049&gt;Setup!$B$26),"Assessment outdated",IF(NOT(ISNUMBER($W1049)),"Assessed – no score",IF($W1049&gt;=Setup!$B$24,"High",IF($W1049&gt;=Setup!$B$25,"Moderate","Low")))))))</f>
        <v/>
      </c>
      <c r="AL1049" s="21">
        <f>IF(AND($A1049="",$B1049=""),"",IF(Z1049=0,"",IF(AND(AE1049=1,N($R1049)&gt;AD1049*1.01+0.001),"Net terrestrial &gt; gross; ","")&amp;IF(AND(AE1049=1,N($S1049)&gt;AC1049*1.01+0.001),"Net marine &gt; gross; ","")&amp;IF(AE1049=0,"No net area – gross used, overlaps may be double-counted; ","")&amp;IF(AH1049=0,"STATUS_YR missing – imputed in time series; ","")&amp;IF(AND(ISNUMBER($I1049),N($I1049)&gt;Setup!$B$6),"STATUS_YR after reporting year; ","")&amp;IF(OR($G1049="",$G1049="Not Reported"),"GOV_TYPE not reported; ","")&amp;IF(AND(N($J1049)=1,$K1049="Point",N($M1049)&lt;=0),"Coastal point without REP_M_AREA – land/sea split unknown; ","")&amp;IF(AND(N($J1049)=0,N($S1049)&gt;0),"MARINE=0 but net marine &gt;0; ","")&amp;IF(AND(N($J1049)=2,N($R1049)&gt;0),"MARINE=2 but net terrestrial &gt;0; ","")&amp;IF($K1049="Point","Buffered point – coverage approximate; ","")))</f>
        <v/>
      </c>
    </row>
    <row r="1050">
      <c r="A1050" s="19" t="n"/>
      <c r="B1050" s="19" t="n"/>
      <c r="C1050" s="19" t="n"/>
      <c r="D1050" s="19" t="n"/>
      <c r="E1050" s="19" t="n"/>
      <c r="F1050" s="19" t="n"/>
      <c r="G1050" s="19" t="n"/>
      <c r="H1050" s="19" t="n"/>
      <c r="I1050" s="19" t="n"/>
      <c r="J1050" s="19" t="n"/>
      <c r="K1050" s="19" t="n"/>
      <c r="L1050" s="20" t="n"/>
      <c r="M1050" s="20" t="n"/>
      <c r="N1050" s="20" t="n"/>
      <c r="O1050" s="20" t="n"/>
      <c r="P1050" s="19" t="n"/>
      <c r="Q1050" s="19" t="n"/>
      <c r="R1050" s="20" t="n"/>
      <c r="S1050" s="20" t="n"/>
      <c r="T1050" s="19" t="n"/>
      <c r="U1050" s="19" t="n"/>
      <c r="V1050" s="19" t="n"/>
      <c r="W1050" s="19" t="n"/>
      <c r="X1050" s="19" t="n"/>
      <c r="Y1050" s="19" t="n"/>
      <c r="Z1050" s="21">
        <f>IF(AND($A1050="",$B1050=""),"",IF(OR($E1050="",$H1050="",$H1050="Proposed",$H1050="Not Reported"),0,IF(AND($P1050="Y",$Q1050&lt;&gt;"Y"),0,IF(AND($K1050="Point",N($L1050)&lt;=0),0,IF(AND(N($L1050)&lt;=0,N($N1050)&lt;=0,N($R1050)+N($S1050)&lt;=0),0,1)))))</f>
        <v/>
      </c>
      <c r="AA1050" s="21">
        <f>IF(AND($A1050="",$B1050=""),"",IF($E1050="","Site type missing",IF($H1050="","STATUS missing",IF($H1050="Proposed","STATUS = Proposed",IF($H1050="Not Reported","STATUS = Not Reported",IF(AND($P1050="Y",$Q1050&lt;&gt;"Y"),"UNESCO-MAB Biosphere Reserve",IF(AND($K1050="Point",N($L1050)&lt;=0),"Point without REP_AREA",IF(AND(N($L1050)&lt;=0,N($N1050)&lt;=0,N($R1050)+N($S1050)&lt;=0),"No area information",""))))))))</f>
        <v/>
      </c>
      <c r="AB1050" s="22">
        <f>IF(AND($A1050="",$B1050=""),"",IF($K1050="Point",N($L1050),IF(N($N1050)&gt;0,N($N1050),N($L1050))))</f>
        <v/>
      </c>
      <c r="AC1050" s="22">
        <f>IF(AND($A1050="",$B1050=""),"",MIN(AB1050,IF(N($J1050)=0,0,IF(N($J1050)=2,AB1050,IF(AND($K1050&lt;&gt;"Point",N($O1050)&gt;0),N($O1050),N($M1050))))))</f>
        <v/>
      </c>
      <c r="AD1050" s="22">
        <f>IF(AND($A1050="",$B1050=""),"",MAX(0,AB1050-AC1050))</f>
        <v/>
      </c>
      <c r="AE1050" s="21">
        <f>IF(AND($A1050="",$B1050=""),"",IF(OR($R1050&lt;&gt;"",$S1050&lt;&gt;""),1,0))</f>
        <v/>
      </c>
      <c r="AF1050" s="22">
        <f>IF(AND($A1050="",$B1050=""),"",IF(Z1050=1,IF(AE1050=1,N($R1050),AD1050),0))</f>
        <v/>
      </c>
      <c r="AG1050" s="22">
        <f>IF(AND($A1050="",$B1050=""),"",IF(Z1050=1,IF(AE1050=1,N($S1050),AC1050),0))</f>
        <v/>
      </c>
      <c r="AH1050" s="21">
        <f>IF(AND($A1050="",$B1050=""),"",IF(AND(ISNUMBER($I1050),N($I1050)&gt;0),$I1050,0))</f>
        <v/>
      </c>
      <c r="AI1050" s="23">
        <f>IF(AND(NOT(AND($A1050="",$B1050="")),$K1050="Point",N($L1050)&gt;0),SQRT(N($L1050)/PI()),"")</f>
        <v/>
      </c>
      <c r="AJ1050" s="21">
        <f>IF(AND($A1050="",$B1050=""),"",IFERROR(VLOOKUP($G1050,Lists!$D$4:$E$15,2,FALSE),"Not reported"))</f>
        <v/>
      </c>
      <c r="AK1050" s="21">
        <f>IF(AND($A1050="",$B1050=""),"",IF($X1050&lt;&gt;"",$X1050,IF($T1050&lt;&gt;"Y","Not assessed",IF(AND(ISNUMBER($V1050),Setup!$B$6-$V1050&gt;Setup!$B$26),"Assessment outdated",IF(NOT(ISNUMBER($W1050)),"Assessed – no score",IF($W1050&gt;=Setup!$B$24,"High",IF($W1050&gt;=Setup!$B$25,"Moderate","Low")))))))</f>
        <v/>
      </c>
      <c r="AL1050" s="21">
        <f>IF(AND($A1050="",$B1050=""),"",IF(Z1050=0,"",IF(AND(AE1050=1,N($R1050)&gt;AD1050*1.01+0.001),"Net terrestrial &gt; gross; ","")&amp;IF(AND(AE1050=1,N($S1050)&gt;AC1050*1.01+0.001),"Net marine &gt; gross; ","")&amp;IF(AE1050=0,"No net area – gross used, overlaps may be double-counted; ","")&amp;IF(AH1050=0,"STATUS_YR missing – imputed in time series; ","")&amp;IF(AND(ISNUMBER($I1050),N($I1050)&gt;Setup!$B$6),"STATUS_YR after reporting year; ","")&amp;IF(OR($G1050="",$G1050="Not Reported"),"GOV_TYPE not reported; ","")&amp;IF(AND(N($J1050)=1,$K1050="Point",N($M1050)&lt;=0),"Coastal point without REP_M_AREA – land/sea split unknown; ","")&amp;IF(AND(N($J1050)=0,N($S1050)&gt;0),"MARINE=0 but net marine &gt;0; ","")&amp;IF(AND(N($J1050)=2,N($R1050)&gt;0),"MARINE=2 but net terrestrial &gt;0; ","")&amp;IF($K1050="Point","Buffered point – coverage approximate; ","")))</f>
        <v/>
      </c>
    </row>
    <row r="1051">
      <c r="A1051" s="19" t="n"/>
      <c r="B1051" s="19" t="n"/>
      <c r="C1051" s="19" t="n"/>
      <c r="D1051" s="19" t="n"/>
      <c r="E1051" s="19" t="n"/>
      <c r="F1051" s="19" t="n"/>
      <c r="G1051" s="19" t="n"/>
      <c r="H1051" s="19" t="n"/>
      <c r="I1051" s="19" t="n"/>
      <c r="J1051" s="19" t="n"/>
      <c r="K1051" s="19" t="n"/>
      <c r="L1051" s="20" t="n"/>
      <c r="M1051" s="20" t="n"/>
      <c r="N1051" s="20" t="n"/>
      <c r="O1051" s="20" t="n"/>
      <c r="P1051" s="19" t="n"/>
      <c r="Q1051" s="19" t="n"/>
      <c r="R1051" s="20" t="n"/>
      <c r="S1051" s="20" t="n"/>
      <c r="T1051" s="19" t="n"/>
      <c r="U1051" s="19" t="n"/>
      <c r="V1051" s="19" t="n"/>
      <c r="W1051" s="19" t="n"/>
      <c r="X1051" s="19" t="n"/>
      <c r="Y1051" s="19" t="n"/>
      <c r="Z1051" s="21">
        <f>IF(AND($A1051="",$B1051=""),"",IF(OR($E1051="",$H1051="",$H1051="Proposed",$H1051="Not Reported"),0,IF(AND($P1051="Y",$Q1051&lt;&gt;"Y"),0,IF(AND($K1051="Point",N($L1051)&lt;=0),0,IF(AND(N($L1051)&lt;=0,N($N1051)&lt;=0,N($R1051)+N($S1051)&lt;=0),0,1)))))</f>
        <v/>
      </c>
      <c r="AA1051" s="21">
        <f>IF(AND($A1051="",$B1051=""),"",IF($E1051="","Site type missing",IF($H1051="","STATUS missing",IF($H1051="Proposed","STATUS = Proposed",IF($H1051="Not Reported","STATUS = Not Reported",IF(AND($P1051="Y",$Q1051&lt;&gt;"Y"),"UNESCO-MAB Biosphere Reserve",IF(AND($K1051="Point",N($L1051)&lt;=0),"Point without REP_AREA",IF(AND(N($L1051)&lt;=0,N($N1051)&lt;=0,N($R1051)+N($S1051)&lt;=0),"No area information",""))))))))</f>
        <v/>
      </c>
      <c r="AB1051" s="22">
        <f>IF(AND($A1051="",$B1051=""),"",IF($K1051="Point",N($L1051),IF(N($N1051)&gt;0,N($N1051),N($L1051))))</f>
        <v/>
      </c>
      <c r="AC1051" s="22">
        <f>IF(AND($A1051="",$B1051=""),"",MIN(AB1051,IF(N($J1051)=0,0,IF(N($J1051)=2,AB1051,IF(AND($K1051&lt;&gt;"Point",N($O1051)&gt;0),N($O1051),N($M1051))))))</f>
        <v/>
      </c>
      <c r="AD1051" s="22">
        <f>IF(AND($A1051="",$B1051=""),"",MAX(0,AB1051-AC1051))</f>
        <v/>
      </c>
      <c r="AE1051" s="21">
        <f>IF(AND($A1051="",$B1051=""),"",IF(OR($R1051&lt;&gt;"",$S1051&lt;&gt;""),1,0))</f>
        <v/>
      </c>
      <c r="AF1051" s="22">
        <f>IF(AND($A1051="",$B1051=""),"",IF(Z1051=1,IF(AE1051=1,N($R1051),AD1051),0))</f>
        <v/>
      </c>
      <c r="AG1051" s="22">
        <f>IF(AND($A1051="",$B1051=""),"",IF(Z1051=1,IF(AE1051=1,N($S1051),AC1051),0))</f>
        <v/>
      </c>
      <c r="AH1051" s="21">
        <f>IF(AND($A1051="",$B1051=""),"",IF(AND(ISNUMBER($I1051),N($I1051)&gt;0),$I1051,0))</f>
        <v/>
      </c>
      <c r="AI1051" s="23">
        <f>IF(AND(NOT(AND($A1051="",$B1051="")),$K1051="Point",N($L1051)&gt;0),SQRT(N($L1051)/PI()),"")</f>
        <v/>
      </c>
      <c r="AJ1051" s="21">
        <f>IF(AND($A1051="",$B1051=""),"",IFERROR(VLOOKUP($G1051,Lists!$D$4:$E$15,2,FALSE),"Not reported"))</f>
        <v/>
      </c>
      <c r="AK1051" s="21">
        <f>IF(AND($A1051="",$B1051=""),"",IF($X1051&lt;&gt;"",$X1051,IF($T1051&lt;&gt;"Y","Not assessed",IF(AND(ISNUMBER($V1051),Setup!$B$6-$V1051&gt;Setup!$B$26),"Assessment outdated",IF(NOT(ISNUMBER($W1051)),"Assessed – no score",IF($W1051&gt;=Setup!$B$24,"High",IF($W1051&gt;=Setup!$B$25,"Moderate","Low")))))))</f>
        <v/>
      </c>
      <c r="AL1051" s="21">
        <f>IF(AND($A1051="",$B1051=""),"",IF(Z1051=0,"",IF(AND(AE1051=1,N($R1051)&gt;AD1051*1.01+0.001),"Net terrestrial &gt; gross; ","")&amp;IF(AND(AE1051=1,N($S1051)&gt;AC1051*1.01+0.001),"Net marine &gt; gross; ","")&amp;IF(AE1051=0,"No net area – gross used, overlaps may be double-counted; ","")&amp;IF(AH1051=0,"STATUS_YR missing – imputed in time series; ","")&amp;IF(AND(ISNUMBER($I1051),N($I1051)&gt;Setup!$B$6),"STATUS_YR after reporting year; ","")&amp;IF(OR($G1051="",$G1051="Not Reported"),"GOV_TYPE not reported; ","")&amp;IF(AND(N($J1051)=1,$K1051="Point",N($M1051)&lt;=0),"Coastal point without REP_M_AREA – land/sea split unknown; ","")&amp;IF(AND(N($J1051)=0,N($S1051)&gt;0),"MARINE=0 but net marine &gt;0; ","")&amp;IF(AND(N($J1051)=2,N($R1051)&gt;0),"MARINE=2 but net terrestrial &gt;0; ","")&amp;IF($K1051="Point","Buffered point – coverage approximate; ","")))</f>
        <v/>
      </c>
    </row>
    <row r="1052">
      <c r="A1052" s="19" t="n"/>
      <c r="B1052" s="19" t="n"/>
      <c r="C1052" s="19" t="n"/>
      <c r="D1052" s="19" t="n"/>
      <c r="E1052" s="19" t="n"/>
      <c r="F1052" s="19" t="n"/>
      <c r="G1052" s="19" t="n"/>
      <c r="H1052" s="19" t="n"/>
      <c r="I1052" s="19" t="n"/>
      <c r="J1052" s="19" t="n"/>
      <c r="K1052" s="19" t="n"/>
      <c r="L1052" s="20" t="n"/>
      <c r="M1052" s="20" t="n"/>
      <c r="N1052" s="20" t="n"/>
      <c r="O1052" s="20" t="n"/>
      <c r="P1052" s="19" t="n"/>
      <c r="Q1052" s="19" t="n"/>
      <c r="R1052" s="20" t="n"/>
      <c r="S1052" s="20" t="n"/>
      <c r="T1052" s="19" t="n"/>
      <c r="U1052" s="19" t="n"/>
      <c r="V1052" s="19" t="n"/>
      <c r="W1052" s="19" t="n"/>
      <c r="X1052" s="19" t="n"/>
      <c r="Y1052" s="19" t="n"/>
      <c r="Z1052" s="21">
        <f>IF(AND($A1052="",$B1052=""),"",IF(OR($E1052="",$H1052="",$H1052="Proposed",$H1052="Not Reported"),0,IF(AND($P1052="Y",$Q1052&lt;&gt;"Y"),0,IF(AND($K1052="Point",N($L1052)&lt;=0),0,IF(AND(N($L1052)&lt;=0,N($N1052)&lt;=0,N($R1052)+N($S1052)&lt;=0),0,1)))))</f>
        <v/>
      </c>
      <c r="AA1052" s="21">
        <f>IF(AND($A1052="",$B1052=""),"",IF($E1052="","Site type missing",IF($H1052="","STATUS missing",IF($H1052="Proposed","STATUS = Proposed",IF($H1052="Not Reported","STATUS = Not Reported",IF(AND($P1052="Y",$Q1052&lt;&gt;"Y"),"UNESCO-MAB Biosphere Reserve",IF(AND($K1052="Point",N($L1052)&lt;=0),"Point without REP_AREA",IF(AND(N($L1052)&lt;=0,N($N1052)&lt;=0,N($R1052)+N($S1052)&lt;=0),"No area information",""))))))))</f>
        <v/>
      </c>
      <c r="AB1052" s="22">
        <f>IF(AND($A1052="",$B1052=""),"",IF($K1052="Point",N($L1052),IF(N($N1052)&gt;0,N($N1052),N($L1052))))</f>
        <v/>
      </c>
      <c r="AC1052" s="22">
        <f>IF(AND($A1052="",$B1052=""),"",MIN(AB1052,IF(N($J1052)=0,0,IF(N($J1052)=2,AB1052,IF(AND($K1052&lt;&gt;"Point",N($O1052)&gt;0),N($O1052),N($M1052))))))</f>
        <v/>
      </c>
      <c r="AD1052" s="22">
        <f>IF(AND($A1052="",$B1052=""),"",MAX(0,AB1052-AC1052))</f>
        <v/>
      </c>
      <c r="AE1052" s="21">
        <f>IF(AND($A1052="",$B1052=""),"",IF(OR($R1052&lt;&gt;"",$S1052&lt;&gt;""),1,0))</f>
        <v/>
      </c>
      <c r="AF1052" s="22">
        <f>IF(AND($A1052="",$B1052=""),"",IF(Z1052=1,IF(AE1052=1,N($R1052),AD1052),0))</f>
        <v/>
      </c>
      <c r="AG1052" s="22">
        <f>IF(AND($A1052="",$B1052=""),"",IF(Z1052=1,IF(AE1052=1,N($S1052),AC1052),0))</f>
        <v/>
      </c>
      <c r="AH1052" s="21">
        <f>IF(AND($A1052="",$B1052=""),"",IF(AND(ISNUMBER($I1052),N($I1052)&gt;0),$I1052,0))</f>
        <v/>
      </c>
      <c r="AI1052" s="23">
        <f>IF(AND(NOT(AND($A1052="",$B1052="")),$K1052="Point",N($L1052)&gt;0),SQRT(N($L1052)/PI()),"")</f>
        <v/>
      </c>
      <c r="AJ1052" s="21">
        <f>IF(AND($A1052="",$B1052=""),"",IFERROR(VLOOKUP($G1052,Lists!$D$4:$E$15,2,FALSE),"Not reported"))</f>
        <v/>
      </c>
      <c r="AK1052" s="21">
        <f>IF(AND($A1052="",$B1052=""),"",IF($X1052&lt;&gt;"",$X1052,IF($T1052&lt;&gt;"Y","Not assessed",IF(AND(ISNUMBER($V1052),Setup!$B$6-$V1052&gt;Setup!$B$26),"Assessment outdated",IF(NOT(ISNUMBER($W1052)),"Assessed – no score",IF($W1052&gt;=Setup!$B$24,"High",IF($W1052&gt;=Setup!$B$25,"Moderate","Low")))))))</f>
        <v/>
      </c>
      <c r="AL1052" s="21">
        <f>IF(AND($A1052="",$B1052=""),"",IF(Z1052=0,"",IF(AND(AE1052=1,N($R1052)&gt;AD1052*1.01+0.001),"Net terrestrial &gt; gross; ","")&amp;IF(AND(AE1052=1,N($S1052)&gt;AC1052*1.01+0.001),"Net marine &gt; gross; ","")&amp;IF(AE1052=0,"No net area – gross used, overlaps may be double-counted; ","")&amp;IF(AH1052=0,"STATUS_YR missing – imputed in time series; ","")&amp;IF(AND(ISNUMBER($I1052),N($I1052)&gt;Setup!$B$6),"STATUS_YR after reporting year; ","")&amp;IF(OR($G1052="",$G1052="Not Reported"),"GOV_TYPE not reported; ","")&amp;IF(AND(N($J1052)=1,$K1052="Point",N($M1052)&lt;=0),"Coastal point without REP_M_AREA – land/sea split unknown; ","")&amp;IF(AND(N($J1052)=0,N($S1052)&gt;0),"MARINE=0 but net marine &gt;0; ","")&amp;IF(AND(N($J1052)=2,N($R1052)&gt;0),"MARINE=2 but net terrestrial &gt;0; ","")&amp;IF($K1052="Point","Buffered point – coverage approximate; ","")))</f>
        <v/>
      </c>
    </row>
    <row r="1053">
      <c r="A1053" s="19" t="n"/>
      <c r="B1053" s="19" t="n"/>
      <c r="C1053" s="19" t="n"/>
      <c r="D1053" s="19" t="n"/>
      <c r="E1053" s="19" t="n"/>
      <c r="F1053" s="19" t="n"/>
      <c r="G1053" s="19" t="n"/>
      <c r="H1053" s="19" t="n"/>
      <c r="I1053" s="19" t="n"/>
      <c r="J1053" s="19" t="n"/>
      <c r="K1053" s="19" t="n"/>
      <c r="L1053" s="20" t="n"/>
      <c r="M1053" s="20" t="n"/>
      <c r="N1053" s="20" t="n"/>
      <c r="O1053" s="20" t="n"/>
      <c r="P1053" s="19" t="n"/>
      <c r="Q1053" s="19" t="n"/>
      <c r="R1053" s="20" t="n"/>
      <c r="S1053" s="20" t="n"/>
      <c r="T1053" s="19" t="n"/>
      <c r="U1053" s="19" t="n"/>
      <c r="V1053" s="19" t="n"/>
      <c r="W1053" s="19" t="n"/>
      <c r="X1053" s="19" t="n"/>
      <c r="Y1053" s="19" t="n"/>
      <c r="Z1053" s="21">
        <f>IF(AND($A1053="",$B1053=""),"",IF(OR($E1053="",$H1053="",$H1053="Proposed",$H1053="Not Reported"),0,IF(AND($P1053="Y",$Q1053&lt;&gt;"Y"),0,IF(AND($K1053="Point",N($L1053)&lt;=0),0,IF(AND(N($L1053)&lt;=0,N($N1053)&lt;=0,N($R1053)+N($S1053)&lt;=0),0,1)))))</f>
        <v/>
      </c>
      <c r="AA1053" s="21">
        <f>IF(AND($A1053="",$B1053=""),"",IF($E1053="","Site type missing",IF($H1053="","STATUS missing",IF($H1053="Proposed","STATUS = Proposed",IF($H1053="Not Reported","STATUS = Not Reported",IF(AND($P1053="Y",$Q1053&lt;&gt;"Y"),"UNESCO-MAB Biosphere Reserve",IF(AND($K1053="Point",N($L1053)&lt;=0),"Point without REP_AREA",IF(AND(N($L1053)&lt;=0,N($N1053)&lt;=0,N($R1053)+N($S1053)&lt;=0),"No area information",""))))))))</f>
        <v/>
      </c>
      <c r="AB1053" s="22">
        <f>IF(AND($A1053="",$B1053=""),"",IF($K1053="Point",N($L1053),IF(N($N1053)&gt;0,N($N1053),N($L1053))))</f>
        <v/>
      </c>
      <c r="AC1053" s="22">
        <f>IF(AND($A1053="",$B1053=""),"",MIN(AB1053,IF(N($J1053)=0,0,IF(N($J1053)=2,AB1053,IF(AND($K1053&lt;&gt;"Point",N($O1053)&gt;0),N($O1053),N($M1053))))))</f>
        <v/>
      </c>
      <c r="AD1053" s="22">
        <f>IF(AND($A1053="",$B1053=""),"",MAX(0,AB1053-AC1053))</f>
        <v/>
      </c>
      <c r="AE1053" s="21">
        <f>IF(AND($A1053="",$B1053=""),"",IF(OR($R1053&lt;&gt;"",$S1053&lt;&gt;""),1,0))</f>
        <v/>
      </c>
      <c r="AF1053" s="22">
        <f>IF(AND($A1053="",$B1053=""),"",IF(Z1053=1,IF(AE1053=1,N($R1053),AD1053),0))</f>
        <v/>
      </c>
      <c r="AG1053" s="22">
        <f>IF(AND($A1053="",$B1053=""),"",IF(Z1053=1,IF(AE1053=1,N($S1053),AC1053),0))</f>
        <v/>
      </c>
      <c r="AH1053" s="21">
        <f>IF(AND($A1053="",$B1053=""),"",IF(AND(ISNUMBER($I1053),N($I1053)&gt;0),$I1053,0))</f>
        <v/>
      </c>
      <c r="AI1053" s="23">
        <f>IF(AND(NOT(AND($A1053="",$B1053="")),$K1053="Point",N($L1053)&gt;0),SQRT(N($L1053)/PI()),"")</f>
        <v/>
      </c>
      <c r="AJ1053" s="21">
        <f>IF(AND($A1053="",$B1053=""),"",IFERROR(VLOOKUP($G1053,Lists!$D$4:$E$15,2,FALSE),"Not reported"))</f>
        <v/>
      </c>
      <c r="AK1053" s="21">
        <f>IF(AND($A1053="",$B1053=""),"",IF($X1053&lt;&gt;"",$X1053,IF($T1053&lt;&gt;"Y","Not assessed",IF(AND(ISNUMBER($V1053),Setup!$B$6-$V1053&gt;Setup!$B$26),"Assessment outdated",IF(NOT(ISNUMBER($W1053)),"Assessed – no score",IF($W1053&gt;=Setup!$B$24,"High",IF($W1053&gt;=Setup!$B$25,"Moderate","Low")))))))</f>
        <v/>
      </c>
      <c r="AL1053" s="21">
        <f>IF(AND($A1053="",$B1053=""),"",IF(Z1053=0,"",IF(AND(AE1053=1,N($R1053)&gt;AD1053*1.01+0.001),"Net terrestrial &gt; gross; ","")&amp;IF(AND(AE1053=1,N($S1053)&gt;AC1053*1.01+0.001),"Net marine &gt; gross; ","")&amp;IF(AE1053=0,"No net area – gross used, overlaps may be double-counted; ","")&amp;IF(AH1053=0,"STATUS_YR missing – imputed in time series; ","")&amp;IF(AND(ISNUMBER($I1053),N($I1053)&gt;Setup!$B$6),"STATUS_YR after reporting year; ","")&amp;IF(OR($G1053="",$G1053="Not Reported"),"GOV_TYPE not reported; ","")&amp;IF(AND(N($J1053)=1,$K1053="Point",N($M1053)&lt;=0),"Coastal point without REP_M_AREA – land/sea split unknown; ","")&amp;IF(AND(N($J1053)=0,N($S1053)&gt;0),"MARINE=0 but net marine &gt;0; ","")&amp;IF(AND(N($J1053)=2,N($R1053)&gt;0),"MARINE=2 but net terrestrial &gt;0; ","")&amp;IF($K1053="Point","Buffered point – coverage approximate; ","")))</f>
        <v/>
      </c>
    </row>
    <row r="1054">
      <c r="A1054" s="19" t="n"/>
      <c r="B1054" s="19" t="n"/>
      <c r="C1054" s="19" t="n"/>
      <c r="D1054" s="19" t="n"/>
      <c r="E1054" s="19" t="n"/>
      <c r="F1054" s="19" t="n"/>
      <c r="G1054" s="19" t="n"/>
      <c r="H1054" s="19" t="n"/>
      <c r="I1054" s="19" t="n"/>
      <c r="J1054" s="19" t="n"/>
      <c r="K1054" s="19" t="n"/>
      <c r="L1054" s="20" t="n"/>
      <c r="M1054" s="20" t="n"/>
      <c r="N1054" s="20" t="n"/>
      <c r="O1054" s="20" t="n"/>
      <c r="P1054" s="19" t="n"/>
      <c r="Q1054" s="19" t="n"/>
      <c r="R1054" s="20" t="n"/>
      <c r="S1054" s="20" t="n"/>
      <c r="T1054" s="19" t="n"/>
      <c r="U1054" s="19" t="n"/>
      <c r="V1054" s="19" t="n"/>
      <c r="W1054" s="19" t="n"/>
      <c r="X1054" s="19" t="n"/>
      <c r="Y1054" s="19" t="n"/>
      <c r="Z1054" s="21">
        <f>IF(AND($A1054="",$B1054=""),"",IF(OR($E1054="",$H1054="",$H1054="Proposed",$H1054="Not Reported"),0,IF(AND($P1054="Y",$Q1054&lt;&gt;"Y"),0,IF(AND($K1054="Point",N($L1054)&lt;=0),0,IF(AND(N($L1054)&lt;=0,N($N1054)&lt;=0,N($R1054)+N($S1054)&lt;=0),0,1)))))</f>
        <v/>
      </c>
      <c r="AA1054" s="21">
        <f>IF(AND($A1054="",$B1054=""),"",IF($E1054="","Site type missing",IF($H1054="","STATUS missing",IF($H1054="Proposed","STATUS = Proposed",IF($H1054="Not Reported","STATUS = Not Reported",IF(AND($P1054="Y",$Q1054&lt;&gt;"Y"),"UNESCO-MAB Biosphere Reserve",IF(AND($K1054="Point",N($L1054)&lt;=0),"Point without REP_AREA",IF(AND(N($L1054)&lt;=0,N($N1054)&lt;=0,N($R1054)+N($S1054)&lt;=0),"No area information",""))))))))</f>
        <v/>
      </c>
      <c r="AB1054" s="22">
        <f>IF(AND($A1054="",$B1054=""),"",IF($K1054="Point",N($L1054),IF(N($N1054)&gt;0,N($N1054),N($L1054))))</f>
        <v/>
      </c>
      <c r="AC1054" s="22">
        <f>IF(AND($A1054="",$B1054=""),"",MIN(AB1054,IF(N($J1054)=0,0,IF(N($J1054)=2,AB1054,IF(AND($K1054&lt;&gt;"Point",N($O1054)&gt;0),N($O1054),N($M1054))))))</f>
        <v/>
      </c>
      <c r="AD1054" s="22">
        <f>IF(AND($A1054="",$B1054=""),"",MAX(0,AB1054-AC1054))</f>
        <v/>
      </c>
      <c r="AE1054" s="21">
        <f>IF(AND($A1054="",$B1054=""),"",IF(OR($R1054&lt;&gt;"",$S1054&lt;&gt;""),1,0))</f>
        <v/>
      </c>
      <c r="AF1054" s="22">
        <f>IF(AND($A1054="",$B1054=""),"",IF(Z1054=1,IF(AE1054=1,N($R1054),AD1054),0))</f>
        <v/>
      </c>
      <c r="AG1054" s="22">
        <f>IF(AND($A1054="",$B1054=""),"",IF(Z1054=1,IF(AE1054=1,N($S1054),AC1054),0))</f>
        <v/>
      </c>
      <c r="AH1054" s="21">
        <f>IF(AND($A1054="",$B1054=""),"",IF(AND(ISNUMBER($I1054),N($I1054)&gt;0),$I1054,0))</f>
        <v/>
      </c>
      <c r="AI1054" s="23">
        <f>IF(AND(NOT(AND($A1054="",$B1054="")),$K1054="Point",N($L1054)&gt;0),SQRT(N($L1054)/PI()),"")</f>
        <v/>
      </c>
      <c r="AJ1054" s="21">
        <f>IF(AND($A1054="",$B1054=""),"",IFERROR(VLOOKUP($G1054,Lists!$D$4:$E$15,2,FALSE),"Not reported"))</f>
        <v/>
      </c>
      <c r="AK1054" s="21">
        <f>IF(AND($A1054="",$B1054=""),"",IF($X1054&lt;&gt;"",$X1054,IF($T1054&lt;&gt;"Y","Not assessed",IF(AND(ISNUMBER($V1054),Setup!$B$6-$V1054&gt;Setup!$B$26),"Assessment outdated",IF(NOT(ISNUMBER($W1054)),"Assessed – no score",IF($W1054&gt;=Setup!$B$24,"High",IF($W1054&gt;=Setup!$B$25,"Moderate","Low")))))))</f>
        <v/>
      </c>
      <c r="AL1054" s="21">
        <f>IF(AND($A1054="",$B1054=""),"",IF(Z1054=0,"",IF(AND(AE1054=1,N($R1054)&gt;AD1054*1.01+0.001),"Net terrestrial &gt; gross; ","")&amp;IF(AND(AE1054=1,N($S1054)&gt;AC1054*1.01+0.001),"Net marine &gt; gross; ","")&amp;IF(AE1054=0,"No net area – gross used, overlaps may be double-counted; ","")&amp;IF(AH1054=0,"STATUS_YR missing – imputed in time series; ","")&amp;IF(AND(ISNUMBER($I1054),N($I1054)&gt;Setup!$B$6),"STATUS_YR after reporting year; ","")&amp;IF(OR($G1054="",$G1054="Not Reported"),"GOV_TYPE not reported; ","")&amp;IF(AND(N($J1054)=1,$K1054="Point",N($M1054)&lt;=0),"Coastal point without REP_M_AREA – land/sea split unknown; ","")&amp;IF(AND(N($J1054)=0,N($S1054)&gt;0),"MARINE=0 but net marine &gt;0; ","")&amp;IF(AND(N($J1054)=2,N($R1054)&gt;0),"MARINE=2 but net terrestrial &gt;0; ","")&amp;IF($K1054="Point","Buffered point – coverage approximate; ","")))</f>
        <v/>
      </c>
    </row>
    <row r="1055">
      <c r="A1055" s="19" t="n"/>
      <c r="B1055" s="19" t="n"/>
      <c r="C1055" s="19" t="n"/>
      <c r="D1055" s="19" t="n"/>
      <c r="E1055" s="19" t="n"/>
      <c r="F1055" s="19" t="n"/>
      <c r="G1055" s="19" t="n"/>
      <c r="H1055" s="19" t="n"/>
      <c r="I1055" s="19" t="n"/>
      <c r="J1055" s="19" t="n"/>
      <c r="K1055" s="19" t="n"/>
      <c r="L1055" s="20" t="n"/>
      <c r="M1055" s="20" t="n"/>
      <c r="N1055" s="20" t="n"/>
      <c r="O1055" s="20" t="n"/>
      <c r="P1055" s="19" t="n"/>
      <c r="Q1055" s="19" t="n"/>
      <c r="R1055" s="20" t="n"/>
      <c r="S1055" s="20" t="n"/>
      <c r="T1055" s="19" t="n"/>
      <c r="U1055" s="19" t="n"/>
      <c r="V1055" s="19" t="n"/>
      <c r="W1055" s="19" t="n"/>
      <c r="X1055" s="19" t="n"/>
      <c r="Y1055" s="19" t="n"/>
      <c r="Z1055" s="21">
        <f>IF(AND($A1055="",$B1055=""),"",IF(OR($E1055="",$H1055="",$H1055="Proposed",$H1055="Not Reported"),0,IF(AND($P1055="Y",$Q1055&lt;&gt;"Y"),0,IF(AND($K1055="Point",N($L1055)&lt;=0),0,IF(AND(N($L1055)&lt;=0,N($N1055)&lt;=0,N($R1055)+N($S1055)&lt;=0),0,1)))))</f>
        <v/>
      </c>
      <c r="AA1055" s="21">
        <f>IF(AND($A1055="",$B1055=""),"",IF($E1055="","Site type missing",IF($H1055="","STATUS missing",IF($H1055="Proposed","STATUS = Proposed",IF($H1055="Not Reported","STATUS = Not Reported",IF(AND($P1055="Y",$Q1055&lt;&gt;"Y"),"UNESCO-MAB Biosphere Reserve",IF(AND($K1055="Point",N($L1055)&lt;=0),"Point without REP_AREA",IF(AND(N($L1055)&lt;=0,N($N1055)&lt;=0,N($R1055)+N($S1055)&lt;=0),"No area information",""))))))))</f>
        <v/>
      </c>
      <c r="AB1055" s="22">
        <f>IF(AND($A1055="",$B1055=""),"",IF($K1055="Point",N($L1055),IF(N($N1055)&gt;0,N($N1055),N($L1055))))</f>
        <v/>
      </c>
      <c r="AC1055" s="22">
        <f>IF(AND($A1055="",$B1055=""),"",MIN(AB1055,IF(N($J1055)=0,0,IF(N($J1055)=2,AB1055,IF(AND($K1055&lt;&gt;"Point",N($O1055)&gt;0),N($O1055),N($M1055))))))</f>
        <v/>
      </c>
      <c r="AD1055" s="22">
        <f>IF(AND($A1055="",$B1055=""),"",MAX(0,AB1055-AC1055))</f>
        <v/>
      </c>
      <c r="AE1055" s="21">
        <f>IF(AND($A1055="",$B1055=""),"",IF(OR($R1055&lt;&gt;"",$S1055&lt;&gt;""),1,0))</f>
        <v/>
      </c>
      <c r="AF1055" s="22">
        <f>IF(AND($A1055="",$B1055=""),"",IF(Z1055=1,IF(AE1055=1,N($R1055),AD1055),0))</f>
        <v/>
      </c>
      <c r="AG1055" s="22">
        <f>IF(AND($A1055="",$B1055=""),"",IF(Z1055=1,IF(AE1055=1,N($S1055),AC1055),0))</f>
        <v/>
      </c>
      <c r="AH1055" s="21">
        <f>IF(AND($A1055="",$B1055=""),"",IF(AND(ISNUMBER($I1055),N($I1055)&gt;0),$I1055,0))</f>
        <v/>
      </c>
      <c r="AI1055" s="23">
        <f>IF(AND(NOT(AND($A1055="",$B1055="")),$K1055="Point",N($L1055)&gt;0),SQRT(N($L1055)/PI()),"")</f>
        <v/>
      </c>
      <c r="AJ1055" s="21">
        <f>IF(AND($A1055="",$B1055=""),"",IFERROR(VLOOKUP($G1055,Lists!$D$4:$E$15,2,FALSE),"Not reported"))</f>
        <v/>
      </c>
      <c r="AK1055" s="21">
        <f>IF(AND($A1055="",$B1055=""),"",IF($X1055&lt;&gt;"",$X1055,IF($T1055&lt;&gt;"Y","Not assessed",IF(AND(ISNUMBER($V1055),Setup!$B$6-$V1055&gt;Setup!$B$26),"Assessment outdated",IF(NOT(ISNUMBER($W1055)),"Assessed – no score",IF($W1055&gt;=Setup!$B$24,"High",IF($W1055&gt;=Setup!$B$25,"Moderate","Low")))))))</f>
        <v/>
      </c>
      <c r="AL1055" s="21">
        <f>IF(AND($A1055="",$B1055=""),"",IF(Z1055=0,"",IF(AND(AE1055=1,N($R1055)&gt;AD1055*1.01+0.001),"Net terrestrial &gt; gross; ","")&amp;IF(AND(AE1055=1,N($S1055)&gt;AC1055*1.01+0.001),"Net marine &gt; gross; ","")&amp;IF(AE1055=0,"No net area – gross used, overlaps may be double-counted; ","")&amp;IF(AH1055=0,"STATUS_YR missing – imputed in time series; ","")&amp;IF(AND(ISNUMBER($I1055),N($I1055)&gt;Setup!$B$6),"STATUS_YR after reporting year; ","")&amp;IF(OR($G1055="",$G1055="Not Reported"),"GOV_TYPE not reported; ","")&amp;IF(AND(N($J1055)=1,$K1055="Point",N($M1055)&lt;=0),"Coastal point without REP_M_AREA – land/sea split unknown; ","")&amp;IF(AND(N($J1055)=0,N($S1055)&gt;0),"MARINE=0 but net marine &gt;0; ","")&amp;IF(AND(N($J1055)=2,N($R1055)&gt;0),"MARINE=2 but net terrestrial &gt;0; ","")&amp;IF($K1055="Point","Buffered point – coverage approximate; ","")))</f>
        <v/>
      </c>
    </row>
    <row r="1056">
      <c r="A1056" s="19" t="n"/>
      <c r="B1056" s="19" t="n"/>
      <c r="C1056" s="19" t="n"/>
      <c r="D1056" s="19" t="n"/>
      <c r="E1056" s="19" t="n"/>
      <c r="F1056" s="19" t="n"/>
      <c r="G1056" s="19" t="n"/>
      <c r="H1056" s="19" t="n"/>
      <c r="I1056" s="19" t="n"/>
      <c r="J1056" s="19" t="n"/>
      <c r="K1056" s="19" t="n"/>
      <c r="L1056" s="20" t="n"/>
      <c r="M1056" s="20" t="n"/>
      <c r="N1056" s="20" t="n"/>
      <c r="O1056" s="20" t="n"/>
      <c r="P1056" s="19" t="n"/>
      <c r="Q1056" s="19" t="n"/>
      <c r="R1056" s="20" t="n"/>
      <c r="S1056" s="20" t="n"/>
      <c r="T1056" s="19" t="n"/>
      <c r="U1056" s="19" t="n"/>
      <c r="V1056" s="19" t="n"/>
      <c r="W1056" s="19" t="n"/>
      <c r="X1056" s="19" t="n"/>
      <c r="Y1056" s="19" t="n"/>
      <c r="Z1056" s="21">
        <f>IF(AND($A1056="",$B1056=""),"",IF(OR($E1056="",$H1056="",$H1056="Proposed",$H1056="Not Reported"),0,IF(AND($P1056="Y",$Q1056&lt;&gt;"Y"),0,IF(AND($K1056="Point",N($L1056)&lt;=0),0,IF(AND(N($L1056)&lt;=0,N($N1056)&lt;=0,N($R1056)+N($S1056)&lt;=0),0,1)))))</f>
        <v/>
      </c>
      <c r="AA1056" s="21">
        <f>IF(AND($A1056="",$B1056=""),"",IF($E1056="","Site type missing",IF($H1056="","STATUS missing",IF($H1056="Proposed","STATUS = Proposed",IF($H1056="Not Reported","STATUS = Not Reported",IF(AND($P1056="Y",$Q1056&lt;&gt;"Y"),"UNESCO-MAB Biosphere Reserve",IF(AND($K1056="Point",N($L1056)&lt;=0),"Point without REP_AREA",IF(AND(N($L1056)&lt;=0,N($N1056)&lt;=0,N($R1056)+N($S1056)&lt;=0),"No area information",""))))))))</f>
        <v/>
      </c>
      <c r="AB1056" s="22">
        <f>IF(AND($A1056="",$B1056=""),"",IF($K1056="Point",N($L1056),IF(N($N1056)&gt;0,N($N1056),N($L1056))))</f>
        <v/>
      </c>
      <c r="AC1056" s="22">
        <f>IF(AND($A1056="",$B1056=""),"",MIN(AB1056,IF(N($J1056)=0,0,IF(N($J1056)=2,AB1056,IF(AND($K1056&lt;&gt;"Point",N($O1056)&gt;0),N($O1056),N($M1056))))))</f>
        <v/>
      </c>
      <c r="AD1056" s="22">
        <f>IF(AND($A1056="",$B1056=""),"",MAX(0,AB1056-AC1056))</f>
        <v/>
      </c>
      <c r="AE1056" s="21">
        <f>IF(AND($A1056="",$B1056=""),"",IF(OR($R1056&lt;&gt;"",$S1056&lt;&gt;""),1,0))</f>
        <v/>
      </c>
      <c r="AF1056" s="22">
        <f>IF(AND($A1056="",$B1056=""),"",IF(Z1056=1,IF(AE1056=1,N($R1056),AD1056),0))</f>
        <v/>
      </c>
      <c r="AG1056" s="22">
        <f>IF(AND($A1056="",$B1056=""),"",IF(Z1056=1,IF(AE1056=1,N($S1056),AC1056),0))</f>
        <v/>
      </c>
      <c r="AH1056" s="21">
        <f>IF(AND($A1056="",$B1056=""),"",IF(AND(ISNUMBER($I1056),N($I1056)&gt;0),$I1056,0))</f>
        <v/>
      </c>
      <c r="AI1056" s="23">
        <f>IF(AND(NOT(AND($A1056="",$B1056="")),$K1056="Point",N($L1056)&gt;0),SQRT(N($L1056)/PI()),"")</f>
        <v/>
      </c>
      <c r="AJ1056" s="21">
        <f>IF(AND($A1056="",$B1056=""),"",IFERROR(VLOOKUP($G1056,Lists!$D$4:$E$15,2,FALSE),"Not reported"))</f>
        <v/>
      </c>
      <c r="AK1056" s="21">
        <f>IF(AND($A1056="",$B1056=""),"",IF($X1056&lt;&gt;"",$X1056,IF($T1056&lt;&gt;"Y","Not assessed",IF(AND(ISNUMBER($V1056),Setup!$B$6-$V1056&gt;Setup!$B$26),"Assessment outdated",IF(NOT(ISNUMBER($W1056)),"Assessed – no score",IF($W1056&gt;=Setup!$B$24,"High",IF($W1056&gt;=Setup!$B$25,"Moderate","Low")))))))</f>
        <v/>
      </c>
      <c r="AL1056" s="21">
        <f>IF(AND($A1056="",$B1056=""),"",IF(Z1056=0,"",IF(AND(AE1056=1,N($R1056)&gt;AD1056*1.01+0.001),"Net terrestrial &gt; gross; ","")&amp;IF(AND(AE1056=1,N($S1056)&gt;AC1056*1.01+0.001),"Net marine &gt; gross; ","")&amp;IF(AE1056=0,"No net area – gross used, overlaps may be double-counted; ","")&amp;IF(AH1056=0,"STATUS_YR missing – imputed in time series; ","")&amp;IF(AND(ISNUMBER($I1056),N($I1056)&gt;Setup!$B$6),"STATUS_YR after reporting year; ","")&amp;IF(OR($G1056="",$G1056="Not Reported"),"GOV_TYPE not reported; ","")&amp;IF(AND(N($J1056)=1,$K1056="Point",N($M1056)&lt;=0),"Coastal point without REP_M_AREA – land/sea split unknown; ","")&amp;IF(AND(N($J1056)=0,N($S1056)&gt;0),"MARINE=0 but net marine &gt;0; ","")&amp;IF(AND(N($J1056)=2,N($R1056)&gt;0),"MARINE=2 but net terrestrial &gt;0; ","")&amp;IF($K1056="Point","Buffered point – coverage approximate; ","")))</f>
        <v/>
      </c>
    </row>
    <row r="1057">
      <c r="A1057" s="19" t="n"/>
      <c r="B1057" s="19" t="n"/>
      <c r="C1057" s="19" t="n"/>
      <c r="D1057" s="19" t="n"/>
      <c r="E1057" s="19" t="n"/>
      <c r="F1057" s="19" t="n"/>
      <c r="G1057" s="19" t="n"/>
      <c r="H1057" s="19" t="n"/>
      <c r="I1057" s="19" t="n"/>
      <c r="J1057" s="19" t="n"/>
      <c r="K1057" s="19" t="n"/>
      <c r="L1057" s="20" t="n"/>
      <c r="M1057" s="20" t="n"/>
      <c r="N1057" s="20" t="n"/>
      <c r="O1057" s="20" t="n"/>
      <c r="P1057" s="19" t="n"/>
      <c r="Q1057" s="19" t="n"/>
      <c r="R1057" s="20" t="n"/>
      <c r="S1057" s="20" t="n"/>
      <c r="T1057" s="19" t="n"/>
      <c r="U1057" s="19" t="n"/>
      <c r="V1057" s="19" t="n"/>
      <c r="W1057" s="19" t="n"/>
      <c r="X1057" s="19" t="n"/>
      <c r="Y1057" s="19" t="n"/>
      <c r="Z1057" s="21">
        <f>IF(AND($A1057="",$B1057=""),"",IF(OR($E1057="",$H1057="",$H1057="Proposed",$H1057="Not Reported"),0,IF(AND($P1057="Y",$Q1057&lt;&gt;"Y"),0,IF(AND($K1057="Point",N($L1057)&lt;=0),0,IF(AND(N($L1057)&lt;=0,N($N1057)&lt;=0,N($R1057)+N($S1057)&lt;=0),0,1)))))</f>
        <v/>
      </c>
      <c r="AA1057" s="21">
        <f>IF(AND($A1057="",$B1057=""),"",IF($E1057="","Site type missing",IF($H1057="","STATUS missing",IF($H1057="Proposed","STATUS = Proposed",IF($H1057="Not Reported","STATUS = Not Reported",IF(AND($P1057="Y",$Q1057&lt;&gt;"Y"),"UNESCO-MAB Biosphere Reserve",IF(AND($K1057="Point",N($L1057)&lt;=0),"Point without REP_AREA",IF(AND(N($L1057)&lt;=0,N($N1057)&lt;=0,N($R1057)+N($S1057)&lt;=0),"No area information",""))))))))</f>
        <v/>
      </c>
      <c r="AB1057" s="22">
        <f>IF(AND($A1057="",$B1057=""),"",IF($K1057="Point",N($L1057),IF(N($N1057)&gt;0,N($N1057),N($L1057))))</f>
        <v/>
      </c>
      <c r="AC1057" s="22">
        <f>IF(AND($A1057="",$B1057=""),"",MIN(AB1057,IF(N($J1057)=0,0,IF(N($J1057)=2,AB1057,IF(AND($K1057&lt;&gt;"Point",N($O1057)&gt;0),N($O1057),N($M1057))))))</f>
        <v/>
      </c>
      <c r="AD1057" s="22">
        <f>IF(AND($A1057="",$B1057=""),"",MAX(0,AB1057-AC1057))</f>
        <v/>
      </c>
      <c r="AE1057" s="21">
        <f>IF(AND($A1057="",$B1057=""),"",IF(OR($R1057&lt;&gt;"",$S1057&lt;&gt;""),1,0))</f>
        <v/>
      </c>
      <c r="AF1057" s="22">
        <f>IF(AND($A1057="",$B1057=""),"",IF(Z1057=1,IF(AE1057=1,N($R1057),AD1057),0))</f>
        <v/>
      </c>
      <c r="AG1057" s="22">
        <f>IF(AND($A1057="",$B1057=""),"",IF(Z1057=1,IF(AE1057=1,N($S1057),AC1057),0))</f>
        <v/>
      </c>
      <c r="AH1057" s="21">
        <f>IF(AND($A1057="",$B1057=""),"",IF(AND(ISNUMBER($I1057),N($I1057)&gt;0),$I1057,0))</f>
        <v/>
      </c>
      <c r="AI1057" s="23">
        <f>IF(AND(NOT(AND($A1057="",$B1057="")),$K1057="Point",N($L1057)&gt;0),SQRT(N($L1057)/PI()),"")</f>
        <v/>
      </c>
      <c r="AJ1057" s="21">
        <f>IF(AND($A1057="",$B1057=""),"",IFERROR(VLOOKUP($G1057,Lists!$D$4:$E$15,2,FALSE),"Not reported"))</f>
        <v/>
      </c>
      <c r="AK1057" s="21">
        <f>IF(AND($A1057="",$B1057=""),"",IF($X1057&lt;&gt;"",$X1057,IF($T1057&lt;&gt;"Y","Not assessed",IF(AND(ISNUMBER($V1057),Setup!$B$6-$V1057&gt;Setup!$B$26),"Assessment outdated",IF(NOT(ISNUMBER($W1057)),"Assessed – no score",IF($W1057&gt;=Setup!$B$24,"High",IF($W1057&gt;=Setup!$B$25,"Moderate","Low")))))))</f>
        <v/>
      </c>
      <c r="AL1057" s="21">
        <f>IF(AND($A1057="",$B1057=""),"",IF(Z1057=0,"",IF(AND(AE1057=1,N($R1057)&gt;AD1057*1.01+0.001),"Net terrestrial &gt; gross; ","")&amp;IF(AND(AE1057=1,N($S1057)&gt;AC1057*1.01+0.001),"Net marine &gt; gross; ","")&amp;IF(AE1057=0,"No net area – gross used, overlaps may be double-counted; ","")&amp;IF(AH1057=0,"STATUS_YR missing – imputed in time series; ","")&amp;IF(AND(ISNUMBER($I1057),N($I1057)&gt;Setup!$B$6),"STATUS_YR after reporting year; ","")&amp;IF(OR($G1057="",$G1057="Not Reported"),"GOV_TYPE not reported; ","")&amp;IF(AND(N($J1057)=1,$K1057="Point",N($M1057)&lt;=0),"Coastal point without REP_M_AREA – land/sea split unknown; ","")&amp;IF(AND(N($J1057)=0,N($S1057)&gt;0),"MARINE=0 but net marine &gt;0; ","")&amp;IF(AND(N($J1057)=2,N($R1057)&gt;0),"MARINE=2 but net terrestrial &gt;0; ","")&amp;IF($K1057="Point","Buffered point – coverage approximate; ","")))</f>
        <v/>
      </c>
    </row>
    <row r="1058">
      <c r="A1058" s="19" t="n"/>
      <c r="B1058" s="19" t="n"/>
      <c r="C1058" s="19" t="n"/>
      <c r="D1058" s="19" t="n"/>
      <c r="E1058" s="19" t="n"/>
      <c r="F1058" s="19" t="n"/>
      <c r="G1058" s="19" t="n"/>
      <c r="H1058" s="19" t="n"/>
      <c r="I1058" s="19" t="n"/>
      <c r="J1058" s="19" t="n"/>
      <c r="K1058" s="19" t="n"/>
      <c r="L1058" s="20" t="n"/>
      <c r="M1058" s="20" t="n"/>
      <c r="N1058" s="20" t="n"/>
      <c r="O1058" s="20" t="n"/>
      <c r="P1058" s="19" t="n"/>
      <c r="Q1058" s="19" t="n"/>
      <c r="R1058" s="20" t="n"/>
      <c r="S1058" s="20" t="n"/>
      <c r="T1058" s="19" t="n"/>
      <c r="U1058" s="19" t="n"/>
      <c r="V1058" s="19" t="n"/>
      <c r="W1058" s="19" t="n"/>
      <c r="X1058" s="19" t="n"/>
      <c r="Y1058" s="19" t="n"/>
      <c r="Z1058" s="21">
        <f>IF(AND($A1058="",$B1058=""),"",IF(OR($E1058="",$H1058="",$H1058="Proposed",$H1058="Not Reported"),0,IF(AND($P1058="Y",$Q1058&lt;&gt;"Y"),0,IF(AND($K1058="Point",N($L1058)&lt;=0),0,IF(AND(N($L1058)&lt;=0,N($N1058)&lt;=0,N($R1058)+N($S1058)&lt;=0),0,1)))))</f>
        <v/>
      </c>
      <c r="AA1058" s="21">
        <f>IF(AND($A1058="",$B1058=""),"",IF($E1058="","Site type missing",IF($H1058="","STATUS missing",IF($H1058="Proposed","STATUS = Proposed",IF($H1058="Not Reported","STATUS = Not Reported",IF(AND($P1058="Y",$Q1058&lt;&gt;"Y"),"UNESCO-MAB Biosphere Reserve",IF(AND($K1058="Point",N($L1058)&lt;=0),"Point without REP_AREA",IF(AND(N($L1058)&lt;=0,N($N1058)&lt;=0,N($R1058)+N($S1058)&lt;=0),"No area information",""))))))))</f>
        <v/>
      </c>
      <c r="AB1058" s="22">
        <f>IF(AND($A1058="",$B1058=""),"",IF($K1058="Point",N($L1058),IF(N($N1058)&gt;0,N($N1058),N($L1058))))</f>
        <v/>
      </c>
      <c r="AC1058" s="22">
        <f>IF(AND($A1058="",$B1058=""),"",MIN(AB1058,IF(N($J1058)=0,0,IF(N($J1058)=2,AB1058,IF(AND($K1058&lt;&gt;"Point",N($O1058)&gt;0),N($O1058),N($M1058))))))</f>
        <v/>
      </c>
      <c r="AD1058" s="22">
        <f>IF(AND($A1058="",$B1058=""),"",MAX(0,AB1058-AC1058))</f>
        <v/>
      </c>
      <c r="AE1058" s="21">
        <f>IF(AND($A1058="",$B1058=""),"",IF(OR($R1058&lt;&gt;"",$S1058&lt;&gt;""),1,0))</f>
        <v/>
      </c>
      <c r="AF1058" s="22">
        <f>IF(AND($A1058="",$B1058=""),"",IF(Z1058=1,IF(AE1058=1,N($R1058),AD1058),0))</f>
        <v/>
      </c>
      <c r="AG1058" s="22">
        <f>IF(AND($A1058="",$B1058=""),"",IF(Z1058=1,IF(AE1058=1,N($S1058),AC1058),0))</f>
        <v/>
      </c>
      <c r="AH1058" s="21">
        <f>IF(AND($A1058="",$B1058=""),"",IF(AND(ISNUMBER($I1058),N($I1058)&gt;0),$I1058,0))</f>
        <v/>
      </c>
      <c r="AI1058" s="23">
        <f>IF(AND(NOT(AND($A1058="",$B1058="")),$K1058="Point",N($L1058)&gt;0),SQRT(N($L1058)/PI()),"")</f>
        <v/>
      </c>
      <c r="AJ1058" s="21">
        <f>IF(AND($A1058="",$B1058=""),"",IFERROR(VLOOKUP($G1058,Lists!$D$4:$E$15,2,FALSE),"Not reported"))</f>
        <v/>
      </c>
      <c r="AK1058" s="21">
        <f>IF(AND($A1058="",$B1058=""),"",IF($X1058&lt;&gt;"",$X1058,IF($T1058&lt;&gt;"Y","Not assessed",IF(AND(ISNUMBER($V1058),Setup!$B$6-$V1058&gt;Setup!$B$26),"Assessment outdated",IF(NOT(ISNUMBER($W1058)),"Assessed – no score",IF($W1058&gt;=Setup!$B$24,"High",IF($W1058&gt;=Setup!$B$25,"Moderate","Low")))))))</f>
        <v/>
      </c>
      <c r="AL1058" s="21">
        <f>IF(AND($A1058="",$B1058=""),"",IF(Z1058=0,"",IF(AND(AE1058=1,N($R1058)&gt;AD1058*1.01+0.001),"Net terrestrial &gt; gross; ","")&amp;IF(AND(AE1058=1,N($S1058)&gt;AC1058*1.01+0.001),"Net marine &gt; gross; ","")&amp;IF(AE1058=0,"No net area – gross used, overlaps may be double-counted; ","")&amp;IF(AH1058=0,"STATUS_YR missing – imputed in time series; ","")&amp;IF(AND(ISNUMBER($I1058),N($I1058)&gt;Setup!$B$6),"STATUS_YR after reporting year; ","")&amp;IF(OR($G1058="",$G1058="Not Reported"),"GOV_TYPE not reported; ","")&amp;IF(AND(N($J1058)=1,$K1058="Point",N($M1058)&lt;=0),"Coastal point without REP_M_AREA – land/sea split unknown; ","")&amp;IF(AND(N($J1058)=0,N($S1058)&gt;0),"MARINE=0 but net marine &gt;0; ","")&amp;IF(AND(N($J1058)=2,N($R1058)&gt;0),"MARINE=2 but net terrestrial &gt;0; ","")&amp;IF($K1058="Point","Buffered point – coverage approximate; ","")))</f>
        <v/>
      </c>
    </row>
    <row r="1059">
      <c r="A1059" s="19" t="n"/>
      <c r="B1059" s="19" t="n"/>
      <c r="C1059" s="19" t="n"/>
      <c r="D1059" s="19" t="n"/>
      <c r="E1059" s="19" t="n"/>
      <c r="F1059" s="19" t="n"/>
      <c r="G1059" s="19" t="n"/>
      <c r="H1059" s="19" t="n"/>
      <c r="I1059" s="19" t="n"/>
      <c r="J1059" s="19" t="n"/>
      <c r="K1059" s="19" t="n"/>
      <c r="L1059" s="20" t="n"/>
      <c r="M1059" s="20" t="n"/>
      <c r="N1059" s="20" t="n"/>
      <c r="O1059" s="20" t="n"/>
      <c r="P1059" s="19" t="n"/>
      <c r="Q1059" s="19" t="n"/>
      <c r="R1059" s="20" t="n"/>
      <c r="S1059" s="20" t="n"/>
      <c r="T1059" s="19" t="n"/>
      <c r="U1059" s="19" t="n"/>
      <c r="V1059" s="19" t="n"/>
      <c r="W1059" s="19" t="n"/>
      <c r="X1059" s="19" t="n"/>
      <c r="Y1059" s="19" t="n"/>
      <c r="Z1059" s="21">
        <f>IF(AND($A1059="",$B1059=""),"",IF(OR($E1059="",$H1059="",$H1059="Proposed",$H1059="Not Reported"),0,IF(AND($P1059="Y",$Q1059&lt;&gt;"Y"),0,IF(AND($K1059="Point",N($L1059)&lt;=0),0,IF(AND(N($L1059)&lt;=0,N($N1059)&lt;=0,N($R1059)+N($S1059)&lt;=0),0,1)))))</f>
        <v/>
      </c>
      <c r="AA1059" s="21">
        <f>IF(AND($A1059="",$B1059=""),"",IF($E1059="","Site type missing",IF($H1059="","STATUS missing",IF($H1059="Proposed","STATUS = Proposed",IF($H1059="Not Reported","STATUS = Not Reported",IF(AND($P1059="Y",$Q1059&lt;&gt;"Y"),"UNESCO-MAB Biosphere Reserve",IF(AND($K1059="Point",N($L1059)&lt;=0),"Point without REP_AREA",IF(AND(N($L1059)&lt;=0,N($N1059)&lt;=0,N($R1059)+N($S1059)&lt;=0),"No area information",""))))))))</f>
        <v/>
      </c>
      <c r="AB1059" s="22">
        <f>IF(AND($A1059="",$B1059=""),"",IF($K1059="Point",N($L1059),IF(N($N1059)&gt;0,N($N1059),N($L1059))))</f>
        <v/>
      </c>
      <c r="AC1059" s="22">
        <f>IF(AND($A1059="",$B1059=""),"",MIN(AB1059,IF(N($J1059)=0,0,IF(N($J1059)=2,AB1059,IF(AND($K1059&lt;&gt;"Point",N($O1059)&gt;0),N($O1059),N($M1059))))))</f>
        <v/>
      </c>
      <c r="AD1059" s="22">
        <f>IF(AND($A1059="",$B1059=""),"",MAX(0,AB1059-AC1059))</f>
        <v/>
      </c>
      <c r="AE1059" s="21">
        <f>IF(AND($A1059="",$B1059=""),"",IF(OR($R1059&lt;&gt;"",$S1059&lt;&gt;""),1,0))</f>
        <v/>
      </c>
      <c r="AF1059" s="22">
        <f>IF(AND($A1059="",$B1059=""),"",IF(Z1059=1,IF(AE1059=1,N($R1059),AD1059),0))</f>
        <v/>
      </c>
      <c r="AG1059" s="22">
        <f>IF(AND($A1059="",$B1059=""),"",IF(Z1059=1,IF(AE1059=1,N($S1059),AC1059),0))</f>
        <v/>
      </c>
      <c r="AH1059" s="21">
        <f>IF(AND($A1059="",$B1059=""),"",IF(AND(ISNUMBER($I1059),N($I1059)&gt;0),$I1059,0))</f>
        <v/>
      </c>
      <c r="AI1059" s="23">
        <f>IF(AND(NOT(AND($A1059="",$B1059="")),$K1059="Point",N($L1059)&gt;0),SQRT(N($L1059)/PI()),"")</f>
        <v/>
      </c>
      <c r="AJ1059" s="21">
        <f>IF(AND($A1059="",$B1059=""),"",IFERROR(VLOOKUP($G1059,Lists!$D$4:$E$15,2,FALSE),"Not reported"))</f>
        <v/>
      </c>
      <c r="AK1059" s="21">
        <f>IF(AND($A1059="",$B1059=""),"",IF($X1059&lt;&gt;"",$X1059,IF($T1059&lt;&gt;"Y","Not assessed",IF(AND(ISNUMBER($V1059),Setup!$B$6-$V1059&gt;Setup!$B$26),"Assessment outdated",IF(NOT(ISNUMBER($W1059)),"Assessed – no score",IF($W1059&gt;=Setup!$B$24,"High",IF($W1059&gt;=Setup!$B$25,"Moderate","Low")))))))</f>
        <v/>
      </c>
      <c r="AL1059" s="21">
        <f>IF(AND($A1059="",$B1059=""),"",IF(Z1059=0,"",IF(AND(AE1059=1,N($R1059)&gt;AD1059*1.01+0.001),"Net terrestrial &gt; gross; ","")&amp;IF(AND(AE1059=1,N($S1059)&gt;AC1059*1.01+0.001),"Net marine &gt; gross; ","")&amp;IF(AE1059=0,"No net area – gross used, overlaps may be double-counted; ","")&amp;IF(AH1059=0,"STATUS_YR missing – imputed in time series; ","")&amp;IF(AND(ISNUMBER($I1059),N($I1059)&gt;Setup!$B$6),"STATUS_YR after reporting year; ","")&amp;IF(OR($G1059="",$G1059="Not Reported"),"GOV_TYPE not reported; ","")&amp;IF(AND(N($J1059)=1,$K1059="Point",N($M1059)&lt;=0),"Coastal point without REP_M_AREA – land/sea split unknown; ","")&amp;IF(AND(N($J1059)=0,N($S1059)&gt;0),"MARINE=0 but net marine &gt;0; ","")&amp;IF(AND(N($J1059)=2,N($R1059)&gt;0),"MARINE=2 but net terrestrial &gt;0; ","")&amp;IF($K1059="Point","Buffered point – coverage approximate; ","")))</f>
        <v/>
      </c>
    </row>
    <row r="1060">
      <c r="A1060" s="19" t="n"/>
      <c r="B1060" s="19" t="n"/>
      <c r="C1060" s="19" t="n"/>
      <c r="D1060" s="19" t="n"/>
      <c r="E1060" s="19" t="n"/>
      <c r="F1060" s="19" t="n"/>
      <c r="G1060" s="19" t="n"/>
      <c r="H1060" s="19" t="n"/>
      <c r="I1060" s="19" t="n"/>
      <c r="J1060" s="19" t="n"/>
      <c r="K1060" s="19" t="n"/>
      <c r="L1060" s="20" t="n"/>
      <c r="M1060" s="20" t="n"/>
      <c r="N1060" s="20" t="n"/>
      <c r="O1060" s="20" t="n"/>
      <c r="P1060" s="19" t="n"/>
      <c r="Q1060" s="19" t="n"/>
      <c r="R1060" s="20" t="n"/>
      <c r="S1060" s="20" t="n"/>
      <c r="T1060" s="19" t="n"/>
      <c r="U1060" s="19" t="n"/>
      <c r="V1060" s="19" t="n"/>
      <c r="W1060" s="19" t="n"/>
      <c r="X1060" s="19" t="n"/>
      <c r="Y1060" s="19" t="n"/>
      <c r="Z1060" s="21">
        <f>IF(AND($A1060="",$B1060=""),"",IF(OR($E1060="",$H1060="",$H1060="Proposed",$H1060="Not Reported"),0,IF(AND($P1060="Y",$Q1060&lt;&gt;"Y"),0,IF(AND($K1060="Point",N($L1060)&lt;=0),0,IF(AND(N($L1060)&lt;=0,N($N1060)&lt;=0,N($R1060)+N($S1060)&lt;=0),0,1)))))</f>
        <v/>
      </c>
      <c r="AA1060" s="21">
        <f>IF(AND($A1060="",$B1060=""),"",IF($E1060="","Site type missing",IF($H1060="","STATUS missing",IF($H1060="Proposed","STATUS = Proposed",IF($H1060="Not Reported","STATUS = Not Reported",IF(AND($P1060="Y",$Q1060&lt;&gt;"Y"),"UNESCO-MAB Biosphere Reserve",IF(AND($K1060="Point",N($L1060)&lt;=0),"Point without REP_AREA",IF(AND(N($L1060)&lt;=0,N($N1060)&lt;=0,N($R1060)+N($S1060)&lt;=0),"No area information",""))))))))</f>
        <v/>
      </c>
      <c r="AB1060" s="22">
        <f>IF(AND($A1060="",$B1060=""),"",IF($K1060="Point",N($L1060),IF(N($N1060)&gt;0,N($N1060),N($L1060))))</f>
        <v/>
      </c>
      <c r="AC1060" s="22">
        <f>IF(AND($A1060="",$B1060=""),"",MIN(AB1060,IF(N($J1060)=0,0,IF(N($J1060)=2,AB1060,IF(AND($K1060&lt;&gt;"Point",N($O1060)&gt;0),N($O1060),N($M1060))))))</f>
        <v/>
      </c>
      <c r="AD1060" s="22">
        <f>IF(AND($A1060="",$B1060=""),"",MAX(0,AB1060-AC1060))</f>
        <v/>
      </c>
      <c r="AE1060" s="21">
        <f>IF(AND($A1060="",$B1060=""),"",IF(OR($R1060&lt;&gt;"",$S1060&lt;&gt;""),1,0))</f>
        <v/>
      </c>
      <c r="AF1060" s="22">
        <f>IF(AND($A1060="",$B1060=""),"",IF(Z1060=1,IF(AE1060=1,N($R1060),AD1060),0))</f>
        <v/>
      </c>
      <c r="AG1060" s="22">
        <f>IF(AND($A1060="",$B1060=""),"",IF(Z1060=1,IF(AE1060=1,N($S1060),AC1060),0))</f>
        <v/>
      </c>
      <c r="AH1060" s="21">
        <f>IF(AND($A1060="",$B1060=""),"",IF(AND(ISNUMBER($I1060),N($I1060)&gt;0),$I1060,0))</f>
        <v/>
      </c>
      <c r="AI1060" s="23">
        <f>IF(AND(NOT(AND($A1060="",$B1060="")),$K1060="Point",N($L1060)&gt;0),SQRT(N($L1060)/PI()),"")</f>
        <v/>
      </c>
      <c r="AJ1060" s="21">
        <f>IF(AND($A1060="",$B1060=""),"",IFERROR(VLOOKUP($G1060,Lists!$D$4:$E$15,2,FALSE),"Not reported"))</f>
        <v/>
      </c>
      <c r="AK1060" s="21">
        <f>IF(AND($A1060="",$B1060=""),"",IF($X1060&lt;&gt;"",$X1060,IF($T1060&lt;&gt;"Y","Not assessed",IF(AND(ISNUMBER($V1060),Setup!$B$6-$V1060&gt;Setup!$B$26),"Assessment outdated",IF(NOT(ISNUMBER($W1060)),"Assessed – no score",IF($W1060&gt;=Setup!$B$24,"High",IF($W1060&gt;=Setup!$B$25,"Moderate","Low")))))))</f>
        <v/>
      </c>
      <c r="AL1060" s="21">
        <f>IF(AND($A1060="",$B1060=""),"",IF(Z1060=0,"",IF(AND(AE1060=1,N($R1060)&gt;AD1060*1.01+0.001),"Net terrestrial &gt; gross; ","")&amp;IF(AND(AE1060=1,N($S1060)&gt;AC1060*1.01+0.001),"Net marine &gt; gross; ","")&amp;IF(AE1060=0,"No net area – gross used, overlaps may be double-counted; ","")&amp;IF(AH1060=0,"STATUS_YR missing – imputed in time series; ","")&amp;IF(AND(ISNUMBER($I1060),N($I1060)&gt;Setup!$B$6),"STATUS_YR after reporting year; ","")&amp;IF(OR($G1060="",$G1060="Not Reported"),"GOV_TYPE not reported; ","")&amp;IF(AND(N($J1060)=1,$K1060="Point",N($M1060)&lt;=0),"Coastal point without REP_M_AREA – land/sea split unknown; ","")&amp;IF(AND(N($J1060)=0,N($S1060)&gt;0),"MARINE=0 but net marine &gt;0; ","")&amp;IF(AND(N($J1060)=2,N($R1060)&gt;0),"MARINE=2 but net terrestrial &gt;0; ","")&amp;IF($K1060="Point","Buffered point – coverage approximate; ","")))</f>
        <v/>
      </c>
    </row>
    <row r="1061">
      <c r="A1061" s="19" t="n"/>
      <c r="B1061" s="19" t="n"/>
      <c r="C1061" s="19" t="n"/>
      <c r="D1061" s="19" t="n"/>
      <c r="E1061" s="19" t="n"/>
      <c r="F1061" s="19" t="n"/>
      <c r="G1061" s="19" t="n"/>
      <c r="H1061" s="19" t="n"/>
      <c r="I1061" s="19" t="n"/>
      <c r="J1061" s="19" t="n"/>
      <c r="K1061" s="19" t="n"/>
      <c r="L1061" s="20" t="n"/>
      <c r="M1061" s="20" t="n"/>
      <c r="N1061" s="20" t="n"/>
      <c r="O1061" s="20" t="n"/>
      <c r="P1061" s="19" t="n"/>
      <c r="Q1061" s="19" t="n"/>
      <c r="R1061" s="20" t="n"/>
      <c r="S1061" s="20" t="n"/>
      <c r="T1061" s="19" t="n"/>
      <c r="U1061" s="19" t="n"/>
      <c r="V1061" s="19" t="n"/>
      <c r="W1061" s="19" t="n"/>
      <c r="X1061" s="19" t="n"/>
      <c r="Y1061" s="19" t="n"/>
      <c r="Z1061" s="21">
        <f>IF(AND($A1061="",$B1061=""),"",IF(OR($E1061="",$H1061="",$H1061="Proposed",$H1061="Not Reported"),0,IF(AND($P1061="Y",$Q1061&lt;&gt;"Y"),0,IF(AND($K1061="Point",N($L1061)&lt;=0),0,IF(AND(N($L1061)&lt;=0,N($N1061)&lt;=0,N($R1061)+N($S1061)&lt;=0),0,1)))))</f>
        <v/>
      </c>
      <c r="AA1061" s="21">
        <f>IF(AND($A1061="",$B1061=""),"",IF($E1061="","Site type missing",IF($H1061="","STATUS missing",IF($H1061="Proposed","STATUS = Proposed",IF($H1061="Not Reported","STATUS = Not Reported",IF(AND($P1061="Y",$Q1061&lt;&gt;"Y"),"UNESCO-MAB Biosphere Reserve",IF(AND($K1061="Point",N($L1061)&lt;=0),"Point without REP_AREA",IF(AND(N($L1061)&lt;=0,N($N1061)&lt;=0,N($R1061)+N($S1061)&lt;=0),"No area information",""))))))))</f>
        <v/>
      </c>
      <c r="AB1061" s="22">
        <f>IF(AND($A1061="",$B1061=""),"",IF($K1061="Point",N($L1061),IF(N($N1061)&gt;0,N($N1061),N($L1061))))</f>
        <v/>
      </c>
      <c r="AC1061" s="22">
        <f>IF(AND($A1061="",$B1061=""),"",MIN(AB1061,IF(N($J1061)=0,0,IF(N($J1061)=2,AB1061,IF(AND($K1061&lt;&gt;"Point",N($O1061)&gt;0),N($O1061),N($M1061))))))</f>
        <v/>
      </c>
      <c r="AD1061" s="22">
        <f>IF(AND($A1061="",$B1061=""),"",MAX(0,AB1061-AC1061))</f>
        <v/>
      </c>
      <c r="AE1061" s="21">
        <f>IF(AND($A1061="",$B1061=""),"",IF(OR($R1061&lt;&gt;"",$S1061&lt;&gt;""),1,0))</f>
        <v/>
      </c>
      <c r="AF1061" s="22">
        <f>IF(AND($A1061="",$B1061=""),"",IF(Z1061=1,IF(AE1061=1,N($R1061),AD1061),0))</f>
        <v/>
      </c>
      <c r="AG1061" s="22">
        <f>IF(AND($A1061="",$B1061=""),"",IF(Z1061=1,IF(AE1061=1,N($S1061),AC1061),0))</f>
        <v/>
      </c>
      <c r="AH1061" s="21">
        <f>IF(AND($A1061="",$B1061=""),"",IF(AND(ISNUMBER($I1061),N($I1061)&gt;0),$I1061,0))</f>
        <v/>
      </c>
      <c r="AI1061" s="23">
        <f>IF(AND(NOT(AND($A1061="",$B1061="")),$K1061="Point",N($L1061)&gt;0),SQRT(N($L1061)/PI()),"")</f>
        <v/>
      </c>
      <c r="AJ1061" s="21">
        <f>IF(AND($A1061="",$B1061=""),"",IFERROR(VLOOKUP($G1061,Lists!$D$4:$E$15,2,FALSE),"Not reported"))</f>
        <v/>
      </c>
      <c r="AK1061" s="21">
        <f>IF(AND($A1061="",$B1061=""),"",IF($X1061&lt;&gt;"",$X1061,IF($T1061&lt;&gt;"Y","Not assessed",IF(AND(ISNUMBER($V1061),Setup!$B$6-$V1061&gt;Setup!$B$26),"Assessment outdated",IF(NOT(ISNUMBER($W1061)),"Assessed – no score",IF($W1061&gt;=Setup!$B$24,"High",IF($W1061&gt;=Setup!$B$25,"Moderate","Low")))))))</f>
        <v/>
      </c>
      <c r="AL1061" s="21">
        <f>IF(AND($A1061="",$B1061=""),"",IF(Z1061=0,"",IF(AND(AE1061=1,N($R1061)&gt;AD1061*1.01+0.001),"Net terrestrial &gt; gross; ","")&amp;IF(AND(AE1061=1,N($S1061)&gt;AC1061*1.01+0.001),"Net marine &gt; gross; ","")&amp;IF(AE1061=0,"No net area – gross used, overlaps may be double-counted; ","")&amp;IF(AH1061=0,"STATUS_YR missing – imputed in time series; ","")&amp;IF(AND(ISNUMBER($I1061),N($I1061)&gt;Setup!$B$6),"STATUS_YR after reporting year; ","")&amp;IF(OR($G1061="",$G1061="Not Reported"),"GOV_TYPE not reported; ","")&amp;IF(AND(N($J1061)=1,$K1061="Point",N($M1061)&lt;=0),"Coastal point without REP_M_AREA – land/sea split unknown; ","")&amp;IF(AND(N($J1061)=0,N($S1061)&gt;0),"MARINE=0 but net marine &gt;0; ","")&amp;IF(AND(N($J1061)=2,N($R1061)&gt;0),"MARINE=2 but net terrestrial &gt;0; ","")&amp;IF($K1061="Point","Buffered point – coverage approximate; ","")))</f>
        <v/>
      </c>
    </row>
    <row r="1062">
      <c r="A1062" s="19" t="n"/>
      <c r="B1062" s="19" t="n"/>
      <c r="C1062" s="19" t="n"/>
      <c r="D1062" s="19" t="n"/>
      <c r="E1062" s="19" t="n"/>
      <c r="F1062" s="19" t="n"/>
      <c r="G1062" s="19" t="n"/>
      <c r="H1062" s="19" t="n"/>
      <c r="I1062" s="19" t="n"/>
      <c r="J1062" s="19" t="n"/>
      <c r="K1062" s="19" t="n"/>
      <c r="L1062" s="20" t="n"/>
      <c r="M1062" s="20" t="n"/>
      <c r="N1062" s="20" t="n"/>
      <c r="O1062" s="20" t="n"/>
      <c r="P1062" s="19" t="n"/>
      <c r="Q1062" s="19" t="n"/>
      <c r="R1062" s="20" t="n"/>
      <c r="S1062" s="20" t="n"/>
      <c r="T1062" s="19" t="n"/>
      <c r="U1062" s="19" t="n"/>
      <c r="V1062" s="19" t="n"/>
      <c r="W1062" s="19" t="n"/>
      <c r="X1062" s="19" t="n"/>
      <c r="Y1062" s="19" t="n"/>
      <c r="Z1062" s="21">
        <f>IF(AND($A1062="",$B1062=""),"",IF(OR($E1062="",$H1062="",$H1062="Proposed",$H1062="Not Reported"),0,IF(AND($P1062="Y",$Q1062&lt;&gt;"Y"),0,IF(AND($K1062="Point",N($L1062)&lt;=0),0,IF(AND(N($L1062)&lt;=0,N($N1062)&lt;=0,N($R1062)+N($S1062)&lt;=0),0,1)))))</f>
        <v/>
      </c>
      <c r="AA1062" s="21">
        <f>IF(AND($A1062="",$B1062=""),"",IF($E1062="","Site type missing",IF($H1062="","STATUS missing",IF($H1062="Proposed","STATUS = Proposed",IF($H1062="Not Reported","STATUS = Not Reported",IF(AND($P1062="Y",$Q1062&lt;&gt;"Y"),"UNESCO-MAB Biosphere Reserve",IF(AND($K1062="Point",N($L1062)&lt;=0),"Point without REP_AREA",IF(AND(N($L1062)&lt;=0,N($N1062)&lt;=0,N($R1062)+N($S1062)&lt;=0),"No area information",""))))))))</f>
        <v/>
      </c>
      <c r="AB1062" s="22">
        <f>IF(AND($A1062="",$B1062=""),"",IF($K1062="Point",N($L1062),IF(N($N1062)&gt;0,N($N1062),N($L1062))))</f>
        <v/>
      </c>
      <c r="AC1062" s="22">
        <f>IF(AND($A1062="",$B1062=""),"",MIN(AB1062,IF(N($J1062)=0,0,IF(N($J1062)=2,AB1062,IF(AND($K1062&lt;&gt;"Point",N($O1062)&gt;0),N($O1062),N($M1062))))))</f>
        <v/>
      </c>
      <c r="AD1062" s="22">
        <f>IF(AND($A1062="",$B1062=""),"",MAX(0,AB1062-AC1062))</f>
        <v/>
      </c>
      <c r="AE1062" s="21">
        <f>IF(AND($A1062="",$B1062=""),"",IF(OR($R1062&lt;&gt;"",$S1062&lt;&gt;""),1,0))</f>
        <v/>
      </c>
      <c r="AF1062" s="22">
        <f>IF(AND($A1062="",$B1062=""),"",IF(Z1062=1,IF(AE1062=1,N($R1062),AD1062),0))</f>
        <v/>
      </c>
      <c r="AG1062" s="22">
        <f>IF(AND($A1062="",$B1062=""),"",IF(Z1062=1,IF(AE1062=1,N($S1062),AC1062),0))</f>
        <v/>
      </c>
      <c r="AH1062" s="21">
        <f>IF(AND($A1062="",$B1062=""),"",IF(AND(ISNUMBER($I1062),N($I1062)&gt;0),$I1062,0))</f>
        <v/>
      </c>
      <c r="AI1062" s="23">
        <f>IF(AND(NOT(AND($A1062="",$B1062="")),$K1062="Point",N($L1062)&gt;0),SQRT(N($L1062)/PI()),"")</f>
        <v/>
      </c>
      <c r="AJ1062" s="21">
        <f>IF(AND($A1062="",$B1062=""),"",IFERROR(VLOOKUP($G1062,Lists!$D$4:$E$15,2,FALSE),"Not reported"))</f>
        <v/>
      </c>
      <c r="AK1062" s="21">
        <f>IF(AND($A1062="",$B1062=""),"",IF($X1062&lt;&gt;"",$X1062,IF($T1062&lt;&gt;"Y","Not assessed",IF(AND(ISNUMBER($V1062),Setup!$B$6-$V1062&gt;Setup!$B$26),"Assessment outdated",IF(NOT(ISNUMBER($W1062)),"Assessed – no score",IF($W1062&gt;=Setup!$B$24,"High",IF($W1062&gt;=Setup!$B$25,"Moderate","Low")))))))</f>
        <v/>
      </c>
      <c r="AL1062" s="21">
        <f>IF(AND($A1062="",$B1062=""),"",IF(Z1062=0,"",IF(AND(AE1062=1,N($R1062)&gt;AD1062*1.01+0.001),"Net terrestrial &gt; gross; ","")&amp;IF(AND(AE1062=1,N($S1062)&gt;AC1062*1.01+0.001),"Net marine &gt; gross; ","")&amp;IF(AE1062=0,"No net area – gross used, overlaps may be double-counted; ","")&amp;IF(AH1062=0,"STATUS_YR missing – imputed in time series; ","")&amp;IF(AND(ISNUMBER($I1062),N($I1062)&gt;Setup!$B$6),"STATUS_YR after reporting year; ","")&amp;IF(OR($G1062="",$G1062="Not Reported"),"GOV_TYPE not reported; ","")&amp;IF(AND(N($J1062)=1,$K1062="Point",N($M1062)&lt;=0),"Coastal point without REP_M_AREA – land/sea split unknown; ","")&amp;IF(AND(N($J1062)=0,N($S1062)&gt;0),"MARINE=0 but net marine &gt;0; ","")&amp;IF(AND(N($J1062)=2,N($R1062)&gt;0),"MARINE=2 but net terrestrial &gt;0; ","")&amp;IF($K1062="Point","Buffered point – coverage approximate; ","")))</f>
        <v/>
      </c>
    </row>
    <row r="1063">
      <c r="A1063" s="19" t="n"/>
      <c r="B1063" s="19" t="n"/>
      <c r="C1063" s="19" t="n"/>
      <c r="D1063" s="19" t="n"/>
      <c r="E1063" s="19" t="n"/>
      <c r="F1063" s="19" t="n"/>
      <c r="G1063" s="19" t="n"/>
      <c r="H1063" s="19" t="n"/>
      <c r="I1063" s="19" t="n"/>
      <c r="J1063" s="19" t="n"/>
      <c r="K1063" s="19" t="n"/>
      <c r="L1063" s="20" t="n"/>
      <c r="M1063" s="20" t="n"/>
      <c r="N1063" s="20" t="n"/>
      <c r="O1063" s="20" t="n"/>
      <c r="P1063" s="19" t="n"/>
      <c r="Q1063" s="19" t="n"/>
      <c r="R1063" s="20" t="n"/>
      <c r="S1063" s="20" t="n"/>
      <c r="T1063" s="19" t="n"/>
      <c r="U1063" s="19" t="n"/>
      <c r="V1063" s="19" t="n"/>
      <c r="W1063" s="19" t="n"/>
      <c r="X1063" s="19" t="n"/>
      <c r="Y1063" s="19" t="n"/>
      <c r="Z1063" s="21">
        <f>IF(AND($A1063="",$B1063=""),"",IF(OR($E1063="",$H1063="",$H1063="Proposed",$H1063="Not Reported"),0,IF(AND($P1063="Y",$Q1063&lt;&gt;"Y"),0,IF(AND($K1063="Point",N($L1063)&lt;=0),0,IF(AND(N($L1063)&lt;=0,N($N1063)&lt;=0,N($R1063)+N($S1063)&lt;=0),0,1)))))</f>
        <v/>
      </c>
      <c r="AA1063" s="21">
        <f>IF(AND($A1063="",$B1063=""),"",IF($E1063="","Site type missing",IF($H1063="","STATUS missing",IF($H1063="Proposed","STATUS = Proposed",IF($H1063="Not Reported","STATUS = Not Reported",IF(AND($P1063="Y",$Q1063&lt;&gt;"Y"),"UNESCO-MAB Biosphere Reserve",IF(AND($K1063="Point",N($L1063)&lt;=0),"Point without REP_AREA",IF(AND(N($L1063)&lt;=0,N($N1063)&lt;=0,N($R1063)+N($S1063)&lt;=0),"No area information",""))))))))</f>
        <v/>
      </c>
      <c r="AB1063" s="22">
        <f>IF(AND($A1063="",$B1063=""),"",IF($K1063="Point",N($L1063),IF(N($N1063)&gt;0,N($N1063),N($L1063))))</f>
        <v/>
      </c>
      <c r="AC1063" s="22">
        <f>IF(AND($A1063="",$B1063=""),"",MIN(AB1063,IF(N($J1063)=0,0,IF(N($J1063)=2,AB1063,IF(AND($K1063&lt;&gt;"Point",N($O1063)&gt;0),N($O1063),N($M1063))))))</f>
        <v/>
      </c>
      <c r="AD1063" s="22">
        <f>IF(AND($A1063="",$B1063=""),"",MAX(0,AB1063-AC1063))</f>
        <v/>
      </c>
      <c r="AE1063" s="21">
        <f>IF(AND($A1063="",$B1063=""),"",IF(OR($R1063&lt;&gt;"",$S1063&lt;&gt;""),1,0))</f>
        <v/>
      </c>
      <c r="AF1063" s="22">
        <f>IF(AND($A1063="",$B1063=""),"",IF(Z1063=1,IF(AE1063=1,N($R1063),AD1063),0))</f>
        <v/>
      </c>
      <c r="AG1063" s="22">
        <f>IF(AND($A1063="",$B1063=""),"",IF(Z1063=1,IF(AE1063=1,N($S1063),AC1063),0))</f>
        <v/>
      </c>
      <c r="AH1063" s="21">
        <f>IF(AND($A1063="",$B1063=""),"",IF(AND(ISNUMBER($I1063),N($I1063)&gt;0),$I1063,0))</f>
        <v/>
      </c>
      <c r="AI1063" s="23">
        <f>IF(AND(NOT(AND($A1063="",$B1063="")),$K1063="Point",N($L1063)&gt;0),SQRT(N($L1063)/PI()),"")</f>
        <v/>
      </c>
      <c r="AJ1063" s="21">
        <f>IF(AND($A1063="",$B1063=""),"",IFERROR(VLOOKUP($G1063,Lists!$D$4:$E$15,2,FALSE),"Not reported"))</f>
        <v/>
      </c>
      <c r="AK1063" s="21">
        <f>IF(AND($A1063="",$B1063=""),"",IF($X1063&lt;&gt;"",$X1063,IF($T1063&lt;&gt;"Y","Not assessed",IF(AND(ISNUMBER($V1063),Setup!$B$6-$V1063&gt;Setup!$B$26),"Assessment outdated",IF(NOT(ISNUMBER($W1063)),"Assessed – no score",IF($W1063&gt;=Setup!$B$24,"High",IF($W1063&gt;=Setup!$B$25,"Moderate","Low")))))))</f>
        <v/>
      </c>
      <c r="AL1063" s="21">
        <f>IF(AND($A1063="",$B1063=""),"",IF(Z1063=0,"",IF(AND(AE1063=1,N($R1063)&gt;AD1063*1.01+0.001),"Net terrestrial &gt; gross; ","")&amp;IF(AND(AE1063=1,N($S1063)&gt;AC1063*1.01+0.001),"Net marine &gt; gross; ","")&amp;IF(AE1063=0,"No net area – gross used, overlaps may be double-counted; ","")&amp;IF(AH1063=0,"STATUS_YR missing – imputed in time series; ","")&amp;IF(AND(ISNUMBER($I1063),N($I1063)&gt;Setup!$B$6),"STATUS_YR after reporting year; ","")&amp;IF(OR($G1063="",$G1063="Not Reported"),"GOV_TYPE not reported; ","")&amp;IF(AND(N($J1063)=1,$K1063="Point",N($M1063)&lt;=0),"Coastal point without REP_M_AREA – land/sea split unknown; ","")&amp;IF(AND(N($J1063)=0,N($S1063)&gt;0),"MARINE=0 but net marine &gt;0; ","")&amp;IF(AND(N($J1063)=2,N($R1063)&gt;0),"MARINE=2 but net terrestrial &gt;0; ","")&amp;IF($K1063="Point","Buffered point – coverage approximate; ","")))</f>
        <v/>
      </c>
    </row>
    <row r="1064">
      <c r="A1064" s="19" t="n"/>
      <c r="B1064" s="19" t="n"/>
      <c r="C1064" s="19" t="n"/>
      <c r="D1064" s="19" t="n"/>
      <c r="E1064" s="19" t="n"/>
      <c r="F1064" s="19" t="n"/>
      <c r="G1064" s="19" t="n"/>
      <c r="H1064" s="19" t="n"/>
      <c r="I1064" s="19" t="n"/>
      <c r="J1064" s="19" t="n"/>
      <c r="K1064" s="19" t="n"/>
      <c r="L1064" s="20" t="n"/>
      <c r="M1064" s="20" t="n"/>
      <c r="N1064" s="20" t="n"/>
      <c r="O1064" s="20" t="n"/>
      <c r="P1064" s="19" t="n"/>
      <c r="Q1064" s="19" t="n"/>
      <c r="R1064" s="20" t="n"/>
      <c r="S1064" s="20" t="n"/>
      <c r="T1064" s="19" t="n"/>
      <c r="U1064" s="19" t="n"/>
      <c r="V1064" s="19" t="n"/>
      <c r="W1064" s="19" t="n"/>
      <c r="X1064" s="19" t="n"/>
      <c r="Y1064" s="19" t="n"/>
      <c r="Z1064" s="21">
        <f>IF(AND($A1064="",$B1064=""),"",IF(OR($E1064="",$H1064="",$H1064="Proposed",$H1064="Not Reported"),0,IF(AND($P1064="Y",$Q1064&lt;&gt;"Y"),0,IF(AND($K1064="Point",N($L1064)&lt;=0),0,IF(AND(N($L1064)&lt;=0,N($N1064)&lt;=0,N($R1064)+N($S1064)&lt;=0),0,1)))))</f>
        <v/>
      </c>
      <c r="AA1064" s="21">
        <f>IF(AND($A1064="",$B1064=""),"",IF($E1064="","Site type missing",IF($H1064="","STATUS missing",IF($H1064="Proposed","STATUS = Proposed",IF($H1064="Not Reported","STATUS = Not Reported",IF(AND($P1064="Y",$Q1064&lt;&gt;"Y"),"UNESCO-MAB Biosphere Reserve",IF(AND($K1064="Point",N($L1064)&lt;=0),"Point without REP_AREA",IF(AND(N($L1064)&lt;=0,N($N1064)&lt;=0,N($R1064)+N($S1064)&lt;=0),"No area information",""))))))))</f>
        <v/>
      </c>
      <c r="AB1064" s="22">
        <f>IF(AND($A1064="",$B1064=""),"",IF($K1064="Point",N($L1064),IF(N($N1064)&gt;0,N($N1064),N($L1064))))</f>
        <v/>
      </c>
      <c r="AC1064" s="22">
        <f>IF(AND($A1064="",$B1064=""),"",MIN(AB1064,IF(N($J1064)=0,0,IF(N($J1064)=2,AB1064,IF(AND($K1064&lt;&gt;"Point",N($O1064)&gt;0),N($O1064),N($M1064))))))</f>
        <v/>
      </c>
      <c r="AD1064" s="22">
        <f>IF(AND($A1064="",$B1064=""),"",MAX(0,AB1064-AC1064))</f>
        <v/>
      </c>
      <c r="AE1064" s="21">
        <f>IF(AND($A1064="",$B1064=""),"",IF(OR($R1064&lt;&gt;"",$S1064&lt;&gt;""),1,0))</f>
        <v/>
      </c>
      <c r="AF1064" s="22">
        <f>IF(AND($A1064="",$B1064=""),"",IF(Z1064=1,IF(AE1064=1,N($R1064),AD1064),0))</f>
        <v/>
      </c>
      <c r="AG1064" s="22">
        <f>IF(AND($A1064="",$B1064=""),"",IF(Z1064=1,IF(AE1064=1,N($S1064),AC1064),0))</f>
        <v/>
      </c>
      <c r="AH1064" s="21">
        <f>IF(AND($A1064="",$B1064=""),"",IF(AND(ISNUMBER($I1064),N($I1064)&gt;0),$I1064,0))</f>
        <v/>
      </c>
      <c r="AI1064" s="23">
        <f>IF(AND(NOT(AND($A1064="",$B1064="")),$K1064="Point",N($L1064)&gt;0),SQRT(N($L1064)/PI()),"")</f>
        <v/>
      </c>
      <c r="AJ1064" s="21">
        <f>IF(AND($A1064="",$B1064=""),"",IFERROR(VLOOKUP($G1064,Lists!$D$4:$E$15,2,FALSE),"Not reported"))</f>
        <v/>
      </c>
      <c r="AK1064" s="21">
        <f>IF(AND($A1064="",$B1064=""),"",IF($X1064&lt;&gt;"",$X1064,IF($T1064&lt;&gt;"Y","Not assessed",IF(AND(ISNUMBER($V1064),Setup!$B$6-$V1064&gt;Setup!$B$26),"Assessment outdated",IF(NOT(ISNUMBER($W1064)),"Assessed – no score",IF($W1064&gt;=Setup!$B$24,"High",IF($W1064&gt;=Setup!$B$25,"Moderate","Low")))))))</f>
        <v/>
      </c>
      <c r="AL1064" s="21">
        <f>IF(AND($A1064="",$B1064=""),"",IF(Z1064=0,"",IF(AND(AE1064=1,N($R1064)&gt;AD1064*1.01+0.001),"Net terrestrial &gt; gross; ","")&amp;IF(AND(AE1064=1,N($S1064)&gt;AC1064*1.01+0.001),"Net marine &gt; gross; ","")&amp;IF(AE1064=0,"No net area – gross used, overlaps may be double-counted; ","")&amp;IF(AH1064=0,"STATUS_YR missing – imputed in time series; ","")&amp;IF(AND(ISNUMBER($I1064),N($I1064)&gt;Setup!$B$6),"STATUS_YR after reporting year; ","")&amp;IF(OR($G1064="",$G1064="Not Reported"),"GOV_TYPE not reported; ","")&amp;IF(AND(N($J1064)=1,$K1064="Point",N($M1064)&lt;=0),"Coastal point without REP_M_AREA – land/sea split unknown; ","")&amp;IF(AND(N($J1064)=0,N($S1064)&gt;0),"MARINE=0 but net marine &gt;0; ","")&amp;IF(AND(N($J1064)=2,N($R1064)&gt;0),"MARINE=2 but net terrestrial &gt;0; ","")&amp;IF($K1064="Point","Buffered point – coverage approximate; ","")))</f>
        <v/>
      </c>
    </row>
    <row r="1065">
      <c r="A1065" s="19" t="n"/>
      <c r="B1065" s="19" t="n"/>
      <c r="C1065" s="19" t="n"/>
      <c r="D1065" s="19" t="n"/>
      <c r="E1065" s="19" t="n"/>
      <c r="F1065" s="19" t="n"/>
      <c r="G1065" s="19" t="n"/>
      <c r="H1065" s="19" t="n"/>
      <c r="I1065" s="19" t="n"/>
      <c r="J1065" s="19" t="n"/>
      <c r="K1065" s="19" t="n"/>
      <c r="L1065" s="20" t="n"/>
      <c r="M1065" s="20" t="n"/>
      <c r="N1065" s="20" t="n"/>
      <c r="O1065" s="20" t="n"/>
      <c r="P1065" s="19" t="n"/>
      <c r="Q1065" s="19" t="n"/>
      <c r="R1065" s="20" t="n"/>
      <c r="S1065" s="20" t="n"/>
      <c r="T1065" s="19" t="n"/>
      <c r="U1065" s="19" t="n"/>
      <c r="V1065" s="19" t="n"/>
      <c r="W1065" s="19" t="n"/>
      <c r="X1065" s="19" t="n"/>
      <c r="Y1065" s="19" t="n"/>
      <c r="Z1065" s="21">
        <f>IF(AND($A1065="",$B1065=""),"",IF(OR($E1065="",$H1065="",$H1065="Proposed",$H1065="Not Reported"),0,IF(AND($P1065="Y",$Q1065&lt;&gt;"Y"),0,IF(AND($K1065="Point",N($L1065)&lt;=0),0,IF(AND(N($L1065)&lt;=0,N($N1065)&lt;=0,N($R1065)+N($S1065)&lt;=0),0,1)))))</f>
        <v/>
      </c>
      <c r="AA1065" s="21">
        <f>IF(AND($A1065="",$B1065=""),"",IF($E1065="","Site type missing",IF($H1065="","STATUS missing",IF($H1065="Proposed","STATUS = Proposed",IF($H1065="Not Reported","STATUS = Not Reported",IF(AND($P1065="Y",$Q1065&lt;&gt;"Y"),"UNESCO-MAB Biosphere Reserve",IF(AND($K1065="Point",N($L1065)&lt;=0),"Point without REP_AREA",IF(AND(N($L1065)&lt;=0,N($N1065)&lt;=0,N($R1065)+N($S1065)&lt;=0),"No area information",""))))))))</f>
        <v/>
      </c>
      <c r="AB1065" s="22">
        <f>IF(AND($A1065="",$B1065=""),"",IF($K1065="Point",N($L1065),IF(N($N1065)&gt;0,N($N1065),N($L1065))))</f>
        <v/>
      </c>
      <c r="AC1065" s="22">
        <f>IF(AND($A1065="",$B1065=""),"",MIN(AB1065,IF(N($J1065)=0,0,IF(N($J1065)=2,AB1065,IF(AND($K1065&lt;&gt;"Point",N($O1065)&gt;0),N($O1065),N($M1065))))))</f>
        <v/>
      </c>
      <c r="AD1065" s="22">
        <f>IF(AND($A1065="",$B1065=""),"",MAX(0,AB1065-AC1065))</f>
        <v/>
      </c>
      <c r="AE1065" s="21">
        <f>IF(AND($A1065="",$B1065=""),"",IF(OR($R1065&lt;&gt;"",$S1065&lt;&gt;""),1,0))</f>
        <v/>
      </c>
      <c r="AF1065" s="22">
        <f>IF(AND($A1065="",$B1065=""),"",IF(Z1065=1,IF(AE1065=1,N($R1065),AD1065),0))</f>
        <v/>
      </c>
      <c r="AG1065" s="22">
        <f>IF(AND($A1065="",$B1065=""),"",IF(Z1065=1,IF(AE1065=1,N($S1065),AC1065),0))</f>
        <v/>
      </c>
      <c r="AH1065" s="21">
        <f>IF(AND($A1065="",$B1065=""),"",IF(AND(ISNUMBER($I1065),N($I1065)&gt;0),$I1065,0))</f>
        <v/>
      </c>
      <c r="AI1065" s="23">
        <f>IF(AND(NOT(AND($A1065="",$B1065="")),$K1065="Point",N($L1065)&gt;0),SQRT(N($L1065)/PI()),"")</f>
        <v/>
      </c>
      <c r="AJ1065" s="21">
        <f>IF(AND($A1065="",$B1065=""),"",IFERROR(VLOOKUP($G1065,Lists!$D$4:$E$15,2,FALSE),"Not reported"))</f>
        <v/>
      </c>
      <c r="AK1065" s="21">
        <f>IF(AND($A1065="",$B1065=""),"",IF($X1065&lt;&gt;"",$X1065,IF($T1065&lt;&gt;"Y","Not assessed",IF(AND(ISNUMBER($V1065),Setup!$B$6-$V1065&gt;Setup!$B$26),"Assessment outdated",IF(NOT(ISNUMBER($W1065)),"Assessed – no score",IF($W1065&gt;=Setup!$B$24,"High",IF($W1065&gt;=Setup!$B$25,"Moderate","Low")))))))</f>
        <v/>
      </c>
      <c r="AL1065" s="21">
        <f>IF(AND($A1065="",$B1065=""),"",IF(Z1065=0,"",IF(AND(AE1065=1,N($R1065)&gt;AD1065*1.01+0.001),"Net terrestrial &gt; gross; ","")&amp;IF(AND(AE1065=1,N($S1065)&gt;AC1065*1.01+0.001),"Net marine &gt; gross; ","")&amp;IF(AE1065=0,"No net area – gross used, overlaps may be double-counted; ","")&amp;IF(AH1065=0,"STATUS_YR missing – imputed in time series; ","")&amp;IF(AND(ISNUMBER($I1065),N($I1065)&gt;Setup!$B$6),"STATUS_YR after reporting year; ","")&amp;IF(OR($G1065="",$G1065="Not Reported"),"GOV_TYPE not reported; ","")&amp;IF(AND(N($J1065)=1,$K1065="Point",N($M1065)&lt;=0),"Coastal point without REP_M_AREA – land/sea split unknown; ","")&amp;IF(AND(N($J1065)=0,N($S1065)&gt;0),"MARINE=0 but net marine &gt;0; ","")&amp;IF(AND(N($J1065)=2,N($R1065)&gt;0),"MARINE=2 but net terrestrial &gt;0; ","")&amp;IF($K1065="Point","Buffered point – coverage approximate; ","")))</f>
        <v/>
      </c>
    </row>
    <row r="1066">
      <c r="A1066" s="19" t="n"/>
      <c r="B1066" s="19" t="n"/>
      <c r="C1066" s="19" t="n"/>
      <c r="D1066" s="19" t="n"/>
      <c r="E1066" s="19" t="n"/>
      <c r="F1066" s="19" t="n"/>
      <c r="G1066" s="19" t="n"/>
      <c r="H1066" s="19" t="n"/>
      <c r="I1066" s="19" t="n"/>
      <c r="J1066" s="19" t="n"/>
      <c r="K1066" s="19" t="n"/>
      <c r="L1066" s="20" t="n"/>
      <c r="M1066" s="20" t="n"/>
      <c r="N1066" s="20" t="n"/>
      <c r="O1066" s="20" t="n"/>
      <c r="P1066" s="19" t="n"/>
      <c r="Q1066" s="19" t="n"/>
      <c r="R1066" s="20" t="n"/>
      <c r="S1066" s="20" t="n"/>
      <c r="T1066" s="19" t="n"/>
      <c r="U1066" s="19" t="n"/>
      <c r="V1066" s="19" t="n"/>
      <c r="W1066" s="19" t="n"/>
      <c r="X1066" s="19" t="n"/>
      <c r="Y1066" s="19" t="n"/>
      <c r="Z1066" s="21">
        <f>IF(AND($A1066="",$B1066=""),"",IF(OR($E1066="",$H1066="",$H1066="Proposed",$H1066="Not Reported"),0,IF(AND($P1066="Y",$Q1066&lt;&gt;"Y"),0,IF(AND($K1066="Point",N($L1066)&lt;=0),0,IF(AND(N($L1066)&lt;=0,N($N1066)&lt;=0,N($R1066)+N($S1066)&lt;=0),0,1)))))</f>
        <v/>
      </c>
      <c r="AA1066" s="21">
        <f>IF(AND($A1066="",$B1066=""),"",IF($E1066="","Site type missing",IF($H1066="","STATUS missing",IF($H1066="Proposed","STATUS = Proposed",IF($H1066="Not Reported","STATUS = Not Reported",IF(AND($P1066="Y",$Q1066&lt;&gt;"Y"),"UNESCO-MAB Biosphere Reserve",IF(AND($K1066="Point",N($L1066)&lt;=0),"Point without REP_AREA",IF(AND(N($L1066)&lt;=0,N($N1066)&lt;=0,N($R1066)+N($S1066)&lt;=0),"No area information",""))))))))</f>
        <v/>
      </c>
      <c r="AB1066" s="22">
        <f>IF(AND($A1066="",$B1066=""),"",IF($K1066="Point",N($L1066),IF(N($N1066)&gt;0,N($N1066),N($L1066))))</f>
        <v/>
      </c>
      <c r="AC1066" s="22">
        <f>IF(AND($A1066="",$B1066=""),"",MIN(AB1066,IF(N($J1066)=0,0,IF(N($J1066)=2,AB1066,IF(AND($K1066&lt;&gt;"Point",N($O1066)&gt;0),N($O1066),N($M1066))))))</f>
        <v/>
      </c>
      <c r="AD1066" s="22">
        <f>IF(AND($A1066="",$B1066=""),"",MAX(0,AB1066-AC1066))</f>
        <v/>
      </c>
      <c r="AE1066" s="21">
        <f>IF(AND($A1066="",$B1066=""),"",IF(OR($R1066&lt;&gt;"",$S1066&lt;&gt;""),1,0))</f>
        <v/>
      </c>
      <c r="AF1066" s="22">
        <f>IF(AND($A1066="",$B1066=""),"",IF(Z1066=1,IF(AE1066=1,N($R1066),AD1066),0))</f>
        <v/>
      </c>
      <c r="AG1066" s="22">
        <f>IF(AND($A1066="",$B1066=""),"",IF(Z1066=1,IF(AE1066=1,N($S1066),AC1066),0))</f>
        <v/>
      </c>
      <c r="AH1066" s="21">
        <f>IF(AND($A1066="",$B1066=""),"",IF(AND(ISNUMBER($I1066),N($I1066)&gt;0),$I1066,0))</f>
        <v/>
      </c>
      <c r="AI1066" s="23">
        <f>IF(AND(NOT(AND($A1066="",$B1066="")),$K1066="Point",N($L1066)&gt;0),SQRT(N($L1066)/PI()),"")</f>
        <v/>
      </c>
      <c r="AJ1066" s="21">
        <f>IF(AND($A1066="",$B1066=""),"",IFERROR(VLOOKUP($G1066,Lists!$D$4:$E$15,2,FALSE),"Not reported"))</f>
        <v/>
      </c>
      <c r="AK1066" s="21">
        <f>IF(AND($A1066="",$B1066=""),"",IF($X1066&lt;&gt;"",$X1066,IF($T1066&lt;&gt;"Y","Not assessed",IF(AND(ISNUMBER($V1066),Setup!$B$6-$V1066&gt;Setup!$B$26),"Assessment outdated",IF(NOT(ISNUMBER($W1066)),"Assessed – no score",IF($W1066&gt;=Setup!$B$24,"High",IF($W1066&gt;=Setup!$B$25,"Moderate","Low")))))))</f>
        <v/>
      </c>
      <c r="AL1066" s="21">
        <f>IF(AND($A1066="",$B1066=""),"",IF(Z1066=0,"",IF(AND(AE1066=1,N($R1066)&gt;AD1066*1.01+0.001),"Net terrestrial &gt; gross; ","")&amp;IF(AND(AE1066=1,N($S1066)&gt;AC1066*1.01+0.001),"Net marine &gt; gross; ","")&amp;IF(AE1066=0,"No net area – gross used, overlaps may be double-counted; ","")&amp;IF(AH1066=0,"STATUS_YR missing – imputed in time series; ","")&amp;IF(AND(ISNUMBER($I1066),N($I1066)&gt;Setup!$B$6),"STATUS_YR after reporting year; ","")&amp;IF(OR($G1066="",$G1066="Not Reported"),"GOV_TYPE not reported; ","")&amp;IF(AND(N($J1066)=1,$K1066="Point",N($M1066)&lt;=0),"Coastal point without REP_M_AREA – land/sea split unknown; ","")&amp;IF(AND(N($J1066)=0,N($S1066)&gt;0),"MARINE=0 but net marine &gt;0; ","")&amp;IF(AND(N($J1066)=2,N($R1066)&gt;0),"MARINE=2 but net terrestrial &gt;0; ","")&amp;IF($K1066="Point","Buffered point – coverage approximate; ","")))</f>
        <v/>
      </c>
    </row>
    <row r="1067">
      <c r="A1067" s="19" t="n"/>
      <c r="B1067" s="19" t="n"/>
      <c r="C1067" s="19" t="n"/>
      <c r="D1067" s="19" t="n"/>
      <c r="E1067" s="19" t="n"/>
      <c r="F1067" s="19" t="n"/>
      <c r="G1067" s="19" t="n"/>
      <c r="H1067" s="19" t="n"/>
      <c r="I1067" s="19" t="n"/>
      <c r="J1067" s="19" t="n"/>
      <c r="K1067" s="19" t="n"/>
      <c r="L1067" s="20" t="n"/>
      <c r="M1067" s="20" t="n"/>
      <c r="N1067" s="20" t="n"/>
      <c r="O1067" s="20" t="n"/>
      <c r="P1067" s="19" t="n"/>
      <c r="Q1067" s="19" t="n"/>
      <c r="R1067" s="20" t="n"/>
      <c r="S1067" s="20" t="n"/>
      <c r="T1067" s="19" t="n"/>
      <c r="U1067" s="19" t="n"/>
      <c r="V1067" s="19" t="n"/>
      <c r="W1067" s="19" t="n"/>
      <c r="X1067" s="19" t="n"/>
      <c r="Y1067" s="19" t="n"/>
      <c r="Z1067" s="21">
        <f>IF(AND($A1067="",$B1067=""),"",IF(OR($E1067="",$H1067="",$H1067="Proposed",$H1067="Not Reported"),0,IF(AND($P1067="Y",$Q1067&lt;&gt;"Y"),0,IF(AND($K1067="Point",N($L1067)&lt;=0),0,IF(AND(N($L1067)&lt;=0,N($N1067)&lt;=0,N($R1067)+N($S1067)&lt;=0),0,1)))))</f>
        <v/>
      </c>
      <c r="AA1067" s="21">
        <f>IF(AND($A1067="",$B1067=""),"",IF($E1067="","Site type missing",IF($H1067="","STATUS missing",IF($H1067="Proposed","STATUS = Proposed",IF($H1067="Not Reported","STATUS = Not Reported",IF(AND($P1067="Y",$Q1067&lt;&gt;"Y"),"UNESCO-MAB Biosphere Reserve",IF(AND($K1067="Point",N($L1067)&lt;=0),"Point without REP_AREA",IF(AND(N($L1067)&lt;=0,N($N1067)&lt;=0,N($R1067)+N($S1067)&lt;=0),"No area information",""))))))))</f>
        <v/>
      </c>
      <c r="AB1067" s="22">
        <f>IF(AND($A1067="",$B1067=""),"",IF($K1067="Point",N($L1067),IF(N($N1067)&gt;0,N($N1067),N($L1067))))</f>
        <v/>
      </c>
      <c r="AC1067" s="22">
        <f>IF(AND($A1067="",$B1067=""),"",MIN(AB1067,IF(N($J1067)=0,0,IF(N($J1067)=2,AB1067,IF(AND($K1067&lt;&gt;"Point",N($O1067)&gt;0),N($O1067),N($M1067))))))</f>
        <v/>
      </c>
      <c r="AD1067" s="22">
        <f>IF(AND($A1067="",$B1067=""),"",MAX(0,AB1067-AC1067))</f>
        <v/>
      </c>
      <c r="AE1067" s="21">
        <f>IF(AND($A1067="",$B1067=""),"",IF(OR($R1067&lt;&gt;"",$S1067&lt;&gt;""),1,0))</f>
        <v/>
      </c>
      <c r="AF1067" s="22">
        <f>IF(AND($A1067="",$B1067=""),"",IF(Z1067=1,IF(AE1067=1,N($R1067),AD1067),0))</f>
        <v/>
      </c>
      <c r="AG1067" s="22">
        <f>IF(AND($A1067="",$B1067=""),"",IF(Z1067=1,IF(AE1067=1,N($S1067),AC1067),0))</f>
        <v/>
      </c>
      <c r="AH1067" s="21">
        <f>IF(AND($A1067="",$B1067=""),"",IF(AND(ISNUMBER($I1067),N($I1067)&gt;0),$I1067,0))</f>
        <v/>
      </c>
      <c r="AI1067" s="23">
        <f>IF(AND(NOT(AND($A1067="",$B1067="")),$K1067="Point",N($L1067)&gt;0),SQRT(N($L1067)/PI()),"")</f>
        <v/>
      </c>
      <c r="AJ1067" s="21">
        <f>IF(AND($A1067="",$B1067=""),"",IFERROR(VLOOKUP($G1067,Lists!$D$4:$E$15,2,FALSE),"Not reported"))</f>
        <v/>
      </c>
      <c r="AK1067" s="21">
        <f>IF(AND($A1067="",$B1067=""),"",IF($X1067&lt;&gt;"",$X1067,IF($T1067&lt;&gt;"Y","Not assessed",IF(AND(ISNUMBER($V1067),Setup!$B$6-$V1067&gt;Setup!$B$26),"Assessment outdated",IF(NOT(ISNUMBER($W1067)),"Assessed – no score",IF($W1067&gt;=Setup!$B$24,"High",IF($W1067&gt;=Setup!$B$25,"Moderate","Low")))))))</f>
        <v/>
      </c>
      <c r="AL1067" s="21">
        <f>IF(AND($A1067="",$B1067=""),"",IF(Z1067=0,"",IF(AND(AE1067=1,N($R1067)&gt;AD1067*1.01+0.001),"Net terrestrial &gt; gross; ","")&amp;IF(AND(AE1067=1,N($S1067)&gt;AC1067*1.01+0.001),"Net marine &gt; gross; ","")&amp;IF(AE1067=0,"No net area – gross used, overlaps may be double-counted; ","")&amp;IF(AH1067=0,"STATUS_YR missing – imputed in time series; ","")&amp;IF(AND(ISNUMBER($I1067),N($I1067)&gt;Setup!$B$6),"STATUS_YR after reporting year; ","")&amp;IF(OR($G1067="",$G1067="Not Reported"),"GOV_TYPE not reported; ","")&amp;IF(AND(N($J1067)=1,$K1067="Point",N($M1067)&lt;=0),"Coastal point without REP_M_AREA – land/sea split unknown; ","")&amp;IF(AND(N($J1067)=0,N($S1067)&gt;0),"MARINE=0 but net marine &gt;0; ","")&amp;IF(AND(N($J1067)=2,N($R1067)&gt;0),"MARINE=2 but net terrestrial &gt;0; ","")&amp;IF($K1067="Point","Buffered point – coverage approximate; ","")))</f>
        <v/>
      </c>
    </row>
    <row r="1068">
      <c r="A1068" s="19" t="n"/>
      <c r="B1068" s="19" t="n"/>
      <c r="C1068" s="19" t="n"/>
      <c r="D1068" s="19" t="n"/>
      <c r="E1068" s="19" t="n"/>
      <c r="F1068" s="19" t="n"/>
      <c r="G1068" s="19" t="n"/>
      <c r="H1068" s="19" t="n"/>
      <c r="I1068" s="19" t="n"/>
      <c r="J1068" s="19" t="n"/>
      <c r="K1068" s="19" t="n"/>
      <c r="L1068" s="20" t="n"/>
      <c r="M1068" s="20" t="n"/>
      <c r="N1068" s="20" t="n"/>
      <c r="O1068" s="20" t="n"/>
      <c r="P1068" s="19" t="n"/>
      <c r="Q1068" s="19" t="n"/>
      <c r="R1068" s="20" t="n"/>
      <c r="S1068" s="20" t="n"/>
      <c r="T1068" s="19" t="n"/>
      <c r="U1068" s="19" t="n"/>
      <c r="V1068" s="19" t="n"/>
      <c r="W1068" s="19" t="n"/>
      <c r="X1068" s="19" t="n"/>
      <c r="Y1068" s="19" t="n"/>
      <c r="Z1068" s="21">
        <f>IF(AND($A1068="",$B1068=""),"",IF(OR($E1068="",$H1068="",$H1068="Proposed",$H1068="Not Reported"),0,IF(AND($P1068="Y",$Q1068&lt;&gt;"Y"),0,IF(AND($K1068="Point",N($L1068)&lt;=0),0,IF(AND(N($L1068)&lt;=0,N($N1068)&lt;=0,N($R1068)+N($S1068)&lt;=0),0,1)))))</f>
        <v/>
      </c>
      <c r="AA1068" s="21">
        <f>IF(AND($A1068="",$B1068=""),"",IF($E1068="","Site type missing",IF($H1068="","STATUS missing",IF($H1068="Proposed","STATUS = Proposed",IF($H1068="Not Reported","STATUS = Not Reported",IF(AND($P1068="Y",$Q1068&lt;&gt;"Y"),"UNESCO-MAB Biosphere Reserve",IF(AND($K1068="Point",N($L1068)&lt;=0),"Point without REP_AREA",IF(AND(N($L1068)&lt;=0,N($N1068)&lt;=0,N($R1068)+N($S1068)&lt;=0),"No area information",""))))))))</f>
        <v/>
      </c>
      <c r="AB1068" s="22">
        <f>IF(AND($A1068="",$B1068=""),"",IF($K1068="Point",N($L1068),IF(N($N1068)&gt;0,N($N1068),N($L1068))))</f>
        <v/>
      </c>
      <c r="AC1068" s="22">
        <f>IF(AND($A1068="",$B1068=""),"",MIN(AB1068,IF(N($J1068)=0,0,IF(N($J1068)=2,AB1068,IF(AND($K1068&lt;&gt;"Point",N($O1068)&gt;0),N($O1068),N($M1068))))))</f>
        <v/>
      </c>
      <c r="AD1068" s="22">
        <f>IF(AND($A1068="",$B1068=""),"",MAX(0,AB1068-AC1068))</f>
        <v/>
      </c>
      <c r="AE1068" s="21">
        <f>IF(AND($A1068="",$B1068=""),"",IF(OR($R1068&lt;&gt;"",$S1068&lt;&gt;""),1,0))</f>
        <v/>
      </c>
      <c r="AF1068" s="22">
        <f>IF(AND($A1068="",$B1068=""),"",IF(Z1068=1,IF(AE1068=1,N($R1068),AD1068),0))</f>
        <v/>
      </c>
      <c r="AG1068" s="22">
        <f>IF(AND($A1068="",$B1068=""),"",IF(Z1068=1,IF(AE1068=1,N($S1068),AC1068),0))</f>
        <v/>
      </c>
      <c r="AH1068" s="21">
        <f>IF(AND($A1068="",$B1068=""),"",IF(AND(ISNUMBER($I1068),N($I1068)&gt;0),$I1068,0))</f>
        <v/>
      </c>
      <c r="AI1068" s="23">
        <f>IF(AND(NOT(AND($A1068="",$B1068="")),$K1068="Point",N($L1068)&gt;0),SQRT(N($L1068)/PI()),"")</f>
        <v/>
      </c>
      <c r="AJ1068" s="21">
        <f>IF(AND($A1068="",$B1068=""),"",IFERROR(VLOOKUP($G1068,Lists!$D$4:$E$15,2,FALSE),"Not reported"))</f>
        <v/>
      </c>
      <c r="AK1068" s="21">
        <f>IF(AND($A1068="",$B1068=""),"",IF($X1068&lt;&gt;"",$X1068,IF($T1068&lt;&gt;"Y","Not assessed",IF(AND(ISNUMBER($V1068),Setup!$B$6-$V1068&gt;Setup!$B$26),"Assessment outdated",IF(NOT(ISNUMBER($W1068)),"Assessed – no score",IF($W1068&gt;=Setup!$B$24,"High",IF($W1068&gt;=Setup!$B$25,"Moderate","Low")))))))</f>
        <v/>
      </c>
      <c r="AL1068" s="21">
        <f>IF(AND($A1068="",$B1068=""),"",IF(Z1068=0,"",IF(AND(AE1068=1,N($R1068)&gt;AD1068*1.01+0.001),"Net terrestrial &gt; gross; ","")&amp;IF(AND(AE1068=1,N($S1068)&gt;AC1068*1.01+0.001),"Net marine &gt; gross; ","")&amp;IF(AE1068=0,"No net area – gross used, overlaps may be double-counted; ","")&amp;IF(AH1068=0,"STATUS_YR missing – imputed in time series; ","")&amp;IF(AND(ISNUMBER($I1068),N($I1068)&gt;Setup!$B$6),"STATUS_YR after reporting year; ","")&amp;IF(OR($G1068="",$G1068="Not Reported"),"GOV_TYPE not reported; ","")&amp;IF(AND(N($J1068)=1,$K1068="Point",N($M1068)&lt;=0),"Coastal point without REP_M_AREA – land/sea split unknown; ","")&amp;IF(AND(N($J1068)=0,N($S1068)&gt;0),"MARINE=0 but net marine &gt;0; ","")&amp;IF(AND(N($J1068)=2,N($R1068)&gt;0),"MARINE=2 but net terrestrial &gt;0; ","")&amp;IF($K1068="Point","Buffered point – coverage approximate; ","")))</f>
        <v/>
      </c>
    </row>
    <row r="1069">
      <c r="A1069" s="19" t="n"/>
      <c r="B1069" s="19" t="n"/>
      <c r="C1069" s="19" t="n"/>
      <c r="D1069" s="19" t="n"/>
      <c r="E1069" s="19" t="n"/>
      <c r="F1069" s="19" t="n"/>
      <c r="G1069" s="19" t="n"/>
      <c r="H1069" s="19" t="n"/>
      <c r="I1069" s="19" t="n"/>
      <c r="J1069" s="19" t="n"/>
      <c r="K1069" s="19" t="n"/>
      <c r="L1069" s="20" t="n"/>
      <c r="M1069" s="20" t="n"/>
      <c r="N1069" s="20" t="n"/>
      <c r="O1069" s="20" t="n"/>
      <c r="P1069" s="19" t="n"/>
      <c r="Q1069" s="19" t="n"/>
      <c r="R1069" s="20" t="n"/>
      <c r="S1069" s="20" t="n"/>
      <c r="T1069" s="19" t="n"/>
      <c r="U1069" s="19" t="n"/>
      <c r="V1069" s="19" t="n"/>
      <c r="W1069" s="19" t="n"/>
      <c r="X1069" s="19" t="n"/>
      <c r="Y1069" s="19" t="n"/>
      <c r="Z1069" s="21">
        <f>IF(AND($A1069="",$B1069=""),"",IF(OR($E1069="",$H1069="",$H1069="Proposed",$H1069="Not Reported"),0,IF(AND($P1069="Y",$Q1069&lt;&gt;"Y"),0,IF(AND($K1069="Point",N($L1069)&lt;=0),0,IF(AND(N($L1069)&lt;=0,N($N1069)&lt;=0,N($R1069)+N($S1069)&lt;=0),0,1)))))</f>
        <v/>
      </c>
      <c r="AA1069" s="21">
        <f>IF(AND($A1069="",$B1069=""),"",IF($E1069="","Site type missing",IF($H1069="","STATUS missing",IF($H1069="Proposed","STATUS = Proposed",IF($H1069="Not Reported","STATUS = Not Reported",IF(AND($P1069="Y",$Q1069&lt;&gt;"Y"),"UNESCO-MAB Biosphere Reserve",IF(AND($K1069="Point",N($L1069)&lt;=0),"Point without REP_AREA",IF(AND(N($L1069)&lt;=0,N($N1069)&lt;=0,N($R1069)+N($S1069)&lt;=0),"No area information",""))))))))</f>
        <v/>
      </c>
      <c r="AB1069" s="22">
        <f>IF(AND($A1069="",$B1069=""),"",IF($K1069="Point",N($L1069),IF(N($N1069)&gt;0,N($N1069),N($L1069))))</f>
        <v/>
      </c>
      <c r="AC1069" s="22">
        <f>IF(AND($A1069="",$B1069=""),"",MIN(AB1069,IF(N($J1069)=0,0,IF(N($J1069)=2,AB1069,IF(AND($K1069&lt;&gt;"Point",N($O1069)&gt;0),N($O1069),N($M1069))))))</f>
        <v/>
      </c>
      <c r="AD1069" s="22">
        <f>IF(AND($A1069="",$B1069=""),"",MAX(0,AB1069-AC1069))</f>
        <v/>
      </c>
      <c r="AE1069" s="21">
        <f>IF(AND($A1069="",$B1069=""),"",IF(OR($R1069&lt;&gt;"",$S1069&lt;&gt;""),1,0))</f>
        <v/>
      </c>
      <c r="AF1069" s="22">
        <f>IF(AND($A1069="",$B1069=""),"",IF(Z1069=1,IF(AE1069=1,N($R1069),AD1069),0))</f>
        <v/>
      </c>
      <c r="AG1069" s="22">
        <f>IF(AND($A1069="",$B1069=""),"",IF(Z1069=1,IF(AE1069=1,N($S1069),AC1069),0))</f>
        <v/>
      </c>
      <c r="AH1069" s="21">
        <f>IF(AND($A1069="",$B1069=""),"",IF(AND(ISNUMBER($I1069),N($I1069)&gt;0),$I1069,0))</f>
        <v/>
      </c>
      <c r="AI1069" s="23">
        <f>IF(AND(NOT(AND($A1069="",$B1069="")),$K1069="Point",N($L1069)&gt;0),SQRT(N($L1069)/PI()),"")</f>
        <v/>
      </c>
      <c r="AJ1069" s="21">
        <f>IF(AND($A1069="",$B1069=""),"",IFERROR(VLOOKUP($G1069,Lists!$D$4:$E$15,2,FALSE),"Not reported"))</f>
        <v/>
      </c>
      <c r="AK1069" s="21">
        <f>IF(AND($A1069="",$B1069=""),"",IF($X1069&lt;&gt;"",$X1069,IF($T1069&lt;&gt;"Y","Not assessed",IF(AND(ISNUMBER($V1069),Setup!$B$6-$V1069&gt;Setup!$B$26),"Assessment outdated",IF(NOT(ISNUMBER($W1069)),"Assessed – no score",IF($W1069&gt;=Setup!$B$24,"High",IF($W1069&gt;=Setup!$B$25,"Moderate","Low")))))))</f>
        <v/>
      </c>
      <c r="AL1069" s="21">
        <f>IF(AND($A1069="",$B1069=""),"",IF(Z1069=0,"",IF(AND(AE1069=1,N($R1069)&gt;AD1069*1.01+0.001),"Net terrestrial &gt; gross; ","")&amp;IF(AND(AE1069=1,N($S1069)&gt;AC1069*1.01+0.001),"Net marine &gt; gross; ","")&amp;IF(AE1069=0,"No net area – gross used, overlaps may be double-counted; ","")&amp;IF(AH1069=0,"STATUS_YR missing – imputed in time series; ","")&amp;IF(AND(ISNUMBER($I1069),N($I1069)&gt;Setup!$B$6),"STATUS_YR after reporting year; ","")&amp;IF(OR($G1069="",$G1069="Not Reported"),"GOV_TYPE not reported; ","")&amp;IF(AND(N($J1069)=1,$K1069="Point",N($M1069)&lt;=0),"Coastal point without REP_M_AREA – land/sea split unknown; ","")&amp;IF(AND(N($J1069)=0,N($S1069)&gt;0),"MARINE=0 but net marine &gt;0; ","")&amp;IF(AND(N($J1069)=2,N($R1069)&gt;0),"MARINE=2 but net terrestrial &gt;0; ","")&amp;IF($K1069="Point","Buffered point – coverage approximate; ","")))</f>
        <v/>
      </c>
    </row>
    <row r="1070">
      <c r="A1070" s="19" t="n"/>
      <c r="B1070" s="19" t="n"/>
      <c r="C1070" s="19" t="n"/>
      <c r="D1070" s="19" t="n"/>
      <c r="E1070" s="19" t="n"/>
      <c r="F1070" s="19" t="n"/>
      <c r="G1070" s="19" t="n"/>
      <c r="H1070" s="19" t="n"/>
      <c r="I1070" s="19" t="n"/>
      <c r="J1070" s="19" t="n"/>
      <c r="K1070" s="19" t="n"/>
      <c r="L1070" s="20" t="n"/>
      <c r="M1070" s="20" t="n"/>
      <c r="N1070" s="20" t="n"/>
      <c r="O1070" s="20" t="n"/>
      <c r="P1070" s="19" t="n"/>
      <c r="Q1070" s="19" t="n"/>
      <c r="R1070" s="20" t="n"/>
      <c r="S1070" s="20" t="n"/>
      <c r="T1070" s="19" t="n"/>
      <c r="U1070" s="19" t="n"/>
      <c r="V1070" s="19" t="n"/>
      <c r="W1070" s="19" t="n"/>
      <c r="X1070" s="19" t="n"/>
      <c r="Y1070" s="19" t="n"/>
      <c r="Z1070" s="21">
        <f>IF(AND($A1070="",$B1070=""),"",IF(OR($E1070="",$H1070="",$H1070="Proposed",$H1070="Not Reported"),0,IF(AND($P1070="Y",$Q1070&lt;&gt;"Y"),0,IF(AND($K1070="Point",N($L1070)&lt;=0),0,IF(AND(N($L1070)&lt;=0,N($N1070)&lt;=0,N($R1070)+N($S1070)&lt;=0),0,1)))))</f>
        <v/>
      </c>
      <c r="AA1070" s="21">
        <f>IF(AND($A1070="",$B1070=""),"",IF($E1070="","Site type missing",IF($H1070="","STATUS missing",IF($H1070="Proposed","STATUS = Proposed",IF($H1070="Not Reported","STATUS = Not Reported",IF(AND($P1070="Y",$Q1070&lt;&gt;"Y"),"UNESCO-MAB Biosphere Reserve",IF(AND($K1070="Point",N($L1070)&lt;=0),"Point without REP_AREA",IF(AND(N($L1070)&lt;=0,N($N1070)&lt;=0,N($R1070)+N($S1070)&lt;=0),"No area information",""))))))))</f>
        <v/>
      </c>
      <c r="AB1070" s="22">
        <f>IF(AND($A1070="",$B1070=""),"",IF($K1070="Point",N($L1070),IF(N($N1070)&gt;0,N($N1070),N($L1070))))</f>
        <v/>
      </c>
      <c r="AC1070" s="22">
        <f>IF(AND($A1070="",$B1070=""),"",MIN(AB1070,IF(N($J1070)=0,0,IF(N($J1070)=2,AB1070,IF(AND($K1070&lt;&gt;"Point",N($O1070)&gt;0),N($O1070),N($M1070))))))</f>
        <v/>
      </c>
      <c r="AD1070" s="22">
        <f>IF(AND($A1070="",$B1070=""),"",MAX(0,AB1070-AC1070))</f>
        <v/>
      </c>
      <c r="AE1070" s="21">
        <f>IF(AND($A1070="",$B1070=""),"",IF(OR($R1070&lt;&gt;"",$S1070&lt;&gt;""),1,0))</f>
        <v/>
      </c>
      <c r="AF1070" s="22">
        <f>IF(AND($A1070="",$B1070=""),"",IF(Z1070=1,IF(AE1070=1,N($R1070),AD1070),0))</f>
        <v/>
      </c>
      <c r="AG1070" s="22">
        <f>IF(AND($A1070="",$B1070=""),"",IF(Z1070=1,IF(AE1070=1,N($S1070),AC1070),0))</f>
        <v/>
      </c>
      <c r="AH1070" s="21">
        <f>IF(AND($A1070="",$B1070=""),"",IF(AND(ISNUMBER($I1070),N($I1070)&gt;0),$I1070,0))</f>
        <v/>
      </c>
      <c r="AI1070" s="23">
        <f>IF(AND(NOT(AND($A1070="",$B1070="")),$K1070="Point",N($L1070)&gt;0),SQRT(N($L1070)/PI()),"")</f>
        <v/>
      </c>
      <c r="AJ1070" s="21">
        <f>IF(AND($A1070="",$B1070=""),"",IFERROR(VLOOKUP($G1070,Lists!$D$4:$E$15,2,FALSE),"Not reported"))</f>
        <v/>
      </c>
      <c r="AK1070" s="21">
        <f>IF(AND($A1070="",$B1070=""),"",IF($X1070&lt;&gt;"",$X1070,IF($T1070&lt;&gt;"Y","Not assessed",IF(AND(ISNUMBER($V1070),Setup!$B$6-$V1070&gt;Setup!$B$26),"Assessment outdated",IF(NOT(ISNUMBER($W1070)),"Assessed – no score",IF($W1070&gt;=Setup!$B$24,"High",IF($W1070&gt;=Setup!$B$25,"Moderate","Low")))))))</f>
        <v/>
      </c>
      <c r="AL1070" s="21">
        <f>IF(AND($A1070="",$B1070=""),"",IF(Z1070=0,"",IF(AND(AE1070=1,N($R1070)&gt;AD1070*1.01+0.001),"Net terrestrial &gt; gross; ","")&amp;IF(AND(AE1070=1,N($S1070)&gt;AC1070*1.01+0.001),"Net marine &gt; gross; ","")&amp;IF(AE1070=0,"No net area – gross used, overlaps may be double-counted; ","")&amp;IF(AH1070=0,"STATUS_YR missing – imputed in time series; ","")&amp;IF(AND(ISNUMBER($I1070),N($I1070)&gt;Setup!$B$6),"STATUS_YR after reporting year; ","")&amp;IF(OR($G1070="",$G1070="Not Reported"),"GOV_TYPE not reported; ","")&amp;IF(AND(N($J1070)=1,$K1070="Point",N($M1070)&lt;=0),"Coastal point without REP_M_AREA – land/sea split unknown; ","")&amp;IF(AND(N($J1070)=0,N($S1070)&gt;0),"MARINE=0 but net marine &gt;0; ","")&amp;IF(AND(N($J1070)=2,N($R1070)&gt;0),"MARINE=2 but net terrestrial &gt;0; ","")&amp;IF($K1070="Point","Buffered point – coverage approximate; ","")))</f>
        <v/>
      </c>
    </row>
    <row r="1071">
      <c r="A1071" s="19" t="n"/>
      <c r="B1071" s="19" t="n"/>
      <c r="C1071" s="19" t="n"/>
      <c r="D1071" s="19" t="n"/>
      <c r="E1071" s="19" t="n"/>
      <c r="F1071" s="19" t="n"/>
      <c r="G1071" s="19" t="n"/>
      <c r="H1071" s="19" t="n"/>
      <c r="I1071" s="19" t="n"/>
      <c r="J1071" s="19" t="n"/>
      <c r="K1071" s="19" t="n"/>
      <c r="L1071" s="20" t="n"/>
      <c r="M1071" s="20" t="n"/>
      <c r="N1071" s="20" t="n"/>
      <c r="O1071" s="20" t="n"/>
      <c r="P1071" s="19" t="n"/>
      <c r="Q1071" s="19" t="n"/>
      <c r="R1071" s="20" t="n"/>
      <c r="S1071" s="20" t="n"/>
      <c r="T1071" s="19" t="n"/>
      <c r="U1071" s="19" t="n"/>
      <c r="V1071" s="19" t="n"/>
      <c r="W1071" s="19" t="n"/>
      <c r="X1071" s="19" t="n"/>
      <c r="Y1071" s="19" t="n"/>
      <c r="Z1071" s="21">
        <f>IF(AND($A1071="",$B1071=""),"",IF(OR($E1071="",$H1071="",$H1071="Proposed",$H1071="Not Reported"),0,IF(AND($P1071="Y",$Q1071&lt;&gt;"Y"),0,IF(AND($K1071="Point",N($L1071)&lt;=0),0,IF(AND(N($L1071)&lt;=0,N($N1071)&lt;=0,N($R1071)+N($S1071)&lt;=0),0,1)))))</f>
        <v/>
      </c>
      <c r="AA1071" s="21">
        <f>IF(AND($A1071="",$B1071=""),"",IF($E1071="","Site type missing",IF($H1071="","STATUS missing",IF($H1071="Proposed","STATUS = Proposed",IF($H1071="Not Reported","STATUS = Not Reported",IF(AND($P1071="Y",$Q1071&lt;&gt;"Y"),"UNESCO-MAB Biosphere Reserve",IF(AND($K1071="Point",N($L1071)&lt;=0),"Point without REP_AREA",IF(AND(N($L1071)&lt;=0,N($N1071)&lt;=0,N($R1071)+N($S1071)&lt;=0),"No area information",""))))))))</f>
        <v/>
      </c>
      <c r="AB1071" s="22">
        <f>IF(AND($A1071="",$B1071=""),"",IF($K1071="Point",N($L1071),IF(N($N1071)&gt;0,N($N1071),N($L1071))))</f>
        <v/>
      </c>
      <c r="AC1071" s="22">
        <f>IF(AND($A1071="",$B1071=""),"",MIN(AB1071,IF(N($J1071)=0,0,IF(N($J1071)=2,AB1071,IF(AND($K1071&lt;&gt;"Point",N($O1071)&gt;0),N($O1071),N($M1071))))))</f>
        <v/>
      </c>
      <c r="AD1071" s="22">
        <f>IF(AND($A1071="",$B1071=""),"",MAX(0,AB1071-AC1071))</f>
        <v/>
      </c>
      <c r="AE1071" s="21">
        <f>IF(AND($A1071="",$B1071=""),"",IF(OR($R1071&lt;&gt;"",$S1071&lt;&gt;""),1,0))</f>
        <v/>
      </c>
      <c r="AF1071" s="22">
        <f>IF(AND($A1071="",$B1071=""),"",IF(Z1071=1,IF(AE1071=1,N($R1071),AD1071),0))</f>
        <v/>
      </c>
      <c r="AG1071" s="22">
        <f>IF(AND($A1071="",$B1071=""),"",IF(Z1071=1,IF(AE1071=1,N($S1071),AC1071),0))</f>
        <v/>
      </c>
      <c r="AH1071" s="21">
        <f>IF(AND($A1071="",$B1071=""),"",IF(AND(ISNUMBER($I1071),N($I1071)&gt;0),$I1071,0))</f>
        <v/>
      </c>
      <c r="AI1071" s="23">
        <f>IF(AND(NOT(AND($A1071="",$B1071="")),$K1071="Point",N($L1071)&gt;0),SQRT(N($L1071)/PI()),"")</f>
        <v/>
      </c>
      <c r="AJ1071" s="21">
        <f>IF(AND($A1071="",$B1071=""),"",IFERROR(VLOOKUP($G1071,Lists!$D$4:$E$15,2,FALSE),"Not reported"))</f>
        <v/>
      </c>
      <c r="AK1071" s="21">
        <f>IF(AND($A1071="",$B1071=""),"",IF($X1071&lt;&gt;"",$X1071,IF($T1071&lt;&gt;"Y","Not assessed",IF(AND(ISNUMBER($V1071),Setup!$B$6-$V1071&gt;Setup!$B$26),"Assessment outdated",IF(NOT(ISNUMBER($W1071)),"Assessed – no score",IF($W1071&gt;=Setup!$B$24,"High",IF($W1071&gt;=Setup!$B$25,"Moderate","Low")))))))</f>
        <v/>
      </c>
      <c r="AL1071" s="21">
        <f>IF(AND($A1071="",$B1071=""),"",IF(Z1071=0,"",IF(AND(AE1071=1,N($R1071)&gt;AD1071*1.01+0.001),"Net terrestrial &gt; gross; ","")&amp;IF(AND(AE1071=1,N($S1071)&gt;AC1071*1.01+0.001),"Net marine &gt; gross; ","")&amp;IF(AE1071=0,"No net area – gross used, overlaps may be double-counted; ","")&amp;IF(AH1071=0,"STATUS_YR missing – imputed in time series; ","")&amp;IF(AND(ISNUMBER($I1071),N($I1071)&gt;Setup!$B$6),"STATUS_YR after reporting year; ","")&amp;IF(OR($G1071="",$G1071="Not Reported"),"GOV_TYPE not reported; ","")&amp;IF(AND(N($J1071)=1,$K1071="Point",N($M1071)&lt;=0),"Coastal point without REP_M_AREA – land/sea split unknown; ","")&amp;IF(AND(N($J1071)=0,N($S1071)&gt;0),"MARINE=0 but net marine &gt;0; ","")&amp;IF(AND(N($J1071)=2,N($R1071)&gt;0),"MARINE=2 but net terrestrial &gt;0; ","")&amp;IF($K1071="Point","Buffered point – coverage approximate; ","")))</f>
        <v/>
      </c>
    </row>
    <row r="1072">
      <c r="A1072" s="19" t="n"/>
      <c r="B1072" s="19" t="n"/>
      <c r="C1072" s="19" t="n"/>
      <c r="D1072" s="19" t="n"/>
      <c r="E1072" s="19" t="n"/>
      <c r="F1072" s="19" t="n"/>
      <c r="G1072" s="19" t="n"/>
      <c r="H1072" s="19" t="n"/>
      <c r="I1072" s="19" t="n"/>
      <c r="J1072" s="19" t="n"/>
      <c r="K1072" s="19" t="n"/>
      <c r="L1072" s="20" t="n"/>
      <c r="M1072" s="20" t="n"/>
      <c r="N1072" s="20" t="n"/>
      <c r="O1072" s="20" t="n"/>
      <c r="P1072" s="19" t="n"/>
      <c r="Q1072" s="19" t="n"/>
      <c r="R1072" s="20" t="n"/>
      <c r="S1072" s="20" t="n"/>
      <c r="T1072" s="19" t="n"/>
      <c r="U1072" s="19" t="n"/>
      <c r="V1072" s="19" t="n"/>
      <c r="W1072" s="19" t="n"/>
      <c r="X1072" s="19" t="n"/>
      <c r="Y1072" s="19" t="n"/>
      <c r="Z1072" s="21">
        <f>IF(AND($A1072="",$B1072=""),"",IF(OR($E1072="",$H1072="",$H1072="Proposed",$H1072="Not Reported"),0,IF(AND($P1072="Y",$Q1072&lt;&gt;"Y"),0,IF(AND($K1072="Point",N($L1072)&lt;=0),0,IF(AND(N($L1072)&lt;=0,N($N1072)&lt;=0,N($R1072)+N($S1072)&lt;=0),0,1)))))</f>
        <v/>
      </c>
      <c r="AA1072" s="21">
        <f>IF(AND($A1072="",$B1072=""),"",IF($E1072="","Site type missing",IF($H1072="","STATUS missing",IF($H1072="Proposed","STATUS = Proposed",IF($H1072="Not Reported","STATUS = Not Reported",IF(AND($P1072="Y",$Q1072&lt;&gt;"Y"),"UNESCO-MAB Biosphere Reserve",IF(AND($K1072="Point",N($L1072)&lt;=0),"Point without REP_AREA",IF(AND(N($L1072)&lt;=0,N($N1072)&lt;=0,N($R1072)+N($S1072)&lt;=0),"No area information",""))))))))</f>
        <v/>
      </c>
      <c r="AB1072" s="22">
        <f>IF(AND($A1072="",$B1072=""),"",IF($K1072="Point",N($L1072),IF(N($N1072)&gt;0,N($N1072),N($L1072))))</f>
        <v/>
      </c>
      <c r="AC1072" s="22">
        <f>IF(AND($A1072="",$B1072=""),"",MIN(AB1072,IF(N($J1072)=0,0,IF(N($J1072)=2,AB1072,IF(AND($K1072&lt;&gt;"Point",N($O1072)&gt;0),N($O1072),N($M1072))))))</f>
        <v/>
      </c>
      <c r="AD1072" s="22">
        <f>IF(AND($A1072="",$B1072=""),"",MAX(0,AB1072-AC1072))</f>
        <v/>
      </c>
      <c r="AE1072" s="21">
        <f>IF(AND($A1072="",$B1072=""),"",IF(OR($R1072&lt;&gt;"",$S1072&lt;&gt;""),1,0))</f>
        <v/>
      </c>
      <c r="AF1072" s="22">
        <f>IF(AND($A1072="",$B1072=""),"",IF(Z1072=1,IF(AE1072=1,N($R1072),AD1072),0))</f>
        <v/>
      </c>
      <c r="AG1072" s="22">
        <f>IF(AND($A1072="",$B1072=""),"",IF(Z1072=1,IF(AE1072=1,N($S1072),AC1072),0))</f>
        <v/>
      </c>
      <c r="AH1072" s="21">
        <f>IF(AND($A1072="",$B1072=""),"",IF(AND(ISNUMBER($I1072),N($I1072)&gt;0),$I1072,0))</f>
        <v/>
      </c>
      <c r="AI1072" s="23">
        <f>IF(AND(NOT(AND($A1072="",$B1072="")),$K1072="Point",N($L1072)&gt;0),SQRT(N($L1072)/PI()),"")</f>
        <v/>
      </c>
      <c r="AJ1072" s="21">
        <f>IF(AND($A1072="",$B1072=""),"",IFERROR(VLOOKUP($G1072,Lists!$D$4:$E$15,2,FALSE),"Not reported"))</f>
        <v/>
      </c>
      <c r="AK1072" s="21">
        <f>IF(AND($A1072="",$B1072=""),"",IF($X1072&lt;&gt;"",$X1072,IF($T1072&lt;&gt;"Y","Not assessed",IF(AND(ISNUMBER($V1072),Setup!$B$6-$V1072&gt;Setup!$B$26),"Assessment outdated",IF(NOT(ISNUMBER($W1072)),"Assessed – no score",IF($W1072&gt;=Setup!$B$24,"High",IF($W1072&gt;=Setup!$B$25,"Moderate","Low")))))))</f>
        <v/>
      </c>
      <c r="AL1072" s="21">
        <f>IF(AND($A1072="",$B1072=""),"",IF(Z1072=0,"",IF(AND(AE1072=1,N($R1072)&gt;AD1072*1.01+0.001),"Net terrestrial &gt; gross; ","")&amp;IF(AND(AE1072=1,N($S1072)&gt;AC1072*1.01+0.001),"Net marine &gt; gross; ","")&amp;IF(AE1072=0,"No net area – gross used, overlaps may be double-counted; ","")&amp;IF(AH1072=0,"STATUS_YR missing – imputed in time series; ","")&amp;IF(AND(ISNUMBER($I1072),N($I1072)&gt;Setup!$B$6),"STATUS_YR after reporting year; ","")&amp;IF(OR($G1072="",$G1072="Not Reported"),"GOV_TYPE not reported; ","")&amp;IF(AND(N($J1072)=1,$K1072="Point",N($M1072)&lt;=0),"Coastal point without REP_M_AREA – land/sea split unknown; ","")&amp;IF(AND(N($J1072)=0,N($S1072)&gt;0),"MARINE=0 but net marine &gt;0; ","")&amp;IF(AND(N($J1072)=2,N($R1072)&gt;0),"MARINE=2 but net terrestrial &gt;0; ","")&amp;IF($K1072="Point","Buffered point – coverage approximate; ","")))</f>
        <v/>
      </c>
    </row>
    <row r="1073">
      <c r="A1073" s="19" t="n"/>
      <c r="B1073" s="19" t="n"/>
      <c r="C1073" s="19" t="n"/>
      <c r="D1073" s="19" t="n"/>
      <c r="E1073" s="19" t="n"/>
      <c r="F1073" s="19" t="n"/>
      <c r="G1073" s="19" t="n"/>
      <c r="H1073" s="19" t="n"/>
      <c r="I1073" s="19" t="n"/>
      <c r="J1073" s="19" t="n"/>
      <c r="K1073" s="19" t="n"/>
      <c r="L1073" s="20" t="n"/>
      <c r="M1073" s="20" t="n"/>
      <c r="N1073" s="20" t="n"/>
      <c r="O1073" s="20" t="n"/>
      <c r="P1073" s="19" t="n"/>
      <c r="Q1073" s="19" t="n"/>
      <c r="R1073" s="20" t="n"/>
      <c r="S1073" s="20" t="n"/>
      <c r="T1073" s="19" t="n"/>
      <c r="U1073" s="19" t="n"/>
      <c r="V1073" s="19" t="n"/>
      <c r="W1073" s="19" t="n"/>
      <c r="X1073" s="19" t="n"/>
      <c r="Y1073" s="19" t="n"/>
      <c r="Z1073" s="21">
        <f>IF(AND($A1073="",$B1073=""),"",IF(OR($E1073="",$H1073="",$H1073="Proposed",$H1073="Not Reported"),0,IF(AND($P1073="Y",$Q1073&lt;&gt;"Y"),0,IF(AND($K1073="Point",N($L1073)&lt;=0),0,IF(AND(N($L1073)&lt;=0,N($N1073)&lt;=0,N($R1073)+N($S1073)&lt;=0),0,1)))))</f>
        <v/>
      </c>
      <c r="AA1073" s="21">
        <f>IF(AND($A1073="",$B1073=""),"",IF($E1073="","Site type missing",IF($H1073="","STATUS missing",IF($H1073="Proposed","STATUS = Proposed",IF($H1073="Not Reported","STATUS = Not Reported",IF(AND($P1073="Y",$Q1073&lt;&gt;"Y"),"UNESCO-MAB Biosphere Reserve",IF(AND($K1073="Point",N($L1073)&lt;=0),"Point without REP_AREA",IF(AND(N($L1073)&lt;=0,N($N1073)&lt;=0,N($R1073)+N($S1073)&lt;=0),"No area information",""))))))))</f>
        <v/>
      </c>
      <c r="AB1073" s="22">
        <f>IF(AND($A1073="",$B1073=""),"",IF($K1073="Point",N($L1073),IF(N($N1073)&gt;0,N($N1073),N($L1073))))</f>
        <v/>
      </c>
      <c r="AC1073" s="22">
        <f>IF(AND($A1073="",$B1073=""),"",MIN(AB1073,IF(N($J1073)=0,0,IF(N($J1073)=2,AB1073,IF(AND($K1073&lt;&gt;"Point",N($O1073)&gt;0),N($O1073),N($M1073))))))</f>
        <v/>
      </c>
      <c r="AD1073" s="22">
        <f>IF(AND($A1073="",$B1073=""),"",MAX(0,AB1073-AC1073))</f>
        <v/>
      </c>
      <c r="AE1073" s="21">
        <f>IF(AND($A1073="",$B1073=""),"",IF(OR($R1073&lt;&gt;"",$S1073&lt;&gt;""),1,0))</f>
        <v/>
      </c>
      <c r="AF1073" s="22">
        <f>IF(AND($A1073="",$B1073=""),"",IF(Z1073=1,IF(AE1073=1,N($R1073),AD1073),0))</f>
        <v/>
      </c>
      <c r="AG1073" s="22">
        <f>IF(AND($A1073="",$B1073=""),"",IF(Z1073=1,IF(AE1073=1,N($S1073),AC1073),0))</f>
        <v/>
      </c>
      <c r="AH1073" s="21">
        <f>IF(AND($A1073="",$B1073=""),"",IF(AND(ISNUMBER($I1073),N($I1073)&gt;0),$I1073,0))</f>
        <v/>
      </c>
      <c r="AI1073" s="23">
        <f>IF(AND(NOT(AND($A1073="",$B1073="")),$K1073="Point",N($L1073)&gt;0),SQRT(N($L1073)/PI()),"")</f>
        <v/>
      </c>
      <c r="AJ1073" s="21">
        <f>IF(AND($A1073="",$B1073=""),"",IFERROR(VLOOKUP($G1073,Lists!$D$4:$E$15,2,FALSE),"Not reported"))</f>
        <v/>
      </c>
      <c r="AK1073" s="21">
        <f>IF(AND($A1073="",$B1073=""),"",IF($X1073&lt;&gt;"",$X1073,IF($T1073&lt;&gt;"Y","Not assessed",IF(AND(ISNUMBER($V1073),Setup!$B$6-$V1073&gt;Setup!$B$26),"Assessment outdated",IF(NOT(ISNUMBER($W1073)),"Assessed – no score",IF($W1073&gt;=Setup!$B$24,"High",IF($W1073&gt;=Setup!$B$25,"Moderate","Low")))))))</f>
        <v/>
      </c>
      <c r="AL1073" s="21">
        <f>IF(AND($A1073="",$B1073=""),"",IF(Z1073=0,"",IF(AND(AE1073=1,N($R1073)&gt;AD1073*1.01+0.001),"Net terrestrial &gt; gross; ","")&amp;IF(AND(AE1073=1,N($S1073)&gt;AC1073*1.01+0.001),"Net marine &gt; gross; ","")&amp;IF(AE1073=0,"No net area – gross used, overlaps may be double-counted; ","")&amp;IF(AH1073=0,"STATUS_YR missing – imputed in time series; ","")&amp;IF(AND(ISNUMBER($I1073),N($I1073)&gt;Setup!$B$6),"STATUS_YR after reporting year; ","")&amp;IF(OR($G1073="",$G1073="Not Reported"),"GOV_TYPE not reported; ","")&amp;IF(AND(N($J1073)=1,$K1073="Point",N($M1073)&lt;=0),"Coastal point without REP_M_AREA – land/sea split unknown; ","")&amp;IF(AND(N($J1073)=0,N($S1073)&gt;0),"MARINE=0 but net marine &gt;0; ","")&amp;IF(AND(N($J1073)=2,N($R1073)&gt;0),"MARINE=2 but net terrestrial &gt;0; ","")&amp;IF($K1073="Point","Buffered point – coverage approximate; ","")))</f>
        <v/>
      </c>
    </row>
    <row r="1074">
      <c r="A1074" s="19" t="n"/>
      <c r="B1074" s="19" t="n"/>
      <c r="C1074" s="19" t="n"/>
      <c r="D1074" s="19" t="n"/>
      <c r="E1074" s="19" t="n"/>
      <c r="F1074" s="19" t="n"/>
      <c r="G1074" s="19" t="n"/>
      <c r="H1074" s="19" t="n"/>
      <c r="I1074" s="19" t="n"/>
      <c r="J1074" s="19" t="n"/>
      <c r="K1074" s="19" t="n"/>
      <c r="L1074" s="20" t="n"/>
      <c r="M1074" s="20" t="n"/>
      <c r="N1074" s="20" t="n"/>
      <c r="O1074" s="20" t="n"/>
      <c r="P1074" s="19" t="n"/>
      <c r="Q1074" s="19" t="n"/>
      <c r="R1074" s="20" t="n"/>
      <c r="S1074" s="20" t="n"/>
      <c r="T1074" s="19" t="n"/>
      <c r="U1074" s="19" t="n"/>
      <c r="V1074" s="19" t="n"/>
      <c r="W1074" s="19" t="n"/>
      <c r="X1074" s="19" t="n"/>
      <c r="Y1074" s="19" t="n"/>
      <c r="Z1074" s="21">
        <f>IF(AND($A1074="",$B1074=""),"",IF(OR($E1074="",$H1074="",$H1074="Proposed",$H1074="Not Reported"),0,IF(AND($P1074="Y",$Q1074&lt;&gt;"Y"),0,IF(AND($K1074="Point",N($L1074)&lt;=0),0,IF(AND(N($L1074)&lt;=0,N($N1074)&lt;=0,N($R1074)+N($S1074)&lt;=0),0,1)))))</f>
        <v/>
      </c>
      <c r="AA1074" s="21">
        <f>IF(AND($A1074="",$B1074=""),"",IF($E1074="","Site type missing",IF($H1074="","STATUS missing",IF($H1074="Proposed","STATUS = Proposed",IF($H1074="Not Reported","STATUS = Not Reported",IF(AND($P1074="Y",$Q1074&lt;&gt;"Y"),"UNESCO-MAB Biosphere Reserve",IF(AND($K1074="Point",N($L1074)&lt;=0),"Point without REP_AREA",IF(AND(N($L1074)&lt;=0,N($N1074)&lt;=0,N($R1074)+N($S1074)&lt;=0),"No area information",""))))))))</f>
        <v/>
      </c>
      <c r="AB1074" s="22">
        <f>IF(AND($A1074="",$B1074=""),"",IF($K1074="Point",N($L1074),IF(N($N1074)&gt;0,N($N1074),N($L1074))))</f>
        <v/>
      </c>
      <c r="AC1074" s="22">
        <f>IF(AND($A1074="",$B1074=""),"",MIN(AB1074,IF(N($J1074)=0,0,IF(N($J1074)=2,AB1074,IF(AND($K1074&lt;&gt;"Point",N($O1074)&gt;0),N($O1074),N($M1074))))))</f>
        <v/>
      </c>
      <c r="AD1074" s="22">
        <f>IF(AND($A1074="",$B1074=""),"",MAX(0,AB1074-AC1074))</f>
        <v/>
      </c>
      <c r="AE1074" s="21">
        <f>IF(AND($A1074="",$B1074=""),"",IF(OR($R1074&lt;&gt;"",$S1074&lt;&gt;""),1,0))</f>
        <v/>
      </c>
      <c r="AF1074" s="22">
        <f>IF(AND($A1074="",$B1074=""),"",IF(Z1074=1,IF(AE1074=1,N($R1074),AD1074),0))</f>
        <v/>
      </c>
      <c r="AG1074" s="22">
        <f>IF(AND($A1074="",$B1074=""),"",IF(Z1074=1,IF(AE1074=1,N($S1074),AC1074),0))</f>
        <v/>
      </c>
      <c r="AH1074" s="21">
        <f>IF(AND($A1074="",$B1074=""),"",IF(AND(ISNUMBER($I1074),N($I1074)&gt;0),$I1074,0))</f>
        <v/>
      </c>
      <c r="AI1074" s="23">
        <f>IF(AND(NOT(AND($A1074="",$B1074="")),$K1074="Point",N($L1074)&gt;0),SQRT(N($L1074)/PI()),"")</f>
        <v/>
      </c>
      <c r="AJ1074" s="21">
        <f>IF(AND($A1074="",$B1074=""),"",IFERROR(VLOOKUP($G1074,Lists!$D$4:$E$15,2,FALSE),"Not reported"))</f>
        <v/>
      </c>
      <c r="AK1074" s="21">
        <f>IF(AND($A1074="",$B1074=""),"",IF($X1074&lt;&gt;"",$X1074,IF($T1074&lt;&gt;"Y","Not assessed",IF(AND(ISNUMBER($V1074),Setup!$B$6-$V1074&gt;Setup!$B$26),"Assessment outdated",IF(NOT(ISNUMBER($W1074)),"Assessed – no score",IF($W1074&gt;=Setup!$B$24,"High",IF($W1074&gt;=Setup!$B$25,"Moderate","Low")))))))</f>
        <v/>
      </c>
      <c r="AL1074" s="21">
        <f>IF(AND($A1074="",$B1074=""),"",IF(Z1074=0,"",IF(AND(AE1074=1,N($R1074)&gt;AD1074*1.01+0.001),"Net terrestrial &gt; gross; ","")&amp;IF(AND(AE1074=1,N($S1074)&gt;AC1074*1.01+0.001),"Net marine &gt; gross; ","")&amp;IF(AE1074=0,"No net area – gross used, overlaps may be double-counted; ","")&amp;IF(AH1074=0,"STATUS_YR missing – imputed in time series; ","")&amp;IF(AND(ISNUMBER($I1074),N($I1074)&gt;Setup!$B$6),"STATUS_YR after reporting year; ","")&amp;IF(OR($G1074="",$G1074="Not Reported"),"GOV_TYPE not reported; ","")&amp;IF(AND(N($J1074)=1,$K1074="Point",N($M1074)&lt;=0),"Coastal point without REP_M_AREA – land/sea split unknown; ","")&amp;IF(AND(N($J1074)=0,N($S1074)&gt;0),"MARINE=0 but net marine &gt;0; ","")&amp;IF(AND(N($J1074)=2,N($R1074)&gt;0),"MARINE=2 but net terrestrial &gt;0; ","")&amp;IF($K1074="Point","Buffered point – coverage approximate; ","")))</f>
        <v/>
      </c>
    </row>
    <row r="1075">
      <c r="A1075" s="19" t="n"/>
      <c r="B1075" s="19" t="n"/>
      <c r="C1075" s="19" t="n"/>
      <c r="D1075" s="19" t="n"/>
      <c r="E1075" s="19" t="n"/>
      <c r="F1075" s="19" t="n"/>
      <c r="G1075" s="19" t="n"/>
      <c r="H1075" s="19" t="n"/>
      <c r="I1075" s="19" t="n"/>
      <c r="J1075" s="19" t="n"/>
      <c r="K1075" s="19" t="n"/>
      <c r="L1075" s="20" t="n"/>
      <c r="M1075" s="20" t="n"/>
      <c r="N1075" s="20" t="n"/>
      <c r="O1075" s="20" t="n"/>
      <c r="P1075" s="19" t="n"/>
      <c r="Q1075" s="19" t="n"/>
      <c r="R1075" s="20" t="n"/>
      <c r="S1075" s="20" t="n"/>
      <c r="T1075" s="19" t="n"/>
      <c r="U1075" s="19" t="n"/>
      <c r="V1075" s="19" t="n"/>
      <c r="W1075" s="19" t="n"/>
      <c r="X1075" s="19" t="n"/>
      <c r="Y1075" s="19" t="n"/>
      <c r="Z1075" s="21">
        <f>IF(AND($A1075="",$B1075=""),"",IF(OR($E1075="",$H1075="",$H1075="Proposed",$H1075="Not Reported"),0,IF(AND($P1075="Y",$Q1075&lt;&gt;"Y"),0,IF(AND($K1075="Point",N($L1075)&lt;=0),0,IF(AND(N($L1075)&lt;=0,N($N1075)&lt;=0,N($R1075)+N($S1075)&lt;=0),0,1)))))</f>
        <v/>
      </c>
      <c r="AA1075" s="21">
        <f>IF(AND($A1075="",$B1075=""),"",IF($E1075="","Site type missing",IF($H1075="","STATUS missing",IF($H1075="Proposed","STATUS = Proposed",IF($H1075="Not Reported","STATUS = Not Reported",IF(AND($P1075="Y",$Q1075&lt;&gt;"Y"),"UNESCO-MAB Biosphere Reserve",IF(AND($K1075="Point",N($L1075)&lt;=0),"Point without REP_AREA",IF(AND(N($L1075)&lt;=0,N($N1075)&lt;=0,N($R1075)+N($S1075)&lt;=0),"No area information",""))))))))</f>
        <v/>
      </c>
      <c r="AB1075" s="22">
        <f>IF(AND($A1075="",$B1075=""),"",IF($K1075="Point",N($L1075),IF(N($N1075)&gt;0,N($N1075),N($L1075))))</f>
        <v/>
      </c>
      <c r="AC1075" s="22">
        <f>IF(AND($A1075="",$B1075=""),"",MIN(AB1075,IF(N($J1075)=0,0,IF(N($J1075)=2,AB1075,IF(AND($K1075&lt;&gt;"Point",N($O1075)&gt;0),N($O1075),N($M1075))))))</f>
        <v/>
      </c>
      <c r="AD1075" s="22">
        <f>IF(AND($A1075="",$B1075=""),"",MAX(0,AB1075-AC1075))</f>
        <v/>
      </c>
      <c r="AE1075" s="21">
        <f>IF(AND($A1075="",$B1075=""),"",IF(OR($R1075&lt;&gt;"",$S1075&lt;&gt;""),1,0))</f>
        <v/>
      </c>
      <c r="AF1075" s="22">
        <f>IF(AND($A1075="",$B1075=""),"",IF(Z1075=1,IF(AE1075=1,N($R1075),AD1075),0))</f>
        <v/>
      </c>
      <c r="AG1075" s="22">
        <f>IF(AND($A1075="",$B1075=""),"",IF(Z1075=1,IF(AE1075=1,N($S1075),AC1075),0))</f>
        <v/>
      </c>
      <c r="AH1075" s="21">
        <f>IF(AND($A1075="",$B1075=""),"",IF(AND(ISNUMBER($I1075),N($I1075)&gt;0),$I1075,0))</f>
        <v/>
      </c>
      <c r="AI1075" s="23">
        <f>IF(AND(NOT(AND($A1075="",$B1075="")),$K1075="Point",N($L1075)&gt;0),SQRT(N($L1075)/PI()),"")</f>
        <v/>
      </c>
      <c r="AJ1075" s="21">
        <f>IF(AND($A1075="",$B1075=""),"",IFERROR(VLOOKUP($G1075,Lists!$D$4:$E$15,2,FALSE),"Not reported"))</f>
        <v/>
      </c>
      <c r="AK1075" s="21">
        <f>IF(AND($A1075="",$B1075=""),"",IF($X1075&lt;&gt;"",$X1075,IF($T1075&lt;&gt;"Y","Not assessed",IF(AND(ISNUMBER($V1075),Setup!$B$6-$V1075&gt;Setup!$B$26),"Assessment outdated",IF(NOT(ISNUMBER($W1075)),"Assessed – no score",IF($W1075&gt;=Setup!$B$24,"High",IF($W1075&gt;=Setup!$B$25,"Moderate","Low")))))))</f>
        <v/>
      </c>
      <c r="AL1075" s="21">
        <f>IF(AND($A1075="",$B1075=""),"",IF(Z1075=0,"",IF(AND(AE1075=1,N($R1075)&gt;AD1075*1.01+0.001),"Net terrestrial &gt; gross; ","")&amp;IF(AND(AE1075=1,N($S1075)&gt;AC1075*1.01+0.001),"Net marine &gt; gross; ","")&amp;IF(AE1075=0,"No net area – gross used, overlaps may be double-counted; ","")&amp;IF(AH1075=0,"STATUS_YR missing – imputed in time series; ","")&amp;IF(AND(ISNUMBER($I1075),N($I1075)&gt;Setup!$B$6),"STATUS_YR after reporting year; ","")&amp;IF(OR($G1075="",$G1075="Not Reported"),"GOV_TYPE not reported; ","")&amp;IF(AND(N($J1075)=1,$K1075="Point",N($M1075)&lt;=0),"Coastal point without REP_M_AREA – land/sea split unknown; ","")&amp;IF(AND(N($J1075)=0,N($S1075)&gt;0),"MARINE=0 but net marine &gt;0; ","")&amp;IF(AND(N($J1075)=2,N($R1075)&gt;0),"MARINE=2 but net terrestrial &gt;0; ","")&amp;IF($K1075="Point","Buffered point – coverage approximate; ","")))</f>
        <v/>
      </c>
    </row>
    <row r="1076">
      <c r="A1076" s="19" t="n"/>
      <c r="B1076" s="19" t="n"/>
      <c r="C1076" s="19" t="n"/>
      <c r="D1076" s="19" t="n"/>
      <c r="E1076" s="19" t="n"/>
      <c r="F1076" s="19" t="n"/>
      <c r="G1076" s="19" t="n"/>
      <c r="H1076" s="19" t="n"/>
      <c r="I1076" s="19" t="n"/>
      <c r="J1076" s="19" t="n"/>
      <c r="K1076" s="19" t="n"/>
      <c r="L1076" s="20" t="n"/>
      <c r="M1076" s="20" t="n"/>
      <c r="N1076" s="20" t="n"/>
      <c r="O1076" s="20" t="n"/>
      <c r="P1076" s="19" t="n"/>
      <c r="Q1076" s="19" t="n"/>
      <c r="R1076" s="20" t="n"/>
      <c r="S1076" s="20" t="n"/>
      <c r="T1076" s="19" t="n"/>
      <c r="U1076" s="19" t="n"/>
      <c r="V1076" s="19" t="n"/>
      <c r="W1076" s="19" t="n"/>
      <c r="X1076" s="19" t="n"/>
      <c r="Y1076" s="19" t="n"/>
      <c r="Z1076" s="21">
        <f>IF(AND($A1076="",$B1076=""),"",IF(OR($E1076="",$H1076="",$H1076="Proposed",$H1076="Not Reported"),0,IF(AND($P1076="Y",$Q1076&lt;&gt;"Y"),0,IF(AND($K1076="Point",N($L1076)&lt;=0),0,IF(AND(N($L1076)&lt;=0,N($N1076)&lt;=0,N($R1076)+N($S1076)&lt;=0),0,1)))))</f>
        <v/>
      </c>
      <c r="AA1076" s="21">
        <f>IF(AND($A1076="",$B1076=""),"",IF($E1076="","Site type missing",IF($H1076="","STATUS missing",IF($H1076="Proposed","STATUS = Proposed",IF($H1076="Not Reported","STATUS = Not Reported",IF(AND($P1076="Y",$Q1076&lt;&gt;"Y"),"UNESCO-MAB Biosphere Reserve",IF(AND($K1076="Point",N($L1076)&lt;=0),"Point without REP_AREA",IF(AND(N($L1076)&lt;=0,N($N1076)&lt;=0,N($R1076)+N($S1076)&lt;=0),"No area information",""))))))))</f>
        <v/>
      </c>
      <c r="AB1076" s="22">
        <f>IF(AND($A1076="",$B1076=""),"",IF($K1076="Point",N($L1076),IF(N($N1076)&gt;0,N($N1076),N($L1076))))</f>
        <v/>
      </c>
      <c r="AC1076" s="22">
        <f>IF(AND($A1076="",$B1076=""),"",MIN(AB1076,IF(N($J1076)=0,0,IF(N($J1076)=2,AB1076,IF(AND($K1076&lt;&gt;"Point",N($O1076)&gt;0),N($O1076),N($M1076))))))</f>
        <v/>
      </c>
      <c r="AD1076" s="22">
        <f>IF(AND($A1076="",$B1076=""),"",MAX(0,AB1076-AC1076))</f>
        <v/>
      </c>
      <c r="AE1076" s="21">
        <f>IF(AND($A1076="",$B1076=""),"",IF(OR($R1076&lt;&gt;"",$S1076&lt;&gt;""),1,0))</f>
        <v/>
      </c>
      <c r="AF1076" s="22">
        <f>IF(AND($A1076="",$B1076=""),"",IF(Z1076=1,IF(AE1076=1,N($R1076),AD1076),0))</f>
        <v/>
      </c>
      <c r="AG1076" s="22">
        <f>IF(AND($A1076="",$B1076=""),"",IF(Z1076=1,IF(AE1076=1,N($S1076),AC1076),0))</f>
        <v/>
      </c>
      <c r="AH1076" s="21">
        <f>IF(AND($A1076="",$B1076=""),"",IF(AND(ISNUMBER($I1076),N($I1076)&gt;0),$I1076,0))</f>
        <v/>
      </c>
      <c r="AI1076" s="23">
        <f>IF(AND(NOT(AND($A1076="",$B1076="")),$K1076="Point",N($L1076)&gt;0),SQRT(N($L1076)/PI()),"")</f>
        <v/>
      </c>
      <c r="AJ1076" s="21">
        <f>IF(AND($A1076="",$B1076=""),"",IFERROR(VLOOKUP($G1076,Lists!$D$4:$E$15,2,FALSE),"Not reported"))</f>
        <v/>
      </c>
      <c r="AK1076" s="21">
        <f>IF(AND($A1076="",$B1076=""),"",IF($X1076&lt;&gt;"",$X1076,IF($T1076&lt;&gt;"Y","Not assessed",IF(AND(ISNUMBER($V1076),Setup!$B$6-$V1076&gt;Setup!$B$26),"Assessment outdated",IF(NOT(ISNUMBER($W1076)),"Assessed – no score",IF($W1076&gt;=Setup!$B$24,"High",IF($W1076&gt;=Setup!$B$25,"Moderate","Low")))))))</f>
        <v/>
      </c>
      <c r="AL1076" s="21">
        <f>IF(AND($A1076="",$B1076=""),"",IF(Z1076=0,"",IF(AND(AE1076=1,N($R1076)&gt;AD1076*1.01+0.001),"Net terrestrial &gt; gross; ","")&amp;IF(AND(AE1076=1,N($S1076)&gt;AC1076*1.01+0.001),"Net marine &gt; gross; ","")&amp;IF(AE1076=0,"No net area – gross used, overlaps may be double-counted; ","")&amp;IF(AH1076=0,"STATUS_YR missing – imputed in time series; ","")&amp;IF(AND(ISNUMBER($I1076),N($I1076)&gt;Setup!$B$6),"STATUS_YR after reporting year; ","")&amp;IF(OR($G1076="",$G1076="Not Reported"),"GOV_TYPE not reported; ","")&amp;IF(AND(N($J1076)=1,$K1076="Point",N($M1076)&lt;=0),"Coastal point without REP_M_AREA – land/sea split unknown; ","")&amp;IF(AND(N($J1076)=0,N($S1076)&gt;0),"MARINE=0 but net marine &gt;0; ","")&amp;IF(AND(N($J1076)=2,N($R1076)&gt;0),"MARINE=2 but net terrestrial &gt;0; ","")&amp;IF($K1076="Point","Buffered point – coverage approximate; ","")))</f>
        <v/>
      </c>
    </row>
    <row r="1077">
      <c r="A1077" s="19" t="n"/>
      <c r="B1077" s="19" t="n"/>
      <c r="C1077" s="19" t="n"/>
      <c r="D1077" s="19" t="n"/>
      <c r="E1077" s="19" t="n"/>
      <c r="F1077" s="19" t="n"/>
      <c r="G1077" s="19" t="n"/>
      <c r="H1077" s="19" t="n"/>
      <c r="I1077" s="19" t="n"/>
      <c r="J1077" s="19" t="n"/>
      <c r="K1077" s="19" t="n"/>
      <c r="L1077" s="20" t="n"/>
      <c r="M1077" s="20" t="n"/>
      <c r="N1077" s="20" t="n"/>
      <c r="O1077" s="20" t="n"/>
      <c r="P1077" s="19" t="n"/>
      <c r="Q1077" s="19" t="n"/>
      <c r="R1077" s="20" t="n"/>
      <c r="S1077" s="20" t="n"/>
      <c r="T1077" s="19" t="n"/>
      <c r="U1077" s="19" t="n"/>
      <c r="V1077" s="19" t="n"/>
      <c r="W1077" s="19" t="n"/>
      <c r="X1077" s="19" t="n"/>
      <c r="Y1077" s="19" t="n"/>
      <c r="Z1077" s="21">
        <f>IF(AND($A1077="",$B1077=""),"",IF(OR($E1077="",$H1077="",$H1077="Proposed",$H1077="Not Reported"),0,IF(AND($P1077="Y",$Q1077&lt;&gt;"Y"),0,IF(AND($K1077="Point",N($L1077)&lt;=0),0,IF(AND(N($L1077)&lt;=0,N($N1077)&lt;=0,N($R1077)+N($S1077)&lt;=0),0,1)))))</f>
        <v/>
      </c>
      <c r="AA1077" s="21">
        <f>IF(AND($A1077="",$B1077=""),"",IF($E1077="","Site type missing",IF($H1077="","STATUS missing",IF($H1077="Proposed","STATUS = Proposed",IF($H1077="Not Reported","STATUS = Not Reported",IF(AND($P1077="Y",$Q1077&lt;&gt;"Y"),"UNESCO-MAB Biosphere Reserve",IF(AND($K1077="Point",N($L1077)&lt;=0),"Point without REP_AREA",IF(AND(N($L1077)&lt;=0,N($N1077)&lt;=0,N($R1077)+N($S1077)&lt;=0),"No area information",""))))))))</f>
        <v/>
      </c>
      <c r="AB1077" s="22">
        <f>IF(AND($A1077="",$B1077=""),"",IF($K1077="Point",N($L1077),IF(N($N1077)&gt;0,N($N1077),N($L1077))))</f>
        <v/>
      </c>
      <c r="AC1077" s="22">
        <f>IF(AND($A1077="",$B1077=""),"",MIN(AB1077,IF(N($J1077)=0,0,IF(N($J1077)=2,AB1077,IF(AND($K1077&lt;&gt;"Point",N($O1077)&gt;0),N($O1077),N($M1077))))))</f>
        <v/>
      </c>
      <c r="AD1077" s="22">
        <f>IF(AND($A1077="",$B1077=""),"",MAX(0,AB1077-AC1077))</f>
        <v/>
      </c>
      <c r="AE1077" s="21">
        <f>IF(AND($A1077="",$B1077=""),"",IF(OR($R1077&lt;&gt;"",$S1077&lt;&gt;""),1,0))</f>
        <v/>
      </c>
      <c r="AF1077" s="22">
        <f>IF(AND($A1077="",$B1077=""),"",IF(Z1077=1,IF(AE1077=1,N($R1077),AD1077),0))</f>
        <v/>
      </c>
      <c r="AG1077" s="22">
        <f>IF(AND($A1077="",$B1077=""),"",IF(Z1077=1,IF(AE1077=1,N($S1077),AC1077),0))</f>
        <v/>
      </c>
      <c r="AH1077" s="21">
        <f>IF(AND($A1077="",$B1077=""),"",IF(AND(ISNUMBER($I1077),N($I1077)&gt;0),$I1077,0))</f>
        <v/>
      </c>
      <c r="AI1077" s="23">
        <f>IF(AND(NOT(AND($A1077="",$B1077="")),$K1077="Point",N($L1077)&gt;0),SQRT(N($L1077)/PI()),"")</f>
        <v/>
      </c>
      <c r="AJ1077" s="21">
        <f>IF(AND($A1077="",$B1077=""),"",IFERROR(VLOOKUP($G1077,Lists!$D$4:$E$15,2,FALSE),"Not reported"))</f>
        <v/>
      </c>
      <c r="AK1077" s="21">
        <f>IF(AND($A1077="",$B1077=""),"",IF($X1077&lt;&gt;"",$X1077,IF($T1077&lt;&gt;"Y","Not assessed",IF(AND(ISNUMBER($V1077),Setup!$B$6-$V1077&gt;Setup!$B$26),"Assessment outdated",IF(NOT(ISNUMBER($W1077)),"Assessed – no score",IF($W1077&gt;=Setup!$B$24,"High",IF($W1077&gt;=Setup!$B$25,"Moderate","Low")))))))</f>
        <v/>
      </c>
      <c r="AL1077" s="21">
        <f>IF(AND($A1077="",$B1077=""),"",IF(Z1077=0,"",IF(AND(AE1077=1,N($R1077)&gt;AD1077*1.01+0.001),"Net terrestrial &gt; gross; ","")&amp;IF(AND(AE1077=1,N($S1077)&gt;AC1077*1.01+0.001),"Net marine &gt; gross; ","")&amp;IF(AE1077=0,"No net area – gross used, overlaps may be double-counted; ","")&amp;IF(AH1077=0,"STATUS_YR missing – imputed in time series; ","")&amp;IF(AND(ISNUMBER($I1077),N($I1077)&gt;Setup!$B$6),"STATUS_YR after reporting year; ","")&amp;IF(OR($G1077="",$G1077="Not Reported"),"GOV_TYPE not reported; ","")&amp;IF(AND(N($J1077)=1,$K1077="Point",N($M1077)&lt;=0),"Coastal point without REP_M_AREA – land/sea split unknown; ","")&amp;IF(AND(N($J1077)=0,N($S1077)&gt;0),"MARINE=0 but net marine &gt;0; ","")&amp;IF(AND(N($J1077)=2,N($R1077)&gt;0),"MARINE=2 but net terrestrial &gt;0; ","")&amp;IF($K1077="Point","Buffered point – coverage approximate; ","")))</f>
        <v/>
      </c>
    </row>
    <row r="1078">
      <c r="A1078" s="19" t="n"/>
      <c r="B1078" s="19" t="n"/>
      <c r="C1078" s="19" t="n"/>
      <c r="D1078" s="19" t="n"/>
      <c r="E1078" s="19" t="n"/>
      <c r="F1078" s="19" t="n"/>
      <c r="G1078" s="19" t="n"/>
      <c r="H1078" s="19" t="n"/>
      <c r="I1078" s="19" t="n"/>
      <c r="J1078" s="19" t="n"/>
      <c r="K1078" s="19" t="n"/>
      <c r="L1078" s="20" t="n"/>
      <c r="M1078" s="20" t="n"/>
      <c r="N1078" s="20" t="n"/>
      <c r="O1078" s="20" t="n"/>
      <c r="P1078" s="19" t="n"/>
      <c r="Q1078" s="19" t="n"/>
      <c r="R1078" s="20" t="n"/>
      <c r="S1078" s="20" t="n"/>
      <c r="T1078" s="19" t="n"/>
      <c r="U1078" s="19" t="n"/>
      <c r="V1078" s="19" t="n"/>
      <c r="W1078" s="19" t="n"/>
      <c r="X1078" s="19" t="n"/>
      <c r="Y1078" s="19" t="n"/>
      <c r="Z1078" s="21">
        <f>IF(AND($A1078="",$B1078=""),"",IF(OR($E1078="",$H1078="",$H1078="Proposed",$H1078="Not Reported"),0,IF(AND($P1078="Y",$Q1078&lt;&gt;"Y"),0,IF(AND($K1078="Point",N($L1078)&lt;=0),0,IF(AND(N($L1078)&lt;=0,N($N1078)&lt;=0,N($R1078)+N($S1078)&lt;=0),0,1)))))</f>
        <v/>
      </c>
      <c r="AA1078" s="21">
        <f>IF(AND($A1078="",$B1078=""),"",IF($E1078="","Site type missing",IF($H1078="","STATUS missing",IF($H1078="Proposed","STATUS = Proposed",IF($H1078="Not Reported","STATUS = Not Reported",IF(AND($P1078="Y",$Q1078&lt;&gt;"Y"),"UNESCO-MAB Biosphere Reserve",IF(AND($K1078="Point",N($L1078)&lt;=0),"Point without REP_AREA",IF(AND(N($L1078)&lt;=0,N($N1078)&lt;=0,N($R1078)+N($S1078)&lt;=0),"No area information",""))))))))</f>
        <v/>
      </c>
      <c r="AB1078" s="22">
        <f>IF(AND($A1078="",$B1078=""),"",IF($K1078="Point",N($L1078),IF(N($N1078)&gt;0,N($N1078),N($L1078))))</f>
        <v/>
      </c>
      <c r="AC1078" s="22">
        <f>IF(AND($A1078="",$B1078=""),"",MIN(AB1078,IF(N($J1078)=0,0,IF(N($J1078)=2,AB1078,IF(AND($K1078&lt;&gt;"Point",N($O1078)&gt;0),N($O1078),N($M1078))))))</f>
        <v/>
      </c>
      <c r="AD1078" s="22">
        <f>IF(AND($A1078="",$B1078=""),"",MAX(0,AB1078-AC1078))</f>
        <v/>
      </c>
      <c r="AE1078" s="21">
        <f>IF(AND($A1078="",$B1078=""),"",IF(OR($R1078&lt;&gt;"",$S1078&lt;&gt;""),1,0))</f>
        <v/>
      </c>
      <c r="AF1078" s="22">
        <f>IF(AND($A1078="",$B1078=""),"",IF(Z1078=1,IF(AE1078=1,N($R1078),AD1078),0))</f>
        <v/>
      </c>
      <c r="AG1078" s="22">
        <f>IF(AND($A1078="",$B1078=""),"",IF(Z1078=1,IF(AE1078=1,N($S1078),AC1078),0))</f>
        <v/>
      </c>
      <c r="AH1078" s="21">
        <f>IF(AND($A1078="",$B1078=""),"",IF(AND(ISNUMBER($I1078),N($I1078)&gt;0),$I1078,0))</f>
        <v/>
      </c>
      <c r="AI1078" s="23">
        <f>IF(AND(NOT(AND($A1078="",$B1078="")),$K1078="Point",N($L1078)&gt;0),SQRT(N($L1078)/PI()),"")</f>
        <v/>
      </c>
      <c r="AJ1078" s="21">
        <f>IF(AND($A1078="",$B1078=""),"",IFERROR(VLOOKUP($G1078,Lists!$D$4:$E$15,2,FALSE),"Not reported"))</f>
        <v/>
      </c>
      <c r="AK1078" s="21">
        <f>IF(AND($A1078="",$B1078=""),"",IF($X1078&lt;&gt;"",$X1078,IF($T1078&lt;&gt;"Y","Not assessed",IF(AND(ISNUMBER($V1078),Setup!$B$6-$V1078&gt;Setup!$B$26),"Assessment outdated",IF(NOT(ISNUMBER($W1078)),"Assessed – no score",IF($W1078&gt;=Setup!$B$24,"High",IF($W1078&gt;=Setup!$B$25,"Moderate","Low")))))))</f>
        <v/>
      </c>
      <c r="AL1078" s="21">
        <f>IF(AND($A1078="",$B1078=""),"",IF(Z1078=0,"",IF(AND(AE1078=1,N($R1078)&gt;AD1078*1.01+0.001),"Net terrestrial &gt; gross; ","")&amp;IF(AND(AE1078=1,N($S1078)&gt;AC1078*1.01+0.001),"Net marine &gt; gross; ","")&amp;IF(AE1078=0,"No net area – gross used, overlaps may be double-counted; ","")&amp;IF(AH1078=0,"STATUS_YR missing – imputed in time series; ","")&amp;IF(AND(ISNUMBER($I1078),N($I1078)&gt;Setup!$B$6),"STATUS_YR after reporting year; ","")&amp;IF(OR($G1078="",$G1078="Not Reported"),"GOV_TYPE not reported; ","")&amp;IF(AND(N($J1078)=1,$K1078="Point",N($M1078)&lt;=0),"Coastal point without REP_M_AREA – land/sea split unknown; ","")&amp;IF(AND(N($J1078)=0,N($S1078)&gt;0),"MARINE=0 but net marine &gt;0; ","")&amp;IF(AND(N($J1078)=2,N($R1078)&gt;0),"MARINE=2 but net terrestrial &gt;0; ","")&amp;IF($K1078="Point","Buffered point – coverage approximate; ","")))</f>
        <v/>
      </c>
    </row>
    <row r="1079">
      <c r="A1079" s="19" t="n"/>
      <c r="B1079" s="19" t="n"/>
      <c r="C1079" s="19" t="n"/>
      <c r="D1079" s="19" t="n"/>
      <c r="E1079" s="19" t="n"/>
      <c r="F1079" s="19" t="n"/>
      <c r="G1079" s="19" t="n"/>
      <c r="H1079" s="19" t="n"/>
      <c r="I1079" s="19" t="n"/>
      <c r="J1079" s="19" t="n"/>
      <c r="K1079" s="19" t="n"/>
      <c r="L1079" s="20" t="n"/>
      <c r="M1079" s="20" t="n"/>
      <c r="N1079" s="20" t="n"/>
      <c r="O1079" s="20" t="n"/>
      <c r="P1079" s="19" t="n"/>
      <c r="Q1079" s="19" t="n"/>
      <c r="R1079" s="20" t="n"/>
      <c r="S1079" s="20" t="n"/>
      <c r="T1079" s="19" t="n"/>
      <c r="U1079" s="19" t="n"/>
      <c r="V1079" s="19" t="n"/>
      <c r="W1079" s="19" t="n"/>
      <c r="X1079" s="19" t="n"/>
      <c r="Y1079" s="19" t="n"/>
      <c r="Z1079" s="21">
        <f>IF(AND($A1079="",$B1079=""),"",IF(OR($E1079="",$H1079="",$H1079="Proposed",$H1079="Not Reported"),0,IF(AND($P1079="Y",$Q1079&lt;&gt;"Y"),0,IF(AND($K1079="Point",N($L1079)&lt;=0),0,IF(AND(N($L1079)&lt;=0,N($N1079)&lt;=0,N($R1079)+N($S1079)&lt;=0),0,1)))))</f>
        <v/>
      </c>
      <c r="AA1079" s="21">
        <f>IF(AND($A1079="",$B1079=""),"",IF($E1079="","Site type missing",IF($H1079="","STATUS missing",IF($H1079="Proposed","STATUS = Proposed",IF($H1079="Not Reported","STATUS = Not Reported",IF(AND($P1079="Y",$Q1079&lt;&gt;"Y"),"UNESCO-MAB Biosphere Reserve",IF(AND($K1079="Point",N($L1079)&lt;=0),"Point without REP_AREA",IF(AND(N($L1079)&lt;=0,N($N1079)&lt;=0,N($R1079)+N($S1079)&lt;=0),"No area information",""))))))))</f>
        <v/>
      </c>
      <c r="AB1079" s="22">
        <f>IF(AND($A1079="",$B1079=""),"",IF($K1079="Point",N($L1079),IF(N($N1079)&gt;0,N($N1079),N($L1079))))</f>
        <v/>
      </c>
      <c r="AC1079" s="22">
        <f>IF(AND($A1079="",$B1079=""),"",MIN(AB1079,IF(N($J1079)=0,0,IF(N($J1079)=2,AB1079,IF(AND($K1079&lt;&gt;"Point",N($O1079)&gt;0),N($O1079),N($M1079))))))</f>
        <v/>
      </c>
      <c r="AD1079" s="22">
        <f>IF(AND($A1079="",$B1079=""),"",MAX(0,AB1079-AC1079))</f>
        <v/>
      </c>
      <c r="AE1079" s="21">
        <f>IF(AND($A1079="",$B1079=""),"",IF(OR($R1079&lt;&gt;"",$S1079&lt;&gt;""),1,0))</f>
        <v/>
      </c>
      <c r="AF1079" s="22">
        <f>IF(AND($A1079="",$B1079=""),"",IF(Z1079=1,IF(AE1079=1,N($R1079),AD1079),0))</f>
        <v/>
      </c>
      <c r="AG1079" s="22">
        <f>IF(AND($A1079="",$B1079=""),"",IF(Z1079=1,IF(AE1079=1,N($S1079),AC1079),0))</f>
        <v/>
      </c>
      <c r="AH1079" s="21">
        <f>IF(AND($A1079="",$B1079=""),"",IF(AND(ISNUMBER($I1079),N($I1079)&gt;0),$I1079,0))</f>
        <v/>
      </c>
      <c r="AI1079" s="23">
        <f>IF(AND(NOT(AND($A1079="",$B1079="")),$K1079="Point",N($L1079)&gt;0),SQRT(N($L1079)/PI()),"")</f>
        <v/>
      </c>
      <c r="AJ1079" s="21">
        <f>IF(AND($A1079="",$B1079=""),"",IFERROR(VLOOKUP($G1079,Lists!$D$4:$E$15,2,FALSE),"Not reported"))</f>
        <v/>
      </c>
      <c r="AK1079" s="21">
        <f>IF(AND($A1079="",$B1079=""),"",IF($X1079&lt;&gt;"",$X1079,IF($T1079&lt;&gt;"Y","Not assessed",IF(AND(ISNUMBER($V1079),Setup!$B$6-$V1079&gt;Setup!$B$26),"Assessment outdated",IF(NOT(ISNUMBER($W1079)),"Assessed – no score",IF($W1079&gt;=Setup!$B$24,"High",IF($W1079&gt;=Setup!$B$25,"Moderate","Low")))))))</f>
        <v/>
      </c>
      <c r="AL1079" s="21">
        <f>IF(AND($A1079="",$B1079=""),"",IF(Z1079=0,"",IF(AND(AE1079=1,N($R1079)&gt;AD1079*1.01+0.001),"Net terrestrial &gt; gross; ","")&amp;IF(AND(AE1079=1,N($S1079)&gt;AC1079*1.01+0.001),"Net marine &gt; gross; ","")&amp;IF(AE1079=0,"No net area – gross used, overlaps may be double-counted; ","")&amp;IF(AH1079=0,"STATUS_YR missing – imputed in time series; ","")&amp;IF(AND(ISNUMBER($I1079),N($I1079)&gt;Setup!$B$6),"STATUS_YR after reporting year; ","")&amp;IF(OR($G1079="",$G1079="Not Reported"),"GOV_TYPE not reported; ","")&amp;IF(AND(N($J1079)=1,$K1079="Point",N($M1079)&lt;=0),"Coastal point without REP_M_AREA – land/sea split unknown; ","")&amp;IF(AND(N($J1079)=0,N($S1079)&gt;0),"MARINE=0 but net marine &gt;0; ","")&amp;IF(AND(N($J1079)=2,N($R1079)&gt;0),"MARINE=2 but net terrestrial &gt;0; ","")&amp;IF($K1079="Point","Buffered point – coverage approximate; ","")))</f>
        <v/>
      </c>
    </row>
    <row r="1080">
      <c r="A1080" s="19" t="n"/>
      <c r="B1080" s="19" t="n"/>
      <c r="C1080" s="19" t="n"/>
      <c r="D1080" s="19" t="n"/>
      <c r="E1080" s="19" t="n"/>
      <c r="F1080" s="19" t="n"/>
      <c r="G1080" s="19" t="n"/>
      <c r="H1080" s="19" t="n"/>
      <c r="I1080" s="19" t="n"/>
      <c r="J1080" s="19" t="n"/>
      <c r="K1080" s="19" t="n"/>
      <c r="L1080" s="20" t="n"/>
      <c r="M1080" s="20" t="n"/>
      <c r="N1080" s="20" t="n"/>
      <c r="O1080" s="20" t="n"/>
      <c r="P1080" s="19" t="n"/>
      <c r="Q1080" s="19" t="n"/>
      <c r="R1080" s="20" t="n"/>
      <c r="S1080" s="20" t="n"/>
      <c r="T1080" s="19" t="n"/>
      <c r="U1080" s="19" t="n"/>
      <c r="V1080" s="19" t="n"/>
      <c r="W1080" s="19" t="n"/>
      <c r="X1080" s="19" t="n"/>
      <c r="Y1080" s="19" t="n"/>
      <c r="Z1080" s="21">
        <f>IF(AND($A1080="",$B1080=""),"",IF(OR($E1080="",$H1080="",$H1080="Proposed",$H1080="Not Reported"),0,IF(AND($P1080="Y",$Q1080&lt;&gt;"Y"),0,IF(AND($K1080="Point",N($L1080)&lt;=0),0,IF(AND(N($L1080)&lt;=0,N($N1080)&lt;=0,N($R1080)+N($S1080)&lt;=0),0,1)))))</f>
        <v/>
      </c>
      <c r="AA1080" s="21">
        <f>IF(AND($A1080="",$B1080=""),"",IF($E1080="","Site type missing",IF($H1080="","STATUS missing",IF($H1080="Proposed","STATUS = Proposed",IF($H1080="Not Reported","STATUS = Not Reported",IF(AND($P1080="Y",$Q1080&lt;&gt;"Y"),"UNESCO-MAB Biosphere Reserve",IF(AND($K1080="Point",N($L1080)&lt;=0),"Point without REP_AREA",IF(AND(N($L1080)&lt;=0,N($N1080)&lt;=0,N($R1080)+N($S1080)&lt;=0),"No area information",""))))))))</f>
        <v/>
      </c>
      <c r="AB1080" s="22">
        <f>IF(AND($A1080="",$B1080=""),"",IF($K1080="Point",N($L1080),IF(N($N1080)&gt;0,N($N1080),N($L1080))))</f>
        <v/>
      </c>
      <c r="AC1080" s="22">
        <f>IF(AND($A1080="",$B1080=""),"",MIN(AB1080,IF(N($J1080)=0,0,IF(N($J1080)=2,AB1080,IF(AND($K1080&lt;&gt;"Point",N($O1080)&gt;0),N($O1080),N($M1080))))))</f>
        <v/>
      </c>
      <c r="AD1080" s="22">
        <f>IF(AND($A1080="",$B1080=""),"",MAX(0,AB1080-AC1080))</f>
        <v/>
      </c>
      <c r="AE1080" s="21">
        <f>IF(AND($A1080="",$B1080=""),"",IF(OR($R1080&lt;&gt;"",$S1080&lt;&gt;""),1,0))</f>
        <v/>
      </c>
      <c r="AF1080" s="22">
        <f>IF(AND($A1080="",$B1080=""),"",IF(Z1080=1,IF(AE1080=1,N($R1080),AD1080),0))</f>
        <v/>
      </c>
      <c r="AG1080" s="22">
        <f>IF(AND($A1080="",$B1080=""),"",IF(Z1080=1,IF(AE1080=1,N($S1080),AC1080),0))</f>
        <v/>
      </c>
      <c r="AH1080" s="21">
        <f>IF(AND($A1080="",$B1080=""),"",IF(AND(ISNUMBER($I1080),N($I1080)&gt;0),$I1080,0))</f>
        <v/>
      </c>
      <c r="AI1080" s="23">
        <f>IF(AND(NOT(AND($A1080="",$B1080="")),$K1080="Point",N($L1080)&gt;0),SQRT(N($L1080)/PI()),"")</f>
        <v/>
      </c>
      <c r="AJ1080" s="21">
        <f>IF(AND($A1080="",$B1080=""),"",IFERROR(VLOOKUP($G1080,Lists!$D$4:$E$15,2,FALSE),"Not reported"))</f>
        <v/>
      </c>
      <c r="AK1080" s="21">
        <f>IF(AND($A1080="",$B1080=""),"",IF($X1080&lt;&gt;"",$X1080,IF($T1080&lt;&gt;"Y","Not assessed",IF(AND(ISNUMBER($V1080),Setup!$B$6-$V1080&gt;Setup!$B$26),"Assessment outdated",IF(NOT(ISNUMBER($W1080)),"Assessed – no score",IF($W1080&gt;=Setup!$B$24,"High",IF($W1080&gt;=Setup!$B$25,"Moderate","Low")))))))</f>
        <v/>
      </c>
      <c r="AL1080" s="21">
        <f>IF(AND($A1080="",$B1080=""),"",IF(Z1080=0,"",IF(AND(AE1080=1,N($R1080)&gt;AD1080*1.01+0.001),"Net terrestrial &gt; gross; ","")&amp;IF(AND(AE1080=1,N($S1080)&gt;AC1080*1.01+0.001),"Net marine &gt; gross; ","")&amp;IF(AE1080=0,"No net area – gross used, overlaps may be double-counted; ","")&amp;IF(AH1080=0,"STATUS_YR missing – imputed in time series; ","")&amp;IF(AND(ISNUMBER($I1080),N($I1080)&gt;Setup!$B$6),"STATUS_YR after reporting year; ","")&amp;IF(OR($G1080="",$G1080="Not Reported"),"GOV_TYPE not reported; ","")&amp;IF(AND(N($J1080)=1,$K1080="Point",N($M1080)&lt;=0),"Coastal point without REP_M_AREA – land/sea split unknown; ","")&amp;IF(AND(N($J1080)=0,N($S1080)&gt;0),"MARINE=0 but net marine &gt;0; ","")&amp;IF(AND(N($J1080)=2,N($R1080)&gt;0),"MARINE=2 but net terrestrial &gt;0; ","")&amp;IF($K1080="Point","Buffered point – coverage approximate; ","")))</f>
        <v/>
      </c>
    </row>
    <row r="1081">
      <c r="A1081" s="19" t="n"/>
      <c r="B1081" s="19" t="n"/>
      <c r="C1081" s="19" t="n"/>
      <c r="D1081" s="19" t="n"/>
      <c r="E1081" s="19" t="n"/>
      <c r="F1081" s="19" t="n"/>
      <c r="G1081" s="19" t="n"/>
      <c r="H1081" s="19" t="n"/>
      <c r="I1081" s="19" t="n"/>
      <c r="J1081" s="19" t="n"/>
      <c r="K1081" s="19" t="n"/>
      <c r="L1081" s="20" t="n"/>
      <c r="M1081" s="20" t="n"/>
      <c r="N1081" s="20" t="n"/>
      <c r="O1081" s="20" t="n"/>
      <c r="P1081" s="19" t="n"/>
      <c r="Q1081" s="19" t="n"/>
      <c r="R1081" s="20" t="n"/>
      <c r="S1081" s="20" t="n"/>
      <c r="T1081" s="19" t="n"/>
      <c r="U1081" s="19" t="n"/>
      <c r="V1081" s="19" t="n"/>
      <c r="W1081" s="19" t="n"/>
      <c r="X1081" s="19" t="n"/>
      <c r="Y1081" s="19" t="n"/>
      <c r="Z1081" s="21">
        <f>IF(AND($A1081="",$B1081=""),"",IF(OR($E1081="",$H1081="",$H1081="Proposed",$H1081="Not Reported"),0,IF(AND($P1081="Y",$Q1081&lt;&gt;"Y"),0,IF(AND($K1081="Point",N($L1081)&lt;=0),0,IF(AND(N($L1081)&lt;=0,N($N1081)&lt;=0,N($R1081)+N($S1081)&lt;=0),0,1)))))</f>
        <v/>
      </c>
      <c r="AA1081" s="21">
        <f>IF(AND($A1081="",$B1081=""),"",IF($E1081="","Site type missing",IF($H1081="","STATUS missing",IF($H1081="Proposed","STATUS = Proposed",IF($H1081="Not Reported","STATUS = Not Reported",IF(AND($P1081="Y",$Q1081&lt;&gt;"Y"),"UNESCO-MAB Biosphere Reserve",IF(AND($K1081="Point",N($L1081)&lt;=0),"Point without REP_AREA",IF(AND(N($L1081)&lt;=0,N($N1081)&lt;=0,N($R1081)+N($S1081)&lt;=0),"No area information",""))))))))</f>
        <v/>
      </c>
      <c r="AB1081" s="22">
        <f>IF(AND($A1081="",$B1081=""),"",IF($K1081="Point",N($L1081),IF(N($N1081)&gt;0,N($N1081),N($L1081))))</f>
        <v/>
      </c>
      <c r="AC1081" s="22">
        <f>IF(AND($A1081="",$B1081=""),"",MIN(AB1081,IF(N($J1081)=0,0,IF(N($J1081)=2,AB1081,IF(AND($K1081&lt;&gt;"Point",N($O1081)&gt;0),N($O1081),N($M1081))))))</f>
        <v/>
      </c>
      <c r="AD1081" s="22">
        <f>IF(AND($A1081="",$B1081=""),"",MAX(0,AB1081-AC1081))</f>
        <v/>
      </c>
      <c r="AE1081" s="21">
        <f>IF(AND($A1081="",$B1081=""),"",IF(OR($R1081&lt;&gt;"",$S1081&lt;&gt;""),1,0))</f>
        <v/>
      </c>
      <c r="AF1081" s="22">
        <f>IF(AND($A1081="",$B1081=""),"",IF(Z1081=1,IF(AE1081=1,N($R1081),AD1081),0))</f>
        <v/>
      </c>
      <c r="AG1081" s="22">
        <f>IF(AND($A1081="",$B1081=""),"",IF(Z1081=1,IF(AE1081=1,N($S1081),AC1081),0))</f>
        <v/>
      </c>
      <c r="AH1081" s="21">
        <f>IF(AND($A1081="",$B1081=""),"",IF(AND(ISNUMBER($I1081),N($I1081)&gt;0),$I1081,0))</f>
        <v/>
      </c>
      <c r="AI1081" s="23">
        <f>IF(AND(NOT(AND($A1081="",$B1081="")),$K1081="Point",N($L1081)&gt;0),SQRT(N($L1081)/PI()),"")</f>
        <v/>
      </c>
      <c r="AJ1081" s="21">
        <f>IF(AND($A1081="",$B1081=""),"",IFERROR(VLOOKUP($G1081,Lists!$D$4:$E$15,2,FALSE),"Not reported"))</f>
        <v/>
      </c>
      <c r="AK1081" s="21">
        <f>IF(AND($A1081="",$B1081=""),"",IF($X1081&lt;&gt;"",$X1081,IF($T1081&lt;&gt;"Y","Not assessed",IF(AND(ISNUMBER($V1081),Setup!$B$6-$V1081&gt;Setup!$B$26),"Assessment outdated",IF(NOT(ISNUMBER($W1081)),"Assessed – no score",IF($W1081&gt;=Setup!$B$24,"High",IF($W1081&gt;=Setup!$B$25,"Moderate","Low")))))))</f>
        <v/>
      </c>
      <c r="AL1081" s="21">
        <f>IF(AND($A1081="",$B1081=""),"",IF(Z1081=0,"",IF(AND(AE1081=1,N($R1081)&gt;AD1081*1.01+0.001),"Net terrestrial &gt; gross; ","")&amp;IF(AND(AE1081=1,N($S1081)&gt;AC1081*1.01+0.001),"Net marine &gt; gross; ","")&amp;IF(AE1081=0,"No net area – gross used, overlaps may be double-counted; ","")&amp;IF(AH1081=0,"STATUS_YR missing – imputed in time series; ","")&amp;IF(AND(ISNUMBER($I1081),N($I1081)&gt;Setup!$B$6),"STATUS_YR after reporting year; ","")&amp;IF(OR($G1081="",$G1081="Not Reported"),"GOV_TYPE not reported; ","")&amp;IF(AND(N($J1081)=1,$K1081="Point",N($M1081)&lt;=0),"Coastal point without REP_M_AREA – land/sea split unknown; ","")&amp;IF(AND(N($J1081)=0,N($S1081)&gt;0),"MARINE=0 but net marine &gt;0; ","")&amp;IF(AND(N($J1081)=2,N($R1081)&gt;0),"MARINE=2 but net terrestrial &gt;0; ","")&amp;IF($K1081="Point","Buffered point – coverage approximate; ","")))</f>
        <v/>
      </c>
    </row>
    <row r="1082">
      <c r="A1082" s="19" t="n"/>
      <c r="B1082" s="19" t="n"/>
      <c r="C1082" s="19" t="n"/>
      <c r="D1082" s="19" t="n"/>
      <c r="E1082" s="19" t="n"/>
      <c r="F1082" s="19" t="n"/>
      <c r="G1082" s="19" t="n"/>
      <c r="H1082" s="19" t="n"/>
      <c r="I1082" s="19" t="n"/>
      <c r="J1082" s="19" t="n"/>
      <c r="K1082" s="19" t="n"/>
      <c r="L1082" s="20" t="n"/>
      <c r="M1082" s="20" t="n"/>
      <c r="N1082" s="20" t="n"/>
      <c r="O1082" s="20" t="n"/>
      <c r="P1082" s="19" t="n"/>
      <c r="Q1082" s="19" t="n"/>
      <c r="R1082" s="20" t="n"/>
      <c r="S1082" s="20" t="n"/>
      <c r="T1082" s="19" t="n"/>
      <c r="U1082" s="19" t="n"/>
      <c r="V1082" s="19" t="n"/>
      <c r="W1082" s="19" t="n"/>
      <c r="X1082" s="19" t="n"/>
      <c r="Y1082" s="19" t="n"/>
      <c r="Z1082" s="21">
        <f>IF(AND($A1082="",$B1082=""),"",IF(OR($E1082="",$H1082="",$H1082="Proposed",$H1082="Not Reported"),0,IF(AND($P1082="Y",$Q1082&lt;&gt;"Y"),0,IF(AND($K1082="Point",N($L1082)&lt;=0),0,IF(AND(N($L1082)&lt;=0,N($N1082)&lt;=0,N($R1082)+N($S1082)&lt;=0),0,1)))))</f>
        <v/>
      </c>
      <c r="AA1082" s="21">
        <f>IF(AND($A1082="",$B1082=""),"",IF($E1082="","Site type missing",IF($H1082="","STATUS missing",IF($H1082="Proposed","STATUS = Proposed",IF($H1082="Not Reported","STATUS = Not Reported",IF(AND($P1082="Y",$Q1082&lt;&gt;"Y"),"UNESCO-MAB Biosphere Reserve",IF(AND($K1082="Point",N($L1082)&lt;=0),"Point without REP_AREA",IF(AND(N($L1082)&lt;=0,N($N1082)&lt;=0,N($R1082)+N($S1082)&lt;=0),"No area information",""))))))))</f>
        <v/>
      </c>
      <c r="AB1082" s="22">
        <f>IF(AND($A1082="",$B1082=""),"",IF($K1082="Point",N($L1082),IF(N($N1082)&gt;0,N($N1082),N($L1082))))</f>
        <v/>
      </c>
      <c r="AC1082" s="22">
        <f>IF(AND($A1082="",$B1082=""),"",MIN(AB1082,IF(N($J1082)=0,0,IF(N($J1082)=2,AB1082,IF(AND($K1082&lt;&gt;"Point",N($O1082)&gt;0),N($O1082),N($M1082))))))</f>
        <v/>
      </c>
      <c r="AD1082" s="22">
        <f>IF(AND($A1082="",$B1082=""),"",MAX(0,AB1082-AC1082))</f>
        <v/>
      </c>
      <c r="AE1082" s="21">
        <f>IF(AND($A1082="",$B1082=""),"",IF(OR($R1082&lt;&gt;"",$S1082&lt;&gt;""),1,0))</f>
        <v/>
      </c>
      <c r="AF1082" s="22">
        <f>IF(AND($A1082="",$B1082=""),"",IF(Z1082=1,IF(AE1082=1,N($R1082),AD1082),0))</f>
        <v/>
      </c>
      <c r="AG1082" s="22">
        <f>IF(AND($A1082="",$B1082=""),"",IF(Z1082=1,IF(AE1082=1,N($S1082),AC1082),0))</f>
        <v/>
      </c>
      <c r="AH1082" s="21">
        <f>IF(AND($A1082="",$B1082=""),"",IF(AND(ISNUMBER($I1082),N($I1082)&gt;0),$I1082,0))</f>
        <v/>
      </c>
      <c r="AI1082" s="23">
        <f>IF(AND(NOT(AND($A1082="",$B1082="")),$K1082="Point",N($L1082)&gt;0),SQRT(N($L1082)/PI()),"")</f>
        <v/>
      </c>
      <c r="AJ1082" s="21">
        <f>IF(AND($A1082="",$B1082=""),"",IFERROR(VLOOKUP($G1082,Lists!$D$4:$E$15,2,FALSE),"Not reported"))</f>
        <v/>
      </c>
      <c r="AK1082" s="21">
        <f>IF(AND($A1082="",$B1082=""),"",IF($X1082&lt;&gt;"",$X1082,IF($T1082&lt;&gt;"Y","Not assessed",IF(AND(ISNUMBER($V1082),Setup!$B$6-$V1082&gt;Setup!$B$26),"Assessment outdated",IF(NOT(ISNUMBER($W1082)),"Assessed – no score",IF($W1082&gt;=Setup!$B$24,"High",IF($W1082&gt;=Setup!$B$25,"Moderate","Low")))))))</f>
        <v/>
      </c>
      <c r="AL1082" s="21">
        <f>IF(AND($A1082="",$B1082=""),"",IF(Z1082=0,"",IF(AND(AE1082=1,N($R1082)&gt;AD1082*1.01+0.001),"Net terrestrial &gt; gross; ","")&amp;IF(AND(AE1082=1,N($S1082)&gt;AC1082*1.01+0.001),"Net marine &gt; gross; ","")&amp;IF(AE1082=0,"No net area – gross used, overlaps may be double-counted; ","")&amp;IF(AH1082=0,"STATUS_YR missing – imputed in time series; ","")&amp;IF(AND(ISNUMBER($I1082),N($I1082)&gt;Setup!$B$6),"STATUS_YR after reporting year; ","")&amp;IF(OR($G1082="",$G1082="Not Reported"),"GOV_TYPE not reported; ","")&amp;IF(AND(N($J1082)=1,$K1082="Point",N($M1082)&lt;=0),"Coastal point without REP_M_AREA – land/sea split unknown; ","")&amp;IF(AND(N($J1082)=0,N($S1082)&gt;0),"MARINE=0 but net marine &gt;0; ","")&amp;IF(AND(N($J1082)=2,N($R1082)&gt;0),"MARINE=2 but net terrestrial &gt;0; ","")&amp;IF($K1082="Point","Buffered point – coverage approximate; ","")))</f>
        <v/>
      </c>
    </row>
    <row r="1083">
      <c r="A1083" s="19" t="n"/>
      <c r="B1083" s="19" t="n"/>
      <c r="C1083" s="19" t="n"/>
      <c r="D1083" s="19" t="n"/>
      <c r="E1083" s="19" t="n"/>
      <c r="F1083" s="19" t="n"/>
      <c r="G1083" s="19" t="n"/>
      <c r="H1083" s="19" t="n"/>
      <c r="I1083" s="19" t="n"/>
      <c r="J1083" s="19" t="n"/>
      <c r="K1083" s="19" t="n"/>
      <c r="L1083" s="20" t="n"/>
      <c r="M1083" s="20" t="n"/>
      <c r="N1083" s="20" t="n"/>
      <c r="O1083" s="20" t="n"/>
      <c r="P1083" s="19" t="n"/>
      <c r="Q1083" s="19" t="n"/>
      <c r="R1083" s="20" t="n"/>
      <c r="S1083" s="20" t="n"/>
      <c r="T1083" s="19" t="n"/>
      <c r="U1083" s="19" t="n"/>
      <c r="V1083" s="19" t="n"/>
      <c r="W1083" s="19" t="n"/>
      <c r="X1083" s="19" t="n"/>
      <c r="Y1083" s="19" t="n"/>
      <c r="Z1083" s="21">
        <f>IF(AND($A1083="",$B1083=""),"",IF(OR($E1083="",$H1083="",$H1083="Proposed",$H1083="Not Reported"),0,IF(AND($P1083="Y",$Q1083&lt;&gt;"Y"),0,IF(AND($K1083="Point",N($L1083)&lt;=0),0,IF(AND(N($L1083)&lt;=0,N($N1083)&lt;=0,N($R1083)+N($S1083)&lt;=0),0,1)))))</f>
        <v/>
      </c>
      <c r="AA1083" s="21">
        <f>IF(AND($A1083="",$B1083=""),"",IF($E1083="","Site type missing",IF($H1083="","STATUS missing",IF($H1083="Proposed","STATUS = Proposed",IF($H1083="Not Reported","STATUS = Not Reported",IF(AND($P1083="Y",$Q1083&lt;&gt;"Y"),"UNESCO-MAB Biosphere Reserve",IF(AND($K1083="Point",N($L1083)&lt;=0),"Point without REP_AREA",IF(AND(N($L1083)&lt;=0,N($N1083)&lt;=0,N($R1083)+N($S1083)&lt;=0),"No area information",""))))))))</f>
        <v/>
      </c>
      <c r="AB1083" s="22">
        <f>IF(AND($A1083="",$B1083=""),"",IF($K1083="Point",N($L1083),IF(N($N1083)&gt;0,N($N1083),N($L1083))))</f>
        <v/>
      </c>
      <c r="AC1083" s="22">
        <f>IF(AND($A1083="",$B1083=""),"",MIN(AB1083,IF(N($J1083)=0,0,IF(N($J1083)=2,AB1083,IF(AND($K1083&lt;&gt;"Point",N($O1083)&gt;0),N($O1083),N($M1083))))))</f>
        <v/>
      </c>
      <c r="AD1083" s="22">
        <f>IF(AND($A1083="",$B1083=""),"",MAX(0,AB1083-AC1083))</f>
        <v/>
      </c>
      <c r="AE1083" s="21">
        <f>IF(AND($A1083="",$B1083=""),"",IF(OR($R1083&lt;&gt;"",$S1083&lt;&gt;""),1,0))</f>
        <v/>
      </c>
      <c r="AF1083" s="22">
        <f>IF(AND($A1083="",$B1083=""),"",IF(Z1083=1,IF(AE1083=1,N($R1083),AD1083),0))</f>
        <v/>
      </c>
      <c r="AG1083" s="22">
        <f>IF(AND($A1083="",$B1083=""),"",IF(Z1083=1,IF(AE1083=1,N($S1083),AC1083),0))</f>
        <v/>
      </c>
      <c r="AH1083" s="21">
        <f>IF(AND($A1083="",$B1083=""),"",IF(AND(ISNUMBER($I1083),N($I1083)&gt;0),$I1083,0))</f>
        <v/>
      </c>
      <c r="AI1083" s="23">
        <f>IF(AND(NOT(AND($A1083="",$B1083="")),$K1083="Point",N($L1083)&gt;0),SQRT(N($L1083)/PI()),"")</f>
        <v/>
      </c>
      <c r="AJ1083" s="21">
        <f>IF(AND($A1083="",$B1083=""),"",IFERROR(VLOOKUP($G1083,Lists!$D$4:$E$15,2,FALSE),"Not reported"))</f>
        <v/>
      </c>
      <c r="AK1083" s="21">
        <f>IF(AND($A1083="",$B1083=""),"",IF($X1083&lt;&gt;"",$X1083,IF($T1083&lt;&gt;"Y","Not assessed",IF(AND(ISNUMBER($V1083),Setup!$B$6-$V1083&gt;Setup!$B$26),"Assessment outdated",IF(NOT(ISNUMBER($W1083)),"Assessed – no score",IF($W1083&gt;=Setup!$B$24,"High",IF($W1083&gt;=Setup!$B$25,"Moderate","Low")))))))</f>
        <v/>
      </c>
      <c r="AL1083" s="21">
        <f>IF(AND($A1083="",$B1083=""),"",IF(Z1083=0,"",IF(AND(AE1083=1,N($R1083)&gt;AD1083*1.01+0.001),"Net terrestrial &gt; gross; ","")&amp;IF(AND(AE1083=1,N($S1083)&gt;AC1083*1.01+0.001),"Net marine &gt; gross; ","")&amp;IF(AE1083=0,"No net area – gross used, overlaps may be double-counted; ","")&amp;IF(AH1083=0,"STATUS_YR missing – imputed in time series; ","")&amp;IF(AND(ISNUMBER($I1083),N($I1083)&gt;Setup!$B$6),"STATUS_YR after reporting year; ","")&amp;IF(OR($G1083="",$G1083="Not Reported"),"GOV_TYPE not reported; ","")&amp;IF(AND(N($J1083)=1,$K1083="Point",N($M1083)&lt;=0),"Coastal point without REP_M_AREA – land/sea split unknown; ","")&amp;IF(AND(N($J1083)=0,N($S1083)&gt;0),"MARINE=0 but net marine &gt;0; ","")&amp;IF(AND(N($J1083)=2,N($R1083)&gt;0),"MARINE=2 but net terrestrial &gt;0; ","")&amp;IF($K1083="Point","Buffered point – coverage approximate; ","")))</f>
        <v/>
      </c>
    </row>
    <row r="1084">
      <c r="A1084" s="19" t="n"/>
      <c r="B1084" s="19" t="n"/>
      <c r="C1084" s="19" t="n"/>
      <c r="D1084" s="19" t="n"/>
      <c r="E1084" s="19" t="n"/>
      <c r="F1084" s="19" t="n"/>
      <c r="G1084" s="19" t="n"/>
      <c r="H1084" s="19" t="n"/>
      <c r="I1084" s="19" t="n"/>
      <c r="J1084" s="19" t="n"/>
      <c r="K1084" s="19" t="n"/>
      <c r="L1084" s="20" t="n"/>
      <c r="M1084" s="20" t="n"/>
      <c r="N1084" s="20" t="n"/>
      <c r="O1084" s="20" t="n"/>
      <c r="P1084" s="19" t="n"/>
      <c r="Q1084" s="19" t="n"/>
      <c r="R1084" s="20" t="n"/>
      <c r="S1084" s="20" t="n"/>
      <c r="T1084" s="19" t="n"/>
      <c r="U1084" s="19" t="n"/>
      <c r="V1084" s="19" t="n"/>
      <c r="W1084" s="19" t="n"/>
      <c r="X1084" s="19" t="n"/>
      <c r="Y1084" s="19" t="n"/>
      <c r="Z1084" s="21">
        <f>IF(AND($A1084="",$B1084=""),"",IF(OR($E1084="",$H1084="",$H1084="Proposed",$H1084="Not Reported"),0,IF(AND($P1084="Y",$Q1084&lt;&gt;"Y"),0,IF(AND($K1084="Point",N($L1084)&lt;=0),0,IF(AND(N($L1084)&lt;=0,N($N1084)&lt;=0,N($R1084)+N($S1084)&lt;=0),0,1)))))</f>
        <v/>
      </c>
      <c r="AA1084" s="21">
        <f>IF(AND($A1084="",$B1084=""),"",IF($E1084="","Site type missing",IF($H1084="","STATUS missing",IF($H1084="Proposed","STATUS = Proposed",IF($H1084="Not Reported","STATUS = Not Reported",IF(AND($P1084="Y",$Q1084&lt;&gt;"Y"),"UNESCO-MAB Biosphere Reserve",IF(AND($K1084="Point",N($L1084)&lt;=0),"Point without REP_AREA",IF(AND(N($L1084)&lt;=0,N($N1084)&lt;=0,N($R1084)+N($S1084)&lt;=0),"No area information",""))))))))</f>
        <v/>
      </c>
      <c r="AB1084" s="22">
        <f>IF(AND($A1084="",$B1084=""),"",IF($K1084="Point",N($L1084),IF(N($N1084)&gt;0,N($N1084),N($L1084))))</f>
        <v/>
      </c>
      <c r="AC1084" s="22">
        <f>IF(AND($A1084="",$B1084=""),"",MIN(AB1084,IF(N($J1084)=0,0,IF(N($J1084)=2,AB1084,IF(AND($K1084&lt;&gt;"Point",N($O1084)&gt;0),N($O1084),N($M1084))))))</f>
        <v/>
      </c>
      <c r="AD1084" s="22">
        <f>IF(AND($A1084="",$B1084=""),"",MAX(0,AB1084-AC1084))</f>
        <v/>
      </c>
      <c r="AE1084" s="21">
        <f>IF(AND($A1084="",$B1084=""),"",IF(OR($R1084&lt;&gt;"",$S1084&lt;&gt;""),1,0))</f>
        <v/>
      </c>
      <c r="AF1084" s="22">
        <f>IF(AND($A1084="",$B1084=""),"",IF(Z1084=1,IF(AE1084=1,N($R1084),AD1084),0))</f>
        <v/>
      </c>
      <c r="AG1084" s="22">
        <f>IF(AND($A1084="",$B1084=""),"",IF(Z1084=1,IF(AE1084=1,N($S1084),AC1084),0))</f>
        <v/>
      </c>
      <c r="AH1084" s="21">
        <f>IF(AND($A1084="",$B1084=""),"",IF(AND(ISNUMBER($I1084),N($I1084)&gt;0),$I1084,0))</f>
        <v/>
      </c>
      <c r="AI1084" s="23">
        <f>IF(AND(NOT(AND($A1084="",$B1084="")),$K1084="Point",N($L1084)&gt;0),SQRT(N($L1084)/PI()),"")</f>
        <v/>
      </c>
      <c r="AJ1084" s="21">
        <f>IF(AND($A1084="",$B1084=""),"",IFERROR(VLOOKUP($G1084,Lists!$D$4:$E$15,2,FALSE),"Not reported"))</f>
        <v/>
      </c>
      <c r="AK1084" s="21">
        <f>IF(AND($A1084="",$B1084=""),"",IF($X1084&lt;&gt;"",$X1084,IF($T1084&lt;&gt;"Y","Not assessed",IF(AND(ISNUMBER($V1084),Setup!$B$6-$V1084&gt;Setup!$B$26),"Assessment outdated",IF(NOT(ISNUMBER($W1084)),"Assessed – no score",IF($W1084&gt;=Setup!$B$24,"High",IF($W1084&gt;=Setup!$B$25,"Moderate","Low")))))))</f>
        <v/>
      </c>
      <c r="AL1084" s="21">
        <f>IF(AND($A1084="",$B1084=""),"",IF(Z1084=0,"",IF(AND(AE1084=1,N($R1084)&gt;AD1084*1.01+0.001),"Net terrestrial &gt; gross; ","")&amp;IF(AND(AE1084=1,N($S1084)&gt;AC1084*1.01+0.001),"Net marine &gt; gross; ","")&amp;IF(AE1084=0,"No net area – gross used, overlaps may be double-counted; ","")&amp;IF(AH1084=0,"STATUS_YR missing – imputed in time series; ","")&amp;IF(AND(ISNUMBER($I1084),N($I1084)&gt;Setup!$B$6),"STATUS_YR after reporting year; ","")&amp;IF(OR($G1084="",$G1084="Not Reported"),"GOV_TYPE not reported; ","")&amp;IF(AND(N($J1084)=1,$K1084="Point",N($M1084)&lt;=0),"Coastal point without REP_M_AREA – land/sea split unknown; ","")&amp;IF(AND(N($J1084)=0,N($S1084)&gt;0),"MARINE=0 but net marine &gt;0; ","")&amp;IF(AND(N($J1084)=2,N($R1084)&gt;0),"MARINE=2 but net terrestrial &gt;0; ","")&amp;IF($K1084="Point","Buffered point – coverage approximate; ","")))</f>
        <v/>
      </c>
    </row>
    <row r="1085">
      <c r="A1085" s="19" t="n"/>
      <c r="B1085" s="19" t="n"/>
      <c r="C1085" s="19" t="n"/>
      <c r="D1085" s="19" t="n"/>
      <c r="E1085" s="19" t="n"/>
      <c r="F1085" s="19" t="n"/>
      <c r="G1085" s="19" t="n"/>
      <c r="H1085" s="19" t="n"/>
      <c r="I1085" s="19" t="n"/>
      <c r="J1085" s="19" t="n"/>
      <c r="K1085" s="19" t="n"/>
      <c r="L1085" s="20" t="n"/>
      <c r="M1085" s="20" t="n"/>
      <c r="N1085" s="20" t="n"/>
      <c r="O1085" s="20" t="n"/>
      <c r="P1085" s="19" t="n"/>
      <c r="Q1085" s="19" t="n"/>
      <c r="R1085" s="20" t="n"/>
      <c r="S1085" s="20" t="n"/>
      <c r="T1085" s="19" t="n"/>
      <c r="U1085" s="19" t="n"/>
      <c r="V1085" s="19" t="n"/>
      <c r="W1085" s="19" t="n"/>
      <c r="X1085" s="19" t="n"/>
      <c r="Y1085" s="19" t="n"/>
      <c r="Z1085" s="21">
        <f>IF(AND($A1085="",$B1085=""),"",IF(OR($E1085="",$H1085="",$H1085="Proposed",$H1085="Not Reported"),0,IF(AND($P1085="Y",$Q1085&lt;&gt;"Y"),0,IF(AND($K1085="Point",N($L1085)&lt;=0),0,IF(AND(N($L1085)&lt;=0,N($N1085)&lt;=0,N($R1085)+N($S1085)&lt;=0),0,1)))))</f>
        <v/>
      </c>
      <c r="AA1085" s="21">
        <f>IF(AND($A1085="",$B1085=""),"",IF($E1085="","Site type missing",IF($H1085="","STATUS missing",IF($H1085="Proposed","STATUS = Proposed",IF($H1085="Not Reported","STATUS = Not Reported",IF(AND($P1085="Y",$Q1085&lt;&gt;"Y"),"UNESCO-MAB Biosphere Reserve",IF(AND($K1085="Point",N($L1085)&lt;=0),"Point without REP_AREA",IF(AND(N($L1085)&lt;=0,N($N1085)&lt;=0,N($R1085)+N($S1085)&lt;=0),"No area information",""))))))))</f>
        <v/>
      </c>
      <c r="AB1085" s="22">
        <f>IF(AND($A1085="",$B1085=""),"",IF($K1085="Point",N($L1085),IF(N($N1085)&gt;0,N($N1085),N($L1085))))</f>
        <v/>
      </c>
      <c r="AC1085" s="22">
        <f>IF(AND($A1085="",$B1085=""),"",MIN(AB1085,IF(N($J1085)=0,0,IF(N($J1085)=2,AB1085,IF(AND($K1085&lt;&gt;"Point",N($O1085)&gt;0),N($O1085),N($M1085))))))</f>
        <v/>
      </c>
      <c r="AD1085" s="22">
        <f>IF(AND($A1085="",$B1085=""),"",MAX(0,AB1085-AC1085))</f>
        <v/>
      </c>
      <c r="AE1085" s="21">
        <f>IF(AND($A1085="",$B1085=""),"",IF(OR($R1085&lt;&gt;"",$S1085&lt;&gt;""),1,0))</f>
        <v/>
      </c>
      <c r="AF1085" s="22">
        <f>IF(AND($A1085="",$B1085=""),"",IF(Z1085=1,IF(AE1085=1,N($R1085),AD1085),0))</f>
        <v/>
      </c>
      <c r="AG1085" s="22">
        <f>IF(AND($A1085="",$B1085=""),"",IF(Z1085=1,IF(AE1085=1,N($S1085),AC1085),0))</f>
        <v/>
      </c>
      <c r="AH1085" s="21">
        <f>IF(AND($A1085="",$B1085=""),"",IF(AND(ISNUMBER($I1085),N($I1085)&gt;0),$I1085,0))</f>
        <v/>
      </c>
      <c r="AI1085" s="23">
        <f>IF(AND(NOT(AND($A1085="",$B1085="")),$K1085="Point",N($L1085)&gt;0),SQRT(N($L1085)/PI()),"")</f>
        <v/>
      </c>
      <c r="AJ1085" s="21">
        <f>IF(AND($A1085="",$B1085=""),"",IFERROR(VLOOKUP($G1085,Lists!$D$4:$E$15,2,FALSE),"Not reported"))</f>
        <v/>
      </c>
      <c r="AK1085" s="21">
        <f>IF(AND($A1085="",$B1085=""),"",IF($X1085&lt;&gt;"",$X1085,IF($T1085&lt;&gt;"Y","Not assessed",IF(AND(ISNUMBER($V1085),Setup!$B$6-$V1085&gt;Setup!$B$26),"Assessment outdated",IF(NOT(ISNUMBER($W1085)),"Assessed – no score",IF($W1085&gt;=Setup!$B$24,"High",IF($W1085&gt;=Setup!$B$25,"Moderate","Low")))))))</f>
        <v/>
      </c>
      <c r="AL1085" s="21">
        <f>IF(AND($A1085="",$B1085=""),"",IF(Z1085=0,"",IF(AND(AE1085=1,N($R1085)&gt;AD1085*1.01+0.001),"Net terrestrial &gt; gross; ","")&amp;IF(AND(AE1085=1,N($S1085)&gt;AC1085*1.01+0.001),"Net marine &gt; gross; ","")&amp;IF(AE1085=0,"No net area – gross used, overlaps may be double-counted; ","")&amp;IF(AH1085=0,"STATUS_YR missing – imputed in time series; ","")&amp;IF(AND(ISNUMBER($I1085),N($I1085)&gt;Setup!$B$6),"STATUS_YR after reporting year; ","")&amp;IF(OR($G1085="",$G1085="Not Reported"),"GOV_TYPE not reported; ","")&amp;IF(AND(N($J1085)=1,$K1085="Point",N($M1085)&lt;=0),"Coastal point without REP_M_AREA – land/sea split unknown; ","")&amp;IF(AND(N($J1085)=0,N($S1085)&gt;0),"MARINE=0 but net marine &gt;0; ","")&amp;IF(AND(N($J1085)=2,N($R1085)&gt;0),"MARINE=2 but net terrestrial &gt;0; ","")&amp;IF($K1085="Point","Buffered point – coverage approximate; ","")))</f>
        <v/>
      </c>
    </row>
    <row r="1086">
      <c r="A1086" s="19" t="n"/>
      <c r="B1086" s="19" t="n"/>
      <c r="C1086" s="19" t="n"/>
      <c r="D1086" s="19" t="n"/>
      <c r="E1086" s="19" t="n"/>
      <c r="F1086" s="19" t="n"/>
      <c r="G1086" s="19" t="n"/>
      <c r="H1086" s="19" t="n"/>
      <c r="I1086" s="19" t="n"/>
      <c r="J1086" s="19" t="n"/>
      <c r="K1086" s="19" t="n"/>
      <c r="L1086" s="20" t="n"/>
      <c r="M1086" s="20" t="n"/>
      <c r="N1086" s="20" t="n"/>
      <c r="O1086" s="20" t="n"/>
      <c r="P1086" s="19" t="n"/>
      <c r="Q1086" s="19" t="n"/>
      <c r="R1086" s="20" t="n"/>
      <c r="S1086" s="20" t="n"/>
      <c r="T1086" s="19" t="n"/>
      <c r="U1086" s="19" t="n"/>
      <c r="V1086" s="19" t="n"/>
      <c r="W1086" s="19" t="n"/>
      <c r="X1086" s="19" t="n"/>
      <c r="Y1086" s="19" t="n"/>
      <c r="Z1086" s="21">
        <f>IF(AND($A1086="",$B1086=""),"",IF(OR($E1086="",$H1086="",$H1086="Proposed",$H1086="Not Reported"),0,IF(AND($P1086="Y",$Q1086&lt;&gt;"Y"),0,IF(AND($K1086="Point",N($L1086)&lt;=0),0,IF(AND(N($L1086)&lt;=0,N($N1086)&lt;=0,N($R1086)+N($S1086)&lt;=0),0,1)))))</f>
        <v/>
      </c>
      <c r="AA1086" s="21">
        <f>IF(AND($A1086="",$B1086=""),"",IF($E1086="","Site type missing",IF($H1086="","STATUS missing",IF($H1086="Proposed","STATUS = Proposed",IF($H1086="Not Reported","STATUS = Not Reported",IF(AND($P1086="Y",$Q1086&lt;&gt;"Y"),"UNESCO-MAB Biosphere Reserve",IF(AND($K1086="Point",N($L1086)&lt;=0),"Point without REP_AREA",IF(AND(N($L1086)&lt;=0,N($N1086)&lt;=0,N($R1086)+N($S1086)&lt;=0),"No area information",""))))))))</f>
        <v/>
      </c>
      <c r="AB1086" s="22">
        <f>IF(AND($A1086="",$B1086=""),"",IF($K1086="Point",N($L1086),IF(N($N1086)&gt;0,N($N1086),N($L1086))))</f>
        <v/>
      </c>
      <c r="AC1086" s="22">
        <f>IF(AND($A1086="",$B1086=""),"",MIN(AB1086,IF(N($J1086)=0,0,IF(N($J1086)=2,AB1086,IF(AND($K1086&lt;&gt;"Point",N($O1086)&gt;0),N($O1086),N($M1086))))))</f>
        <v/>
      </c>
      <c r="AD1086" s="22">
        <f>IF(AND($A1086="",$B1086=""),"",MAX(0,AB1086-AC1086))</f>
        <v/>
      </c>
      <c r="AE1086" s="21">
        <f>IF(AND($A1086="",$B1086=""),"",IF(OR($R1086&lt;&gt;"",$S1086&lt;&gt;""),1,0))</f>
        <v/>
      </c>
      <c r="AF1086" s="22">
        <f>IF(AND($A1086="",$B1086=""),"",IF(Z1086=1,IF(AE1086=1,N($R1086),AD1086),0))</f>
        <v/>
      </c>
      <c r="AG1086" s="22">
        <f>IF(AND($A1086="",$B1086=""),"",IF(Z1086=1,IF(AE1086=1,N($S1086),AC1086),0))</f>
        <v/>
      </c>
      <c r="AH1086" s="21">
        <f>IF(AND($A1086="",$B1086=""),"",IF(AND(ISNUMBER($I1086),N($I1086)&gt;0),$I1086,0))</f>
        <v/>
      </c>
      <c r="AI1086" s="23">
        <f>IF(AND(NOT(AND($A1086="",$B1086="")),$K1086="Point",N($L1086)&gt;0),SQRT(N($L1086)/PI()),"")</f>
        <v/>
      </c>
      <c r="AJ1086" s="21">
        <f>IF(AND($A1086="",$B1086=""),"",IFERROR(VLOOKUP($G1086,Lists!$D$4:$E$15,2,FALSE),"Not reported"))</f>
        <v/>
      </c>
      <c r="AK1086" s="21">
        <f>IF(AND($A1086="",$B1086=""),"",IF($X1086&lt;&gt;"",$X1086,IF($T1086&lt;&gt;"Y","Not assessed",IF(AND(ISNUMBER($V1086),Setup!$B$6-$V1086&gt;Setup!$B$26),"Assessment outdated",IF(NOT(ISNUMBER($W1086)),"Assessed – no score",IF($W1086&gt;=Setup!$B$24,"High",IF($W1086&gt;=Setup!$B$25,"Moderate","Low")))))))</f>
        <v/>
      </c>
      <c r="AL1086" s="21">
        <f>IF(AND($A1086="",$B1086=""),"",IF(Z1086=0,"",IF(AND(AE1086=1,N($R1086)&gt;AD1086*1.01+0.001),"Net terrestrial &gt; gross; ","")&amp;IF(AND(AE1086=1,N($S1086)&gt;AC1086*1.01+0.001),"Net marine &gt; gross; ","")&amp;IF(AE1086=0,"No net area – gross used, overlaps may be double-counted; ","")&amp;IF(AH1086=0,"STATUS_YR missing – imputed in time series; ","")&amp;IF(AND(ISNUMBER($I1086),N($I1086)&gt;Setup!$B$6),"STATUS_YR after reporting year; ","")&amp;IF(OR($G1086="",$G1086="Not Reported"),"GOV_TYPE not reported; ","")&amp;IF(AND(N($J1086)=1,$K1086="Point",N($M1086)&lt;=0),"Coastal point without REP_M_AREA – land/sea split unknown; ","")&amp;IF(AND(N($J1086)=0,N($S1086)&gt;0),"MARINE=0 but net marine &gt;0; ","")&amp;IF(AND(N($J1086)=2,N($R1086)&gt;0),"MARINE=2 but net terrestrial &gt;0; ","")&amp;IF($K1086="Point","Buffered point – coverage approximate; ","")))</f>
        <v/>
      </c>
    </row>
    <row r="1087">
      <c r="A1087" s="19" t="n"/>
      <c r="B1087" s="19" t="n"/>
      <c r="C1087" s="19" t="n"/>
      <c r="D1087" s="19" t="n"/>
      <c r="E1087" s="19" t="n"/>
      <c r="F1087" s="19" t="n"/>
      <c r="G1087" s="19" t="n"/>
      <c r="H1087" s="19" t="n"/>
      <c r="I1087" s="19" t="n"/>
      <c r="J1087" s="19" t="n"/>
      <c r="K1087" s="19" t="n"/>
      <c r="L1087" s="20" t="n"/>
      <c r="M1087" s="20" t="n"/>
      <c r="N1087" s="20" t="n"/>
      <c r="O1087" s="20" t="n"/>
      <c r="P1087" s="19" t="n"/>
      <c r="Q1087" s="19" t="n"/>
      <c r="R1087" s="20" t="n"/>
      <c r="S1087" s="20" t="n"/>
      <c r="T1087" s="19" t="n"/>
      <c r="U1087" s="19" t="n"/>
      <c r="V1087" s="19" t="n"/>
      <c r="W1087" s="19" t="n"/>
      <c r="X1087" s="19" t="n"/>
      <c r="Y1087" s="19" t="n"/>
      <c r="Z1087" s="21">
        <f>IF(AND($A1087="",$B1087=""),"",IF(OR($E1087="",$H1087="",$H1087="Proposed",$H1087="Not Reported"),0,IF(AND($P1087="Y",$Q1087&lt;&gt;"Y"),0,IF(AND($K1087="Point",N($L1087)&lt;=0),0,IF(AND(N($L1087)&lt;=0,N($N1087)&lt;=0,N($R1087)+N($S1087)&lt;=0),0,1)))))</f>
        <v/>
      </c>
      <c r="AA1087" s="21">
        <f>IF(AND($A1087="",$B1087=""),"",IF($E1087="","Site type missing",IF($H1087="","STATUS missing",IF($H1087="Proposed","STATUS = Proposed",IF($H1087="Not Reported","STATUS = Not Reported",IF(AND($P1087="Y",$Q1087&lt;&gt;"Y"),"UNESCO-MAB Biosphere Reserve",IF(AND($K1087="Point",N($L1087)&lt;=0),"Point without REP_AREA",IF(AND(N($L1087)&lt;=0,N($N1087)&lt;=0,N($R1087)+N($S1087)&lt;=0),"No area information",""))))))))</f>
        <v/>
      </c>
      <c r="AB1087" s="22">
        <f>IF(AND($A1087="",$B1087=""),"",IF($K1087="Point",N($L1087),IF(N($N1087)&gt;0,N($N1087),N($L1087))))</f>
        <v/>
      </c>
      <c r="AC1087" s="22">
        <f>IF(AND($A1087="",$B1087=""),"",MIN(AB1087,IF(N($J1087)=0,0,IF(N($J1087)=2,AB1087,IF(AND($K1087&lt;&gt;"Point",N($O1087)&gt;0),N($O1087),N($M1087))))))</f>
        <v/>
      </c>
      <c r="AD1087" s="22">
        <f>IF(AND($A1087="",$B1087=""),"",MAX(0,AB1087-AC1087))</f>
        <v/>
      </c>
      <c r="AE1087" s="21">
        <f>IF(AND($A1087="",$B1087=""),"",IF(OR($R1087&lt;&gt;"",$S1087&lt;&gt;""),1,0))</f>
        <v/>
      </c>
      <c r="AF1087" s="22">
        <f>IF(AND($A1087="",$B1087=""),"",IF(Z1087=1,IF(AE1087=1,N($R1087),AD1087),0))</f>
        <v/>
      </c>
      <c r="AG1087" s="22">
        <f>IF(AND($A1087="",$B1087=""),"",IF(Z1087=1,IF(AE1087=1,N($S1087),AC1087),0))</f>
        <v/>
      </c>
      <c r="AH1087" s="21">
        <f>IF(AND($A1087="",$B1087=""),"",IF(AND(ISNUMBER($I1087),N($I1087)&gt;0),$I1087,0))</f>
        <v/>
      </c>
      <c r="AI1087" s="23">
        <f>IF(AND(NOT(AND($A1087="",$B1087="")),$K1087="Point",N($L1087)&gt;0),SQRT(N($L1087)/PI()),"")</f>
        <v/>
      </c>
      <c r="AJ1087" s="21">
        <f>IF(AND($A1087="",$B1087=""),"",IFERROR(VLOOKUP($G1087,Lists!$D$4:$E$15,2,FALSE),"Not reported"))</f>
        <v/>
      </c>
      <c r="AK1087" s="21">
        <f>IF(AND($A1087="",$B1087=""),"",IF($X1087&lt;&gt;"",$X1087,IF($T1087&lt;&gt;"Y","Not assessed",IF(AND(ISNUMBER($V1087),Setup!$B$6-$V1087&gt;Setup!$B$26),"Assessment outdated",IF(NOT(ISNUMBER($W1087)),"Assessed – no score",IF($W1087&gt;=Setup!$B$24,"High",IF($W1087&gt;=Setup!$B$25,"Moderate","Low")))))))</f>
        <v/>
      </c>
      <c r="AL1087" s="21">
        <f>IF(AND($A1087="",$B1087=""),"",IF(Z1087=0,"",IF(AND(AE1087=1,N($R1087)&gt;AD1087*1.01+0.001),"Net terrestrial &gt; gross; ","")&amp;IF(AND(AE1087=1,N($S1087)&gt;AC1087*1.01+0.001),"Net marine &gt; gross; ","")&amp;IF(AE1087=0,"No net area – gross used, overlaps may be double-counted; ","")&amp;IF(AH1087=0,"STATUS_YR missing – imputed in time series; ","")&amp;IF(AND(ISNUMBER($I1087),N($I1087)&gt;Setup!$B$6),"STATUS_YR after reporting year; ","")&amp;IF(OR($G1087="",$G1087="Not Reported"),"GOV_TYPE not reported; ","")&amp;IF(AND(N($J1087)=1,$K1087="Point",N($M1087)&lt;=0),"Coastal point without REP_M_AREA – land/sea split unknown; ","")&amp;IF(AND(N($J1087)=0,N($S1087)&gt;0),"MARINE=0 but net marine &gt;0; ","")&amp;IF(AND(N($J1087)=2,N($R1087)&gt;0),"MARINE=2 but net terrestrial &gt;0; ","")&amp;IF($K1087="Point","Buffered point – coverage approximate; ","")))</f>
        <v/>
      </c>
    </row>
    <row r="1088">
      <c r="A1088" s="19" t="n"/>
      <c r="B1088" s="19" t="n"/>
      <c r="C1088" s="19" t="n"/>
      <c r="D1088" s="19" t="n"/>
      <c r="E1088" s="19" t="n"/>
      <c r="F1088" s="19" t="n"/>
      <c r="G1088" s="19" t="n"/>
      <c r="H1088" s="19" t="n"/>
      <c r="I1088" s="19" t="n"/>
      <c r="J1088" s="19" t="n"/>
      <c r="K1088" s="19" t="n"/>
      <c r="L1088" s="20" t="n"/>
      <c r="M1088" s="20" t="n"/>
      <c r="N1088" s="20" t="n"/>
      <c r="O1088" s="20" t="n"/>
      <c r="P1088" s="19" t="n"/>
      <c r="Q1088" s="19" t="n"/>
      <c r="R1088" s="20" t="n"/>
      <c r="S1088" s="20" t="n"/>
      <c r="T1088" s="19" t="n"/>
      <c r="U1088" s="19" t="n"/>
      <c r="V1088" s="19" t="n"/>
      <c r="W1088" s="19" t="n"/>
      <c r="X1088" s="19" t="n"/>
      <c r="Y1088" s="19" t="n"/>
      <c r="Z1088" s="21">
        <f>IF(AND($A1088="",$B1088=""),"",IF(OR($E1088="",$H1088="",$H1088="Proposed",$H1088="Not Reported"),0,IF(AND($P1088="Y",$Q1088&lt;&gt;"Y"),0,IF(AND($K1088="Point",N($L1088)&lt;=0),0,IF(AND(N($L1088)&lt;=0,N($N1088)&lt;=0,N($R1088)+N($S1088)&lt;=0),0,1)))))</f>
        <v/>
      </c>
      <c r="AA1088" s="21">
        <f>IF(AND($A1088="",$B1088=""),"",IF($E1088="","Site type missing",IF($H1088="","STATUS missing",IF($H1088="Proposed","STATUS = Proposed",IF($H1088="Not Reported","STATUS = Not Reported",IF(AND($P1088="Y",$Q1088&lt;&gt;"Y"),"UNESCO-MAB Biosphere Reserve",IF(AND($K1088="Point",N($L1088)&lt;=0),"Point without REP_AREA",IF(AND(N($L1088)&lt;=0,N($N1088)&lt;=0,N($R1088)+N($S1088)&lt;=0),"No area information",""))))))))</f>
        <v/>
      </c>
      <c r="AB1088" s="22">
        <f>IF(AND($A1088="",$B1088=""),"",IF($K1088="Point",N($L1088),IF(N($N1088)&gt;0,N($N1088),N($L1088))))</f>
        <v/>
      </c>
      <c r="AC1088" s="22">
        <f>IF(AND($A1088="",$B1088=""),"",MIN(AB1088,IF(N($J1088)=0,0,IF(N($J1088)=2,AB1088,IF(AND($K1088&lt;&gt;"Point",N($O1088)&gt;0),N($O1088),N($M1088))))))</f>
        <v/>
      </c>
      <c r="AD1088" s="22">
        <f>IF(AND($A1088="",$B1088=""),"",MAX(0,AB1088-AC1088))</f>
        <v/>
      </c>
      <c r="AE1088" s="21">
        <f>IF(AND($A1088="",$B1088=""),"",IF(OR($R1088&lt;&gt;"",$S1088&lt;&gt;""),1,0))</f>
        <v/>
      </c>
      <c r="AF1088" s="22">
        <f>IF(AND($A1088="",$B1088=""),"",IF(Z1088=1,IF(AE1088=1,N($R1088),AD1088),0))</f>
        <v/>
      </c>
      <c r="AG1088" s="22">
        <f>IF(AND($A1088="",$B1088=""),"",IF(Z1088=1,IF(AE1088=1,N($S1088),AC1088),0))</f>
        <v/>
      </c>
      <c r="AH1088" s="21">
        <f>IF(AND($A1088="",$B1088=""),"",IF(AND(ISNUMBER($I1088),N($I1088)&gt;0),$I1088,0))</f>
        <v/>
      </c>
      <c r="AI1088" s="23">
        <f>IF(AND(NOT(AND($A1088="",$B1088="")),$K1088="Point",N($L1088)&gt;0),SQRT(N($L1088)/PI()),"")</f>
        <v/>
      </c>
      <c r="AJ1088" s="21">
        <f>IF(AND($A1088="",$B1088=""),"",IFERROR(VLOOKUP($G1088,Lists!$D$4:$E$15,2,FALSE),"Not reported"))</f>
        <v/>
      </c>
      <c r="AK1088" s="21">
        <f>IF(AND($A1088="",$B1088=""),"",IF($X1088&lt;&gt;"",$X1088,IF($T1088&lt;&gt;"Y","Not assessed",IF(AND(ISNUMBER($V1088),Setup!$B$6-$V1088&gt;Setup!$B$26),"Assessment outdated",IF(NOT(ISNUMBER($W1088)),"Assessed – no score",IF($W1088&gt;=Setup!$B$24,"High",IF($W1088&gt;=Setup!$B$25,"Moderate","Low")))))))</f>
        <v/>
      </c>
      <c r="AL1088" s="21">
        <f>IF(AND($A1088="",$B1088=""),"",IF(Z1088=0,"",IF(AND(AE1088=1,N($R1088)&gt;AD1088*1.01+0.001),"Net terrestrial &gt; gross; ","")&amp;IF(AND(AE1088=1,N($S1088)&gt;AC1088*1.01+0.001),"Net marine &gt; gross; ","")&amp;IF(AE1088=0,"No net area – gross used, overlaps may be double-counted; ","")&amp;IF(AH1088=0,"STATUS_YR missing – imputed in time series; ","")&amp;IF(AND(ISNUMBER($I1088),N($I1088)&gt;Setup!$B$6),"STATUS_YR after reporting year; ","")&amp;IF(OR($G1088="",$G1088="Not Reported"),"GOV_TYPE not reported; ","")&amp;IF(AND(N($J1088)=1,$K1088="Point",N($M1088)&lt;=0),"Coastal point without REP_M_AREA – land/sea split unknown; ","")&amp;IF(AND(N($J1088)=0,N($S1088)&gt;0),"MARINE=0 but net marine &gt;0; ","")&amp;IF(AND(N($J1088)=2,N($R1088)&gt;0),"MARINE=2 but net terrestrial &gt;0; ","")&amp;IF($K1088="Point","Buffered point – coverage approximate; ","")))</f>
        <v/>
      </c>
    </row>
    <row r="1089">
      <c r="A1089" s="19" t="n"/>
      <c r="B1089" s="19" t="n"/>
      <c r="C1089" s="19" t="n"/>
      <c r="D1089" s="19" t="n"/>
      <c r="E1089" s="19" t="n"/>
      <c r="F1089" s="19" t="n"/>
      <c r="G1089" s="19" t="n"/>
      <c r="H1089" s="19" t="n"/>
      <c r="I1089" s="19" t="n"/>
      <c r="J1089" s="19" t="n"/>
      <c r="K1089" s="19" t="n"/>
      <c r="L1089" s="20" t="n"/>
      <c r="M1089" s="20" t="n"/>
      <c r="N1089" s="20" t="n"/>
      <c r="O1089" s="20" t="n"/>
      <c r="P1089" s="19" t="n"/>
      <c r="Q1089" s="19" t="n"/>
      <c r="R1089" s="20" t="n"/>
      <c r="S1089" s="20" t="n"/>
      <c r="T1089" s="19" t="n"/>
      <c r="U1089" s="19" t="n"/>
      <c r="V1089" s="19" t="n"/>
      <c r="W1089" s="19" t="n"/>
      <c r="X1089" s="19" t="n"/>
      <c r="Y1089" s="19" t="n"/>
      <c r="Z1089" s="21">
        <f>IF(AND($A1089="",$B1089=""),"",IF(OR($E1089="",$H1089="",$H1089="Proposed",$H1089="Not Reported"),0,IF(AND($P1089="Y",$Q1089&lt;&gt;"Y"),0,IF(AND($K1089="Point",N($L1089)&lt;=0),0,IF(AND(N($L1089)&lt;=0,N($N1089)&lt;=0,N($R1089)+N($S1089)&lt;=0),0,1)))))</f>
        <v/>
      </c>
      <c r="AA1089" s="21">
        <f>IF(AND($A1089="",$B1089=""),"",IF($E1089="","Site type missing",IF($H1089="","STATUS missing",IF($H1089="Proposed","STATUS = Proposed",IF($H1089="Not Reported","STATUS = Not Reported",IF(AND($P1089="Y",$Q1089&lt;&gt;"Y"),"UNESCO-MAB Biosphere Reserve",IF(AND($K1089="Point",N($L1089)&lt;=0),"Point without REP_AREA",IF(AND(N($L1089)&lt;=0,N($N1089)&lt;=0,N($R1089)+N($S1089)&lt;=0),"No area information",""))))))))</f>
        <v/>
      </c>
      <c r="AB1089" s="22">
        <f>IF(AND($A1089="",$B1089=""),"",IF($K1089="Point",N($L1089),IF(N($N1089)&gt;0,N($N1089),N($L1089))))</f>
        <v/>
      </c>
      <c r="AC1089" s="22">
        <f>IF(AND($A1089="",$B1089=""),"",MIN(AB1089,IF(N($J1089)=0,0,IF(N($J1089)=2,AB1089,IF(AND($K1089&lt;&gt;"Point",N($O1089)&gt;0),N($O1089),N($M1089))))))</f>
        <v/>
      </c>
      <c r="AD1089" s="22">
        <f>IF(AND($A1089="",$B1089=""),"",MAX(0,AB1089-AC1089))</f>
        <v/>
      </c>
      <c r="AE1089" s="21">
        <f>IF(AND($A1089="",$B1089=""),"",IF(OR($R1089&lt;&gt;"",$S1089&lt;&gt;""),1,0))</f>
        <v/>
      </c>
      <c r="AF1089" s="22">
        <f>IF(AND($A1089="",$B1089=""),"",IF(Z1089=1,IF(AE1089=1,N($R1089),AD1089),0))</f>
        <v/>
      </c>
      <c r="AG1089" s="22">
        <f>IF(AND($A1089="",$B1089=""),"",IF(Z1089=1,IF(AE1089=1,N($S1089),AC1089),0))</f>
        <v/>
      </c>
      <c r="AH1089" s="21">
        <f>IF(AND($A1089="",$B1089=""),"",IF(AND(ISNUMBER($I1089),N($I1089)&gt;0),$I1089,0))</f>
        <v/>
      </c>
      <c r="AI1089" s="23">
        <f>IF(AND(NOT(AND($A1089="",$B1089="")),$K1089="Point",N($L1089)&gt;0),SQRT(N($L1089)/PI()),"")</f>
        <v/>
      </c>
      <c r="AJ1089" s="21">
        <f>IF(AND($A1089="",$B1089=""),"",IFERROR(VLOOKUP($G1089,Lists!$D$4:$E$15,2,FALSE),"Not reported"))</f>
        <v/>
      </c>
      <c r="AK1089" s="21">
        <f>IF(AND($A1089="",$B1089=""),"",IF($X1089&lt;&gt;"",$X1089,IF($T1089&lt;&gt;"Y","Not assessed",IF(AND(ISNUMBER($V1089),Setup!$B$6-$V1089&gt;Setup!$B$26),"Assessment outdated",IF(NOT(ISNUMBER($W1089)),"Assessed – no score",IF($W1089&gt;=Setup!$B$24,"High",IF($W1089&gt;=Setup!$B$25,"Moderate","Low")))))))</f>
        <v/>
      </c>
      <c r="AL1089" s="21">
        <f>IF(AND($A1089="",$B1089=""),"",IF(Z1089=0,"",IF(AND(AE1089=1,N($R1089)&gt;AD1089*1.01+0.001),"Net terrestrial &gt; gross; ","")&amp;IF(AND(AE1089=1,N($S1089)&gt;AC1089*1.01+0.001),"Net marine &gt; gross; ","")&amp;IF(AE1089=0,"No net area – gross used, overlaps may be double-counted; ","")&amp;IF(AH1089=0,"STATUS_YR missing – imputed in time series; ","")&amp;IF(AND(ISNUMBER($I1089),N($I1089)&gt;Setup!$B$6),"STATUS_YR after reporting year; ","")&amp;IF(OR($G1089="",$G1089="Not Reported"),"GOV_TYPE not reported; ","")&amp;IF(AND(N($J1089)=1,$K1089="Point",N($M1089)&lt;=0),"Coastal point without REP_M_AREA – land/sea split unknown; ","")&amp;IF(AND(N($J1089)=0,N($S1089)&gt;0),"MARINE=0 but net marine &gt;0; ","")&amp;IF(AND(N($J1089)=2,N($R1089)&gt;0),"MARINE=2 but net terrestrial &gt;0; ","")&amp;IF($K1089="Point","Buffered point – coverage approximate; ","")))</f>
        <v/>
      </c>
    </row>
    <row r="1090">
      <c r="A1090" s="19" t="n"/>
      <c r="B1090" s="19" t="n"/>
      <c r="C1090" s="19" t="n"/>
      <c r="D1090" s="19" t="n"/>
      <c r="E1090" s="19" t="n"/>
      <c r="F1090" s="19" t="n"/>
      <c r="G1090" s="19" t="n"/>
      <c r="H1090" s="19" t="n"/>
      <c r="I1090" s="19" t="n"/>
      <c r="J1090" s="19" t="n"/>
      <c r="K1090" s="19" t="n"/>
      <c r="L1090" s="20" t="n"/>
      <c r="M1090" s="20" t="n"/>
      <c r="N1090" s="20" t="n"/>
      <c r="O1090" s="20" t="n"/>
      <c r="P1090" s="19" t="n"/>
      <c r="Q1090" s="19" t="n"/>
      <c r="R1090" s="20" t="n"/>
      <c r="S1090" s="20" t="n"/>
      <c r="T1090" s="19" t="n"/>
      <c r="U1090" s="19" t="n"/>
      <c r="V1090" s="19" t="n"/>
      <c r="W1090" s="19" t="n"/>
      <c r="X1090" s="19" t="n"/>
      <c r="Y1090" s="19" t="n"/>
      <c r="Z1090" s="21">
        <f>IF(AND($A1090="",$B1090=""),"",IF(OR($E1090="",$H1090="",$H1090="Proposed",$H1090="Not Reported"),0,IF(AND($P1090="Y",$Q1090&lt;&gt;"Y"),0,IF(AND($K1090="Point",N($L1090)&lt;=0),0,IF(AND(N($L1090)&lt;=0,N($N1090)&lt;=0,N($R1090)+N($S1090)&lt;=0),0,1)))))</f>
        <v/>
      </c>
      <c r="AA1090" s="21">
        <f>IF(AND($A1090="",$B1090=""),"",IF($E1090="","Site type missing",IF($H1090="","STATUS missing",IF($H1090="Proposed","STATUS = Proposed",IF($H1090="Not Reported","STATUS = Not Reported",IF(AND($P1090="Y",$Q1090&lt;&gt;"Y"),"UNESCO-MAB Biosphere Reserve",IF(AND($K1090="Point",N($L1090)&lt;=0),"Point without REP_AREA",IF(AND(N($L1090)&lt;=0,N($N1090)&lt;=0,N($R1090)+N($S1090)&lt;=0),"No area information",""))))))))</f>
        <v/>
      </c>
      <c r="AB1090" s="22">
        <f>IF(AND($A1090="",$B1090=""),"",IF($K1090="Point",N($L1090),IF(N($N1090)&gt;0,N($N1090),N($L1090))))</f>
        <v/>
      </c>
      <c r="AC1090" s="22">
        <f>IF(AND($A1090="",$B1090=""),"",MIN(AB1090,IF(N($J1090)=0,0,IF(N($J1090)=2,AB1090,IF(AND($K1090&lt;&gt;"Point",N($O1090)&gt;0),N($O1090),N($M1090))))))</f>
        <v/>
      </c>
      <c r="AD1090" s="22">
        <f>IF(AND($A1090="",$B1090=""),"",MAX(0,AB1090-AC1090))</f>
        <v/>
      </c>
      <c r="AE1090" s="21">
        <f>IF(AND($A1090="",$B1090=""),"",IF(OR($R1090&lt;&gt;"",$S1090&lt;&gt;""),1,0))</f>
        <v/>
      </c>
      <c r="AF1090" s="22">
        <f>IF(AND($A1090="",$B1090=""),"",IF(Z1090=1,IF(AE1090=1,N($R1090),AD1090),0))</f>
        <v/>
      </c>
      <c r="AG1090" s="22">
        <f>IF(AND($A1090="",$B1090=""),"",IF(Z1090=1,IF(AE1090=1,N($S1090),AC1090),0))</f>
        <v/>
      </c>
      <c r="AH1090" s="21">
        <f>IF(AND($A1090="",$B1090=""),"",IF(AND(ISNUMBER($I1090),N($I1090)&gt;0),$I1090,0))</f>
        <v/>
      </c>
      <c r="AI1090" s="23">
        <f>IF(AND(NOT(AND($A1090="",$B1090="")),$K1090="Point",N($L1090)&gt;0),SQRT(N($L1090)/PI()),"")</f>
        <v/>
      </c>
      <c r="AJ1090" s="21">
        <f>IF(AND($A1090="",$B1090=""),"",IFERROR(VLOOKUP($G1090,Lists!$D$4:$E$15,2,FALSE),"Not reported"))</f>
        <v/>
      </c>
      <c r="AK1090" s="21">
        <f>IF(AND($A1090="",$B1090=""),"",IF($X1090&lt;&gt;"",$X1090,IF($T1090&lt;&gt;"Y","Not assessed",IF(AND(ISNUMBER($V1090),Setup!$B$6-$V1090&gt;Setup!$B$26),"Assessment outdated",IF(NOT(ISNUMBER($W1090)),"Assessed – no score",IF($W1090&gt;=Setup!$B$24,"High",IF($W1090&gt;=Setup!$B$25,"Moderate","Low")))))))</f>
        <v/>
      </c>
      <c r="AL1090" s="21">
        <f>IF(AND($A1090="",$B1090=""),"",IF(Z1090=0,"",IF(AND(AE1090=1,N($R1090)&gt;AD1090*1.01+0.001),"Net terrestrial &gt; gross; ","")&amp;IF(AND(AE1090=1,N($S1090)&gt;AC1090*1.01+0.001),"Net marine &gt; gross; ","")&amp;IF(AE1090=0,"No net area – gross used, overlaps may be double-counted; ","")&amp;IF(AH1090=0,"STATUS_YR missing – imputed in time series; ","")&amp;IF(AND(ISNUMBER($I1090),N($I1090)&gt;Setup!$B$6),"STATUS_YR after reporting year; ","")&amp;IF(OR($G1090="",$G1090="Not Reported"),"GOV_TYPE not reported; ","")&amp;IF(AND(N($J1090)=1,$K1090="Point",N($M1090)&lt;=0),"Coastal point without REP_M_AREA – land/sea split unknown; ","")&amp;IF(AND(N($J1090)=0,N($S1090)&gt;0),"MARINE=0 but net marine &gt;0; ","")&amp;IF(AND(N($J1090)=2,N($R1090)&gt;0),"MARINE=2 but net terrestrial &gt;0; ","")&amp;IF($K1090="Point","Buffered point – coverage approximate; ","")))</f>
        <v/>
      </c>
    </row>
    <row r="1091">
      <c r="A1091" s="19" t="n"/>
      <c r="B1091" s="19" t="n"/>
      <c r="C1091" s="19" t="n"/>
      <c r="D1091" s="19" t="n"/>
      <c r="E1091" s="19" t="n"/>
      <c r="F1091" s="19" t="n"/>
      <c r="G1091" s="19" t="n"/>
      <c r="H1091" s="19" t="n"/>
      <c r="I1091" s="19" t="n"/>
      <c r="J1091" s="19" t="n"/>
      <c r="K1091" s="19" t="n"/>
      <c r="L1091" s="20" t="n"/>
      <c r="M1091" s="20" t="n"/>
      <c r="N1091" s="20" t="n"/>
      <c r="O1091" s="20" t="n"/>
      <c r="P1091" s="19" t="n"/>
      <c r="Q1091" s="19" t="n"/>
      <c r="R1091" s="20" t="n"/>
      <c r="S1091" s="20" t="n"/>
      <c r="T1091" s="19" t="n"/>
      <c r="U1091" s="19" t="n"/>
      <c r="V1091" s="19" t="n"/>
      <c r="W1091" s="19" t="n"/>
      <c r="X1091" s="19" t="n"/>
      <c r="Y1091" s="19" t="n"/>
      <c r="Z1091" s="21">
        <f>IF(AND($A1091="",$B1091=""),"",IF(OR($E1091="",$H1091="",$H1091="Proposed",$H1091="Not Reported"),0,IF(AND($P1091="Y",$Q1091&lt;&gt;"Y"),0,IF(AND($K1091="Point",N($L1091)&lt;=0),0,IF(AND(N($L1091)&lt;=0,N($N1091)&lt;=0,N($R1091)+N($S1091)&lt;=0),0,1)))))</f>
        <v/>
      </c>
      <c r="AA1091" s="21">
        <f>IF(AND($A1091="",$B1091=""),"",IF($E1091="","Site type missing",IF($H1091="","STATUS missing",IF($H1091="Proposed","STATUS = Proposed",IF($H1091="Not Reported","STATUS = Not Reported",IF(AND($P1091="Y",$Q1091&lt;&gt;"Y"),"UNESCO-MAB Biosphere Reserve",IF(AND($K1091="Point",N($L1091)&lt;=0),"Point without REP_AREA",IF(AND(N($L1091)&lt;=0,N($N1091)&lt;=0,N($R1091)+N($S1091)&lt;=0),"No area information",""))))))))</f>
        <v/>
      </c>
      <c r="AB1091" s="22">
        <f>IF(AND($A1091="",$B1091=""),"",IF($K1091="Point",N($L1091),IF(N($N1091)&gt;0,N($N1091),N($L1091))))</f>
        <v/>
      </c>
      <c r="AC1091" s="22">
        <f>IF(AND($A1091="",$B1091=""),"",MIN(AB1091,IF(N($J1091)=0,0,IF(N($J1091)=2,AB1091,IF(AND($K1091&lt;&gt;"Point",N($O1091)&gt;0),N($O1091),N($M1091))))))</f>
        <v/>
      </c>
      <c r="AD1091" s="22">
        <f>IF(AND($A1091="",$B1091=""),"",MAX(0,AB1091-AC1091))</f>
        <v/>
      </c>
      <c r="AE1091" s="21">
        <f>IF(AND($A1091="",$B1091=""),"",IF(OR($R1091&lt;&gt;"",$S1091&lt;&gt;""),1,0))</f>
        <v/>
      </c>
      <c r="AF1091" s="22">
        <f>IF(AND($A1091="",$B1091=""),"",IF(Z1091=1,IF(AE1091=1,N($R1091),AD1091),0))</f>
        <v/>
      </c>
      <c r="AG1091" s="22">
        <f>IF(AND($A1091="",$B1091=""),"",IF(Z1091=1,IF(AE1091=1,N($S1091),AC1091),0))</f>
        <v/>
      </c>
      <c r="AH1091" s="21">
        <f>IF(AND($A1091="",$B1091=""),"",IF(AND(ISNUMBER($I1091),N($I1091)&gt;0),$I1091,0))</f>
        <v/>
      </c>
      <c r="AI1091" s="23">
        <f>IF(AND(NOT(AND($A1091="",$B1091="")),$K1091="Point",N($L1091)&gt;0),SQRT(N($L1091)/PI()),"")</f>
        <v/>
      </c>
      <c r="AJ1091" s="21">
        <f>IF(AND($A1091="",$B1091=""),"",IFERROR(VLOOKUP($G1091,Lists!$D$4:$E$15,2,FALSE),"Not reported"))</f>
        <v/>
      </c>
      <c r="AK1091" s="21">
        <f>IF(AND($A1091="",$B1091=""),"",IF($X1091&lt;&gt;"",$X1091,IF($T1091&lt;&gt;"Y","Not assessed",IF(AND(ISNUMBER($V1091),Setup!$B$6-$V1091&gt;Setup!$B$26),"Assessment outdated",IF(NOT(ISNUMBER($W1091)),"Assessed – no score",IF($W1091&gt;=Setup!$B$24,"High",IF($W1091&gt;=Setup!$B$25,"Moderate","Low")))))))</f>
        <v/>
      </c>
      <c r="AL1091" s="21">
        <f>IF(AND($A1091="",$B1091=""),"",IF(Z1091=0,"",IF(AND(AE1091=1,N($R1091)&gt;AD1091*1.01+0.001),"Net terrestrial &gt; gross; ","")&amp;IF(AND(AE1091=1,N($S1091)&gt;AC1091*1.01+0.001),"Net marine &gt; gross; ","")&amp;IF(AE1091=0,"No net area – gross used, overlaps may be double-counted; ","")&amp;IF(AH1091=0,"STATUS_YR missing – imputed in time series; ","")&amp;IF(AND(ISNUMBER($I1091),N($I1091)&gt;Setup!$B$6),"STATUS_YR after reporting year; ","")&amp;IF(OR($G1091="",$G1091="Not Reported"),"GOV_TYPE not reported; ","")&amp;IF(AND(N($J1091)=1,$K1091="Point",N($M1091)&lt;=0),"Coastal point without REP_M_AREA – land/sea split unknown; ","")&amp;IF(AND(N($J1091)=0,N($S1091)&gt;0),"MARINE=0 but net marine &gt;0; ","")&amp;IF(AND(N($J1091)=2,N($R1091)&gt;0),"MARINE=2 but net terrestrial &gt;0; ","")&amp;IF($K1091="Point","Buffered point – coverage approximate; ","")))</f>
        <v/>
      </c>
    </row>
    <row r="1092">
      <c r="A1092" s="19" t="n"/>
      <c r="B1092" s="19" t="n"/>
      <c r="C1092" s="19" t="n"/>
      <c r="D1092" s="19" t="n"/>
      <c r="E1092" s="19" t="n"/>
      <c r="F1092" s="19" t="n"/>
      <c r="G1092" s="19" t="n"/>
      <c r="H1092" s="19" t="n"/>
      <c r="I1092" s="19" t="n"/>
      <c r="J1092" s="19" t="n"/>
      <c r="K1092" s="19" t="n"/>
      <c r="L1092" s="20" t="n"/>
      <c r="M1092" s="20" t="n"/>
      <c r="N1092" s="20" t="n"/>
      <c r="O1092" s="20" t="n"/>
      <c r="P1092" s="19" t="n"/>
      <c r="Q1092" s="19" t="n"/>
      <c r="R1092" s="20" t="n"/>
      <c r="S1092" s="20" t="n"/>
      <c r="T1092" s="19" t="n"/>
      <c r="U1092" s="19" t="n"/>
      <c r="V1092" s="19" t="n"/>
      <c r="W1092" s="19" t="n"/>
      <c r="X1092" s="19" t="n"/>
      <c r="Y1092" s="19" t="n"/>
      <c r="Z1092" s="21">
        <f>IF(AND($A1092="",$B1092=""),"",IF(OR($E1092="",$H1092="",$H1092="Proposed",$H1092="Not Reported"),0,IF(AND($P1092="Y",$Q1092&lt;&gt;"Y"),0,IF(AND($K1092="Point",N($L1092)&lt;=0),0,IF(AND(N($L1092)&lt;=0,N($N1092)&lt;=0,N($R1092)+N($S1092)&lt;=0),0,1)))))</f>
        <v/>
      </c>
      <c r="AA1092" s="21">
        <f>IF(AND($A1092="",$B1092=""),"",IF($E1092="","Site type missing",IF($H1092="","STATUS missing",IF($H1092="Proposed","STATUS = Proposed",IF($H1092="Not Reported","STATUS = Not Reported",IF(AND($P1092="Y",$Q1092&lt;&gt;"Y"),"UNESCO-MAB Biosphere Reserve",IF(AND($K1092="Point",N($L1092)&lt;=0),"Point without REP_AREA",IF(AND(N($L1092)&lt;=0,N($N1092)&lt;=0,N($R1092)+N($S1092)&lt;=0),"No area information",""))))))))</f>
        <v/>
      </c>
      <c r="AB1092" s="22">
        <f>IF(AND($A1092="",$B1092=""),"",IF($K1092="Point",N($L1092),IF(N($N1092)&gt;0,N($N1092),N($L1092))))</f>
        <v/>
      </c>
      <c r="AC1092" s="22">
        <f>IF(AND($A1092="",$B1092=""),"",MIN(AB1092,IF(N($J1092)=0,0,IF(N($J1092)=2,AB1092,IF(AND($K1092&lt;&gt;"Point",N($O1092)&gt;0),N($O1092),N($M1092))))))</f>
        <v/>
      </c>
      <c r="AD1092" s="22">
        <f>IF(AND($A1092="",$B1092=""),"",MAX(0,AB1092-AC1092))</f>
        <v/>
      </c>
      <c r="AE1092" s="21">
        <f>IF(AND($A1092="",$B1092=""),"",IF(OR($R1092&lt;&gt;"",$S1092&lt;&gt;""),1,0))</f>
        <v/>
      </c>
      <c r="AF1092" s="22">
        <f>IF(AND($A1092="",$B1092=""),"",IF(Z1092=1,IF(AE1092=1,N($R1092),AD1092),0))</f>
        <v/>
      </c>
      <c r="AG1092" s="22">
        <f>IF(AND($A1092="",$B1092=""),"",IF(Z1092=1,IF(AE1092=1,N($S1092),AC1092),0))</f>
        <v/>
      </c>
      <c r="AH1092" s="21">
        <f>IF(AND($A1092="",$B1092=""),"",IF(AND(ISNUMBER($I1092),N($I1092)&gt;0),$I1092,0))</f>
        <v/>
      </c>
      <c r="AI1092" s="23">
        <f>IF(AND(NOT(AND($A1092="",$B1092="")),$K1092="Point",N($L1092)&gt;0),SQRT(N($L1092)/PI()),"")</f>
        <v/>
      </c>
      <c r="AJ1092" s="21">
        <f>IF(AND($A1092="",$B1092=""),"",IFERROR(VLOOKUP($G1092,Lists!$D$4:$E$15,2,FALSE),"Not reported"))</f>
        <v/>
      </c>
      <c r="AK1092" s="21">
        <f>IF(AND($A1092="",$B1092=""),"",IF($X1092&lt;&gt;"",$X1092,IF($T1092&lt;&gt;"Y","Not assessed",IF(AND(ISNUMBER($V1092),Setup!$B$6-$V1092&gt;Setup!$B$26),"Assessment outdated",IF(NOT(ISNUMBER($W1092)),"Assessed – no score",IF($W1092&gt;=Setup!$B$24,"High",IF($W1092&gt;=Setup!$B$25,"Moderate","Low")))))))</f>
        <v/>
      </c>
      <c r="AL1092" s="21">
        <f>IF(AND($A1092="",$B1092=""),"",IF(Z1092=0,"",IF(AND(AE1092=1,N($R1092)&gt;AD1092*1.01+0.001),"Net terrestrial &gt; gross; ","")&amp;IF(AND(AE1092=1,N($S1092)&gt;AC1092*1.01+0.001),"Net marine &gt; gross; ","")&amp;IF(AE1092=0,"No net area – gross used, overlaps may be double-counted; ","")&amp;IF(AH1092=0,"STATUS_YR missing – imputed in time series; ","")&amp;IF(AND(ISNUMBER($I1092),N($I1092)&gt;Setup!$B$6),"STATUS_YR after reporting year; ","")&amp;IF(OR($G1092="",$G1092="Not Reported"),"GOV_TYPE not reported; ","")&amp;IF(AND(N($J1092)=1,$K1092="Point",N($M1092)&lt;=0),"Coastal point without REP_M_AREA – land/sea split unknown; ","")&amp;IF(AND(N($J1092)=0,N($S1092)&gt;0),"MARINE=0 but net marine &gt;0; ","")&amp;IF(AND(N($J1092)=2,N($R1092)&gt;0),"MARINE=2 but net terrestrial &gt;0; ","")&amp;IF($K1092="Point","Buffered point – coverage approximate; ","")))</f>
        <v/>
      </c>
    </row>
    <row r="1093">
      <c r="A1093" s="19" t="n"/>
      <c r="B1093" s="19" t="n"/>
      <c r="C1093" s="19" t="n"/>
      <c r="D1093" s="19" t="n"/>
      <c r="E1093" s="19" t="n"/>
      <c r="F1093" s="19" t="n"/>
      <c r="G1093" s="19" t="n"/>
      <c r="H1093" s="19" t="n"/>
      <c r="I1093" s="19" t="n"/>
      <c r="J1093" s="19" t="n"/>
      <c r="K1093" s="19" t="n"/>
      <c r="L1093" s="20" t="n"/>
      <c r="M1093" s="20" t="n"/>
      <c r="N1093" s="20" t="n"/>
      <c r="O1093" s="20" t="n"/>
      <c r="P1093" s="19" t="n"/>
      <c r="Q1093" s="19" t="n"/>
      <c r="R1093" s="20" t="n"/>
      <c r="S1093" s="20" t="n"/>
      <c r="T1093" s="19" t="n"/>
      <c r="U1093" s="19" t="n"/>
      <c r="V1093" s="19" t="n"/>
      <c r="W1093" s="19" t="n"/>
      <c r="X1093" s="19" t="n"/>
      <c r="Y1093" s="19" t="n"/>
      <c r="Z1093" s="21">
        <f>IF(AND($A1093="",$B1093=""),"",IF(OR($E1093="",$H1093="",$H1093="Proposed",$H1093="Not Reported"),0,IF(AND($P1093="Y",$Q1093&lt;&gt;"Y"),0,IF(AND($K1093="Point",N($L1093)&lt;=0),0,IF(AND(N($L1093)&lt;=0,N($N1093)&lt;=0,N($R1093)+N($S1093)&lt;=0),0,1)))))</f>
        <v/>
      </c>
      <c r="AA1093" s="21">
        <f>IF(AND($A1093="",$B1093=""),"",IF($E1093="","Site type missing",IF($H1093="","STATUS missing",IF($H1093="Proposed","STATUS = Proposed",IF($H1093="Not Reported","STATUS = Not Reported",IF(AND($P1093="Y",$Q1093&lt;&gt;"Y"),"UNESCO-MAB Biosphere Reserve",IF(AND($K1093="Point",N($L1093)&lt;=0),"Point without REP_AREA",IF(AND(N($L1093)&lt;=0,N($N1093)&lt;=0,N($R1093)+N($S1093)&lt;=0),"No area information",""))))))))</f>
        <v/>
      </c>
      <c r="AB1093" s="22">
        <f>IF(AND($A1093="",$B1093=""),"",IF($K1093="Point",N($L1093),IF(N($N1093)&gt;0,N($N1093),N($L1093))))</f>
        <v/>
      </c>
      <c r="AC1093" s="22">
        <f>IF(AND($A1093="",$B1093=""),"",MIN(AB1093,IF(N($J1093)=0,0,IF(N($J1093)=2,AB1093,IF(AND($K1093&lt;&gt;"Point",N($O1093)&gt;0),N($O1093),N($M1093))))))</f>
        <v/>
      </c>
      <c r="AD1093" s="22">
        <f>IF(AND($A1093="",$B1093=""),"",MAX(0,AB1093-AC1093))</f>
        <v/>
      </c>
      <c r="AE1093" s="21">
        <f>IF(AND($A1093="",$B1093=""),"",IF(OR($R1093&lt;&gt;"",$S1093&lt;&gt;""),1,0))</f>
        <v/>
      </c>
      <c r="AF1093" s="22">
        <f>IF(AND($A1093="",$B1093=""),"",IF(Z1093=1,IF(AE1093=1,N($R1093),AD1093),0))</f>
        <v/>
      </c>
      <c r="AG1093" s="22">
        <f>IF(AND($A1093="",$B1093=""),"",IF(Z1093=1,IF(AE1093=1,N($S1093),AC1093),0))</f>
        <v/>
      </c>
      <c r="AH1093" s="21">
        <f>IF(AND($A1093="",$B1093=""),"",IF(AND(ISNUMBER($I1093),N($I1093)&gt;0),$I1093,0))</f>
        <v/>
      </c>
      <c r="AI1093" s="23">
        <f>IF(AND(NOT(AND($A1093="",$B1093="")),$K1093="Point",N($L1093)&gt;0),SQRT(N($L1093)/PI()),"")</f>
        <v/>
      </c>
      <c r="AJ1093" s="21">
        <f>IF(AND($A1093="",$B1093=""),"",IFERROR(VLOOKUP($G1093,Lists!$D$4:$E$15,2,FALSE),"Not reported"))</f>
        <v/>
      </c>
      <c r="AK1093" s="21">
        <f>IF(AND($A1093="",$B1093=""),"",IF($X1093&lt;&gt;"",$X1093,IF($T1093&lt;&gt;"Y","Not assessed",IF(AND(ISNUMBER($V1093),Setup!$B$6-$V1093&gt;Setup!$B$26),"Assessment outdated",IF(NOT(ISNUMBER($W1093)),"Assessed – no score",IF($W1093&gt;=Setup!$B$24,"High",IF($W1093&gt;=Setup!$B$25,"Moderate","Low")))))))</f>
        <v/>
      </c>
      <c r="AL1093" s="21">
        <f>IF(AND($A1093="",$B1093=""),"",IF(Z1093=0,"",IF(AND(AE1093=1,N($R1093)&gt;AD1093*1.01+0.001),"Net terrestrial &gt; gross; ","")&amp;IF(AND(AE1093=1,N($S1093)&gt;AC1093*1.01+0.001),"Net marine &gt; gross; ","")&amp;IF(AE1093=0,"No net area – gross used, overlaps may be double-counted; ","")&amp;IF(AH1093=0,"STATUS_YR missing – imputed in time series; ","")&amp;IF(AND(ISNUMBER($I1093),N($I1093)&gt;Setup!$B$6),"STATUS_YR after reporting year; ","")&amp;IF(OR($G1093="",$G1093="Not Reported"),"GOV_TYPE not reported; ","")&amp;IF(AND(N($J1093)=1,$K1093="Point",N($M1093)&lt;=0),"Coastal point without REP_M_AREA – land/sea split unknown; ","")&amp;IF(AND(N($J1093)=0,N($S1093)&gt;0),"MARINE=0 but net marine &gt;0; ","")&amp;IF(AND(N($J1093)=2,N($R1093)&gt;0),"MARINE=2 but net terrestrial &gt;0; ","")&amp;IF($K1093="Point","Buffered point – coverage approximate; ","")))</f>
        <v/>
      </c>
    </row>
    <row r="1094">
      <c r="A1094" s="19" t="n"/>
      <c r="B1094" s="19" t="n"/>
      <c r="C1094" s="19" t="n"/>
      <c r="D1094" s="19" t="n"/>
      <c r="E1094" s="19" t="n"/>
      <c r="F1094" s="19" t="n"/>
      <c r="G1094" s="19" t="n"/>
      <c r="H1094" s="19" t="n"/>
      <c r="I1094" s="19" t="n"/>
      <c r="J1094" s="19" t="n"/>
      <c r="K1094" s="19" t="n"/>
      <c r="L1094" s="20" t="n"/>
      <c r="M1094" s="20" t="n"/>
      <c r="N1094" s="20" t="n"/>
      <c r="O1094" s="20" t="n"/>
      <c r="P1094" s="19" t="n"/>
      <c r="Q1094" s="19" t="n"/>
      <c r="R1094" s="20" t="n"/>
      <c r="S1094" s="20" t="n"/>
      <c r="T1094" s="19" t="n"/>
      <c r="U1094" s="19" t="n"/>
      <c r="V1094" s="19" t="n"/>
      <c r="W1094" s="19" t="n"/>
      <c r="X1094" s="19" t="n"/>
      <c r="Y1094" s="19" t="n"/>
      <c r="Z1094" s="21">
        <f>IF(AND($A1094="",$B1094=""),"",IF(OR($E1094="",$H1094="",$H1094="Proposed",$H1094="Not Reported"),0,IF(AND($P1094="Y",$Q1094&lt;&gt;"Y"),0,IF(AND($K1094="Point",N($L1094)&lt;=0),0,IF(AND(N($L1094)&lt;=0,N($N1094)&lt;=0,N($R1094)+N($S1094)&lt;=0),0,1)))))</f>
        <v/>
      </c>
      <c r="AA1094" s="21">
        <f>IF(AND($A1094="",$B1094=""),"",IF($E1094="","Site type missing",IF($H1094="","STATUS missing",IF($H1094="Proposed","STATUS = Proposed",IF($H1094="Not Reported","STATUS = Not Reported",IF(AND($P1094="Y",$Q1094&lt;&gt;"Y"),"UNESCO-MAB Biosphere Reserve",IF(AND($K1094="Point",N($L1094)&lt;=0),"Point without REP_AREA",IF(AND(N($L1094)&lt;=0,N($N1094)&lt;=0,N($R1094)+N($S1094)&lt;=0),"No area information",""))))))))</f>
        <v/>
      </c>
      <c r="AB1094" s="22">
        <f>IF(AND($A1094="",$B1094=""),"",IF($K1094="Point",N($L1094),IF(N($N1094)&gt;0,N($N1094),N($L1094))))</f>
        <v/>
      </c>
      <c r="AC1094" s="22">
        <f>IF(AND($A1094="",$B1094=""),"",MIN(AB1094,IF(N($J1094)=0,0,IF(N($J1094)=2,AB1094,IF(AND($K1094&lt;&gt;"Point",N($O1094)&gt;0),N($O1094),N($M1094))))))</f>
        <v/>
      </c>
      <c r="AD1094" s="22">
        <f>IF(AND($A1094="",$B1094=""),"",MAX(0,AB1094-AC1094))</f>
        <v/>
      </c>
      <c r="AE1094" s="21">
        <f>IF(AND($A1094="",$B1094=""),"",IF(OR($R1094&lt;&gt;"",$S1094&lt;&gt;""),1,0))</f>
        <v/>
      </c>
      <c r="AF1094" s="22">
        <f>IF(AND($A1094="",$B1094=""),"",IF(Z1094=1,IF(AE1094=1,N($R1094),AD1094),0))</f>
        <v/>
      </c>
      <c r="AG1094" s="22">
        <f>IF(AND($A1094="",$B1094=""),"",IF(Z1094=1,IF(AE1094=1,N($S1094),AC1094),0))</f>
        <v/>
      </c>
      <c r="AH1094" s="21">
        <f>IF(AND($A1094="",$B1094=""),"",IF(AND(ISNUMBER($I1094),N($I1094)&gt;0),$I1094,0))</f>
        <v/>
      </c>
      <c r="AI1094" s="23">
        <f>IF(AND(NOT(AND($A1094="",$B1094="")),$K1094="Point",N($L1094)&gt;0),SQRT(N($L1094)/PI()),"")</f>
        <v/>
      </c>
      <c r="AJ1094" s="21">
        <f>IF(AND($A1094="",$B1094=""),"",IFERROR(VLOOKUP($G1094,Lists!$D$4:$E$15,2,FALSE),"Not reported"))</f>
        <v/>
      </c>
      <c r="AK1094" s="21">
        <f>IF(AND($A1094="",$B1094=""),"",IF($X1094&lt;&gt;"",$X1094,IF($T1094&lt;&gt;"Y","Not assessed",IF(AND(ISNUMBER($V1094),Setup!$B$6-$V1094&gt;Setup!$B$26),"Assessment outdated",IF(NOT(ISNUMBER($W1094)),"Assessed – no score",IF($W1094&gt;=Setup!$B$24,"High",IF($W1094&gt;=Setup!$B$25,"Moderate","Low")))))))</f>
        <v/>
      </c>
      <c r="AL1094" s="21">
        <f>IF(AND($A1094="",$B1094=""),"",IF(Z1094=0,"",IF(AND(AE1094=1,N($R1094)&gt;AD1094*1.01+0.001),"Net terrestrial &gt; gross; ","")&amp;IF(AND(AE1094=1,N($S1094)&gt;AC1094*1.01+0.001),"Net marine &gt; gross; ","")&amp;IF(AE1094=0,"No net area – gross used, overlaps may be double-counted; ","")&amp;IF(AH1094=0,"STATUS_YR missing – imputed in time series; ","")&amp;IF(AND(ISNUMBER($I1094),N($I1094)&gt;Setup!$B$6),"STATUS_YR after reporting year; ","")&amp;IF(OR($G1094="",$G1094="Not Reported"),"GOV_TYPE not reported; ","")&amp;IF(AND(N($J1094)=1,$K1094="Point",N($M1094)&lt;=0),"Coastal point without REP_M_AREA – land/sea split unknown; ","")&amp;IF(AND(N($J1094)=0,N($S1094)&gt;0),"MARINE=0 but net marine &gt;0; ","")&amp;IF(AND(N($J1094)=2,N($R1094)&gt;0),"MARINE=2 but net terrestrial &gt;0; ","")&amp;IF($K1094="Point","Buffered point – coverage approximate; ","")))</f>
        <v/>
      </c>
    </row>
    <row r="1095">
      <c r="A1095" s="19" t="n"/>
      <c r="B1095" s="19" t="n"/>
      <c r="C1095" s="19" t="n"/>
      <c r="D1095" s="19" t="n"/>
      <c r="E1095" s="19" t="n"/>
      <c r="F1095" s="19" t="n"/>
      <c r="G1095" s="19" t="n"/>
      <c r="H1095" s="19" t="n"/>
      <c r="I1095" s="19" t="n"/>
      <c r="J1095" s="19" t="n"/>
      <c r="K1095" s="19" t="n"/>
      <c r="L1095" s="20" t="n"/>
      <c r="M1095" s="20" t="n"/>
      <c r="N1095" s="20" t="n"/>
      <c r="O1095" s="20" t="n"/>
      <c r="P1095" s="19" t="n"/>
      <c r="Q1095" s="19" t="n"/>
      <c r="R1095" s="20" t="n"/>
      <c r="S1095" s="20" t="n"/>
      <c r="T1095" s="19" t="n"/>
      <c r="U1095" s="19" t="n"/>
      <c r="V1095" s="19" t="n"/>
      <c r="W1095" s="19" t="n"/>
      <c r="X1095" s="19" t="n"/>
      <c r="Y1095" s="19" t="n"/>
      <c r="Z1095" s="21">
        <f>IF(AND($A1095="",$B1095=""),"",IF(OR($E1095="",$H1095="",$H1095="Proposed",$H1095="Not Reported"),0,IF(AND($P1095="Y",$Q1095&lt;&gt;"Y"),0,IF(AND($K1095="Point",N($L1095)&lt;=0),0,IF(AND(N($L1095)&lt;=0,N($N1095)&lt;=0,N($R1095)+N($S1095)&lt;=0),0,1)))))</f>
        <v/>
      </c>
      <c r="AA1095" s="21">
        <f>IF(AND($A1095="",$B1095=""),"",IF($E1095="","Site type missing",IF($H1095="","STATUS missing",IF($H1095="Proposed","STATUS = Proposed",IF($H1095="Not Reported","STATUS = Not Reported",IF(AND($P1095="Y",$Q1095&lt;&gt;"Y"),"UNESCO-MAB Biosphere Reserve",IF(AND($K1095="Point",N($L1095)&lt;=0),"Point without REP_AREA",IF(AND(N($L1095)&lt;=0,N($N1095)&lt;=0,N($R1095)+N($S1095)&lt;=0),"No area information",""))))))))</f>
        <v/>
      </c>
      <c r="AB1095" s="22">
        <f>IF(AND($A1095="",$B1095=""),"",IF($K1095="Point",N($L1095),IF(N($N1095)&gt;0,N($N1095),N($L1095))))</f>
        <v/>
      </c>
      <c r="AC1095" s="22">
        <f>IF(AND($A1095="",$B1095=""),"",MIN(AB1095,IF(N($J1095)=0,0,IF(N($J1095)=2,AB1095,IF(AND($K1095&lt;&gt;"Point",N($O1095)&gt;0),N($O1095),N($M1095))))))</f>
        <v/>
      </c>
      <c r="AD1095" s="22">
        <f>IF(AND($A1095="",$B1095=""),"",MAX(0,AB1095-AC1095))</f>
        <v/>
      </c>
      <c r="AE1095" s="21">
        <f>IF(AND($A1095="",$B1095=""),"",IF(OR($R1095&lt;&gt;"",$S1095&lt;&gt;""),1,0))</f>
        <v/>
      </c>
      <c r="AF1095" s="22">
        <f>IF(AND($A1095="",$B1095=""),"",IF(Z1095=1,IF(AE1095=1,N($R1095),AD1095),0))</f>
        <v/>
      </c>
      <c r="AG1095" s="22">
        <f>IF(AND($A1095="",$B1095=""),"",IF(Z1095=1,IF(AE1095=1,N($S1095),AC1095),0))</f>
        <v/>
      </c>
      <c r="AH1095" s="21">
        <f>IF(AND($A1095="",$B1095=""),"",IF(AND(ISNUMBER($I1095),N($I1095)&gt;0),$I1095,0))</f>
        <v/>
      </c>
      <c r="AI1095" s="23">
        <f>IF(AND(NOT(AND($A1095="",$B1095="")),$K1095="Point",N($L1095)&gt;0),SQRT(N($L1095)/PI()),"")</f>
        <v/>
      </c>
      <c r="AJ1095" s="21">
        <f>IF(AND($A1095="",$B1095=""),"",IFERROR(VLOOKUP($G1095,Lists!$D$4:$E$15,2,FALSE),"Not reported"))</f>
        <v/>
      </c>
      <c r="AK1095" s="21">
        <f>IF(AND($A1095="",$B1095=""),"",IF($X1095&lt;&gt;"",$X1095,IF($T1095&lt;&gt;"Y","Not assessed",IF(AND(ISNUMBER($V1095),Setup!$B$6-$V1095&gt;Setup!$B$26),"Assessment outdated",IF(NOT(ISNUMBER($W1095)),"Assessed – no score",IF($W1095&gt;=Setup!$B$24,"High",IF($W1095&gt;=Setup!$B$25,"Moderate","Low")))))))</f>
        <v/>
      </c>
      <c r="AL1095" s="21">
        <f>IF(AND($A1095="",$B1095=""),"",IF(Z1095=0,"",IF(AND(AE1095=1,N($R1095)&gt;AD1095*1.01+0.001),"Net terrestrial &gt; gross; ","")&amp;IF(AND(AE1095=1,N($S1095)&gt;AC1095*1.01+0.001),"Net marine &gt; gross; ","")&amp;IF(AE1095=0,"No net area – gross used, overlaps may be double-counted; ","")&amp;IF(AH1095=0,"STATUS_YR missing – imputed in time series; ","")&amp;IF(AND(ISNUMBER($I1095),N($I1095)&gt;Setup!$B$6),"STATUS_YR after reporting year; ","")&amp;IF(OR($G1095="",$G1095="Not Reported"),"GOV_TYPE not reported; ","")&amp;IF(AND(N($J1095)=1,$K1095="Point",N($M1095)&lt;=0),"Coastal point without REP_M_AREA – land/sea split unknown; ","")&amp;IF(AND(N($J1095)=0,N($S1095)&gt;0),"MARINE=0 but net marine &gt;0; ","")&amp;IF(AND(N($J1095)=2,N($R1095)&gt;0),"MARINE=2 but net terrestrial &gt;0; ","")&amp;IF($K1095="Point","Buffered point – coverage approximate; ","")))</f>
        <v/>
      </c>
    </row>
    <row r="1096">
      <c r="A1096" s="19" t="n"/>
      <c r="B1096" s="19" t="n"/>
      <c r="C1096" s="19" t="n"/>
      <c r="D1096" s="19" t="n"/>
      <c r="E1096" s="19" t="n"/>
      <c r="F1096" s="19" t="n"/>
      <c r="G1096" s="19" t="n"/>
      <c r="H1096" s="19" t="n"/>
      <c r="I1096" s="19" t="n"/>
      <c r="J1096" s="19" t="n"/>
      <c r="K1096" s="19" t="n"/>
      <c r="L1096" s="20" t="n"/>
      <c r="M1096" s="20" t="n"/>
      <c r="N1096" s="20" t="n"/>
      <c r="O1096" s="20" t="n"/>
      <c r="P1096" s="19" t="n"/>
      <c r="Q1096" s="19" t="n"/>
      <c r="R1096" s="20" t="n"/>
      <c r="S1096" s="20" t="n"/>
      <c r="T1096" s="19" t="n"/>
      <c r="U1096" s="19" t="n"/>
      <c r="V1096" s="19" t="n"/>
      <c r="W1096" s="19" t="n"/>
      <c r="X1096" s="19" t="n"/>
      <c r="Y1096" s="19" t="n"/>
      <c r="Z1096" s="21">
        <f>IF(AND($A1096="",$B1096=""),"",IF(OR($E1096="",$H1096="",$H1096="Proposed",$H1096="Not Reported"),0,IF(AND($P1096="Y",$Q1096&lt;&gt;"Y"),0,IF(AND($K1096="Point",N($L1096)&lt;=0),0,IF(AND(N($L1096)&lt;=0,N($N1096)&lt;=0,N($R1096)+N($S1096)&lt;=0),0,1)))))</f>
        <v/>
      </c>
      <c r="AA1096" s="21">
        <f>IF(AND($A1096="",$B1096=""),"",IF($E1096="","Site type missing",IF($H1096="","STATUS missing",IF($H1096="Proposed","STATUS = Proposed",IF($H1096="Not Reported","STATUS = Not Reported",IF(AND($P1096="Y",$Q1096&lt;&gt;"Y"),"UNESCO-MAB Biosphere Reserve",IF(AND($K1096="Point",N($L1096)&lt;=0),"Point without REP_AREA",IF(AND(N($L1096)&lt;=0,N($N1096)&lt;=0,N($R1096)+N($S1096)&lt;=0),"No area information",""))))))))</f>
        <v/>
      </c>
      <c r="AB1096" s="22">
        <f>IF(AND($A1096="",$B1096=""),"",IF($K1096="Point",N($L1096),IF(N($N1096)&gt;0,N($N1096),N($L1096))))</f>
        <v/>
      </c>
      <c r="AC1096" s="22">
        <f>IF(AND($A1096="",$B1096=""),"",MIN(AB1096,IF(N($J1096)=0,0,IF(N($J1096)=2,AB1096,IF(AND($K1096&lt;&gt;"Point",N($O1096)&gt;0),N($O1096),N($M1096))))))</f>
        <v/>
      </c>
      <c r="AD1096" s="22">
        <f>IF(AND($A1096="",$B1096=""),"",MAX(0,AB1096-AC1096))</f>
        <v/>
      </c>
      <c r="AE1096" s="21">
        <f>IF(AND($A1096="",$B1096=""),"",IF(OR($R1096&lt;&gt;"",$S1096&lt;&gt;""),1,0))</f>
        <v/>
      </c>
      <c r="AF1096" s="22">
        <f>IF(AND($A1096="",$B1096=""),"",IF(Z1096=1,IF(AE1096=1,N($R1096),AD1096),0))</f>
        <v/>
      </c>
      <c r="AG1096" s="22">
        <f>IF(AND($A1096="",$B1096=""),"",IF(Z1096=1,IF(AE1096=1,N($S1096),AC1096),0))</f>
        <v/>
      </c>
      <c r="AH1096" s="21">
        <f>IF(AND($A1096="",$B1096=""),"",IF(AND(ISNUMBER($I1096),N($I1096)&gt;0),$I1096,0))</f>
        <v/>
      </c>
      <c r="AI1096" s="23">
        <f>IF(AND(NOT(AND($A1096="",$B1096="")),$K1096="Point",N($L1096)&gt;0),SQRT(N($L1096)/PI()),"")</f>
        <v/>
      </c>
      <c r="AJ1096" s="21">
        <f>IF(AND($A1096="",$B1096=""),"",IFERROR(VLOOKUP($G1096,Lists!$D$4:$E$15,2,FALSE),"Not reported"))</f>
        <v/>
      </c>
      <c r="AK1096" s="21">
        <f>IF(AND($A1096="",$B1096=""),"",IF($X1096&lt;&gt;"",$X1096,IF($T1096&lt;&gt;"Y","Not assessed",IF(AND(ISNUMBER($V1096),Setup!$B$6-$V1096&gt;Setup!$B$26),"Assessment outdated",IF(NOT(ISNUMBER($W1096)),"Assessed – no score",IF($W1096&gt;=Setup!$B$24,"High",IF($W1096&gt;=Setup!$B$25,"Moderate","Low")))))))</f>
        <v/>
      </c>
      <c r="AL1096" s="21">
        <f>IF(AND($A1096="",$B1096=""),"",IF(Z1096=0,"",IF(AND(AE1096=1,N($R1096)&gt;AD1096*1.01+0.001),"Net terrestrial &gt; gross; ","")&amp;IF(AND(AE1096=1,N($S1096)&gt;AC1096*1.01+0.001),"Net marine &gt; gross; ","")&amp;IF(AE1096=0,"No net area – gross used, overlaps may be double-counted; ","")&amp;IF(AH1096=0,"STATUS_YR missing – imputed in time series; ","")&amp;IF(AND(ISNUMBER($I1096),N($I1096)&gt;Setup!$B$6),"STATUS_YR after reporting year; ","")&amp;IF(OR($G1096="",$G1096="Not Reported"),"GOV_TYPE not reported; ","")&amp;IF(AND(N($J1096)=1,$K1096="Point",N($M1096)&lt;=0),"Coastal point without REP_M_AREA – land/sea split unknown; ","")&amp;IF(AND(N($J1096)=0,N($S1096)&gt;0),"MARINE=0 but net marine &gt;0; ","")&amp;IF(AND(N($J1096)=2,N($R1096)&gt;0),"MARINE=2 but net terrestrial &gt;0; ","")&amp;IF($K1096="Point","Buffered point – coverage approximate; ","")))</f>
        <v/>
      </c>
    </row>
    <row r="1097">
      <c r="A1097" s="19" t="n"/>
      <c r="B1097" s="19" t="n"/>
      <c r="C1097" s="19" t="n"/>
      <c r="D1097" s="19" t="n"/>
      <c r="E1097" s="19" t="n"/>
      <c r="F1097" s="19" t="n"/>
      <c r="G1097" s="19" t="n"/>
      <c r="H1097" s="19" t="n"/>
      <c r="I1097" s="19" t="n"/>
      <c r="J1097" s="19" t="n"/>
      <c r="K1097" s="19" t="n"/>
      <c r="L1097" s="20" t="n"/>
      <c r="M1097" s="20" t="n"/>
      <c r="N1097" s="20" t="n"/>
      <c r="O1097" s="20" t="n"/>
      <c r="P1097" s="19" t="n"/>
      <c r="Q1097" s="19" t="n"/>
      <c r="R1097" s="20" t="n"/>
      <c r="S1097" s="20" t="n"/>
      <c r="T1097" s="19" t="n"/>
      <c r="U1097" s="19" t="n"/>
      <c r="V1097" s="19" t="n"/>
      <c r="W1097" s="19" t="n"/>
      <c r="X1097" s="19" t="n"/>
      <c r="Y1097" s="19" t="n"/>
      <c r="Z1097" s="21">
        <f>IF(AND($A1097="",$B1097=""),"",IF(OR($E1097="",$H1097="",$H1097="Proposed",$H1097="Not Reported"),0,IF(AND($P1097="Y",$Q1097&lt;&gt;"Y"),0,IF(AND($K1097="Point",N($L1097)&lt;=0),0,IF(AND(N($L1097)&lt;=0,N($N1097)&lt;=0,N($R1097)+N($S1097)&lt;=0),0,1)))))</f>
        <v/>
      </c>
      <c r="AA1097" s="21">
        <f>IF(AND($A1097="",$B1097=""),"",IF($E1097="","Site type missing",IF($H1097="","STATUS missing",IF($H1097="Proposed","STATUS = Proposed",IF($H1097="Not Reported","STATUS = Not Reported",IF(AND($P1097="Y",$Q1097&lt;&gt;"Y"),"UNESCO-MAB Biosphere Reserve",IF(AND($K1097="Point",N($L1097)&lt;=0),"Point without REP_AREA",IF(AND(N($L1097)&lt;=0,N($N1097)&lt;=0,N($R1097)+N($S1097)&lt;=0),"No area information",""))))))))</f>
        <v/>
      </c>
      <c r="AB1097" s="22">
        <f>IF(AND($A1097="",$B1097=""),"",IF($K1097="Point",N($L1097),IF(N($N1097)&gt;0,N($N1097),N($L1097))))</f>
        <v/>
      </c>
      <c r="AC1097" s="22">
        <f>IF(AND($A1097="",$B1097=""),"",MIN(AB1097,IF(N($J1097)=0,0,IF(N($J1097)=2,AB1097,IF(AND($K1097&lt;&gt;"Point",N($O1097)&gt;0),N($O1097),N($M1097))))))</f>
        <v/>
      </c>
      <c r="AD1097" s="22">
        <f>IF(AND($A1097="",$B1097=""),"",MAX(0,AB1097-AC1097))</f>
        <v/>
      </c>
      <c r="AE1097" s="21">
        <f>IF(AND($A1097="",$B1097=""),"",IF(OR($R1097&lt;&gt;"",$S1097&lt;&gt;""),1,0))</f>
        <v/>
      </c>
      <c r="AF1097" s="22">
        <f>IF(AND($A1097="",$B1097=""),"",IF(Z1097=1,IF(AE1097=1,N($R1097),AD1097),0))</f>
        <v/>
      </c>
      <c r="AG1097" s="22">
        <f>IF(AND($A1097="",$B1097=""),"",IF(Z1097=1,IF(AE1097=1,N($S1097),AC1097),0))</f>
        <v/>
      </c>
      <c r="AH1097" s="21">
        <f>IF(AND($A1097="",$B1097=""),"",IF(AND(ISNUMBER($I1097),N($I1097)&gt;0),$I1097,0))</f>
        <v/>
      </c>
      <c r="AI1097" s="23">
        <f>IF(AND(NOT(AND($A1097="",$B1097="")),$K1097="Point",N($L1097)&gt;0),SQRT(N($L1097)/PI()),"")</f>
        <v/>
      </c>
      <c r="AJ1097" s="21">
        <f>IF(AND($A1097="",$B1097=""),"",IFERROR(VLOOKUP($G1097,Lists!$D$4:$E$15,2,FALSE),"Not reported"))</f>
        <v/>
      </c>
      <c r="AK1097" s="21">
        <f>IF(AND($A1097="",$B1097=""),"",IF($X1097&lt;&gt;"",$X1097,IF($T1097&lt;&gt;"Y","Not assessed",IF(AND(ISNUMBER($V1097),Setup!$B$6-$V1097&gt;Setup!$B$26),"Assessment outdated",IF(NOT(ISNUMBER($W1097)),"Assessed – no score",IF($W1097&gt;=Setup!$B$24,"High",IF($W1097&gt;=Setup!$B$25,"Moderate","Low")))))))</f>
        <v/>
      </c>
      <c r="AL1097" s="21">
        <f>IF(AND($A1097="",$B1097=""),"",IF(Z1097=0,"",IF(AND(AE1097=1,N($R1097)&gt;AD1097*1.01+0.001),"Net terrestrial &gt; gross; ","")&amp;IF(AND(AE1097=1,N($S1097)&gt;AC1097*1.01+0.001),"Net marine &gt; gross; ","")&amp;IF(AE1097=0,"No net area – gross used, overlaps may be double-counted; ","")&amp;IF(AH1097=0,"STATUS_YR missing – imputed in time series; ","")&amp;IF(AND(ISNUMBER($I1097),N($I1097)&gt;Setup!$B$6),"STATUS_YR after reporting year; ","")&amp;IF(OR($G1097="",$G1097="Not Reported"),"GOV_TYPE not reported; ","")&amp;IF(AND(N($J1097)=1,$K1097="Point",N($M1097)&lt;=0),"Coastal point without REP_M_AREA – land/sea split unknown; ","")&amp;IF(AND(N($J1097)=0,N($S1097)&gt;0),"MARINE=0 but net marine &gt;0; ","")&amp;IF(AND(N($J1097)=2,N($R1097)&gt;0),"MARINE=2 but net terrestrial &gt;0; ","")&amp;IF($K1097="Point","Buffered point – coverage approximate; ","")))</f>
        <v/>
      </c>
    </row>
    <row r="1098">
      <c r="A1098" s="19" t="n"/>
      <c r="B1098" s="19" t="n"/>
      <c r="C1098" s="19" t="n"/>
      <c r="D1098" s="19" t="n"/>
      <c r="E1098" s="19" t="n"/>
      <c r="F1098" s="19" t="n"/>
      <c r="G1098" s="19" t="n"/>
      <c r="H1098" s="19" t="n"/>
      <c r="I1098" s="19" t="n"/>
      <c r="J1098" s="19" t="n"/>
      <c r="K1098" s="19" t="n"/>
      <c r="L1098" s="20" t="n"/>
      <c r="M1098" s="20" t="n"/>
      <c r="N1098" s="20" t="n"/>
      <c r="O1098" s="20" t="n"/>
      <c r="P1098" s="19" t="n"/>
      <c r="Q1098" s="19" t="n"/>
      <c r="R1098" s="20" t="n"/>
      <c r="S1098" s="20" t="n"/>
      <c r="T1098" s="19" t="n"/>
      <c r="U1098" s="19" t="n"/>
      <c r="V1098" s="19" t="n"/>
      <c r="W1098" s="19" t="n"/>
      <c r="X1098" s="19" t="n"/>
      <c r="Y1098" s="19" t="n"/>
      <c r="Z1098" s="21">
        <f>IF(AND($A1098="",$B1098=""),"",IF(OR($E1098="",$H1098="",$H1098="Proposed",$H1098="Not Reported"),0,IF(AND($P1098="Y",$Q1098&lt;&gt;"Y"),0,IF(AND($K1098="Point",N($L1098)&lt;=0),0,IF(AND(N($L1098)&lt;=0,N($N1098)&lt;=0,N($R1098)+N($S1098)&lt;=0),0,1)))))</f>
        <v/>
      </c>
      <c r="AA1098" s="21">
        <f>IF(AND($A1098="",$B1098=""),"",IF($E1098="","Site type missing",IF($H1098="","STATUS missing",IF($H1098="Proposed","STATUS = Proposed",IF($H1098="Not Reported","STATUS = Not Reported",IF(AND($P1098="Y",$Q1098&lt;&gt;"Y"),"UNESCO-MAB Biosphere Reserve",IF(AND($K1098="Point",N($L1098)&lt;=0),"Point without REP_AREA",IF(AND(N($L1098)&lt;=0,N($N1098)&lt;=0,N($R1098)+N($S1098)&lt;=0),"No area information",""))))))))</f>
        <v/>
      </c>
      <c r="AB1098" s="22">
        <f>IF(AND($A1098="",$B1098=""),"",IF($K1098="Point",N($L1098),IF(N($N1098)&gt;0,N($N1098),N($L1098))))</f>
        <v/>
      </c>
      <c r="AC1098" s="22">
        <f>IF(AND($A1098="",$B1098=""),"",MIN(AB1098,IF(N($J1098)=0,0,IF(N($J1098)=2,AB1098,IF(AND($K1098&lt;&gt;"Point",N($O1098)&gt;0),N($O1098),N($M1098))))))</f>
        <v/>
      </c>
      <c r="AD1098" s="22">
        <f>IF(AND($A1098="",$B1098=""),"",MAX(0,AB1098-AC1098))</f>
        <v/>
      </c>
      <c r="AE1098" s="21">
        <f>IF(AND($A1098="",$B1098=""),"",IF(OR($R1098&lt;&gt;"",$S1098&lt;&gt;""),1,0))</f>
        <v/>
      </c>
      <c r="AF1098" s="22">
        <f>IF(AND($A1098="",$B1098=""),"",IF(Z1098=1,IF(AE1098=1,N($R1098),AD1098),0))</f>
        <v/>
      </c>
      <c r="AG1098" s="22">
        <f>IF(AND($A1098="",$B1098=""),"",IF(Z1098=1,IF(AE1098=1,N($S1098),AC1098),0))</f>
        <v/>
      </c>
      <c r="AH1098" s="21">
        <f>IF(AND($A1098="",$B1098=""),"",IF(AND(ISNUMBER($I1098),N($I1098)&gt;0),$I1098,0))</f>
        <v/>
      </c>
      <c r="AI1098" s="23">
        <f>IF(AND(NOT(AND($A1098="",$B1098="")),$K1098="Point",N($L1098)&gt;0),SQRT(N($L1098)/PI()),"")</f>
        <v/>
      </c>
      <c r="AJ1098" s="21">
        <f>IF(AND($A1098="",$B1098=""),"",IFERROR(VLOOKUP($G1098,Lists!$D$4:$E$15,2,FALSE),"Not reported"))</f>
        <v/>
      </c>
      <c r="AK1098" s="21">
        <f>IF(AND($A1098="",$B1098=""),"",IF($X1098&lt;&gt;"",$X1098,IF($T1098&lt;&gt;"Y","Not assessed",IF(AND(ISNUMBER($V1098),Setup!$B$6-$V1098&gt;Setup!$B$26),"Assessment outdated",IF(NOT(ISNUMBER($W1098)),"Assessed – no score",IF($W1098&gt;=Setup!$B$24,"High",IF($W1098&gt;=Setup!$B$25,"Moderate","Low")))))))</f>
        <v/>
      </c>
      <c r="AL1098" s="21">
        <f>IF(AND($A1098="",$B1098=""),"",IF(Z1098=0,"",IF(AND(AE1098=1,N($R1098)&gt;AD1098*1.01+0.001),"Net terrestrial &gt; gross; ","")&amp;IF(AND(AE1098=1,N($S1098)&gt;AC1098*1.01+0.001),"Net marine &gt; gross; ","")&amp;IF(AE1098=0,"No net area – gross used, overlaps may be double-counted; ","")&amp;IF(AH1098=0,"STATUS_YR missing – imputed in time series; ","")&amp;IF(AND(ISNUMBER($I1098),N($I1098)&gt;Setup!$B$6),"STATUS_YR after reporting year; ","")&amp;IF(OR($G1098="",$G1098="Not Reported"),"GOV_TYPE not reported; ","")&amp;IF(AND(N($J1098)=1,$K1098="Point",N($M1098)&lt;=0),"Coastal point without REP_M_AREA – land/sea split unknown; ","")&amp;IF(AND(N($J1098)=0,N($S1098)&gt;0),"MARINE=0 but net marine &gt;0; ","")&amp;IF(AND(N($J1098)=2,N($R1098)&gt;0),"MARINE=2 but net terrestrial &gt;0; ","")&amp;IF($K1098="Point","Buffered point – coverage approximate; ","")))</f>
        <v/>
      </c>
    </row>
    <row r="1099">
      <c r="A1099" s="19" t="n"/>
      <c r="B1099" s="19" t="n"/>
      <c r="C1099" s="19" t="n"/>
      <c r="D1099" s="19" t="n"/>
      <c r="E1099" s="19" t="n"/>
      <c r="F1099" s="19" t="n"/>
      <c r="G1099" s="19" t="n"/>
      <c r="H1099" s="19" t="n"/>
      <c r="I1099" s="19" t="n"/>
      <c r="J1099" s="19" t="n"/>
      <c r="K1099" s="19" t="n"/>
      <c r="L1099" s="20" t="n"/>
      <c r="M1099" s="20" t="n"/>
      <c r="N1099" s="20" t="n"/>
      <c r="O1099" s="20" t="n"/>
      <c r="P1099" s="19" t="n"/>
      <c r="Q1099" s="19" t="n"/>
      <c r="R1099" s="20" t="n"/>
      <c r="S1099" s="20" t="n"/>
      <c r="T1099" s="19" t="n"/>
      <c r="U1099" s="19" t="n"/>
      <c r="V1099" s="19" t="n"/>
      <c r="W1099" s="19" t="n"/>
      <c r="X1099" s="19" t="n"/>
      <c r="Y1099" s="19" t="n"/>
      <c r="Z1099" s="21">
        <f>IF(AND($A1099="",$B1099=""),"",IF(OR($E1099="",$H1099="",$H1099="Proposed",$H1099="Not Reported"),0,IF(AND($P1099="Y",$Q1099&lt;&gt;"Y"),0,IF(AND($K1099="Point",N($L1099)&lt;=0),0,IF(AND(N($L1099)&lt;=0,N($N1099)&lt;=0,N($R1099)+N($S1099)&lt;=0),0,1)))))</f>
        <v/>
      </c>
      <c r="AA1099" s="21">
        <f>IF(AND($A1099="",$B1099=""),"",IF($E1099="","Site type missing",IF($H1099="","STATUS missing",IF($H1099="Proposed","STATUS = Proposed",IF($H1099="Not Reported","STATUS = Not Reported",IF(AND($P1099="Y",$Q1099&lt;&gt;"Y"),"UNESCO-MAB Biosphere Reserve",IF(AND($K1099="Point",N($L1099)&lt;=0),"Point without REP_AREA",IF(AND(N($L1099)&lt;=0,N($N1099)&lt;=0,N($R1099)+N($S1099)&lt;=0),"No area information",""))))))))</f>
        <v/>
      </c>
      <c r="AB1099" s="22">
        <f>IF(AND($A1099="",$B1099=""),"",IF($K1099="Point",N($L1099),IF(N($N1099)&gt;0,N($N1099),N($L1099))))</f>
        <v/>
      </c>
      <c r="AC1099" s="22">
        <f>IF(AND($A1099="",$B1099=""),"",MIN(AB1099,IF(N($J1099)=0,0,IF(N($J1099)=2,AB1099,IF(AND($K1099&lt;&gt;"Point",N($O1099)&gt;0),N($O1099),N($M1099))))))</f>
        <v/>
      </c>
      <c r="AD1099" s="22">
        <f>IF(AND($A1099="",$B1099=""),"",MAX(0,AB1099-AC1099))</f>
        <v/>
      </c>
      <c r="AE1099" s="21">
        <f>IF(AND($A1099="",$B1099=""),"",IF(OR($R1099&lt;&gt;"",$S1099&lt;&gt;""),1,0))</f>
        <v/>
      </c>
      <c r="AF1099" s="22">
        <f>IF(AND($A1099="",$B1099=""),"",IF(Z1099=1,IF(AE1099=1,N($R1099),AD1099),0))</f>
        <v/>
      </c>
      <c r="AG1099" s="22">
        <f>IF(AND($A1099="",$B1099=""),"",IF(Z1099=1,IF(AE1099=1,N($S1099),AC1099),0))</f>
        <v/>
      </c>
      <c r="AH1099" s="21">
        <f>IF(AND($A1099="",$B1099=""),"",IF(AND(ISNUMBER($I1099),N($I1099)&gt;0),$I1099,0))</f>
        <v/>
      </c>
      <c r="AI1099" s="23">
        <f>IF(AND(NOT(AND($A1099="",$B1099="")),$K1099="Point",N($L1099)&gt;0),SQRT(N($L1099)/PI()),"")</f>
        <v/>
      </c>
      <c r="AJ1099" s="21">
        <f>IF(AND($A1099="",$B1099=""),"",IFERROR(VLOOKUP($G1099,Lists!$D$4:$E$15,2,FALSE),"Not reported"))</f>
        <v/>
      </c>
      <c r="AK1099" s="21">
        <f>IF(AND($A1099="",$B1099=""),"",IF($X1099&lt;&gt;"",$X1099,IF($T1099&lt;&gt;"Y","Not assessed",IF(AND(ISNUMBER($V1099),Setup!$B$6-$V1099&gt;Setup!$B$26),"Assessment outdated",IF(NOT(ISNUMBER($W1099)),"Assessed – no score",IF($W1099&gt;=Setup!$B$24,"High",IF($W1099&gt;=Setup!$B$25,"Moderate","Low")))))))</f>
        <v/>
      </c>
      <c r="AL1099" s="21">
        <f>IF(AND($A1099="",$B1099=""),"",IF(Z1099=0,"",IF(AND(AE1099=1,N($R1099)&gt;AD1099*1.01+0.001),"Net terrestrial &gt; gross; ","")&amp;IF(AND(AE1099=1,N($S1099)&gt;AC1099*1.01+0.001),"Net marine &gt; gross; ","")&amp;IF(AE1099=0,"No net area – gross used, overlaps may be double-counted; ","")&amp;IF(AH1099=0,"STATUS_YR missing – imputed in time series; ","")&amp;IF(AND(ISNUMBER($I1099),N($I1099)&gt;Setup!$B$6),"STATUS_YR after reporting year; ","")&amp;IF(OR($G1099="",$G1099="Not Reported"),"GOV_TYPE not reported; ","")&amp;IF(AND(N($J1099)=1,$K1099="Point",N($M1099)&lt;=0),"Coastal point without REP_M_AREA – land/sea split unknown; ","")&amp;IF(AND(N($J1099)=0,N($S1099)&gt;0),"MARINE=0 but net marine &gt;0; ","")&amp;IF(AND(N($J1099)=2,N($R1099)&gt;0),"MARINE=2 but net terrestrial &gt;0; ","")&amp;IF($K1099="Point","Buffered point – coverage approximate; ","")))</f>
        <v/>
      </c>
    </row>
    <row r="1100">
      <c r="A1100" s="19" t="n"/>
      <c r="B1100" s="19" t="n"/>
      <c r="C1100" s="19" t="n"/>
      <c r="D1100" s="19" t="n"/>
      <c r="E1100" s="19" t="n"/>
      <c r="F1100" s="19" t="n"/>
      <c r="G1100" s="19" t="n"/>
      <c r="H1100" s="19" t="n"/>
      <c r="I1100" s="19" t="n"/>
      <c r="J1100" s="19" t="n"/>
      <c r="K1100" s="19" t="n"/>
      <c r="L1100" s="20" t="n"/>
      <c r="M1100" s="20" t="n"/>
      <c r="N1100" s="20" t="n"/>
      <c r="O1100" s="20" t="n"/>
      <c r="P1100" s="19" t="n"/>
      <c r="Q1100" s="19" t="n"/>
      <c r="R1100" s="20" t="n"/>
      <c r="S1100" s="20" t="n"/>
      <c r="T1100" s="19" t="n"/>
      <c r="U1100" s="19" t="n"/>
      <c r="V1100" s="19" t="n"/>
      <c r="W1100" s="19" t="n"/>
      <c r="X1100" s="19" t="n"/>
      <c r="Y1100" s="19" t="n"/>
      <c r="Z1100" s="21">
        <f>IF(AND($A1100="",$B1100=""),"",IF(OR($E1100="",$H1100="",$H1100="Proposed",$H1100="Not Reported"),0,IF(AND($P1100="Y",$Q1100&lt;&gt;"Y"),0,IF(AND($K1100="Point",N($L1100)&lt;=0),0,IF(AND(N($L1100)&lt;=0,N($N1100)&lt;=0,N($R1100)+N($S1100)&lt;=0),0,1)))))</f>
        <v/>
      </c>
      <c r="AA1100" s="21">
        <f>IF(AND($A1100="",$B1100=""),"",IF($E1100="","Site type missing",IF($H1100="","STATUS missing",IF($H1100="Proposed","STATUS = Proposed",IF($H1100="Not Reported","STATUS = Not Reported",IF(AND($P1100="Y",$Q1100&lt;&gt;"Y"),"UNESCO-MAB Biosphere Reserve",IF(AND($K1100="Point",N($L1100)&lt;=0),"Point without REP_AREA",IF(AND(N($L1100)&lt;=0,N($N1100)&lt;=0,N($R1100)+N($S1100)&lt;=0),"No area information",""))))))))</f>
        <v/>
      </c>
      <c r="AB1100" s="22">
        <f>IF(AND($A1100="",$B1100=""),"",IF($K1100="Point",N($L1100),IF(N($N1100)&gt;0,N($N1100),N($L1100))))</f>
        <v/>
      </c>
      <c r="AC1100" s="22">
        <f>IF(AND($A1100="",$B1100=""),"",MIN(AB1100,IF(N($J1100)=0,0,IF(N($J1100)=2,AB1100,IF(AND($K1100&lt;&gt;"Point",N($O1100)&gt;0),N($O1100),N($M1100))))))</f>
        <v/>
      </c>
      <c r="AD1100" s="22">
        <f>IF(AND($A1100="",$B1100=""),"",MAX(0,AB1100-AC1100))</f>
        <v/>
      </c>
      <c r="AE1100" s="21">
        <f>IF(AND($A1100="",$B1100=""),"",IF(OR($R1100&lt;&gt;"",$S1100&lt;&gt;""),1,0))</f>
        <v/>
      </c>
      <c r="AF1100" s="22">
        <f>IF(AND($A1100="",$B1100=""),"",IF(Z1100=1,IF(AE1100=1,N($R1100),AD1100),0))</f>
        <v/>
      </c>
      <c r="AG1100" s="22">
        <f>IF(AND($A1100="",$B1100=""),"",IF(Z1100=1,IF(AE1100=1,N($S1100),AC1100),0))</f>
        <v/>
      </c>
      <c r="AH1100" s="21">
        <f>IF(AND($A1100="",$B1100=""),"",IF(AND(ISNUMBER($I1100),N($I1100)&gt;0),$I1100,0))</f>
        <v/>
      </c>
      <c r="AI1100" s="23">
        <f>IF(AND(NOT(AND($A1100="",$B1100="")),$K1100="Point",N($L1100)&gt;0),SQRT(N($L1100)/PI()),"")</f>
        <v/>
      </c>
      <c r="AJ1100" s="21">
        <f>IF(AND($A1100="",$B1100=""),"",IFERROR(VLOOKUP($G1100,Lists!$D$4:$E$15,2,FALSE),"Not reported"))</f>
        <v/>
      </c>
      <c r="AK1100" s="21">
        <f>IF(AND($A1100="",$B1100=""),"",IF($X1100&lt;&gt;"",$X1100,IF($T1100&lt;&gt;"Y","Not assessed",IF(AND(ISNUMBER($V1100),Setup!$B$6-$V1100&gt;Setup!$B$26),"Assessment outdated",IF(NOT(ISNUMBER($W1100)),"Assessed – no score",IF($W1100&gt;=Setup!$B$24,"High",IF($W1100&gt;=Setup!$B$25,"Moderate","Low")))))))</f>
        <v/>
      </c>
      <c r="AL1100" s="21">
        <f>IF(AND($A1100="",$B1100=""),"",IF(Z1100=0,"",IF(AND(AE1100=1,N($R1100)&gt;AD1100*1.01+0.001),"Net terrestrial &gt; gross; ","")&amp;IF(AND(AE1100=1,N($S1100)&gt;AC1100*1.01+0.001),"Net marine &gt; gross; ","")&amp;IF(AE1100=0,"No net area – gross used, overlaps may be double-counted; ","")&amp;IF(AH1100=0,"STATUS_YR missing – imputed in time series; ","")&amp;IF(AND(ISNUMBER($I1100),N($I1100)&gt;Setup!$B$6),"STATUS_YR after reporting year; ","")&amp;IF(OR($G1100="",$G1100="Not Reported"),"GOV_TYPE not reported; ","")&amp;IF(AND(N($J1100)=1,$K1100="Point",N($M1100)&lt;=0),"Coastal point without REP_M_AREA – land/sea split unknown; ","")&amp;IF(AND(N($J1100)=0,N($S1100)&gt;0),"MARINE=0 but net marine &gt;0; ","")&amp;IF(AND(N($J1100)=2,N($R1100)&gt;0),"MARINE=2 but net terrestrial &gt;0; ","")&amp;IF($K1100="Point","Buffered point – coverage approximate; ","")))</f>
        <v/>
      </c>
    </row>
    <row r="1101">
      <c r="A1101" s="19" t="n"/>
      <c r="B1101" s="19" t="n"/>
      <c r="C1101" s="19" t="n"/>
      <c r="D1101" s="19" t="n"/>
      <c r="E1101" s="19" t="n"/>
      <c r="F1101" s="19" t="n"/>
      <c r="G1101" s="19" t="n"/>
      <c r="H1101" s="19" t="n"/>
      <c r="I1101" s="19" t="n"/>
      <c r="J1101" s="19" t="n"/>
      <c r="K1101" s="19" t="n"/>
      <c r="L1101" s="20" t="n"/>
      <c r="M1101" s="20" t="n"/>
      <c r="N1101" s="20" t="n"/>
      <c r="O1101" s="20" t="n"/>
      <c r="P1101" s="19" t="n"/>
      <c r="Q1101" s="19" t="n"/>
      <c r="R1101" s="20" t="n"/>
      <c r="S1101" s="20" t="n"/>
      <c r="T1101" s="19" t="n"/>
      <c r="U1101" s="19" t="n"/>
      <c r="V1101" s="19" t="n"/>
      <c r="W1101" s="19" t="n"/>
      <c r="X1101" s="19" t="n"/>
      <c r="Y1101" s="19" t="n"/>
      <c r="Z1101" s="21">
        <f>IF(AND($A1101="",$B1101=""),"",IF(OR($E1101="",$H1101="",$H1101="Proposed",$H1101="Not Reported"),0,IF(AND($P1101="Y",$Q1101&lt;&gt;"Y"),0,IF(AND($K1101="Point",N($L1101)&lt;=0),0,IF(AND(N($L1101)&lt;=0,N($N1101)&lt;=0,N($R1101)+N($S1101)&lt;=0),0,1)))))</f>
        <v/>
      </c>
      <c r="AA1101" s="21">
        <f>IF(AND($A1101="",$B1101=""),"",IF($E1101="","Site type missing",IF($H1101="","STATUS missing",IF($H1101="Proposed","STATUS = Proposed",IF($H1101="Not Reported","STATUS = Not Reported",IF(AND($P1101="Y",$Q1101&lt;&gt;"Y"),"UNESCO-MAB Biosphere Reserve",IF(AND($K1101="Point",N($L1101)&lt;=0),"Point without REP_AREA",IF(AND(N($L1101)&lt;=0,N($N1101)&lt;=0,N($R1101)+N($S1101)&lt;=0),"No area information",""))))))))</f>
        <v/>
      </c>
      <c r="AB1101" s="22">
        <f>IF(AND($A1101="",$B1101=""),"",IF($K1101="Point",N($L1101),IF(N($N1101)&gt;0,N($N1101),N($L1101))))</f>
        <v/>
      </c>
      <c r="AC1101" s="22">
        <f>IF(AND($A1101="",$B1101=""),"",MIN(AB1101,IF(N($J1101)=0,0,IF(N($J1101)=2,AB1101,IF(AND($K1101&lt;&gt;"Point",N($O1101)&gt;0),N($O1101),N($M1101))))))</f>
        <v/>
      </c>
      <c r="AD1101" s="22">
        <f>IF(AND($A1101="",$B1101=""),"",MAX(0,AB1101-AC1101))</f>
        <v/>
      </c>
      <c r="AE1101" s="21">
        <f>IF(AND($A1101="",$B1101=""),"",IF(OR($R1101&lt;&gt;"",$S1101&lt;&gt;""),1,0))</f>
        <v/>
      </c>
      <c r="AF1101" s="22">
        <f>IF(AND($A1101="",$B1101=""),"",IF(Z1101=1,IF(AE1101=1,N($R1101),AD1101),0))</f>
        <v/>
      </c>
      <c r="AG1101" s="22">
        <f>IF(AND($A1101="",$B1101=""),"",IF(Z1101=1,IF(AE1101=1,N($S1101),AC1101),0))</f>
        <v/>
      </c>
      <c r="AH1101" s="21">
        <f>IF(AND($A1101="",$B1101=""),"",IF(AND(ISNUMBER($I1101),N($I1101)&gt;0),$I1101,0))</f>
        <v/>
      </c>
      <c r="AI1101" s="23">
        <f>IF(AND(NOT(AND($A1101="",$B1101="")),$K1101="Point",N($L1101)&gt;0),SQRT(N($L1101)/PI()),"")</f>
        <v/>
      </c>
      <c r="AJ1101" s="21">
        <f>IF(AND($A1101="",$B1101=""),"",IFERROR(VLOOKUP($G1101,Lists!$D$4:$E$15,2,FALSE),"Not reported"))</f>
        <v/>
      </c>
      <c r="AK1101" s="21">
        <f>IF(AND($A1101="",$B1101=""),"",IF($X1101&lt;&gt;"",$X1101,IF($T1101&lt;&gt;"Y","Not assessed",IF(AND(ISNUMBER($V1101),Setup!$B$6-$V1101&gt;Setup!$B$26),"Assessment outdated",IF(NOT(ISNUMBER($W1101)),"Assessed – no score",IF($W1101&gt;=Setup!$B$24,"High",IF($W1101&gt;=Setup!$B$25,"Moderate","Low")))))))</f>
        <v/>
      </c>
      <c r="AL1101" s="21">
        <f>IF(AND($A1101="",$B1101=""),"",IF(Z1101=0,"",IF(AND(AE1101=1,N($R1101)&gt;AD1101*1.01+0.001),"Net terrestrial &gt; gross; ","")&amp;IF(AND(AE1101=1,N($S1101)&gt;AC1101*1.01+0.001),"Net marine &gt; gross; ","")&amp;IF(AE1101=0,"No net area – gross used, overlaps may be double-counted; ","")&amp;IF(AH1101=0,"STATUS_YR missing – imputed in time series; ","")&amp;IF(AND(ISNUMBER($I1101),N($I1101)&gt;Setup!$B$6),"STATUS_YR after reporting year; ","")&amp;IF(OR($G1101="",$G1101="Not Reported"),"GOV_TYPE not reported; ","")&amp;IF(AND(N($J1101)=1,$K1101="Point",N($M1101)&lt;=0),"Coastal point without REP_M_AREA – land/sea split unknown; ","")&amp;IF(AND(N($J1101)=0,N($S1101)&gt;0),"MARINE=0 but net marine &gt;0; ","")&amp;IF(AND(N($J1101)=2,N($R1101)&gt;0),"MARINE=2 but net terrestrial &gt;0; ","")&amp;IF($K1101="Point","Buffered point – coverage approximate; ","")))</f>
        <v/>
      </c>
    </row>
    <row r="1102">
      <c r="A1102" s="19" t="n"/>
      <c r="B1102" s="19" t="n"/>
      <c r="C1102" s="19" t="n"/>
      <c r="D1102" s="19" t="n"/>
      <c r="E1102" s="19" t="n"/>
      <c r="F1102" s="19" t="n"/>
      <c r="G1102" s="19" t="n"/>
      <c r="H1102" s="19" t="n"/>
      <c r="I1102" s="19" t="n"/>
      <c r="J1102" s="19" t="n"/>
      <c r="K1102" s="19" t="n"/>
      <c r="L1102" s="20" t="n"/>
      <c r="M1102" s="20" t="n"/>
      <c r="N1102" s="20" t="n"/>
      <c r="O1102" s="20" t="n"/>
      <c r="P1102" s="19" t="n"/>
      <c r="Q1102" s="19" t="n"/>
      <c r="R1102" s="20" t="n"/>
      <c r="S1102" s="20" t="n"/>
      <c r="T1102" s="19" t="n"/>
      <c r="U1102" s="19" t="n"/>
      <c r="V1102" s="19" t="n"/>
      <c r="W1102" s="19" t="n"/>
      <c r="X1102" s="19" t="n"/>
      <c r="Y1102" s="19" t="n"/>
      <c r="Z1102" s="21">
        <f>IF(AND($A1102="",$B1102=""),"",IF(OR($E1102="",$H1102="",$H1102="Proposed",$H1102="Not Reported"),0,IF(AND($P1102="Y",$Q1102&lt;&gt;"Y"),0,IF(AND($K1102="Point",N($L1102)&lt;=0),0,IF(AND(N($L1102)&lt;=0,N($N1102)&lt;=0,N($R1102)+N($S1102)&lt;=0),0,1)))))</f>
        <v/>
      </c>
      <c r="AA1102" s="21">
        <f>IF(AND($A1102="",$B1102=""),"",IF($E1102="","Site type missing",IF($H1102="","STATUS missing",IF($H1102="Proposed","STATUS = Proposed",IF($H1102="Not Reported","STATUS = Not Reported",IF(AND($P1102="Y",$Q1102&lt;&gt;"Y"),"UNESCO-MAB Biosphere Reserve",IF(AND($K1102="Point",N($L1102)&lt;=0),"Point without REP_AREA",IF(AND(N($L1102)&lt;=0,N($N1102)&lt;=0,N($R1102)+N($S1102)&lt;=0),"No area information",""))))))))</f>
        <v/>
      </c>
      <c r="AB1102" s="22">
        <f>IF(AND($A1102="",$B1102=""),"",IF($K1102="Point",N($L1102),IF(N($N1102)&gt;0,N($N1102),N($L1102))))</f>
        <v/>
      </c>
      <c r="AC1102" s="22">
        <f>IF(AND($A1102="",$B1102=""),"",MIN(AB1102,IF(N($J1102)=0,0,IF(N($J1102)=2,AB1102,IF(AND($K1102&lt;&gt;"Point",N($O1102)&gt;0),N($O1102),N($M1102))))))</f>
        <v/>
      </c>
      <c r="AD1102" s="22">
        <f>IF(AND($A1102="",$B1102=""),"",MAX(0,AB1102-AC1102))</f>
        <v/>
      </c>
      <c r="AE1102" s="21">
        <f>IF(AND($A1102="",$B1102=""),"",IF(OR($R1102&lt;&gt;"",$S1102&lt;&gt;""),1,0))</f>
        <v/>
      </c>
      <c r="AF1102" s="22">
        <f>IF(AND($A1102="",$B1102=""),"",IF(Z1102=1,IF(AE1102=1,N($R1102),AD1102),0))</f>
        <v/>
      </c>
      <c r="AG1102" s="22">
        <f>IF(AND($A1102="",$B1102=""),"",IF(Z1102=1,IF(AE1102=1,N($S1102),AC1102),0))</f>
        <v/>
      </c>
      <c r="AH1102" s="21">
        <f>IF(AND($A1102="",$B1102=""),"",IF(AND(ISNUMBER($I1102),N($I1102)&gt;0),$I1102,0))</f>
        <v/>
      </c>
      <c r="AI1102" s="23">
        <f>IF(AND(NOT(AND($A1102="",$B1102="")),$K1102="Point",N($L1102)&gt;0),SQRT(N($L1102)/PI()),"")</f>
        <v/>
      </c>
      <c r="AJ1102" s="21">
        <f>IF(AND($A1102="",$B1102=""),"",IFERROR(VLOOKUP($G1102,Lists!$D$4:$E$15,2,FALSE),"Not reported"))</f>
        <v/>
      </c>
      <c r="AK1102" s="21">
        <f>IF(AND($A1102="",$B1102=""),"",IF($X1102&lt;&gt;"",$X1102,IF($T1102&lt;&gt;"Y","Not assessed",IF(AND(ISNUMBER($V1102),Setup!$B$6-$V1102&gt;Setup!$B$26),"Assessment outdated",IF(NOT(ISNUMBER($W1102)),"Assessed – no score",IF($W1102&gt;=Setup!$B$24,"High",IF($W1102&gt;=Setup!$B$25,"Moderate","Low")))))))</f>
        <v/>
      </c>
      <c r="AL1102" s="21">
        <f>IF(AND($A1102="",$B1102=""),"",IF(Z1102=0,"",IF(AND(AE1102=1,N($R1102)&gt;AD1102*1.01+0.001),"Net terrestrial &gt; gross; ","")&amp;IF(AND(AE1102=1,N($S1102)&gt;AC1102*1.01+0.001),"Net marine &gt; gross; ","")&amp;IF(AE1102=0,"No net area – gross used, overlaps may be double-counted; ","")&amp;IF(AH1102=0,"STATUS_YR missing – imputed in time series; ","")&amp;IF(AND(ISNUMBER($I1102),N($I1102)&gt;Setup!$B$6),"STATUS_YR after reporting year; ","")&amp;IF(OR($G1102="",$G1102="Not Reported"),"GOV_TYPE not reported; ","")&amp;IF(AND(N($J1102)=1,$K1102="Point",N($M1102)&lt;=0),"Coastal point without REP_M_AREA – land/sea split unknown; ","")&amp;IF(AND(N($J1102)=0,N($S1102)&gt;0),"MARINE=0 but net marine &gt;0; ","")&amp;IF(AND(N($J1102)=2,N($R1102)&gt;0),"MARINE=2 but net terrestrial &gt;0; ","")&amp;IF($K1102="Point","Buffered point – coverage approximate; ","")))</f>
        <v/>
      </c>
    </row>
    <row r="1103">
      <c r="A1103" s="19" t="n"/>
      <c r="B1103" s="19" t="n"/>
      <c r="C1103" s="19" t="n"/>
      <c r="D1103" s="19" t="n"/>
      <c r="E1103" s="19" t="n"/>
      <c r="F1103" s="19" t="n"/>
      <c r="G1103" s="19" t="n"/>
      <c r="H1103" s="19" t="n"/>
      <c r="I1103" s="19" t="n"/>
      <c r="J1103" s="19" t="n"/>
      <c r="K1103" s="19" t="n"/>
      <c r="L1103" s="20" t="n"/>
      <c r="M1103" s="20" t="n"/>
      <c r="N1103" s="20" t="n"/>
      <c r="O1103" s="20" t="n"/>
      <c r="P1103" s="19" t="n"/>
      <c r="Q1103" s="19" t="n"/>
      <c r="R1103" s="20" t="n"/>
      <c r="S1103" s="20" t="n"/>
      <c r="T1103" s="19" t="n"/>
      <c r="U1103" s="19" t="n"/>
      <c r="V1103" s="19" t="n"/>
      <c r="W1103" s="19" t="n"/>
      <c r="X1103" s="19" t="n"/>
      <c r="Y1103" s="19" t="n"/>
      <c r="Z1103" s="21">
        <f>IF(AND($A1103="",$B1103=""),"",IF(OR($E1103="",$H1103="",$H1103="Proposed",$H1103="Not Reported"),0,IF(AND($P1103="Y",$Q1103&lt;&gt;"Y"),0,IF(AND($K1103="Point",N($L1103)&lt;=0),0,IF(AND(N($L1103)&lt;=0,N($N1103)&lt;=0,N($R1103)+N($S1103)&lt;=0),0,1)))))</f>
        <v/>
      </c>
      <c r="AA1103" s="21">
        <f>IF(AND($A1103="",$B1103=""),"",IF($E1103="","Site type missing",IF($H1103="","STATUS missing",IF($H1103="Proposed","STATUS = Proposed",IF($H1103="Not Reported","STATUS = Not Reported",IF(AND($P1103="Y",$Q1103&lt;&gt;"Y"),"UNESCO-MAB Biosphere Reserve",IF(AND($K1103="Point",N($L1103)&lt;=0),"Point without REP_AREA",IF(AND(N($L1103)&lt;=0,N($N1103)&lt;=0,N($R1103)+N($S1103)&lt;=0),"No area information",""))))))))</f>
        <v/>
      </c>
      <c r="AB1103" s="22">
        <f>IF(AND($A1103="",$B1103=""),"",IF($K1103="Point",N($L1103),IF(N($N1103)&gt;0,N($N1103),N($L1103))))</f>
        <v/>
      </c>
      <c r="AC1103" s="22">
        <f>IF(AND($A1103="",$B1103=""),"",MIN(AB1103,IF(N($J1103)=0,0,IF(N($J1103)=2,AB1103,IF(AND($K1103&lt;&gt;"Point",N($O1103)&gt;0),N($O1103),N($M1103))))))</f>
        <v/>
      </c>
      <c r="AD1103" s="22">
        <f>IF(AND($A1103="",$B1103=""),"",MAX(0,AB1103-AC1103))</f>
        <v/>
      </c>
      <c r="AE1103" s="21">
        <f>IF(AND($A1103="",$B1103=""),"",IF(OR($R1103&lt;&gt;"",$S1103&lt;&gt;""),1,0))</f>
        <v/>
      </c>
      <c r="AF1103" s="22">
        <f>IF(AND($A1103="",$B1103=""),"",IF(Z1103=1,IF(AE1103=1,N($R1103),AD1103),0))</f>
        <v/>
      </c>
      <c r="AG1103" s="22">
        <f>IF(AND($A1103="",$B1103=""),"",IF(Z1103=1,IF(AE1103=1,N($S1103),AC1103),0))</f>
        <v/>
      </c>
      <c r="AH1103" s="21">
        <f>IF(AND($A1103="",$B1103=""),"",IF(AND(ISNUMBER($I1103),N($I1103)&gt;0),$I1103,0))</f>
        <v/>
      </c>
      <c r="AI1103" s="23">
        <f>IF(AND(NOT(AND($A1103="",$B1103="")),$K1103="Point",N($L1103)&gt;0),SQRT(N($L1103)/PI()),"")</f>
        <v/>
      </c>
      <c r="AJ1103" s="21">
        <f>IF(AND($A1103="",$B1103=""),"",IFERROR(VLOOKUP($G1103,Lists!$D$4:$E$15,2,FALSE),"Not reported"))</f>
        <v/>
      </c>
      <c r="AK1103" s="21">
        <f>IF(AND($A1103="",$B1103=""),"",IF($X1103&lt;&gt;"",$X1103,IF($T1103&lt;&gt;"Y","Not assessed",IF(AND(ISNUMBER($V1103),Setup!$B$6-$V1103&gt;Setup!$B$26),"Assessment outdated",IF(NOT(ISNUMBER($W1103)),"Assessed – no score",IF($W1103&gt;=Setup!$B$24,"High",IF($W1103&gt;=Setup!$B$25,"Moderate","Low")))))))</f>
        <v/>
      </c>
      <c r="AL1103" s="21">
        <f>IF(AND($A1103="",$B1103=""),"",IF(Z1103=0,"",IF(AND(AE1103=1,N($R1103)&gt;AD1103*1.01+0.001),"Net terrestrial &gt; gross; ","")&amp;IF(AND(AE1103=1,N($S1103)&gt;AC1103*1.01+0.001),"Net marine &gt; gross; ","")&amp;IF(AE1103=0,"No net area – gross used, overlaps may be double-counted; ","")&amp;IF(AH1103=0,"STATUS_YR missing – imputed in time series; ","")&amp;IF(AND(ISNUMBER($I1103),N($I1103)&gt;Setup!$B$6),"STATUS_YR after reporting year; ","")&amp;IF(OR($G1103="",$G1103="Not Reported"),"GOV_TYPE not reported; ","")&amp;IF(AND(N($J1103)=1,$K1103="Point",N($M1103)&lt;=0),"Coastal point without REP_M_AREA – land/sea split unknown; ","")&amp;IF(AND(N($J1103)=0,N($S1103)&gt;0),"MARINE=0 but net marine &gt;0; ","")&amp;IF(AND(N($J1103)=2,N($R1103)&gt;0),"MARINE=2 but net terrestrial &gt;0; ","")&amp;IF($K1103="Point","Buffered point – coverage approximate; ","")))</f>
        <v/>
      </c>
    </row>
    <row r="1104">
      <c r="A1104" s="19" t="n"/>
      <c r="B1104" s="19" t="n"/>
      <c r="C1104" s="19" t="n"/>
      <c r="D1104" s="19" t="n"/>
      <c r="E1104" s="19" t="n"/>
      <c r="F1104" s="19" t="n"/>
      <c r="G1104" s="19" t="n"/>
      <c r="H1104" s="19" t="n"/>
      <c r="I1104" s="19" t="n"/>
      <c r="J1104" s="19" t="n"/>
      <c r="K1104" s="19" t="n"/>
      <c r="L1104" s="20" t="n"/>
      <c r="M1104" s="20" t="n"/>
      <c r="N1104" s="20" t="n"/>
      <c r="O1104" s="20" t="n"/>
      <c r="P1104" s="19" t="n"/>
      <c r="Q1104" s="19" t="n"/>
      <c r="R1104" s="20" t="n"/>
      <c r="S1104" s="20" t="n"/>
      <c r="T1104" s="19" t="n"/>
      <c r="U1104" s="19" t="n"/>
      <c r="V1104" s="19" t="n"/>
      <c r="W1104" s="19" t="n"/>
      <c r="X1104" s="19" t="n"/>
      <c r="Y1104" s="19" t="n"/>
      <c r="Z1104" s="21">
        <f>IF(AND($A1104="",$B1104=""),"",IF(OR($E1104="",$H1104="",$H1104="Proposed",$H1104="Not Reported"),0,IF(AND($P1104="Y",$Q1104&lt;&gt;"Y"),0,IF(AND($K1104="Point",N($L1104)&lt;=0),0,IF(AND(N($L1104)&lt;=0,N($N1104)&lt;=0,N($R1104)+N($S1104)&lt;=0),0,1)))))</f>
        <v/>
      </c>
      <c r="AA1104" s="21">
        <f>IF(AND($A1104="",$B1104=""),"",IF($E1104="","Site type missing",IF($H1104="","STATUS missing",IF($H1104="Proposed","STATUS = Proposed",IF($H1104="Not Reported","STATUS = Not Reported",IF(AND($P1104="Y",$Q1104&lt;&gt;"Y"),"UNESCO-MAB Biosphere Reserve",IF(AND($K1104="Point",N($L1104)&lt;=0),"Point without REP_AREA",IF(AND(N($L1104)&lt;=0,N($N1104)&lt;=0,N($R1104)+N($S1104)&lt;=0),"No area information",""))))))))</f>
        <v/>
      </c>
      <c r="AB1104" s="22">
        <f>IF(AND($A1104="",$B1104=""),"",IF($K1104="Point",N($L1104),IF(N($N1104)&gt;0,N($N1104),N($L1104))))</f>
        <v/>
      </c>
      <c r="AC1104" s="22">
        <f>IF(AND($A1104="",$B1104=""),"",MIN(AB1104,IF(N($J1104)=0,0,IF(N($J1104)=2,AB1104,IF(AND($K1104&lt;&gt;"Point",N($O1104)&gt;0),N($O1104),N($M1104))))))</f>
        <v/>
      </c>
      <c r="AD1104" s="22">
        <f>IF(AND($A1104="",$B1104=""),"",MAX(0,AB1104-AC1104))</f>
        <v/>
      </c>
      <c r="AE1104" s="21">
        <f>IF(AND($A1104="",$B1104=""),"",IF(OR($R1104&lt;&gt;"",$S1104&lt;&gt;""),1,0))</f>
        <v/>
      </c>
      <c r="AF1104" s="22">
        <f>IF(AND($A1104="",$B1104=""),"",IF(Z1104=1,IF(AE1104=1,N($R1104),AD1104),0))</f>
        <v/>
      </c>
      <c r="AG1104" s="22">
        <f>IF(AND($A1104="",$B1104=""),"",IF(Z1104=1,IF(AE1104=1,N($S1104),AC1104),0))</f>
        <v/>
      </c>
      <c r="AH1104" s="21">
        <f>IF(AND($A1104="",$B1104=""),"",IF(AND(ISNUMBER($I1104),N($I1104)&gt;0),$I1104,0))</f>
        <v/>
      </c>
      <c r="AI1104" s="23">
        <f>IF(AND(NOT(AND($A1104="",$B1104="")),$K1104="Point",N($L1104)&gt;0),SQRT(N($L1104)/PI()),"")</f>
        <v/>
      </c>
      <c r="AJ1104" s="21">
        <f>IF(AND($A1104="",$B1104=""),"",IFERROR(VLOOKUP($G1104,Lists!$D$4:$E$15,2,FALSE),"Not reported"))</f>
        <v/>
      </c>
      <c r="AK1104" s="21">
        <f>IF(AND($A1104="",$B1104=""),"",IF($X1104&lt;&gt;"",$X1104,IF($T1104&lt;&gt;"Y","Not assessed",IF(AND(ISNUMBER($V1104),Setup!$B$6-$V1104&gt;Setup!$B$26),"Assessment outdated",IF(NOT(ISNUMBER($W1104)),"Assessed – no score",IF($W1104&gt;=Setup!$B$24,"High",IF($W1104&gt;=Setup!$B$25,"Moderate","Low")))))))</f>
        <v/>
      </c>
      <c r="AL1104" s="21">
        <f>IF(AND($A1104="",$B1104=""),"",IF(Z1104=0,"",IF(AND(AE1104=1,N($R1104)&gt;AD1104*1.01+0.001),"Net terrestrial &gt; gross; ","")&amp;IF(AND(AE1104=1,N($S1104)&gt;AC1104*1.01+0.001),"Net marine &gt; gross; ","")&amp;IF(AE1104=0,"No net area – gross used, overlaps may be double-counted; ","")&amp;IF(AH1104=0,"STATUS_YR missing – imputed in time series; ","")&amp;IF(AND(ISNUMBER($I1104),N($I1104)&gt;Setup!$B$6),"STATUS_YR after reporting year; ","")&amp;IF(OR($G1104="",$G1104="Not Reported"),"GOV_TYPE not reported; ","")&amp;IF(AND(N($J1104)=1,$K1104="Point",N($M1104)&lt;=0),"Coastal point without REP_M_AREA – land/sea split unknown; ","")&amp;IF(AND(N($J1104)=0,N($S1104)&gt;0),"MARINE=0 but net marine &gt;0; ","")&amp;IF(AND(N($J1104)=2,N($R1104)&gt;0),"MARINE=2 but net terrestrial &gt;0; ","")&amp;IF($K1104="Point","Buffered point – coverage approximate; ","")))</f>
        <v/>
      </c>
    </row>
    <row r="1105">
      <c r="A1105" s="19" t="n"/>
      <c r="B1105" s="19" t="n"/>
      <c r="C1105" s="19" t="n"/>
      <c r="D1105" s="19" t="n"/>
      <c r="E1105" s="19" t="n"/>
      <c r="F1105" s="19" t="n"/>
      <c r="G1105" s="19" t="n"/>
      <c r="H1105" s="19" t="n"/>
      <c r="I1105" s="19" t="n"/>
      <c r="J1105" s="19" t="n"/>
      <c r="K1105" s="19" t="n"/>
      <c r="L1105" s="20" t="n"/>
      <c r="M1105" s="20" t="n"/>
      <c r="N1105" s="20" t="n"/>
      <c r="O1105" s="20" t="n"/>
      <c r="P1105" s="19" t="n"/>
      <c r="Q1105" s="19" t="n"/>
      <c r="R1105" s="20" t="n"/>
      <c r="S1105" s="20" t="n"/>
      <c r="T1105" s="19" t="n"/>
      <c r="U1105" s="19" t="n"/>
      <c r="V1105" s="19" t="n"/>
      <c r="W1105" s="19" t="n"/>
      <c r="X1105" s="19" t="n"/>
      <c r="Y1105" s="19" t="n"/>
      <c r="Z1105" s="21">
        <f>IF(AND($A1105="",$B1105=""),"",IF(OR($E1105="",$H1105="",$H1105="Proposed",$H1105="Not Reported"),0,IF(AND($P1105="Y",$Q1105&lt;&gt;"Y"),0,IF(AND($K1105="Point",N($L1105)&lt;=0),0,IF(AND(N($L1105)&lt;=0,N($N1105)&lt;=0,N($R1105)+N($S1105)&lt;=0),0,1)))))</f>
        <v/>
      </c>
      <c r="AA1105" s="21">
        <f>IF(AND($A1105="",$B1105=""),"",IF($E1105="","Site type missing",IF($H1105="","STATUS missing",IF($H1105="Proposed","STATUS = Proposed",IF($H1105="Not Reported","STATUS = Not Reported",IF(AND($P1105="Y",$Q1105&lt;&gt;"Y"),"UNESCO-MAB Biosphere Reserve",IF(AND($K1105="Point",N($L1105)&lt;=0),"Point without REP_AREA",IF(AND(N($L1105)&lt;=0,N($N1105)&lt;=0,N($R1105)+N($S1105)&lt;=0),"No area information",""))))))))</f>
        <v/>
      </c>
      <c r="AB1105" s="22">
        <f>IF(AND($A1105="",$B1105=""),"",IF($K1105="Point",N($L1105),IF(N($N1105)&gt;0,N($N1105),N($L1105))))</f>
        <v/>
      </c>
      <c r="AC1105" s="22">
        <f>IF(AND($A1105="",$B1105=""),"",MIN(AB1105,IF(N($J1105)=0,0,IF(N($J1105)=2,AB1105,IF(AND($K1105&lt;&gt;"Point",N($O1105)&gt;0),N($O1105),N($M1105))))))</f>
        <v/>
      </c>
      <c r="AD1105" s="22">
        <f>IF(AND($A1105="",$B1105=""),"",MAX(0,AB1105-AC1105))</f>
        <v/>
      </c>
      <c r="AE1105" s="21">
        <f>IF(AND($A1105="",$B1105=""),"",IF(OR($R1105&lt;&gt;"",$S1105&lt;&gt;""),1,0))</f>
        <v/>
      </c>
      <c r="AF1105" s="22">
        <f>IF(AND($A1105="",$B1105=""),"",IF(Z1105=1,IF(AE1105=1,N($R1105),AD1105),0))</f>
        <v/>
      </c>
      <c r="AG1105" s="22">
        <f>IF(AND($A1105="",$B1105=""),"",IF(Z1105=1,IF(AE1105=1,N($S1105),AC1105),0))</f>
        <v/>
      </c>
      <c r="AH1105" s="21">
        <f>IF(AND($A1105="",$B1105=""),"",IF(AND(ISNUMBER($I1105),N($I1105)&gt;0),$I1105,0))</f>
        <v/>
      </c>
      <c r="AI1105" s="23">
        <f>IF(AND(NOT(AND($A1105="",$B1105="")),$K1105="Point",N($L1105)&gt;0),SQRT(N($L1105)/PI()),"")</f>
        <v/>
      </c>
      <c r="AJ1105" s="21">
        <f>IF(AND($A1105="",$B1105=""),"",IFERROR(VLOOKUP($G1105,Lists!$D$4:$E$15,2,FALSE),"Not reported"))</f>
        <v/>
      </c>
      <c r="AK1105" s="21">
        <f>IF(AND($A1105="",$B1105=""),"",IF($X1105&lt;&gt;"",$X1105,IF($T1105&lt;&gt;"Y","Not assessed",IF(AND(ISNUMBER($V1105),Setup!$B$6-$V1105&gt;Setup!$B$26),"Assessment outdated",IF(NOT(ISNUMBER($W1105)),"Assessed – no score",IF($W1105&gt;=Setup!$B$24,"High",IF($W1105&gt;=Setup!$B$25,"Moderate","Low")))))))</f>
        <v/>
      </c>
      <c r="AL1105" s="21">
        <f>IF(AND($A1105="",$B1105=""),"",IF(Z1105=0,"",IF(AND(AE1105=1,N($R1105)&gt;AD1105*1.01+0.001),"Net terrestrial &gt; gross; ","")&amp;IF(AND(AE1105=1,N($S1105)&gt;AC1105*1.01+0.001),"Net marine &gt; gross; ","")&amp;IF(AE1105=0,"No net area – gross used, overlaps may be double-counted; ","")&amp;IF(AH1105=0,"STATUS_YR missing – imputed in time series; ","")&amp;IF(AND(ISNUMBER($I1105),N($I1105)&gt;Setup!$B$6),"STATUS_YR after reporting year; ","")&amp;IF(OR($G1105="",$G1105="Not Reported"),"GOV_TYPE not reported; ","")&amp;IF(AND(N($J1105)=1,$K1105="Point",N($M1105)&lt;=0),"Coastal point without REP_M_AREA – land/sea split unknown; ","")&amp;IF(AND(N($J1105)=0,N($S1105)&gt;0),"MARINE=0 but net marine &gt;0; ","")&amp;IF(AND(N($J1105)=2,N($R1105)&gt;0),"MARINE=2 but net terrestrial &gt;0; ","")&amp;IF($K1105="Point","Buffered point – coverage approximate; ","")))</f>
        <v/>
      </c>
    </row>
    <row r="1106">
      <c r="A1106" s="19" t="n"/>
      <c r="B1106" s="19" t="n"/>
      <c r="C1106" s="19" t="n"/>
      <c r="D1106" s="19" t="n"/>
      <c r="E1106" s="19" t="n"/>
      <c r="F1106" s="19" t="n"/>
      <c r="G1106" s="19" t="n"/>
      <c r="H1106" s="19" t="n"/>
      <c r="I1106" s="19" t="n"/>
      <c r="J1106" s="19" t="n"/>
      <c r="K1106" s="19" t="n"/>
      <c r="L1106" s="20" t="n"/>
      <c r="M1106" s="20" t="n"/>
      <c r="N1106" s="20" t="n"/>
      <c r="O1106" s="20" t="n"/>
      <c r="P1106" s="19" t="n"/>
      <c r="Q1106" s="19" t="n"/>
      <c r="R1106" s="20" t="n"/>
      <c r="S1106" s="20" t="n"/>
      <c r="T1106" s="19" t="n"/>
      <c r="U1106" s="19" t="n"/>
      <c r="V1106" s="19" t="n"/>
      <c r="W1106" s="19" t="n"/>
      <c r="X1106" s="19" t="n"/>
      <c r="Y1106" s="19" t="n"/>
      <c r="Z1106" s="21">
        <f>IF(AND($A1106="",$B1106=""),"",IF(OR($E1106="",$H1106="",$H1106="Proposed",$H1106="Not Reported"),0,IF(AND($P1106="Y",$Q1106&lt;&gt;"Y"),0,IF(AND($K1106="Point",N($L1106)&lt;=0),0,IF(AND(N($L1106)&lt;=0,N($N1106)&lt;=0,N($R1106)+N($S1106)&lt;=0),0,1)))))</f>
        <v/>
      </c>
      <c r="AA1106" s="21">
        <f>IF(AND($A1106="",$B1106=""),"",IF($E1106="","Site type missing",IF($H1106="","STATUS missing",IF($H1106="Proposed","STATUS = Proposed",IF($H1106="Not Reported","STATUS = Not Reported",IF(AND($P1106="Y",$Q1106&lt;&gt;"Y"),"UNESCO-MAB Biosphere Reserve",IF(AND($K1106="Point",N($L1106)&lt;=0),"Point without REP_AREA",IF(AND(N($L1106)&lt;=0,N($N1106)&lt;=0,N($R1106)+N($S1106)&lt;=0),"No area information",""))))))))</f>
        <v/>
      </c>
      <c r="AB1106" s="22">
        <f>IF(AND($A1106="",$B1106=""),"",IF($K1106="Point",N($L1106),IF(N($N1106)&gt;0,N($N1106),N($L1106))))</f>
        <v/>
      </c>
      <c r="AC1106" s="22">
        <f>IF(AND($A1106="",$B1106=""),"",MIN(AB1106,IF(N($J1106)=0,0,IF(N($J1106)=2,AB1106,IF(AND($K1106&lt;&gt;"Point",N($O1106)&gt;0),N($O1106),N($M1106))))))</f>
        <v/>
      </c>
      <c r="AD1106" s="22">
        <f>IF(AND($A1106="",$B1106=""),"",MAX(0,AB1106-AC1106))</f>
        <v/>
      </c>
      <c r="AE1106" s="21">
        <f>IF(AND($A1106="",$B1106=""),"",IF(OR($R1106&lt;&gt;"",$S1106&lt;&gt;""),1,0))</f>
        <v/>
      </c>
      <c r="AF1106" s="22">
        <f>IF(AND($A1106="",$B1106=""),"",IF(Z1106=1,IF(AE1106=1,N($R1106),AD1106),0))</f>
        <v/>
      </c>
      <c r="AG1106" s="22">
        <f>IF(AND($A1106="",$B1106=""),"",IF(Z1106=1,IF(AE1106=1,N($S1106),AC1106),0))</f>
        <v/>
      </c>
      <c r="AH1106" s="21">
        <f>IF(AND($A1106="",$B1106=""),"",IF(AND(ISNUMBER($I1106),N($I1106)&gt;0),$I1106,0))</f>
        <v/>
      </c>
      <c r="AI1106" s="23">
        <f>IF(AND(NOT(AND($A1106="",$B1106="")),$K1106="Point",N($L1106)&gt;0),SQRT(N($L1106)/PI()),"")</f>
        <v/>
      </c>
      <c r="AJ1106" s="21">
        <f>IF(AND($A1106="",$B1106=""),"",IFERROR(VLOOKUP($G1106,Lists!$D$4:$E$15,2,FALSE),"Not reported"))</f>
        <v/>
      </c>
      <c r="AK1106" s="21">
        <f>IF(AND($A1106="",$B1106=""),"",IF($X1106&lt;&gt;"",$X1106,IF($T1106&lt;&gt;"Y","Not assessed",IF(AND(ISNUMBER($V1106),Setup!$B$6-$V1106&gt;Setup!$B$26),"Assessment outdated",IF(NOT(ISNUMBER($W1106)),"Assessed – no score",IF($W1106&gt;=Setup!$B$24,"High",IF($W1106&gt;=Setup!$B$25,"Moderate","Low")))))))</f>
        <v/>
      </c>
      <c r="AL1106" s="21">
        <f>IF(AND($A1106="",$B1106=""),"",IF(Z1106=0,"",IF(AND(AE1106=1,N($R1106)&gt;AD1106*1.01+0.001),"Net terrestrial &gt; gross; ","")&amp;IF(AND(AE1106=1,N($S1106)&gt;AC1106*1.01+0.001),"Net marine &gt; gross; ","")&amp;IF(AE1106=0,"No net area – gross used, overlaps may be double-counted; ","")&amp;IF(AH1106=0,"STATUS_YR missing – imputed in time series; ","")&amp;IF(AND(ISNUMBER($I1106),N($I1106)&gt;Setup!$B$6),"STATUS_YR after reporting year; ","")&amp;IF(OR($G1106="",$G1106="Not Reported"),"GOV_TYPE not reported; ","")&amp;IF(AND(N($J1106)=1,$K1106="Point",N($M1106)&lt;=0),"Coastal point without REP_M_AREA – land/sea split unknown; ","")&amp;IF(AND(N($J1106)=0,N($S1106)&gt;0),"MARINE=0 but net marine &gt;0; ","")&amp;IF(AND(N($J1106)=2,N($R1106)&gt;0),"MARINE=2 but net terrestrial &gt;0; ","")&amp;IF($K1106="Point","Buffered point – coverage approximate; ","")))</f>
        <v/>
      </c>
    </row>
    <row r="1107">
      <c r="A1107" s="19" t="n"/>
      <c r="B1107" s="19" t="n"/>
      <c r="C1107" s="19" t="n"/>
      <c r="D1107" s="19" t="n"/>
      <c r="E1107" s="19" t="n"/>
      <c r="F1107" s="19" t="n"/>
      <c r="G1107" s="19" t="n"/>
      <c r="H1107" s="19" t="n"/>
      <c r="I1107" s="19" t="n"/>
      <c r="J1107" s="19" t="n"/>
      <c r="K1107" s="19" t="n"/>
      <c r="L1107" s="20" t="n"/>
      <c r="M1107" s="20" t="n"/>
      <c r="N1107" s="20" t="n"/>
      <c r="O1107" s="20" t="n"/>
      <c r="P1107" s="19" t="n"/>
      <c r="Q1107" s="19" t="n"/>
      <c r="R1107" s="20" t="n"/>
      <c r="S1107" s="20" t="n"/>
      <c r="T1107" s="19" t="n"/>
      <c r="U1107" s="19" t="n"/>
      <c r="V1107" s="19" t="n"/>
      <c r="W1107" s="19" t="n"/>
      <c r="X1107" s="19" t="n"/>
      <c r="Y1107" s="19" t="n"/>
      <c r="Z1107" s="21">
        <f>IF(AND($A1107="",$B1107=""),"",IF(OR($E1107="",$H1107="",$H1107="Proposed",$H1107="Not Reported"),0,IF(AND($P1107="Y",$Q1107&lt;&gt;"Y"),0,IF(AND($K1107="Point",N($L1107)&lt;=0),0,IF(AND(N($L1107)&lt;=0,N($N1107)&lt;=0,N($R1107)+N($S1107)&lt;=0),0,1)))))</f>
        <v/>
      </c>
      <c r="AA1107" s="21">
        <f>IF(AND($A1107="",$B1107=""),"",IF($E1107="","Site type missing",IF($H1107="","STATUS missing",IF($H1107="Proposed","STATUS = Proposed",IF($H1107="Not Reported","STATUS = Not Reported",IF(AND($P1107="Y",$Q1107&lt;&gt;"Y"),"UNESCO-MAB Biosphere Reserve",IF(AND($K1107="Point",N($L1107)&lt;=0),"Point without REP_AREA",IF(AND(N($L1107)&lt;=0,N($N1107)&lt;=0,N($R1107)+N($S1107)&lt;=0),"No area information",""))))))))</f>
        <v/>
      </c>
      <c r="AB1107" s="22">
        <f>IF(AND($A1107="",$B1107=""),"",IF($K1107="Point",N($L1107),IF(N($N1107)&gt;0,N($N1107),N($L1107))))</f>
        <v/>
      </c>
      <c r="AC1107" s="22">
        <f>IF(AND($A1107="",$B1107=""),"",MIN(AB1107,IF(N($J1107)=0,0,IF(N($J1107)=2,AB1107,IF(AND($K1107&lt;&gt;"Point",N($O1107)&gt;0),N($O1107),N($M1107))))))</f>
        <v/>
      </c>
      <c r="AD1107" s="22">
        <f>IF(AND($A1107="",$B1107=""),"",MAX(0,AB1107-AC1107))</f>
        <v/>
      </c>
      <c r="AE1107" s="21">
        <f>IF(AND($A1107="",$B1107=""),"",IF(OR($R1107&lt;&gt;"",$S1107&lt;&gt;""),1,0))</f>
        <v/>
      </c>
      <c r="AF1107" s="22">
        <f>IF(AND($A1107="",$B1107=""),"",IF(Z1107=1,IF(AE1107=1,N($R1107),AD1107),0))</f>
        <v/>
      </c>
      <c r="AG1107" s="22">
        <f>IF(AND($A1107="",$B1107=""),"",IF(Z1107=1,IF(AE1107=1,N($S1107),AC1107),0))</f>
        <v/>
      </c>
      <c r="AH1107" s="21">
        <f>IF(AND($A1107="",$B1107=""),"",IF(AND(ISNUMBER($I1107),N($I1107)&gt;0),$I1107,0))</f>
        <v/>
      </c>
      <c r="AI1107" s="23">
        <f>IF(AND(NOT(AND($A1107="",$B1107="")),$K1107="Point",N($L1107)&gt;0),SQRT(N($L1107)/PI()),"")</f>
        <v/>
      </c>
      <c r="AJ1107" s="21">
        <f>IF(AND($A1107="",$B1107=""),"",IFERROR(VLOOKUP($G1107,Lists!$D$4:$E$15,2,FALSE),"Not reported"))</f>
        <v/>
      </c>
      <c r="AK1107" s="21">
        <f>IF(AND($A1107="",$B1107=""),"",IF($X1107&lt;&gt;"",$X1107,IF($T1107&lt;&gt;"Y","Not assessed",IF(AND(ISNUMBER($V1107),Setup!$B$6-$V1107&gt;Setup!$B$26),"Assessment outdated",IF(NOT(ISNUMBER($W1107)),"Assessed – no score",IF($W1107&gt;=Setup!$B$24,"High",IF($W1107&gt;=Setup!$B$25,"Moderate","Low")))))))</f>
        <v/>
      </c>
      <c r="AL1107" s="21">
        <f>IF(AND($A1107="",$B1107=""),"",IF(Z1107=0,"",IF(AND(AE1107=1,N($R1107)&gt;AD1107*1.01+0.001),"Net terrestrial &gt; gross; ","")&amp;IF(AND(AE1107=1,N($S1107)&gt;AC1107*1.01+0.001),"Net marine &gt; gross; ","")&amp;IF(AE1107=0,"No net area – gross used, overlaps may be double-counted; ","")&amp;IF(AH1107=0,"STATUS_YR missing – imputed in time series; ","")&amp;IF(AND(ISNUMBER($I1107),N($I1107)&gt;Setup!$B$6),"STATUS_YR after reporting year; ","")&amp;IF(OR($G1107="",$G1107="Not Reported"),"GOV_TYPE not reported; ","")&amp;IF(AND(N($J1107)=1,$K1107="Point",N($M1107)&lt;=0),"Coastal point without REP_M_AREA – land/sea split unknown; ","")&amp;IF(AND(N($J1107)=0,N($S1107)&gt;0),"MARINE=0 but net marine &gt;0; ","")&amp;IF(AND(N($J1107)=2,N($R1107)&gt;0),"MARINE=2 but net terrestrial &gt;0; ","")&amp;IF($K1107="Point","Buffered point – coverage approximate; ","")))</f>
        <v/>
      </c>
    </row>
    <row r="1108">
      <c r="A1108" s="19" t="n"/>
      <c r="B1108" s="19" t="n"/>
      <c r="C1108" s="19" t="n"/>
      <c r="D1108" s="19" t="n"/>
      <c r="E1108" s="19" t="n"/>
      <c r="F1108" s="19" t="n"/>
      <c r="G1108" s="19" t="n"/>
      <c r="H1108" s="19" t="n"/>
      <c r="I1108" s="19" t="n"/>
      <c r="J1108" s="19" t="n"/>
      <c r="K1108" s="19" t="n"/>
      <c r="L1108" s="20" t="n"/>
      <c r="M1108" s="20" t="n"/>
      <c r="N1108" s="20" t="n"/>
      <c r="O1108" s="20" t="n"/>
      <c r="P1108" s="19" t="n"/>
      <c r="Q1108" s="19" t="n"/>
      <c r="R1108" s="20" t="n"/>
      <c r="S1108" s="20" t="n"/>
      <c r="T1108" s="19" t="n"/>
      <c r="U1108" s="19" t="n"/>
      <c r="V1108" s="19" t="n"/>
      <c r="W1108" s="19" t="n"/>
      <c r="X1108" s="19" t="n"/>
      <c r="Y1108" s="19" t="n"/>
      <c r="Z1108" s="21">
        <f>IF(AND($A1108="",$B1108=""),"",IF(OR($E1108="",$H1108="",$H1108="Proposed",$H1108="Not Reported"),0,IF(AND($P1108="Y",$Q1108&lt;&gt;"Y"),0,IF(AND($K1108="Point",N($L1108)&lt;=0),0,IF(AND(N($L1108)&lt;=0,N($N1108)&lt;=0,N($R1108)+N($S1108)&lt;=0),0,1)))))</f>
        <v/>
      </c>
      <c r="AA1108" s="21">
        <f>IF(AND($A1108="",$B1108=""),"",IF($E1108="","Site type missing",IF($H1108="","STATUS missing",IF($H1108="Proposed","STATUS = Proposed",IF($H1108="Not Reported","STATUS = Not Reported",IF(AND($P1108="Y",$Q1108&lt;&gt;"Y"),"UNESCO-MAB Biosphere Reserve",IF(AND($K1108="Point",N($L1108)&lt;=0),"Point without REP_AREA",IF(AND(N($L1108)&lt;=0,N($N1108)&lt;=0,N($R1108)+N($S1108)&lt;=0),"No area information",""))))))))</f>
        <v/>
      </c>
      <c r="AB1108" s="22">
        <f>IF(AND($A1108="",$B1108=""),"",IF($K1108="Point",N($L1108),IF(N($N1108)&gt;0,N($N1108),N($L1108))))</f>
        <v/>
      </c>
      <c r="AC1108" s="22">
        <f>IF(AND($A1108="",$B1108=""),"",MIN(AB1108,IF(N($J1108)=0,0,IF(N($J1108)=2,AB1108,IF(AND($K1108&lt;&gt;"Point",N($O1108)&gt;0),N($O1108),N($M1108))))))</f>
        <v/>
      </c>
      <c r="AD1108" s="22">
        <f>IF(AND($A1108="",$B1108=""),"",MAX(0,AB1108-AC1108))</f>
        <v/>
      </c>
      <c r="AE1108" s="21">
        <f>IF(AND($A1108="",$B1108=""),"",IF(OR($R1108&lt;&gt;"",$S1108&lt;&gt;""),1,0))</f>
        <v/>
      </c>
      <c r="AF1108" s="22">
        <f>IF(AND($A1108="",$B1108=""),"",IF(Z1108=1,IF(AE1108=1,N($R1108),AD1108),0))</f>
        <v/>
      </c>
      <c r="AG1108" s="22">
        <f>IF(AND($A1108="",$B1108=""),"",IF(Z1108=1,IF(AE1108=1,N($S1108),AC1108),0))</f>
        <v/>
      </c>
      <c r="AH1108" s="21">
        <f>IF(AND($A1108="",$B1108=""),"",IF(AND(ISNUMBER($I1108),N($I1108)&gt;0),$I1108,0))</f>
        <v/>
      </c>
      <c r="AI1108" s="23">
        <f>IF(AND(NOT(AND($A1108="",$B1108="")),$K1108="Point",N($L1108)&gt;0),SQRT(N($L1108)/PI()),"")</f>
        <v/>
      </c>
      <c r="AJ1108" s="21">
        <f>IF(AND($A1108="",$B1108=""),"",IFERROR(VLOOKUP($G1108,Lists!$D$4:$E$15,2,FALSE),"Not reported"))</f>
        <v/>
      </c>
      <c r="AK1108" s="21">
        <f>IF(AND($A1108="",$B1108=""),"",IF($X1108&lt;&gt;"",$X1108,IF($T1108&lt;&gt;"Y","Not assessed",IF(AND(ISNUMBER($V1108),Setup!$B$6-$V1108&gt;Setup!$B$26),"Assessment outdated",IF(NOT(ISNUMBER($W1108)),"Assessed – no score",IF($W1108&gt;=Setup!$B$24,"High",IF($W1108&gt;=Setup!$B$25,"Moderate","Low")))))))</f>
        <v/>
      </c>
      <c r="AL1108" s="21">
        <f>IF(AND($A1108="",$B1108=""),"",IF(Z1108=0,"",IF(AND(AE1108=1,N($R1108)&gt;AD1108*1.01+0.001),"Net terrestrial &gt; gross; ","")&amp;IF(AND(AE1108=1,N($S1108)&gt;AC1108*1.01+0.001),"Net marine &gt; gross; ","")&amp;IF(AE1108=0,"No net area – gross used, overlaps may be double-counted; ","")&amp;IF(AH1108=0,"STATUS_YR missing – imputed in time series; ","")&amp;IF(AND(ISNUMBER($I1108),N($I1108)&gt;Setup!$B$6),"STATUS_YR after reporting year; ","")&amp;IF(OR($G1108="",$G1108="Not Reported"),"GOV_TYPE not reported; ","")&amp;IF(AND(N($J1108)=1,$K1108="Point",N($M1108)&lt;=0),"Coastal point without REP_M_AREA – land/sea split unknown; ","")&amp;IF(AND(N($J1108)=0,N($S1108)&gt;0),"MARINE=0 but net marine &gt;0; ","")&amp;IF(AND(N($J1108)=2,N($R1108)&gt;0),"MARINE=2 but net terrestrial &gt;0; ","")&amp;IF($K1108="Point","Buffered point – coverage approximate; ","")))</f>
        <v/>
      </c>
    </row>
    <row r="1109">
      <c r="A1109" s="19" t="n"/>
      <c r="B1109" s="19" t="n"/>
      <c r="C1109" s="19" t="n"/>
      <c r="D1109" s="19" t="n"/>
      <c r="E1109" s="19" t="n"/>
      <c r="F1109" s="19" t="n"/>
      <c r="G1109" s="19" t="n"/>
      <c r="H1109" s="19" t="n"/>
      <c r="I1109" s="19" t="n"/>
      <c r="J1109" s="19" t="n"/>
      <c r="K1109" s="19" t="n"/>
      <c r="L1109" s="20" t="n"/>
      <c r="M1109" s="20" t="n"/>
      <c r="N1109" s="20" t="n"/>
      <c r="O1109" s="20" t="n"/>
      <c r="P1109" s="19" t="n"/>
      <c r="Q1109" s="19" t="n"/>
      <c r="R1109" s="20" t="n"/>
      <c r="S1109" s="20" t="n"/>
      <c r="T1109" s="19" t="n"/>
      <c r="U1109" s="19" t="n"/>
      <c r="V1109" s="19" t="n"/>
      <c r="W1109" s="19" t="n"/>
      <c r="X1109" s="19" t="n"/>
      <c r="Y1109" s="19" t="n"/>
      <c r="Z1109" s="21">
        <f>IF(AND($A1109="",$B1109=""),"",IF(OR($E1109="",$H1109="",$H1109="Proposed",$H1109="Not Reported"),0,IF(AND($P1109="Y",$Q1109&lt;&gt;"Y"),0,IF(AND($K1109="Point",N($L1109)&lt;=0),0,IF(AND(N($L1109)&lt;=0,N($N1109)&lt;=0,N($R1109)+N($S1109)&lt;=0),0,1)))))</f>
        <v/>
      </c>
      <c r="AA1109" s="21">
        <f>IF(AND($A1109="",$B1109=""),"",IF($E1109="","Site type missing",IF($H1109="","STATUS missing",IF($H1109="Proposed","STATUS = Proposed",IF($H1109="Not Reported","STATUS = Not Reported",IF(AND($P1109="Y",$Q1109&lt;&gt;"Y"),"UNESCO-MAB Biosphere Reserve",IF(AND($K1109="Point",N($L1109)&lt;=0),"Point without REP_AREA",IF(AND(N($L1109)&lt;=0,N($N1109)&lt;=0,N($R1109)+N($S1109)&lt;=0),"No area information",""))))))))</f>
        <v/>
      </c>
      <c r="AB1109" s="22">
        <f>IF(AND($A1109="",$B1109=""),"",IF($K1109="Point",N($L1109),IF(N($N1109)&gt;0,N($N1109),N($L1109))))</f>
        <v/>
      </c>
      <c r="AC1109" s="22">
        <f>IF(AND($A1109="",$B1109=""),"",MIN(AB1109,IF(N($J1109)=0,0,IF(N($J1109)=2,AB1109,IF(AND($K1109&lt;&gt;"Point",N($O1109)&gt;0),N($O1109),N($M1109))))))</f>
        <v/>
      </c>
      <c r="AD1109" s="22">
        <f>IF(AND($A1109="",$B1109=""),"",MAX(0,AB1109-AC1109))</f>
        <v/>
      </c>
      <c r="AE1109" s="21">
        <f>IF(AND($A1109="",$B1109=""),"",IF(OR($R1109&lt;&gt;"",$S1109&lt;&gt;""),1,0))</f>
        <v/>
      </c>
      <c r="AF1109" s="22">
        <f>IF(AND($A1109="",$B1109=""),"",IF(Z1109=1,IF(AE1109=1,N($R1109),AD1109),0))</f>
        <v/>
      </c>
      <c r="AG1109" s="22">
        <f>IF(AND($A1109="",$B1109=""),"",IF(Z1109=1,IF(AE1109=1,N($S1109),AC1109),0))</f>
        <v/>
      </c>
      <c r="AH1109" s="21">
        <f>IF(AND($A1109="",$B1109=""),"",IF(AND(ISNUMBER($I1109),N($I1109)&gt;0),$I1109,0))</f>
        <v/>
      </c>
      <c r="AI1109" s="23">
        <f>IF(AND(NOT(AND($A1109="",$B1109="")),$K1109="Point",N($L1109)&gt;0),SQRT(N($L1109)/PI()),"")</f>
        <v/>
      </c>
      <c r="AJ1109" s="21">
        <f>IF(AND($A1109="",$B1109=""),"",IFERROR(VLOOKUP($G1109,Lists!$D$4:$E$15,2,FALSE),"Not reported"))</f>
        <v/>
      </c>
      <c r="AK1109" s="21">
        <f>IF(AND($A1109="",$B1109=""),"",IF($X1109&lt;&gt;"",$X1109,IF($T1109&lt;&gt;"Y","Not assessed",IF(AND(ISNUMBER($V1109),Setup!$B$6-$V1109&gt;Setup!$B$26),"Assessment outdated",IF(NOT(ISNUMBER($W1109)),"Assessed – no score",IF($W1109&gt;=Setup!$B$24,"High",IF($W1109&gt;=Setup!$B$25,"Moderate","Low")))))))</f>
        <v/>
      </c>
      <c r="AL1109" s="21">
        <f>IF(AND($A1109="",$B1109=""),"",IF(Z1109=0,"",IF(AND(AE1109=1,N($R1109)&gt;AD1109*1.01+0.001),"Net terrestrial &gt; gross; ","")&amp;IF(AND(AE1109=1,N($S1109)&gt;AC1109*1.01+0.001),"Net marine &gt; gross; ","")&amp;IF(AE1109=0,"No net area – gross used, overlaps may be double-counted; ","")&amp;IF(AH1109=0,"STATUS_YR missing – imputed in time series; ","")&amp;IF(AND(ISNUMBER($I1109),N($I1109)&gt;Setup!$B$6),"STATUS_YR after reporting year; ","")&amp;IF(OR($G1109="",$G1109="Not Reported"),"GOV_TYPE not reported; ","")&amp;IF(AND(N($J1109)=1,$K1109="Point",N($M1109)&lt;=0),"Coastal point without REP_M_AREA – land/sea split unknown; ","")&amp;IF(AND(N($J1109)=0,N($S1109)&gt;0),"MARINE=0 but net marine &gt;0; ","")&amp;IF(AND(N($J1109)=2,N($R1109)&gt;0),"MARINE=2 but net terrestrial &gt;0; ","")&amp;IF($K1109="Point","Buffered point – coverage approximate; ","")))</f>
        <v/>
      </c>
    </row>
    <row r="1110">
      <c r="A1110" s="19" t="n"/>
      <c r="B1110" s="19" t="n"/>
      <c r="C1110" s="19" t="n"/>
      <c r="D1110" s="19" t="n"/>
      <c r="E1110" s="19" t="n"/>
      <c r="F1110" s="19" t="n"/>
      <c r="G1110" s="19" t="n"/>
      <c r="H1110" s="19" t="n"/>
      <c r="I1110" s="19" t="n"/>
      <c r="J1110" s="19" t="n"/>
      <c r="K1110" s="19" t="n"/>
      <c r="L1110" s="20" t="n"/>
      <c r="M1110" s="20" t="n"/>
      <c r="N1110" s="20" t="n"/>
      <c r="O1110" s="20" t="n"/>
      <c r="P1110" s="19" t="n"/>
      <c r="Q1110" s="19" t="n"/>
      <c r="R1110" s="20" t="n"/>
      <c r="S1110" s="20" t="n"/>
      <c r="T1110" s="19" t="n"/>
      <c r="U1110" s="19" t="n"/>
      <c r="V1110" s="19" t="n"/>
      <c r="W1110" s="19" t="n"/>
      <c r="X1110" s="19" t="n"/>
      <c r="Y1110" s="19" t="n"/>
      <c r="Z1110" s="21">
        <f>IF(AND($A1110="",$B1110=""),"",IF(OR($E1110="",$H1110="",$H1110="Proposed",$H1110="Not Reported"),0,IF(AND($P1110="Y",$Q1110&lt;&gt;"Y"),0,IF(AND($K1110="Point",N($L1110)&lt;=0),0,IF(AND(N($L1110)&lt;=0,N($N1110)&lt;=0,N($R1110)+N($S1110)&lt;=0),0,1)))))</f>
        <v/>
      </c>
      <c r="AA1110" s="21">
        <f>IF(AND($A1110="",$B1110=""),"",IF($E1110="","Site type missing",IF($H1110="","STATUS missing",IF($H1110="Proposed","STATUS = Proposed",IF($H1110="Not Reported","STATUS = Not Reported",IF(AND($P1110="Y",$Q1110&lt;&gt;"Y"),"UNESCO-MAB Biosphere Reserve",IF(AND($K1110="Point",N($L1110)&lt;=0),"Point without REP_AREA",IF(AND(N($L1110)&lt;=0,N($N1110)&lt;=0,N($R1110)+N($S1110)&lt;=0),"No area information",""))))))))</f>
        <v/>
      </c>
      <c r="AB1110" s="22">
        <f>IF(AND($A1110="",$B1110=""),"",IF($K1110="Point",N($L1110),IF(N($N1110)&gt;0,N($N1110),N($L1110))))</f>
        <v/>
      </c>
      <c r="AC1110" s="22">
        <f>IF(AND($A1110="",$B1110=""),"",MIN(AB1110,IF(N($J1110)=0,0,IF(N($J1110)=2,AB1110,IF(AND($K1110&lt;&gt;"Point",N($O1110)&gt;0),N($O1110),N($M1110))))))</f>
        <v/>
      </c>
      <c r="AD1110" s="22">
        <f>IF(AND($A1110="",$B1110=""),"",MAX(0,AB1110-AC1110))</f>
        <v/>
      </c>
      <c r="AE1110" s="21">
        <f>IF(AND($A1110="",$B1110=""),"",IF(OR($R1110&lt;&gt;"",$S1110&lt;&gt;""),1,0))</f>
        <v/>
      </c>
      <c r="AF1110" s="22">
        <f>IF(AND($A1110="",$B1110=""),"",IF(Z1110=1,IF(AE1110=1,N($R1110),AD1110),0))</f>
        <v/>
      </c>
      <c r="AG1110" s="22">
        <f>IF(AND($A1110="",$B1110=""),"",IF(Z1110=1,IF(AE1110=1,N($S1110),AC1110),0))</f>
        <v/>
      </c>
      <c r="AH1110" s="21">
        <f>IF(AND($A1110="",$B1110=""),"",IF(AND(ISNUMBER($I1110),N($I1110)&gt;0),$I1110,0))</f>
        <v/>
      </c>
      <c r="AI1110" s="23">
        <f>IF(AND(NOT(AND($A1110="",$B1110="")),$K1110="Point",N($L1110)&gt;0),SQRT(N($L1110)/PI()),"")</f>
        <v/>
      </c>
      <c r="AJ1110" s="21">
        <f>IF(AND($A1110="",$B1110=""),"",IFERROR(VLOOKUP($G1110,Lists!$D$4:$E$15,2,FALSE),"Not reported"))</f>
        <v/>
      </c>
      <c r="AK1110" s="21">
        <f>IF(AND($A1110="",$B1110=""),"",IF($X1110&lt;&gt;"",$X1110,IF($T1110&lt;&gt;"Y","Not assessed",IF(AND(ISNUMBER($V1110),Setup!$B$6-$V1110&gt;Setup!$B$26),"Assessment outdated",IF(NOT(ISNUMBER($W1110)),"Assessed – no score",IF($W1110&gt;=Setup!$B$24,"High",IF($W1110&gt;=Setup!$B$25,"Moderate","Low")))))))</f>
        <v/>
      </c>
      <c r="AL1110" s="21">
        <f>IF(AND($A1110="",$B1110=""),"",IF(Z1110=0,"",IF(AND(AE1110=1,N($R1110)&gt;AD1110*1.01+0.001),"Net terrestrial &gt; gross; ","")&amp;IF(AND(AE1110=1,N($S1110)&gt;AC1110*1.01+0.001),"Net marine &gt; gross; ","")&amp;IF(AE1110=0,"No net area – gross used, overlaps may be double-counted; ","")&amp;IF(AH1110=0,"STATUS_YR missing – imputed in time series; ","")&amp;IF(AND(ISNUMBER($I1110),N($I1110)&gt;Setup!$B$6),"STATUS_YR after reporting year; ","")&amp;IF(OR($G1110="",$G1110="Not Reported"),"GOV_TYPE not reported; ","")&amp;IF(AND(N($J1110)=1,$K1110="Point",N($M1110)&lt;=0),"Coastal point without REP_M_AREA – land/sea split unknown; ","")&amp;IF(AND(N($J1110)=0,N($S1110)&gt;0),"MARINE=0 but net marine &gt;0; ","")&amp;IF(AND(N($J1110)=2,N($R1110)&gt;0),"MARINE=2 but net terrestrial &gt;0; ","")&amp;IF($K1110="Point","Buffered point – coverage approximate; ","")))</f>
        <v/>
      </c>
    </row>
    <row r="1111">
      <c r="A1111" s="19" t="n"/>
      <c r="B1111" s="19" t="n"/>
      <c r="C1111" s="19" t="n"/>
      <c r="D1111" s="19" t="n"/>
      <c r="E1111" s="19" t="n"/>
      <c r="F1111" s="19" t="n"/>
      <c r="G1111" s="19" t="n"/>
      <c r="H1111" s="19" t="n"/>
      <c r="I1111" s="19" t="n"/>
      <c r="J1111" s="19" t="n"/>
      <c r="K1111" s="19" t="n"/>
      <c r="L1111" s="20" t="n"/>
      <c r="M1111" s="20" t="n"/>
      <c r="N1111" s="20" t="n"/>
      <c r="O1111" s="20" t="n"/>
      <c r="P1111" s="19" t="n"/>
      <c r="Q1111" s="19" t="n"/>
      <c r="R1111" s="20" t="n"/>
      <c r="S1111" s="20" t="n"/>
      <c r="T1111" s="19" t="n"/>
      <c r="U1111" s="19" t="n"/>
      <c r="V1111" s="19" t="n"/>
      <c r="W1111" s="19" t="n"/>
      <c r="X1111" s="19" t="n"/>
      <c r="Y1111" s="19" t="n"/>
      <c r="Z1111" s="21">
        <f>IF(AND($A1111="",$B1111=""),"",IF(OR($E1111="",$H1111="",$H1111="Proposed",$H1111="Not Reported"),0,IF(AND($P1111="Y",$Q1111&lt;&gt;"Y"),0,IF(AND($K1111="Point",N($L1111)&lt;=0),0,IF(AND(N($L1111)&lt;=0,N($N1111)&lt;=0,N($R1111)+N($S1111)&lt;=0),0,1)))))</f>
        <v/>
      </c>
      <c r="AA1111" s="21">
        <f>IF(AND($A1111="",$B1111=""),"",IF($E1111="","Site type missing",IF($H1111="","STATUS missing",IF($H1111="Proposed","STATUS = Proposed",IF($H1111="Not Reported","STATUS = Not Reported",IF(AND($P1111="Y",$Q1111&lt;&gt;"Y"),"UNESCO-MAB Biosphere Reserve",IF(AND($K1111="Point",N($L1111)&lt;=0),"Point without REP_AREA",IF(AND(N($L1111)&lt;=0,N($N1111)&lt;=0,N($R1111)+N($S1111)&lt;=0),"No area information",""))))))))</f>
        <v/>
      </c>
      <c r="AB1111" s="22">
        <f>IF(AND($A1111="",$B1111=""),"",IF($K1111="Point",N($L1111),IF(N($N1111)&gt;0,N($N1111),N($L1111))))</f>
        <v/>
      </c>
      <c r="AC1111" s="22">
        <f>IF(AND($A1111="",$B1111=""),"",MIN(AB1111,IF(N($J1111)=0,0,IF(N($J1111)=2,AB1111,IF(AND($K1111&lt;&gt;"Point",N($O1111)&gt;0),N($O1111),N($M1111))))))</f>
        <v/>
      </c>
      <c r="AD1111" s="22">
        <f>IF(AND($A1111="",$B1111=""),"",MAX(0,AB1111-AC1111))</f>
        <v/>
      </c>
      <c r="AE1111" s="21">
        <f>IF(AND($A1111="",$B1111=""),"",IF(OR($R1111&lt;&gt;"",$S1111&lt;&gt;""),1,0))</f>
        <v/>
      </c>
      <c r="AF1111" s="22">
        <f>IF(AND($A1111="",$B1111=""),"",IF(Z1111=1,IF(AE1111=1,N($R1111),AD1111),0))</f>
        <v/>
      </c>
      <c r="AG1111" s="22">
        <f>IF(AND($A1111="",$B1111=""),"",IF(Z1111=1,IF(AE1111=1,N($S1111),AC1111),0))</f>
        <v/>
      </c>
      <c r="AH1111" s="21">
        <f>IF(AND($A1111="",$B1111=""),"",IF(AND(ISNUMBER($I1111),N($I1111)&gt;0),$I1111,0))</f>
        <v/>
      </c>
      <c r="AI1111" s="23">
        <f>IF(AND(NOT(AND($A1111="",$B1111="")),$K1111="Point",N($L1111)&gt;0),SQRT(N($L1111)/PI()),"")</f>
        <v/>
      </c>
      <c r="AJ1111" s="21">
        <f>IF(AND($A1111="",$B1111=""),"",IFERROR(VLOOKUP($G1111,Lists!$D$4:$E$15,2,FALSE),"Not reported"))</f>
        <v/>
      </c>
      <c r="AK1111" s="21">
        <f>IF(AND($A1111="",$B1111=""),"",IF($X1111&lt;&gt;"",$X1111,IF($T1111&lt;&gt;"Y","Not assessed",IF(AND(ISNUMBER($V1111),Setup!$B$6-$V1111&gt;Setup!$B$26),"Assessment outdated",IF(NOT(ISNUMBER($W1111)),"Assessed – no score",IF($W1111&gt;=Setup!$B$24,"High",IF($W1111&gt;=Setup!$B$25,"Moderate","Low")))))))</f>
        <v/>
      </c>
      <c r="AL1111" s="21">
        <f>IF(AND($A1111="",$B1111=""),"",IF(Z1111=0,"",IF(AND(AE1111=1,N($R1111)&gt;AD1111*1.01+0.001),"Net terrestrial &gt; gross; ","")&amp;IF(AND(AE1111=1,N($S1111)&gt;AC1111*1.01+0.001),"Net marine &gt; gross; ","")&amp;IF(AE1111=0,"No net area – gross used, overlaps may be double-counted; ","")&amp;IF(AH1111=0,"STATUS_YR missing – imputed in time series; ","")&amp;IF(AND(ISNUMBER($I1111),N($I1111)&gt;Setup!$B$6),"STATUS_YR after reporting year; ","")&amp;IF(OR($G1111="",$G1111="Not Reported"),"GOV_TYPE not reported; ","")&amp;IF(AND(N($J1111)=1,$K1111="Point",N($M1111)&lt;=0),"Coastal point without REP_M_AREA – land/sea split unknown; ","")&amp;IF(AND(N($J1111)=0,N($S1111)&gt;0),"MARINE=0 but net marine &gt;0; ","")&amp;IF(AND(N($J1111)=2,N($R1111)&gt;0),"MARINE=2 but net terrestrial &gt;0; ","")&amp;IF($K1111="Point","Buffered point – coverage approximate; ","")))</f>
        <v/>
      </c>
    </row>
    <row r="1112">
      <c r="A1112" s="19" t="n"/>
      <c r="B1112" s="19" t="n"/>
      <c r="C1112" s="19" t="n"/>
      <c r="D1112" s="19" t="n"/>
      <c r="E1112" s="19" t="n"/>
      <c r="F1112" s="19" t="n"/>
      <c r="G1112" s="19" t="n"/>
      <c r="H1112" s="19" t="n"/>
      <c r="I1112" s="19" t="n"/>
      <c r="J1112" s="19" t="n"/>
      <c r="K1112" s="19" t="n"/>
      <c r="L1112" s="20" t="n"/>
      <c r="M1112" s="20" t="n"/>
      <c r="N1112" s="20" t="n"/>
      <c r="O1112" s="20" t="n"/>
      <c r="P1112" s="19" t="n"/>
      <c r="Q1112" s="19" t="n"/>
      <c r="R1112" s="20" t="n"/>
      <c r="S1112" s="20" t="n"/>
      <c r="T1112" s="19" t="n"/>
      <c r="U1112" s="19" t="n"/>
      <c r="V1112" s="19" t="n"/>
      <c r="W1112" s="19" t="n"/>
      <c r="X1112" s="19" t="n"/>
      <c r="Y1112" s="19" t="n"/>
      <c r="Z1112" s="21">
        <f>IF(AND($A1112="",$B1112=""),"",IF(OR($E1112="",$H1112="",$H1112="Proposed",$H1112="Not Reported"),0,IF(AND($P1112="Y",$Q1112&lt;&gt;"Y"),0,IF(AND($K1112="Point",N($L1112)&lt;=0),0,IF(AND(N($L1112)&lt;=0,N($N1112)&lt;=0,N($R1112)+N($S1112)&lt;=0),0,1)))))</f>
        <v/>
      </c>
      <c r="AA1112" s="21">
        <f>IF(AND($A1112="",$B1112=""),"",IF($E1112="","Site type missing",IF($H1112="","STATUS missing",IF($H1112="Proposed","STATUS = Proposed",IF($H1112="Not Reported","STATUS = Not Reported",IF(AND($P1112="Y",$Q1112&lt;&gt;"Y"),"UNESCO-MAB Biosphere Reserve",IF(AND($K1112="Point",N($L1112)&lt;=0),"Point without REP_AREA",IF(AND(N($L1112)&lt;=0,N($N1112)&lt;=0,N($R1112)+N($S1112)&lt;=0),"No area information",""))))))))</f>
        <v/>
      </c>
      <c r="AB1112" s="22">
        <f>IF(AND($A1112="",$B1112=""),"",IF($K1112="Point",N($L1112),IF(N($N1112)&gt;0,N($N1112),N($L1112))))</f>
        <v/>
      </c>
      <c r="AC1112" s="22">
        <f>IF(AND($A1112="",$B1112=""),"",MIN(AB1112,IF(N($J1112)=0,0,IF(N($J1112)=2,AB1112,IF(AND($K1112&lt;&gt;"Point",N($O1112)&gt;0),N($O1112),N($M1112))))))</f>
        <v/>
      </c>
      <c r="AD1112" s="22">
        <f>IF(AND($A1112="",$B1112=""),"",MAX(0,AB1112-AC1112))</f>
        <v/>
      </c>
      <c r="AE1112" s="21">
        <f>IF(AND($A1112="",$B1112=""),"",IF(OR($R1112&lt;&gt;"",$S1112&lt;&gt;""),1,0))</f>
        <v/>
      </c>
      <c r="AF1112" s="22">
        <f>IF(AND($A1112="",$B1112=""),"",IF(Z1112=1,IF(AE1112=1,N($R1112),AD1112),0))</f>
        <v/>
      </c>
      <c r="AG1112" s="22">
        <f>IF(AND($A1112="",$B1112=""),"",IF(Z1112=1,IF(AE1112=1,N($S1112),AC1112),0))</f>
        <v/>
      </c>
      <c r="AH1112" s="21">
        <f>IF(AND($A1112="",$B1112=""),"",IF(AND(ISNUMBER($I1112),N($I1112)&gt;0),$I1112,0))</f>
        <v/>
      </c>
      <c r="AI1112" s="23">
        <f>IF(AND(NOT(AND($A1112="",$B1112="")),$K1112="Point",N($L1112)&gt;0),SQRT(N($L1112)/PI()),"")</f>
        <v/>
      </c>
      <c r="AJ1112" s="21">
        <f>IF(AND($A1112="",$B1112=""),"",IFERROR(VLOOKUP($G1112,Lists!$D$4:$E$15,2,FALSE),"Not reported"))</f>
        <v/>
      </c>
      <c r="AK1112" s="21">
        <f>IF(AND($A1112="",$B1112=""),"",IF($X1112&lt;&gt;"",$X1112,IF($T1112&lt;&gt;"Y","Not assessed",IF(AND(ISNUMBER($V1112),Setup!$B$6-$V1112&gt;Setup!$B$26),"Assessment outdated",IF(NOT(ISNUMBER($W1112)),"Assessed – no score",IF($W1112&gt;=Setup!$B$24,"High",IF($W1112&gt;=Setup!$B$25,"Moderate","Low")))))))</f>
        <v/>
      </c>
      <c r="AL1112" s="21">
        <f>IF(AND($A1112="",$B1112=""),"",IF(Z1112=0,"",IF(AND(AE1112=1,N($R1112)&gt;AD1112*1.01+0.001),"Net terrestrial &gt; gross; ","")&amp;IF(AND(AE1112=1,N($S1112)&gt;AC1112*1.01+0.001),"Net marine &gt; gross; ","")&amp;IF(AE1112=0,"No net area – gross used, overlaps may be double-counted; ","")&amp;IF(AH1112=0,"STATUS_YR missing – imputed in time series; ","")&amp;IF(AND(ISNUMBER($I1112),N($I1112)&gt;Setup!$B$6),"STATUS_YR after reporting year; ","")&amp;IF(OR($G1112="",$G1112="Not Reported"),"GOV_TYPE not reported; ","")&amp;IF(AND(N($J1112)=1,$K1112="Point",N($M1112)&lt;=0),"Coastal point without REP_M_AREA – land/sea split unknown; ","")&amp;IF(AND(N($J1112)=0,N($S1112)&gt;0),"MARINE=0 but net marine &gt;0; ","")&amp;IF(AND(N($J1112)=2,N($R1112)&gt;0),"MARINE=2 but net terrestrial &gt;0; ","")&amp;IF($K1112="Point","Buffered point – coverage approximate; ","")))</f>
        <v/>
      </c>
    </row>
    <row r="1113">
      <c r="A1113" s="19" t="n"/>
      <c r="B1113" s="19" t="n"/>
      <c r="C1113" s="19" t="n"/>
      <c r="D1113" s="19" t="n"/>
      <c r="E1113" s="19" t="n"/>
      <c r="F1113" s="19" t="n"/>
      <c r="G1113" s="19" t="n"/>
      <c r="H1113" s="19" t="n"/>
      <c r="I1113" s="19" t="n"/>
      <c r="J1113" s="19" t="n"/>
      <c r="K1113" s="19" t="n"/>
      <c r="L1113" s="20" t="n"/>
      <c r="M1113" s="20" t="n"/>
      <c r="N1113" s="20" t="n"/>
      <c r="O1113" s="20" t="n"/>
      <c r="P1113" s="19" t="n"/>
      <c r="Q1113" s="19" t="n"/>
      <c r="R1113" s="20" t="n"/>
      <c r="S1113" s="20" t="n"/>
      <c r="T1113" s="19" t="n"/>
      <c r="U1113" s="19" t="n"/>
      <c r="V1113" s="19" t="n"/>
      <c r="W1113" s="19" t="n"/>
      <c r="X1113" s="19" t="n"/>
      <c r="Y1113" s="19" t="n"/>
      <c r="Z1113" s="21">
        <f>IF(AND($A1113="",$B1113=""),"",IF(OR($E1113="",$H1113="",$H1113="Proposed",$H1113="Not Reported"),0,IF(AND($P1113="Y",$Q1113&lt;&gt;"Y"),0,IF(AND($K1113="Point",N($L1113)&lt;=0),0,IF(AND(N($L1113)&lt;=0,N($N1113)&lt;=0,N($R1113)+N($S1113)&lt;=0),0,1)))))</f>
        <v/>
      </c>
      <c r="AA1113" s="21">
        <f>IF(AND($A1113="",$B1113=""),"",IF($E1113="","Site type missing",IF($H1113="","STATUS missing",IF($H1113="Proposed","STATUS = Proposed",IF($H1113="Not Reported","STATUS = Not Reported",IF(AND($P1113="Y",$Q1113&lt;&gt;"Y"),"UNESCO-MAB Biosphere Reserve",IF(AND($K1113="Point",N($L1113)&lt;=0),"Point without REP_AREA",IF(AND(N($L1113)&lt;=0,N($N1113)&lt;=0,N($R1113)+N($S1113)&lt;=0),"No area information",""))))))))</f>
        <v/>
      </c>
      <c r="AB1113" s="22">
        <f>IF(AND($A1113="",$B1113=""),"",IF($K1113="Point",N($L1113),IF(N($N1113)&gt;0,N($N1113),N($L1113))))</f>
        <v/>
      </c>
      <c r="AC1113" s="22">
        <f>IF(AND($A1113="",$B1113=""),"",MIN(AB1113,IF(N($J1113)=0,0,IF(N($J1113)=2,AB1113,IF(AND($K1113&lt;&gt;"Point",N($O1113)&gt;0),N($O1113),N($M1113))))))</f>
        <v/>
      </c>
      <c r="AD1113" s="22">
        <f>IF(AND($A1113="",$B1113=""),"",MAX(0,AB1113-AC1113))</f>
        <v/>
      </c>
      <c r="AE1113" s="21">
        <f>IF(AND($A1113="",$B1113=""),"",IF(OR($R1113&lt;&gt;"",$S1113&lt;&gt;""),1,0))</f>
        <v/>
      </c>
      <c r="AF1113" s="22">
        <f>IF(AND($A1113="",$B1113=""),"",IF(Z1113=1,IF(AE1113=1,N($R1113),AD1113),0))</f>
        <v/>
      </c>
      <c r="AG1113" s="22">
        <f>IF(AND($A1113="",$B1113=""),"",IF(Z1113=1,IF(AE1113=1,N($S1113),AC1113),0))</f>
        <v/>
      </c>
      <c r="AH1113" s="21">
        <f>IF(AND($A1113="",$B1113=""),"",IF(AND(ISNUMBER($I1113),N($I1113)&gt;0),$I1113,0))</f>
        <v/>
      </c>
      <c r="AI1113" s="23">
        <f>IF(AND(NOT(AND($A1113="",$B1113="")),$K1113="Point",N($L1113)&gt;0),SQRT(N($L1113)/PI()),"")</f>
        <v/>
      </c>
      <c r="AJ1113" s="21">
        <f>IF(AND($A1113="",$B1113=""),"",IFERROR(VLOOKUP($G1113,Lists!$D$4:$E$15,2,FALSE),"Not reported"))</f>
        <v/>
      </c>
      <c r="AK1113" s="21">
        <f>IF(AND($A1113="",$B1113=""),"",IF($X1113&lt;&gt;"",$X1113,IF($T1113&lt;&gt;"Y","Not assessed",IF(AND(ISNUMBER($V1113),Setup!$B$6-$V1113&gt;Setup!$B$26),"Assessment outdated",IF(NOT(ISNUMBER($W1113)),"Assessed – no score",IF($W1113&gt;=Setup!$B$24,"High",IF($W1113&gt;=Setup!$B$25,"Moderate","Low")))))))</f>
        <v/>
      </c>
      <c r="AL1113" s="21">
        <f>IF(AND($A1113="",$B1113=""),"",IF(Z1113=0,"",IF(AND(AE1113=1,N($R1113)&gt;AD1113*1.01+0.001),"Net terrestrial &gt; gross; ","")&amp;IF(AND(AE1113=1,N($S1113)&gt;AC1113*1.01+0.001),"Net marine &gt; gross; ","")&amp;IF(AE1113=0,"No net area – gross used, overlaps may be double-counted; ","")&amp;IF(AH1113=0,"STATUS_YR missing – imputed in time series; ","")&amp;IF(AND(ISNUMBER($I1113),N($I1113)&gt;Setup!$B$6),"STATUS_YR after reporting year; ","")&amp;IF(OR($G1113="",$G1113="Not Reported"),"GOV_TYPE not reported; ","")&amp;IF(AND(N($J1113)=1,$K1113="Point",N($M1113)&lt;=0),"Coastal point without REP_M_AREA – land/sea split unknown; ","")&amp;IF(AND(N($J1113)=0,N($S1113)&gt;0),"MARINE=0 but net marine &gt;0; ","")&amp;IF(AND(N($J1113)=2,N($R1113)&gt;0),"MARINE=2 but net terrestrial &gt;0; ","")&amp;IF($K1113="Point","Buffered point – coverage approximate; ","")))</f>
        <v/>
      </c>
    </row>
    <row r="1114">
      <c r="A1114" s="19" t="n"/>
      <c r="B1114" s="19" t="n"/>
      <c r="C1114" s="19" t="n"/>
      <c r="D1114" s="19" t="n"/>
      <c r="E1114" s="19" t="n"/>
      <c r="F1114" s="19" t="n"/>
      <c r="G1114" s="19" t="n"/>
      <c r="H1114" s="19" t="n"/>
      <c r="I1114" s="19" t="n"/>
      <c r="J1114" s="19" t="n"/>
      <c r="K1114" s="19" t="n"/>
      <c r="L1114" s="20" t="n"/>
      <c r="M1114" s="20" t="n"/>
      <c r="N1114" s="20" t="n"/>
      <c r="O1114" s="20" t="n"/>
      <c r="P1114" s="19" t="n"/>
      <c r="Q1114" s="19" t="n"/>
      <c r="R1114" s="20" t="n"/>
      <c r="S1114" s="20" t="n"/>
      <c r="T1114" s="19" t="n"/>
      <c r="U1114" s="19" t="n"/>
      <c r="V1114" s="19" t="n"/>
      <c r="W1114" s="19" t="n"/>
      <c r="X1114" s="19" t="n"/>
      <c r="Y1114" s="19" t="n"/>
      <c r="Z1114" s="21">
        <f>IF(AND($A1114="",$B1114=""),"",IF(OR($E1114="",$H1114="",$H1114="Proposed",$H1114="Not Reported"),0,IF(AND($P1114="Y",$Q1114&lt;&gt;"Y"),0,IF(AND($K1114="Point",N($L1114)&lt;=0),0,IF(AND(N($L1114)&lt;=0,N($N1114)&lt;=0,N($R1114)+N($S1114)&lt;=0),0,1)))))</f>
        <v/>
      </c>
      <c r="AA1114" s="21">
        <f>IF(AND($A1114="",$B1114=""),"",IF($E1114="","Site type missing",IF($H1114="","STATUS missing",IF($H1114="Proposed","STATUS = Proposed",IF($H1114="Not Reported","STATUS = Not Reported",IF(AND($P1114="Y",$Q1114&lt;&gt;"Y"),"UNESCO-MAB Biosphere Reserve",IF(AND($K1114="Point",N($L1114)&lt;=0),"Point without REP_AREA",IF(AND(N($L1114)&lt;=0,N($N1114)&lt;=0,N($R1114)+N($S1114)&lt;=0),"No area information",""))))))))</f>
        <v/>
      </c>
      <c r="AB1114" s="22">
        <f>IF(AND($A1114="",$B1114=""),"",IF($K1114="Point",N($L1114),IF(N($N1114)&gt;0,N($N1114),N($L1114))))</f>
        <v/>
      </c>
      <c r="AC1114" s="22">
        <f>IF(AND($A1114="",$B1114=""),"",MIN(AB1114,IF(N($J1114)=0,0,IF(N($J1114)=2,AB1114,IF(AND($K1114&lt;&gt;"Point",N($O1114)&gt;0),N($O1114),N($M1114))))))</f>
        <v/>
      </c>
      <c r="AD1114" s="22">
        <f>IF(AND($A1114="",$B1114=""),"",MAX(0,AB1114-AC1114))</f>
        <v/>
      </c>
      <c r="AE1114" s="21">
        <f>IF(AND($A1114="",$B1114=""),"",IF(OR($R1114&lt;&gt;"",$S1114&lt;&gt;""),1,0))</f>
        <v/>
      </c>
      <c r="AF1114" s="22">
        <f>IF(AND($A1114="",$B1114=""),"",IF(Z1114=1,IF(AE1114=1,N($R1114),AD1114),0))</f>
        <v/>
      </c>
      <c r="AG1114" s="22">
        <f>IF(AND($A1114="",$B1114=""),"",IF(Z1114=1,IF(AE1114=1,N($S1114),AC1114),0))</f>
        <v/>
      </c>
      <c r="AH1114" s="21">
        <f>IF(AND($A1114="",$B1114=""),"",IF(AND(ISNUMBER($I1114),N($I1114)&gt;0),$I1114,0))</f>
        <v/>
      </c>
      <c r="AI1114" s="23">
        <f>IF(AND(NOT(AND($A1114="",$B1114="")),$K1114="Point",N($L1114)&gt;0),SQRT(N($L1114)/PI()),"")</f>
        <v/>
      </c>
      <c r="AJ1114" s="21">
        <f>IF(AND($A1114="",$B1114=""),"",IFERROR(VLOOKUP($G1114,Lists!$D$4:$E$15,2,FALSE),"Not reported"))</f>
        <v/>
      </c>
      <c r="AK1114" s="21">
        <f>IF(AND($A1114="",$B1114=""),"",IF($X1114&lt;&gt;"",$X1114,IF($T1114&lt;&gt;"Y","Not assessed",IF(AND(ISNUMBER($V1114),Setup!$B$6-$V1114&gt;Setup!$B$26),"Assessment outdated",IF(NOT(ISNUMBER($W1114)),"Assessed – no score",IF($W1114&gt;=Setup!$B$24,"High",IF($W1114&gt;=Setup!$B$25,"Moderate","Low")))))))</f>
        <v/>
      </c>
      <c r="AL1114" s="21">
        <f>IF(AND($A1114="",$B1114=""),"",IF(Z1114=0,"",IF(AND(AE1114=1,N($R1114)&gt;AD1114*1.01+0.001),"Net terrestrial &gt; gross; ","")&amp;IF(AND(AE1114=1,N($S1114)&gt;AC1114*1.01+0.001),"Net marine &gt; gross; ","")&amp;IF(AE1114=0,"No net area – gross used, overlaps may be double-counted; ","")&amp;IF(AH1114=0,"STATUS_YR missing – imputed in time series; ","")&amp;IF(AND(ISNUMBER($I1114),N($I1114)&gt;Setup!$B$6),"STATUS_YR after reporting year; ","")&amp;IF(OR($G1114="",$G1114="Not Reported"),"GOV_TYPE not reported; ","")&amp;IF(AND(N($J1114)=1,$K1114="Point",N($M1114)&lt;=0),"Coastal point without REP_M_AREA – land/sea split unknown; ","")&amp;IF(AND(N($J1114)=0,N($S1114)&gt;0),"MARINE=0 but net marine &gt;0; ","")&amp;IF(AND(N($J1114)=2,N($R1114)&gt;0),"MARINE=2 but net terrestrial &gt;0; ","")&amp;IF($K1114="Point","Buffered point – coverage approximate; ","")))</f>
        <v/>
      </c>
    </row>
    <row r="1115">
      <c r="A1115" s="19" t="n"/>
      <c r="B1115" s="19" t="n"/>
      <c r="C1115" s="19" t="n"/>
      <c r="D1115" s="19" t="n"/>
      <c r="E1115" s="19" t="n"/>
      <c r="F1115" s="19" t="n"/>
      <c r="G1115" s="19" t="n"/>
      <c r="H1115" s="19" t="n"/>
      <c r="I1115" s="19" t="n"/>
      <c r="J1115" s="19" t="n"/>
      <c r="K1115" s="19" t="n"/>
      <c r="L1115" s="20" t="n"/>
      <c r="M1115" s="20" t="n"/>
      <c r="N1115" s="20" t="n"/>
      <c r="O1115" s="20" t="n"/>
      <c r="P1115" s="19" t="n"/>
      <c r="Q1115" s="19" t="n"/>
      <c r="R1115" s="20" t="n"/>
      <c r="S1115" s="20" t="n"/>
      <c r="T1115" s="19" t="n"/>
      <c r="U1115" s="19" t="n"/>
      <c r="V1115" s="19" t="n"/>
      <c r="W1115" s="19" t="n"/>
      <c r="X1115" s="19" t="n"/>
      <c r="Y1115" s="19" t="n"/>
      <c r="Z1115" s="21">
        <f>IF(AND($A1115="",$B1115=""),"",IF(OR($E1115="",$H1115="",$H1115="Proposed",$H1115="Not Reported"),0,IF(AND($P1115="Y",$Q1115&lt;&gt;"Y"),0,IF(AND($K1115="Point",N($L1115)&lt;=0),0,IF(AND(N($L1115)&lt;=0,N($N1115)&lt;=0,N($R1115)+N($S1115)&lt;=0),0,1)))))</f>
        <v/>
      </c>
      <c r="AA1115" s="21">
        <f>IF(AND($A1115="",$B1115=""),"",IF($E1115="","Site type missing",IF($H1115="","STATUS missing",IF($H1115="Proposed","STATUS = Proposed",IF($H1115="Not Reported","STATUS = Not Reported",IF(AND($P1115="Y",$Q1115&lt;&gt;"Y"),"UNESCO-MAB Biosphere Reserve",IF(AND($K1115="Point",N($L1115)&lt;=0),"Point without REP_AREA",IF(AND(N($L1115)&lt;=0,N($N1115)&lt;=0,N($R1115)+N($S1115)&lt;=0),"No area information",""))))))))</f>
        <v/>
      </c>
      <c r="AB1115" s="22">
        <f>IF(AND($A1115="",$B1115=""),"",IF($K1115="Point",N($L1115),IF(N($N1115)&gt;0,N($N1115),N($L1115))))</f>
        <v/>
      </c>
      <c r="AC1115" s="22">
        <f>IF(AND($A1115="",$B1115=""),"",MIN(AB1115,IF(N($J1115)=0,0,IF(N($J1115)=2,AB1115,IF(AND($K1115&lt;&gt;"Point",N($O1115)&gt;0),N($O1115),N($M1115))))))</f>
        <v/>
      </c>
      <c r="AD1115" s="22">
        <f>IF(AND($A1115="",$B1115=""),"",MAX(0,AB1115-AC1115))</f>
        <v/>
      </c>
      <c r="AE1115" s="21">
        <f>IF(AND($A1115="",$B1115=""),"",IF(OR($R1115&lt;&gt;"",$S1115&lt;&gt;""),1,0))</f>
        <v/>
      </c>
      <c r="AF1115" s="22">
        <f>IF(AND($A1115="",$B1115=""),"",IF(Z1115=1,IF(AE1115=1,N($R1115),AD1115),0))</f>
        <v/>
      </c>
      <c r="AG1115" s="22">
        <f>IF(AND($A1115="",$B1115=""),"",IF(Z1115=1,IF(AE1115=1,N($S1115),AC1115),0))</f>
        <v/>
      </c>
      <c r="AH1115" s="21">
        <f>IF(AND($A1115="",$B1115=""),"",IF(AND(ISNUMBER($I1115),N($I1115)&gt;0),$I1115,0))</f>
        <v/>
      </c>
      <c r="AI1115" s="23">
        <f>IF(AND(NOT(AND($A1115="",$B1115="")),$K1115="Point",N($L1115)&gt;0),SQRT(N($L1115)/PI()),"")</f>
        <v/>
      </c>
      <c r="AJ1115" s="21">
        <f>IF(AND($A1115="",$B1115=""),"",IFERROR(VLOOKUP($G1115,Lists!$D$4:$E$15,2,FALSE),"Not reported"))</f>
        <v/>
      </c>
      <c r="AK1115" s="21">
        <f>IF(AND($A1115="",$B1115=""),"",IF($X1115&lt;&gt;"",$X1115,IF($T1115&lt;&gt;"Y","Not assessed",IF(AND(ISNUMBER($V1115),Setup!$B$6-$V1115&gt;Setup!$B$26),"Assessment outdated",IF(NOT(ISNUMBER($W1115)),"Assessed – no score",IF($W1115&gt;=Setup!$B$24,"High",IF($W1115&gt;=Setup!$B$25,"Moderate","Low")))))))</f>
        <v/>
      </c>
      <c r="AL1115" s="21">
        <f>IF(AND($A1115="",$B1115=""),"",IF(Z1115=0,"",IF(AND(AE1115=1,N($R1115)&gt;AD1115*1.01+0.001),"Net terrestrial &gt; gross; ","")&amp;IF(AND(AE1115=1,N($S1115)&gt;AC1115*1.01+0.001),"Net marine &gt; gross; ","")&amp;IF(AE1115=0,"No net area – gross used, overlaps may be double-counted; ","")&amp;IF(AH1115=0,"STATUS_YR missing – imputed in time series; ","")&amp;IF(AND(ISNUMBER($I1115),N($I1115)&gt;Setup!$B$6),"STATUS_YR after reporting year; ","")&amp;IF(OR($G1115="",$G1115="Not Reported"),"GOV_TYPE not reported; ","")&amp;IF(AND(N($J1115)=1,$K1115="Point",N($M1115)&lt;=0),"Coastal point without REP_M_AREA – land/sea split unknown; ","")&amp;IF(AND(N($J1115)=0,N($S1115)&gt;0),"MARINE=0 but net marine &gt;0; ","")&amp;IF(AND(N($J1115)=2,N($R1115)&gt;0),"MARINE=2 but net terrestrial &gt;0; ","")&amp;IF($K1115="Point","Buffered point – coverage approximate; ","")))</f>
        <v/>
      </c>
    </row>
    <row r="1116">
      <c r="A1116" s="19" t="n"/>
      <c r="B1116" s="19" t="n"/>
      <c r="C1116" s="19" t="n"/>
      <c r="D1116" s="19" t="n"/>
      <c r="E1116" s="19" t="n"/>
      <c r="F1116" s="19" t="n"/>
      <c r="G1116" s="19" t="n"/>
      <c r="H1116" s="19" t="n"/>
      <c r="I1116" s="19" t="n"/>
      <c r="J1116" s="19" t="n"/>
      <c r="K1116" s="19" t="n"/>
      <c r="L1116" s="20" t="n"/>
      <c r="M1116" s="20" t="n"/>
      <c r="N1116" s="20" t="n"/>
      <c r="O1116" s="20" t="n"/>
      <c r="P1116" s="19" t="n"/>
      <c r="Q1116" s="19" t="n"/>
      <c r="R1116" s="20" t="n"/>
      <c r="S1116" s="20" t="n"/>
      <c r="T1116" s="19" t="n"/>
      <c r="U1116" s="19" t="n"/>
      <c r="V1116" s="19" t="n"/>
      <c r="W1116" s="19" t="n"/>
      <c r="X1116" s="19" t="n"/>
      <c r="Y1116" s="19" t="n"/>
      <c r="Z1116" s="21">
        <f>IF(AND($A1116="",$B1116=""),"",IF(OR($E1116="",$H1116="",$H1116="Proposed",$H1116="Not Reported"),0,IF(AND($P1116="Y",$Q1116&lt;&gt;"Y"),0,IF(AND($K1116="Point",N($L1116)&lt;=0),0,IF(AND(N($L1116)&lt;=0,N($N1116)&lt;=0,N($R1116)+N($S1116)&lt;=0),0,1)))))</f>
        <v/>
      </c>
      <c r="AA1116" s="21">
        <f>IF(AND($A1116="",$B1116=""),"",IF($E1116="","Site type missing",IF($H1116="","STATUS missing",IF($H1116="Proposed","STATUS = Proposed",IF($H1116="Not Reported","STATUS = Not Reported",IF(AND($P1116="Y",$Q1116&lt;&gt;"Y"),"UNESCO-MAB Biosphere Reserve",IF(AND($K1116="Point",N($L1116)&lt;=0),"Point without REP_AREA",IF(AND(N($L1116)&lt;=0,N($N1116)&lt;=0,N($R1116)+N($S1116)&lt;=0),"No area information",""))))))))</f>
        <v/>
      </c>
      <c r="AB1116" s="22">
        <f>IF(AND($A1116="",$B1116=""),"",IF($K1116="Point",N($L1116),IF(N($N1116)&gt;0,N($N1116),N($L1116))))</f>
        <v/>
      </c>
      <c r="AC1116" s="22">
        <f>IF(AND($A1116="",$B1116=""),"",MIN(AB1116,IF(N($J1116)=0,0,IF(N($J1116)=2,AB1116,IF(AND($K1116&lt;&gt;"Point",N($O1116)&gt;0),N($O1116),N($M1116))))))</f>
        <v/>
      </c>
      <c r="AD1116" s="22">
        <f>IF(AND($A1116="",$B1116=""),"",MAX(0,AB1116-AC1116))</f>
        <v/>
      </c>
      <c r="AE1116" s="21">
        <f>IF(AND($A1116="",$B1116=""),"",IF(OR($R1116&lt;&gt;"",$S1116&lt;&gt;""),1,0))</f>
        <v/>
      </c>
      <c r="AF1116" s="22">
        <f>IF(AND($A1116="",$B1116=""),"",IF(Z1116=1,IF(AE1116=1,N($R1116),AD1116),0))</f>
        <v/>
      </c>
      <c r="AG1116" s="22">
        <f>IF(AND($A1116="",$B1116=""),"",IF(Z1116=1,IF(AE1116=1,N($S1116),AC1116),0))</f>
        <v/>
      </c>
      <c r="AH1116" s="21">
        <f>IF(AND($A1116="",$B1116=""),"",IF(AND(ISNUMBER($I1116),N($I1116)&gt;0),$I1116,0))</f>
        <v/>
      </c>
      <c r="AI1116" s="23">
        <f>IF(AND(NOT(AND($A1116="",$B1116="")),$K1116="Point",N($L1116)&gt;0),SQRT(N($L1116)/PI()),"")</f>
        <v/>
      </c>
      <c r="AJ1116" s="21">
        <f>IF(AND($A1116="",$B1116=""),"",IFERROR(VLOOKUP($G1116,Lists!$D$4:$E$15,2,FALSE),"Not reported"))</f>
        <v/>
      </c>
      <c r="AK1116" s="21">
        <f>IF(AND($A1116="",$B1116=""),"",IF($X1116&lt;&gt;"",$X1116,IF($T1116&lt;&gt;"Y","Not assessed",IF(AND(ISNUMBER($V1116),Setup!$B$6-$V1116&gt;Setup!$B$26),"Assessment outdated",IF(NOT(ISNUMBER($W1116)),"Assessed – no score",IF($W1116&gt;=Setup!$B$24,"High",IF($W1116&gt;=Setup!$B$25,"Moderate","Low")))))))</f>
        <v/>
      </c>
      <c r="AL1116" s="21">
        <f>IF(AND($A1116="",$B1116=""),"",IF(Z1116=0,"",IF(AND(AE1116=1,N($R1116)&gt;AD1116*1.01+0.001),"Net terrestrial &gt; gross; ","")&amp;IF(AND(AE1116=1,N($S1116)&gt;AC1116*1.01+0.001),"Net marine &gt; gross; ","")&amp;IF(AE1116=0,"No net area – gross used, overlaps may be double-counted; ","")&amp;IF(AH1116=0,"STATUS_YR missing – imputed in time series; ","")&amp;IF(AND(ISNUMBER($I1116),N($I1116)&gt;Setup!$B$6),"STATUS_YR after reporting year; ","")&amp;IF(OR($G1116="",$G1116="Not Reported"),"GOV_TYPE not reported; ","")&amp;IF(AND(N($J1116)=1,$K1116="Point",N($M1116)&lt;=0),"Coastal point without REP_M_AREA – land/sea split unknown; ","")&amp;IF(AND(N($J1116)=0,N($S1116)&gt;0),"MARINE=0 but net marine &gt;0; ","")&amp;IF(AND(N($J1116)=2,N($R1116)&gt;0),"MARINE=2 but net terrestrial &gt;0; ","")&amp;IF($K1116="Point","Buffered point – coverage approximate; ","")))</f>
        <v/>
      </c>
    </row>
    <row r="1117">
      <c r="A1117" s="19" t="n"/>
      <c r="B1117" s="19" t="n"/>
      <c r="C1117" s="19" t="n"/>
      <c r="D1117" s="19" t="n"/>
      <c r="E1117" s="19" t="n"/>
      <c r="F1117" s="19" t="n"/>
      <c r="G1117" s="19" t="n"/>
      <c r="H1117" s="19" t="n"/>
      <c r="I1117" s="19" t="n"/>
      <c r="J1117" s="19" t="n"/>
      <c r="K1117" s="19" t="n"/>
      <c r="L1117" s="20" t="n"/>
      <c r="M1117" s="20" t="n"/>
      <c r="N1117" s="20" t="n"/>
      <c r="O1117" s="20" t="n"/>
      <c r="P1117" s="19" t="n"/>
      <c r="Q1117" s="19" t="n"/>
      <c r="R1117" s="20" t="n"/>
      <c r="S1117" s="20" t="n"/>
      <c r="T1117" s="19" t="n"/>
      <c r="U1117" s="19" t="n"/>
      <c r="V1117" s="19" t="n"/>
      <c r="W1117" s="19" t="n"/>
      <c r="X1117" s="19" t="n"/>
      <c r="Y1117" s="19" t="n"/>
      <c r="Z1117" s="21">
        <f>IF(AND($A1117="",$B1117=""),"",IF(OR($E1117="",$H1117="",$H1117="Proposed",$H1117="Not Reported"),0,IF(AND($P1117="Y",$Q1117&lt;&gt;"Y"),0,IF(AND($K1117="Point",N($L1117)&lt;=0),0,IF(AND(N($L1117)&lt;=0,N($N1117)&lt;=0,N($R1117)+N($S1117)&lt;=0),0,1)))))</f>
        <v/>
      </c>
      <c r="AA1117" s="21">
        <f>IF(AND($A1117="",$B1117=""),"",IF($E1117="","Site type missing",IF($H1117="","STATUS missing",IF($H1117="Proposed","STATUS = Proposed",IF($H1117="Not Reported","STATUS = Not Reported",IF(AND($P1117="Y",$Q1117&lt;&gt;"Y"),"UNESCO-MAB Biosphere Reserve",IF(AND($K1117="Point",N($L1117)&lt;=0),"Point without REP_AREA",IF(AND(N($L1117)&lt;=0,N($N1117)&lt;=0,N($R1117)+N($S1117)&lt;=0),"No area information",""))))))))</f>
        <v/>
      </c>
      <c r="AB1117" s="22">
        <f>IF(AND($A1117="",$B1117=""),"",IF($K1117="Point",N($L1117),IF(N($N1117)&gt;0,N($N1117),N($L1117))))</f>
        <v/>
      </c>
      <c r="AC1117" s="22">
        <f>IF(AND($A1117="",$B1117=""),"",MIN(AB1117,IF(N($J1117)=0,0,IF(N($J1117)=2,AB1117,IF(AND($K1117&lt;&gt;"Point",N($O1117)&gt;0),N($O1117),N($M1117))))))</f>
        <v/>
      </c>
      <c r="AD1117" s="22">
        <f>IF(AND($A1117="",$B1117=""),"",MAX(0,AB1117-AC1117))</f>
        <v/>
      </c>
      <c r="AE1117" s="21">
        <f>IF(AND($A1117="",$B1117=""),"",IF(OR($R1117&lt;&gt;"",$S1117&lt;&gt;""),1,0))</f>
        <v/>
      </c>
      <c r="AF1117" s="22">
        <f>IF(AND($A1117="",$B1117=""),"",IF(Z1117=1,IF(AE1117=1,N($R1117),AD1117),0))</f>
        <v/>
      </c>
      <c r="AG1117" s="22">
        <f>IF(AND($A1117="",$B1117=""),"",IF(Z1117=1,IF(AE1117=1,N($S1117),AC1117),0))</f>
        <v/>
      </c>
      <c r="AH1117" s="21">
        <f>IF(AND($A1117="",$B1117=""),"",IF(AND(ISNUMBER($I1117),N($I1117)&gt;0),$I1117,0))</f>
        <v/>
      </c>
      <c r="AI1117" s="23">
        <f>IF(AND(NOT(AND($A1117="",$B1117="")),$K1117="Point",N($L1117)&gt;0),SQRT(N($L1117)/PI()),"")</f>
        <v/>
      </c>
      <c r="AJ1117" s="21">
        <f>IF(AND($A1117="",$B1117=""),"",IFERROR(VLOOKUP($G1117,Lists!$D$4:$E$15,2,FALSE),"Not reported"))</f>
        <v/>
      </c>
      <c r="AK1117" s="21">
        <f>IF(AND($A1117="",$B1117=""),"",IF($X1117&lt;&gt;"",$X1117,IF($T1117&lt;&gt;"Y","Not assessed",IF(AND(ISNUMBER($V1117),Setup!$B$6-$V1117&gt;Setup!$B$26),"Assessment outdated",IF(NOT(ISNUMBER($W1117)),"Assessed – no score",IF($W1117&gt;=Setup!$B$24,"High",IF($W1117&gt;=Setup!$B$25,"Moderate","Low")))))))</f>
        <v/>
      </c>
      <c r="AL1117" s="21">
        <f>IF(AND($A1117="",$B1117=""),"",IF(Z1117=0,"",IF(AND(AE1117=1,N($R1117)&gt;AD1117*1.01+0.001),"Net terrestrial &gt; gross; ","")&amp;IF(AND(AE1117=1,N($S1117)&gt;AC1117*1.01+0.001),"Net marine &gt; gross; ","")&amp;IF(AE1117=0,"No net area – gross used, overlaps may be double-counted; ","")&amp;IF(AH1117=0,"STATUS_YR missing – imputed in time series; ","")&amp;IF(AND(ISNUMBER($I1117),N($I1117)&gt;Setup!$B$6),"STATUS_YR after reporting year; ","")&amp;IF(OR($G1117="",$G1117="Not Reported"),"GOV_TYPE not reported; ","")&amp;IF(AND(N($J1117)=1,$K1117="Point",N($M1117)&lt;=0),"Coastal point without REP_M_AREA – land/sea split unknown; ","")&amp;IF(AND(N($J1117)=0,N($S1117)&gt;0),"MARINE=0 but net marine &gt;0; ","")&amp;IF(AND(N($J1117)=2,N($R1117)&gt;0),"MARINE=2 but net terrestrial &gt;0; ","")&amp;IF($K1117="Point","Buffered point – coverage approximate; ","")))</f>
        <v/>
      </c>
    </row>
    <row r="1118">
      <c r="A1118" s="19" t="n"/>
      <c r="B1118" s="19" t="n"/>
      <c r="C1118" s="19" t="n"/>
      <c r="D1118" s="19" t="n"/>
      <c r="E1118" s="19" t="n"/>
      <c r="F1118" s="19" t="n"/>
      <c r="G1118" s="19" t="n"/>
      <c r="H1118" s="19" t="n"/>
      <c r="I1118" s="19" t="n"/>
      <c r="J1118" s="19" t="n"/>
      <c r="K1118" s="19" t="n"/>
      <c r="L1118" s="20" t="n"/>
      <c r="M1118" s="20" t="n"/>
      <c r="N1118" s="20" t="n"/>
      <c r="O1118" s="20" t="n"/>
      <c r="P1118" s="19" t="n"/>
      <c r="Q1118" s="19" t="n"/>
      <c r="R1118" s="20" t="n"/>
      <c r="S1118" s="20" t="n"/>
      <c r="T1118" s="19" t="n"/>
      <c r="U1118" s="19" t="n"/>
      <c r="V1118" s="19" t="n"/>
      <c r="W1118" s="19" t="n"/>
      <c r="X1118" s="19" t="n"/>
      <c r="Y1118" s="19" t="n"/>
      <c r="Z1118" s="21">
        <f>IF(AND($A1118="",$B1118=""),"",IF(OR($E1118="",$H1118="",$H1118="Proposed",$H1118="Not Reported"),0,IF(AND($P1118="Y",$Q1118&lt;&gt;"Y"),0,IF(AND($K1118="Point",N($L1118)&lt;=0),0,IF(AND(N($L1118)&lt;=0,N($N1118)&lt;=0,N($R1118)+N($S1118)&lt;=0),0,1)))))</f>
        <v/>
      </c>
      <c r="AA1118" s="21">
        <f>IF(AND($A1118="",$B1118=""),"",IF($E1118="","Site type missing",IF($H1118="","STATUS missing",IF($H1118="Proposed","STATUS = Proposed",IF($H1118="Not Reported","STATUS = Not Reported",IF(AND($P1118="Y",$Q1118&lt;&gt;"Y"),"UNESCO-MAB Biosphere Reserve",IF(AND($K1118="Point",N($L1118)&lt;=0),"Point without REP_AREA",IF(AND(N($L1118)&lt;=0,N($N1118)&lt;=0,N($R1118)+N($S1118)&lt;=0),"No area information",""))))))))</f>
        <v/>
      </c>
      <c r="AB1118" s="22">
        <f>IF(AND($A1118="",$B1118=""),"",IF($K1118="Point",N($L1118),IF(N($N1118)&gt;0,N($N1118),N($L1118))))</f>
        <v/>
      </c>
      <c r="AC1118" s="22">
        <f>IF(AND($A1118="",$B1118=""),"",MIN(AB1118,IF(N($J1118)=0,0,IF(N($J1118)=2,AB1118,IF(AND($K1118&lt;&gt;"Point",N($O1118)&gt;0),N($O1118),N($M1118))))))</f>
        <v/>
      </c>
      <c r="AD1118" s="22">
        <f>IF(AND($A1118="",$B1118=""),"",MAX(0,AB1118-AC1118))</f>
        <v/>
      </c>
      <c r="AE1118" s="21">
        <f>IF(AND($A1118="",$B1118=""),"",IF(OR($R1118&lt;&gt;"",$S1118&lt;&gt;""),1,0))</f>
        <v/>
      </c>
      <c r="AF1118" s="22">
        <f>IF(AND($A1118="",$B1118=""),"",IF(Z1118=1,IF(AE1118=1,N($R1118),AD1118),0))</f>
        <v/>
      </c>
      <c r="AG1118" s="22">
        <f>IF(AND($A1118="",$B1118=""),"",IF(Z1118=1,IF(AE1118=1,N($S1118),AC1118),0))</f>
        <v/>
      </c>
      <c r="AH1118" s="21">
        <f>IF(AND($A1118="",$B1118=""),"",IF(AND(ISNUMBER($I1118),N($I1118)&gt;0),$I1118,0))</f>
        <v/>
      </c>
      <c r="AI1118" s="23">
        <f>IF(AND(NOT(AND($A1118="",$B1118="")),$K1118="Point",N($L1118)&gt;0),SQRT(N($L1118)/PI()),"")</f>
        <v/>
      </c>
      <c r="AJ1118" s="21">
        <f>IF(AND($A1118="",$B1118=""),"",IFERROR(VLOOKUP($G1118,Lists!$D$4:$E$15,2,FALSE),"Not reported"))</f>
        <v/>
      </c>
      <c r="AK1118" s="21">
        <f>IF(AND($A1118="",$B1118=""),"",IF($X1118&lt;&gt;"",$X1118,IF($T1118&lt;&gt;"Y","Not assessed",IF(AND(ISNUMBER($V1118),Setup!$B$6-$V1118&gt;Setup!$B$26),"Assessment outdated",IF(NOT(ISNUMBER($W1118)),"Assessed – no score",IF($W1118&gt;=Setup!$B$24,"High",IF($W1118&gt;=Setup!$B$25,"Moderate","Low")))))))</f>
        <v/>
      </c>
      <c r="AL1118" s="21">
        <f>IF(AND($A1118="",$B1118=""),"",IF(Z1118=0,"",IF(AND(AE1118=1,N($R1118)&gt;AD1118*1.01+0.001),"Net terrestrial &gt; gross; ","")&amp;IF(AND(AE1118=1,N($S1118)&gt;AC1118*1.01+0.001),"Net marine &gt; gross; ","")&amp;IF(AE1118=0,"No net area – gross used, overlaps may be double-counted; ","")&amp;IF(AH1118=0,"STATUS_YR missing – imputed in time series; ","")&amp;IF(AND(ISNUMBER($I1118),N($I1118)&gt;Setup!$B$6),"STATUS_YR after reporting year; ","")&amp;IF(OR($G1118="",$G1118="Not Reported"),"GOV_TYPE not reported; ","")&amp;IF(AND(N($J1118)=1,$K1118="Point",N($M1118)&lt;=0),"Coastal point without REP_M_AREA – land/sea split unknown; ","")&amp;IF(AND(N($J1118)=0,N($S1118)&gt;0),"MARINE=0 but net marine &gt;0; ","")&amp;IF(AND(N($J1118)=2,N($R1118)&gt;0),"MARINE=2 but net terrestrial &gt;0; ","")&amp;IF($K1118="Point","Buffered point – coverage approximate; ","")))</f>
        <v/>
      </c>
    </row>
    <row r="1119">
      <c r="A1119" s="19" t="n"/>
      <c r="B1119" s="19" t="n"/>
      <c r="C1119" s="19" t="n"/>
      <c r="D1119" s="19" t="n"/>
      <c r="E1119" s="19" t="n"/>
      <c r="F1119" s="19" t="n"/>
      <c r="G1119" s="19" t="n"/>
      <c r="H1119" s="19" t="n"/>
      <c r="I1119" s="19" t="n"/>
      <c r="J1119" s="19" t="n"/>
      <c r="K1119" s="19" t="n"/>
      <c r="L1119" s="20" t="n"/>
      <c r="M1119" s="20" t="n"/>
      <c r="N1119" s="20" t="n"/>
      <c r="O1119" s="20" t="n"/>
      <c r="P1119" s="19" t="n"/>
      <c r="Q1119" s="19" t="n"/>
      <c r="R1119" s="20" t="n"/>
      <c r="S1119" s="20" t="n"/>
      <c r="T1119" s="19" t="n"/>
      <c r="U1119" s="19" t="n"/>
      <c r="V1119" s="19" t="n"/>
      <c r="W1119" s="19" t="n"/>
      <c r="X1119" s="19" t="n"/>
      <c r="Y1119" s="19" t="n"/>
      <c r="Z1119" s="21">
        <f>IF(AND($A1119="",$B1119=""),"",IF(OR($E1119="",$H1119="",$H1119="Proposed",$H1119="Not Reported"),0,IF(AND($P1119="Y",$Q1119&lt;&gt;"Y"),0,IF(AND($K1119="Point",N($L1119)&lt;=0),0,IF(AND(N($L1119)&lt;=0,N($N1119)&lt;=0,N($R1119)+N($S1119)&lt;=0),0,1)))))</f>
        <v/>
      </c>
      <c r="AA1119" s="21">
        <f>IF(AND($A1119="",$B1119=""),"",IF($E1119="","Site type missing",IF($H1119="","STATUS missing",IF($H1119="Proposed","STATUS = Proposed",IF($H1119="Not Reported","STATUS = Not Reported",IF(AND($P1119="Y",$Q1119&lt;&gt;"Y"),"UNESCO-MAB Biosphere Reserve",IF(AND($K1119="Point",N($L1119)&lt;=0),"Point without REP_AREA",IF(AND(N($L1119)&lt;=0,N($N1119)&lt;=0,N($R1119)+N($S1119)&lt;=0),"No area information",""))))))))</f>
        <v/>
      </c>
      <c r="AB1119" s="22">
        <f>IF(AND($A1119="",$B1119=""),"",IF($K1119="Point",N($L1119),IF(N($N1119)&gt;0,N($N1119),N($L1119))))</f>
        <v/>
      </c>
      <c r="AC1119" s="22">
        <f>IF(AND($A1119="",$B1119=""),"",MIN(AB1119,IF(N($J1119)=0,0,IF(N($J1119)=2,AB1119,IF(AND($K1119&lt;&gt;"Point",N($O1119)&gt;0),N($O1119),N($M1119))))))</f>
        <v/>
      </c>
      <c r="AD1119" s="22">
        <f>IF(AND($A1119="",$B1119=""),"",MAX(0,AB1119-AC1119))</f>
        <v/>
      </c>
      <c r="AE1119" s="21">
        <f>IF(AND($A1119="",$B1119=""),"",IF(OR($R1119&lt;&gt;"",$S1119&lt;&gt;""),1,0))</f>
        <v/>
      </c>
      <c r="AF1119" s="22">
        <f>IF(AND($A1119="",$B1119=""),"",IF(Z1119=1,IF(AE1119=1,N($R1119),AD1119),0))</f>
        <v/>
      </c>
      <c r="AG1119" s="22">
        <f>IF(AND($A1119="",$B1119=""),"",IF(Z1119=1,IF(AE1119=1,N($S1119),AC1119),0))</f>
        <v/>
      </c>
      <c r="AH1119" s="21">
        <f>IF(AND($A1119="",$B1119=""),"",IF(AND(ISNUMBER($I1119),N($I1119)&gt;0),$I1119,0))</f>
        <v/>
      </c>
      <c r="AI1119" s="23">
        <f>IF(AND(NOT(AND($A1119="",$B1119="")),$K1119="Point",N($L1119)&gt;0),SQRT(N($L1119)/PI()),"")</f>
        <v/>
      </c>
      <c r="AJ1119" s="21">
        <f>IF(AND($A1119="",$B1119=""),"",IFERROR(VLOOKUP($G1119,Lists!$D$4:$E$15,2,FALSE),"Not reported"))</f>
        <v/>
      </c>
      <c r="AK1119" s="21">
        <f>IF(AND($A1119="",$B1119=""),"",IF($X1119&lt;&gt;"",$X1119,IF($T1119&lt;&gt;"Y","Not assessed",IF(AND(ISNUMBER($V1119),Setup!$B$6-$V1119&gt;Setup!$B$26),"Assessment outdated",IF(NOT(ISNUMBER($W1119)),"Assessed – no score",IF($W1119&gt;=Setup!$B$24,"High",IF($W1119&gt;=Setup!$B$25,"Moderate","Low")))))))</f>
        <v/>
      </c>
      <c r="AL1119" s="21">
        <f>IF(AND($A1119="",$B1119=""),"",IF(Z1119=0,"",IF(AND(AE1119=1,N($R1119)&gt;AD1119*1.01+0.001),"Net terrestrial &gt; gross; ","")&amp;IF(AND(AE1119=1,N($S1119)&gt;AC1119*1.01+0.001),"Net marine &gt; gross; ","")&amp;IF(AE1119=0,"No net area – gross used, overlaps may be double-counted; ","")&amp;IF(AH1119=0,"STATUS_YR missing – imputed in time series; ","")&amp;IF(AND(ISNUMBER($I1119),N($I1119)&gt;Setup!$B$6),"STATUS_YR after reporting year; ","")&amp;IF(OR($G1119="",$G1119="Not Reported"),"GOV_TYPE not reported; ","")&amp;IF(AND(N($J1119)=1,$K1119="Point",N($M1119)&lt;=0),"Coastal point without REP_M_AREA – land/sea split unknown; ","")&amp;IF(AND(N($J1119)=0,N($S1119)&gt;0),"MARINE=0 but net marine &gt;0; ","")&amp;IF(AND(N($J1119)=2,N($R1119)&gt;0),"MARINE=2 but net terrestrial &gt;0; ","")&amp;IF($K1119="Point","Buffered point – coverage approximate; ","")))</f>
        <v/>
      </c>
    </row>
    <row r="1120">
      <c r="A1120" s="19" t="n"/>
      <c r="B1120" s="19" t="n"/>
      <c r="C1120" s="19" t="n"/>
      <c r="D1120" s="19" t="n"/>
      <c r="E1120" s="19" t="n"/>
      <c r="F1120" s="19" t="n"/>
      <c r="G1120" s="19" t="n"/>
      <c r="H1120" s="19" t="n"/>
      <c r="I1120" s="19" t="n"/>
      <c r="J1120" s="19" t="n"/>
      <c r="K1120" s="19" t="n"/>
      <c r="L1120" s="20" t="n"/>
      <c r="M1120" s="20" t="n"/>
      <c r="N1120" s="20" t="n"/>
      <c r="O1120" s="20" t="n"/>
      <c r="P1120" s="19" t="n"/>
      <c r="Q1120" s="19" t="n"/>
      <c r="R1120" s="20" t="n"/>
      <c r="S1120" s="20" t="n"/>
      <c r="T1120" s="19" t="n"/>
      <c r="U1120" s="19" t="n"/>
      <c r="V1120" s="19" t="n"/>
      <c r="W1120" s="19" t="n"/>
      <c r="X1120" s="19" t="n"/>
      <c r="Y1120" s="19" t="n"/>
      <c r="Z1120" s="21">
        <f>IF(AND($A1120="",$B1120=""),"",IF(OR($E1120="",$H1120="",$H1120="Proposed",$H1120="Not Reported"),0,IF(AND($P1120="Y",$Q1120&lt;&gt;"Y"),0,IF(AND($K1120="Point",N($L1120)&lt;=0),0,IF(AND(N($L1120)&lt;=0,N($N1120)&lt;=0,N($R1120)+N($S1120)&lt;=0),0,1)))))</f>
        <v/>
      </c>
      <c r="AA1120" s="21">
        <f>IF(AND($A1120="",$B1120=""),"",IF($E1120="","Site type missing",IF($H1120="","STATUS missing",IF($H1120="Proposed","STATUS = Proposed",IF($H1120="Not Reported","STATUS = Not Reported",IF(AND($P1120="Y",$Q1120&lt;&gt;"Y"),"UNESCO-MAB Biosphere Reserve",IF(AND($K1120="Point",N($L1120)&lt;=0),"Point without REP_AREA",IF(AND(N($L1120)&lt;=0,N($N1120)&lt;=0,N($R1120)+N($S1120)&lt;=0),"No area information",""))))))))</f>
        <v/>
      </c>
      <c r="AB1120" s="22">
        <f>IF(AND($A1120="",$B1120=""),"",IF($K1120="Point",N($L1120),IF(N($N1120)&gt;0,N($N1120),N($L1120))))</f>
        <v/>
      </c>
      <c r="AC1120" s="22">
        <f>IF(AND($A1120="",$B1120=""),"",MIN(AB1120,IF(N($J1120)=0,0,IF(N($J1120)=2,AB1120,IF(AND($K1120&lt;&gt;"Point",N($O1120)&gt;0),N($O1120),N($M1120))))))</f>
        <v/>
      </c>
      <c r="AD1120" s="22">
        <f>IF(AND($A1120="",$B1120=""),"",MAX(0,AB1120-AC1120))</f>
        <v/>
      </c>
      <c r="AE1120" s="21">
        <f>IF(AND($A1120="",$B1120=""),"",IF(OR($R1120&lt;&gt;"",$S1120&lt;&gt;""),1,0))</f>
        <v/>
      </c>
      <c r="AF1120" s="22">
        <f>IF(AND($A1120="",$B1120=""),"",IF(Z1120=1,IF(AE1120=1,N($R1120),AD1120),0))</f>
        <v/>
      </c>
      <c r="AG1120" s="22">
        <f>IF(AND($A1120="",$B1120=""),"",IF(Z1120=1,IF(AE1120=1,N($S1120),AC1120),0))</f>
        <v/>
      </c>
      <c r="AH1120" s="21">
        <f>IF(AND($A1120="",$B1120=""),"",IF(AND(ISNUMBER($I1120),N($I1120)&gt;0),$I1120,0))</f>
        <v/>
      </c>
      <c r="AI1120" s="23">
        <f>IF(AND(NOT(AND($A1120="",$B1120="")),$K1120="Point",N($L1120)&gt;0),SQRT(N($L1120)/PI()),"")</f>
        <v/>
      </c>
      <c r="AJ1120" s="21">
        <f>IF(AND($A1120="",$B1120=""),"",IFERROR(VLOOKUP($G1120,Lists!$D$4:$E$15,2,FALSE),"Not reported"))</f>
        <v/>
      </c>
      <c r="AK1120" s="21">
        <f>IF(AND($A1120="",$B1120=""),"",IF($X1120&lt;&gt;"",$X1120,IF($T1120&lt;&gt;"Y","Not assessed",IF(AND(ISNUMBER($V1120),Setup!$B$6-$V1120&gt;Setup!$B$26),"Assessment outdated",IF(NOT(ISNUMBER($W1120)),"Assessed – no score",IF($W1120&gt;=Setup!$B$24,"High",IF($W1120&gt;=Setup!$B$25,"Moderate","Low")))))))</f>
        <v/>
      </c>
      <c r="AL1120" s="21">
        <f>IF(AND($A1120="",$B1120=""),"",IF(Z1120=0,"",IF(AND(AE1120=1,N($R1120)&gt;AD1120*1.01+0.001),"Net terrestrial &gt; gross; ","")&amp;IF(AND(AE1120=1,N($S1120)&gt;AC1120*1.01+0.001),"Net marine &gt; gross; ","")&amp;IF(AE1120=0,"No net area – gross used, overlaps may be double-counted; ","")&amp;IF(AH1120=0,"STATUS_YR missing – imputed in time series; ","")&amp;IF(AND(ISNUMBER($I1120),N($I1120)&gt;Setup!$B$6),"STATUS_YR after reporting year; ","")&amp;IF(OR($G1120="",$G1120="Not Reported"),"GOV_TYPE not reported; ","")&amp;IF(AND(N($J1120)=1,$K1120="Point",N($M1120)&lt;=0),"Coastal point without REP_M_AREA – land/sea split unknown; ","")&amp;IF(AND(N($J1120)=0,N($S1120)&gt;0),"MARINE=0 but net marine &gt;0; ","")&amp;IF(AND(N($J1120)=2,N($R1120)&gt;0),"MARINE=2 but net terrestrial &gt;0; ","")&amp;IF($K1120="Point","Buffered point – coverage approximate; ","")))</f>
        <v/>
      </c>
    </row>
    <row r="1121">
      <c r="A1121" s="19" t="n"/>
      <c r="B1121" s="19" t="n"/>
      <c r="C1121" s="19" t="n"/>
      <c r="D1121" s="19" t="n"/>
      <c r="E1121" s="19" t="n"/>
      <c r="F1121" s="19" t="n"/>
      <c r="G1121" s="19" t="n"/>
      <c r="H1121" s="19" t="n"/>
      <c r="I1121" s="19" t="n"/>
      <c r="J1121" s="19" t="n"/>
      <c r="K1121" s="19" t="n"/>
      <c r="L1121" s="20" t="n"/>
      <c r="M1121" s="20" t="n"/>
      <c r="N1121" s="20" t="n"/>
      <c r="O1121" s="20" t="n"/>
      <c r="P1121" s="19" t="n"/>
      <c r="Q1121" s="19" t="n"/>
      <c r="R1121" s="20" t="n"/>
      <c r="S1121" s="20" t="n"/>
      <c r="T1121" s="19" t="n"/>
      <c r="U1121" s="19" t="n"/>
      <c r="V1121" s="19" t="n"/>
      <c r="W1121" s="19" t="n"/>
      <c r="X1121" s="19" t="n"/>
      <c r="Y1121" s="19" t="n"/>
      <c r="Z1121" s="21">
        <f>IF(AND($A1121="",$B1121=""),"",IF(OR($E1121="",$H1121="",$H1121="Proposed",$H1121="Not Reported"),0,IF(AND($P1121="Y",$Q1121&lt;&gt;"Y"),0,IF(AND($K1121="Point",N($L1121)&lt;=0),0,IF(AND(N($L1121)&lt;=0,N($N1121)&lt;=0,N($R1121)+N($S1121)&lt;=0),0,1)))))</f>
        <v/>
      </c>
      <c r="AA1121" s="21">
        <f>IF(AND($A1121="",$B1121=""),"",IF($E1121="","Site type missing",IF($H1121="","STATUS missing",IF($H1121="Proposed","STATUS = Proposed",IF($H1121="Not Reported","STATUS = Not Reported",IF(AND($P1121="Y",$Q1121&lt;&gt;"Y"),"UNESCO-MAB Biosphere Reserve",IF(AND($K1121="Point",N($L1121)&lt;=0),"Point without REP_AREA",IF(AND(N($L1121)&lt;=0,N($N1121)&lt;=0,N($R1121)+N($S1121)&lt;=0),"No area information",""))))))))</f>
        <v/>
      </c>
      <c r="AB1121" s="22">
        <f>IF(AND($A1121="",$B1121=""),"",IF($K1121="Point",N($L1121),IF(N($N1121)&gt;0,N($N1121),N($L1121))))</f>
        <v/>
      </c>
      <c r="AC1121" s="22">
        <f>IF(AND($A1121="",$B1121=""),"",MIN(AB1121,IF(N($J1121)=0,0,IF(N($J1121)=2,AB1121,IF(AND($K1121&lt;&gt;"Point",N($O1121)&gt;0),N($O1121),N($M1121))))))</f>
        <v/>
      </c>
      <c r="AD1121" s="22">
        <f>IF(AND($A1121="",$B1121=""),"",MAX(0,AB1121-AC1121))</f>
        <v/>
      </c>
      <c r="AE1121" s="21">
        <f>IF(AND($A1121="",$B1121=""),"",IF(OR($R1121&lt;&gt;"",$S1121&lt;&gt;""),1,0))</f>
        <v/>
      </c>
      <c r="AF1121" s="22">
        <f>IF(AND($A1121="",$B1121=""),"",IF(Z1121=1,IF(AE1121=1,N($R1121),AD1121),0))</f>
        <v/>
      </c>
      <c r="AG1121" s="22">
        <f>IF(AND($A1121="",$B1121=""),"",IF(Z1121=1,IF(AE1121=1,N($S1121),AC1121),0))</f>
        <v/>
      </c>
      <c r="AH1121" s="21">
        <f>IF(AND($A1121="",$B1121=""),"",IF(AND(ISNUMBER($I1121),N($I1121)&gt;0),$I1121,0))</f>
        <v/>
      </c>
      <c r="AI1121" s="23">
        <f>IF(AND(NOT(AND($A1121="",$B1121="")),$K1121="Point",N($L1121)&gt;0),SQRT(N($L1121)/PI()),"")</f>
        <v/>
      </c>
      <c r="AJ1121" s="21">
        <f>IF(AND($A1121="",$B1121=""),"",IFERROR(VLOOKUP($G1121,Lists!$D$4:$E$15,2,FALSE),"Not reported"))</f>
        <v/>
      </c>
      <c r="AK1121" s="21">
        <f>IF(AND($A1121="",$B1121=""),"",IF($X1121&lt;&gt;"",$X1121,IF($T1121&lt;&gt;"Y","Not assessed",IF(AND(ISNUMBER($V1121),Setup!$B$6-$V1121&gt;Setup!$B$26),"Assessment outdated",IF(NOT(ISNUMBER($W1121)),"Assessed – no score",IF($W1121&gt;=Setup!$B$24,"High",IF($W1121&gt;=Setup!$B$25,"Moderate","Low")))))))</f>
        <v/>
      </c>
      <c r="AL1121" s="21">
        <f>IF(AND($A1121="",$B1121=""),"",IF(Z1121=0,"",IF(AND(AE1121=1,N($R1121)&gt;AD1121*1.01+0.001),"Net terrestrial &gt; gross; ","")&amp;IF(AND(AE1121=1,N($S1121)&gt;AC1121*1.01+0.001),"Net marine &gt; gross; ","")&amp;IF(AE1121=0,"No net area – gross used, overlaps may be double-counted; ","")&amp;IF(AH1121=0,"STATUS_YR missing – imputed in time series; ","")&amp;IF(AND(ISNUMBER($I1121),N($I1121)&gt;Setup!$B$6),"STATUS_YR after reporting year; ","")&amp;IF(OR($G1121="",$G1121="Not Reported"),"GOV_TYPE not reported; ","")&amp;IF(AND(N($J1121)=1,$K1121="Point",N($M1121)&lt;=0),"Coastal point without REP_M_AREA – land/sea split unknown; ","")&amp;IF(AND(N($J1121)=0,N($S1121)&gt;0),"MARINE=0 but net marine &gt;0; ","")&amp;IF(AND(N($J1121)=2,N($R1121)&gt;0),"MARINE=2 but net terrestrial &gt;0; ","")&amp;IF($K1121="Point","Buffered point – coverage approximate; ","")))</f>
        <v/>
      </c>
    </row>
    <row r="1122">
      <c r="A1122" s="19" t="n"/>
      <c r="B1122" s="19" t="n"/>
      <c r="C1122" s="19" t="n"/>
      <c r="D1122" s="19" t="n"/>
      <c r="E1122" s="19" t="n"/>
      <c r="F1122" s="19" t="n"/>
      <c r="G1122" s="19" t="n"/>
      <c r="H1122" s="19" t="n"/>
      <c r="I1122" s="19" t="n"/>
      <c r="J1122" s="19" t="n"/>
      <c r="K1122" s="19" t="n"/>
      <c r="L1122" s="20" t="n"/>
      <c r="M1122" s="20" t="n"/>
      <c r="N1122" s="20" t="n"/>
      <c r="O1122" s="20" t="n"/>
      <c r="P1122" s="19" t="n"/>
      <c r="Q1122" s="19" t="n"/>
      <c r="R1122" s="20" t="n"/>
      <c r="S1122" s="20" t="n"/>
      <c r="T1122" s="19" t="n"/>
      <c r="U1122" s="19" t="n"/>
      <c r="V1122" s="19" t="n"/>
      <c r="W1122" s="19" t="n"/>
      <c r="X1122" s="19" t="n"/>
      <c r="Y1122" s="19" t="n"/>
      <c r="Z1122" s="21">
        <f>IF(AND($A1122="",$B1122=""),"",IF(OR($E1122="",$H1122="",$H1122="Proposed",$H1122="Not Reported"),0,IF(AND($P1122="Y",$Q1122&lt;&gt;"Y"),0,IF(AND($K1122="Point",N($L1122)&lt;=0),0,IF(AND(N($L1122)&lt;=0,N($N1122)&lt;=0,N($R1122)+N($S1122)&lt;=0),0,1)))))</f>
        <v/>
      </c>
      <c r="AA1122" s="21">
        <f>IF(AND($A1122="",$B1122=""),"",IF($E1122="","Site type missing",IF($H1122="","STATUS missing",IF($H1122="Proposed","STATUS = Proposed",IF($H1122="Not Reported","STATUS = Not Reported",IF(AND($P1122="Y",$Q1122&lt;&gt;"Y"),"UNESCO-MAB Biosphere Reserve",IF(AND($K1122="Point",N($L1122)&lt;=0),"Point without REP_AREA",IF(AND(N($L1122)&lt;=0,N($N1122)&lt;=0,N($R1122)+N($S1122)&lt;=0),"No area information",""))))))))</f>
        <v/>
      </c>
      <c r="AB1122" s="22">
        <f>IF(AND($A1122="",$B1122=""),"",IF($K1122="Point",N($L1122),IF(N($N1122)&gt;0,N($N1122),N($L1122))))</f>
        <v/>
      </c>
      <c r="AC1122" s="22">
        <f>IF(AND($A1122="",$B1122=""),"",MIN(AB1122,IF(N($J1122)=0,0,IF(N($J1122)=2,AB1122,IF(AND($K1122&lt;&gt;"Point",N($O1122)&gt;0),N($O1122),N($M1122))))))</f>
        <v/>
      </c>
      <c r="AD1122" s="22">
        <f>IF(AND($A1122="",$B1122=""),"",MAX(0,AB1122-AC1122))</f>
        <v/>
      </c>
      <c r="AE1122" s="21">
        <f>IF(AND($A1122="",$B1122=""),"",IF(OR($R1122&lt;&gt;"",$S1122&lt;&gt;""),1,0))</f>
        <v/>
      </c>
      <c r="AF1122" s="22">
        <f>IF(AND($A1122="",$B1122=""),"",IF(Z1122=1,IF(AE1122=1,N($R1122),AD1122),0))</f>
        <v/>
      </c>
      <c r="AG1122" s="22">
        <f>IF(AND($A1122="",$B1122=""),"",IF(Z1122=1,IF(AE1122=1,N($S1122),AC1122),0))</f>
        <v/>
      </c>
      <c r="AH1122" s="21">
        <f>IF(AND($A1122="",$B1122=""),"",IF(AND(ISNUMBER($I1122),N($I1122)&gt;0),$I1122,0))</f>
        <v/>
      </c>
      <c r="AI1122" s="23">
        <f>IF(AND(NOT(AND($A1122="",$B1122="")),$K1122="Point",N($L1122)&gt;0),SQRT(N($L1122)/PI()),"")</f>
        <v/>
      </c>
      <c r="AJ1122" s="21">
        <f>IF(AND($A1122="",$B1122=""),"",IFERROR(VLOOKUP($G1122,Lists!$D$4:$E$15,2,FALSE),"Not reported"))</f>
        <v/>
      </c>
      <c r="AK1122" s="21">
        <f>IF(AND($A1122="",$B1122=""),"",IF($X1122&lt;&gt;"",$X1122,IF($T1122&lt;&gt;"Y","Not assessed",IF(AND(ISNUMBER($V1122),Setup!$B$6-$V1122&gt;Setup!$B$26),"Assessment outdated",IF(NOT(ISNUMBER($W1122)),"Assessed – no score",IF($W1122&gt;=Setup!$B$24,"High",IF($W1122&gt;=Setup!$B$25,"Moderate","Low")))))))</f>
        <v/>
      </c>
      <c r="AL1122" s="21">
        <f>IF(AND($A1122="",$B1122=""),"",IF(Z1122=0,"",IF(AND(AE1122=1,N($R1122)&gt;AD1122*1.01+0.001),"Net terrestrial &gt; gross; ","")&amp;IF(AND(AE1122=1,N($S1122)&gt;AC1122*1.01+0.001),"Net marine &gt; gross; ","")&amp;IF(AE1122=0,"No net area – gross used, overlaps may be double-counted; ","")&amp;IF(AH1122=0,"STATUS_YR missing – imputed in time series; ","")&amp;IF(AND(ISNUMBER($I1122),N($I1122)&gt;Setup!$B$6),"STATUS_YR after reporting year; ","")&amp;IF(OR($G1122="",$G1122="Not Reported"),"GOV_TYPE not reported; ","")&amp;IF(AND(N($J1122)=1,$K1122="Point",N($M1122)&lt;=0),"Coastal point without REP_M_AREA – land/sea split unknown; ","")&amp;IF(AND(N($J1122)=0,N($S1122)&gt;0),"MARINE=0 but net marine &gt;0; ","")&amp;IF(AND(N($J1122)=2,N($R1122)&gt;0),"MARINE=2 but net terrestrial &gt;0; ","")&amp;IF($K1122="Point","Buffered point – coverage approximate; ","")))</f>
        <v/>
      </c>
    </row>
    <row r="1123">
      <c r="A1123" s="19" t="n"/>
      <c r="B1123" s="19" t="n"/>
      <c r="C1123" s="19" t="n"/>
      <c r="D1123" s="19" t="n"/>
      <c r="E1123" s="19" t="n"/>
      <c r="F1123" s="19" t="n"/>
      <c r="G1123" s="19" t="n"/>
      <c r="H1123" s="19" t="n"/>
      <c r="I1123" s="19" t="n"/>
      <c r="J1123" s="19" t="n"/>
      <c r="K1123" s="19" t="n"/>
      <c r="L1123" s="20" t="n"/>
      <c r="M1123" s="20" t="n"/>
      <c r="N1123" s="20" t="n"/>
      <c r="O1123" s="20" t="n"/>
      <c r="P1123" s="19" t="n"/>
      <c r="Q1123" s="19" t="n"/>
      <c r="R1123" s="20" t="n"/>
      <c r="S1123" s="20" t="n"/>
      <c r="T1123" s="19" t="n"/>
      <c r="U1123" s="19" t="n"/>
      <c r="V1123" s="19" t="n"/>
      <c r="W1123" s="19" t="n"/>
      <c r="X1123" s="19" t="n"/>
      <c r="Y1123" s="19" t="n"/>
      <c r="Z1123" s="21">
        <f>IF(AND($A1123="",$B1123=""),"",IF(OR($E1123="",$H1123="",$H1123="Proposed",$H1123="Not Reported"),0,IF(AND($P1123="Y",$Q1123&lt;&gt;"Y"),0,IF(AND($K1123="Point",N($L1123)&lt;=0),0,IF(AND(N($L1123)&lt;=0,N($N1123)&lt;=0,N($R1123)+N($S1123)&lt;=0),0,1)))))</f>
        <v/>
      </c>
      <c r="AA1123" s="21">
        <f>IF(AND($A1123="",$B1123=""),"",IF($E1123="","Site type missing",IF($H1123="","STATUS missing",IF($H1123="Proposed","STATUS = Proposed",IF($H1123="Not Reported","STATUS = Not Reported",IF(AND($P1123="Y",$Q1123&lt;&gt;"Y"),"UNESCO-MAB Biosphere Reserve",IF(AND($K1123="Point",N($L1123)&lt;=0),"Point without REP_AREA",IF(AND(N($L1123)&lt;=0,N($N1123)&lt;=0,N($R1123)+N($S1123)&lt;=0),"No area information",""))))))))</f>
        <v/>
      </c>
      <c r="AB1123" s="22">
        <f>IF(AND($A1123="",$B1123=""),"",IF($K1123="Point",N($L1123),IF(N($N1123)&gt;0,N($N1123),N($L1123))))</f>
        <v/>
      </c>
      <c r="AC1123" s="22">
        <f>IF(AND($A1123="",$B1123=""),"",MIN(AB1123,IF(N($J1123)=0,0,IF(N($J1123)=2,AB1123,IF(AND($K1123&lt;&gt;"Point",N($O1123)&gt;0),N($O1123),N($M1123))))))</f>
        <v/>
      </c>
      <c r="AD1123" s="22">
        <f>IF(AND($A1123="",$B1123=""),"",MAX(0,AB1123-AC1123))</f>
        <v/>
      </c>
      <c r="AE1123" s="21">
        <f>IF(AND($A1123="",$B1123=""),"",IF(OR($R1123&lt;&gt;"",$S1123&lt;&gt;""),1,0))</f>
        <v/>
      </c>
      <c r="AF1123" s="22">
        <f>IF(AND($A1123="",$B1123=""),"",IF(Z1123=1,IF(AE1123=1,N($R1123),AD1123),0))</f>
        <v/>
      </c>
      <c r="AG1123" s="22">
        <f>IF(AND($A1123="",$B1123=""),"",IF(Z1123=1,IF(AE1123=1,N($S1123),AC1123),0))</f>
        <v/>
      </c>
      <c r="AH1123" s="21">
        <f>IF(AND($A1123="",$B1123=""),"",IF(AND(ISNUMBER($I1123),N($I1123)&gt;0),$I1123,0))</f>
        <v/>
      </c>
      <c r="AI1123" s="23">
        <f>IF(AND(NOT(AND($A1123="",$B1123="")),$K1123="Point",N($L1123)&gt;0),SQRT(N($L1123)/PI()),"")</f>
        <v/>
      </c>
      <c r="AJ1123" s="21">
        <f>IF(AND($A1123="",$B1123=""),"",IFERROR(VLOOKUP($G1123,Lists!$D$4:$E$15,2,FALSE),"Not reported"))</f>
        <v/>
      </c>
      <c r="AK1123" s="21">
        <f>IF(AND($A1123="",$B1123=""),"",IF($X1123&lt;&gt;"",$X1123,IF($T1123&lt;&gt;"Y","Not assessed",IF(AND(ISNUMBER($V1123),Setup!$B$6-$V1123&gt;Setup!$B$26),"Assessment outdated",IF(NOT(ISNUMBER($W1123)),"Assessed – no score",IF($W1123&gt;=Setup!$B$24,"High",IF($W1123&gt;=Setup!$B$25,"Moderate","Low")))))))</f>
        <v/>
      </c>
      <c r="AL1123" s="21">
        <f>IF(AND($A1123="",$B1123=""),"",IF(Z1123=0,"",IF(AND(AE1123=1,N($R1123)&gt;AD1123*1.01+0.001),"Net terrestrial &gt; gross; ","")&amp;IF(AND(AE1123=1,N($S1123)&gt;AC1123*1.01+0.001),"Net marine &gt; gross; ","")&amp;IF(AE1123=0,"No net area – gross used, overlaps may be double-counted; ","")&amp;IF(AH1123=0,"STATUS_YR missing – imputed in time series; ","")&amp;IF(AND(ISNUMBER($I1123),N($I1123)&gt;Setup!$B$6),"STATUS_YR after reporting year; ","")&amp;IF(OR($G1123="",$G1123="Not Reported"),"GOV_TYPE not reported; ","")&amp;IF(AND(N($J1123)=1,$K1123="Point",N($M1123)&lt;=0),"Coastal point without REP_M_AREA – land/sea split unknown; ","")&amp;IF(AND(N($J1123)=0,N($S1123)&gt;0),"MARINE=0 but net marine &gt;0; ","")&amp;IF(AND(N($J1123)=2,N($R1123)&gt;0),"MARINE=2 but net terrestrial &gt;0; ","")&amp;IF($K1123="Point","Buffered point – coverage approximate; ","")))</f>
        <v/>
      </c>
    </row>
    <row r="1124">
      <c r="A1124" s="19" t="n"/>
      <c r="B1124" s="19" t="n"/>
      <c r="C1124" s="19" t="n"/>
      <c r="D1124" s="19" t="n"/>
      <c r="E1124" s="19" t="n"/>
      <c r="F1124" s="19" t="n"/>
      <c r="G1124" s="19" t="n"/>
      <c r="H1124" s="19" t="n"/>
      <c r="I1124" s="19" t="n"/>
      <c r="J1124" s="19" t="n"/>
      <c r="K1124" s="19" t="n"/>
      <c r="L1124" s="20" t="n"/>
      <c r="M1124" s="20" t="n"/>
      <c r="N1124" s="20" t="n"/>
      <c r="O1124" s="20" t="n"/>
      <c r="P1124" s="19" t="n"/>
      <c r="Q1124" s="19" t="n"/>
      <c r="R1124" s="20" t="n"/>
      <c r="S1124" s="20" t="n"/>
      <c r="T1124" s="19" t="n"/>
      <c r="U1124" s="19" t="n"/>
      <c r="V1124" s="19" t="n"/>
      <c r="W1124" s="19" t="n"/>
      <c r="X1124" s="19" t="n"/>
      <c r="Y1124" s="19" t="n"/>
      <c r="Z1124" s="21">
        <f>IF(AND($A1124="",$B1124=""),"",IF(OR($E1124="",$H1124="",$H1124="Proposed",$H1124="Not Reported"),0,IF(AND($P1124="Y",$Q1124&lt;&gt;"Y"),0,IF(AND($K1124="Point",N($L1124)&lt;=0),0,IF(AND(N($L1124)&lt;=0,N($N1124)&lt;=0,N($R1124)+N($S1124)&lt;=0),0,1)))))</f>
        <v/>
      </c>
      <c r="AA1124" s="21">
        <f>IF(AND($A1124="",$B1124=""),"",IF($E1124="","Site type missing",IF($H1124="","STATUS missing",IF($H1124="Proposed","STATUS = Proposed",IF($H1124="Not Reported","STATUS = Not Reported",IF(AND($P1124="Y",$Q1124&lt;&gt;"Y"),"UNESCO-MAB Biosphere Reserve",IF(AND($K1124="Point",N($L1124)&lt;=0),"Point without REP_AREA",IF(AND(N($L1124)&lt;=0,N($N1124)&lt;=0,N($R1124)+N($S1124)&lt;=0),"No area information",""))))))))</f>
        <v/>
      </c>
      <c r="AB1124" s="22">
        <f>IF(AND($A1124="",$B1124=""),"",IF($K1124="Point",N($L1124),IF(N($N1124)&gt;0,N($N1124),N($L1124))))</f>
        <v/>
      </c>
      <c r="AC1124" s="22">
        <f>IF(AND($A1124="",$B1124=""),"",MIN(AB1124,IF(N($J1124)=0,0,IF(N($J1124)=2,AB1124,IF(AND($K1124&lt;&gt;"Point",N($O1124)&gt;0),N($O1124),N($M1124))))))</f>
        <v/>
      </c>
      <c r="AD1124" s="22">
        <f>IF(AND($A1124="",$B1124=""),"",MAX(0,AB1124-AC1124))</f>
        <v/>
      </c>
      <c r="AE1124" s="21">
        <f>IF(AND($A1124="",$B1124=""),"",IF(OR($R1124&lt;&gt;"",$S1124&lt;&gt;""),1,0))</f>
        <v/>
      </c>
      <c r="AF1124" s="22">
        <f>IF(AND($A1124="",$B1124=""),"",IF(Z1124=1,IF(AE1124=1,N($R1124),AD1124),0))</f>
        <v/>
      </c>
      <c r="AG1124" s="22">
        <f>IF(AND($A1124="",$B1124=""),"",IF(Z1124=1,IF(AE1124=1,N($S1124),AC1124),0))</f>
        <v/>
      </c>
      <c r="AH1124" s="21">
        <f>IF(AND($A1124="",$B1124=""),"",IF(AND(ISNUMBER($I1124),N($I1124)&gt;0),$I1124,0))</f>
        <v/>
      </c>
      <c r="AI1124" s="23">
        <f>IF(AND(NOT(AND($A1124="",$B1124="")),$K1124="Point",N($L1124)&gt;0),SQRT(N($L1124)/PI()),"")</f>
        <v/>
      </c>
      <c r="AJ1124" s="21">
        <f>IF(AND($A1124="",$B1124=""),"",IFERROR(VLOOKUP($G1124,Lists!$D$4:$E$15,2,FALSE),"Not reported"))</f>
        <v/>
      </c>
      <c r="AK1124" s="21">
        <f>IF(AND($A1124="",$B1124=""),"",IF($X1124&lt;&gt;"",$X1124,IF($T1124&lt;&gt;"Y","Not assessed",IF(AND(ISNUMBER($V1124),Setup!$B$6-$V1124&gt;Setup!$B$26),"Assessment outdated",IF(NOT(ISNUMBER($W1124)),"Assessed – no score",IF($W1124&gt;=Setup!$B$24,"High",IF($W1124&gt;=Setup!$B$25,"Moderate","Low")))))))</f>
        <v/>
      </c>
      <c r="AL1124" s="21">
        <f>IF(AND($A1124="",$B1124=""),"",IF(Z1124=0,"",IF(AND(AE1124=1,N($R1124)&gt;AD1124*1.01+0.001),"Net terrestrial &gt; gross; ","")&amp;IF(AND(AE1124=1,N($S1124)&gt;AC1124*1.01+0.001),"Net marine &gt; gross; ","")&amp;IF(AE1124=0,"No net area – gross used, overlaps may be double-counted; ","")&amp;IF(AH1124=0,"STATUS_YR missing – imputed in time series; ","")&amp;IF(AND(ISNUMBER($I1124),N($I1124)&gt;Setup!$B$6),"STATUS_YR after reporting year; ","")&amp;IF(OR($G1124="",$G1124="Not Reported"),"GOV_TYPE not reported; ","")&amp;IF(AND(N($J1124)=1,$K1124="Point",N($M1124)&lt;=0),"Coastal point without REP_M_AREA – land/sea split unknown; ","")&amp;IF(AND(N($J1124)=0,N($S1124)&gt;0),"MARINE=0 but net marine &gt;0; ","")&amp;IF(AND(N($J1124)=2,N($R1124)&gt;0),"MARINE=2 but net terrestrial &gt;0; ","")&amp;IF($K1124="Point","Buffered point – coverage approximate; ","")))</f>
        <v/>
      </c>
    </row>
    <row r="1125">
      <c r="A1125" s="19" t="n"/>
      <c r="B1125" s="19" t="n"/>
      <c r="C1125" s="19" t="n"/>
      <c r="D1125" s="19" t="n"/>
      <c r="E1125" s="19" t="n"/>
      <c r="F1125" s="19" t="n"/>
      <c r="G1125" s="19" t="n"/>
      <c r="H1125" s="19" t="n"/>
      <c r="I1125" s="19" t="n"/>
      <c r="J1125" s="19" t="n"/>
      <c r="K1125" s="19" t="n"/>
      <c r="L1125" s="20" t="n"/>
      <c r="M1125" s="20" t="n"/>
      <c r="N1125" s="20" t="n"/>
      <c r="O1125" s="20" t="n"/>
      <c r="P1125" s="19" t="n"/>
      <c r="Q1125" s="19" t="n"/>
      <c r="R1125" s="20" t="n"/>
      <c r="S1125" s="20" t="n"/>
      <c r="T1125" s="19" t="n"/>
      <c r="U1125" s="19" t="n"/>
      <c r="V1125" s="19" t="n"/>
      <c r="W1125" s="19" t="n"/>
      <c r="X1125" s="19" t="n"/>
      <c r="Y1125" s="19" t="n"/>
      <c r="Z1125" s="21">
        <f>IF(AND($A1125="",$B1125=""),"",IF(OR($E1125="",$H1125="",$H1125="Proposed",$H1125="Not Reported"),0,IF(AND($P1125="Y",$Q1125&lt;&gt;"Y"),0,IF(AND($K1125="Point",N($L1125)&lt;=0),0,IF(AND(N($L1125)&lt;=0,N($N1125)&lt;=0,N($R1125)+N($S1125)&lt;=0),0,1)))))</f>
        <v/>
      </c>
      <c r="AA1125" s="21">
        <f>IF(AND($A1125="",$B1125=""),"",IF($E1125="","Site type missing",IF($H1125="","STATUS missing",IF($H1125="Proposed","STATUS = Proposed",IF($H1125="Not Reported","STATUS = Not Reported",IF(AND($P1125="Y",$Q1125&lt;&gt;"Y"),"UNESCO-MAB Biosphere Reserve",IF(AND($K1125="Point",N($L1125)&lt;=0),"Point without REP_AREA",IF(AND(N($L1125)&lt;=0,N($N1125)&lt;=0,N($R1125)+N($S1125)&lt;=0),"No area information",""))))))))</f>
        <v/>
      </c>
      <c r="AB1125" s="22">
        <f>IF(AND($A1125="",$B1125=""),"",IF($K1125="Point",N($L1125),IF(N($N1125)&gt;0,N($N1125),N($L1125))))</f>
        <v/>
      </c>
      <c r="AC1125" s="22">
        <f>IF(AND($A1125="",$B1125=""),"",MIN(AB1125,IF(N($J1125)=0,0,IF(N($J1125)=2,AB1125,IF(AND($K1125&lt;&gt;"Point",N($O1125)&gt;0),N($O1125),N($M1125))))))</f>
        <v/>
      </c>
      <c r="AD1125" s="22">
        <f>IF(AND($A1125="",$B1125=""),"",MAX(0,AB1125-AC1125))</f>
        <v/>
      </c>
      <c r="AE1125" s="21">
        <f>IF(AND($A1125="",$B1125=""),"",IF(OR($R1125&lt;&gt;"",$S1125&lt;&gt;""),1,0))</f>
        <v/>
      </c>
      <c r="AF1125" s="22">
        <f>IF(AND($A1125="",$B1125=""),"",IF(Z1125=1,IF(AE1125=1,N($R1125),AD1125),0))</f>
        <v/>
      </c>
      <c r="AG1125" s="22">
        <f>IF(AND($A1125="",$B1125=""),"",IF(Z1125=1,IF(AE1125=1,N($S1125),AC1125),0))</f>
        <v/>
      </c>
      <c r="AH1125" s="21">
        <f>IF(AND($A1125="",$B1125=""),"",IF(AND(ISNUMBER($I1125),N($I1125)&gt;0),$I1125,0))</f>
        <v/>
      </c>
      <c r="AI1125" s="23">
        <f>IF(AND(NOT(AND($A1125="",$B1125="")),$K1125="Point",N($L1125)&gt;0),SQRT(N($L1125)/PI()),"")</f>
        <v/>
      </c>
      <c r="AJ1125" s="21">
        <f>IF(AND($A1125="",$B1125=""),"",IFERROR(VLOOKUP($G1125,Lists!$D$4:$E$15,2,FALSE),"Not reported"))</f>
        <v/>
      </c>
      <c r="AK1125" s="21">
        <f>IF(AND($A1125="",$B1125=""),"",IF($X1125&lt;&gt;"",$X1125,IF($T1125&lt;&gt;"Y","Not assessed",IF(AND(ISNUMBER($V1125),Setup!$B$6-$V1125&gt;Setup!$B$26),"Assessment outdated",IF(NOT(ISNUMBER($W1125)),"Assessed – no score",IF($W1125&gt;=Setup!$B$24,"High",IF($W1125&gt;=Setup!$B$25,"Moderate","Low")))))))</f>
        <v/>
      </c>
      <c r="AL1125" s="21">
        <f>IF(AND($A1125="",$B1125=""),"",IF(Z1125=0,"",IF(AND(AE1125=1,N($R1125)&gt;AD1125*1.01+0.001),"Net terrestrial &gt; gross; ","")&amp;IF(AND(AE1125=1,N($S1125)&gt;AC1125*1.01+0.001),"Net marine &gt; gross; ","")&amp;IF(AE1125=0,"No net area – gross used, overlaps may be double-counted; ","")&amp;IF(AH1125=0,"STATUS_YR missing – imputed in time series; ","")&amp;IF(AND(ISNUMBER($I1125),N($I1125)&gt;Setup!$B$6),"STATUS_YR after reporting year; ","")&amp;IF(OR($G1125="",$G1125="Not Reported"),"GOV_TYPE not reported; ","")&amp;IF(AND(N($J1125)=1,$K1125="Point",N($M1125)&lt;=0),"Coastal point without REP_M_AREA – land/sea split unknown; ","")&amp;IF(AND(N($J1125)=0,N($S1125)&gt;0),"MARINE=0 but net marine &gt;0; ","")&amp;IF(AND(N($J1125)=2,N($R1125)&gt;0),"MARINE=2 but net terrestrial &gt;0; ","")&amp;IF($K1125="Point","Buffered point – coverage approximate; ","")))</f>
        <v/>
      </c>
    </row>
    <row r="1126">
      <c r="A1126" s="19" t="n"/>
      <c r="B1126" s="19" t="n"/>
      <c r="C1126" s="19" t="n"/>
      <c r="D1126" s="19" t="n"/>
      <c r="E1126" s="19" t="n"/>
      <c r="F1126" s="19" t="n"/>
      <c r="G1126" s="19" t="n"/>
      <c r="H1126" s="19" t="n"/>
      <c r="I1126" s="19" t="n"/>
      <c r="J1126" s="19" t="n"/>
      <c r="K1126" s="19" t="n"/>
      <c r="L1126" s="20" t="n"/>
      <c r="M1126" s="20" t="n"/>
      <c r="N1126" s="20" t="n"/>
      <c r="O1126" s="20" t="n"/>
      <c r="P1126" s="19" t="n"/>
      <c r="Q1126" s="19" t="n"/>
      <c r="R1126" s="20" t="n"/>
      <c r="S1126" s="20" t="n"/>
      <c r="T1126" s="19" t="n"/>
      <c r="U1126" s="19" t="n"/>
      <c r="V1126" s="19" t="n"/>
      <c r="W1126" s="19" t="n"/>
      <c r="X1126" s="19" t="n"/>
      <c r="Y1126" s="19" t="n"/>
      <c r="Z1126" s="21">
        <f>IF(AND($A1126="",$B1126=""),"",IF(OR($E1126="",$H1126="",$H1126="Proposed",$H1126="Not Reported"),0,IF(AND($P1126="Y",$Q1126&lt;&gt;"Y"),0,IF(AND($K1126="Point",N($L1126)&lt;=0),0,IF(AND(N($L1126)&lt;=0,N($N1126)&lt;=0,N($R1126)+N($S1126)&lt;=0),0,1)))))</f>
        <v/>
      </c>
      <c r="AA1126" s="21">
        <f>IF(AND($A1126="",$B1126=""),"",IF($E1126="","Site type missing",IF($H1126="","STATUS missing",IF($H1126="Proposed","STATUS = Proposed",IF($H1126="Not Reported","STATUS = Not Reported",IF(AND($P1126="Y",$Q1126&lt;&gt;"Y"),"UNESCO-MAB Biosphere Reserve",IF(AND($K1126="Point",N($L1126)&lt;=0),"Point without REP_AREA",IF(AND(N($L1126)&lt;=0,N($N1126)&lt;=0,N($R1126)+N($S1126)&lt;=0),"No area information",""))))))))</f>
        <v/>
      </c>
      <c r="AB1126" s="22">
        <f>IF(AND($A1126="",$B1126=""),"",IF($K1126="Point",N($L1126),IF(N($N1126)&gt;0,N($N1126),N($L1126))))</f>
        <v/>
      </c>
      <c r="AC1126" s="22">
        <f>IF(AND($A1126="",$B1126=""),"",MIN(AB1126,IF(N($J1126)=0,0,IF(N($J1126)=2,AB1126,IF(AND($K1126&lt;&gt;"Point",N($O1126)&gt;0),N($O1126),N($M1126))))))</f>
        <v/>
      </c>
      <c r="AD1126" s="22">
        <f>IF(AND($A1126="",$B1126=""),"",MAX(0,AB1126-AC1126))</f>
        <v/>
      </c>
      <c r="AE1126" s="21">
        <f>IF(AND($A1126="",$B1126=""),"",IF(OR($R1126&lt;&gt;"",$S1126&lt;&gt;""),1,0))</f>
        <v/>
      </c>
      <c r="AF1126" s="22">
        <f>IF(AND($A1126="",$B1126=""),"",IF(Z1126=1,IF(AE1126=1,N($R1126),AD1126),0))</f>
        <v/>
      </c>
      <c r="AG1126" s="22">
        <f>IF(AND($A1126="",$B1126=""),"",IF(Z1126=1,IF(AE1126=1,N($S1126),AC1126),0))</f>
        <v/>
      </c>
      <c r="AH1126" s="21">
        <f>IF(AND($A1126="",$B1126=""),"",IF(AND(ISNUMBER($I1126),N($I1126)&gt;0),$I1126,0))</f>
        <v/>
      </c>
      <c r="AI1126" s="23">
        <f>IF(AND(NOT(AND($A1126="",$B1126="")),$K1126="Point",N($L1126)&gt;0),SQRT(N($L1126)/PI()),"")</f>
        <v/>
      </c>
      <c r="AJ1126" s="21">
        <f>IF(AND($A1126="",$B1126=""),"",IFERROR(VLOOKUP($G1126,Lists!$D$4:$E$15,2,FALSE),"Not reported"))</f>
        <v/>
      </c>
      <c r="AK1126" s="21">
        <f>IF(AND($A1126="",$B1126=""),"",IF($X1126&lt;&gt;"",$X1126,IF($T1126&lt;&gt;"Y","Not assessed",IF(AND(ISNUMBER($V1126),Setup!$B$6-$V1126&gt;Setup!$B$26),"Assessment outdated",IF(NOT(ISNUMBER($W1126)),"Assessed – no score",IF($W1126&gt;=Setup!$B$24,"High",IF($W1126&gt;=Setup!$B$25,"Moderate","Low")))))))</f>
        <v/>
      </c>
      <c r="AL1126" s="21">
        <f>IF(AND($A1126="",$B1126=""),"",IF(Z1126=0,"",IF(AND(AE1126=1,N($R1126)&gt;AD1126*1.01+0.001),"Net terrestrial &gt; gross; ","")&amp;IF(AND(AE1126=1,N($S1126)&gt;AC1126*1.01+0.001),"Net marine &gt; gross; ","")&amp;IF(AE1126=0,"No net area – gross used, overlaps may be double-counted; ","")&amp;IF(AH1126=0,"STATUS_YR missing – imputed in time series; ","")&amp;IF(AND(ISNUMBER($I1126),N($I1126)&gt;Setup!$B$6),"STATUS_YR after reporting year; ","")&amp;IF(OR($G1126="",$G1126="Not Reported"),"GOV_TYPE not reported; ","")&amp;IF(AND(N($J1126)=1,$K1126="Point",N($M1126)&lt;=0),"Coastal point without REP_M_AREA – land/sea split unknown; ","")&amp;IF(AND(N($J1126)=0,N($S1126)&gt;0),"MARINE=0 but net marine &gt;0; ","")&amp;IF(AND(N($J1126)=2,N($R1126)&gt;0),"MARINE=2 but net terrestrial &gt;0; ","")&amp;IF($K1126="Point","Buffered point – coverage approximate; ","")))</f>
        <v/>
      </c>
    </row>
    <row r="1127">
      <c r="A1127" s="19" t="n"/>
      <c r="B1127" s="19" t="n"/>
      <c r="C1127" s="19" t="n"/>
      <c r="D1127" s="19" t="n"/>
      <c r="E1127" s="19" t="n"/>
      <c r="F1127" s="19" t="n"/>
      <c r="G1127" s="19" t="n"/>
      <c r="H1127" s="19" t="n"/>
      <c r="I1127" s="19" t="n"/>
      <c r="J1127" s="19" t="n"/>
      <c r="K1127" s="19" t="n"/>
      <c r="L1127" s="20" t="n"/>
      <c r="M1127" s="20" t="n"/>
      <c r="N1127" s="20" t="n"/>
      <c r="O1127" s="20" t="n"/>
      <c r="P1127" s="19" t="n"/>
      <c r="Q1127" s="19" t="n"/>
      <c r="R1127" s="20" t="n"/>
      <c r="S1127" s="20" t="n"/>
      <c r="T1127" s="19" t="n"/>
      <c r="U1127" s="19" t="n"/>
      <c r="V1127" s="19" t="n"/>
      <c r="W1127" s="19" t="n"/>
      <c r="X1127" s="19" t="n"/>
      <c r="Y1127" s="19" t="n"/>
      <c r="Z1127" s="21">
        <f>IF(AND($A1127="",$B1127=""),"",IF(OR($E1127="",$H1127="",$H1127="Proposed",$H1127="Not Reported"),0,IF(AND($P1127="Y",$Q1127&lt;&gt;"Y"),0,IF(AND($K1127="Point",N($L1127)&lt;=0),0,IF(AND(N($L1127)&lt;=0,N($N1127)&lt;=0,N($R1127)+N($S1127)&lt;=0),0,1)))))</f>
        <v/>
      </c>
      <c r="AA1127" s="21">
        <f>IF(AND($A1127="",$B1127=""),"",IF($E1127="","Site type missing",IF($H1127="","STATUS missing",IF($H1127="Proposed","STATUS = Proposed",IF($H1127="Not Reported","STATUS = Not Reported",IF(AND($P1127="Y",$Q1127&lt;&gt;"Y"),"UNESCO-MAB Biosphere Reserve",IF(AND($K1127="Point",N($L1127)&lt;=0),"Point without REP_AREA",IF(AND(N($L1127)&lt;=0,N($N1127)&lt;=0,N($R1127)+N($S1127)&lt;=0),"No area information",""))))))))</f>
        <v/>
      </c>
      <c r="AB1127" s="22">
        <f>IF(AND($A1127="",$B1127=""),"",IF($K1127="Point",N($L1127),IF(N($N1127)&gt;0,N($N1127),N($L1127))))</f>
        <v/>
      </c>
      <c r="AC1127" s="22">
        <f>IF(AND($A1127="",$B1127=""),"",MIN(AB1127,IF(N($J1127)=0,0,IF(N($J1127)=2,AB1127,IF(AND($K1127&lt;&gt;"Point",N($O1127)&gt;0),N($O1127),N($M1127))))))</f>
        <v/>
      </c>
      <c r="AD1127" s="22">
        <f>IF(AND($A1127="",$B1127=""),"",MAX(0,AB1127-AC1127))</f>
        <v/>
      </c>
      <c r="AE1127" s="21">
        <f>IF(AND($A1127="",$B1127=""),"",IF(OR($R1127&lt;&gt;"",$S1127&lt;&gt;""),1,0))</f>
        <v/>
      </c>
      <c r="AF1127" s="22">
        <f>IF(AND($A1127="",$B1127=""),"",IF(Z1127=1,IF(AE1127=1,N($R1127),AD1127),0))</f>
        <v/>
      </c>
      <c r="AG1127" s="22">
        <f>IF(AND($A1127="",$B1127=""),"",IF(Z1127=1,IF(AE1127=1,N($S1127),AC1127),0))</f>
        <v/>
      </c>
      <c r="AH1127" s="21">
        <f>IF(AND($A1127="",$B1127=""),"",IF(AND(ISNUMBER($I1127),N($I1127)&gt;0),$I1127,0))</f>
        <v/>
      </c>
      <c r="AI1127" s="23">
        <f>IF(AND(NOT(AND($A1127="",$B1127="")),$K1127="Point",N($L1127)&gt;0),SQRT(N($L1127)/PI()),"")</f>
        <v/>
      </c>
      <c r="AJ1127" s="21">
        <f>IF(AND($A1127="",$B1127=""),"",IFERROR(VLOOKUP($G1127,Lists!$D$4:$E$15,2,FALSE),"Not reported"))</f>
        <v/>
      </c>
      <c r="AK1127" s="21">
        <f>IF(AND($A1127="",$B1127=""),"",IF($X1127&lt;&gt;"",$X1127,IF($T1127&lt;&gt;"Y","Not assessed",IF(AND(ISNUMBER($V1127),Setup!$B$6-$V1127&gt;Setup!$B$26),"Assessment outdated",IF(NOT(ISNUMBER($W1127)),"Assessed – no score",IF($W1127&gt;=Setup!$B$24,"High",IF($W1127&gt;=Setup!$B$25,"Moderate","Low")))))))</f>
        <v/>
      </c>
      <c r="AL1127" s="21">
        <f>IF(AND($A1127="",$B1127=""),"",IF(Z1127=0,"",IF(AND(AE1127=1,N($R1127)&gt;AD1127*1.01+0.001),"Net terrestrial &gt; gross; ","")&amp;IF(AND(AE1127=1,N($S1127)&gt;AC1127*1.01+0.001),"Net marine &gt; gross; ","")&amp;IF(AE1127=0,"No net area – gross used, overlaps may be double-counted; ","")&amp;IF(AH1127=0,"STATUS_YR missing – imputed in time series; ","")&amp;IF(AND(ISNUMBER($I1127),N($I1127)&gt;Setup!$B$6),"STATUS_YR after reporting year; ","")&amp;IF(OR($G1127="",$G1127="Not Reported"),"GOV_TYPE not reported; ","")&amp;IF(AND(N($J1127)=1,$K1127="Point",N($M1127)&lt;=0),"Coastal point without REP_M_AREA – land/sea split unknown; ","")&amp;IF(AND(N($J1127)=0,N($S1127)&gt;0),"MARINE=0 but net marine &gt;0; ","")&amp;IF(AND(N($J1127)=2,N($R1127)&gt;0),"MARINE=2 but net terrestrial &gt;0; ","")&amp;IF($K1127="Point","Buffered point – coverage approximate; ","")))</f>
        <v/>
      </c>
    </row>
    <row r="1128">
      <c r="A1128" s="19" t="n"/>
      <c r="B1128" s="19" t="n"/>
      <c r="C1128" s="19" t="n"/>
      <c r="D1128" s="19" t="n"/>
      <c r="E1128" s="19" t="n"/>
      <c r="F1128" s="19" t="n"/>
      <c r="G1128" s="19" t="n"/>
      <c r="H1128" s="19" t="n"/>
      <c r="I1128" s="19" t="n"/>
      <c r="J1128" s="19" t="n"/>
      <c r="K1128" s="19" t="n"/>
      <c r="L1128" s="20" t="n"/>
      <c r="M1128" s="20" t="n"/>
      <c r="N1128" s="20" t="n"/>
      <c r="O1128" s="20" t="n"/>
      <c r="P1128" s="19" t="n"/>
      <c r="Q1128" s="19" t="n"/>
      <c r="R1128" s="20" t="n"/>
      <c r="S1128" s="20" t="n"/>
      <c r="T1128" s="19" t="n"/>
      <c r="U1128" s="19" t="n"/>
      <c r="V1128" s="19" t="n"/>
      <c r="W1128" s="19" t="n"/>
      <c r="X1128" s="19" t="n"/>
      <c r="Y1128" s="19" t="n"/>
      <c r="Z1128" s="21">
        <f>IF(AND($A1128="",$B1128=""),"",IF(OR($E1128="",$H1128="",$H1128="Proposed",$H1128="Not Reported"),0,IF(AND($P1128="Y",$Q1128&lt;&gt;"Y"),0,IF(AND($K1128="Point",N($L1128)&lt;=0),0,IF(AND(N($L1128)&lt;=0,N($N1128)&lt;=0,N($R1128)+N($S1128)&lt;=0),0,1)))))</f>
        <v/>
      </c>
      <c r="AA1128" s="21">
        <f>IF(AND($A1128="",$B1128=""),"",IF($E1128="","Site type missing",IF($H1128="","STATUS missing",IF($H1128="Proposed","STATUS = Proposed",IF($H1128="Not Reported","STATUS = Not Reported",IF(AND($P1128="Y",$Q1128&lt;&gt;"Y"),"UNESCO-MAB Biosphere Reserve",IF(AND($K1128="Point",N($L1128)&lt;=0),"Point without REP_AREA",IF(AND(N($L1128)&lt;=0,N($N1128)&lt;=0,N($R1128)+N($S1128)&lt;=0),"No area information",""))))))))</f>
        <v/>
      </c>
      <c r="AB1128" s="22">
        <f>IF(AND($A1128="",$B1128=""),"",IF($K1128="Point",N($L1128),IF(N($N1128)&gt;0,N($N1128),N($L1128))))</f>
        <v/>
      </c>
      <c r="AC1128" s="22">
        <f>IF(AND($A1128="",$B1128=""),"",MIN(AB1128,IF(N($J1128)=0,0,IF(N($J1128)=2,AB1128,IF(AND($K1128&lt;&gt;"Point",N($O1128)&gt;0),N($O1128),N($M1128))))))</f>
        <v/>
      </c>
      <c r="AD1128" s="22">
        <f>IF(AND($A1128="",$B1128=""),"",MAX(0,AB1128-AC1128))</f>
        <v/>
      </c>
      <c r="AE1128" s="21">
        <f>IF(AND($A1128="",$B1128=""),"",IF(OR($R1128&lt;&gt;"",$S1128&lt;&gt;""),1,0))</f>
        <v/>
      </c>
      <c r="AF1128" s="22">
        <f>IF(AND($A1128="",$B1128=""),"",IF(Z1128=1,IF(AE1128=1,N($R1128),AD1128),0))</f>
        <v/>
      </c>
      <c r="AG1128" s="22">
        <f>IF(AND($A1128="",$B1128=""),"",IF(Z1128=1,IF(AE1128=1,N($S1128),AC1128),0))</f>
        <v/>
      </c>
      <c r="AH1128" s="21">
        <f>IF(AND($A1128="",$B1128=""),"",IF(AND(ISNUMBER($I1128),N($I1128)&gt;0),$I1128,0))</f>
        <v/>
      </c>
      <c r="AI1128" s="23">
        <f>IF(AND(NOT(AND($A1128="",$B1128="")),$K1128="Point",N($L1128)&gt;0),SQRT(N($L1128)/PI()),"")</f>
        <v/>
      </c>
      <c r="AJ1128" s="21">
        <f>IF(AND($A1128="",$B1128=""),"",IFERROR(VLOOKUP($G1128,Lists!$D$4:$E$15,2,FALSE),"Not reported"))</f>
        <v/>
      </c>
      <c r="AK1128" s="21">
        <f>IF(AND($A1128="",$B1128=""),"",IF($X1128&lt;&gt;"",$X1128,IF($T1128&lt;&gt;"Y","Not assessed",IF(AND(ISNUMBER($V1128),Setup!$B$6-$V1128&gt;Setup!$B$26),"Assessment outdated",IF(NOT(ISNUMBER($W1128)),"Assessed – no score",IF($W1128&gt;=Setup!$B$24,"High",IF($W1128&gt;=Setup!$B$25,"Moderate","Low")))))))</f>
        <v/>
      </c>
      <c r="AL1128" s="21">
        <f>IF(AND($A1128="",$B1128=""),"",IF(Z1128=0,"",IF(AND(AE1128=1,N($R1128)&gt;AD1128*1.01+0.001),"Net terrestrial &gt; gross; ","")&amp;IF(AND(AE1128=1,N($S1128)&gt;AC1128*1.01+0.001),"Net marine &gt; gross; ","")&amp;IF(AE1128=0,"No net area – gross used, overlaps may be double-counted; ","")&amp;IF(AH1128=0,"STATUS_YR missing – imputed in time series; ","")&amp;IF(AND(ISNUMBER($I1128),N($I1128)&gt;Setup!$B$6),"STATUS_YR after reporting year; ","")&amp;IF(OR($G1128="",$G1128="Not Reported"),"GOV_TYPE not reported; ","")&amp;IF(AND(N($J1128)=1,$K1128="Point",N($M1128)&lt;=0),"Coastal point without REP_M_AREA – land/sea split unknown; ","")&amp;IF(AND(N($J1128)=0,N($S1128)&gt;0),"MARINE=0 but net marine &gt;0; ","")&amp;IF(AND(N($J1128)=2,N($R1128)&gt;0),"MARINE=2 but net terrestrial &gt;0; ","")&amp;IF($K1128="Point","Buffered point – coverage approximate; ","")))</f>
        <v/>
      </c>
    </row>
    <row r="1129">
      <c r="A1129" s="19" t="n"/>
      <c r="B1129" s="19" t="n"/>
      <c r="C1129" s="19" t="n"/>
      <c r="D1129" s="19" t="n"/>
      <c r="E1129" s="19" t="n"/>
      <c r="F1129" s="19" t="n"/>
      <c r="G1129" s="19" t="n"/>
      <c r="H1129" s="19" t="n"/>
      <c r="I1129" s="19" t="n"/>
      <c r="J1129" s="19" t="n"/>
      <c r="K1129" s="19" t="n"/>
      <c r="L1129" s="20" t="n"/>
      <c r="M1129" s="20" t="n"/>
      <c r="N1129" s="20" t="n"/>
      <c r="O1129" s="20" t="n"/>
      <c r="P1129" s="19" t="n"/>
      <c r="Q1129" s="19" t="n"/>
      <c r="R1129" s="20" t="n"/>
      <c r="S1129" s="20" t="n"/>
      <c r="T1129" s="19" t="n"/>
      <c r="U1129" s="19" t="n"/>
      <c r="V1129" s="19" t="n"/>
      <c r="W1129" s="19" t="n"/>
      <c r="X1129" s="19" t="n"/>
      <c r="Y1129" s="19" t="n"/>
      <c r="Z1129" s="21">
        <f>IF(AND($A1129="",$B1129=""),"",IF(OR($E1129="",$H1129="",$H1129="Proposed",$H1129="Not Reported"),0,IF(AND($P1129="Y",$Q1129&lt;&gt;"Y"),0,IF(AND($K1129="Point",N($L1129)&lt;=0),0,IF(AND(N($L1129)&lt;=0,N($N1129)&lt;=0,N($R1129)+N($S1129)&lt;=0),0,1)))))</f>
        <v/>
      </c>
      <c r="AA1129" s="21">
        <f>IF(AND($A1129="",$B1129=""),"",IF($E1129="","Site type missing",IF($H1129="","STATUS missing",IF($H1129="Proposed","STATUS = Proposed",IF($H1129="Not Reported","STATUS = Not Reported",IF(AND($P1129="Y",$Q1129&lt;&gt;"Y"),"UNESCO-MAB Biosphere Reserve",IF(AND($K1129="Point",N($L1129)&lt;=0),"Point without REP_AREA",IF(AND(N($L1129)&lt;=0,N($N1129)&lt;=0,N($R1129)+N($S1129)&lt;=0),"No area information",""))))))))</f>
        <v/>
      </c>
      <c r="AB1129" s="22">
        <f>IF(AND($A1129="",$B1129=""),"",IF($K1129="Point",N($L1129),IF(N($N1129)&gt;0,N($N1129),N($L1129))))</f>
        <v/>
      </c>
      <c r="AC1129" s="22">
        <f>IF(AND($A1129="",$B1129=""),"",MIN(AB1129,IF(N($J1129)=0,0,IF(N($J1129)=2,AB1129,IF(AND($K1129&lt;&gt;"Point",N($O1129)&gt;0),N($O1129),N($M1129))))))</f>
        <v/>
      </c>
      <c r="AD1129" s="22">
        <f>IF(AND($A1129="",$B1129=""),"",MAX(0,AB1129-AC1129))</f>
        <v/>
      </c>
      <c r="AE1129" s="21">
        <f>IF(AND($A1129="",$B1129=""),"",IF(OR($R1129&lt;&gt;"",$S1129&lt;&gt;""),1,0))</f>
        <v/>
      </c>
      <c r="AF1129" s="22">
        <f>IF(AND($A1129="",$B1129=""),"",IF(Z1129=1,IF(AE1129=1,N($R1129),AD1129),0))</f>
        <v/>
      </c>
      <c r="AG1129" s="22">
        <f>IF(AND($A1129="",$B1129=""),"",IF(Z1129=1,IF(AE1129=1,N($S1129),AC1129),0))</f>
        <v/>
      </c>
      <c r="AH1129" s="21">
        <f>IF(AND($A1129="",$B1129=""),"",IF(AND(ISNUMBER($I1129),N($I1129)&gt;0),$I1129,0))</f>
        <v/>
      </c>
      <c r="AI1129" s="23">
        <f>IF(AND(NOT(AND($A1129="",$B1129="")),$K1129="Point",N($L1129)&gt;0),SQRT(N($L1129)/PI()),"")</f>
        <v/>
      </c>
      <c r="AJ1129" s="21">
        <f>IF(AND($A1129="",$B1129=""),"",IFERROR(VLOOKUP($G1129,Lists!$D$4:$E$15,2,FALSE),"Not reported"))</f>
        <v/>
      </c>
      <c r="AK1129" s="21">
        <f>IF(AND($A1129="",$B1129=""),"",IF($X1129&lt;&gt;"",$X1129,IF($T1129&lt;&gt;"Y","Not assessed",IF(AND(ISNUMBER($V1129),Setup!$B$6-$V1129&gt;Setup!$B$26),"Assessment outdated",IF(NOT(ISNUMBER($W1129)),"Assessed – no score",IF($W1129&gt;=Setup!$B$24,"High",IF($W1129&gt;=Setup!$B$25,"Moderate","Low")))))))</f>
        <v/>
      </c>
      <c r="AL1129" s="21">
        <f>IF(AND($A1129="",$B1129=""),"",IF(Z1129=0,"",IF(AND(AE1129=1,N($R1129)&gt;AD1129*1.01+0.001),"Net terrestrial &gt; gross; ","")&amp;IF(AND(AE1129=1,N($S1129)&gt;AC1129*1.01+0.001),"Net marine &gt; gross; ","")&amp;IF(AE1129=0,"No net area – gross used, overlaps may be double-counted; ","")&amp;IF(AH1129=0,"STATUS_YR missing – imputed in time series; ","")&amp;IF(AND(ISNUMBER($I1129),N($I1129)&gt;Setup!$B$6),"STATUS_YR after reporting year; ","")&amp;IF(OR($G1129="",$G1129="Not Reported"),"GOV_TYPE not reported; ","")&amp;IF(AND(N($J1129)=1,$K1129="Point",N($M1129)&lt;=0),"Coastal point without REP_M_AREA – land/sea split unknown; ","")&amp;IF(AND(N($J1129)=0,N($S1129)&gt;0),"MARINE=0 but net marine &gt;0; ","")&amp;IF(AND(N($J1129)=2,N($R1129)&gt;0),"MARINE=2 but net terrestrial &gt;0; ","")&amp;IF($K1129="Point","Buffered point – coverage approximate; ","")))</f>
        <v/>
      </c>
    </row>
    <row r="1130">
      <c r="A1130" s="19" t="n"/>
      <c r="B1130" s="19" t="n"/>
      <c r="C1130" s="19" t="n"/>
      <c r="D1130" s="19" t="n"/>
      <c r="E1130" s="19" t="n"/>
      <c r="F1130" s="19" t="n"/>
      <c r="G1130" s="19" t="n"/>
      <c r="H1130" s="19" t="n"/>
      <c r="I1130" s="19" t="n"/>
      <c r="J1130" s="19" t="n"/>
      <c r="K1130" s="19" t="n"/>
      <c r="L1130" s="20" t="n"/>
      <c r="M1130" s="20" t="n"/>
      <c r="N1130" s="20" t="n"/>
      <c r="O1130" s="20" t="n"/>
      <c r="P1130" s="19" t="n"/>
      <c r="Q1130" s="19" t="n"/>
      <c r="R1130" s="20" t="n"/>
      <c r="S1130" s="20" t="n"/>
      <c r="T1130" s="19" t="n"/>
      <c r="U1130" s="19" t="n"/>
      <c r="V1130" s="19" t="n"/>
      <c r="W1130" s="19" t="n"/>
      <c r="X1130" s="19" t="n"/>
      <c r="Y1130" s="19" t="n"/>
      <c r="Z1130" s="21">
        <f>IF(AND($A1130="",$B1130=""),"",IF(OR($E1130="",$H1130="",$H1130="Proposed",$H1130="Not Reported"),0,IF(AND($P1130="Y",$Q1130&lt;&gt;"Y"),0,IF(AND($K1130="Point",N($L1130)&lt;=0),0,IF(AND(N($L1130)&lt;=0,N($N1130)&lt;=0,N($R1130)+N($S1130)&lt;=0),0,1)))))</f>
        <v/>
      </c>
      <c r="AA1130" s="21">
        <f>IF(AND($A1130="",$B1130=""),"",IF($E1130="","Site type missing",IF($H1130="","STATUS missing",IF($H1130="Proposed","STATUS = Proposed",IF($H1130="Not Reported","STATUS = Not Reported",IF(AND($P1130="Y",$Q1130&lt;&gt;"Y"),"UNESCO-MAB Biosphere Reserve",IF(AND($K1130="Point",N($L1130)&lt;=0),"Point without REP_AREA",IF(AND(N($L1130)&lt;=0,N($N1130)&lt;=0,N($R1130)+N($S1130)&lt;=0),"No area information",""))))))))</f>
        <v/>
      </c>
      <c r="AB1130" s="22">
        <f>IF(AND($A1130="",$B1130=""),"",IF($K1130="Point",N($L1130),IF(N($N1130)&gt;0,N($N1130),N($L1130))))</f>
        <v/>
      </c>
      <c r="AC1130" s="22">
        <f>IF(AND($A1130="",$B1130=""),"",MIN(AB1130,IF(N($J1130)=0,0,IF(N($J1130)=2,AB1130,IF(AND($K1130&lt;&gt;"Point",N($O1130)&gt;0),N($O1130),N($M1130))))))</f>
        <v/>
      </c>
      <c r="AD1130" s="22">
        <f>IF(AND($A1130="",$B1130=""),"",MAX(0,AB1130-AC1130))</f>
        <v/>
      </c>
      <c r="AE1130" s="21">
        <f>IF(AND($A1130="",$B1130=""),"",IF(OR($R1130&lt;&gt;"",$S1130&lt;&gt;""),1,0))</f>
        <v/>
      </c>
      <c r="AF1130" s="22">
        <f>IF(AND($A1130="",$B1130=""),"",IF(Z1130=1,IF(AE1130=1,N($R1130),AD1130),0))</f>
        <v/>
      </c>
      <c r="AG1130" s="22">
        <f>IF(AND($A1130="",$B1130=""),"",IF(Z1130=1,IF(AE1130=1,N($S1130),AC1130),0))</f>
        <v/>
      </c>
      <c r="AH1130" s="21">
        <f>IF(AND($A1130="",$B1130=""),"",IF(AND(ISNUMBER($I1130),N($I1130)&gt;0),$I1130,0))</f>
        <v/>
      </c>
      <c r="AI1130" s="23">
        <f>IF(AND(NOT(AND($A1130="",$B1130="")),$K1130="Point",N($L1130)&gt;0),SQRT(N($L1130)/PI()),"")</f>
        <v/>
      </c>
      <c r="AJ1130" s="21">
        <f>IF(AND($A1130="",$B1130=""),"",IFERROR(VLOOKUP($G1130,Lists!$D$4:$E$15,2,FALSE),"Not reported"))</f>
        <v/>
      </c>
      <c r="AK1130" s="21">
        <f>IF(AND($A1130="",$B1130=""),"",IF($X1130&lt;&gt;"",$X1130,IF($T1130&lt;&gt;"Y","Not assessed",IF(AND(ISNUMBER($V1130),Setup!$B$6-$V1130&gt;Setup!$B$26),"Assessment outdated",IF(NOT(ISNUMBER($W1130)),"Assessed – no score",IF($W1130&gt;=Setup!$B$24,"High",IF($W1130&gt;=Setup!$B$25,"Moderate","Low")))))))</f>
        <v/>
      </c>
      <c r="AL1130" s="21">
        <f>IF(AND($A1130="",$B1130=""),"",IF(Z1130=0,"",IF(AND(AE1130=1,N($R1130)&gt;AD1130*1.01+0.001),"Net terrestrial &gt; gross; ","")&amp;IF(AND(AE1130=1,N($S1130)&gt;AC1130*1.01+0.001),"Net marine &gt; gross; ","")&amp;IF(AE1130=0,"No net area – gross used, overlaps may be double-counted; ","")&amp;IF(AH1130=0,"STATUS_YR missing – imputed in time series; ","")&amp;IF(AND(ISNUMBER($I1130),N($I1130)&gt;Setup!$B$6),"STATUS_YR after reporting year; ","")&amp;IF(OR($G1130="",$G1130="Not Reported"),"GOV_TYPE not reported; ","")&amp;IF(AND(N($J1130)=1,$K1130="Point",N($M1130)&lt;=0),"Coastal point without REP_M_AREA – land/sea split unknown; ","")&amp;IF(AND(N($J1130)=0,N($S1130)&gt;0),"MARINE=0 but net marine &gt;0; ","")&amp;IF(AND(N($J1130)=2,N($R1130)&gt;0),"MARINE=2 but net terrestrial &gt;0; ","")&amp;IF($K1130="Point","Buffered point – coverage approximate; ","")))</f>
        <v/>
      </c>
    </row>
    <row r="1131">
      <c r="A1131" s="19" t="n"/>
      <c r="B1131" s="19" t="n"/>
      <c r="C1131" s="19" t="n"/>
      <c r="D1131" s="19" t="n"/>
      <c r="E1131" s="19" t="n"/>
      <c r="F1131" s="19" t="n"/>
      <c r="G1131" s="19" t="n"/>
      <c r="H1131" s="19" t="n"/>
      <c r="I1131" s="19" t="n"/>
      <c r="J1131" s="19" t="n"/>
      <c r="K1131" s="19" t="n"/>
      <c r="L1131" s="20" t="n"/>
      <c r="M1131" s="20" t="n"/>
      <c r="N1131" s="20" t="n"/>
      <c r="O1131" s="20" t="n"/>
      <c r="P1131" s="19" t="n"/>
      <c r="Q1131" s="19" t="n"/>
      <c r="R1131" s="20" t="n"/>
      <c r="S1131" s="20" t="n"/>
      <c r="T1131" s="19" t="n"/>
      <c r="U1131" s="19" t="n"/>
      <c r="V1131" s="19" t="n"/>
      <c r="W1131" s="19" t="n"/>
      <c r="X1131" s="19" t="n"/>
      <c r="Y1131" s="19" t="n"/>
      <c r="Z1131" s="21">
        <f>IF(AND($A1131="",$B1131=""),"",IF(OR($E1131="",$H1131="",$H1131="Proposed",$H1131="Not Reported"),0,IF(AND($P1131="Y",$Q1131&lt;&gt;"Y"),0,IF(AND($K1131="Point",N($L1131)&lt;=0),0,IF(AND(N($L1131)&lt;=0,N($N1131)&lt;=0,N($R1131)+N($S1131)&lt;=0),0,1)))))</f>
        <v/>
      </c>
      <c r="AA1131" s="21">
        <f>IF(AND($A1131="",$B1131=""),"",IF($E1131="","Site type missing",IF($H1131="","STATUS missing",IF($H1131="Proposed","STATUS = Proposed",IF($H1131="Not Reported","STATUS = Not Reported",IF(AND($P1131="Y",$Q1131&lt;&gt;"Y"),"UNESCO-MAB Biosphere Reserve",IF(AND($K1131="Point",N($L1131)&lt;=0),"Point without REP_AREA",IF(AND(N($L1131)&lt;=0,N($N1131)&lt;=0,N($R1131)+N($S1131)&lt;=0),"No area information",""))))))))</f>
        <v/>
      </c>
      <c r="AB1131" s="22">
        <f>IF(AND($A1131="",$B1131=""),"",IF($K1131="Point",N($L1131),IF(N($N1131)&gt;0,N($N1131),N($L1131))))</f>
        <v/>
      </c>
      <c r="AC1131" s="22">
        <f>IF(AND($A1131="",$B1131=""),"",MIN(AB1131,IF(N($J1131)=0,0,IF(N($J1131)=2,AB1131,IF(AND($K1131&lt;&gt;"Point",N($O1131)&gt;0),N($O1131),N($M1131))))))</f>
        <v/>
      </c>
      <c r="AD1131" s="22">
        <f>IF(AND($A1131="",$B1131=""),"",MAX(0,AB1131-AC1131))</f>
        <v/>
      </c>
      <c r="AE1131" s="21">
        <f>IF(AND($A1131="",$B1131=""),"",IF(OR($R1131&lt;&gt;"",$S1131&lt;&gt;""),1,0))</f>
        <v/>
      </c>
      <c r="AF1131" s="22">
        <f>IF(AND($A1131="",$B1131=""),"",IF(Z1131=1,IF(AE1131=1,N($R1131),AD1131),0))</f>
        <v/>
      </c>
      <c r="AG1131" s="22">
        <f>IF(AND($A1131="",$B1131=""),"",IF(Z1131=1,IF(AE1131=1,N($S1131),AC1131),0))</f>
        <v/>
      </c>
      <c r="AH1131" s="21">
        <f>IF(AND($A1131="",$B1131=""),"",IF(AND(ISNUMBER($I1131),N($I1131)&gt;0),$I1131,0))</f>
        <v/>
      </c>
      <c r="AI1131" s="23">
        <f>IF(AND(NOT(AND($A1131="",$B1131="")),$K1131="Point",N($L1131)&gt;0),SQRT(N($L1131)/PI()),"")</f>
        <v/>
      </c>
      <c r="AJ1131" s="21">
        <f>IF(AND($A1131="",$B1131=""),"",IFERROR(VLOOKUP($G1131,Lists!$D$4:$E$15,2,FALSE),"Not reported"))</f>
        <v/>
      </c>
      <c r="AK1131" s="21">
        <f>IF(AND($A1131="",$B1131=""),"",IF($X1131&lt;&gt;"",$X1131,IF($T1131&lt;&gt;"Y","Not assessed",IF(AND(ISNUMBER($V1131),Setup!$B$6-$V1131&gt;Setup!$B$26),"Assessment outdated",IF(NOT(ISNUMBER($W1131)),"Assessed – no score",IF($W1131&gt;=Setup!$B$24,"High",IF($W1131&gt;=Setup!$B$25,"Moderate","Low")))))))</f>
        <v/>
      </c>
      <c r="AL1131" s="21">
        <f>IF(AND($A1131="",$B1131=""),"",IF(Z1131=0,"",IF(AND(AE1131=1,N($R1131)&gt;AD1131*1.01+0.001),"Net terrestrial &gt; gross; ","")&amp;IF(AND(AE1131=1,N($S1131)&gt;AC1131*1.01+0.001),"Net marine &gt; gross; ","")&amp;IF(AE1131=0,"No net area – gross used, overlaps may be double-counted; ","")&amp;IF(AH1131=0,"STATUS_YR missing – imputed in time series; ","")&amp;IF(AND(ISNUMBER($I1131),N($I1131)&gt;Setup!$B$6),"STATUS_YR after reporting year; ","")&amp;IF(OR($G1131="",$G1131="Not Reported"),"GOV_TYPE not reported; ","")&amp;IF(AND(N($J1131)=1,$K1131="Point",N($M1131)&lt;=0),"Coastal point without REP_M_AREA – land/sea split unknown; ","")&amp;IF(AND(N($J1131)=0,N($S1131)&gt;0),"MARINE=0 but net marine &gt;0; ","")&amp;IF(AND(N($J1131)=2,N($R1131)&gt;0),"MARINE=2 but net terrestrial &gt;0; ","")&amp;IF($K1131="Point","Buffered point – coverage approximate; ","")))</f>
        <v/>
      </c>
    </row>
    <row r="1132">
      <c r="A1132" s="19" t="n"/>
      <c r="B1132" s="19" t="n"/>
      <c r="C1132" s="19" t="n"/>
      <c r="D1132" s="19" t="n"/>
      <c r="E1132" s="19" t="n"/>
      <c r="F1132" s="19" t="n"/>
      <c r="G1132" s="19" t="n"/>
      <c r="H1132" s="19" t="n"/>
      <c r="I1132" s="19" t="n"/>
      <c r="J1132" s="19" t="n"/>
      <c r="K1132" s="19" t="n"/>
      <c r="L1132" s="20" t="n"/>
      <c r="M1132" s="20" t="n"/>
      <c r="N1132" s="20" t="n"/>
      <c r="O1132" s="20" t="n"/>
      <c r="P1132" s="19" t="n"/>
      <c r="Q1132" s="19" t="n"/>
      <c r="R1132" s="20" t="n"/>
      <c r="S1132" s="20" t="n"/>
      <c r="T1132" s="19" t="n"/>
      <c r="U1132" s="19" t="n"/>
      <c r="V1132" s="19" t="n"/>
      <c r="W1132" s="19" t="n"/>
      <c r="X1132" s="19" t="n"/>
      <c r="Y1132" s="19" t="n"/>
      <c r="Z1132" s="21">
        <f>IF(AND($A1132="",$B1132=""),"",IF(OR($E1132="",$H1132="",$H1132="Proposed",$H1132="Not Reported"),0,IF(AND($P1132="Y",$Q1132&lt;&gt;"Y"),0,IF(AND($K1132="Point",N($L1132)&lt;=0),0,IF(AND(N($L1132)&lt;=0,N($N1132)&lt;=0,N($R1132)+N($S1132)&lt;=0),0,1)))))</f>
        <v/>
      </c>
      <c r="AA1132" s="21">
        <f>IF(AND($A1132="",$B1132=""),"",IF($E1132="","Site type missing",IF($H1132="","STATUS missing",IF($H1132="Proposed","STATUS = Proposed",IF($H1132="Not Reported","STATUS = Not Reported",IF(AND($P1132="Y",$Q1132&lt;&gt;"Y"),"UNESCO-MAB Biosphere Reserve",IF(AND($K1132="Point",N($L1132)&lt;=0),"Point without REP_AREA",IF(AND(N($L1132)&lt;=0,N($N1132)&lt;=0,N($R1132)+N($S1132)&lt;=0),"No area information",""))))))))</f>
        <v/>
      </c>
      <c r="AB1132" s="22">
        <f>IF(AND($A1132="",$B1132=""),"",IF($K1132="Point",N($L1132),IF(N($N1132)&gt;0,N($N1132),N($L1132))))</f>
        <v/>
      </c>
      <c r="AC1132" s="22">
        <f>IF(AND($A1132="",$B1132=""),"",MIN(AB1132,IF(N($J1132)=0,0,IF(N($J1132)=2,AB1132,IF(AND($K1132&lt;&gt;"Point",N($O1132)&gt;0),N($O1132),N($M1132))))))</f>
        <v/>
      </c>
      <c r="AD1132" s="22">
        <f>IF(AND($A1132="",$B1132=""),"",MAX(0,AB1132-AC1132))</f>
        <v/>
      </c>
      <c r="AE1132" s="21">
        <f>IF(AND($A1132="",$B1132=""),"",IF(OR($R1132&lt;&gt;"",$S1132&lt;&gt;""),1,0))</f>
        <v/>
      </c>
      <c r="AF1132" s="22">
        <f>IF(AND($A1132="",$B1132=""),"",IF(Z1132=1,IF(AE1132=1,N($R1132),AD1132),0))</f>
        <v/>
      </c>
      <c r="AG1132" s="22">
        <f>IF(AND($A1132="",$B1132=""),"",IF(Z1132=1,IF(AE1132=1,N($S1132),AC1132),0))</f>
        <v/>
      </c>
      <c r="AH1132" s="21">
        <f>IF(AND($A1132="",$B1132=""),"",IF(AND(ISNUMBER($I1132),N($I1132)&gt;0),$I1132,0))</f>
        <v/>
      </c>
      <c r="AI1132" s="23">
        <f>IF(AND(NOT(AND($A1132="",$B1132="")),$K1132="Point",N($L1132)&gt;0),SQRT(N($L1132)/PI()),"")</f>
        <v/>
      </c>
      <c r="AJ1132" s="21">
        <f>IF(AND($A1132="",$B1132=""),"",IFERROR(VLOOKUP($G1132,Lists!$D$4:$E$15,2,FALSE),"Not reported"))</f>
        <v/>
      </c>
      <c r="AK1132" s="21">
        <f>IF(AND($A1132="",$B1132=""),"",IF($X1132&lt;&gt;"",$X1132,IF($T1132&lt;&gt;"Y","Not assessed",IF(AND(ISNUMBER($V1132),Setup!$B$6-$V1132&gt;Setup!$B$26),"Assessment outdated",IF(NOT(ISNUMBER($W1132)),"Assessed – no score",IF($W1132&gt;=Setup!$B$24,"High",IF($W1132&gt;=Setup!$B$25,"Moderate","Low")))))))</f>
        <v/>
      </c>
      <c r="AL1132" s="21">
        <f>IF(AND($A1132="",$B1132=""),"",IF(Z1132=0,"",IF(AND(AE1132=1,N($R1132)&gt;AD1132*1.01+0.001),"Net terrestrial &gt; gross; ","")&amp;IF(AND(AE1132=1,N($S1132)&gt;AC1132*1.01+0.001),"Net marine &gt; gross; ","")&amp;IF(AE1132=0,"No net area – gross used, overlaps may be double-counted; ","")&amp;IF(AH1132=0,"STATUS_YR missing – imputed in time series; ","")&amp;IF(AND(ISNUMBER($I1132),N($I1132)&gt;Setup!$B$6),"STATUS_YR after reporting year; ","")&amp;IF(OR($G1132="",$G1132="Not Reported"),"GOV_TYPE not reported; ","")&amp;IF(AND(N($J1132)=1,$K1132="Point",N($M1132)&lt;=0),"Coastal point without REP_M_AREA – land/sea split unknown; ","")&amp;IF(AND(N($J1132)=0,N($S1132)&gt;0),"MARINE=0 but net marine &gt;0; ","")&amp;IF(AND(N($J1132)=2,N($R1132)&gt;0),"MARINE=2 but net terrestrial &gt;0; ","")&amp;IF($K1132="Point","Buffered point – coverage approximate; ","")))</f>
        <v/>
      </c>
    </row>
    <row r="1133">
      <c r="A1133" s="19" t="n"/>
      <c r="B1133" s="19" t="n"/>
      <c r="C1133" s="19" t="n"/>
      <c r="D1133" s="19" t="n"/>
      <c r="E1133" s="19" t="n"/>
      <c r="F1133" s="19" t="n"/>
      <c r="G1133" s="19" t="n"/>
      <c r="H1133" s="19" t="n"/>
      <c r="I1133" s="19" t="n"/>
      <c r="J1133" s="19" t="n"/>
      <c r="K1133" s="19" t="n"/>
      <c r="L1133" s="20" t="n"/>
      <c r="M1133" s="20" t="n"/>
      <c r="N1133" s="20" t="n"/>
      <c r="O1133" s="20" t="n"/>
      <c r="P1133" s="19" t="n"/>
      <c r="Q1133" s="19" t="n"/>
      <c r="R1133" s="20" t="n"/>
      <c r="S1133" s="20" t="n"/>
      <c r="T1133" s="19" t="n"/>
      <c r="U1133" s="19" t="n"/>
      <c r="V1133" s="19" t="n"/>
      <c r="W1133" s="19" t="n"/>
      <c r="X1133" s="19" t="n"/>
      <c r="Y1133" s="19" t="n"/>
      <c r="Z1133" s="21">
        <f>IF(AND($A1133="",$B1133=""),"",IF(OR($E1133="",$H1133="",$H1133="Proposed",$H1133="Not Reported"),0,IF(AND($P1133="Y",$Q1133&lt;&gt;"Y"),0,IF(AND($K1133="Point",N($L1133)&lt;=0),0,IF(AND(N($L1133)&lt;=0,N($N1133)&lt;=0,N($R1133)+N($S1133)&lt;=0),0,1)))))</f>
        <v/>
      </c>
      <c r="AA1133" s="21">
        <f>IF(AND($A1133="",$B1133=""),"",IF($E1133="","Site type missing",IF($H1133="","STATUS missing",IF($H1133="Proposed","STATUS = Proposed",IF($H1133="Not Reported","STATUS = Not Reported",IF(AND($P1133="Y",$Q1133&lt;&gt;"Y"),"UNESCO-MAB Biosphere Reserve",IF(AND($K1133="Point",N($L1133)&lt;=0),"Point without REP_AREA",IF(AND(N($L1133)&lt;=0,N($N1133)&lt;=0,N($R1133)+N($S1133)&lt;=0),"No area information",""))))))))</f>
        <v/>
      </c>
      <c r="AB1133" s="22">
        <f>IF(AND($A1133="",$B1133=""),"",IF($K1133="Point",N($L1133),IF(N($N1133)&gt;0,N($N1133),N($L1133))))</f>
        <v/>
      </c>
      <c r="AC1133" s="22">
        <f>IF(AND($A1133="",$B1133=""),"",MIN(AB1133,IF(N($J1133)=0,0,IF(N($J1133)=2,AB1133,IF(AND($K1133&lt;&gt;"Point",N($O1133)&gt;0),N($O1133),N($M1133))))))</f>
        <v/>
      </c>
      <c r="AD1133" s="22">
        <f>IF(AND($A1133="",$B1133=""),"",MAX(0,AB1133-AC1133))</f>
        <v/>
      </c>
      <c r="AE1133" s="21">
        <f>IF(AND($A1133="",$B1133=""),"",IF(OR($R1133&lt;&gt;"",$S1133&lt;&gt;""),1,0))</f>
        <v/>
      </c>
      <c r="AF1133" s="22">
        <f>IF(AND($A1133="",$B1133=""),"",IF(Z1133=1,IF(AE1133=1,N($R1133),AD1133),0))</f>
        <v/>
      </c>
      <c r="AG1133" s="22">
        <f>IF(AND($A1133="",$B1133=""),"",IF(Z1133=1,IF(AE1133=1,N($S1133),AC1133),0))</f>
        <v/>
      </c>
      <c r="AH1133" s="21">
        <f>IF(AND($A1133="",$B1133=""),"",IF(AND(ISNUMBER($I1133),N($I1133)&gt;0),$I1133,0))</f>
        <v/>
      </c>
      <c r="AI1133" s="23">
        <f>IF(AND(NOT(AND($A1133="",$B1133="")),$K1133="Point",N($L1133)&gt;0),SQRT(N($L1133)/PI()),"")</f>
        <v/>
      </c>
      <c r="AJ1133" s="21">
        <f>IF(AND($A1133="",$B1133=""),"",IFERROR(VLOOKUP($G1133,Lists!$D$4:$E$15,2,FALSE),"Not reported"))</f>
        <v/>
      </c>
      <c r="AK1133" s="21">
        <f>IF(AND($A1133="",$B1133=""),"",IF($X1133&lt;&gt;"",$X1133,IF($T1133&lt;&gt;"Y","Not assessed",IF(AND(ISNUMBER($V1133),Setup!$B$6-$V1133&gt;Setup!$B$26),"Assessment outdated",IF(NOT(ISNUMBER($W1133)),"Assessed – no score",IF($W1133&gt;=Setup!$B$24,"High",IF($W1133&gt;=Setup!$B$25,"Moderate","Low")))))))</f>
        <v/>
      </c>
      <c r="AL1133" s="21">
        <f>IF(AND($A1133="",$B1133=""),"",IF(Z1133=0,"",IF(AND(AE1133=1,N($R1133)&gt;AD1133*1.01+0.001),"Net terrestrial &gt; gross; ","")&amp;IF(AND(AE1133=1,N($S1133)&gt;AC1133*1.01+0.001),"Net marine &gt; gross; ","")&amp;IF(AE1133=0,"No net area – gross used, overlaps may be double-counted; ","")&amp;IF(AH1133=0,"STATUS_YR missing – imputed in time series; ","")&amp;IF(AND(ISNUMBER($I1133),N($I1133)&gt;Setup!$B$6),"STATUS_YR after reporting year; ","")&amp;IF(OR($G1133="",$G1133="Not Reported"),"GOV_TYPE not reported; ","")&amp;IF(AND(N($J1133)=1,$K1133="Point",N($M1133)&lt;=0),"Coastal point without REP_M_AREA – land/sea split unknown; ","")&amp;IF(AND(N($J1133)=0,N($S1133)&gt;0),"MARINE=0 but net marine &gt;0; ","")&amp;IF(AND(N($J1133)=2,N($R1133)&gt;0),"MARINE=2 but net terrestrial &gt;0; ","")&amp;IF($K1133="Point","Buffered point – coverage approximate; ","")))</f>
        <v/>
      </c>
    </row>
    <row r="1134">
      <c r="A1134" s="19" t="n"/>
      <c r="B1134" s="19" t="n"/>
      <c r="C1134" s="19" t="n"/>
      <c r="D1134" s="19" t="n"/>
      <c r="E1134" s="19" t="n"/>
      <c r="F1134" s="19" t="n"/>
      <c r="G1134" s="19" t="n"/>
      <c r="H1134" s="19" t="n"/>
      <c r="I1134" s="19" t="n"/>
      <c r="J1134" s="19" t="n"/>
      <c r="K1134" s="19" t="n"/>
      <c r="L1134" s="20" t="n"/>
      <c r="M1134" s="20" t="n"/>
      <c r="N1134" s="20" t="n"/>
      <c r="O1134" s="20" t="n"/>
      <c r="P1134" s="19" t="n"/>
      <c r="Q1134" s="19" t="n"/>
      <c r="R1134" s="20" t="n"/>
      <c r="S1134" s="20" t="n"/>
      <c r="T1134" s="19" t="n"/>
      <c r="U1134" s="19" t="n"/>
      <c r="V1134" s="19" t="n"/>
      <c r="W1134" s="19" t="n"/>
      <c r="X1134" s="19" t="n"/>
      <c r="Y1134" s="19" t="n"/>
      <c r="Z1134" s="21">
        <f>IF(AND($A1134="",$B1134=""),"",IF(OR($E1134="",$H1134="",$H1134="Proposed",$H1134="Not Reported"),0,IF(AND($P1134="Y",$Q1134&lt;&gt;"Y"),0,IF(AND($K1134="Point",N($L1134)&lt;=0),0,IF(AND(N($L1134)&lt;=0,N($N1134)&lt;=0,N($R1134)+N($S1134)&lt;=0),0,1)))))</f>
        <v/>
      </c>
      <c r="AA1134" s="21">
        <f>IF(AND($A1134="",$B1134=""),"",IF($E1134="","Site type missing",IF($H1134="","STATUS missing",IF($H1134="Proposed","STATUS = Proposed",IF($H1134="Not Reported","STATUS = Not Reported",IF(AND($P1134="Y",$Q1134&lt;&gt;"Y"),"UNESCO-MAB Biosphere Reserve",IF(AND($K1134="Point",N($L1134)&lt;=0),"Point without REP_AREA",IF(AND(N($L1134)&lt;=0,N($N1134)&lt;=0,N($R1134)+N($S1134)&lt;=0),"No area information",""))))))))</f>
        <v/>
      </c>
      <c r="AB1134" s="22">
        <f>IF(AND($A1134="",$B1134=""),"",IF($K1134="Point",N($L1134),IF(N($N1134)&gt;0,N($N1134),N($L1134))))</f>
        <v/>
      </c>
      <c r="AC1134" s="22">
        <f>IF(AND($A1134="",$B1134=""),"",MIN(AB1134,IF(N($J1134)=0,0,IF(N($J1134)=2,AB1134,IF(AND($K1134&lt;&gt;"Point",N($O1134)&gt;0),N($O1134),N($M1134))))))</f>
        <v/>
      </c>
      <c r="AD1134" s="22">
        <f>IF(AND($A1134="",$B1134=""),"",MAX(0,AB1134-AC1134))</f>
        <v/>
      </c>
      <c r="AE1134" s="21">
        <f>IF(AND($A1134="",$B1134=""),"",IF(OR($R1134&lt;&gt;"",$S1134&lt;&gt;""),1,0))</f>
        <v/>
      </c>
      <c r="AF1134" s="22">
        <f>IF(AND($A1134="",$B1134=""),"",IF(Z1134=1,IF(AE1134=1,N($R1134),AD1134),0))</f>
        <v/>
      </c>
      <c r="AG1134" s="22">
        <f>IF(AND($A1134="",$B1134=""),"",IF(Z1134=1,IF(AE1134=1,N($S1134),AC1134),0))</f>
        <v/>
      </c>
      <c r="AH1134" s="21">
        <f>IF(AND($A1134="",$B1134=""),"",IF(AND(ISNUMBER($I1134),N($I1134)&gt;0),$I1134,0))</f>
        <v/>
      </c>
      <c r="AI1134" s="23">
        <f>IF(AND(NOT(AND($A1134="",$B1134="")),$K1134="Point",N($L1134)&gt;0),SQRT(N($L1134)/PI()),"")</f>
        <v/>
      </c>
      <c r="AJ1134" s="21">
        <f>IF(AND($A1134="",$B1134=""),"",IFERROR(VLOOKUP($G1134,Lists!$D$4:$E$15,2,FALSE),"Not reported"))</f>
        <v/>
      </c>
      <c r="AK1134" s="21">
        <f>IF(AND($A1134="",$B1134=""),"",IF($X1134&lt;&gt;"",$X1134,IF($T1134&lt;&gt;"Y","Not assessed",IF(AND(ISNUMBER($V1134),Setup!$B$6-$V1134&gt;Setup!$B$26),"Assessment outdated",IF(NOT(ISNUMBER($W1134)),"Assessed – no score",IF($W1134&gt;=Setup!$B$24,"High",IF($W1134&gt;=Setup!$B$25,"Moderate","Low")))))))</f>
        <v/>
      </c>
      <c r="AL1134" s="21">
        <f>IF(AND($A1134="",$B1134=""),"",IF(Z1134=0,"",IF(AND(AE1134=1,N($R1134)&gt;AD1134*1.01+0.001),"Net terrestrial &gt; gross; ","")&amp;IF(AND(AE1134=1,N($S1134)&gt;AC1134*1.01+0.001),"Net marine &gt; gross; ","")&amp;IF(AE1134=0,"No net area – gross used, overlaps may be double-counted; ","")&amp;IF(AH1134=0,"STATUS_YR missing – imputed in time series; ","")&amp;IF(AND(ISNUMBER($I1134),N($I1134)&gt;Setup!$B$6),"STATUS_YR after reporting year; ","")&amp;IF(OR($G1134="",$G1134="Not Reported"),"GOV_TYPE not reported; ","")&amp;IF(AND(N($J1134)=1,$K1134="Point",N($M1134)&lt;=0),"Coastal point without REP_M_AREA – land/sea split unknown; ","")&amp;IF(AND(N($J1134)=0,N($S1134)&gt;0),"MARINE=0 but net marine &gt;0; ","")&amp;IF(AND(N($J1134)=2,N($R1134)&gt;0),"MARINE=2 but net terrestrial &gt;0; ","")&amp;IF($K1134="Point","Buffered point – coverage approximate; ","")))</f>
        <v/>
      </c>
    </row>
    <row r="1135">
      <c r="A1135" s="19" t="n"/>
      <c r="B1135" s="19" t="n"/>
      <c r="C1135" s="19" t="n"/>
      <c r="D1135" s="19" t="n"/>
      <c r="E1135" s="19" t="n"/>
      <c r="F1135" s="19" t="n"/>
      <c r="G1135" s="19" t="n"/>
      <c r="H1135" s="19" t="n"/>
      <c r="I1135" s="19" t="n"/>
      <c r="J1135" s="19" t="n"/>
      <c r="K1135" s="19" t="n"/>
      <c r="L1135" s="20" t="n"/>
      <c r="M1135" s="20" t="n"/>
      <c r="N1135" s="20" t="n"/>
      <c r="O1135" s="20" t="n"/>
      <c r="P1135" s="19" t="n"/>
      <c r="Q1135" s="19" t="n"/>
      <c r="R1135" s="20" t="n"/>
      <c r="S1135" s="20" t="n"/>
      <c r="T1135" s="19" t="n"/>
      <c r="U1135" s="19" t="n"/>
      <c r="V1135" s="19" t="n"/>
      <c r="W1135" s="19" t="n"/>
      <c r="X1135" s="19" t="n"/>
      <c r="Y1135" s="19" t="n"/>
      <c r="Z1135" s="21">
        <f>IF(AND($A1135="",$B1135=""),"",IF(OR($E1135="",$H1135="",$H1135="Proposed",$H1135="Not Reported"),0,IF(AND($P1135="Y",$Q1135&lt;&gt;"Y"),0,IF(AND($K1135="Point",N($L1135)&lt;=0),0,IF(AND(N($L1135)&lt;=0,N($N1135)&lt;=0,N($R1135)+N($S1135)&lt;=0),0,1)))))</f>
        <v/>
      </c>
      <c r="AA1135" s="21">
        <f>IF(AND($A1135="",$B1135=""),"",IF($E1135="","Site type missing",IF($H1135="","STATUS missing",IF($H1135="Proposed","STATUS = Proposed",IF($H1135="Not Reported","STATUS = Not Reported",IF(AND($P1135="Y",$Q1135&lt;&gt;"Y"),"UNESCO-MAB Biosphere Reserve",IF(AND($K1135="Point",N($L1135)&lt;=0),"Point without REP_AREA",IF(AND(N($L1135)&lt;=0,N($N1135)&lt;=0,N($R1135)+N($S1135)&lt;=0),"No area information",""))))))))</f>
        <v/>
      </c>
      <c r="AB1135" s="22">
        <f>IF(AND($A1135="",$B1135=""),"",IF($K1135="Point",N($L1135),IF(N($N1135)&gt;0,N($N1135),N($L1135))))</f>
        <v/>
      </c>
      <c r="AC1135" s="22">
        <f>IF(AND($A1135="",$B1135=""),"",MIN(AB1135,IF(N($J1135)=0,0,IF(N($J1135)=2,AB1135,IF(AND($K1135&lt;&gt;"Point",N($O1135)&gt;0),N($O1135),N($M1135))))))</f>
        <v/>
      </c>
      <c r="AD1135" s="22">
        <f>IF(AND($A1135="",$B1135=""),"",MAX(0,AB1135-AC1135))</f>
        <v/>
      </c>
      <c r="AE1135" s="21">
        <f>IF(AND($A1135="",$B1135=""),"",IF(OR($R1135&lt;&gt;"",$S1135&lt;&gt;""),1,0))</f>
        <v/>
      </c>
      <c r="AF1135" s="22">
        <f>IF(AND($A1135="",$B1135=""),"",IF(Z1135=1,IF(AE1135=1,N($R1135),AD1135),0))</f>
        <v/>
      </c>
      <c r="AG1135" s="22">
        <f>IF(AND($A1135="",$B1135=""),"",IF(Z1135=1,IF(AE1135=1,N($S1135),AC1135),0))</f>
        <v/>
      </c>
      <c r="AH1135" s="21">
        <f>IF(AND($A1135="",$B1135=""),"",IF(AND(ISNUMBER($I1135),N($I1135)&gt;0),$I1135,0))</f>
        <v/>
      </c>
      <c r="AI1135" s="23">
        <f>IF(AND(NOT(AND($A1135="",$B1135="")),$K1135="Point",N($L1135)&gt;0),SQRT(N($L1135)/PI()),"")</f>
        <v/>
      </c>
      <c r="AJ1135" s="21">
        <f>IF(AND($A1135="",$B1135=""),"",IFERROR(VLOOKUP($G1135,Lists!$D$4:$E$15,2,FALSE),"Not reported"))</f>
        <v/>
      </c>
      <c r="AK1135" s="21">
        <f>IF(AND($A1135="",$B1135=""),"",IF($X1135&lt;&gt;"",$X1135,IF($T1135&lt;&gt;"Y","Not assessed",IF(AND(ISNUMBER($V1135),Setup!$B$6-$V1135&gt;Setup!$B$26),"Assessment outdated",IF(NOT(ISNUMBER($W1135)),"Assessed – no score",IF($W1135&gt;=Setup!$B$24,"High",IF($W1135&gt;=Setup!$B$25,"Moderate","Low")))))))</f>
        <v/>
      </c>
      <c r="AL1135" s="21">
        <f>IF(AND($A1135="",$B1135=""),"",IF(Z1135=0,"",IF(AND(AE1135=1,N($R1135)&gt;AD1135*1.01+0.001),"Net terrestrial &gt; gross; ","")&amp;IF(AND(AE1135=1,N($S1135)&gt;AC1135*1.01+0.001),"Net marine &gt; gross; ","")&amp;IF(AE1135=0,"No net area – gross used, overlaps may be double-counted; ","")&amp;IF(AH1135=0,"STATUS_YR missing – imputed in time series; ","")&amp;IF(AND(ISNUMBER($I1135),N($I1135)&gt;Setup!$B$6),"STATUS_YR after reporting year; ","")&amp;IF(OR($G1135="",$G1135="Not Reported"),"GOV_TYPE not reported; ","")&amp;IF(AND(N($J1135)=1,$K1135="Point",N($M1135)&lt;=0),"Coastal point without REP_M_AREA – land/sea split unknown; ","")&amp;IF(AND(N($J1135)=0,N($S1135)&gt;0),"MARINE=0 but net marine &gt;0; ","")&amp;IF(AND(N($J1135)=2,N($R1135)&gt;0),"MARINE=2 but net terrestrial &gt;0; ","")&amp;IF($K1135="Point","Buffered point – coverage approximate; ","")))</f>
        <v/>
      </c>
    </row>
    <row r="1136">
      <c r="A1136" s="19" t="n"/>
      <c r="B1136" s="19" t="n"/>
      <c r="C1136" s="19" t="n"/>
      <c r="D1136" s="19" t="n"/>
      <c r="E1136" s="19" t="n"/>
      <c r="F1136" s="19" t="n"/>
      <c r="G1136" s="19" t="n"/>
      <c r="H1136" s="19" t="n"/>
      <c r="I1136" s="19" t="n"/>
      <c r="J1136" s="19" t="n"/>
      <c r="K1136" s="19" t="n"/>
      <c r="L1136" s="20" t="n"/>
      <c r="M1136" s="20" t="n"/>
      <c r="N1136" s="20" t="n"/>
      <c r="O1136" s="20" t="n"/>
      <c r="P1136" s="19" t="n"/>
      <c r="Q1136" s="19" t="n"/>
      <c r="R1136" s="20" t="n"/>
      <c r="S1136" s="20" t="n"/>
      <c r="T1136" s="19" t="n"/>
      <c r="U1136" s="19" t="n"/>
      <c r="V1136" s="19" t="n"/>
      <c r="W1136" s="19" t="n"/>
      <c r="X1136" s="19" t="n"/>
      <c r="Y1136" s="19" t="n"/>
      <c r="Z1136" s="21">
        <f>IF(AND($A1136="",$B1136=""),"",IF(OR($E1136="",$H1136="",$H1136="Proposed",$H1136="Not Reported"),0,IF(AND($P1136="Y",$Q1136&lt;&gt;"Y"),0,IF(AND($K1136="Point",N($L1136)&lt;=0),0,IF(AND(N($L1136)&lt;=0,N($N1136)&lt;=0,N($R1136)+N($S1136)&lt;=0),0,1)))))</f>
        <v/>
      </c>
      <c r="AA1136" s="21">
        <f>IF(AND($A1136="",$B1136=""),"",IF($E1136="","Site type missing",IF($H1136="","STATUS missing",IF($H1136="Proposed","STATUS = Proposed",IF($H1136="Not Reported","STATUS = Not Reported",IF(AND($P1136="Y",$Q1136&lt;&gt;"Y"),"UNESCO-MAB Biosphere Reserve",IF(AND($K1136="Point",N($L1136)&lt;=0),"Point without REP_AREA",IF(AND(N($L1136)&lt;=0,N($N1136)&lt;=0,N($R1136)+N($S1136)&lt;=0),"No area information",""))))))))</f>
        <v/>
      </c>
      <c r="AB1136" s="22">
        <f>IF(AND($A1136="",$B1136=""),"",IF($K1136="Point",N($L1136),IF(N($N1136)&gt;0,N($N1136),N($L1136))))</f>
        <v/>
      </c>
      <c r="AC1136" s="22">
        <f>IF(AND($A1136="",$B1136=""),"",MIN(AB1136,IF(N($J1136)=0,0,IF(N($J1136)=2,AB1136,IF(AND($K1136&lt;&gt;"Point",N($O1136)&gt;0),N($O1136),N($M1136))))))</f>
        <v/>
      </c>
      <c r="AD1136" s="22">
        <f>IF(AND($A1136="",$B1136=""),"",MAX(0,AB1136-AC1136))</f>
        <v/>
      </c>
      <c r="AE1136" s="21">
        <f>IF(AND($A1136="",$B1136=""),"",IF(OR($R1136&lt;&gt;"",$S1136&lt;&gt;""),1,0))</f>
        <v/>
      </c>
      <c r="AF1136" s="22">
        <f>IF(AND($A1136="",$B1136=""),"",IF(Z1136=1,IF(AE1136=1,N($R1136),AD1136),0))</f>
        <v/>
      </c>
      <c r="AG1136" s="22">
        <f>IF(AND($A1136="",$B1136=""),"",IF(Z1136=1,IF(AE1136=1,N($S1136),AC1136),0))</f>
        <v/>
      </c>
      <c r="AH1136" s="21">
        <f>IF(AND($A1136="",$B1136=""),"",IF(AND(ISNUMBER($I1136),N($I1136)&gt;0),$I1136,0))</f>
        <v/>
      </c>
      <c r="AI1136" s="23">
        <f>IF(AND(NOT(AND($A1136="",$B1136="")),$K1136="Point",N($L1136)&gt;0),SQRT(N($L1136)/PI()),"")</f>
        <v/>
      </c>
      <c r="AJ1136" s="21">
        <f>IF(AND($A1136="",$B1136=""),"",IFERROR(VLOOKUP($G1136,Lists!$D$4:$E$15,2,FALSE),"Not reported"))</f>
        <v/>
      </c>
      <c r="AK1136" s="21">
        <f>IF(AND($A1136="",$B1136=""),"",IF($X1136&lt;&gt;"",$X1136,IF($T1136&lt;&gt;"Y","Not assessed",IF(AND(ISNUMBER($V1136),Setup!$B$6-$V1136&gt;Setup!$B$26),"Assessment outdated",IF(NOT(ISNUMBER($W1136)),"Assessed – no score",IF($W1136&gt;=Setup!$B$24,"High",IF($W1136&gt;=Setup!$B$25,"Moderate","Low")))))))</f>
        <v/>
      </c>
      <c r="AL1136" s="21">
        <f>IF(AND($A1136="",$B1136=""),"",IF(Z1136=0,"",IF(AND(AE1136=1,N($R1136)&gt;AD1136*1.01+0.001),"Net terrestrial &gt; gross; ","")&amp;IF(AND(AE1136=1,N($S1136)&gt;AC1136*1.01+0.001),"Net marine &gt; gross; ","")&amp;IF(AE1136=0,"No net area – gross used, overlaps may be double-counted; ","")&amp;IF(AH1136=0,"STATUS_YR missing – imputed in time series; ","")&amp;IF(AND(ISNUMBER($I1136),N($I1136)&gt;Setup!$B$6),"STATUS_YR after reporting year; ","")&amp;IF(OR($G1136="",$G1136="Not Reported"),"GOV_TYPE not reported; ","")&amp;IF(AND(N($J1136)=1,$K1136="Point",N($M1136)&lt;=0),"Coastal point without REP_M_AREA – land/sea split unknown; ","")&amp;IF(AND(N($J1136)=0,N($S1136)&gt;0),"MARINE=0 but net marine &gt;0; ","")&amp;IF(AND(N($J1136)=2,N($R1136)&gt;0),"MARINE=2 but net terrestrial &gt;0; ","")&amp;IF($K1136="Point","Buffered point – coverage approximate; ","")))</f>
        <v/>
      </c>
    </row>
    <row r="1137">
      <c r="A1137" s="19" t="n"/>
      <c r="B1137" s="19" t="n"/>
      <c r="C1137" s="19" t="n"/>
      <c r="D1137" s="19" t="n"/>
      <c r="E1137" s="19" t="n"/>
      <c r="F1137" s="19" t="n"/>
      <c r="G1137" s="19" t="n"/>
      <c r="H1137" s="19" t="n"/>
      <c r="I1137" s="19" t="n"/>
      <c r="J1137" s="19" t="n"/>
      <c r="K1137" s="19" t="n"/>
      <c r="L1137" s="20" t="n"/>
      <c r="M1137" s="20" t="n"/>
      <c r="N1137" s="20" t="n"/>
      <c r="O1137" s="20" t="n"/>
      <c r="P1137" s="19" t="n"/>
      <c r="Q1137" s="19" t="n"/>
      <c r="R1137" s="20" t="n"/>
      <c r="S1137" s="20" t="n"/>
      <c r="T1137" s="19" t="n"/>
      <c r="U1137" s="19" t="n"/>
      <c r="V1137" s="19" t="n"/>
      <c r="W1137" s="19" t="n"/>
      <c r="X1137" s="19" t="n"/>
      <c r="Y1137" s="19" t="n"/>
      <c r="Z1137" s="21">
        <f>IF(AND($A1137="",$B1137=""),"",IF(OR($E1137="",$H1137="",$H1137="Proposed",$H1137="Not Reported"),0,IF(AND($P1137="Y",$Q1137&lt;&gt;"Y"),0,IF(AND($K1137="Point",N($L1137)&lt;=0),0,IF(AND(N($L1137)&lt;=0,N($N1137)&lt;=0,N($R1137)+N($S1137)&lt;=0),0,1)))))</f>
        <v/>
      </c>
      <c r="AA1137" s="21">
        <f>IF(AND($A1137="",$B1137=""),"",IF($E1137="","Site type missing",IF($H1137="","STATUS missing",IF($H1137="Proposed","STATUS = Proposed",IF($H1137="Not Reported","STATUS = Not Reported",IF(AND($P1137="Y",$Q1137&lt;&gt;"Y"),"UNESCO-MAB Biosphere Reserve",IF(AND($K1137="Point",N($L1137)&lt;=0),"Point without REP_AREA",IF(AND(N($L1137)&lt;=0,N($N1137)&lt;=0,N($R1137)+N($S1137)&lt;=0),"No area information",""))))))))</f>
        <v/>
      </c>
      <c r="AB1137" s="22">
        <f>IF(AND($A1137="",$B1137=""),"",IF($K1137="Point",N($L1137),IF(N($N1137)&gt;0,N($N1137),N($L1137))))</f>
        <v/>
      </c>
      <c r="AC1137" s="22">
        <f>IF(AND($A1137="",$B1137=""),"",MIN(AB1137,IF(N($J1137)=0,0,IF(N($J1137)=2,AB1137,IF(AND($K1137&lt;&gt;"Point",N($O1137)&gt;0),N($O1137),N($M1137))))))</f>
        <v/>
      </c>
      <c r="AD1137" s="22">
        <f>IF(AND($A1137="",$B1137=""),"",MAX(0,AB1137-AC1137))</f>
        <v/>
      </c>
      <c r="AE1137" s="21">
        <f>IF(AND($A1137="",$B1137=""),"",IF(OR($R1137&lt;&gt;"",$S1137&lt;&gt;""),1,0))</f>
        <v/>
      </c>
      <c r="AF1137" s="22">
        <f>IF(AND($A1137="",$B1137=""),"",IF(Z1137=1,IF(AE1137=1,N($R1137),AD1137),0))</f>
        <v/>
      </c>
      <c r="AG1137" s="22">
        <f>IF(AND($A1137="",$B1137=""),"",IF(Z1137=1,IF(AE1137=1,N($S1137),AC1137),0))</f>
        <v/>
      </c>
      <c r="AH1137" s="21">
        <f>IF(AND($A1137="",$B1137=""),"",IF(AND(ISNUMBER($I1137),N($I1137)&gt;0),$I1137,0))</f>
        <v/>
      </c>
      <c r="AI1137" s="23">
        <f>IF(AND(NOT(AND($A1137="",$B1137="")),$K1137="Point",N($L1137)&gt;0),SQRT(N($L1137)/PI()),"")</f>
        <v/>
      </c>
      <c r="AJ1137" s="21">
        <f>IF(AND($A1137="",$B1137=""),"",IFERROR(VLOOKUP($G1137,Lists!$D$4:$E$15,2,FALSE),"Not reported"))</f>
        <v/>
      </c>
      <c r="AK1137" s="21">
        <f>IF(AND($A1137="",$B1137=""),"",IF($X1137&lt;&gt;"",$X1137,IF($T1137&lt;&gt;"Y","Not assessed",IF(AND(ISNUMBER($V1137),Setup!$B$6-$V1137&gt;Setup!$B$26),"Assessment outdated",IF(NOT(ISNUMBER($W1137)),"Assessed – no score",IF($W1137&gt;=Setup!$B$24,"High",IF($W1137&gt;=Setup!$B$25,"Moderate","Low")))))))</f>
        <v/>
      </c>
      <c r="AL1137" s="21">
        <f>IF(AND($A1137="",$B1137=""),"",IF(Z1137=0,"",IF(AND(AE1137=1,N($R1137)&gt;AD1137*1.01+0.001),"Net terrestrial &gt; gross; ","")&amp;IF(AND(AE1137=1,N($S1137)&gt;AC1137*1.01+0.001),"Net marine &gt; gross; ","")&amp;IF(AE1137=0,"No net area – gross used, overlaps may be double-counted; ","")&amp;IF(AH1137=0,"STATUS_YR missing – imputed in time series; ","")&amp;IF(AND(ISNUMBER($I1137),N($I1137)&gt;Setup!$B$6),"STATUS_YR after reporting year; ","")&amp;IF(OR($G1137="",$G1137="Not Reported"),"GOV_TYPE not reported; ","")&amp;IF(AND(N($J1137)=1,$K1137="Point",N($M1137)&lt;=0),"Coastal point without REP_M_AREA – land/sea split unknown; ","")&amp;IF(AND(N($J1137)=0,N($S1137)&gt;0),"MARINE=0 but net marine &gt;0; ","")&amp;IF(AND(N($J1137)=2,N($R1137)&gt;0),"MARINE=2 but net terrestrial &gt;0; ","")&amp;IF($K1137="Point","Buffered point – coverage approximate; ","")))</f>
        <v/>
      </c>
    </row>
    <row r="1138">
      <c r="A1138" s="19" t="n"/>
      <c r="B1138" s="19" t="n"/>
      <c r="C1138" s="19" t="n"/>
      <c r="D1138" s="19" t="n"/>
      <c r="E1138" s="19" t="n"/>
      <c r="F1138" s="19" t="n"/>
      <c r="G1138" s="19" t="n"/>
      <c r="H1138" s="19" t="n"/>
      <c r="I1138" s="19" t="n"/>
      <c r="J1138" s="19" t="n"/>
      <c r="K1138" s="19" t="n"/>
      <c r="L1138" s="20" t="n"/>
      <c r="M1138" s="20" t="n"/>
      <c r="N1138" s="20" t="n"/>
      <c r="O1138" s="20" t="n"/>
      <c r="P1138" s="19" t="n"/>
      <c r="Q1138" s="19" t="n"/>
      <c r="R1138" s="20" t="n"/>
      <c r="S1138" s="20" t="n"/>
      <c r="T1138" s="19" t="n"/>
      <c r="U1138" s="19" t="n"/>
      <c r="V1138" s="19" t="n"/>
      <c r="W1138" s="19" t="n"/>
      <c r="X1138" s="19" t="n"/>
      <c r="Y1138" s="19" t="n"/>
      <c r="Z1138" s="21">
        <f>IF(AND($A1138="",$B1138=""),"",IF(OR($E1138="",$H1138="",$H1138="Proposed",$H1138="Not Reported"),0,IF(AND($P1138="Y",$Q1138&lt;&gt;"Y"),0,IF(AND($K1138="Point",N($L1138)&lt;=0),0,IF(AND(N($L1138)&lt;=0,N($N1138)&lt;=0,N($R1138)+N($S1138)&lt;=0),0,1)))))</f>
        <v/>
      </c>
      <c r="AA1138" s="21">
        <f>IF(AND($A1138="",$B1138=""),"",IF($E1138="","Site type missing",IF($H1138="","STATUS missing",IF($H1138="Proposed","STATUS = Proposed",IF($H1138="Not Reported","STATUS = Not Reported",IF(AND($P1138="Y",$Q1138&lt;&gt;"Y"),"UNESCO-MAB Biosphere Reserve",IF(AND($K1138="Point",N($L1138)&lt;=0),"Point without REP_AREA",IF(AND(N($L1138)&lt;=0,N($N1138)&lt;=0,N($R1138)+N($S1138)&lt;=0),"No area information",""))))))))</f>
        <v/>
      </c>
      <c r="AB1138" s="22">
        <f>IF(AND($A1138="",$B1138=""),"",IF($K1138="Point",N($L1138),IF(N($N1138)&gt;0,N($N1138),N($L1138))))</f>
        <v/>
      </c>
      <c r="AC1138" s="22">
        <f>IF(AND($A1138="",$B1138=""),"",MIN(AB1138,IF(N($J1138)=0,0,IF(N($J1138)=2,AB1138,IF(AND($K1138&lt;&gt;"Point",N($O1138)&gt;0),N($O1138),N($M1138))))))</f>
        <v/>
      </c>
      <c r="AD1138" s="22">
        <f>IF(AND($A1138="",$B1138=""),"",MAX(0,AB1138-AC1138))</f>
        <v/>
      </c>
      <c r="AE1138" s="21">
        <f>IF(AND($A1138="",$B1138=""),"",IF(OR($R1138&lt;&gt;"",$S1138&lt;&gt;""),1,0))</f>
        <v/>
      </c>
      <c r="AF1138" s="22">
        <f>IF(AND($A1138="",$B1138=""),"",IF(Z1138=1,IF(AE1138=1,N($R1138),AD1138),0))</f>
        <v/>
      </c>
      <c r="AG1138" s="22">
        <f>IF(AND($A1138="",$B1138=""),"",IF(Z1138=1,IF(AE1138=1,N($S1138),AC1138),0))</f>
        <v/>
      </c>
      <c r="AH1138" s="21">
        <f>IF(AND($A1138="",$B1138=""),"",IF(AND(ISNUMBER($I1138),N($I1138)&gt;0),$I1138,0))</f>
        <v/>
      </c>
      <c r="AI1138" s="23">
        <f>IF(AND(NOT(AND($A1138="",$B1138="")),$K1138="Point",N($L1138)&gt;0),SQRT(N($L1138)/PI()),"")</f>
        <v/>
      </c>
      <c r="AJ1138" s="21">
        <f>IF(AND($A1138="",$B1138=""),"",IFERROR(VLOOKUP($G1138,Lists!$D$4:$E$15,2,FALSE),"Not reported"))</f>
        <v/>
      </c>
      <c r="AK1138" s="21">
        <f>IF(AND($A1138="",$B1138=""),"",IF($X1138&lt;&gt;"",$X1138,IF($T1138&lt;&gt;"Y","Not assessed",IF(AND(ISNUMBER($V1138),Setup!$B$6-$V1138&gt;Setup!$B$26),"Assessment outdated",IF(NOT(ISNUMBER($W1138)),"Assessed – no score",IF($W1138&gt;=Setup!$B$24,"High",IF($W1138&gt;=Setup!$B$25,"Moderate","Low")))))))</f>
        <v/>
      </c>
      <c r="AL1138" s="21">
        <f>IF(AND($A1138="",$B1138=""),"",IF(Z1138=0,"",IF(AND(AE1138=1,N($R1138)&gt;AD1138*1.01+0.001),"Net terrestrial &gt; gross; ","")&amp;IF(AND(AE1138=1,N($S1138)&gt;AC1138*1.01+0.001),"Net marine &gt; gross; ","")&amp;IF(AE1138=0,"No net area – gross used, overlaps may be double-counted; ","")&amp;IF(AH1138=0,"STATUS_YR missing – imputed in time series; ","")&amp;IF(AND(ISNUMBER($I1138),N($I1138)&gt;Setup!$B$6),"STATUS_YR after reporting year; ","")&amp;IF(OR($G1138="",$G1138="Not Reported"),"GOV_TYPE not reported; ","")&amp;IF(AND(N($J1138)=1,$K1138="Point",N($M1138)&lt;=0),"Coastal point without REP_M_AREA – land/sea split unknown; ","")&amp;IF(AND(N($J1138)=0,N($S1138)&gt;0),"MARINE=0 but net marine &gt;0; ","")&amp;IF(AND(N($J1138)=2,N($R1138)&gt;0),"MARINE=2 but net terrestrial &gt;0; ","")&amp;IF($K1138="Point","Buffered point – coverage approximate; ","")))</f>
        <v/>
      </c>
    </row>
    <row r="1139">
      <c r="A1139" s="19" t="n"/>
      <c r="B1139" s="19" t="n"/>
      <c r="C1139" s="19" t="n"/>
      <c r="D1139" s="19" t="n"/>
      <c r="E1139" s="19" t="n"/>
      <c r="F1139" s="19" t="n"/>
      <c r="G1139" s="19" t="n"/>
      <c r="H1139" s="19" t="n"/>
      <c r="I1139" s="19" t="n"/>
      <c r="J1139" s="19" t="n"/>
      <c r="K1139" s="19" t="n"/>
      <c r="L1139" s="20" t="n"/>
      <c r="M1139" s="20" t="n"/>
      <c r="N1139" s="20" t="n"/>
      <c r="O1139" s="20" t="n"/>
      <c r="P1139" s="19" t="n"/>
      <c r="Q1139" s="19" t="n"/>
      <c r="R1139" s="20" t="n"/>
      <c r="S1139" s="20" t="n"/>
      <c r="T1139" s="19" t="n"/>
      <c r="U1139" s="19" t="n"/>
      <c r="V1139" s="19" t="n"/>
      <c r="W1139" s="19" t="n"/>
      <c r="X1139" s="19" t="n"/>
      <c r="Y1139" s="19" t="n"/>
      <c r="Z1139" s="21">
        <f>IF(AND($A1139="",$B1139=""),"",IF(OR($E1139="",$H1139="",$H1139="Proposed",$H1139="Not Reported"),0,IF(AND($P1139="Y",$Q1139&lt;&gt;"Y"),0,IF(AND($K1139="Point",N($L1139)&lt;=0),0,IF(AND(N($L1139)&lt;=0,N($N1139)&lt;=0,N($R1139)+N($S1139)&lt;=0),0,1)))))</f>
        <v/>
      </c>
      <c r="AA1139" s="21">
        <f>IF(AND($A1139="",$B1139=""),"",IF($E1139="","Site type missing",IF($H1139="","STATUS missing",IF($H1139="Proposed","STATUS = Proposed",IF($H1139="Not Reported","STATUS = Not Reported",IF(AND($P1139="Y",$Q1139&lt;&gt;"Y"),"UNESCO-MAB Biosphere Reserve",IF(AND($K1139="Point",N($L1139)&lt;=0),"Point without REP_AREA",IF(AND(N($L1139)&lt;=0,N($N1139)&lt;=0,N($R1139)+N($S1139)&lt;=0),"No area information",""))))))))</f>
        <v/>
      </c>
      <c r="AB1139" s="22">
        <f>IF(AND($A1139="",$B1139=""),"",IF($K1139="Point",N($L1139),IF(N($N1139)&gt;0,N($N1139),N($L1139))))</f>
        <v/>
      </c>
      <c r="AC1139" s="22">
        <f>IF(AND($A1139="",$B1139=""),"",MIN(AB1139,IF(N($J1139)=0,0,IF(N($J1139)=2,AB1139,IF(AND($K1139&lt;&gt;"Point",N($O1139)&gt;0),N($O1139),N($M1139))))))</f>
        <v/>
      </c>
      <c r="AD1139" s="22">
        <f>IF(AND($A1139="",$B1139=""),"",MAX(0,AB1139-AC1139))</f>
        <v/>
      </c>
      <c r="AE1139" s="21">
        <f>IF(AND($A1139="",$B1139=""),"",IF(OR($R1139&lt;&gt;"",$S1139&lt;&gt;""),1,0))</f>
        <v/>
      </c>
      <c r="AF1139" s="22">
        <f>IF(AND($A1139="",$B1139=""),"",IF(Z1139=1,IF(AE1139=1,N($R1139),AD1139),0))</f>
        <v/>
      </c>
      <c r="AG1139" s="22">
        <f>IF(AND($A1139="",$B1139=""),"",IF(Z1139=1,IF(AE1139=1,N($S1139),AC1139),0))</f>
        <v/>
      </c>
      <c r="AH1139" s="21">
        <f>IF(AND($A1139="",$B1139=""),"",IF(AND(ISNUMBER($I1139),N($I1139)&gt;0),$I1139,0))</f>
        <v/>
      </c>
      <c r="AI1139" s="23">
        <f>IF(AND(NOT(AND($A1139="",$B1139="")),$K1139="Point",N($L1139)&gt;0),SQRT(N($L1139)/PI()),"")</f>
        <v/>
      </c>
      <c r="AJ1139" s="21">
        <f>IF(AND($A1139="",$B1139=""),"",IFERROR(VLOOKUP($G1139,Lists!$D$4:$E$15,2,FALSE),"Not reported"))</f>
        <v/>
      </c>
      <c r="AK1139" s="21">
        <f>IF(AND($A1139="",$B1139=""),"",IF($X1139&lt;&gt;"",$X1139,IF($T1139&lt;&gt;"Y","Not assessed",IF(AND(ISNUMBER($V1139),Setup!$B$6-$V1139&gt;Setup!$B$26),"Assessment outdated",IF(NOT(ISNUMBER($W1139)),"Assessed – no score",IF($W1139&gt;=Setup!$B$24,"High",IF($W1139&gt;=Setup!$B$25,"Moderate","Low")))))))</f>
        <v/>
      </c>
      <c r="AL1139" s="21">
        <f>IF(AND($A1139="",$B1139=""),"",IF(Z1139=0,"",IF(AND(AE1139=1,N($R1139)&gt;AD1139*1.01+0.001),"Net terrestrial &gt; gross; ","")&amp;IF(AND(AE1139=1,N($S1139)&gt;AC1139*1.01+0.001),"Net marine &gt; gross; ","")&amp;IF(AE1139=0,"No net area – gross used, overlaps may be double-counted; ","")&amp;IF(AH1139=0,"STATUS_YR missing – imputed in time series; ","")&amp;IF(AND(ISNUMBER($I1139),N($I1139)&gt;Setup!$B$6),"STATUS_YR after reporting year; ","")&amp;IF(OR($G1139="",$G1139="Not Reported"),"GOV_TYPE not reported; ","")&amp;IF(AND(N($J1139)=1,$K1139="Point",N($M1139)&lt;=0),"Coastal point without REP_M_AREA – land/sea split unknown; ","")&amp;IF(AND(N($J1139)=0,N($S1139)&gt;0),"MARINE=0 but net marine &gt;0; ","")&amp;IF(AND(N($J1139)=2,N($R1139)&gt;0),"MARINE=2 but net terrestrial &gt;0; ","")&amp;IF($K1139="Point","Buffered point – coverage approximate; ","")))</f>
        <v/>
      </c>
    </row>
    <row r="1140">
      <c r="A1140" s="19" t="n"/>
      <c r="B1140" s="19" t="n"/>
      <c r="C1140" s="19" t="n"/>
      <c r="D1140" s="19" t="n"/>
      <c r="E1140" s="19" t="n"/>
      <c r="F1140" s="19" t="n"/>
      <c r="G1140" s="19" t="n"/>
      <c r="H1140" s="19" t="n"/>
      <c r="I1140" s="19" t="n"/>
      <c r="J1140" s="19" t="n"/>
      <c r="K1140" s="19" t="n"/>
      <c r="L1140" s="20" t="n"/>
      <c r="M1140" s="20" t="n"/>
      <c r="N1140" s="20" t="n"/>
      <c r="O1140" s="20" t="n"/>
      <c r="P1140" s="19" t="n"/>
      <c r="Q1140" s="19" t="n"/>
      <c r="R1140" s="20" t="n"/>
      <c r="S1140" s="20" t="n"/>
      <c r="T1140" s="19" t="n"/>
      <c r="U1140" s="19" t="n"/>
      <c r="V1140" s="19" t="n"/>
      <c r="W1140" s="19" t="n"/>
      <c r="X1140" s="19" t="n"/>
      <c r="Y1140" s="19" t="n"/>
      <c r="Z1140" s="21">
        <f>IF(AND($A1140="",$B1140=""),"",IF(OR($E1140="",$H1140="",$H1140="Proposed",$H1140="Not Reported"),0,IF(AND($P1140="Y",$Q1140&lt;&gt;"Y"),0,IF(AND($K1140="Point",N($L1140)&lt;=0),0,IF(AND(N($L1140)&lt;=0,N($N1140)&lt;=0,N($R1140)+N($S1140)&lt;=0),0,1)))))</f>
        <v/>
      </c>
      <c r="AA1140" s="21">
        <f>IF(AND($A1140="",$B1140=""),"",IF($E1140="","Site type missing",IF($H1140="","STATUS missing",IF($H1140="Proposed","STATUS = Proposed",IF($H1140="Not Reported","STATUS = Not Reported",IF(AND($P1140="Y",$Q1140&lt;&gt;"Y"),"UNESCO-MAB Biosphere Reserve",IF(AND($K1140="Point",N($L1140)&lt;=0),"Point without REP_AREA",IF(AND(N($L1140)&lt;=0,N($N1140)&lt;=0,N($R1140)+N($S1140)&lt;=0),"No area information",""))))))))</f>
        <v/>
      </c>
      <c r="AB1140" s="22">
        <f>IF(AND($A1140="",$B1140=""),"",IF($K1140="Point",N($L1140),IF(N($N1140)&gt;0,N($N1140),N($L1140))))</f>
        <v/>
      </c>
      <c r="AC1140" s="22">
        <f>IF(AND($A1140="",$B1140=""),"",MIN(AB1140,IF(N($J1140)=0,0,IF(N($J1140)=2,AB1140,IF(AND($K1140&lt;&gt;"Point",N($O1140)&gt;0),N($O1140),N($M1140))))))</f>
        <v/>
      </c>
      <c r="AD1140" s="22">
        <f>IF(AND($A1140="",$B1140=""),"",MAX(0,AB1140-AC1140))</f>
        <v/>
      </c>
      <c r="AE1140" s="21">
        <f>IF(AND($A1140="",$B1140=""),"",IF(OR($R1140&lt;&gt;"",$S1140&lt;&gt;""),1,0))</f>
        <v/>
      </c>
      <c r="AF1140" s="22">
        <f>IF(AND($A1140="",$B1140=""),"",IF(Z1140=1,IF(AE1140=1,N($R1140),AD1140),0))</f>
        <v/>
      </c>
      <c r="AG1140" s="22">
        <f>IF(AND($A1140="",$B1140=""),"",IF(Z1140=1,IF(AE1140=1,N($S1140),AC1140),0))</f>
        <v/>
      </c>
      <c r="AH1140" s="21">
        <f>IF(AND($A1140="",$B1140=""),"",IF(AND(ISNUMBER($I1140),N($I1140)&gt;0),$I1140,0))</f>
        <v/>
      </c>
      <c r="AI1140" s="23">
        <f>IF(AND(NOT(AND($A1140="",$B1140="")),$K1140="Point",N($L1140)&gt;0),SQRT(N($L1140)/PI()),"")</f>
        <v/>
      </c>
      <c r="AJ1140" s="21">
        <f>IF(AND($A1140="",$B1140=""),"",IFERROR(VLOOKUP($G1140,Lists!$D$4:$E$15,2,FALSE),"Not reported"))</f>
        <v/>
      </c>
      <c r="AK1140" s="21">
        <f>IF(AND($A1140="",$B1140=""),"",IF($X1140&lt;&gt;"",$X1140,IF($T1140&lt;&gt;"Y","Not assessed",IF(AND(ISNUMBER($V1140),Setup!$B$6-$V1140&gt;Setup!$B$26),"Assessment outdated",IF(NOT(ISNUMBER($W1140)),"Assessed – no score",IF($W1140&gt;=Setup!$B$24,"High",IF($W1140&gt;=Setup!$B$25,"Moderate","Low")))))))</f>
        <v/>
      </c>
      <c r="AL1140" s="21">
        <f>IF(AND($A1140="",$B1140=""),"",IF(Z1140=0,"",IF(AND(AE1140=1,N($R1140)&gt;AD1140*1.01+0.001),"Net terrestrial &gt; gross; ","")&amp;IF(AND(AE1140=1,N($S1140)&gt;AC1140*1.01+0.001),"Net marine &gt; gross; ","")&amp;IF(AE1140=0,"No net area – gross used, overlaps may be double-counted; ","")&amp;IF(AH1140=0,"STATUS_YR missing – imputed in time series; ","")&amp;IF(AND(ISNUMBER($I1140),N($I1140)&gt;Setup!$B$6),"STATUS_YR after reporting year; ","")&amp;IF(OR($G1140="",$G1140="Not Reported"),"GOV_TYPE not reported; ","")&amp;IF(AND(N($J1140)=1,$K1140="Point",N($M1140)&lt;=0),"Coastal point without REP_M_AREA – land/sea split unknown; ","")&amp;IF(AND(N($J1140)=0,N($S1140)&gt;0),"MARINE=0 but net marine &gt;0; ","")&amp;IF(AND(N($J1140)=2,N($R1140)&gt;0),"MARINE=2 but net terrestrial &gt;0; ","")&amp;IF($K1140="Point","Buffered point – coverage approximate; ","")))</f>
        <v/>
      </c>
    </row>
    <row r="1141">
      <c r="A1141" s="19" t="n"/>
      <c r="B1141" s="19" t="n"/>
      <c r="C1141" s="19" t="n"/>
      <c r="D1141" s="19" t="n"/>
      <c r="E1141" s="19" t="n"/>
      <c r="F1141" s="19" t="n"/>
      <c r="G1141" s="19" t="n"/>
      <c r="H1141" s="19" t="n"/>
      <c r="I1141" s="19" t="n"/>
      <c r="J1141" s="19" t="n"/>
      <c r="K1141" s="19" t="n"/>
      <c r="L1141" s="20" t="n"/>
      <c r="M1141" s="20" t="n"/>
      <c r="N1141" s="20" t="n"/>
      <c r="O1141" s="20" t="n"/>
      <c r="P1141" s="19" t="n"/>
      <c r="Q1141" s="19" t="n"/>
      <c r="R1141" s="20" t="n"/>
      <c r="S1141" s="20" t="n"/>
      <c r="T1141" s="19" t="n"/>
      <c r="U1141" s="19" t="n"/>
      <c r="V1141" s="19" t="n"/>
      <c r="W1141" s="19" t="n"/>
      <c r="X1141" s="19" t="n"/>
      <c r="Y1141" s="19" t="n"/>
      <c r="Z1141" s="21">
        <f>IF(AND($A1141="",$B1141=""),"",IF(OR($E1141="",$H1141="",$H1141="Proposed",$H1141="Not Reported"),0,IF(AND($P1141="Y",$Q1141&lt;&gt;"Y"),0,IF(AND($K1141="Point",N($L1141)&lt;=0),0,IF(AND(N($L1141)&lt;=0,N($N1141)&lt;=0,N($R1141)+N($S1141)&lt;=0),0,1)))))</f>
        <v/>
      </c>
      <c r="AA1141" s="21">
        <f>IF(AND($A1141="",$B1141=""),"",IF($E1141="","Site type missing",IF($H1141="","STATUS missing",IF($H1141="Proposed","STATUS = Proposed",IF($H1141="Not Reported","STATUS = Not Reported",IF(AND($P1141="Y",$Q1141&lt;&gt;"Y"),"UNESCO-MAB Biosphere Reserve",IF(AND($K1141="Point",N($L1141)&lt;=0),"Point without REP_AREA",IF(AND(N($L1141)&lt;=0,N($N1141)&lt;=0,N($R1141)+N($S1141)&lt;=0),"No area information",""))))))))</f>
        <v/>
      </c>
      <c r="AB1141" s="22">
        <f>IF(AND($A1141="",$B1141=""),"",IF($K1141="Point",N($L1141),IF(N($N1141)&gt;0,N($N1141),N($L1141))))</f>
        <v/>
      </c>
      <c r="AC1141" s="22">
        <f>IF(AND($A1141="",$B1141=""),"",MIN(AB1141,IF(N($J1141)=0,0,IF(N($J1141)=2,AB1141,IF(AND($K1141&lt;&gt;"Point",N($O1141)&gt;0),N($O1141),N($M1141))))))</f>
        <v/>
      </c>
      <c r="AD1141" s="22">
        <f>IF(AND($A1141="",$B1141=""),"",MAX(0,AB1141-AC1141))</f>
        <v/>
      </c>
      <c r="AE1141" s="21">
        <f>IF(AND($A1141="",$B1141=""),"",IF(OR($R1141&lt;&gt;"",$S1141&lt;&gt;""),1,0))</f>
        <v/>
      </c>
      <c r="AF1141" s="22">
        <f>IF(AND($A1141="",$B1141=""),"",IF(Z1141=1,IF(AE1141=1,N($R1141),AD1141),0))</f>
        <v/>
      </c>
      <c r="AG1141" s="22">
        <f>IF(AND($A1141="",$B1141=""),"",IF(Z1141=1,IF(AE1141=1,N($S1141),AC1141),0))</f>
        <v/>
      </c>
      <c r="AH1141" s="21">
        <f>IF(AND($A1141="",$B1141=""),"",IF(AND(ISNUMBER($I1141),N($I1141)&gt;0),$I1141,0))</f>
        <v/>
      </c>
      <c r="AI1141" s="23">
        <f>IF(AND(NOT(AND($A1141="",$B1141="")),$K1141="Point",N($L1141)&gt;0),SQRT(N($L1141)/PI()),"")</f>
        <v/>
      </c>
      <c r="AJ1141" s="21">
        <f>IF(AND($A1141="",$B1141=""),"",IFERROR(VLOOKUP($G1141,Lists!$D$4:$E$15,2,FALSE),"Not reported"))</f>
        <v/>
      </c>
      <c r="AK1141" s="21">
        <f>IF(AND($A1141="",$B1141=""),"",IF($X1141&lt;&gt;"",$X1141,IF($T1141&lt;&gt;"Y","Not assessed",IF(AND(ISNUMBER($V1141),Setup!$B$6-$V1141&gt;Setup!$B$26),"Assessment outdated",IF(NOT(ISNUMBER($W1141)),"Assessed – no score",IF($W1141&gt;=Setup!$B$24,"High",IF($W1141&gt;=Setup!$B$25,"Moderate","Low")))))))</f>
        <v/>
      </c>
      <c r="AL1141" s="21">
        <f>IF(AND($A1141="",$B1141=""),"",IF(Z1141=0,"",IF(AND(AE1141=1,N($R1141)&gt;AD1141*1.01+0.001),"Net terrestrial &gt; gross; ","")&amp;IF(AND(AE1141=1,N($S1141)&gt;AC1141*1.01+0.001),"Net marine &gt; gross; ","")&amp;IF(AE1141=0,"No net area – gross used, overlaps may be double-counted; ","")&amp;IF(AH1141=0,"STATUS_YR missing – imputed in time series; ","")&amp;IF(AND(ISNUMBER($I1141),N($I1141)&gt;Setup!$B$6),"STATUS_YR after reporting year; ","")&amp;IF(OR($G1141="",$G1141="Not Reported"),"GOV_TYPE not reported; ","")&amp;IF(AND(N($J1141)=1,$K1141="Point",N($M1141)&lt;=0),"Coastal point without REP_M_AREA – land/sea split unknown; ","")&amp;IF(AND(N($J1141)=0,N($S1141)&gt;0),"MARINE=0 but net marine &gt;0; ","")&amp;IF(AND(N($J1141)=2,N($R1141)&gt;0),"MARINE=2 but net terrestrial &gt;0; ","")&amp;IF($K1141="Point","Buffered point – coverage approximate; ","")))</f>
        <v/>
      </c>
    </row>
    <row r="1142">
      <c r="A1142" s="19" t="n"/>
      <c r="B1142" s="19" t="n"/>
      <c r="C1142" s="19" t="n"/>
      <c r="D1142" s="19" t="n"/>
      <c r="E1142" s="19" t="n"/>
      <c r="F1142" s="19" t="n"/>
      <c r="G1142" s="19" t="n"/>
      <c r="H1142" s="19" t="n"/>
      <c r="I1142" s="19" t="n"/>
      <c r="J1142" s="19" t="n"/>
      <c r="K1142" s="19" t="n"/>
      <c r="L1142" s="20" t="n"/>
      <c r="M1142" s="20" t="n"/>
      <c r="N1142" s="20" t="n"/>
      <c r="O1142" s="20" t="n"/>
      <c r="P1142" s="19" t="n"/>
      <c r="Q1142" s="19" t="n"/>
      <c r="R1142" s="20" t="n"/>
      <c r="S1142" s="20" t="n"/>
      <c r="T1142" s="19" t="n"/>
      <c r="U1142" s="19" t="n"/>
      <c r="V1142" s="19" t="n"/>
      <c r="W1142" s="19" t="n"/>
      <c r="X1142" s="19" t="n"/>
      <c r="Y1142" s="19" t="n"/>
      <c r="Z1142" s="21">
        <f>IF(AND($A1142="",$B1142=""),"",IF(OR($E1142="",$H1142="",$H1142="Proposed",$H1142="Not Reported"),0,IF(AND($P1142="Y",$Q1142&lt;&gt;"Y"),0,IF(AND($K1142="Point",N($L1142)&lt;=0),0,IF(AND(N($L1142)&lt;=0,N($N1142)&lt;=0,N($R1142)+N($S1142)&lt;=0),0,1)))))</f>
        <v/>
      </c>
      <c r="AA1142" s="21">
        <f>IF(AND($A1142="",$B1142=""),"",IF($E1142="","Site type missing",IF($H1142="","STATUS missing",IF($H1142="Proposed","STATUS = Proposed",IF($H1142="Not Reported","STATUS = Not Reported",IF(AND($P1142="Y",$Q1142&lt;&gt;"Y"),"UNESCO-MAB Biosphere Reserve",IF(AND($K1142="Point",N($L1142)&lt;=0),"Point without REP_AREA",IF(AND(N($L1142)&lt;=0,N($N1142)&lt;=0,N($R1142)+N($S1142)&lt;=0),"No area information",""))))))))</f>
        <v/>
      </c>
      <c r="AB1142" s="22">
        <f>IF(AND($A1142="",$B1142=""),"",IF($K1142="Point",N($L1142),IF(N($N1142)&gt;0,N($N1142),N($L1142))))</f>
        <v/>
      </c>
      <c r="AC1142" s="22">
        <f>IF(AND($A1142="",$B1142=""),"",MIN(AB1142,IF(N($J1142)=0,0,IF(N($J1142)=2,AB1142,IF(AND($K1142&lt;&gt;"Point",N($O1142)&gt;0),N($O1142),N($M1142))))))</f>
        <v/>
      </c>
      <c r="AD1142" s="22">
        <f>IF(AND($A1142="",$B1142=""),"",MAX(0,AB1142-AC1142))</f>
        <v/>
      </c>
      <c r="AE1142" s="21">
        <f>IF(AND($A1142="",$B1142=""),"",IF(OR($R1142&lt;&gt;"",$S1142&lt;&gt;""),1,0))</f>
        <v/>
      </c>
      <c r="AF1142" s="22">
        <f>IF(AND($A1142="",$B1142=""),"",IF(Z1142=1,IF(AE1142=1,N($R1142),AD1142),0))</f>
        <v/>
      </c>
      <c r="AG1142" s="22">
        <f>IF(AND($A1142="",$B1142=""),"",IF(Z1142=1,IF(AE1142=1,N($S1142),AC1142),0))</f>
        <v/>
      </c>
      <c r="AH1142" s="21">
        <f>IF(AND($A1142="",$B1142=""),"",IF(AND(ISNUMBER($I1142),N($I1142)&gt;0),$I1142,0))</f>
        <v/>
      </c>
      <c r="AI1142" s="23">
        <f>IF(AND(NOT(AND($A1142="",$B1142="")),$K1142="Point",N($L1142)&gt;0),SQRT(N($L1142)/PI()),"")</f>
        <v/>
      </c>
      <c r="AJ1142" s="21">
        <f>IF(AND($A1142="",$B1142=""),"",IFERROR(VLOOKUP($G1142,Lists!$D$4:$E$15,2,FALSE),"Not reported"))</f>
        <v/>
      </c>
      <c r="AK1142" s="21">
        <f>IF(AND($A1142="",$B1142=""),"",IF($X1142&lt;&gt;"",$X1142,IF($T1142&lt;&gt;"Y","Not assessed",IF(AND(ISNUMBER($V1142),Setup!$B$6-$V1142&gt;Setup!$B$26),"Assessment outdated",IF(NOT(ISNUMBER($W1142)),"Assessed – no score",IF($W1142&gt;=Setup!$B$24,"High",IF($W1142&gt;=Setup!$B$25,"Moderate","Low")))))))</f>
        <v/>
      </c>
      <c r="AL1142" s="21">
        <f>IF(AND($A1142="",$B1142=""),"",IF(Z1142=0,"",IF(AND(AE1142=1,N($R1142)&gt;AD1142*1.01+0.001),"Net terrestrial &gt; gross; ","")&amp;IF(AND(AE1142=1,N($S1142)&gt;AC1142*1.01+0.001),"Net marine &gt; gross; ","")&amp;IF(AE1142=0,"No net area – gross used, overlaps may be double-counted; ","")&amp;IF(AH1142=0,"STATUS_YR missing – imputed in time series; ","")&amp;IF(AND(ISNUMBER($I1142),N($I1142)&gt;Setup!$B$6),"STATUS_YR after reporting year; ","")&amp;IF(OR($G1142="",$G1142="Not Reported"),"GOV_TYPE not reported; ","")&amp;IF(AND(N($J1142)=1,$K1142="Point",N($M1142)&lt;=0),"Coastal point without REP_M_AREA – land/sea split unknown; ","")&amp;IF(AND(N($J1142)=0,N($S1142)&gt;0),"MARINE=0 but net marine &gt;0; ","")&amp;IF(AND(N($J1142)=2,N($R1142)&gt;0),"MARINE=2 but net terrestrial &gt;0; ","")&amp;IF($K1142="Point","Buffered point – coverage approximate; ","")))</f>
        <v/>
      </c>
    </row>
    <row r="1143">
      <c r="A1143" s="19" t="n"/>
      <c r="B1143" s="19" t="n"/>
      <c r="C1143" s="19" t="n"/>
      <c r="D1143" s="19" t="n"/>
      <c r="E1143" s="19" t="n"/>
      <c r="F1143" s="19" t="n"/>
      <c r="G1143" s="19" t="n"/>
      <c r="H1143" s="19" t="n"/>
      <c r="I1143" s="19" t="n"/>
      <c r="J1143" s="19" t="n"/>
      <c r="K1143" s="19" t="n"/>
      <c r="L1143" s="20" t="n"/>
      <c r="M1143" s="20" t="n"/>
      <c r="N1143" s="20" t="n"/>
      <c r="O1143" s="20" t="n"/>
      <c r="P1143" s="19" t="n"/>
      <c r="Q1143" s="19" t="n"/>
      <c r="R1143" s="20" t="n"/>
      <c r="S1143" s="20" t="n"/>
      <c r="T1143" s="19" t="n"/>
      <c r="U1143" s="19" t="n"/>
      <c r="V1143" s="19" t="n"/>
      <c r="W1143" s="19" t="n"/>
      <c r="X1143" s="19" t="n"/>
      <c r="Y1143" s="19" t="n"/>
      <c r="Z1143" s="21">
        <f>IF(AND($A1143="",$B1143=""),"",IF(OR($E1143="",$H1143="",$H1143="Proposed",$H1143="Not Reported"),0,IF(AND($P1143="Y",$Q1143&lt;&gt;"Y"),0,IF(AND($K1143="Point",N($L1143)&lt;=0),0,IF(AND(N($L1143)&lt;=0,N($N1143)&lt;=0,N($R1143)+N($S1143)&lt;=0),0,1)))))</f>
        <v/>
      </c>
      <c r="AA1143" s="21">
        <f>IF(AND($A1143="",$B1143=""),"",IF($E1143="","Site type missing",IF($H1143="","STATUS missing",IF($H1143="Proposed","STATUS = Proposed",IF($H1143="Not Reported","STATUS = Not Reported",IF(AND($P1143="Y",$Q1143&lt;&gt;"Y"),"UNESCO-MAB Biosphere Reserve",IF(AND($K1143="Point",N($L1143)&lt;=0),"Point without REP_AREA",IF(AND(N($L1143)&lt;=0,N($N1143)&lt;=0,N($R1143)+N($S1143)&lt;=0),"No area information",""))))))))</f>
        <v/>
      </c>
      <c r="AB1143" s="22">
        <f>IF(AND($A1143="",$B1143=""),"",IF($K1143="Point",N($L1143),IF(N($N1143)&gt;0,N($N1143),N($L1143))))</f>
        <v/>
      </c>
      <c r="AC1143" s="22">
        <f>IF(AND($A1143="",$B1143=""),"",MIN(AB1143,IF(N($J1143)=0,0,IF(N($J1143)=2,AB1143,IF(AND($K1143&lt;&gt;"Point",N($O1143)&gt;0),N($O1143),N($M1143))))))</f>
        <v/>
      </c>
      <c r="AD1143" s="22">
        <f>IF(AND($A1143="",$B1143=""),"",MAX(0,AB1143-AC1143))</f>
        <v/>
      </c>
      <c r="AE1143" s="21">
        <f>IF(AND($A1143="",$B1143=""),"",IF(OR($R1143&lt;&gt;"",$S1143&lt;&gt;""),1,0))</f>
        <v/>
      </c>
      <c r="AF1143" s="22">
        <f>IF(AND($A1143="",$B1143=""),"",IF(Z1143=1,IF(AE1143=1,N($R1143),AD1143),0))</f>
        <v/>
      </c>
      <c r="AG1143" s="22">
        <f>IF(AND($A1143="",$B1143=""),"",IF(Z1143=1,IF(AE1143=1,N($S1143),AC1143),0))</f>
        <v/>
      </c>
      <c r="AH1143" s="21">
        <f>IF(AND($A1143="",$B1143=""),"",IF(AND(ISNUMBER($I1143),N($I1143)&gt;0),$I1143,0))</f>
        <v/>
      </c>
      <c r="AI1143" s="23">
        <f>IF(AND(NOT(AND($A1143="",$B1143="")),$K1143="Point",N($L1143)&gt;0),SQRT(N($L1143)/PI()),"")</f>
        <v/>
      </c>
      <c r="AJ1143" s="21">
        <f>IF(AND($A1143="",$B1143=""),"",IFERROR(VLOOKUP($G1143,Lists!$D$4:$E$15,2,FALSE),"Not reported"))</f>
        <v/>
      </c>
      <c r="AK1143" s="21">
        <f>IF(AND($A1143="",$B1143=""),"",IF($X1143&lt;&gt;"",$X1143,IF($T1143&lt;&gt;"Y","Not assessed",IF(AND(ISNUMBER($V1143),Setup!$B$6-$V1143&gt;Setup!$B$26),"Assessment outdated",IF(NOT(ISNUMBER($W1143)),"Assessed – no score",IF($W1143&gt;=Setup!$B$24,"High",IF($W1143&gt;=Setup!$B$25,"Moderate","Low")))))))</f>
        <v/>
      </c>
      <c r="AL1143" s="21">
        <f>IF(AND($A1143="",$B1143=""),"",IF(Z1143=0,"",IF(AND(AE1143=1,N($R1143)&gt;AD1143*1.01+0.001),"Net terrestrial &gt; gross; ","")&amp;IF(AND(AE1143=1,N($S1143)&gt;AC1143*1.01+0.001),"Net marine &gt; gross; ","")&amp;IF(AE1143=0,"No net area – gross used, overlaps may be double-counted; ","")&amp;IF(AH1143=0,"STATUS_YR missing – imputed in time series; ","")&amp;IF(AND(ISNUMBER($I1143),N($I1143)&gt;Setup!$B$6),"STATUS_YR after reporting year; ","")&amp;IF(OR($G1143="",$G1143="Not Reported"),"GOV_TYPE not reported; ","")&amp;IF(AND(N($J1143)=1,$K1143="Point",N($M1143)&lt;=0),"Coastal point without REP_M_AREA – land/sea split unknown; ","")&amp;IF(AND(N($J1143)=0,N($S1143)&gt;0),"MARINE=0 but net marine &gt;0; ","")&amp;IF(AND(N($J1143)=2,N($R1143)&gt;0),"MARINE=2 but net terrestrial &gt;0; ","")&amp;IF($K1143="Point","Buffered point – coverage approximate; ","")))</f>
        <v/>
      </c>
    </row>
    <row r="1144">
      <c r="A1144" s="19" t="n"/>
      <c r="B1144" s="19" t="n"/>
      <c r="C1144" s="19" t="n"/>
      <c r="D1144" s="19" t="n"/>
      <c r="E1144" s="19" t="n"/>
      <c r="F1144" s="19" t="n"/>
      <c r="G1144" s="19" t="n"/>
      <c r="H1144" s="19" t="n"/>
      <c r="I1144" s="19" t="n"/>
      <c r="J1144" s="19" t="n"/>
      <c r="K1144" s="19" t="n"/>
      <c r="L1144" s="20" t="n"/>
      <c r="M1144" s="20" t="n"/>
      <c r="N1144" s="20" t="n"/>
      <c r="O1144" s="20" t="n"/>
      <c r="P1144" s="19" t="n"/>
      <c r="Q1144" s="19" t="n"/>
      <c r="R1144" s="20" t="n"/>
      <c r="S1144" s="20" t="n"/>
      <c r="T1144" s="19" t="n"/>
      <c r="U1144" s="19" t="n"/>
      <c r="V1144" s="19" t="n"/>
      <c r="W1144" s="19" t="n"/>
      <c r="X1144" s="19" t="n"/>
      <c r="Y1144" s="19" t="n"/>
      <c r="Z1144" s="21">
        <f>IF(AND($A1144="",$B1144=""),"",IF(OR($E1144="",$H1144="",$H1144="Proposed",$H1144="Not Reported"),0,IF(AND($P1144="Y",$Q1144&lt;&gt;"Y"),0,IF(AND($K1144="Point",N($L1144)&lt;=0),0,IF(AND(N($L1144)&lt;=0,N($N1144)&lt;=0,N($R1144)+N($S1144)&lt;=0),0,1)))))</f>
        <v/>
      </c>
      <c r="AA1144" s="21">
        <f>IF(AND($A1144="",$B1144=""),"",IF($E1144="","Site type missing",IF($H1144="","STATUS missing",IF($H1144="Proposed","STATUS = Proposed",IF($H1144="Not Reported","STATUS = Not Reported",IF(AND($P1144="Y",$Q1144&lt;&gt;"Y"),"UNESCO-MAB Biosphere Reserve",IF(AND($K1144="Point",N($L1144)&lt;=0),"Point without REP_AREA",IF(AND(N($L1144)&lt;=0,N($N1144)&lt;=0,N($R1144)+N($S1144)&lt;=0),"No area information",""))))))))</f>
        <v/>
      </c>
      <c r="AB1144" s="22">
        <f>IF(AND($A1144="",$B1144=""),"",IF($K1144="Point",N($L1144),IF(N($N1144)&gt;0,N($N1144),N($L1144))))</f>
        <v/>
      </c>
      <c r="AC1144" s="22">
        <f>IF(AND($A1144="",$B1144=""),"",MIN(AB1144,IF(N($J1144)=0,0,IF(N($J1144)=2,AB1144,IF(AND($K1144&lt;&gt;"Point",N($O1144)&gt;0),N($O1144),N($M1144))))))</f>
        <v/>
      </c>
      <c r="AD1144" s="22">
        <f>IF(AND($A1144="",$B1144=""),"",MAX(0,AB1144-AC1144))</f>
        <v/>
      </c>
      <c r="AE1144" s="21">
        <f>IF(AND($A1144="",$B1144=""),"",IF(OR($R1144&lt;&gt;"",$S1144&lt;&gt;""),1,0))</f>
        <v/>
      </c>
      <c r="AF1144" s="22">
        <f>IF(AND($A1144="",$B1144=""),"",IF(Z1144=1,IF(AE1144=1,N($R1144),AD1144),0))</f>
        <v/>
      </c>
      <c r="AG1144" s="22">
        <f>IF(AND($A1144="",$B1144=""),"",IF(Z1144=1,IF(AE1144=1,N($S1144),AC1144),0))</f>
        <v/>
      </c>
      <c r="AH1144" s="21">
        <f>IF(AND($A1144="",$B1144=""),"",IF(AND(ISNUMBER($I1144),N($I1144)&gt;0),$I1144,0))</f>
        <v/>
      </c>
      <c r="AI1144" s="23">
        <f>IF(AND(NOT(AND($A1144="",$B1144="")),$K1144="Point",N($L1144)&gt;0),SQRT(N($L1144)/PI()),"")</f>
        <v/>
      </c>
      <c r="AJ1144" s="21">
        <f>IF(AND($A1144="",$B1144=""),"",IFERROR(VLOOKUP($G1144,Lists!$D$4:$E$15,2,FALSE),"Not reported"))</f>
        <v/>
      </c>
      <c r="AK1144" s="21">
        <f>IF(AND($A1144="",$B1144=""),"",IF($X1144&lt;&gt;"",$X1144,IF($T1144&lt;&gt;"Y","Not assessed",IF(AND(ISNUMBER($V1144),Setup!$B$6-$V1144&gt;Setup!$B$26),"Assessment outdated",IF(NOT(ISNUMBER($W1144)),"Assessed – no score",IF($W1144&gt;=Setup!$B$24,"High",IF($W1144&gt;=Setup!$B$25,"Moderate","Low")))))))</f>
        <v/>
      </c>
      <c r="AL1144" s="21">
        <f>IF(AND($A1144="",$B1144=""),"",IF(Z1144=0,"",IF(AND(AE1144=1,N($R1144)&gt;AD1144*1.01+0.001),"Net terrestrial &gt; gross; ","")&amp;IF(AND(AE1144=1,N($S1144)&gt;AC1144*1.01+0.001),"Net marine &gt; gross; ","")&amp;IF(AE1144=0,"No net area – gross used, overlaps may be double-counted; ","")&amp;IF(AH1144=0,"STATUS_YR missing – imputed in time series; ","")&amp;IF(AND(ISNUMBER($I1144),N($I1144)&gt;Setup!$B$6),"STATUS_YR after reporting year; ","")&amp;IF(OR($G1144="",$G1144="Not Reported"),"GOV_TYPE not reported; ","")&amp;IF(AND(N($J1144)=1,$K1144="Point",N($M1144)&lt;=0),"Coastal point without REP_M_AREA – land/sea split unknown; ","")&amp;IF(AND(N($J1144)=0,N($S1144)&gt;0),"MARINE=0 but net marine &gt;0; ","")&amp;IF(AND(N($J1144)=2,N($R1144)&gt;0),"MARINE=2 but net terrestrial &gt;0; ","")&amp;IF($K1144="Point","Buffered point – coverage approximate; ","")))</f>
        <v/>
      </c>
    </row>
    <row r="1145">
      <c r="A1145" s="19" t="n"/>
      <c r="B1145" s="19" t="n"/>
      <c r="C1145" s="19" t="n"/>
      <c r="D1145" s="19" t="n"/>
      <c r="E1145" s="19" t="n"/>
      <c r="F1145" s="19" t="n"/>
      <c r="G1145" s="19" t="n"/>
      <c r="H1145" s="19" t="n"/>
      <c r="I1145" s="19" t="n"/>
      <c r="J1145" s="19" t="n"/>
      <c r="K1145" s="19" t="n"/>
      <c r="L1145" s="20" t="n"/>
      <c r="M1145" s="20" t="n"/>
      <c r="N1145" s="20" t="n"/>
      <c r="O1145" s="20" t="n"/>
      <c r="P1145" s="19" t="n"/>
      <c r="Q1145" s="19" t="n"/>
      <c r="R1145" s="20" t="n"/>
      <c r="S1145" s="20" t="n"/>
      <c r="T1145" s="19" t="n"/>
      <c r="U1145" s="19" t="n"/>
      <c r="V1145" s="19" t="n"/>
      <c r="W1145" s="19" t="n"/>
      <c r="X1145" s="19" t="n"/>
      <c r="Y1145" s="19" t="n"/>
      <c r="Z1145" s="21">
        <f>IF(AND($A1145="",$B1145=""),"",IF(OR($E1145="",$H1145="",$H1145="Proposed",$H1145="Not Reported"),0,IF(AND($P1145="Y",$Q1145&lt;&gt;"Y"),0,IF(AND($K1145="Point",N($L1145)&lt;=0),0,IF(AND(N($L1145)&lt;=0,N($N1145)&lt;=0,N($R1145)+N($S1145)&lt;=0),0,1)))))</f>
        <v/>
      </c>
      <c r="AA1145" s="21">
        <f>IF(AND($A1145="",$B1145=""),"",IF($E1145="","Site type missing",IF($H1145="","STATUS missing",IF($H1145="Proposed","STATUS = Proposed",IF($H1145="Not Reported","STATUS = Not Reported",IF(AND($P1145="Y",$Q1145&lt;&gt;"Y"),"UNESCO-MAB Biosphere Reserve",IF(AND($K1145="Point",N($L1145)&lt;=0),"Point without REP_AREA",IF(AND(N($L1145)&lt;=0,N($N1145)&lt;=0,N($R1145)+N($S1145)&lt;=0),"No area information",""))))))))</f>
        <v/>
      </c>
      <c r="AB1145" s="22">
        <f>IF(AND($A1145="",$B1145=""),"",IF($K1145="Point",N($L1145),IF(N($N1145)&gt;0,N($N1145),N($L1145))))</f>
        <v/>
      </c>
      <c r="AC1145" s="22">
        <f>IF(AND($A1145="",$B1145=""),"",MIN(AB1145,IF(N($J1145)=0,0,IF(N($J1145)=2,AB1145,IF(AND($K1145&lt;&gt;"Point",N($O1145)&gt;0),N($O1145),N($M1145))))))</f>
        <v/>
      </c>
      <c r="AD1145" s="22">
        <f>IF(AND($A1145="",$B1145=""),"",MAX(0,AB1145-AC1145))</f>
        <v/>
      </c>
      <c r="AE1145" s="21">
        <f>IF(AND($A1145="",$B1145=""),"",IF(OR($R1145&lt;&gt;"",$S1145&lt;&gt;""),1,0))</f>
        <v/>
      </c>
      <c r="AF1145" s="22">
        <f>IF(AND($A1145="",$B1145=""),"",IF(Z1145=1,IF(AE1145=1,N($R1145),AD1145),0))</f>
        <v/>
      </c>
      <c r="AG1145" s="22">
        <f>IF(AND($A1145="",$B1145=""),"",IF(Z1145=1,IF(AE1145=1,N($S1145),AC1145),0))</f>
        <v/>
      </c>
      <c r="AH1145" s="21">
        <f>IF(AND($A1145="",$B1145=""),"",IF(AND(ISNUMBER($I1145),N($I1145)&gt;0),$I1145,0))</f>
        <v/>
      </c>
      <c r="AI1145" s="23">
        <f>IF(AND(NOT(AND($A1145="",$B1145="")),$K1145="Point",N($L1145)&gt;0),SQRT(N($L1145)/PI()),"")</f>
        <v/>
      </c>
      <c r="AJ1145" s="21">
        <f>IF(AND($A1145="",$B1145=""),"",IFERROR(VLOOKUP($G1145,Lists!$D$4:$E$15,2,FALSE),"Not reported"))</f>
        <v/>
      </c>
      <c r="AK1145" s="21">
        <f>IF(AND($A1145="",$B1145=""),"",IF($X1145&lt;&gt;"",$X1145,IF($T1145&lt;&gt;"Y","Not assessed",IF(AND(ISNUMBER($V1145),Setup!$B$6-$V1145&gt;Setup!$B$26),"Assessment outdated",IF(NOT(ISNUMBER($W1145)),"Assessed – no score",IF($W1145&gt;=Setup!$B$24,"High",IF($W1145&gt;=Setup!$B$25,"Moderate","Low")))))))</f>
        <v/>
      </c>
      <c r="AL1145" s="21">
        <f>IF(AND($A1145="",$B1145=""),"",IF(Z1145=0,"",IF(AND(AE1145=1,N($R1145)&gt;AD1145*1.01+0.001),"Net terrestrial &gt; gross; ","")&amp;IF(AND(AE1145=1,N($S1145)&gt;AC1145*1.01+0.001),"Net marine &gt; gross; ","")&amp;IF(AE1145=0,"No net area – gross used, overlaps may be double-counted; ","")&amp;IF(AH1145=0,"STATUS_YR missing – imputed in time series; ","")&amp;IF(AND(ISNUMBER($I1145),N($I1145)&gt;Setup!$B$6),"STATUS_YR after reporting year; ","")&amp;IF(OR($G1145="",$G1145="Not Reported"),"GOV_TYPE not reported; ","")&amp;IF(AND(N($J1145)=1,$K1145="Point",N($M1145)&lt;=0),"Coastal point without REP_M_AREA – land/sea split unknown; ","")&amp;IF(AND(N($J1145)=0,N($S1145)&gt;0),"MARINE=0 but net marine &gt;0; ","")&amp;IF(AND(N($J1145)=2,N($R1145)&gt;0),"MARINE=2 but net terrestrial &gt;0; ","")&amp;IF($K1145="Point","Buffered point – coverage approximate; ","")))</f>
        <v/>
      </c>
    </row>
    <row r="1146">
      <c r="A1146" s="19" t="n"/>
      <c r="B1146" s="19" t="n"/>
      <c r="C1146" s="19" t="n"/>
      <c r="D1146" s="19" t="n"/>
      <c r="E1146" s="19" t="n"/>
      <c r="F1146" s="19" t="n"/>
      <c r="G1146" s="19" t="n"/>
      <c r="H1146" s="19" t="n"/>
      <c r="I1146" s="19" t="n"/>
      <c r="J1146" s="19" t="n"/>
      <c r="K1146" s="19" t="n"/>
      <c r="L1146" s="20" t="n"/>
      <c r="M1146" s="20" t="n"/>
      <c r="N1146" s="20" t="n"/>
      <c r="O1146" s="20" t="n"/>
      <c r="P1146" s="19" t="n"/>
      <c r="Q1146" s="19" t="n"/>
      <c r="R1146" s="20" t="n"/>
      <c r="S1146" s="20" t="n"/>
      <c r="T1146" s="19" t="n"/>
      <c r="U1146" s="19" t="n"/>
      <c r="V1146" s="19" t="n"/>
      <c r="W1146" s="19" t="n"/>
      <c r="X1146" s="19" t="n"/>
      <c r="Y1146" s="19" t="n"/>
      <c r="Z1146" s="21">
        <f>IF(AND($A1146="",$B1146=""),"",IF(OR($E1146="",$H1146="",$H1146="Proposed",$H1146="Not Reported"),0,IF(AND($P1146="Y",$Q1146&lt;&gt;"Y"),0,IF(AND($K1146="Point",N($L1146)&lt;=0),0,IF(AND(N($L1146)&lt;=0,N($N1146)&lt;=0,N($R1146)+N($S1146)&lt;=0),0,1)))))</f>
        <v/>
      </c>
      <c r="AA1146" s="21">
        <f>IF(AND($A1146="",$B1146=""),"",IF($E1146="","Site type missing",IF($H1146="","STATUS missing",IF($H1146="Proposed","STATUS = Proposed",IF($H1146="Not Reported","STATUS = Not Reported",IF(AND($P1146="Y",$Q1146&lt;&gt;"Y"),"UNESCO-MAB Biosphere Reserve",IF(AND($K1146="Point",N($L1146)&lt;=0),"Point without REP_AREA",IF(AND(N($L1146)&lt;=0,N($N1146)&lt;=0,N($R1146)+N($S1146)&lt;=0),"No area information",""))))))))</f>
        <v/>
      </c>
      <c r="AB1146" s="22">
        <f>IF(AND($A1146="",$B1146=""),"",IF($K1146="Point",N($L1146),IF(N($N1146)&gt;0,N($N1146),N($L1146))))</f>
        <v/>
      </c>
      <c r="AC1146" s="22">
        <f>IF(AND($A1146="",$B1146=""),"",MIN(AB1146,IF(N($J1146)=0,0,IF(N($J1146)=2,AB1146,IF(AND($K1146&lt;&gt;"Point",N($O1146)&gt;0),N($O1146),N($M1146))))))</f>
        <v/>
      </c>
      <c r="AD1146" s="22">
        <f>IF(AND($A1146="",$B1146=""),"",MAX(0,AB1146-AC1146))</f>
        <v/>
      </c>
      <c r="AE1146" s="21">
        <f>IF(AND($A1146="",$B1146=""),"",IF(OR($R1146&lt;&gt;"",$S1146&lt;&gt;""),1,0))</f>
        <v/>
      </c>
      <c r="AF1146" s="22">
        <f>IF(AND($A1146="",$B1146=""),"",IF(Z1146=1,IF(AE1146=1,N($R1146),AD1146),0))</f>
        <v/>
      </c>
      <c r="AG1146" s="22">
        <f>IF(AND($A1146="",$B1146=""),"",IF(Z1146=1,IF(AE1146=1,N($S1146),AC1146),0))</f>
        <v/>
      </c>
      <c r="AH1146" s="21">
        <f>IF(AND($A1146="",$B1146=""),"",IF(AND(ISNUMBER($I1146),N($I1146)&gt;0),$I1146,0))</f>
        <v/>
      </c>
      <c r="AI1146" s="23">
        <f>IF(AND(NOT(AND($A1146="",$B1146="")),$K1146="Point",N($L1146)&gt;0),SQRT(N($L1146)/PI()),"")</f>
        <v/>
      </c>
      <c r="AJ1146" s="21">
        <f>IF(AND($A1146="",$B1146=""),"",IFERROR(VLOOKUP($G1146,Lists!$D$4:$E$15,2,FALSE),"Not reported"))</f>
        <v/>
      </c>
      <c r="AK1146" s="21">
        <f>IF(AND($A1146="",$B1146=""),"",IF($X1146&lt;&gt;"",$X1146,IF($T1146&lt;&gt;"Y","Not assessed",IF(AND(ISNUMBER($V1146),Setup!$B$6-$V1146&gt;Setup!$B$26),"Assessment outdated",IF(NOT(ISNUMBER($W1146)),"Assessed – no score",IF($W1146&gt;=Setup!$B$24,"High",IF($W1146&gt;=Setup!$B$25,"Moderate","Low")))))))</f>
        <v/>
      </c>
      <c r="AL1146" s="21">
        <f>IF(AND($A1146="",$B1146=""),"",IF(Z1146=0,"",IF(AND(AE1146=1,N($R1146)&gt;AD1146*1.01+0.001),"Net terrestrial &gt; gross; ","")&amp;IF(AND(AE1146=1,N($S1146)&gt;AC1146*1.01+0.001),"Net marine &gt; gross; ","")&amp;IF(AE1146=0,"No net area – gross used, overlaps may be double-counted; ","")&amp;IF(AH1146=0,"STATUS_YR missing – imputed in time series; ","")&amp;IF(AND(ISNUMBER($I1146),N($I1146)&gt;Setup!$B$6),"STATUS_YR after reporting year; ","")&amp;IF(OR($G1146="",$G1146="Not Reported"),"GOV_TYPE not reported; ","")&amp;IF(AND(N($J1146)=1,$K1146="Point",N($M1146)&lt;=0),"Coastal point without REP_M_AREA – land/sea split unknown; ","")&amp;IF(AND(N($J1146)=0,N($S1146)&gt;0),"MARINE=0 but net marine &gt;0; ","")&amp;IF(AND(N($J1146)=2,N($R1146)&gt;0),"MARINE=2 but net terrestrial &gt;0; ","")&amp;IF($K1146="Point","Buffered point – coverage approximate; ","")))</f>
        <v/>
      </c>
    </row>
    <row r="1147">
      <c r="A1147" s="19" t="n"/>
      <c r="B1147" s="19" t="n"/>
      <c r="C1147" s="19" t="n"/>
      <c r="D1147" s="19" t="n"/>
      <c r="E1147" s="19" t="n"/>
      <c r="F1147" s="19" t="n"/>
      <c r="G1147" s="19" t="n"/>
      <c r="H1147" s="19" t="n"/>
      <c r="I1147" s="19" t="n"/>
      <c r="J1147" s="19" t="n"/>
      <c r="K1147" s="19" t="n"/>
      <c r="L1147" s="20" t="n"/>
      <c r="M1147" s="20" t="n"/>
      <c r="N1147" s="20" t="n"/>
      <c r="O1147" s="20" t="n"/>
      <c r="P1147" s="19" t="n"/>
      <c r="Q1147" s="19" t="n"/>
      <c r="R1147" s="20" t="n"/>
      <c r="S1147" s="20" t="n"/>
      <c r="T1147" s="19" t="n"/>
      <c r="U1147" s="19" t="n"/>
      <c r="V1147" s="19" t="n"/>
      <c r="W1147" s="19" t="n"/>
      <c r="X1147" s="19" t="n"/>
      <c r="Y1147" s="19" t="n"/>
      <c r="Z1147" s="21">
        <f>IF(AND($A1147="",$B1147=""),"",IF(OR($E1147="",$H1147="",$H1147="Proposed",$H1147="Not Reported"),0,IF(AND($P1147="Y",$Q1147&lt;&gt;"Y"),0,IF(AND($K1147="Point",N($L1147)&lt;=0),0,IF(AND(N($L1147)&lt;=0,N($N1147)&lt;=0,N($R1147)+N($S1147)&lt;=0),0,1)))))</f>
        <v/>
      </c>
      <c r="AA1147" s="21">
        <f>IF(AND($A1147="",$B1147=""),"",IF($E1147="","Site type missing",IF($H1147="","STATUS missing",IF($H1147="Proposed","STATUS = Proposed",IF($H1147="Not Reported","STATUS = Not Reported",IF(AND($P1147="Y",$Q1147&lt;&gt;"Y"),"UNESCO-MAB Biosphere Reserve",IF(AND($K1147="Point",N($L1147)&lt;=0),"Point without REP_AREA",IF(AND(N($L1147)&lt;=0,N($N1147)&lt;=0,N($R1147)+N($S1147)&lt;=0),"No area information",""))))))))</f>
        <v/>
      </c>
      <c r="AB1147" s="22">
        <f>IF(AND($A1147="",$B1147=""),"",IF($K1147="Point",N($L1147),IF(N($N1147)&gt;0,N($N1147),N($L1147))))</f>
        <v/>
      </c>
      <c r="AC1147" s="22">
        <f>IF(AND($A1147="",$B1147=""),"",MIN(AB1147,IF(N($J1147)=0,0,IF(N($J1147)=2,AB1147,IF(AND($K1147&lt;&gt;"Point",N($O1147)&gt;0),N($O1147),N($M1147))))))</f>
        <v/>
      </c>
      <c r="AD1147" s="22">
        <f>IF(AND($A1147="",$B1147=""),"",MAX(0,AB1147-AC1147))</f>
        <v/>
      </c>
      <c r="AE1147" s="21">
        <f>IF(AND($A1147="",$B1147=""),"",IF(OR($R1147&lt;&gt;"",$S1147&lt;&gt;""),1,0))</f>
        <v/>
      </c>
      <c r="AF1147" s="22">
        <f>IF(AND($A1147="",$B1147=""),"",IF(Z1147=1,IF(AE1147=1,N($R1147),AD1147),0))</f>
        <v/>
      </c>
      <c r="AG1147" s="22">
        <f>IF(AND($A1147="",$B1147=""),"",IF(Z1147=1,IF(AE1147=1,N($S1147),AC1147),0))</f>
        <v/>
      </c>
      <c r="AH1147" s="21">
        <f>IF(AND($A1147="",$B1147=""),"",IF(AND(ISNUMBER($I1147),N($I1147)&gt;0),$I1147,0))</f>
        <v/>
      </c>
      <c r="AI1147" s="23">
        <f>IF(AND(NOT(AND($A1147="",$B1147="")),$K1147="Point",N($L1147)&gt;0),SQRT(N($L1147)/PI()),"")</f>
        <v/>
      </c>
      <c r="AJ1147" s="21">
        <f>IF(AND($A1147="",$B1147=""),"",IFERROR(VLOOKUP($G1147,Lists!$D$4:$E$15,2,FALSE),"Not reported"))</f>
        <v/>
      </c>
      <c r="AK1147" s="21">
        <f>IF(AND($A1147="",$B1147=""),"",IF($X1147&lt;&gt;"",$X1147,IF($T1147&lt;&gt;"Y","Not assessed",IF(AND(ISNUMBER($V1147),Setup!$B$6-$V1147&gt;Setup!$B$26),"Assessment outdated",IF(NOT(ISNUMBER($W1147)),"Assessed – no score",IF($W1147&gt;=Setup!$B$24,"High",IF($W1147&gt;=Setup!$B$25,"Moderate","Low")))))))</f>
        <v/>
      </c>
      <c r="AL1147" s="21">
        <f>IF(AND($A1147="",$B1147=""),"",IF(Z1147=0,"",IF(AND(AE1147=1,N($R1147)&gt;AD1147*1.01+0.001),"Net terrestrial &gt; gross; ","")&amp;IF(AND(AE1147=1,N($S1147)&gt;AC1147*1.01+0.001),"Net marine &gt; gross; ","")&amp;IF(AE1147=0,"No net area – gross used, overlaps may be double-counted; ","")&amp;IF(AH1147=0,"STATUS_YR missing – imputed in time series; ","")&amp;IF(AND(ISNUMBER($I1147),N($I1147)&gt;Setup!$B$6),"STATUS_YR after reporting year; ","")&amp;IF(OR($G1147="",$G1147="Not Reported"),"GOV_TYPE not reported; ","")&amp;IF(AND(N($J1147)=1,$K1147="Point",N($M1147)&lt;=0),"Coastal point without REP_M_AREA – land/sea split unknown; ","")&amp;IF(AND(N($J1147)=0,N($S1147)&gt;0),"MARINE=0 but net marine &gt;0; ","")&amp;IF(AND(N($J1147)=2,N($R1147)&gt;0),"MARINE=2 but net terrestrial &gt;0; ","")&amp;IF($K1147="Point","Buffered point – coverage approximate; ","")))</f>
        <v/>
      </c>
    </row>
    <row r="1148">
      <c r="A1148" s="19" t="n"/>
      <c r="B1148" s="19" t="n"/>
      <c r="C1148" s="19" t="n"/>
      <c r="D1148" s="19" t="n"/>
      <c r="E1148" s="19" t="n"/>
      <c r="F1148" s="19" t="n"/>
      <c r="G1148" s="19" t="n"/>
      <c r="H1148" s="19" t="n"/>
      <c r="I1148" s="19" t="n"/>
      <c r="J1148" s="19" t="n"/>
      <c r="K1148" s="19" t="n"/>
      <c r="L1148" s="20" t="n"/>
      <c r="M1148" s="20" t="n"/>
      <c r="N1148" s="20" t="n"/>
      <c r="O1148" s="20" t="n"/>
      <c r="P1148" s="19" t="n"/>
      <c r="Q1148" s="19" t="n"/>
      <c r="R1148" s="20" t="n"/>
      <c r="S1148" s="20" t="n"/>
      <c r="T1148" s="19" t="n"/>
      <c r="U1148" s="19" t="n"/>
      <c r="V1148" s="19" t="n"/>
      <c r="W1148" s="19" t="n"/>
      <c r="X1148" s="19" t="n"/>
      <c r="Y1148" s="19" t="n"/>
      <c r="Z1148" s="21">
        <f>IF(AND($A1148="",$B1148=""),"",IF(OR($E1148="",$H1148="",$H1148="Proposed",$H1148="Not Reported"),0,IF(AND($P1148="Y",$Q1148&lt;&gt;"Y"),0,IF(AND($K1148="Point",N($L1148)&lt;=0),0,IF(AND(N($L1148)&lt;=0,N($N1148)&lt;=0,N($R1148)+N($S1148)&lt;=0),0,1)))))</f>
        <v/>
      </c>
      <c r="AA1148" s="21">
        <f>IF(AND($A1148="",$B1148=""),"",IF($E1148="","Site type missing",IF($H1148="","STATUS missing",IF($H1148="Proposed","STATUS = Proposed",IF($H1148="Not Reported","STATUS = Not Reported",IF(AND($P1148="Y",$Q1148&lt;&gt;"Y"),"UNESCO-MAB Biosphere Reserve",IF(AND($K1148="Point",N($L1148)&lt;=0),"Point without REP_AREA",IF(AND(N($L1148)&lt;=0,N($N1148)&lt;=0,N($R1148)+N($S1148)&lt;=0),"No area information",""))))))))</f>
        <v/>
      </c>
      <c r="AB1148" s="22">
        <f>IF(AND($A1148="",$B1148=""),"",IF($K1148="Point",N($L1148),IF(N($N1148)&gt;0,N($N1148),N($L1148))))</f>
        <v/>
      </c>
      <c r="AC1148" s="22">
        <f>IF(AND($A1148="",$B1148=""),"",MIN(AB1148,IF(N($J1148)=0,0,IF(N($J1148)=2,AB1148,IF(AND($K1148&lt;&gt;"Point",N($O1148)&gt;0),N($O1148),N($M1148))))))</f>
        <v/>
      </c>
      <c r="AD1148" s="22">
        <f>IF(AND($A1148="",$B1148=""),"",MAX(0,AB1148-AC1148))</f>
        <v/>
      </c>
      <c r="AE1148" s="21">
        <f>IF(AND($A1148="",$B1148=""),"",IF(OR($R1148&lt;&gt;"",$S1148&lt;&gt;""),1,0))</f>
        <v/>
      </c>
      <c r="AF1148" s="22">
        <f>IF(AND($A1148="",$B1148=""),"",IF(Z1148=1,IF(AE1148=1,N($R1148),AD1148),0))</f>
        <v/>
      </c>
      <c r="AG1148" s="22">
        <f>IF(AND($A1148="",$B1148=""),"",IF(Z1148=1,IF(AE1148=1,N($S1148),AC1148),0))</f>
        <v/>
      </c>
      <c r="AH1148" s="21">
        <f>IF(AND($A1148="",$B1148=""),"",IF(AND(ISNUMBER($I1148),N($I1148)&gt;0),$I1148,0))</f>
        <v/>
      </c>
      <c r="AI1148" s="23">
        <f>IF(AND(NOT(AND($A1148="",$B1148="")),$K1148="Point",N($L1148)&gt;0),SQRT(N($L1148)/PI()),"")</f>
        <v/>
      </c>
      <c r="AJ1148" s="21">
        <f>IF(AND($A1148="",$B1148=""),"",IFERROR(VLOOKUP($G1148,Lists!$D$4:$E$15,2,FALSE),"Not reported"))</f>
        <v/>
      </c>
      <c r="AK1148" s="21">
        <f>IF(AND($A1148="",$B1148=""),"",IF($X1148&lt;&gt;"",$X1148,IF($T1148&lt;&gt;"Y","Not assessed",IF(AND(ISNUMBER($V1148),Setup!$B$6-$V1148&gt;Setup!$B$26),"Assessment outdated",IF(NOT(ISNUMBER($W1148)),"Assessed – no score",IF($W1148&gt;=Setup!$B$24,"High",IF($W1148&gt;=Setup!$B$25,"Moderate","Low")))))))</f>
        <v/>
      </c>
      <c r="AL1148" s="21">
        <f>IF(AND($A1148="",$B1148=""),"",IF(Z1148=0,"",IF(AND(AE1148=1,N($R1148)&gt;AD1148*1.01+0.001),"Net terrestrial &gt; gross; ","")&amp;IF(AND(AE1148=1,N($S1148)&gt;AC1148*1.01+0.001),"Net marine &gt; gross; ","")&amp;IF(AE1148=0,"No net area – gross used, overlaps may be double-counted; ","")&amp;IF(AH1148=0,"STATUS_YR missing – imputed in time series; ","")&amp;IF(AND(ISNUMBER($I1148),N($I1148)&gt;Setup!$B$6),"STATUS_YR after reporting year; ","")&amp;IF(OR($G1148="",$G1148="Not Reported"),"GOV_TYPE not reported; ","")&amp;IF(AND(N($J1148)=1,$K1148="Point",N($M1148)&lt;=0),"Coastal point without REP_M_AREA – land/sea split unknown; ","")&amp;IF(AND(N($J1148)=0,N($S1148)&gt;0),"MARINE=0 but net marine &gt;0; ","")&amp;IF(AND(N($J1148)=2,N($R1148)&gt;0),"MARINE=2 but net terrestrial &gt;0; ","")&amp;IF($K1148="Point","Buffered point – coverage approximate; ","")))</f>
        <v/>
      </c>
    </row>
    <row r="1149">
      <c r="A1149" s="19" t="n"/>
      <c r="B1149" s="19" t="n"/>
      <c r="C1149" s="19" t="n"/>
      <c r="D1149" s="19" t="n"/>
      <c r="E1149" s="19" t="n"/>
      <c r="F1149" s="19" t="n"/>
      <c r="G1149" s="19" t="n"/>
      <c r="H1149" s="19" t="n"/>
      <c r="I1149" s="19" t="n"/>
      <c r="J1149" s="19" t="n"/>
      <c r="K1149" s="19" t="n"/>
      <c r="L1149" s="20" t="n"/>
      <c r="M1149" s="20" t="n"/>
      <c r="N1149" s="20" t="n"/>
      <c r="O1149" s="20" t="n"/>
      <c r="P1149" s="19" t="n"/>
      <c r="Q1149" s="19" t="n"/>
      <c r="R1149" s="20" t="n"/>
      <c r="S1149" s="20" t="n"/>
      <c r="T1149" s="19" t="n"/>
      <c r="U1149" s="19" t="n"/>
      <c r="V1149" s="19" t="n"/>
      <c r="W1149" s="19" t="n"/>
      <c r="X1149" s="19" t="n"/>
      <c r="Y1149" s="19" t="n"/>
      <c r="Z1149" s="21">
        <f>IF(AND($A1149="",$B1149=""),"",IF(OR($E1149="",$H1149="",$H1149="Proposed",$H1149="Not Reported"),0,IF(AND($P1149="Y",$Q1149&lt;&gt;"Y"),0,IF(AND($K1149="Point",N($L1149)&lt;=0),0,IF(AND(N($L1149)&lt;=0,N($N1149)&lt;=0,N($R1149)+N($S1149)&lt;=0),0,1)))))</f>
        <v/>
      </c>
      <c r="AA1149" s="21">
        <f>IF(AND($A1149="",$B1149=""),"",IF($E1149="","Site type missing",IF($H1149="","STATUS missing",IF($H1149="Proposed","STATUS = Proposed",IF($H1149="Not Reported","STATUS = Not Reported",IF(AND($P1149="Y",$Q1149&lt;&gt;"Y"),"UNESCO-MAB Biosphere Reserve",IF(AND($K1149="Point",N($L1149)&lt;=0),"Point without REP_AREA",IF(AND(N($L1149)&lt;=0,N($N1149)&lt;=0,N($R1149)+N($S1149)&lt;=0),"No area information",""))))))))</f>
        <v/>
      </c>
      <c r="AB1149" s="22">
        <f>IF(AND($A1149="",$B1149=""),"",IF($K1149="Point",N($L1149),IF(N($N1149)&gt;0,N($N1149),N($L1149))))</f>
        <v/>
      </c>
      <c r="AC1149" s="22">
        <f>IF(AND($A1149="",$B1149=""),"",MIN(AB1149,IF(N($J1149)=0,0,IF(N($J1149)=2,AB1149,IF(AND($K1149&lt;&gt;"Point",N($O1149)&gt;0),N($O1149),N($M1149))))))</f>
        <v/>
      </c>
      <c r="AD1149" s="22">
        <f>IF(AND($A1149="",$B1149=""),"",MAX(0,AB1149-AC1149))</f>
        <v/>
      </c>
      <c r="AE1149" s="21">
        <f>IF(AND($A1149="",$B1149=""),"",IF(OR($R1149&lt;&gt;"",$S1149&lt;&gt;""),1,0))</f>
        <v/>
      </c>
      <c r="AF1149" s="22">
        <f>IF(AND($A1149="",$B1149=""),"",IF(Z1149=1,IF(AE1149=1,N($R1149),AD1149),0))</f>
        <v/>
      </c>
      <c r="AG1149" s="22">
        <f>IF(AND($A1149="",$B1149=""),"",IF(Z1149=1,IF(AE1149=1,N($S1149),AC1149),0))</f>
        <v/>
      </c>
      <c r="AH1149" s="21">
        <f>IF(AND($A1149="",$B1149=""),"",IF(AND(ISNUMBER($I1149),N($I1149)&gt;0),$I1149,0))</f>
        <v/>
      </c>
      <c r="AI1149" s="23">
        <f>IF(AND(NOT(AND($A1149="",$B1149="")),$K1149="Point",N($L1149)&gt;0),SQRT(N($L1149)/PI()),"")</f>
        <v/>
      </c>
      <c r="AJ1149" s="21">
        <f>IF(AND($A1149="",$B1149=""),"",IFERROR(VLOOKUP($G1149,Lists!$D$4:$E$15,2,FALSE),"Not reported"))</f>
        <v/>
      </c>
      <c r="AK1149" s="21">
        <f>IF(AND($A1149="",$B1149=""),"",IF($X1149&lt;&gt;"",$X1149,IF($T1149&lt;&gt;"Y","Not assessed",IF(AND(ISNUMBER($V1149),Setup!$B$6-$V1149&gt;Setup!$B$26),"Assessment outdated",IF(NOT(ISNUMBER($W1149)),"Assessed – no score",IF($W1149&gt;=Setup!$B$24,"High",IF($W1149&gt;=Setup!$B$25,"Moderate","Low")))))))</f>
        <v/>
      </c>
      <c r="AL1149" s="21">
        <f>IF(AND($A1149="",$B1149=""),"",IF(Z1149=0,"",IF(AND(AE1149=1,N($R1149)&gt;AD1149*1.01+0.001),"Net terrestrial &gt; gross; ","")&amp;IF(AND(AE1149=1,N($S1149)&gt;AC1149*1.01+0.001),"Net marine &gt; gross; ","")&amp;IF(AE1149=0,"No net area – gross used, overlaps may be double-counted; ","")&amp;IF(AH1149=0,"STATUS_YR missing – imputed in time series; ","")&amp;IF(AND(ISNUMBER($I1149),N($I1149)&gt;Setup!$B$6),"STATUS_YR after reporting year; ","")&amp;IF(OR($G1149="",$G1149="Not Reported"),"GOV_TYPE not reported; ","")&amp;IF(AND(N($J1149)=1,$K1149="Point",N($M1149)&lt;=0),"Coastal point without REP_M_AREA – land/sea split unknown; ","")&amp;IF(AND(N($J1149)=0,N($S1149)&gt;0),"MARINE=0 but net marine &gt;0; ","")&amp;IF(AND(N($J1149)=2,N($R1149)&gt;0),"MARINE=2 but net terrestrial &gt;0; ","")&amp;IF($K1149="Point","Buffered point – coverage approximate; ","")))</f>
        <v/>
      </c>
    </row>
    <row r="1150">
      <c r="A1150" s="19" t="n"/>
      <c r="B1150" s="19" t="n"/>
      <c r="C1150" s="19" t="n"/>
      <c r="D1150" s="19" t="n"/>
      <c r="E1150" s="19" t="n"/>
      <c r="F1150" s="19" t="n"/>
      <c r="G1150" s="19" t="n"/>
      <c r="H1150" s="19" t="n"/>
      <c r="I1150" s="19" t="n"/>
      <c r="J1150" s="19" t="n"/>
      <c r="K1150" s="19" t="n"/>
      <c r="L1150" s="20" t="n"/>
      <c r="M1150" s="20" t="n"/>
      <c r="N1150" s="20" t="n"/>
      <c r="O1150" s="20" t="n"/>
      <c r="P1150" s="19" t="n"/>
      <c r="Q1150" s="19" t="n"/>
      <c r="R1150" s="20" t="n"/>
      <c r="S1150" s="20" t="n"/>
      <c r="T1150" s="19" t="n"/>
      <c r="U1150" s="19" t="n"/>
      <c r="V1150" s="19" t="n"/>
      <c r="W1150" s="19" t="n"/>
      <c r="X1150" s="19" t="n"/>
      <c r="Y1150" s="19" t="n"/>
      <c r="Z1150" s="21">
        <f>IF(AND($A1150="",$B1150=""),"",IF(OR($E1150="",$H1150="",$H1150="Proposed",$H1150="Not Reported"),0,IF(AND($P1150="Y",$Q1150&lt;&gt;"Y"),0,IF(AND($K1150="Point",N($L1150)&lt;=0),0,IF(AND(N($L1150)&lt;=0,N($N1150)&lt;=0,N($R1150)+N($S1150)&lt;=0),0,1)))))</f>
        <v/>
      </c>
      <c r="AA1150" s="21">
        <f>IF(AND($A1150="",$B1150=""),"",IF($E1150="","Site type missing",IF($H1150="","STATUS missing",IF($H1150="Proposed","STATUS = Proposed",IF($H1150="Not Reported","STATUS = Not Reported",IF(AND($P1150="Y",$Q1150&lt;&gt;"Y"),"UNESCO-MAB Biosphere Reserve",IF(AND($K1150="Point",N($L1150)&lt;=0),"Point without REP_AREA",IF(AND(N($L1150)&lt;=0,N($N1150)&lt;=0,N($R1150)+N($S1150)&lt;=0),"No area information",""))))))))</f>
        <v/>
      </c>
      <c r="AB1150" s="22">
        <f>IF(AND($A1150="",$B1150=""),"",IF($K1150="Point",N($L1150),IF(N($N1150)&gt;0,N($N1150),N($L1150))))</f>
        <v/>
      </c>
      <c r="AC1150" s="22">
        <f>IF(AND($A1150="",$B1150=""),"",MIN(AB1150,IF(N($J1150)=0,0,IF(N($J1150)=2,AB1150,IF(AND($K1150&lt;&gt;"Point",N($O1150)&gt;0),N($O1150),N($M1150))))))</f>
        <v/>
      </c>
      <c r="AD1150" s="22">
        <f>IF(AND($A1150="",$B1150=""),"",MAX(0,AB1150-AC1150))</f>
        <v/>
      </c>
      <c r="AE1150" s="21">
        <f>IF(AND($A1150="",$B1150=""),"",IF(OR($R1150&lt;&gt;"",$S1150&lt;&gt;""),1,0))</f>
        <v/>
      </c>
      <c r="AF1150" s="22">
        <f>IF(AND($A1150="",$B1150=""),"",IF(Z1150=1,IF(AE1150=1,N($R1150),AD1150),0))</f>
        <v/>
      </c>
      <c r="AG1150" s="22">
        <f>IF(AND($A1150="",$B1150=""),"",IF(Z1150=1,IF(AE1150=1,N($S1150),AC1150),0))</f>
        <v/>
      </c>
      <c r="AH1150" s="21">
        <f>IF(AND($A1150="",$B1150=""),"",IF(AND(ISNUMBER($I1150),N($I1150)&gt;0),$I1150,0))</f>
        <v/>
      </c>
      <c r="AI1150" s="23">
        <f>IF(AND(NOT(AND($A1150="",$B1150="")),$K1150="Point",N($L1150)&gt;0),SQRT(N($L1150)/PI()),"")</f>
        <v/>
      </c>
      <c r="AJ1150" s="21">
        <f>IF(AND($A1150="",$B1150=""),"",IFERROR(VLOOKUP($G1150,Lists!$D$4:$E$15,2,FALSE),"Not reported"))</f>
        <v/>
      </c>
      <c r="AK1150" s="21">
        <f>IF(AND($A1150="",$B1150=""),"",IF($X1150&lt;&gt;"",$X1150,IF($T1150&lt;&gt;"Y","Not assessed",IF(AND(ISNUMBER($V1150),Setup!$B$6-$V1150&gt;Setup!$B$26),"Assessment outdated",IF(NOT(ISNUMBER($W1150)),"Assessed – no score",IF($W1150&gt;=Setup!$B$24,"High",IF($W1150&gt;=Setup!$B$25,"Moderate","Low")))))))</f>
        <v/>
      </c>
      <c r="AL1150" s="21">
        <f>IF(AND($A1150="",$B1150=""),"",IF(Z1150=0,"",IF(AND(AE1150=1,N($R1150)&gt;AD1150*1.01+0.001),"Net terrestrial &gt; gross; ","")&amp;IF(AND(AE1150=1,N($S1150)&gt;AC1150*1.01+0.001),"Net marine &gt; gross; ","")&amp;IF(AE1150=0,"No net area – gross used, overlaps may be double-counted; ","")&amp;IF(AH1150=0,"STATUS_YR missing – imputed in time series; ","")&amp;IF(AND(ISNUMBER($I1150),N($I1150)&gt;Setup!$B$6),"STATUS_YR after reporting year; ","")&amp;IF(OR($G1150="",$G1150="Not Reported"),"GOV_TYPE not reported; ","")&amp;IF(AND(N($J1150)=1,$K1150="Point",N($M1150)&lt;=0),"Coastal point without REP_M_AREA – land/sea split unknown; ","")&amp;IF(AND(N($J1150)=0,N($S1150)&gt;0),"MARINE=0 but net marine &gt;0; ","")&amp;IF(AND(N($J1150)=2,N($R1150)&gt;0),"MARINE=2 but net terrestrial &gt;0; ","")&amp;IF($K1150="Point","Buffered point – coverage approximate; ","")))</f>
        <v/>
      </c>
    </row>
    <row r="1151">
      <c r="A1151" s="19" t="n"/>
      <c r="B1151" s="19" t="n"/>
      <c r="C1151" s="19" t="n"/>
      <c r="D1151" s="19" t="n"/>
      <c r="E1151" s="19" t="n"/>
      <c r="F1151" s="19" t="n"/>
      <c r="G1151" s="19" t="n"/>
      <c r="H1151" s="19" t="n"/>
      <c r="I1151" s="19" t="n"/>
      <c r="J1151" s="19" t="n"/>
      <c r="K1151" s="19" t="n"/>
      <c r="L1151" s="20" t="n"/>
      <c r="M1151" s="20" t="n"/>
      <c r="N1151" s="20" t="n"/>
      <c r="O1151" s="20" t="n"/>
      <c r="P1151" s="19" t="n"/>
      <c r="Q1151" s="19" t="n"/>
      <c r="R1151" s="20" t="n"/>
      <c r="S1151" s="20" t="n"/>
      <c r="T1151" s="19" t="n"/>
      <c r="U1151" s="19" t="n"/>
      <c r="V1151" s="19" t="n"/>
      <c r="W1151" s="19" t="n"/>
      <c r="X1151" s="19" t="n"/>
      <c r="Y1151" s="19" t="n"/>
      <c r="Z1151" s="21">
        <f>IF(AND($A1151="",$B1151=""),"",IF(OR($E1151="",$H1151="",$H1151="Proposed",$H1151="Not Reported"),0,IF(AND($P1151="Y",$Q1151&lt;&gt;"Y"),0,IF(AND($K1151="Point",N($L1151)&lt;=0),0,IF(AND(N($L1151)&lt;=0,N($N1151)&lt;=0,N($R1151)+N($S1151)&lt;=0),0,1)))))</f>
        <v/>
      </c>
      <c r="AA1151" s="21">
        <f>IF(AND($A1151="",$B1151=""),"",IF($E1151="","Site type missing",IF($H1151="","STATUS missing",IF($H1151="Proposed","STATUS = Proposed",IF($H1151="Not Reported","STATUS = Not Reported",IF(AND($P1151="Y",$Q1151&lt;&gt;"Y"),"UNESCO-MAB Biosphere Reserve",IF(AND($K1151="Point",N($L1151)&lt;=0),"Point without REP_AREA",IF(AND(N($L1151)&lt;=0,N($N1151)&lt;=0,N($R1151)+N($S1151)&lt;=0),"No area information",""))))))))</f>
        <v/>
      </c>
      <c r="AB1151" s="22">
        <f>IF(AND($A1151="",$B1151=""),"",IF($K1151="Point",N($L1151),IF(N($N1151)&gt;0,N($N1151),N($L1151))))</f>
        <v/>
      </c>
      <c r="AC1151" s="22">
        <f>IF(AND($A1151="",$B1151=""),"",MIN(AB1151,IF(N($J1151)=0,0,IF(N($J1151)=2,AB1151,IF(AND($K1151&lt;&gt;"Point",N($O1151)&gt;0),N($O1151),N($M1151))))))</f>
        <v/>
      </c>
      <c r="AD1151" s="22">
        <f>IF(AND($A1151="",$B1151=""),"",MAX(0,AB1151-AC1151))</f>
        <v/>
      </c>
      <c r="AE1151" s="21">
        <f>IF(AND($A1151="",$B1151=""),"",IF(OR($R1151&lt;&gt;"",$S1151&lt;&gt;""),1,0))</f>
        <v/>
      </c>
      <c r="AF1151" s="22">
        <f>IF(AND($A1151="",$B1151=""),"",IF(Z1151=1,IF(AE1151=1,N($R1151),AD1151),0))</f>
        <v/>
      </c>
      <c r="AG1151" s="22">
        <f>IF(AND($A1151="",$B1151=""),"",IF(Z1151=1,IF(AE1151=1,N($S1151),AC1151),0))</f>
        <v/>
      </c>
      <c r="AH1151" s="21">
        <f>IF(AND($A1151="",$B1151=""),"",IF(AND(ISNUMBER($I1151),N($I1151)&gt;0),$I1151,0))</f>
        <v/>
      </c>
      <c r="AI1151" s="23">
        <f>IF(AND(NOT(AND($A1151="",$B1151="")),$K1151="Point",N($L1151)&gt;0),SQRT(N($L1151)/PI()),"")</f>
        <v/>
      </c>
      <c r="AJ1151" s="21">
        <f>IF(AND($A1151="",$B1151=""),"",IFERROR(VLOOKUP($G1151,Lists!$D$4:$E$15,2,FALSE),"Not reported"))</f>
        <v/>
      </c>
      <c r="AK1151" s="21">
        <f>IF(AND($A1151="",$B1151=""),"",IF($X1151&lt;&gt;"",$X1151,IF($T1151&lt;&gt;"Y","Not assessed",IF(AND(ISNUMBER($V1151),Setup!$B$6-$V1151&gt;Setup!$B$26),"Assessment outdated",IF(NOT(ISNUMBER($W1151)),"Assessed – no score",IF($W1151&gt;=Setup!$B$24,"High",IF($W1151&gt;=Setup!$B$25,"Moderate","Low")))))))</f>
        <v/>
      </c>
      <c r="AL1151" s="21">
        <f>IF(AND($A1151="",$B1151=""),"",IF(Z1151=0,"",IF(AND(AE1151=1,N($R1151)&gt;AD1151*1.01+0.001),"Net terrestrial &gt; gross; ","")&amp;IF(AND(AE1151=1,N($S1151)&gt;AC1151*1.01+0.001),"Net marine &gt; gross; ","")&amp;IF(AE1151=0,"No net area – gross used, overlaps may be double-counted; ","")&amp;IF(AH1151=0,"STATUS_YR missing – imputed in time series; ","")&amp;IF(AND(ISNUMBER($I1151),N($I1151)&gt;Setup!$B$6),"STATUS_YR after reporting year; ","")&amp;IF(OR($G1151="",$G1151="Not Reported"),"GOV_TYPE not reported; ","")&amp;IF(AND(N($J1151)=1,$K1151="Point",N($M1151)&lt;=0),"Coastal point without REP_M_AREA – land/sea split unknown; ","")&amp;IF(AND(N($J1151)=0,N($S1151)&gt;0),"MARINE=0 but net marine &gt;0; ","")&amp;IF(AND(N($J1151)=2,N($R1151)&gt;0),"MARINE=2 but net terrestrial &gt;0; ","")&amp;IF($K1151="Point","Buffered point – coverage approximate; ","")))</f>
        <v/>
      </c>
    </row>
    <row r="1152">
      <c r="A1152" s="19" t="n"/>
      <c r="B1152" s="19" t="n"/>
      <c r="C1152" s="19" t="n"/>
      <c r="D1152" s="19" t="n"/>
      <c r="E1152" s="19" t="n"/>
      <c r="F1152" s="19" t="n"/>
      <c r="G1152" s="19" t="n"/>
      <c r="H1152" s="19" t="n"/>
      <c r="I1152" s="19" t="n"/>
      <c r="J1152" s="19" t="n"/>
      <c r="K1152" s="19" t="n"/>
      <c r="L1152" s="20" t="n"/>
      <c r="M1152" s="20" t="n"/>
      <c r="N1152" s="20" t="n"/>
      <c r="O1152" s="20" t="n"/>
      <c r="P1152" s="19" t="n"/>
      <c r="Q1152" s="19" t="n"/>
      <c r="R1152" s="20" t="n"/>
      <c r="S1152" s="20" t="n"/>
      <c r="T1152" s="19" t="n"/>
      <c r="U1152" s="19" t="n"/>
      <c r="V1152" s="19" t="n"/>
      <c r="W1152" s="19" t="n"/>
      <c r="X1152" s="19" t="n"/>
      <c r="Y1152" s="19" t="n"/>
      <c r="Z1152" s="21">
        <f>IF(AND($A1152="",$B1152=""),"",IF(OR($E1152="",$H1152="",$H1152="Proposed",$H1152="Not Reported"),0,IF(AND($P1152="Y",$Q1152&lt;&gt;"Y"),0,IF(AND($K1152="Point",N($L1152)&lt;=0),0,IF(AND(N($L1152)&lt;=0,N($N1152)&lt;=0,N($R1152)+N($S1152)&lt;=0),0,1)))))</f>
        <v/>
      </c>
      <c r="AA1152" s="21">
        <f>IF(AND($A1152="",$B1152=""),"",IF($E1152="","Site type missing",IF($H1152="","STATUS missing",IF($H1152="Proposed","STATUS = Proposed",IF($H1152="Not Reported","STATUS = Not Reported",IF(AND($P1152="Y",$Q1152&lt;&gt;"Y"),"UNESCO-MAB Biosphere Reserve",IF(AND($K1152="Point",N($L1152)&lt;=0),"Point without REP_AREA",IF(AND(N($L1152)&lt;=0,N($N1152)&lt;=0,N($R1152)+N($S1152)&lt;=0),"No area information",""))))))))</f>
        <v/>
      </c>
      <c r="AB1152" s="22">
        <f>IF(AND($A1152="",$B1152=""),"",IF($K1152="Point",N($L1152),IF(N($N1152)&gt;0,N($N1152),N($L1152))))</f>
        <v/>
      </c>
      <c r="AC1152" s="22">
        <f>IF(AND($A1152="",$B1152=""),"",MIN(AB1152,IF(N($J1152)=0,0,IF(N($J1152)=2,AB1152,IF(AND($K1152&lt;&gt;"Point",N($O1152)&gt;0),N($O1152),N($M1152))))))</f>
        <v/>
      </c>
      <c r="AD1152" s="22">
        <f>IF(AND($A1152="",$B1152=""),"",MAX(0,AB1152-AC1152))</f>
        <v/>
      </c>
      <c r="AE1152" s="21">
        <f>IF(AND($A1152="",$B1152=""),"",IF(OR($R1152&lt;&gt;"",$S1152&lt;&gt;""),1,0))</f>
        <v/>
      </c>
      <c r="AF1152" s="22">
        <f>IF(AND($A1152="",$B1152=""),"",IF(Z1152=1,IF(AE1152=1,N($R1152),AD1152),0))</f>
        <v/>
      </c>
      <c r="AG1152" s="22">
        <f>IF(AND($A1152="",$B1152=""),"",IF(Z1152=1,IF(AE1152=1,N($S1152),AC1152),0))</f>
        <v/>
      </c>
      <c r="AH1152" s="21">
        <f>IF(AND($A1152="",$B1152=""),"",IF(AND(ISNUMBER($I1152),N($I1152)&gt;0),$I1152,0))</f>
        <v/>
      </c>
      <c r="AI1152" s="23">
        <f>IF(AND(NOT(AND($A1152="",$B1152="")),$K1152="Point",N($L1152)&gt;0),SQRT(N($L1152)/PI()),"")</f>
        <v/>
      </c>
      <c r="AJ1152" s="21">
        <f>IF(AND($A1152="",$B1152=""),"",IFERROR(VLOOKUP($G1152,Lists!$D$4:$E$15,2,FALSE),"Not reported"))</f>
        <v/>
      </c>
      <c r="AK1152" s="21">
        <f>IF(AND($A1152="",$B1152=""),"",IF($X1152&lt;&gt;"",$X1152,IF($T1152&lt;&gt;"Y","Not assessed",IF(AND(ISNUMBER($V1152),Setup!$B$6-$V1152&gt;Setup!$B$26),"Assessment outdated",IF(NOT(ISNUMBER($W1152)),"Assessed – no score",IF($W1152&gt;=Setup!$B$24,"High",IF($W1152&gt;=Setup!$B$25,"Moderate","Low")))))))</f>
        <v/>
      </c>
      <c r="AL1152" s="21">
        <f>IF(AND($A1152="",$B1152=""),"",IF(Z1152=0,"",IF(AND(AE1152=1,N($R1152)&gt;AD1152*1.01+0.001),"Net terrestrial &gt; gross; ","")&amp;IF(AND(AE1152=1,N($S1152)&gt;AC1152*1.01+0.001),"Net marine &gt; gross; ","")&amp;IF(AE1152=0,"No net area – gross used, overlaps may be double-counted; ","")&amp;IF(AH1152=0,"STATUS_YR missing – imputed in time series; ","")&amp;IF(AND(ISNUMBER($I1152),N($I1152)&gt;Setup!$B$6),"STATUS_YR after reporting year; ","")&amp;IF(OR($G1152="",$G1152="Not Reported"),"GOV_TYPE not reported; ","")&amp;IF(AND(N($J1152)=1,$K1152="Point",N($M1152)&lt;=0),"Coastal point without REP_M_AREA – land/sea split unknown; ","")&amp;IF(AND(N($J1152)=0,N($S1152)&gt;0),"MARINE=0 but net marine &gt;0; ","")&amp;IF(AND(N($J1152)=2,N($R1152)&gt;0),"MARINE=2 but net terrestrial &gt;0; ","")&amp;IF($K1152="Point","Buffered point – coverage approximate; ","")))</f>
        <v/>
      </c>
    </row>
    <row r="1153">
      <c r="A1153" s="19" t="n"/>
      <c r="B1153" s="19" t="n"/>
      <c r="C1153" s="19" t="n"/>
      <c r="D1153" s="19" t="n"/>
      <c r="E1153" s="19" t="n"/>
      <c r="F1153" s="19" t="n"/>
      <c r="G1153" s="19" t="n"/>
      <c r="H1153" s="19" t="n"/>
      <c r="I1153" s="19" t="n"/>
      <c r="J1153" s="19" t="n"/>
      <c r="K1153" s="19" t="n"/>
      <c r="L1153" s="20" t="n"/>
      <c r="M1153" s="20" t="n"/>
      <c r="N1153" s="20" t="n"/>
      <c r="O1153" s="20" t="n"/>
      <c r="P1153" s="19" t="n"/>
      <c r="Q1153" s="19" t="n"/>
      <c r="R1153" s="20" t="n"/>
      <c r="S1153" s="20" t="n"/>
      <c r="T1153" s="19" t="n"/>
      <c r="U1153" s="19" t="n"/>
      <c r="V1153" s="19" t="n"/>
      <c r="W1153" s="19" t="n"/>
      <c r="X1153" s="19" t="n"/>
      <c r="Y1153" s="19" t="n"/>
      <c r="Z1153" s="21">
        <f>IF(AND($A1153="",$B1153=""),"",IF(OR($E1153="",$H1153="",$H1153="Proposed",$H1153="Not Reported"),0,IF(AND($P1153="Y",$Q1153&lt;&gt;"Y"),0,IF(AND($K1153="Point",N($L1153)&lt;=0),0,IF(AND(N($L1153)&lt;=0,N($N1153)&lt;=0,N($R1153)+N($S1153)&lt;=0),0,1)))))</f>
        <v/>
      </c>
      <c r="AA1153" s="21">
        <f>IF(AND($A1153="",$B1153=""),"",IF($E1153="","Site type missing",IF($H1153="","STATUS missing",IF($H1153="Proposed","STATUS = Proposed",IF($H1153="Not Reported","STATUS = Not Reported",IF(AND($P1153="Y",$Q1153&lt;&gt;"Y"),"UNESCO-MAB Biosphere Reserve",IF(AND($K1153="Point",N($L1153)&lt;=0),"Point without REP_AREA",IF(AND(N($L1153)&lt;=0,N($N1153)&lt;=0,N($R1153)+N($S1153)&lt;=0),"No area information",""))))))))</f>
        <v/>
      </c>
      <c r="AB1153" s="22">
        <f>IF(AND($A1153="",$B1153=""),"",IF($K1153="Point",N($L1153),IF(N($N1153)&gt;0,N($N1153),N($L1153))))</f>
        <v/>
      </c>
      <c r="AC1153" s="22">
        <f>IF(AND($A1153="",$B1153=""),"",MIN(AB1153,IF(N($J1153)=0,0,IF(N($J1153)=2,AB1153,IF(AND($K1153&lt;&gt;"Point",N($O1153)&gt;0),N($O1153),N($M1153))))))</f>
        <v/>
      </c>
      <c r="AD1153" s="22">
        <f>IF(AND($A1153="",$B1153=""),"",MAX(0,AB1153-AC1153))</f>
        <v/>
      </c>
      <c r="AE1153" s="21">
        <f>IF(AND($A1153="",$B1153=""),"",IF(OR($R1153&lt;&gt;"",$S1153&lt;&gt;""),1,0))</f>
        <v/>
      </c>
      <c r="AF1153" s="22">
        <f>IF(AND($A1153="",$B1153=""),"",IF(Z1153=1,IF(AE1153=1,N($R1153),AD1153),0))</f>
        <v/>
      </c>
      <c r="AG1153" s="22">
        <f>IF(AND($A1153="",$B1153=""),"",IF(Z1153=1,IF(AE1153=1,N($S1153),AC1153),0))</f>
        <v/>
      </c>
      <c r="AH1153" s="21">
        <f>IF(AND($A1153="",$B1153=""),"",IF(AND(ISNUMBER($I1153),N($I1153)&gt;0),$I1153,0))</f>
        <v/>
      </c>
      <c r="AI1153" s="23">
        <f>IF(AND(NOT(AND($A1153="",$B1153="")),$K1153="Point",N($L1153)&gt;0),SQRT(N($L1153)/PI()),"")</f>
        <v/>
      </c>
      <c r="AJ1153" s="21">
        <f>IF(AND($A1153="",$B1153=""),"",IFERROR(VLOOKUP($G1153,Lists!$D$4:$E$15,2,FALSE),"Not reported"))</f>
        <v/>
      </c>
      <c r="AK1153" s="21">
        <f>IF(AND($A1153="",$B1153=""),"",IF($X1153&lt;&gt;"",$X1153,IF($T1153&lt;&gt;"Y","Not assessed",IF(AND(ISNUMBER($V1153),Setup!$B$6-$V1153&gt;Setup!$B$26),"Assessment outdated",IF(NOT(ISNUMBER($W1153)),"Assessed – no score",IF($W1153&gt;=Setup!$B$24,"High",IF($W1153&gt;=Setup!$B$25,"Moderate","Low")))))))</f>
        <v/>
      </c>
      <c r="AL1153" s="21">
        <f>IF(AND($A1153="",$B1153=""),"",IF(Z1153=0,"",IF(AND(AE1153=1,N($R1153)&gt;AD1153*1.01+0.001),"Net terrestrial &gt; gross; ","")&amp;IF(AND(AE1153=1,N($S1153)&gt;AC1153*1.01+0.001),"Net marine &gt; gross; ","")&amp;IF(AE1153=0,"No net area – gross used, overlaps may be double-counted; ","")&amp;IF(AH1153=0,"STATUS_YR missing – imputed in time series; ","")&amp;IF(AND(ISNUMBER($I1153),N($I1153)&gt;Setup!$B$6),"STATUS_YR after reporting year; ","")&amp;IF(OR($G1153="",$G1153="Not Reported"),"GOV_TYPE not reported; ","")&amp;IF(AND(N($J1153)=1,$K1153="Point",N($M1153)&lt;=0),"Coastal point without REP_M_AREA – land/sea split unknown; ","")&amp;IF(AND(N($J1153)=0,N($S1153)&gt;0),"MARINE=0 but net marine &gt;0; ","")&amp;IF(AND(N($J1153)=2,N($R1153)&gt;0),"MARINE=2 but net terrestrial &gt;0; ","")&amp;IF($K1153="Point","Buffered point – coverage approximate; ","")))</f>
        <v/>
      </c>
    </row>
    <row r="1154">
      <c r="A1154" s="19" t="n"/>
      <c r="B1154" s="19" t="n"/>
      <c r="C1154" s="19" t="n"/>
      <c r="D1154" s="19" t="n"/>
      <c r="E1154" s="19" t="n"/>
      <c r="F1154" s="19" t="n"/>
      <c r="G1154" s="19" t="n"/>
      <c r="H1154" s="19" t="n"/>
      <c r="I1154" s="19" t="n"/>
      <c r="J1154" s="19" t="n"/>
      <c r="K1154" s="19" t="n"/>
      <c r="L1154" s="20" t="n"/>
      <c r="M1154" s="20" t="n"/>
      <c r="N1154" s="20" t="n"/>
      <c r="O1154" s="20" t="n"/>
      <c r="P1154" s="19" t="n"/>
      <c r="Q1154" s="19" t="n"/>
      <c r="R1154" s="20" t="n"/>
      <c r="S1154" s="20" t="n"/>
      <c r="T1154" s="19" t="n"/>
      <c r="U1154" s="19" t="n"/>
      <c r="V1154" s="19" t="n"/>
      <c r="W1154" s="19" t="n"/>
      <c r="X1154" s="19" t="n"/>
      <c r="Y1154" s="19" t="n"/>
      <c r="Z1154" s="21">
        <f>IF(AND($A1154="",$B1154=""),"",IF(OR($E1154="",$H1154="",$H1154="Proposed",$H1154="Not Reported"),0,IF(AND($P1154="Y",$Q1154&lt;&gt;"Y"),0,IF(AND($K1154="Point",N($L1154)&lt;=0),0,IF(AND(N($L1154)&lt;=0,N($N1154)&lt;=0,N($R1154)+N($S1154)&lt;=0),0,1)))))</f>
        <v/>
      </c>
      <c r="AA1154" s="21">
        <f>IF(AND($A1154="",$B1154=""),"",IF($E1154="","Site type missing",IF($H1154="","STATUS missing",IF($H1154="Proposed","STATUS = Proposed",IF($H1154="Not Reported","STATUS = Not Reported",IF(AND($P1154="Y",$Q1154&lt;&gt;"Y"),"UNESCO-MAB Biosphere Reserve",IF(AND($K1154="Point",N($L1154)&lt;=0),"Point without REP_AREA",IF(AND(N($L1154)&lt;=0,N($N1154)&lt;=0,N($R1154)+N($S1154)&lt;=0),"No area information",""))))))))</f>
        <v/>
      </c>
      <c r="AB1154" s="22">
        <f>IF(AND($A1154="",$B1154=""),"",IF($K1154="Point",N($L1154),IF(N($N1154)&gt;0,N($N1154),N($L1154))))</f>
        <v/>
      </c>
      <c r="AC1154" s="22">
        <f>IF(AND($A1154="",$B1154=""),"",MIN(AB1154,IF(N($J1154)=0,0,IF(N($J1154)=2,AB1154,IF(AND($K1154&lt;&gt;"Point",N($O1154)&gt;0),N($O1154),N($M1154))))))</f>
        <v/>
      </c>
      <c r="AD1154" s="22">
        <f>IF(AND($A1154="",$B1154=""),"",MAX(0,AB1154-AC1154))</f>
        <v/>
      </c>
      <c r="AE1154" s="21">
        <f>IF(AND($A1154="",$B1154=""),"",IF(OR($R1154&lt;&gt;"",$S1154&lt;&gt;""),1,0))</f>
        <v/>
      </c>
      <c r="AF1154" s="22">
        <f>IF(AND($A1154="",$B1154=""),"",IF(Z1154=1,IF(AE1154=1,N($R1154),AD1154),0))</f>
        <v/>
      </c>
      <c r="AG1154" s="22">
        <f>IF(AND($A1154="",$B1154=""),"",IF(Z1154=1,IF(AE1154=1,N($S1154),AC1154),0))</f>
        <v/>
      </c>
      <c r="AH1154" s="21">
        <f>IF(AND($A1154="",$B1154=""),"",IF(AND(ISNUMBER($I1154),N($I1154)&gt;0),$I1154,0))</f>
        <v/>
      </c>
      <c r="AI1154" s="23">
        <f>IF(AND(NOT(AND($A1154="",$B1154="")),$K1154="Point",N($L1154)&gt;0),SQRT(N($L1154)/PI()),"")</f>
        <v/>
      </c>
      <c r="AJ1154" s="21">
        <f>IF(AND($A1154="",$B1154=""),"",IFERROR(VLOOKUP($G1154,Lists!$D$4:$E$15,2,FALSE),"Not reported"))</f>
        <v/>
      </c>
      <c r="AK1154" s="21">
        <f>IF(AND($A1154="",$B1154=""),"",IF($X1154&lt;&gt;"",$X1154,IF($T1154&lt;&gt;"Y","Not assessed",IF(AND(ISNUMBER($V1154),Setup!$B$6-$V1154&gt;Setup!$B$26),"Assessment outdated",IF(NOT(ISNUMBER($W1154)),"Assessed – no score",IF($W1154&gt;=Setup!$B$24,"High",IF($W1154&gt;=Setup!$B$25,"Moderate","Low")))))))</f>
        <v/>
      </c>
      <c r="AL1154" s="21">
        <f>IF(AND($A1154="",$B1154=""),"",IF(Z1154=0,"",IF(AND(AE1154=1,N($R1154)&gt;AD1154*1.01+0.001),"Net terrestrial &gt; gross; ","")&amp;IF(AND(AE1154=1,N($S1154)&gt;AC1154*1.01+0.001),"Net marine &gt; gross; ","")&amp;IF(AE1154=0,"No net area – gross used, overlaps may be double-counted; ","")&amp;IF(AH1154=0,"STATUS_YR missing – imputed in time series; ","")&amp;IF(AND(ISNUMBER($I1154),N($I1154)&gt;Setup!$B$6),"STATUS_YR after reporting year; ","")&amp;IF(OR($G1154="",$G1154="Not Reported"),"GOV_TYPE not reported; ","")&amp;IF(AND(N($J1154)=1,$K1154="Point",N($M1154)&lt;=0),"Coastal point without REP_M_AREA – land/sea split unknown; ","")&amp;IF(AND(N($J1154)=0,N($S1154)&gt;0),"MARINE=0 but net marine &gt;0; ","")&amp;IF(AND(N($J1154)=2,N($R1154)&gt;0),"MARINE=2 but net terrestrial &gt;0; ","")&amp;IF($K1154="Point","Buffered point – coverage approximate; ","")))</f>
        <v/>
      </c>
    </row>
    <row r="1155">
      <c r="A1155" s="19" t="n"/>
      <c r="B1155" s="19" t="n"/>
      <c r="C1155" s="19" t="n"/>
      <c r="D1155" s="19" t="n"/>
      <c r="E1155" s="19" t="n"/>
      <c r="F1155" s="19" t="n"/>
      <c r="G1155" s="19" t="n"/>
      <c r="H1155" s="19" t="n"/>
      <c r="I1155" s="19" t="n"/>
      <c r="J1155" s="19" t="n"/>
      <c r="K1155" s="19" t="n"/>
      <c r="L1155" s="20" t="n"/>
      <c r="M1155" s="20" t="n"/>
      <c r="N1155" s="20" t="n"/>
      <c r="O1155" s="20" t="n"/>
      <c r="P1155" s="19" t="n"/>
      <c r="Q1155" s="19" t="n"/>
      <c r="R1155" s="20" t="n"/>
      <c r="S1155" s="20" t="n"/>
      <c r="T1155" s="19" t="n"/>
      <c r="U1155" s="19" t="n"/>
      <c r="V1155" s="19" t="n"/>
      <c r="W1155" s="19" t="n"/>
      <c r="X1155" s="19" t="n"/>
      <c r="Y1155" s="19" t="n"/>
      <c r="Z1155" s="21">
        <f>IF(AND($A1155="",$B1155=""),"",IF(OR($E1155="",$H1155="",$H1155="Proposed",$H1155="Not Reported"),0,IF(AND($P1155="Y",$Q1155&lt;&gt;"Y"),0,IF(AND($K1155="Point",N($L1155)&lt;=0),0,IF(AND(N($L1155)&lt;=0,N($N1155)&lt;=0,N($R1155)+N($S1155)&lt;=0),0,1)))))</f>
        <v/>
      </c>
      <c r="AA1155" s="21">
        <f>IF(AND($A1155="",$B1155=""),"",IF($E1155="","Site type missing",IF($H1155="","STATUS missing",IF($H1155="Proposed","STATUS = Proposed",IF($H1155="Not Reported","STATUS = Not Reported",IF(AND($P1155="Y",$Q1155&lt;&gt;"Y"),"UNESCO-MAB Biosphere Reserve",IF(AND($K1155="Point",N($L1155)&lt;=0),"Point without REP_AREA",IF(AND(N($L1155)&lt;=0,N($N1155)&lt;=0,N($R1155)+N($S1155)&lt;=0),"No area information",""))))))))</f>
        <v/>
      </c>
      <c r="AB1155" s="22">
        <f>IF(AND($A1155="",$B1155=""),"",IF($K1155="Point",N($L1155),IF(N($N1155)&gt;0,N($N1155),N($L1155))))</f>
        <v/>
      </c>
      <c r="AC1155" s="22">
        <f>IF(AND($A1155="",$B1155=""),"",MIN(AB1155,IF(N($J1155)=0,0,IF(N($J1155)=2,AB1155,IF(AND($K1155&lt;&gt;"Point",N($O1155)&gt;0),N($O1155),N($M1155))))))</f>
        <v/>
      </c>
      <c r="AD1155" s="22">
        <f>IF(AND($A1155="",$B1155=""),"",MAX(0,AB1155-AC1155))</f>
        <v/>
      </c>
      <c r="AE1155" s="21">
        <f>IF(AND($A1155="",$B1155=""),"",IF(OR($R1155&lt;&gt;"",$S1155&lt;&gt;""),1,0))</f>
        <v/>
      </c>
      <c r="AF1155" s="22">
        <f>IF(AND($A1155="",$B1155=""),"",IF(Z1155=1,IF(AE1155=1,N($R1155),AD1155),0))</f>
        <v/>
      </c>
      <c r="AG1155" s="22">
        <f>IF(AND($A1155="",$B1155=""),"",IF(Z1155=1,IF(AE1155=1,N($S1155),AC1155),0))</f>
        <v/>
      </c>
      <c r="AH1155" s="21">
        <f>IF(AND($A1155="",$B1155=""),"",IF(AND(ISNUMBER($I1155),N($I1155)&gt;0),$I1155,0))</f>
        <v/>
      </c>
      <c r="AI1155" s="23">
        <f>IF(AND(NOT(AND($A1155="",$B1155="")),$K1155="Point",N($L1155)&gt;0),SQRT(N($L1155)/PI()),"")</f>
        <v/>
      </c>
      <c r="AJ1155" s="21">
        <f>IF(AND($A1155="",$B1155=""),"",IFERROR(VLOOKUP($G1155,Lists!$D$4:$E$15,2,FALSE),"Not reported"))</f>
        <v/>
      </c>
      <c r="AK1155" s="21">
        <f>IF(AND($A1155="",$B1155=""),"",IF($X1155&lt;&gt;"",$X1155,IF($T1155&lt;&gt;"Y","Not assessed",IF(AND(ISNUMBER($V1155),Setup!$B$6-$V1155&gt;Setup!$B$26),"Assessment outdated",IF(NOT(ISNUMBER($W1155)),"Assessed – no score",IF($W1155&gt;=Setup!$B$24,"High",IF($W1155&gt;=Setup!$B$25,"Moderate","Low")))))))</f>
        <v/>
      </c>
      <c r="AL1155" s="21">
        <f>IF(AND($A1155="",$B1155=""),"",IF(Z1155=0,"",IF(AND(AE1155=1,N($R1155)&gt;AD1155*1.01+0.001),"Net terrestrial &gt; gross; ","")&amp;IF(AND(AE1155=1,N($S1155)&gt;AC1155*1.01+0.001),"Net marine &gt; gross; ","")&amp;IF(AE1155=0,"No net area – gross used, overlaps may be double-counted; ","")&amp;IF(AH1155=0,"STATUS_YR missing – imputed in time series; ","")&amp;IF(AND(ISNUMBER($I1155),N($I1155)&gt;Setup!$B$6),"STATUS_YR after reporting year; ","")&amp;IF(OR($G1155="",$G1155="Not Reported"),"GOV_TYPE not reported; ","")&amp;IF(AND(N($J1155)=1,$K1155="Point",N($M1155)&lt;=0),"Coastal point without REP_M_AREA – land/sea split unknown; ","")&amp;IF(AND(N($J1155)=0,N($S1155)&gt;0),"MARINE=0 but net marine &gt;0; ","")&amp;IF(AND(N($J1155)=2,N($R1155)&gt;0),"MARINE=2 but net terrestrial &gt;0; ","")&amp;IF($K1155="Point","Buffered point – coverage approximate; ","")))</f>
        <v/>
      </c>
    </row>
    <row r="1156">
      <c r="A1156" s="19" t="n"/>
      <c r="B1156" s="19" t="n"/>
      <c r="C1156" s="19" t="n"/>
      <c r="D1156" s="19" t="n"/>
      <c r="E1156" s="19" t="n"/>
      <c r="F1156" s="19" t="n"/>
      <c r="G1156" s="19" t="n"/>
      <c r="H1156" s="19" t="n"/>
      <c r="I1156" s="19" t="n"/>
      <c r="J1156" s="19" t="n"/>
      <c r="K1156" s="19" t="n"/>
      <c r="L1156" s="20" t="n"/>
      <c r="M1156" s="20" t="n"/>
      <c r="N1156" s="20" t="n"/>
      <c r="O1156" s="20" t="n"/>
      <c r="P1156" s="19" t="n"/>
      <c r="Q1156" s="19" t="n"/>
      <c r="R1156" s="20" t="n"/>
      <c r="S1156" s="20" t="n"/>
      <c r="T1156" s="19" t="n"/>
      <c r="U1156" s="19" t="n"/>
      <c r="V1156" s="19" t="n"/>
      <c r="W1156" s="19" t="n"/>
      <c r="X1156" s="19" t="n"/>
      <c r="Y1156" s="19" t="n"/>
      <c r="Z1156" s="21">
        <f>IF(AND($A1156="",$B1156=""),"",IF(OR($E1156="",$H1156="",$H1156="Proposed",$H1156="Not Reported"),0,IF(AND($P1156="Y",$Q1156&lt;&gt;"Y"),0,IF(AND($K1156="Point",N($L1156)&lt;=0),0,IF(AND(N($L1156)&lt;=0,N($N1156)&lt;=0,N($R1156)+N($S1156)&lt;=0),0,1)))))</f>
        <v/>
      </c>
      <c r="AA1156" s="21">
        <f>IF(AND($A1156="",$B1156=""),"",IF($E1156="","Site type missing",IF($H1156="","STATUS missing",IF($H1156="Proposed","STATUS = Proposed",IF($H1156="Not Reported","STATUS = Not Reported",IF(AND($P1156="Y",$Q1156&lt;&gt;"Y"),"UNESCO-MAB Biosphere Reserve",IF(AND($K1156="Point",N($L1156)&lt;=0),"Point without REP_AREA",IF(AND(N($L1156)&lt;=0,N($N1156)&lt;=0,N($R1156)+N($S1156)&lt;=0),"No area information",""))))))))</f>
        <v/>
      </c>
      <c r="AB1156" s="22">
        <f>IF(AND($A1156="",$B1156=""),"",IF($K1156="Point",N($L1156),IF(N($N1156)&gt;0,N($N1156),N($L1156))))</f>
        <v/>
      </c>
      <c r="AC1156" s="22">
        <f>IF(AND($A1156="",$B1156=""),"",MIN(AB1156,IF(N($J1156)=0,0,IF(N($J1156)=2,AB1156,IF(AND($K1156&lt;&gt;"Point",N($O1156)&gt;0),N($O1156),N($M1156))))))</f>
        <v/>
      </c>
      <c r="AD1156" s="22">
        <f>IF(AND($A1156="",$B1156=""),"",MAX(0,AB1156-AC1156))</f>
        <v/>
      </c>
      <c r="AE1156" s="21">
        <f>IF(AND($A1156="",$B1156=""),"",IF(OR($R1156&lt;&gt;"",$S1156&lt;&gt;""),1,0))</f>
        <v/>
      </c>
      <c r="AF1156" s="22">
        <f>IF(AND($A1156="",$B1156=""),"",IF(Z1156=1,IF(AE1156=1,N($R1156),AD1156),0))</f>
        <v/>
      </c>
      <c r="AG1156" s="22">
        <f>IF(AND($A1156="",$B1156=""),"",IF(Z1156=1,IF(AE1156=1,N($S1156),AC1156),0))</f>
        <v/>
      </c>
      <c r="AH1156" s="21">
        <f>IF(AND($A1156="",$B1156=""),"",IF(AND(ISNUMBER($I1156),N($I1156)&gt;0),$I1156,0))</f>
        <v/>
      </c>
      <c r="AI1156" s="23">
        <f>IF(AND(NOT(AND($A1156="",$B1156="")),$K1156="Point",N($L1156)&gt;0),SQRT(N($L1156)/PI()),"")</f>
        <v/>
      </c>
      <c r="AJ1156" s="21">
        <f>IF(AND($A1156="",$B1156=""),"",IFERROR(VLOOKUP($G1156,Lists!$D$4:$E$15,2,FALSE),"Not reported"))</f>
        <v/>
      </c>
      <c r="AK1156" s="21">
        <f>IF(AND($A1156="",$B1156=""),"",IF($X1156&lt;&gt;"",$X1156,IF($T1156&lt;&gt;"Y","Not assessed",IF(AND(ISNUMBER($V1156),Setup!$B$6-$V1156&gt;Setup!$B$26),"Assessment outdated",IF(NOT(ISNUMBER($W1156)),"Assessed – no score",IF($W1156&gt;=Setup!$B$24,"High",IF($W1156&gt;=Setup!$B$25,"Moderate","Low")))))))</f>
        <v/>
      </c>
      <c r="AL1156" s="21">
        <f>IF(AND($A1156="",$B1156=""),"",IF(Z1156=0,"",IF(AND(AE1156=1,N($R1156)&gt;AD1156*1.01+0.001),"Net terrestrial &gt; gross; ","")&amp;IF(AND(AE1156=1,N($S1156)&gt;AC1156*1.01+0.001),"Net marine &gt; gross; ","")&amp;IF(AE1156=0,"No net area – gross used, overlaps may be double-counted; ","")&amp;IF(AH1156=0,"STATUS_YR missing – imputed in time series; ","")&amp;IF(AND(ISNUMBER($I1156),N($I1156)&gt;Setup!$B$6),"STATUS_YR after reporting year; ","")&amp;IF(OR($G1156="",$G1156="Not Reported"),"GOV_TYPE not reported; ","")&amp;IF(AND(N($J1156)=1,$K1156="Point",N($M1156)&lt;=0),"Coastal point without REP_M_AREA – land/sea split unknown; ","")&amp;IF(AND(N($J1156)=0,N($S1156)&gt;0),"MARINE=0 but net marine &gt;0; ","")&amp;IF(AND(N($J1156)=2,N($R1156)&gt;0),"MARINE=2 but net terrestrial &gt;0; ","")&amp;IF($K1156="Point","Buffered point – coverage approximate; ","")))</f>
        <v/>
      </c>
    </row>
    <row r="1157">
      <c r="A1157" s="19" t="n"/>
      <c r="B1157" s="19" t="n"/>
      <c r="C1157" s="19" t="n"/>
      <c r="D1157" s="19" t="n"/>
      <c r="E1157" s="19" t="n"/>
      <c r="F1157" s="19" t="n"/>
      <c r="G1157" s="19" t="n"/>
      <c r="H1157" s="19" t="n"/>
      <c r="I1157" s="19" t="n"/>
      <c r="J1157" s="19" t="n"/>
      <c r="K1157" s="19" t="n"/>
      <c r="L1157" s="20" t="n"/>
      <c r="M1157" s="20" t="n"/>
      <c r="N1157" s="20" t="n"/>
      <c r="O1157" s="20" t="n"/>
      <c r="P1157" s="19" t="n"/>
      <c r="Q1157" s="19" t="n"/>
      <c r="R1157" s="20" t="n"/>
      <c r="S1157" s="20" t="n"/>
      <c r="T1157" s="19" t="n"/>
      <c r="U1157" s="19" t="n"/>
      <c r="V1157" s="19" t="n"/>
      <c r="W1157" s="19" t="n"/>
      <c r="X1157" s="19" t="n"/>
      <c r="Y1157" s="19" t="n"/>
      <c r="Z1157" s="21">
        <f>IF(AND($A1157="",$B1157=""),"",IF(OR($E1157="",$H1157="",$H1157="Proposed",$H1157="Not Reported"),0,IF(AND($P1157="Y",$Q1157&lt;&gt;"Y"),0,IF(AND($K1157="Point",N($L1157)&lt;=0),0,IF(AND(N($L1157)&lt;=0,N($N1157)&lt;=0,N($R1157)+N($S1157)&lt;=0),0,1)))))</f>
        <v/>
      </c>
      <c r="AA1157" s="21">
        <f>IF(AND($A1157="",$B1157=""),"",IF($E1157="","Site type missing",IF($H1157="","STATUS missing",IF($H1157="Proposed","STATUS = Proposed",IF($H1157="Not Reported","STATUS = Not Reported",IF(AND($P1157="Y",$Q1157&lt;&gt;"Y"),"UNESCO-MAB Biosphere Reserve",IF(AND($K1157="Point",N($L1157)&lt;=0),"Point without REP_AREA",IF(AND(N($L1157)&lt;=0,N($N1157)&lt;=0,N($R1157)+N($S1157)&lt;=0),"No area information",""))))))))</f>
        <v/>
      </c>
      <c r="AB1157" s="22">
        <f>IF(AND($A1157="",$B1157=""),"",IF($K1157="Point",N($L1157),IF(N($N1157)&gt;0,N($N1157),N($L1157))))</f>
        <v/>
      </c>
      <c r="AC1157" s="22">
        <f>IF(AND($A1157="",$B1157=""),"",MIN(AB1157,IF(N($J1157)=0,0,IF(N($J1157)=2,AB1157,IF(AND($K1157&lt;&gt;"Point",N($O1157)&gt;0),N($O1157),N($M1157))))))</f>
        <v/>
      </c>
      <c r="AD1157" s="22">
        <f>IF(AND($A1157="",$B1157=""),"",MAX(0,AB1157-AC1157))</f>
        <v/>
      </c>
      <c r="AE1157" s="21">
        <f>IF(AND($A1157="",$B1157=""),"",IF(OR($R1157&lt;&gt;"",$S1157&lt;&gt;""),1,0))</f>
        <v/>
      </c>
      <c r="AF1157" s="22">
        <f>IF(AND($A1157="",$B1157=""),"",IF(Z1157=1,IF(AE1157=1,N($R1157),AD1157),0))</f>
        <v/>
      </c>
      <c r="AG1157" s="22">
        <f>IF(AND($A1157="",$B1157=""),"",IF(Z1157=1,IF(AE1157=1,N($S1157),AC1157),0))</f>
        <v/>
      </c>
      <c r="AH1157" s="21">
        <f>IF(AND($A1157="",$B1157=""),"",IF(AND(ISNUMBER($I1157),N($I1157)&gt;0),$I1157,0))</f>
        <v/>
      </c>
      <c r="AI1157" s="23">
        <f>IF(AND(NOT(AND($A1157="",$B1157="")),$K1157="Point",N($L1157)&gt;0),SQRT(N($L1157)/PI()),"")</f>
        <v/>
      </c>
      <c r="AJ1157" s="21">
        <f>IF(AND($A1157="",$B1157=""),"",IFERROR(VLOOKUP($G1157,Lists!$D$4:$E$15,2,FALSE),"Not reported"))</f>
        <v/>
      </c>
      <c r="AK1157" s="21">
        <f>IF(AND($A1157="",$B1157=""),"",IF($X1157&lt;&gt;"",$X1157,IF($T1157&lt;&gt;"Y","Not assessed",IF(AND(ISNUMBER($V1157),Setup!$B$6-$V1157&gt;Setup!$B$26),"Assessment outdated",IF(NOT(ISNUMBER($W1157)),"Assessed – no score",IF($W1157&gt;=Setup!$B$24,"High",IF($W1157&gt;=Setup!$B$25,"Moderate","Low")))))))</f>
        <v/>
      </c>
      <c r="AL1157" s="21">
        <f>IF(AND($A1157="",$B1157=""),"",IF(Z1157=0,"",IF(AND(AE1157=1,N($R1157)&gt;AD1157*1.01+0.001),"Net terrestrial &gt; gross; ","")&amp;IF(AND(AE1157=1,N($S1157)&gt;AC1157*1.01+0.001),"Net marine &gt; gross; ","")&amp;IF(AE1157=0,"No net area – gross used, overlaps may be double-counted; ","")&amp;IF(AH1157=0,"STATUS_YR missing – imputed in time series; ","")&amp;IF(AND(ISNUMBER($I1157),N($I1157)&gt;Setup!$B$6),"STATUS_YR after reporting year; ","")&amp;IF(OR($G1157="",$G1157="Not Reported"),"GOV_TYPE not reported; ","")&amp;IF(AND(N($J1157)=1,$K1157="Point",N($M1157)&lt;=0),"Coastal point without REP_M_AREA – land/sea split unknown; ","")&amp;IF(AND(N($J1157)=0,N($S1157)&gt;0),"MARINE=0 but net marine &gt;0; ","")&amp;IF(AND(N($J1157)=2,N($R1157)&gt;0),"MARINE=2 but net terrestrial &gt;0; ","")&amp;IF($K1157="Point","Buffered point – coverage approximate; ","")))</f>
        <v/>
      </c>
    </row>
    <row r="1158">
      <c r="A1158" s="19" t="n"/>
      <c r="B1158" s="19" t="n"/>
      <c r="C1158" s="19" t="n"/>
      <c r="D1158" s="19" t="n"/>
      <c r="E1158" s="19" t="n"/>
      <c r="F1158" s="19" t="n"/>
      <c r="G1158" s="19" t="n"/>
      <c r="H1158" s="19" t="n"/>
      <c r="I1158" s="19" t="n"/>
      <c r="J1158" s="19" t="n"/>
      <c r="K1158" s="19" t="n"/>
      <c r="L1158" s="20" t="n"/>
      <c r="M1158" s="20" t="n"/>
      <c r="N1158" s="20" t="n"/>
      <c r="O1158" s="20" t="n"/>
      <c r="P1158" s="19" t="n"/>
      <c r="Q1158" s="19" t="n"/>
      <c r="R1158" s="20" t="n"/>
      <c r="S1158" s="20" t="n"/>
      <c r="T1158" s="19" t="n"/>
      <c r="U1158" s="19" t="n"/>
      <c r="V1158" s="19" t="n"/>
      <c r="W1158" s="19" t="n"/>
      <c r="X1158" s="19" t="n"/>
      <c r="Y1158" s="19" t="n"/>
      <c r="Z1158" s="21">
        <f>IF(AND($A1158="",$B1158=""),"",IF(OR($E1158="",$H1158="",$H1158="Proposed",$H1158="Not Reported"),0,IF(AND($P1158="Y",$Q1158&lt;&gt;"Y"),0,IF(AND($K1158="Point",N($L1158)&lt;=0),0,IF(AND(N($L1158)&lt;=0,N($N1158)&lt;=0,N($R1158)+N($S1158)&lt;=0),0,1)))))</f>
        <v/>
      </c>
      <c r="AA1158" s="21">
        <f>IF(AND($A1158="",$B1158=""),"",IF($E1158="","Site type missing",IF($H1158="","STATUS missing",IF($H1158="Proposed","STATUS = Proposed",IF($H1158="Not Reported","STATUS = Not Reported",IF(AND($P1158="Y",$Q1158&lt;&gt;"Y"),"UNESCO-MAB Biosphere Reserve",IF(AND($K1158="Point",N($L1158)&lt;=0),"Point without REP_AREA",IF(AND(N($L1158)&lt;=0,N($N1158)&lt;=0,N($R1158)+N($S1158)&lt;=0),"No area information",""))))))))</f>
        <v/>
      </c>
      <c r="AB1158" s="22">
        <f>IF(AND($A1158="",$B1158=""),"",IF($K1158="Point",N($L1158),IF(N($N1158)&gt;0,N($N1158),N($L1158))))</f>
        <v/>
      </c>
      <c r="AC1158" s="22">
        <f>IF(AND($A1158="",$B1158=""),"",MIN(AB1158,IF(N($J1158)=0,0,IF(N($J1158)=2,AB1158,IF(AND($K1158&lt;&gt;"Point",N($O1158)&gt;0),N($O1158),N($M1158))))))</f>
        <v/>
      </c>
      <c r="AD1158" s="22">
        <f>IF(AND($A1158="",$B1158=""),"",MAX(0,AB1158-AC1158))</f>
        <v/>
      </c>
      <c r="AE1158" s="21">
        <f>IF(AND($A1158="",$B1158=""),"",IF(OR($R1158&lt;&gt;"",$S1158&lt;&gt;""),1,0))</f>
        <v/>
      </c>
      <c r="AF1158" s="22">
        <f>IF(AND($A1158="",$B1158=""),"",IF(Z1158=1,IF(AE1158=1,N($R1158),AD1158),0))</f>
        <v/>
      </c>
      <c r="AG1158" s="22">
        <f>IF(AND($A1158="",$B1158=""),"",IF(Z1158=1,IF(AE1158=1,N($S1158),AC1158),0))</f>
        <v/>
      </c>
      <c r="AH1158" s="21">
        <f>IF(AND($A1158="",$B1158=""),"",IF(AND(ISNUMBER($I1158),N($I1158)&gt;0),$I1158,0))</f>
        <v/>
      </c>
      <c r="AI1158" s="23">
        <f>IF(AND(NOT(AND($A1158="",$B1158="")),$K1158="Point",N($L1158)&gt;0),SQRT(N($L1158)/PI()),"")</f>
        <v/>
      </c>
      <c r="AJ1158" s="21">
        <f>IF(AND($A1158="",$B1158=""),"",IFERROR(VLOOKUP($G1158,Lists!$D$4:$E$15,2,FALSE),"Not reported"))</f>
        <v/>
      </c>
      <c r="AK1158" s="21">
        <f>IF(AND($A1158="",$B1158=""),"",IF($X1158&lt;&gt;"",$X1158,IF($T1158&lt;&gt;"Y","Not assessed",IF(AND(ISNUMBER($V1158),Setup!$B$6-$V1158&gt;Setup!$B$26),"Assessment outdated",IF(NOT(ISNUMBER($W1158)),"Assessed – no score",IF($W1158&gt;=Setup!$B$24,"High",IF($W1158&gt;=Setup!$B$25,"Moderate","Low")))))))</f>
        <v/>
      </c>
      <c r="AL1158" s="21">
        <f>IF(AND($A1158="",$B1158=""),"",IF(Z1158=0,"",IF(AND(AE1158=1,N($R1158)&gt;AD1158*1.01+0.001),"Net terrestrial &gt; gross; ","")&amp;IF(AND(AE1158=1,N($S1158)&gt;AC1158*1.01+0.001),"Net marine &gt; gross; ","")&amp;IF(AE1158=0,"No net area – gross used, overlaps may be double-counted; ","")&amp;IF(AH1158=0,"STATUS_YR missing – imputed in time series; ","")&amp;IF(AND(ISNUMBER($I1158),N($I1158)&gt;Setup!$B$6),"STATUS_YR after reporting year; ","")&amp;IF(OR($G1158="",$G1158="Not Reported"),"GOV_TYPE not reported; ","")&amp;IF(AND(N($J1158)=1,$K1158="Point",N($M1158)&lt;=0),"Coastal point without REP_M_AREA – land/sea split unknown; ","")&amp;IF(AND(N($J1158)=0,N($S1158)&gt;0),"MARINE=0 but net marine &gt;0; ","")&amp;IF(AND(N($J1158)=2,N($R1158)&gt;0),"MARINE=2 but net terrestrial &gt;0; ","")&amp;IF($K1158="Point","Buffered point – coverage approximate; ","")))</f>
        <v/>
      </c>
    </row>
    <row r="1159">
      <c r="A1159" s="19" t="n"/>
      <c r="B1159" s="19" t="n"/>
      <c r="C1159" s="19" t="n"/>
      <c r="D1159" s="19" t="n"/>
      <c r="E1159" s="19" t="n"/>
      <c r="F1159" s="19" t="n"/>
      <c r="G1159" s="19" t="n"/>
      <c r="H1159" s="19" t="n"/>
      <c r="I1159" s="19" t="n"/>
      <c r="J1159" s="19" t="n"/>
      <c r="K1159" s="19" t="n"/>
      <c r="L1159" s="20" t="n"/>
      <c r="M1159" s="20" t="n"/>
      <c r="N1159" s="20" t="n"/>
      <c r="O1159" s="20" t="n"/>
      <c r="P1159" s="19" t="n"/>
      <c r="Q1159" s="19" t="n"/>
      <c r="R1159" s="20" t="n"/>
      <c r="S1159" s="20" t="n"/>
      <c r="T1159" s="19" t="n"/>
      <c r="U1159" s="19" t="n"/>
      <c r="V1159" s="19" t="n"/>
      <c r="W1159" s="19" t="n"/>
      <c r="X1159" s="19" t="n"/>
      <c r="Y1159" s="19" t="n"/>
      <c r="Z1159" s="21">
        <f>IF(AND($A1159="",$B1159=""),"",IF(OR($E1159="",$H1159="",$H1159="Proposed",$H1159="Not Reported"),0,IF(AND($P1159="Y",$Q1159&lt;&gt;"Y"),0,IF(AND($K1159="Point",N($L1159)&lt;=0),0,IF(AND(N($L1159)&lt;=0,N($N1159)&lt;=0,N($R1159)+N($S1159)&lt;=0),0,1)))))</f>
        <v/>
      </c>
      <c r="AA1159" s="21">
        <f>IF(AND($A1159="",$B1159=""),"",IF($E1159="","Site type missing",IF($H1159="","STATUS missing",IF($H1159="Proposed","STATUS = Proposed",IF($H1159="Not Reported","STATUS = Not Reported",IF(AND($P1159="Y",$Q1159&lt;&gt;"Y"),"UNESCO-MAB Biosphere Reserve",IF(AND($K1159="Point",N($L1159)&lt;=0),"Point without REP_AREA",IF(AND(N($L1159)&lt;=0,N($N1159)&lt;=0,N($R1159)+N($S1159)&lt;=0),"No area information",""))))))))</f>
        <v/>
      </c>
      <c r="AB1159" s="22">
        <f>IF(AND($A1159="",$B1159=""),"",IF($K1159="Point",N($L1159),IF(N($N1159)&gt;0,N($N1159),N($L1159))))</f>
        <v/>
      </c>
      <c r="AC1159" s="22">
        <f>IF(AND($A1159="",$B1159=""),"",MIN(AB1159,IF(N($J1159)=0,0,IF(N($J1159)=2,AB1159,IF(AND($K1159&lt;&gt;"Point",N($O1159)&gt;0),N($O1159),N($M1159))))))</f>
        <v/>
      </c>
      <c r="AD1159" s="22">
        <f>IF(AND($A1159="",$B1159=""),"",MAX(0,AB1159-AC1159))</f>
        <v/>
      </c>
      <c r="AE1159" s="21">
        <f>IF(AND($A1159="",$B1159=""),"",IF(OR($R1159&lt;&gt;"",$S1159&lt;&gt;""),1,0))</f>
        <v/>
      </c>
      <c r="AF1159" s="22">
        <f>IF(AND($A1159="",$B1159=""),"",IF(Z1159=1,IF(AE1159=1,N($R1159),AD1159),0))</f>
        <v/>
      </c>
      <c r="AG1159" s="22">
        <f>IF(AND($A1159="",$B1159=""),"",IF(Z1159=1,IF(AE1159=1,N($S1159),AC1159),0))</f>
        <v/>
      </c>
      <c r="AH1159" s="21">
        <f>IF(AND($A1159="",$B1159=""),"",IF(AND(ISNUMBER($I1159),N($I1159)&gt;0),$I1159,0))</f>
        <v/>
      </c>
      <c r="AI1159" s="23">
        <f>IF(AND(NOT(AND($A1159="",$B1159="")),$K1159="Point",N($L1159)&gt;0),SQRT(N($L1159)/PI()),"")</f>
        <v/>
      </c>
      <c r="AJ1159" s="21">
        <f>IF(AND($A1159="",$B1159=""),"",IFERROR(VLOOKUP($G1159,Lists!$D$4:$E$15,2,FALSE),"Not reported"))</f>
        <v/>
      </c>
      <c r="AK1159" s="21">
        <f>IF(AND($A1159="",$B1159=""),"",IF($X1159&lt;&gt;"",$X1159,IF($T1159&lt;&gt;"Y","Not assessed",IF(AND(ISNUMBER($V1159),Setup!$B$6-$V1159&gt;Setup!$B$26),"Assessment outdated",IF(NOT(ISNUMBER($W1159)),"Assessed – no score",IF($W1159&gt;=Setup!$B$24,"High",IF($W1159&gt;=Setup!$B$25,"Moderate","Low")))))))</f>
        <v/>
      </c>
      <c r="AL1159" s="21">
        <f>IF(AND($A1159="",$B1159=""),"",IF(Z1159=0,"",IF(AND(AE1159=1,N($R1159)&gt;AD1159*1.01+0.001),"Net terrestrial &gt; gross; ","")&amp;IF(AND(AE1159=1,N($S1159)&gt;AC1159*1.01+0.001),"Net marine &gt; gross; ","")&amp;IF(AE1159=0,"No net area – gross used, overlaps may be double-counted; ","")&amp;IF(AH1159=0,"STATUS_YR missing – imputed in time series; ","")&amp;IF(AND(ISNUMBER($I1159),N($I1159)&gt;Setup!$B$6),"STATUS_YR after reporting year; ","")&amp;IF(OR($G1159="",$G1159="Not Reported"),"GOV_TYPE not reported; ","")&amp;IF(AND(N($J1159)=1,$K1159="Point",N($M1159)&lt;=0),"Coastal point without REP_M_AREA – land/sea split unknown; ","")&amp;IF(AND(N($J1159)=0,N($S1159)&gt;0),"MARINE=0 but net marine &gt;0; ","")&amp;IF(AND(N($J1159)=2,N($R1159)&gt;0),"MARINE=2 but net terrestrial &gt;0; ","")&amp;IF($K1159="Point","Buffered point – coverage approximate; ","")))</f>
        <v/>
      </c>
    </row>
    <row r="1160">
      <c r="A1160" s="19" t="n"/>
      <c r="B1160" s="19" t="n"/>
      <c r="C1160" s="19" t="n"/>
      <c r="D1160" s="19" t="n"/>
      <c r="E1160" s="19" t="n"/>
      <c r="F1160" s="19" t="n"/>
      <c r="G1160" s="19" t="n"/>
      <c r="H1160" s="19" t="n"/>
      <c r="I1160" s="19" t="n"/>
      <c r="J1160" s="19" t="n"/>
      <c r="K1160" s="19" t="n"/>
      <c r="L1160" s="20" t="n"/>
      <c r="M1160" s="20" t="n"/>
      <c r="N1160" s="20" t="n"/>
      <c r="O1160" s="20" t="n"/>
      <c r="P1160" s="19" t="n"/>
      <c r="Q1160" s="19" t="n"/>
      <c r="R1160" s="20" t="n"/>
      <c r="S1160" s="20" t="n"/>
      <c r="T1160" s="19" t="n"/>
      <c r="U1160" s="19" t="n"/>
      <c r="V1160" s="19" t="n"/>
      <c r="W1160" s="19" t="n"/>
      <c r="X1160" s="19" t="n"/>
      <c r="Y1160" s="19" t="n"/>
      <c r="Z1160" s="21">
        <f>IF(AND($A1160="",$B1160=""),"",IF(OR($E1160="",$H1160="",$H1160="Proposed",$H1160="Not Reported"),0,IF(AND($P1160="Y",$Q1160&lt;&gt;"Y"),0,IF(AND($K1160="Point",N($L1160)&lt;=0),0,IF(AND(N($L1160)&lt;=0,N($N1160)&lt;=0,N($R1160)+N($S1160)&lt;=0),0,1)))))</f>
        <v/>
      </c>
      <c r="AA1160" s="21">
        <f>IF(AND($A1160="",$B1160=""),"",IF($E1160="","Site type missing",IF($H1160="","STATUS missing",IF($H1160="Proposed","STATUS = Proposed",IF($H1160="Not Reported","STATUS = Not Reported",IF(AND($P1160="Y",$Q1160&lt;&gt;"Y"),"UNESCO-MAB Biosphere Reserve",IF(AND($K1160="Point",N($L1160)&lt;=0),"Point without REP_AREA",IF(AND(N($L1160)&lt;=0,N($N1160)&lt;=0,N($R1160)+N($S1160)&lt;=0),"No area information",""))))))))</f>
        <v/>
      </c>
      <c r="AB1160" s="22">
        <f>IF(AND($A1160="",$B1160=""),"",IF($K1160="Point",N($L1160),IF(N($N1160)&gt;0,N($N1160),N($L1160))))</f>
        <v/>
      </c>
      <c r="AC1160" s="22">
        <f>IF(AND($A1160="",$B1160=""),"",MIN(AB1160,IF(N($J1160)=0,0,IF(N($J1160)=2,AB1160,IF(AND($K1160&lt;&gt;"Point",N($O1160)&gt;0),N($O1160),N($M1160))))))</f>
        <v/>
      </c>
      <c r="AD1160" s="22">
        <f>IF(AND($A1160="",$B1160=""),"",MAX(0,AB1160-AC1160))</f>
        <v/>
      </c>
      <c r="AE1160" s="21">
        <f>IF(AND($A1160="",$B1160=""),"",IF(OR($R1160&lt;&gt;"",$S1160&lt;&gt;""),1,0))</f>
        <v/>
      </c>
      <c r="AF1160" s="22">
        <f>IF(AND($A1160="",$B1160=""),"",IF(Z1160=1,IF(AE1160=1,N($R1160),AD1160),0))</f>
        <v/>
      </c>
      <c r="AG1160" s="22">
        <f>IF(AND($A1160="",$B1160=""),"",IF(Z1160=1,IF(AE1160=1,N($S1160),AC1160),0))</f>
        <v/>
      </c>
      <c r="AH1160" s="21">
        <f>IF(AND($A1160="",$B1160=""),"",IF(AND(ISNUMBER($I1160),N($I1160)&gt;0),$I1160,0))</f>
        <v/>
      </c>
      <c r="AI1160" s="23">
        <f>IF(AND(NOT(AND($A1160="",$B1160="")),$K1160="Point",N($L1160)&gt;0),SQRT(N($L1160)/PI()),"")</f>
        <v/>
      </c>
      <c r="AJ1160" s="21">
        <f>IF(AND($A1160="",$B1160=""),"",IFERROR(VLOOKUP($G1160,Lists!$D$4:$E$15,2,FALSE),"Not reported"))</f>
        <v/>
      </c>
      <c r="AK1160" s="21">
        <f>IF(AND($A1160="",$B1160=""),"",IF($X1160&lt;&gt;"",$X1160,IF($T1160&lt;&gt;"Y","Not assessed",IF(AND(ISNUMBER($V1160),Setup!$B$6-$V1160&gt;Setup!$B$26),"Assessment outdated",IF(NOT(ISNUMBER($W1160)),"Assessed – no score",IF($W1160&gt;=Setup!$B$24,"High",IF($W1160&gt;=Setup!$B$25,"Moderate","Low")))))))</f>
        <v/>
      </c>
      <c r="AL1160" s="21">
        <f>IF(AND($A1160="",$B1160=""),"",IF(Z1160=0,"",IF(AND(AE1160=1,N($R1160)&gt;AD1160*1.01+0.001),"Net terrestrial &gt; gross; ","")&amp;IF(AND(AE1160=1,N($S1160)&gt;AC1160*1.01+0.001),"Net marine &gt; gross; ","")&amp;IF(AE1160=0,"No net area – gross used, overlaps may be double-counted; ","")&amp;IF(AH1160=0,"STATUS_YR missing – imputed in time series; ","")&amp;IF(AND(ISNUMBER($I1160),N($I1160)&gt;Setup!$B$6),"STATUS_YR after reporting year; ","")&amp;IF(OR($G1160="",$G1160="Not Reported"),"GOV_TYPE not reported; ","")&amp;IF(AND(N($J1160)=1,$K1160="Point",N($M1160)&lt;=0),"Coastal point without REP_M_AREA – land/sea split unknown; ","")&amp;IF(AND(N($J1160)=0,N($S1160)&gt;0),"MARINE=0 but net marine &gt;0; ","")&amp;IF(AND(N($J1160)=2,N($R1160)&gt;0),"MARINE=2 but net terrestrial &gt;0; ","")&amp;IF($K1160="Point","Buffered point – coverage approximate; ","")))</f>
        <v/>
      </c>
    </row>
    <row r="1161">
      <c r="A1161" s="19" t="n"/>
      <c r="B1161" s="19" t="n"/>
      <c r="C1161" s="19" t="n"/>
      <c r="D1161" s="19" t="n"/>
      <c r="E1161" s="19" t="n"/>
      <c r="F1161" s="19" t="n"/>
      <c r="G1161" s="19" t="n"/>
      <c r="H1161" s="19" t="n"/>
      <c r="I1161" s="19" t="n"/>
      <c r="J1161" s="19" t="n"/>
      <c r="K1161" s="19" t="n"/>
      <c r="L1161" s="20" t="n"/>
      <c r="M1161" s="20" t="n"/>
      <c r="N1161" s="20" t="n"/>
      <c r="O1161" s="20" t="n"/>
      <c r="P1161" s="19" t="n"/>
      <c r="Q1161" s="19" t="n"/>
      <c r="R1161" s="20" t="n"/>
      <c r="S1161" s="20" t="n"/>
      <c r="T1161" s="19" t="n"/>
      <c r="U1161" s="19" t="n"/>
      <c r="V1161" s="19" t="n"/>
      <c r="W1161" s="19" t="n"/>
      <c r="X1161" s="19" t="n"/>
      <c r="Y1161" s="19" t="n"/>
      <c r="Z1161" s="21">
        <f>IF(AND($A1161="",$B1161=""),"",IF(OR($E1161="",$H1161="",$H1161="Proposed",$H1161="Not Reported"),0,IF(AND($P1161="Y",$Q1161&lt;&gt;"Y"),0,IF(AND($K1161="Point",N($L1161)&lt;=0),0,IF(AND(N($L1161)&lt;=0,N($N1161)&lt;=0,N($R1161)+N($S1161)&lt;=0),0,1)))))</f>
        <v/>
      </c>
      <c r="AA1161" s="21">
        <f>IF(AND($A1161="",$B1161=""),"",IF($E1161="","Site type missing",IF($H1161="","STATUS missing",IF($H1161="Proposed","STATUS = Proposed",IF($H1161="Not Reported","STATUS = Not Reported",IF(AND($P1161="Y",$Q1161&lt;&gt;"Y"),"UNESCO-MAB Biosphere Reserve",IF(AND($K1161="Point",N($L1161)&lt;=0),"Point without REP_AREA",IF(AND(N($L1161)&lt;=0,N($N1161)&lt;=0,N($R1161)+N($S1161)&lt;=0),"No area information",""))))))))</f>
        <v/>
      </c>
      <c r="AB1161" s="22">
        <f>IF(AND($A1161="",$B1161=""),"",IF($K1161="Point",N($L1161),IF(N($N1161)&gt;0,N($N1161),N($L1161))))</f>
        <v/>
      </c>
      <c r="AC1161" s="22">
        <f>IF(AND($A1161="",$B1161=""),"",MIN(AB1161,IF(N($J1161)=0,0,IF(N($J1161)=2,AB1161,IF(AND($K1161&lt;&gt;"Point",N($O1161)&gt;0),N($O1161),N($M1161))))))</f>
        <v/>
      </c>
      <c r="AD1161" s="22">
        <f>IF(AND($A1161="",$B1161=""),"",MAX(0,AB1161-AC1161))</f>
        <v/>
      </c>
      <c r="AE1161" s="21">
        <f>IF(AND($A1161="",$B1161=""),"",IF(OR($R1161&lt;&gt;"",$S1161&lt;&gt;""),1,0))</f>
        <v/>
      </c>
      <c r="AF1161" s="22">
        <f>IF(AND($A1161="",$B1161=""),"",IF(Z1161=1,IF(AE1161=1,N($R1161),AD1161),0))</f>
        <v/>
      </c>
      <c r="AG1161" s="22">
        <f>IF(AND($A1161="",$B1161=""),"",IF(Z1161=1,IF(AE1161=1,N($S1161),AC1161),0))</f>
        <v/>
      </c>
      <c r="AH1161" s="21">
        <f>IF(AND($A1161="",$B1161=""),"",IF(AND(ISNUMBER($I1161),N($I1161)&gt;0),$I1161,0))</f>
        <v/>
      </c>
      <c r="AI1161" s="23">
        <f>IF(AND(NOT(AND($A1161="",$B1161="")),$K1161="Point",N($L1161)&gt;0),SQRT(N($L1161)/PI()),"")</f>
        <v/>
      </c>
      <c r="AJ1161" s="21">
        <f>IF(AND($A1161="",$B1161=""),"",IFERROR(VLOOKUP($G1161,Lists!$D$4:$E$15,2,FALSE),"Not reported"))</f>
        <v/>
      </c>
      <c r="AK1161" s="21">
        <f>IF(AND($A1161="",$B1161=""),"",IF($X1161&lt;&gt;"",$X1161,IF($T1161&lt;&gt;"Y","Not assessed",IF(AND(ISNUMBER($V1161),Setup!$B$6-$V1161&gt;Setup!$B$26),"Assessment outdated",IF(NOT(ISNUMBER($W1161)),"Assessed – no score",IF($W1161&gt;=Setup!$B$24,"High",IF($W1161&gt;=Setup!$B$25,"Moderate","Low")))))))</f>
        <v/>
      </c>
      <c r="AL1161" s="21">
        <f>IF(AND($A1161="",$B1161=""),"",IF(Z1161=0,"",IF(AND(AE1161=1,N($R1161)&gt;AD1161*1.01+0.001),"Net terrestrial &gt; gross; ","")&amp;IF(AND(AE1161=1,N($S1161)&gt;AC1161*1.01+0.001),"Net marine &gt; gross; ","")&amp;IF(AE1161=0,"No net area – gross used, overlaps may be double-counted; ","")&amp;IF(AH1161=0,"STATUS_YR missing – imputed in time series; ","")&amp;IF(AND(ISNUMBER($I1161),N($I1161)&gt;Setup!$B$6),"STATUS_YR after reporting year; ","")&amp;IF(OR($G1161="",$G1161="Not Reported"),"GOV_TYPE not reported; ","")&amp;IF(AND(N($J1161)=1,$K1161="Point",N($M1161)&lt;=0),"Coastal point without REP_M_AREA – land/sea split unknown; ","")&amp;IF(AND(N($J1161)=0,N($S1161)&gt;0),"MARINE=0 but net marine &gt;0; ","")&amp;IF(AND(N($J1161)=2,N($R1161)&gt;0),"MARINE=2 but net terrestrial &gt;0; ","")&amp;IF($K1161="Point","Buffered point – coverage approximate; ","")))</f>
        <v/>
      </c>
    </row>
    <row r="1162">
      <c r="A1162" s="19" t="n"/>
      <c r="B1162" s="19" t="n"/>
      <c r="C1162" s="19" t="n"/>
      <c r="D1162" s="19" t="n"/>
      <c r="E1162" s="19" t="n"/>
      <c r="F1162" s="19" t="n"/>
      <c r="G1162" s="19" t="n"/>
      <c r="H1162" s="19" t="n"/>
      <c r="I1162" s="19" t="n"/>
      <c r="J1162" s="19" t="n"/>
      <c r="K1162" s="19" t="n"/>
      <c r="L1162" s="20" t="n"/>
      <c r="M1162" s="20" t="n"/>
      <c r="N1162" s="20" t="n"/>
      <c r="O1162" s="20" t="n"/>
      <c r="P1162" s="19" t="n"/>
      <c r="Q1162" s="19" t="n"/>
      <c r="R1162" s="20" t="n"/>
      <c r="S1162" s="20" t="n"/>
      <c r="T1162" s="19" t="n"/>
      <c r="U1162" s="19" t="n"/>
      <c r="V1162" s="19" t="n"/>
      <c r="W1162" s="19" t="n"/>
      <c r="X1162" s="19" t="n"/>
      <c r="Y1162" s="19" t="n"/>
      <c r="Z1162" s="21">
        <f>IF(AND($A1162="",$B1162=""),"",IF(OR($E1162="",$H1162="",$H1162="Proposed",$H1162="Not Reported"),0,IF(AND($P1162="Y",$Q1162&lt;&gt;"Y"),0,IF(AND($K1162="Point",N($L1162)&lt;=0),0,IF(AND(N($L1162)&lt;=0,N($N1162)&lt;=0,N($R1162)+N($S1162)&lt;=0),0,1)))))</f>
        <v/>
      </c>
      <c r="AA1162" s="21">
        <f>IF(AND($A1162="",$B1162=""),"",IF($E1162="","Site type missing",IF($H1162="","STATUS missing",IF($H1162="Proposed","STATUS = Proposed",IF($H1162="Not Reported","STATUS = Not Reported",IF(AND($P1162="Y",$Q1162&lt;&gt;"Y"),"UNESCO-MAB Biosphere Reserve",IF(AND($K1162="Point",N($L1162)&lt;=0),"Point without REP_AREA",IF(AND(N($L1162)&lt;=0,N($N1162)&lt;=0,N($R1162)+N($S1162)&lt;=0),"No area information",""))))))))</f>
        <v/>
      </c>
      <c r="AB1162" s="22">
        <f>IF(AND($A1162="",$B1162=""),"",IF($K1162="Point",N($L1162),IF(N($N1162)&gt;0,N($N1162),N($L1162))))</f>
        <v/>
      </c>
      <c r="AC1162" s="22">
        <f>IF(AND($A1162="",$B1162=""),"",MIN(AB1162,IF(N($J1162)=0,0,IF(N($J1162)=2,AB1162,IF(AND($K1162&lt;&gt;"Point",N($O1162)&gt;0),N($O1162),N($M1162))))))</f>
        <v/>
      </c>
      <c r="AD1162" s="22">
        <f>IF(AND($A1162="",$B1162=""),"",MAX(0,AB1162-AC1162))</f>
        <v/>
      </c>
      <c r="AE1162" s="21">
        <f>IF(AND($A1162="",$B1162=""),"",IF(OR($R1162&lt;&gt;"",$S1162&lt;&gt;""),1,0))</f>
        <v/>
      </c>
      <c r="AF1162" s="22">
        <f>IF(AND($A1162="",$B1162=""),"",IF(Z1162=1,IF(AE1162=1,N($R1162),AD1162),0))</f>
        <v/>
      </c>
      <c r="AG1162" s="22">
        <f>IF(AND($A1162="",$B1162=""),"",IF(Z1162=1,IF(AE1162=1,N($S1162),AC1162),0))</f>
        <v/>
      </c>
      <c r="AH1162" s="21">
        <f>IF(AND($A1162="",$B1162=""),"",IF(AND(ISNUMBER($I1162),N($I1162)&gt;0),$I1162,0))</f>
        <v/>
      </c>
      <c r="AI1162" s="23">
        <f>IF(AND(NOT(AND($A1162="",$B1162="")),$K1162="Point",N($L1162)&gt;0),SQRT(N($L1162)/PI()),"")</f>
        <v/>
      </c>
      <c r="AJ1162" s="21">
        <f>IF(AND($A1162="",$B1162=""),"",IFERROR(VLOOKUP($G1162,Lists!$D$4:$E$15,2,FALSE),"Not reported"))</f>
        <v/>
      </c>
      <c r="AK1162" s="21">
        <f>IF(AND($A1162="",$B1162=""),"",IF($X1162&lt;&gt;"",$X1162,IF($T1162&lt;&gt;"Y","Not assessed",IF(AND(ISNUMBER($V1162),Setup!$B$6-$V1162&gt;Setup!$B$26),"Assessment outdated",IF(NOT(ISNUMBER($W1162)),"Assessed – no score",IF($W1162&gt;=Setup!$B$24,"High",IF($W1162&gt;=Setup!$B$25,"Moderate","Low")))))))</f>
        <v/>
      </c>
      <c r="AL1162" s="21">
        <f>IF(AND($A1162="",$B1162=""),"",IF(Z1162=0,"",IF(AND(AE1162=1,N($R1162)&gt;AD1162*1.01+0.001),"Net terrestrial &gt; gross; ","")&amp;IF(AND(AE1162=1,N($S1162)&gt;AC1162*1.01+0.001),"Net marine &gt; gross; ","")&amp;IF(AE1162=0,"No net area – gross used, overlaps may be double-counted; ","")&amp;IF(AH1162=0,"STATUS_YR missing – imputed in time series; ","")&amp;IF(AND(ISNUMBER($I1162),N($I1162)&gt;Setup!$B$6),"STATUS_YR after reporting year; ","")&amp;IF(OR($G1162="",$G1162="Not Reported"),"GOV_TYPE not reported; ","")&amp;IF(AND(N($J1162)=1,$K1162="Point",N($M1162)&lt;=0),"Coastal point without REP_M_AREA – land/sea split unknown; ","")&amp;IF(AND(N($J1162)=0,N($S1162)&gt;0),"MARINE=0 but net marine &gt;0; ","")&amp;IF(AND(N($J1162)=2,N($R1162)&gt;0),"MARINE=2 but net terrestrial &gt;0; ","")&amp;IF($K1162="Point","Buffered point – coverage approximate; ","")))</f>
        <v/>
      </c>
    </row>
    <row r="1163">
      <c r="A1163" s="19" t="n"/>
      <c r="B1163" s="19" t="n"/>
      <c r="C1163" s="19" t="n"/>
      <c r="D1163" s="19" t="n"/>
      <c r="E1163" s="19" t="n"/>
      <c r="F1163" s="19" t="n"/>
      <c r="G1163" s="19" t="n"/>
      <c r="H1163" s="19" t="n"/>
      <c r="I1163" s="19" t="n"/>
      <c r="J1163" s="19" t="n"/>
      <c r="K1163" s="19" t="n"/>
      <c r="L1163" s="20" t="n"/>
      <c r="M1163" s="20" t="n"/>
      <c r="N1163" s="20" t="n"/>
      <c r="O1163" s="20" t="n"/>
      <c r="P1163" s="19" t="n"/>
      <c r="Q1163" s="19" t="n"/>
      <c r="R1163" s="20" t="n"/>
      <c r="S1163" s="20" t="n"/>
      <c r="T1163" s="19" t="n"/>
      <c r="U1163" s="19" t="n"/>
      <c r="V1163" s="19" t="n"/>
      <c r="W1163" s="19" t="n"/>
      <c r="X1163" s="19" t="n"/>
      <c r="Y1163" s="19" t="n"/>
      <c r="Z1163" s="21">
        <f>IF(AND($A1163="",$B1163=""),"",IF(OR($E1163="",$H1163="",$H1163="Proposed",$H1163="Not Reported"),0,IF(AND($P1163="Y",$Q1163&lt;&gt;"Y"),0,IF(AND($K1163="Point",N($L1163)&lt;=0),0,IF(AND(N($L1163)&lt;=0,N($N1163)&lt;=0,N($R1163)+N($S1163)&lt;=0),0,1)))))</f>
        <v/>
      </c>
      <c r="AA1163" s="21">
        <f>IF(AND($A1163="",$B1163=""),"",IF($E1163="","Site type missing",IF($H1163="","STATUS missing",IF($H1163="Proposed","STATUS = Proposed",IF($H1163="Not Reported","STATUS = Not Reported",IF(AND($P1163="Y",$Q1163&lt;&gt;"Y"),"UNESCO-MAB Biosphere Reserve",IF(AND($K1163="Point",N($L1163)&lt;=0),"Point without REP_AREA",IF(AND(N($L1163)&lt;=0,N($N1163)&lt;=0,N($R1163)+N($S1163)&lt;=0),"No area information",""))))))))</f>
        <v/>
      </c>
      <c r="AB1163" s="22">
        <f>IF(AND($A1163="",$B1163=""),"",IF($K1163="Point",N($L1163),IF(N($N1163)&gt;0,N($N1163),N($L1163))))</f>
        <v/>
      </c>
      <c r="AC1163" s="22">
        <f>IF(AND($A1163="",$B1163=""),"",MIN(AB1163,IF(N($J1163)=0,0,IF(N($J1163)=2,AB1163,IF(AND($K1163&lt;&gt;"Point",N($O1163)&gt;0),N($O1163),N($M1163))))))</f>
        <v/>
      </c>
      <c r="AD1163" s="22">
        <f>IF(AND($A1163="",$B1163=""),"",MAX(0,AB1163-AC1163))</f>
        <v/>
      </c>
      <c r="AE1163" s="21">
        <f>IF(AND($A1163="",$B1163=""),"",IF(OR($R1163&lt;&gt;"",$S1163&lt;&gt;""),1,0))</f>
        <v/>
      </c>
      <c r="AF1163" s="22">
        <f>IF(AND($A1163="",$B1163=""),"",IF(Z1163=1,IF(AE1163=1,N($R1163),AD1163),0))</f>
        <v/>
      </c>
      <c r="AG1163" s="22">
        <f>IF(AND($A1163="",$B1163=""),"",IF(Z1163=1,IF(AE1163=1,N($S1163),AC1163),0))</f>
        <v/>
      </c>
      <c r="AH1163" s="21">
        <f>IF(AND($A1163="",$B1163=""),"",IF(AND(ISNUMBER($I1163),N($I1163)&gt;0),$I1163,0))</f>
        <v/>
      </c>
      <c r="AI1163" s="23">
        <f>IF(AND(NOT(AND($A1163="",$B1163="")),$K1163="Point",N($L1163)&gt;0),SQRT(N($L1163)/PI()),"")</f>
        <v/>
      </c>
      <c r="AJ1163" s="21">
        <f>IF(AND($A1163="",$B1163=""),"",IFERROR(VLOOKUP($G1163,Lists!$D$4:$E$15,2,FALSE),"Not reported"))</f>
        <v/>
      </c>
      <c r="AK1163" s="21">
        <f>IF(AND($A1163="",$B1163=""),"",IF($X1163&lt;&gt;"",$X1163,IF($T1163&lt;&gt;"Y","Not assessed",IF(AND(ISNUMBER($V1163),Setup!$B$6-$V1163&gt;Setup!$B$26),"Assessment outdated",IF(NOT(ISNUMBER($W1163)),"Assessed – no score",IF($W1163&gt;=Setup!$B$24,"High",IF($W1163&gt;=Setup!$B$25,"Moderate","Low")))))))</f>
        <v/>
      </c>
      <c r="AL1163" s="21">
        <f>IF(AND($A1163="",$B1163=""),"",IF(Z1163=0,"",IF(AND(AE1163=1,N($R1163)&gt;AD1163*1.01+0.001),"Net terrestrial &gt; gross; ","")&amp;IF(AND(AE1163=1,N($S1163)&gt;AC1163*1.01+0.001),"Net marine &gt; gross; ","")&amp;IF(AE1163=0,"No net area – gross used, overlaps may be double-counted; ","")&amp;IF(AH1163=0,"STATUS_YR missing – imputed in time series; ","")&amp;IF(AND(ISNUMBER($I1163),N($I1163)&gt;Setup!$B$6),"STATUS_YR after reporting year; ","")&amp;IF(OR($G1163="",$G1163="Not Reported"),"GOV_TYPE not reported; ","")&amp;IF(AND(N($J1163)=1,$K1163="Point",N($M1163)&lt;=0),"Coastal point without REP_M_AREA – land/sea split unknown; ","")&amp;IF(AND(N($J1163)=0,N($S1163)&gt;0),"MARINE=0 but net marine &gt;0; ","")&amp;IF(AND(N($J1163)=2,N($R1163)&gt;0),"MARINE=2 but net terrestrial &gt;0; ","")&amp;IF($K1163="Point","Buffered point – coverage approximate; ","")))</f>
        <v/>
      </c>
    </row>
    <row r="1164">
      <c r="A1164" s="19" t="n"/>
      <c r="B1164" s="19" t="n"/>
      <c r="C1164" s="19" t="n"/>
      <c r="D1164" s="19" t="n"/>
      <c r="E1164" s="19" t="n"/>
      <c r="F1164" s="19" t="n"/>
      <c r="G1164" s="19" t="n"/>
      <c r="H1164" s="19" t="n"/>
      <c r="I1164" s="19" t="n"/>
      <c r="J1164" s="19" t="n"/>
      <c r="K1164" s="19" t="n"/>
      <c r="L1164" s="20" t="n"/>
      <c r="M1164" s="20" t="n"/>
      <c r="N1164" s="20" t="n"/>
      <c r="O1164" s="20" t="n"/>
      <c r="P1164" s="19" t="n"/>
      <c r="Q1164" s="19" t="n"/>
      <c r="R1164" s="20" t="n"/>
      <c r="S1164" s="20" t="n"/>
      <c r="T1164" s="19" t="n"/>
      <c r="U1164" s="19" t="n"/>
      <c r="V1164" s="19" t="n"/>
      <c r="W1164" s="19" t="n"/>
      <c r="X1164" s="19" t="n"/>
      <c r="Y1164" s="19" t="n"/>
      <c r="Z1164" s="21">
        <f>IF(AND($A1164="",$B1164=""),"",IF(OR($E1164="",$H1164="",$H1164="Proposed",$H1164="Not Reported"),0,IF(AND($P1164="Y",$Q1164&lt;&gt;"Y"),0,IF(AND($K1164="Point",N($L1164)&lt;=0),0,IF(AND(N($L1164)&lt;=0,N($N1164)&lt;=0,N($R1164)+N($S1164)&lt;=0),0,1)))))</f>
        <v/>
      </c>
      <c r="AA1164" s="21">
        <f>IF(AND($A1164="",$B1164=""),"",IF($E1164="","Site type missing",IF($H1164="","STATUS missing",IF($H1164="Proposed","STATUS = Proposed",IF($H1164="Not Reported","STATUS = Not Reported",IF(AND($P1164="Y",$Q1164&lt;&gt;"Y"),"UNESCO-MAB Biosphere Reserve",IF(AND($K1164="Point",N($L1164)&lt;=0),"Point without REP_AREA",IF(AND(N($L1164)&lt;=0,N($N1164)&lt;=0,N($R1164)+N($S1164)&lt;=0),"No area information",""))))))))</f>
        <v/>
      </c>
      <c r="AB1164" s="22">
        <f>IF(AND($A1164="",$B1164=""),"",IF($K1164="Point",N($L1164),IF(N($N1164)&gt;0,N($N1164),N($L1164))))</f>
        <v/>
      </c>
      <c r="AC1164" s="22">
        <f>IF(AND($A1164="",$B1164=""),"",MIN(AB1164,IF(N($J1164)=0,0,IF(N($J1164)=2,AB1164,IF(AND($K1164&lt;&gt;"Point",N($O1164)&gt;0),N($O1164),N($M1164))))))</f>
        <v/>
      </c>
      <c r="AD1164" s="22">
        <f>IF(AND($A1164="",$B1164=""),"",MAX(0,AB1164-AC1164))</f>
        <v/>
      </c>
      <c r="AE1164" s="21">
        <f>IF(AND($A1164="",$B1164=""),"",IF(OR($R1164&lt;&gt;"",$S1164&lt;&gt;""),1,0))</f>
        <v/>
      </c>
      <c r="AF1164" s="22">
        <f>IF(AND($A1164="",$B1164=""),"",IF(Z1164=1,IF(AE1164=1,N($R1164),AD1164),0))</f>
        <v/>
      </c>
      <c r="AG1164" s="22">
        <f>IF(AND($A1164="",$B1164=""),"",IF(Z1164=1,IF(AE1164=1,N($S1164),AC1164),0))</f>
        <v/>
      </c>
      <c r="AH1164" s="21">
        <f>IF(AND($A1164="",$B1164=""),"",IF(AND(ISNUMBER($I1164),N($I1164)&gt;0),$I1164,0))</f>
        <v/>
      </c>
      <c r="AI1164" s="23">
        <f>IF(AND(NOT(AND($A1164="",$B1164="")),$K1164="Point",N($L1164)&gt;0),SQRT(N($L1164)/PI()),"")</f>
        <v/>
      </c>
      <c r="AJ1164" s="21">
        <f>IF(AND($A1164="",$B1164=""),"",IFERROR(VLOOKUP($G1164,Lists!$D$4:$E$15,2,FALSE),"Not reported"))</f>
        <v/>
      </c>
      <c r="AK1164" s="21">
        <f>IF(AND($A1164="",$B1164=""),"",IF($X1164&lt;&gt;"",$X1164,IF($T1164&lt;&gt;"Y","Not assessed",IF(AND(ISNUMBER($V1164),Setup!$B$6-$V1164&gt;Setup!$B$26),"Assessment outdated",IF(NOT(ISNUMBER($W1164)),"Assessed – no score",IF($W1164&gt;=Setup!$B$24,"High",IF($W1164&gt;=Setup!$B$25,"Moderate","Low")))))))</f>
        <v/>
      </c>
      <c r="AL1164" s="21">
        <f>IF(AND($A1164="",$B1164=""),"",IF(Z1164=0,"",IF(AND(AE1164=1,N($R1164)&gt;AD1164*1.01+0.001),"Net terrestrial &gt; gross; ","")&amp;IF(AND(AE1164=1,N($S1164)&gt;AC1164*1.01+0.001),"Net marine &gt; gross; ","")&amp;IF(AE1164=0,"No net area – gross used, overlaps may be double-counted; ","")&amp;IF(AH1164=0,"STATUS_YR missing – imputed in time series; ","")&amp;IF(AND(ISNUMBER($I1164),N($I1164)&gt;Setup!$B$6),"STATUS_YR after reporting year; ","")&amp;IF(OR($G1164="",$G1164="Not Reported"),"GOV_TYPE not reported; ","")&amp;IF(AND(N($J1164)=1,$K1164="Point",N($M1164)&lt;=0),"Coastal point without REP_M_AREA – land/sea split unknown; ","")&amp;IF(AND(N($J1164)=0,N($S1164)&gt;0),"MARINE=0 but net marine &gt;0; ","")&amp;IF(AND(N($J1164)=2,N($R1164)&gt;0),"MARINE=2 but net terrestrial &gt;0; ","")&amp;IF($K1164="Point","Buffered point – coverage approximate; ","")))</f>
        <v/>
      </c>
    </row>
    <row r="1165">
      <c r="A1165" s="19" t="n"/>
      <c r="B1165" s="19" t="n"/>
      <c r="C1165" s="19" t="n"/>
      <c r="D1165" s="19" t="n"/>
      <c r="E1165" s="19" t="n"/>
      <c r="F1165" s="19" t="n"/>
      <c r="G1165" s="19" t="n"/>
      <c r="H1165" s="19" t="n"/>
      <c r="I1165" s="19" t="n"/>
      <c r="J1165" s="19" t="n"/>
      <c r="K1165" s="19" t="n"/>
      <c r="L1165" s="20" t="n"/>
      <c r="M1165" s="20" t="n"/>
      <c r="N1165" s="20" t="n"/>
      <c r="O1165" s="20" t="n"/>
      <c r="P1165" s="19" t="n"/>
      <c r="Q1165" s="19" t="n"/>
      <c r="R1165" s="20" t="n"/>
      <c r="S1165" s="20" t="n"/>
      <c r="T1165" s="19" t="n"/>
      <c r="U1165" s="19" t="n"/>
      <c r="V1165" s="19" t="n"/>
      <c r="W1165" s="19" t="n"/>
      <c r="X1165" s="19" t="n"/>
      <c r="Y1165" s="19" t="n"/>
      <c r="Z1165" s="21">
        <f>IF(AND($A1165="",$B1165=""),"",IF(OR($E1165="",$H1165="",$H1165="Proposed",$H1165="Not Reported"),0,IF(AND($P1165="Y",$Q1165&lt;&gt;"Y"),0,IF(AND($K1165="Point",N($L1165)&lt;=0),0,IF(AND(N($L1165)&lt;=0,N($N1165)&lt;=0,N($R1165)+N($S1165)&lt;=0),0,1)))))</f>
        <v/>
      </c>
      <c r="AA1165" s="21">
        <f>IF(AND($A1165="",$B1165=""),"",IF($E1165="","Site type missing",IF($H1165="","STATUS missing",IF($H1165="Proposed","STATUS = Proposed",IF($H1165="Not Reported","STATUS = Not Reported",IF(AND($P1165="Y",$Q1165&lt;&gt;"Y"),"UNESCO-MAB Biosphere Reserve",IF(AND($K1165="Point",N($L1165)&lt;=0),"Point without REP_AREA",IF(AND(N($L1165)&lt;=0,N($N1165)&lt;=0,N($R1165)+N($S1165)&lt;=0),"No area information",""))))))))</f>
        <v/>
      </c>
      <c r="AB1165" s="22">
        <f>IF(AND($A1165="",$B1165=""),"",IF($K1165="Point",N($L1165),IF(N($N1165)&gt;0,N($N1165),N($L1165))))</f>
        <v/>
      </c>
      <c r="AC1165" s="22">
        <f>IF(AND($A1165="",$B1165=""),"",MIN(AB1165,IF(N($J1165)=0,0,IF(N($J1165)=2,AB1165,IF(AND($K1165&lt;&gt;"Point",N($O1165)&gt;0),N($O1165),N($M1165))))))</f>
        <v/>
      </c>
      <c r="AD1165" s="22">
        <f>IF(AND($A1165="",$B1165=""),"",MAX(0,AB1165-AC1165))</f>
        <v/>
      </c>
      <c r="AE1165" s="21">
        <f>IF(AND($A1165="",$B1165=""),"",IF(OR($R1165&lt;&gt;"",$S1165&lt;&gt;""),1,0))</f>
        <v/>
      </c>
      <c r="AF1165" s="22">
        <f>IF(AND($A1165="",$B1165=""),"",IF(Z1165=1,IF(AE1165=1,N($R1165),AD1165),0))</f>
        <v/>
      </c>
      <c r="AG1165" s="22">
        <f>IF(AND($A1165="",$B1165=""),"",IF(Z1165=1,IF(AE1165=1,N($S1165),AC1165),0))</f>
        <v/>
      </c>
      <c r="AH1165" s="21">
        <f>IF(AND($A1165="",$B1165=""),"",IF(AND(ISNUMBER($I1165),N($I1165)&gt;0),$I1165,0))</f>
        <v/>
      </c>
      <c r="AI1165" s="23">
        <f>IF(AND(NOT(AND($A1165="",$B1165="")),$K1165="Point",N($L1165)&gt;0),SQRT(N($L1165)/PI()),"")</f>
        <v/>
      </c>
      <c r="AJ1165" s="21">
        <f>IF(AND($A1165="",$B1165=""),"",IFERROR(VLOOKUP($G1165,Lists!$D$4:$E$15,2,FALSE),"Not reported"))</f>
        <v/>
      </c>
      <c r="AK1165" s="21">
        <f>IF(AND($A1165="",$B1165=""),"",IF($X1165&lt;&gt;"",$X1165,IF($T1165&lt;&gt;"Y","Not assessed",IF(AND(ISNUMBER($V1165),Setup!$B$6-$V1165&gt;Setup!$B$26),"Assessment outdated",IF(NOT(ISNUMBER($W1165)),"Assessed – no score",IF($W1165&gt;=Setup!$B$24,"High",IF($W1165&gt;=Setup!$B$25,"Moderate","Low")))))))</f>
        <v/>
      </c>
      <c r="AL1165" s="21">
        <f>IF(AND($A1165="",$B1165=""),"",IF(Z1165=0,"",IF(AND(AE1165=1,N($R1165)&gt;AD1165*1.01+0.001),"Net terrestrial &gt; gross; ","")&amp;IF(AND(AE1165=1,N($S1165)&gt;AC1165*1.01+0.001),"Net marine &gt; gross; ","")&amp;IF(AE1165=0,"No net area – gross used, overlaps may be double-counted; ","")&amp;IF(AH1165=0,"STATUS_YR missing – imputed in time series; ","")&amp;IF(AND(ISNUMBER($I1165),N($I1165)&gt;Setup!$B$6),"STATUS_YR after reporting year; ","")&amp;IF(OR($G1165="",$G1165="Not Reported"),"GOV_TYPE not reported; ","")&amp;IF(AND(N($J1165)=1,$K1165="Point",N($M1165)&lt;=0),"Coastal point without REP_M_AREA – land/sea split unknown; ","")&amp;IF(AND(N($J1165)=0,N($S1165)&gt;0),"MARINE=0 but net marine &gt;0; ","")&amp;IF(AND(N($J1165)=2,N($R1165)&gt;0),"MARINE=2 but net terrestrial &gt;0; ","")&amp;IF($K1165="Point","Buffered point – coverage approximate; ","")))</f>
        <v/>
      </c>
    </row>
    <row r="1166">
      <c r="A1166" s="19" t="n"/>
      <c r="B1166" s="19" t="n"/>
      <c r="C1166" s="19" t="n"/>
      <c r="D1166" s="19" t="n"/>
      <c r="E1166" s="19" t="n"/>
      <c r="F1166" s="19" t="n"/>
      <c r="G1166" s="19" t="n"/>
      <c r="H1166" s="19" t="n"/>
      <c r="I1166" s="19" t="n"/>
      <c r="J1166" s="19" t="n"/>
      <c r="K1166" s="19" t="n"/>
      <c r="L1166" s="20" t="n"/>
      <c r="M1166" s="20" t="n"/>
      <c r="N1166" s="20" t="n"/>
      <c r="O1166" s="20" t="n"/>
      <c r="P1166" s="19" t="n"/>
      <c r="Q1166" s="19" t="n"/>
      <c r="R1166" s="20" t="n"/>
      <c r="S1166" s="20" t="n"/>
      <c r="T1166" s="19" t="n"/>
      <c r="U1166" s="19" t="n"/>
      <c r="V1166" s="19" t="n"/>
      <c r="W1166" s="19" t="n"/>
      <c r="X1166" s="19" t="n"/>
      <c r="Y1166" s="19" t="n"/>
      <c r="Z1166" s="21">
        <f>IF(AND($A1166="",$B1166=""),"",IF(OR($E1166="",$H1166="",$H1166="Proposed",$H1166="Not Reported"),0,IF(AND($P1166="Y",$Q1166&lt;&gt;"Y"),0,IF(AND($K1166="Point",N($L1166)&lt;=0),0,IF(AND(N($L1166)&lt;=0,N($N1166)&lt;=0,N($R1166)+N($S1166)&lt;=0),0,1)))))</f>
        <v/>
      </c>
      <c r="AA1166" s="21">
        <f>IF(AND($A1166="",$B1166=""),"",IF($E1166="","Site type missing",IF($H1166="","STATUS missing",IF($H1166="Proposed","STATUS = Proposed",IF($H1166="Not Reported","STATUS = Not Reported",IF(AND($P1166="Y",$Q1166&lt;&gt;"Y"),"UNESCO-MAB Biosphere Reserve",IF(AND($K1166="Point",N($L1166)&lt;=0),"Point without REP_AREA",IF(AND(N($L1166)&lt;=0,N($N1166)&lt;=0,N($R1166)+N($S1166)&lt;=0),"No area information",""))))))))</f>
        <v/>
      </c>
      <c r="AB1166" s="22">
        <f>IF(AND($A1166="",$B1166=""),"",IF($K1166="Point",N($L1166),IF(N($N1166)&gt;0,N($N1166),N($L1166))))</f>
        <v/>
      </c>
      <c r="AC1166" s="22">
        <f>IF(AND($A1166="",$B1166=""),"",MIN(AB1166,IF(N($J1166)=0,0,IF(N($J1166)=2,AB1166,IF(AND($K1166&lt;&gt;"Point",N($O1166)&gt;0),N($O1166),N($M1166))))))</f>
        <v/>
      </c>
      <c r="AD1166" s="22">
        <f>IF(AND($A1166="",$B1166=""),"",MAX(0,AB1166-AC1166))</f>
        <v/>
      </c>
      <c r="AE1166" s="21">
        <f>IF(AND($A1166="",$B1166=""),"",IF(OR($R1166&lt;&gt;"",$S1166&lt;&gt;""),1,0))</f>
        <v/>
      </c>
      <c r="AF1166" s="22">
        <f>IF(AND($A1166="",$B1166=""),"",IF(Z1166=1,IF(AE1166=1,N($R1166),AD1166),0))</f>
        <v/>
      </c>
      <c r="AG1166" s="22">
        <f>IF(AND($A1166="",$B1166=""),"",IF(Z1166=1,IF(AE1166=1,N($S1166),AC1166),0))</f>
        <v/>
      </c>
      <c r="AH1166" s="21">
        <f>IF(AND($A1166="",$B1166=""),"",IF(AND(ISNUMBER($I1166),N($I1166)&gt;0),$I1166,0))</f>
        <v/>
      </c>
      <c r="AI1166" s="23">
        <f>IF(AND(NOT(AND($A1166="",$B1166="")),$K1166="Point",N($L1166)&gt;0),SQRT(N($L1166)/PI()),"")</f>
        <v/>
      </c>
      <c r="AJ1166" s="21">
        <f>IF(AND($A1166="",$B1166=""),"",IFERROR(VLOOKUP($G1166,Lists!$D$4:$E$15,2,FALSE),"Not reported"))</f>
        <v/>
      </c>
      <c r="AK1166" s="21">
        <f>IF(AND($A1166="",$B1166=""),"",IF($X1166&lt;&gt;"",$X1166,IF($T1166&lt;&gt;"Y","Not assessed",IF(AND(ISNUMBER($V1166),Setup!$B$6-$V1166&gt;Setup!$B$26),"Assessment outdated",IF(NOT(ISNUMBER($W1166)),"Assessed – no score",IF($W1166&gt;=Setup!$B$24,"High",IF($W1166&gt;=Setup!$B$25,"Moderate","Low")))))))</f>
        <v/>
      </c>
      <c r="AL1166" s="21">
        <f>IF(AND($A1166="",$B1166=""),"",IF(Z1166=0,"",IF(AND(AE1166=1,N($R1166)&gt;AD1166*1.01+0.001),"Net terrestrial &gt; gross; ","")&amp;IF(AND(AE1166=1,N($S1166)&gt;AC1166*1.01+0.001),"Net marine &gt; gross; ","")&amp;IF(AE1166=0,"No net area – gross used, overlaps may be double-counted; ","")&amp;IF(AH1166=0,"STATUS_YR missing – imputed in time series; ","")&amp;IF(AND(ISNUMBER($I1166),N($I1166)&gt;Setup!$B$6),"STATUS_YR after reporting year; ","")&amp;IF(OR($G1166="",$G1166="Not Reported"),"GOV_TYPE not reported; ","")&amp;IF(AND(N($J1166)=1,$K1166="Point",N($M1166)&lt;=0),"Coastal point without REP_M_AREA – land/sea split unknown; ","")&amp;IF(AND(N($J1166)=0,N($S1166)&gt;0),"MARINE=0 but net marine &gt;0; ","")&amp;IF(AND(N($J1166)=2,N($R1166)&gt;0),"MARINE=2 but net terrestrial &gt;0; ","")&amp;IF($K1166="Point","Buffered point – coverage approximate; ","")))</f>
        <v/>
      </c>
    </row>
    <row r="1167">
      <c r="A1167" s="19" t="n"/>
      <c r="B1167" s="19" t="n"/>
      <c r="C1167" s="19" t="n"/>
      <c r="D1167" s="19" t="n"/>
      <c r="E1167" s="19" t="n"/>
      <c r="F1167" s="19" t="n"/>
      <c r="G1167" s="19" t="n"/>
      <c r="H1167" s="19" t="n"/>
      <c r="I1167" s="19" t="n"/>
      <c r="J1167" s="19" t="n"/>
      <c r="K1167" s="19" t="n"/>
      <c r="L1167" s="20" t="n"/>
      <c r="M1167" s="20" t="n"/>
      <c r="N1167" s="20" t="n"/>
      <c r="O1167" s="20" t="n"/>
      <c r="P1167" s="19" t="n"/>
      <c r="Q1167" s="19" t="n"/>
      <c r="R1167" s="20" t="n"/>
      <c r="S1167" s="20" t="n"/>
      <c r="T1167" s="19" t="n"/>
      <c r="U1167" s="19" t="n"/>
      <c r="V1167" s="19" t="n"/>
      <c r="W1167" s="19" t="n"/>
      <c r="X1167" s="19" t="n"/>
      <c r="Y1167" s="19" t="n"/>
      <c r="Z1167" s="21">
        <f>IF(AND($A1167="",$B1167=""),"",IF(OR($E1167="",$H1167="",$H1167="Proposed",$H1167="Not Reported"),0,IF(AND($P1167="Y",$Q1167&lt;&gt;"Y"),0,IF(AND($K1167="Point",N($L1167)&lt;=0),0,IF(AND(N($L1167)&lt;=0,N($N1167)&lt;=0,N($R1167)+N($S1167)&lt;=0),0,1)))))</f>
        <v/>
      </c>
      <c r="AA1167" s="21">
        <f>IF(AND($A1167="",$B1167=""),"",IF($E1167="","Site type missing",IF($H1167="","STATUS missing",IF($H1167="Proposed","STATUS = Proposed",IF($H1167="Not Reported","STATUS = Not Reported",IF(AND($P1167="Y",$Q1167&lt;&gt;"Y"),"UNESCO-MAB Biosphere Reserve",IF(AND($K1167="Point",N($L1167)&lt;=0),"Point without REP_AREA",IF(AND(N($L1167)&lt;=0,N($N1167)&lt;=0,N($R1167)+N($S1167)&lt;=0),"No area information",""))))))))</f>
        <v/>
      </c>
      <c r="AB1167" s="22">
        <f>IF(AND($A1167="",$B1167=""),"",IF($K1167="Point",N($L1167),IF(N($N1167)&gt;0,N($N1167),N($L1167))))</f>
        <v/>
      </c>
      <c r="AC1167" s="22">
        <f>IF(AND($A1167="",$B1167=""),"",MIN(AB1167,IF(N($J1167)=0,0,IF(N($J1167)=2,AB1167,IF(AND($K1167&lt;&gt;"Point",N($O1167)&gt;0),N($O1167),N($M1167))))))</f>
        <v/>
      </c>
      <c r="AD1167" s="22">
        <f>IF(AND($A1167="",$B1167=""),"",MAX(0,AB1167-AC1167))</f>
        <v/>
      </c>
      <c r="AE1167" s="21">
        <f>IF(AND($A1167="",$B1167=""),"",IF(OR($R1167&lt;&gt;"",$S1167&lt;&gt;""),1,0))</f>
        <v/>
      </c>
      <c r="AF1167" s="22">
        <f>IF(AND($A1167="",$B1167=""),"",IF(Z1167=1,IF(AE1167=1,N($R1167),AD1167),0))</f>
        <v/>
      </c>
      <c r="AG1167" s="22">
        <f>IF(AND($A1167="",$B1167=""),"",IF(Z1167=1,IF(AE1167=1,N($S1167),AC1167),0))</f>
        <v/>
      </c>
      <c r="AH1167" s="21">
        <f>IF(AND($A1167="",$B1167=""),"",IF(AND(ISNUMBER($I1167),N($I1167)&gt;0),$I1167,0))</f>
        <v/>
      </c>
      <c r="AI1167" s="23">
        <f>IF(AND(NOT(AND($A1167="",$B1167="")),$K1167="Point",N($L1167)&gt;0),SQRT(N($L1167)/PI()),"")</f>
        <v/>
      </c>
      <c r="AJ1167" s="21">
        <f>IF(AND($A1167="",$B1167=""),"",IFERROR(VLOOKUP($G1167,Lists!$D$4:$E$15,2,FALSE),"Not reported"))</f>
        <v/>
      </c>
      <c r="AK1167" s="21">
        <f>IF(AND($A1167="",$B1167=""),"",IF($X1167&lt;&gt;"",$X1167,IF($T1167&lt;&gt;"Y","Not assessed",IF(AND(ISNUMBER($V1167),Setup!$B$6-$V1167&gt;Setup!$B$26),"Assessment outdated",IF(NOT(ISNUMBER($W1167)),"Assessed – no score",IF($W1167&gt;=Setup!$B$24,"High",IF($W1167&gt;=Setup!$B$25,"Moderate","Low")))))))</f>
        <v/>
      </c>
      <c r="AL1167" s="21">
        <f>IF(AND($A1167="",$B1167=""),"",IF(Z1167=0,"",IF(AND(AE1167=1,N($R1167)&gt;AD1167*1.01+0.001),"Net terrestrial &gt; gross; ","")&amp;IF(AND(AE1167=1,N($S1167)&gt;AC1167*1.01+0.001),"Net marine &gt; gross; ","")&amp;IF(AE1167=0,"No net area – gross used, overlaps may be double-counted; ","")&amp;IF(AH1167=0,"STATUS_YR missing – imputed in time series; ","")&amp;IF(AND(ISNUMBER($I1167),N($I1167)&gt;Setup!$B$6),"STATUS_YR after reporting year; ","")&amp;IF(OR($G1167="",$G1167="Not Reported"),"GOV_TYPE not reported; ","")&amp;IF(AND(N($J1167)=1,$K1167="Point",N($M1167)&lt;=0),"Coastal point without REP_M_AREA – land/sea split unknown; ","")&amp;IF(AND(N($J1167)=0,N($S1167)&gt;0),"MARINE=0 but net marine &gt;0; ","")&amp;IF(AND(N($J1167)=2,N($R1167)&gt;0),"MARINE=2 but net terrestrial &gt;0; ","")&amp;IF($K1167="Point","Buffered point – coverage approximate; ","")))</f>
        <v/>
      </c>
    </row>
    <row r="1168">
      <c r="A1168" s="19" t="n"/>
      <c r="B1168" s="19" t="n"/>
      <c r="C1168" s="19" t="n"/>
      <c r="D1168" s="19" t="n"/>
      <c r="E1168" s="19" t="n"/>
      <c r="F1168" s="19" t="n"/>
      <c r="G1168" s="19" t="n"/>
      <c r="H1168" s="19" t="n"/>
      <c r="I1168" s="19" t="n"/>
      <c r="J1168" s="19" t="n"/>
      <c r="K1168" s="19" t="n"/>
      <c r="L1168" s="20" t="n"/>
      <c r="M1168" s="20" t="n"/>
      <c r="N1168" s="20" t="n"/>
      <c r="O1168" s="20" t="n"/>
      <c r="P1168" s="19" t="n"/>
      <c r="Q1168" s="19" t="n"/>
      <c r="R1168" s="20" t="n"/>
      <c r="S1168" s="20" t="n"/>
      <c r="T1168" s="19" t="n"/>
      <c r="U1168" s="19" t="n"/>
      <c r="V1168" s="19" t="n"/>
      <c r="W1168" s="19" t="n"/>
      <c r="X1168" s="19" t="n"/>
      <c r="Y1168" s="19" t="n"/>
      <c r="Z1168" s="21">
        <f>IF(AND($A1168="",$B1168=""),"",IF(OR($E1168="",$H1168="",$H1168="Proposed",$H1168="Not Reported"),0,IF(AND($P1168="Y",$Q1168&lt;&gt;"Y"),0,IF(AND($K1168="Point",N($L1168)&lt;=0),0,IF(AND(N($L1168)&lt;=0,N($N1168)&lt;=0,N($R1168)+N($S1168)&lt;=0),0,1)))))</f>
        <v/>
      </c>
      <c r="AA1168" s="21">
        <f>IF(AND($A1168="",$B1168=""),"",IF($E1168="","Site type missing",IF($H1168="","STATUS missing",IF($H1168="Proposed","STATUS = Proposed",IF($H1168="Not Reported","STATUS = Not Reported",IF(AND($P1168="Y",$Q1168&lt;&gt;"Y"),"UNESCO-MAB Biosphere Reserve",IF(AND($K1168="Point",N($L1168)&lt;=0),"Point without REP_AREA",IF(AND(N($L1168)&lt;=0,N($N1168)&lt;=0,N($R1168)+N($S1168)&lt;=0),"No area information",""))))))))</f>
        <v/>
      </c>
      <c r="AB1168" s="22">
        <f>IF(AND($A1168="",$B1168=""),"",IF($K1168="Point",N($L1168),IF(N($N1168)&gt;0,N($N1168),N($L1168))))</f>
        <v/>
      </c>
      <c r="AC1168" s="22">
        <f>IF(AND($A1168="",$B1168=""),"",MIN(AB1168,IF(N($J1168)=0,0,IF(N($J1168)=2,AB1168,IF(AND($K1168&lt;&gt;"Point",N($O1168)&gt;0),N($O1168),N($M1168))))))</f>
        <v/>
      </c>
      <c r="AD1168" s="22">
        <f>IF(AND($A1168="",$B1168=""),"",MAX(0,AB1168-AC1168))</f>
        <v/>
      </c>
      <c r="AE1168" s="21">
        <f>IF(AND($A1168="",$B1168=""),"",IF(OR($R1168&lt;&gt;"",$S1168&lt;&gt;""),1,0))</f>
        <v/>
      </c>
      <c r="AF1168" s="22">
        <f>IF(AND($A1168="",$B1168=""),"",IF(Z1168=1,IF(AE1168=1,N($R1168),AD1168),0))</f>
        <v/>
      </c>
      <c r="AG1168" s="22">
        <f>IF(AND($A1168="",$B1168=""),"",IF(Z1168=1,IF(AE1168=1,N($S1168),AC1168),0))</f>
        <v/>
      </c>
      <c r="AH1168" s="21">
        <f>IF(AND($A1168="",$B1168=""),"",IF(AND(ISNUMBER($I1168),N($I1168)&gt;0),$I1168,0))</f>
        <v/>
      </c>
      <c r="AI1168" s="23">
        <f>IF(AND(NOT(AND($A1168="",$B1168="")),$K1168="Point",N($L1168)&gt;0),SQRT(N($L1168)/PI()),"")</f>
        <v/>
      </c>
      <c r="AJ1168" s="21">
        <f>IF(AND($A1168="",$B1168=""),"",IFERROR(VLOOKUP($G1168,Lists!$D$4:$E$15,2,FALSE),"Not reported"))</f>
        <v/>
      </c>
      <c r="AK1168" s="21">
        <f>IF(AND($A1168="",$B1168=""),"",IF($X1168&lt;&gt;"",$X1168,IF($T1168&lt;&gt;"Y","Not assessed",IF(AND(ISNUMBER($V1168),Setup!$B$6-$V1168&gt;Setup!$B$26),"Assessment outdated",IF(NOT(ISNUMBER($W1168)),"Assessed – no score",IF($W1168&gt;=Setup!$B$24,"High",IF($W1168&gt;=Setup!$B$25,"Moderate","Low")))))))</f>
        <v/>
      </c>
      <c r="AL1168" s="21">
        <f>IF(AND($A1168="",$B1168=""),"",IF(Z1168=0,"",IF(AND(AE1168=1,N($R1168)&gt;AD1168*1.01+0.001),"Net terrestrial &gt; gross; ","")&amp;IF(AND(AE1168=1,N($S1168)&gt;AC1168*1.01+0.001),"Net marine &gt; gross; ","")&amp;IF(AE1168=0,"No net area – gross used, overlaps may be double-counted; ","")&amp;IF(AH1168=0,"STATUS_YR missing – imputed in time series; ","")&amp;IF(AND(ISNUMBER($I1168),N($I1168)&gt;Setup!$B$6),"STATUS_YR after reporting year; ","")&amp;IF(OR($G1168="",$G1168="Not Reported"),"GOV_TYPE not reported; ","")&amp;IF(AND(N($J1168)=1,$K1168="Point",N($M1168)&lt;=0),"Coastal point without REP_M_AREA – land/sea split unknown; ","")&amp;IF(AND(N($J1168)=0,N($S1168)&gt;0),"MARINE=0 but net marine &gt;0; ","")&amp;IF(AND(N($J1168)=2,N($R1168)&gt;0),"MARINE=2 but net terrestrial &gt;0; ","")&amp;IF($K1168="Point","Buffered point – coverage approximate; ","")))</f>
        <v/>
      </c>
    </row>
    <row r="1169">
      <c r="A1169" s="19" t="n"/>
      <c r="B1169" s="19" t="n"/>
      <c r="C1169" s="19" t="n"/>
      <c r="D1169" s="19" t="n"/>
      <c r="E1169" s="19" t="n"/>
      <c r="F1169" s="19" t="n"/>
      <c r="G1169" s="19" t="n"/>
      <c r="H1169" s="19" t="n"/>
      <c r="I1169" s="19" t="n"/>
      <c r="J1169" s="19" t="n"/>
      <c r="K1169" s="19" t="n"/>
      <c r="L1169" s="20" t="n"/>
      <c r="M1169" s="20" t="n"/>
      <c r="N1169" s="20" t="n"/>
      <c r="O1169" s="20" t="n"/>
      <c r="P1169" s="19" t="n"/>
      <c r="Q1169" s="19" t="n"/>
      <c r="R1169" s="20" t="n"/>
      <c r="S1169" s="20" t="n"/>
      <c r="T1169" s="19" t="n"/>
      <c r="U1169" s="19" t="n"/>
      <c r="V1169" s="19" t="n"/>
      <c r="W1169" s="19" t="n"/>
      <c r="X1169" s="19" t="n"/>
      <c r="Y1169" s="19" t="n"/>
      <c r="Z1169" s="21">
        <f>IF(AND($A1169="",$B1169=""),"",IF(OR($E1169="",$H1169="",$H1169="Proposed",$H1169="Not Reported"),0,IF(AND($P1169="Y",$Q1169&lt;&gt;"Y"),0,IF(AND($K1169="Point",N($L1169)&lt;=0),0,IF(AND(N($L1169)&lt;=0,N($N1169)&lt;=0,N($R1169)+N($S1169)&lt;=0),0,1)))))</f>
        <v/>
      </c>
      <c r="AA1169" s="21">
        <f>IF(AND($A1169="",$B1169=""),"",IF($E1169="","Site type missing",IF($H1169="","STATUS missing",IF($H1169="Proposed","STATUS = Proposed",IF($H1169="Not Reported","STATUS = Not Reported",IF(AND($P1169="Y",$Q1169&lt;&gt;"Y"),"UNESCO-MAB Biosphere Reserve",IF(AND($K1169="Point",N($L1169)&lt;=0),"Point without REP_AREA",IF(AND(N($L1169)&lt;=0,N($N1169)&lt;=0,N($R1169)+N($S1169)&lt;=0),"No area information",""))))))))</f>
        <v/>
      </c>
      <c r="AB1169" s="22">
        <f>IF(AND($A1169="",$B1169=""),"",IF($K1169="Point",N($L1169),IF(N($N1169)&gt;0,N($N1169),N($L1169))))</f>
        <v/>
      </c>
      <c r="AC1169" s="22">
        <f>IF(AND($A1169="",$B1169=""),"",MIN(AB1169,IF(N($J1169)=0,0,IF(N($J1169)=2,AB1169,IF(AND($K1169&lt;&gt;"Point",N($O1169)&gt;0),N($O1169),N($M1169))))))</f>
        <v/>
      </c>
      <c r="AD1169" s="22">
        <f>IF(AND($A1169="",$B1169=""),"",MAX(0,AB1169-AC1169))</f>
        <v/>
      </c>
      <c r="AE1169" s="21">
        <f>IF(AND($A1169="",$B1169=""),"",IF(OR($R1169&lt;&gt;"",$S1169&lt;&gt;""),1,0))</f>
        <v/>
      </c>
      <c r="AF1169" s="22">
        <f>IF(AND($A1169="",$B1169=""),"",IF(Z1169=1,IF(AE1169=1,N($R1169),AD1169),0))</f>
        <v/>
      </c>
      <c r="AG1169" s="22">
        <f>IF(AND($A1169="",$B1169=""),"",IF(Z1169=1,IF(AE1169=1,N($S1169),AC1169),0))</f>
        <v/>
      </c>
      <c r="AH1169" s="21">
        <f>IF(AND($A1169="",$B1169=""),"",IF(AND(ISNUMBER($I1169),N($I1169)&gt;0),$I1169,0))</f>
        <v/>
      </c>
      <c r="AI1169" s="23">
        <f>IF(AND(NOT(AND($A1169="",$B1169="")),$K1169="Point",N($L1169)&gt;0),SQRT(N($L1169)/PI()),"")</f>
        <v/>
      </c>
      <c r="AJ1169" s="21">
        <f>IF(AND($A1169="",$B1169=""),"",IFERROR(VLOOKUP($G1169,Lists!$D$4:$E$15,2,FALSE),"Not reported"))</f>
        <v/>
      </c>
      <c r="AK1169" s="21">
        <f>IF(AND($A1169="",$B1169=""),"",IF($X1169&lt;&gt;"",$X1169,IF($T1169&lt;&gt;"Y","Not assessed",IF(AND(ISNUMBER($V1169),Setup!$B$6-$V1169&gt;Setup!$B$26),"Assessment outdated",IF(NOT(ISNUMBER($W1169)),"Assessed – no score",IF($W1169&gt;=Setup!$B$24,"High",IF($W1169&gt;=Setup!$B$25,"Moderate","Low")))))))</f>
        <v/>
      </c>
      <c r="AL1169" s="21">
        <f>IF(AND($A1169="",$B1169=""),"",IF(Z1169=0,"",IF(AND(AE1169=1,N($R1169)&gt;AD1169*1.01+0.001),"Net terrestrial &gt; gross; ","")&amp;IF(AND(AE1169=1,N($S1169)&gt;AC1169*1.01+0.001),"Net marine &gt; gross; ","")&amp;IF(AE1169=0,"No net area – gross used, overlaps may be double-counted; ","")&amp;IF(AH1169=0,"STATUS_YR missing – imputed in time series; ","")&amp;IF(AND(ISNUMBER($I1169),N($I1169)&gt;Setup!$B$6),"STATUS_YR after reporting year; ","")&amp;IF(OR($G1169="",$G1169="Not Reported"),"GOV_TYPE not reported; ","")&amp;IF(AND(N($J1169)=1,$K1169="Point",N($M1169)&lt;=0),"Coastal point without REP_M_AREA – land/sea split unknown; ","")&amp;IF(AND(N($J1169)=0,N($S1169)&gt;0),"MARINE=0 but net marine &gt;0; ","")&amp;IF(AND(N($J1169)=2,N($R1169)&gt;0),"MARINE=2 but net terrestrial &gt;0; ","")&amp;IF($K1169="Point","Buffered point – coverage approximate; ","")))</f>
        <v/>
      </c>
    </row>
    <row r="1170">
      <c r="A1170" s="19" t="n"/>
      <c r="B1170" s="19" t="n"/>
      <c r="C1170" s="19" t="n"/>
      <c r="D1170" s="19" t="n"/>
      <c r="E1170" s="19" t="n"/>
      <c r="F1170" s="19" t="n"/>
      <c r="G1170" s="19" t="n"/>
      <c r="H1170" s="19" t="n"/>
      <c r="I1170" s="19" t="n"/>
      <c r="J1170" s="19" t="n"/>
      <c r="K1170" s="19" t="n"/>
      <c r="L1170" s="20" t="n"/>
      <c r="M1170" s="20" t="n"/>
      <c r="N1170" s="20" t="n"/>
      <c r="O1170" s="20" t="n"/>
      <c r="P1170" s="19" t="n"/>
      <c r="Q1170" s="19" t="n"/>
      <c r="R1170" s="20" t="n"/>
      <c r="S1170" s="20" t="n"/>
      <c r="T1170" s="19" t="n"/>
      <c r="U1170" s="19" t="n"/>
      <c r="V1170" s="19" t="n"/>
      <c r="W1170" s="19" t="n"/>
      <c r="X1170" s="19" t="n"/>
      <c r="Y1170" s="19" t="n"/>
      <c r="Z1170" s="21">
        <f>IF(AND($A1170="",$B1170=""),"",IF(OR($E1170="",$H1170="",$H1170="Proposed",$H1170="Not Reported"),0,IF(AND($P1170="Y",$Q1170&lt;&gt;"Y"),0,IF(AND($K1170="Point",N($L1170)&lt;=0),0,IF(AND(N($L1170)&lt;=0,N($N1170)&lt;=0,N($R1170)+N($S1170)&lt;=0),0,1)))))</f>
        <v/>
      </c>
      <c r="AA1170" s="21">
        <f>IF(AND($A1170="",$B1170=""),"",IF($E1170="","Site type missing",IF($H1170="","STATUS missing",IF($H1170="Proposed","STATUS = Proposed",IF($H1170="Not Reported","STATUS = Not Reported",IF(AND($P1170="Y",$Q1170&lt;&gt;"Y"),"UNESCO-MAB Biosphere Reserve",IF(AND($K1170="Point",N($L1170)&lt;=0),"Point without REP_AREA",IF(AND(N($L1170)&lt;=0,N($N1170)&lt;=0,N($R1170)+N($S1170)&lt;=0),"No area information",""))))))))</f>
        <v/>
      </c>
      <c r="AB1170" s="22">
        <f>IF(AND($A1170="",$B1170=""),"",IF($K1170="Point",N($L1170),IF(N($N1170)&gt;0,N($N1170),N($L1170))))</f>
        <v/>
      </c>
      <c r="AC1170" s="22">
        <f>IF(AND($A1170="",$B1170=""),"",MIN(AB1170,IF(N($J1170)=0,0,IF(N($J1170)=2,AB1170,IF(AND($K1170&lt;&gt;"Point",N($O1170)&gt;0),N($O1170),N($M1170))))))</f>
        <v/>
      </c>
      <c r="AD1170" s="22">
        <f>IF(AND($A1170="",$B1170=""),"",MAX(0,AB1170-AC1170))</f>
        <v/>
      </c>
      <c r="AE1170" s="21">
        <f>IF(AND($A1170="",$B1170=""),"",IF(OR($R1170&lt;&gt;"",$S1170&lt;&gt;""),1,0))</f>
        <v/>
      </c>
      <c r="AF1170" s="22">
        <f>IF(AND($A1170="",$B1170=""),"",IF(Z1170=1,IF(AE1170=1,N($R1170),AD1170),0))</f>
        <v/>
      </c>
      <c r="AG1170" s="22">
        <f>IF(AND($A1170="",$B1170=""),"",IF(Z1170=1,IF(AE1170=1,N($S1170),AC1170),0))</f>
        <v/>
      </c>
      <c r="AH1170" s="21">
        <f>IF(AND($A1170="",$B1170=""),"",IF(AND(ISNUMBER($I1170),N($I1170)&gt;0),$I1170,0))</f>
        <v/>
      </c>
      <c r="AI1170" s="23">
        <f>IF(AND(NOT(AND($A1170="",$B1170="")),$K1170="Point",N($L1170)&gt;0),SQRT(N($L1170)/PI()),"")</f>
        <v/>
      </c>
      <c r="AJ1170" s="21">
        <f>IF(AND($A1170="",$B1170=""),"",IFERROR(VLOOKUP($G1170,Lists!$D$4:$E$15,2,FALSE),"Not reported"))</f>
        <v/>
      </c>
      <c r="AK1170" s="21">
        <f>IF(AND($A1170="",$B1170=""),"",IF($X1170&lt;&gt;"",$X1170,IF($T1170&lt;&gt;"Y","Not assessed",IF(AND(ISNUMBER($V1170),Setup!$B$6-$V1170&gt;Setup!$B$26),"Assessment outdated",IF(NOT(ISNUMBER($W1170)),"Assessed – no score",IF($W1170&gt;=Setup!$B$24,"High",IF($W1170&gt;=Setup!$B$25,"Moderate","Low")))))))</f>
        <v/>
      </c>
      <c r="AL1170" s="21">
        <f>IF(AND($A1170="",$B1170=""),"",IF(Z1170=0,"",IF(AND(AE1170=1,N($R1170)&gt;AD1170*1.01+0.001),"Net terrestrial &gt; gross; ","")&amp;IF(AND(AE1170=1,N($S1170)&gt;AC1170*1.01+0.001),"Net marine &gt; gross; ","")&amp;IF(AE1170=0,"No net area – gross used, overlaps may be double-counted; ","")&amp;IF(AH1170=0,"STATUS_YR missing – imputed in time series; ","")&amp;IF(AND(ISNUMBER($I1170),N($I1170)&gt;Setup!$B$6),"STATUS_YR after reporting year; ","")&amp;IF(OR($G1170="",$G1170="Not Reported"),"GOV_TYPE not reported; ","")&amp;IF(AND(N($J1170)=1,$K1170="Point",N($M1170)&lt;=0),"Coastal point without REP_M_AREA – land/sea split unknown; ","")&amp;IF(AND(N($J1170)=0,N($S1170)&gt;0),"MARINE=0 but net marine &gt;0; ","")&amp;IF(AND(N($J1170)=2,N($R1170)&gt;0),"MARINE=2 but net terrestrial &gt;0; ","")&amp;IF($K1170="Point","Buffered point – coverage approximate; ","")))</f>
        <v/>
      </c>
    </row>
    <row r="1171">
      <c r="A1171" s="19" t="n"/>
      <c r="B1171" s="19" t="n"/>
      <c r="C1171" s="19" t="n"/>
      <c r="D1171" s="19" t="n"/>
      <c r="E1171" s="19" t="n"/>
      <c r="F1171" s="19" t="n"/>
      <c r="G1171" s="19" t="n"/>
      <c r="H1171" s="19" t="n"/>
      <c r="I1171" s="19" t="n"/>
      <c r="J1171" s="19" t="n"/>
      <c r="K1171" s="19" t="n"/>
      <c r="L1171" s="20" t="n"/>
      <c r="M1171" s="20" t="n"/>
      <c r="N1171" s="20" t="n"/>
      <c r="O1171" s="20" t="n"/>
      <c r="P1171" s="19" t="n"/>
      <c r="Q1171" s="19" t="n"/>
      <c r="R1171" s="20" t="n"/>
      <c r="S1171" s="20" t="n"/>
      <c r="T1171" s="19" t="n"/>
      <c r="U1171" s="19" t="n"/>
      <c r="V1171" s="19" t="n"/>
      <c r="W1171" s="19" t="n"/>
      <c r="X1171" s="19" t="n"/>
      <c r="Y1171" s="19" t="n"/>
      <c r="Z1171" s="21">
        <f>IF(AND($A1171="",$B1171=""),"",IF(OR($E1171="",$H1171="",$H1171="Proposed",$H1171="Not Reported"),0,IF(AND($P1171="Y",$Q1171&lt;&gt;"Y"),0,IF(AND($K1171="Point",N($L1171)&lt;=0),0,IF(AND(N($L1171)&lt;=0,N($N1171)&lt;=0,N($R1171)+N($S1171)&lt;=0),0,1)))))</f>
        <v/>
      </c>
      <c r="AA1171" s="21">
        <f>IF(AND($A1171="",$B1171=""),"",IF($E1171="","Site type missing",IF($H1171="","STATUS missing",IF($H1171="Proposed","STATUS = Proposed",IF($H1171="Not Reported","STATUS = Not Reported",IF(AND($P1171="Y",$Q1171&lt;&gt;"Y"),"UNESCO-MAB Biosphere Reserve",IF(AND($K1171="Point",N($L1171)&lt;=0),"Point without REP_AREA",IF(AND(N($L1171)&lt;=0,N($N1171)&lt;=0,N($R1171)+N($S1171)&lt;=0),"No area information",""))))))))</f>
        <v/>
      </c>
      <c r="AB1171" s="22">
        <f>IF(AND($A1171="",$B1171=""),"",IF($K1171="Point",N($L1171),IF(N($N1171)&gt;0,N($N1171),N($L1171))))</f>
        <v/>
      </c>
      <c r="AC1171" s="22">
        <f>IF(AND($A1171="",$B1171=""),"",MIN(AB1171,IF(N($J1171)=0,0,IF(N($J1171)=2,AB1171,IF(AND($K1171&lt;&gt;"Point",N($O1171)&gt;0),N($O1171),N($M1171))))))</f>
        <v/>
      </c>
      <c r="AD1171" s="22">
        <f>IF(AND($A1171="",$B1171=""),"",MAX(0,AB1171-AC1171))</f>
        <v/>
      </c>
      <c r="AE1171" s="21">
        <f>IF(AND($A1171="",$B1171=""),"",IF(OR($R1171&lt;&gt;"",$S1171&lt;&gt;""),1,0))</f>
        <v/>
      </c>
      <c r="AF1171" s="22">
        <f>IF(AND($A1171="",$B1171=""),"",IF(Z1171=1,IF(AE1171=1,N($R1171),AD1171),0))</f>
        <v/>
      </c>
      <c r="AG1171" s="22">
        <f>IF(AND($A1171="",$B1171=""),"",IF(Z1171=1,IF(AE1171=1,N($S1171),AC1171),0))</f>
        <v/>
      </c>
      <c r="AH1171" s="21">
        <f>IF(AND($A1171="",$B1171=""),"",IF(AND(ISNUMBER($I1171),N($I1171)&gt;0),$I1171,0))</f>
        <v/>
      </c>
      <c r="AI1171" s="23">
        <f>IF(AND(NOT(AND($A1171="",$B1171="")),$K1171="Point",N($L1171)&gt;0),SQRT(N($L1171)/PI()),"")</f>
        <v/>
      </c>
      <c r="AJ1171" s="21">
        <f>IF(AND($A1171="",$B1171=""),"",IFERROR(VLOOKUP($G1171,Lists!$D$4:$E$15,2,FALSE),"Not reported"))</f>
        <v/>
      </c>
      <c r="AK1171" s="21">
        <f>IF(AND($A1171="",$B1171=""),"",IF($X1171&lt;&gt;"",$X1171,IF($T1171&lt;&gt;"Y","Not assessed",IF(AND(ISNUMBER($V1171),Setup!$B$6-$V1171&gt;Setup!$B$26),"Assessment outdated",IF(NOT(ISNUMBER($W1171)),"Assessed – no score",IF($W1171&gt;=Setup!$B$24,"High",IF($W1171&gt;=Setup!$B$25,"Moderate","Low")))))))</f>
        <v/>
      </c>
      <c r="AL1171" s="21">
        <f>IF(AND($A1171="",$B1171=""),"",IF(Z1171=0,"",IF(AND(AE1171=1,N($R1171)&gt;AD1171*1.01+0.001),"Net terrestrial &gt; gross; ","")&amp;IF(AND(AE1171=1,N($S1171)&gt;AC1171*1.01+0.001),"Net marine &gt; gross; ","")&amp;IF(AE1171=0,"No net area – gross used, overlaps may be double-counted; ","")&amp;IF(AH1171=0,"STATUS_YR missing – imputed in time series; ","")&amp;IF(AND(ISNUMBER($I1171),N($I1171)&gt;Setup!$B$6),"STATUS_YR after reporting year; ","")&amp;IF(OR($G1171="",$G1171="Not Reported"),"GOV_TYPE not reported; ","")&amp;IF(AND(N($J1171)=1,$K1171="Point",N($M1171)&lt;=0),"Coastal point without REP_M_AREA – land/sea split unknown; ","")&amp;IF(AND(N($J1171)=0,N($S1171)&gt;0),"MARINE=0 but net marine &gt;0; ","")&amp;IF(AND(N($J1171)=2,N($R1171)&gt;0),"MARINE=2 but net terrestrial &gt;0; ","")&amp;IF($K1171="Point","Buffered point – coverage approximate; ","")))</f>
        <v/>
      </c>
    </row>
    <row r="1172">
      <c r="A1172" s="19" t="n"/>
      <c r="B1172" s="19" t="n"/>
      <c r="C1172" s="19" t="n"/>
      <c r="D1172" s="19" t="n"/>
      <c r="E1172" s="19" t="n"/>
      <c r="F1172" s="19" t="n"/>
      <c r="G1172" s="19" t="n"/>
      <c r="H1172" s="19" t="n"/>
      <c r="I1172" s="19" t="n"/>
      <c r="J1172" s="19" t="n"/>
      <c r="K1172" s="19" t="n"/>
      <c r="L1172" s="20" t="n"/>
      <c r="M1172" s="20" t="n"/>
      <c r="N1172" s="20" t="n"/>
      <c r="O1172" s="20" t="n"/>
      <c r="P1172" s="19" t="n"/>
      <c r="Q1172" s="19" t="n"/>
      <c r="R1172" s="20" t="n"/>
      <c r="S1172" s="20" t="n"/>
      <c r="T1172" s="19" t="n"/>
      <c r="U1172" s="19" t="n"/>
      <c r="V1172" s="19" t="n"/>
      <c r="W1172" s="19" t="n"/>
      <c r="X1172" s="19" t="n"/>
      <c r="Y1172" s="19" t="n"/>
      <c r="Z1172" s="21">
        <f>IF(AND($A1172="",$B1172=""),"",IF(OR($E1172="",$H1172="",$H1172="Proposed",$H1172="Not Reported"),0,IF(AND($P1172="Y",$Q1172&lt;&gt;"Y"),0,IF(AND($K1172="Point",N($L1172)&lt;=0),0,IF(AND(N($L1172)&lt;=0,N($N1172)&lt;=0,N($R1172)+N($S1172)&lt;=0),0,1)))))</f>
        <v/>
      </c>
      <c r="AA1172" s="21">
        <f>IF(AND($A1172="",$B1172=""),"",IF($E1172="","Site type missing",IF($H1172="","STATUS missing",IF($H1172="Proposed","STATUS = Proposed",IF($H1172="Not Reported","STATUS = Not Reported",IF(AND($P1172="Y",$Q1172&lt;&gt;"Y"),"UNESCO-MAB Biosphere Reserve",IF(AND($K1172="Point",N($L1172)&lt;=0),"Point without REP_AREA",IF(AND(N($L1172)&lt;=0,N($N1172)&lt;=0,N($R1172)+N($S1172)&lt;=0),"No area information",""))))))))</f>
        <v/>
      </c>
      <c r="AB1172" s="22">
        <f>IF(AND($A1172="",$B1172=""),"",IF($K1172="Point",N($L1172),IF(N($N1172)&gt;0,N($N1172),N($L1172))))</f>
        <v/>
      </c>
      <c r="AC1172" s="22">
        <f>IF(AND($A1172="",$B1172=""),"",MIN(AB1172,IF(N($J1172)=0,0,IF(N($J1172)=2,AB1172,IF(AND($K1172&lt;&gt;"Point",N($O1172)&gt;0),N($O1172),N($M1172))))))</f>
        <v/>
      </c>
      <c r="AD1172" s="22">
        <f>IF(AND($A1172="",$B1172=""),"",MAX(0,AB1172-AC1172))</f>
        <v/>
      </c>
      <c r="AE1172" s="21">
        <f>IF(AND($A1172="",$B1172=""),"",IF(OR($R1172&lt;&gt;"",$S1172&lt;&gt;""),1,0))</f>
        <v/>
      </c>
      <c r="AF1172" s="22">
        <f>IF(AND($A1172="",$B1172=""),"",IF(Z1172=1,IF(AE1172=1,N($R1172),AD1172),0))</f>
        <v/>
      </c>
      <c r="AG1172" s="22">
        <f>IF(AND($A1172="",$B1172=""),"",IF(Z1172=1,IF(AE1172=1,N($S1172),AC1172),0))</f>
        <v/>
      </c>
      <c r="AH1172" s="21">
        <f>IF(AND($A1172="",$B1172=""),"",IF(AND(ISNUMBER($I1172),N($I1172)&gt;0),$I1172,0))</f>
        <v/>
      </c>
      <c r="AI1172" s="23">
        <f>IF(AND(NOT(AND($A1172="",$B1172="")),$K1172="Point",N($L1172)&gt;0),SQRT(N($L1172)/PI()),"")</f>
        <v/>
      </c>
      <c r="AJ1172" s="21">
        <f>IF(AND($A1172="",$B1172=""),"",IFERROR(VLOOKUP($G1172,Lists!$D$4:$E$15,2,FALSE),"Not reported"))</f>
        <v/>
      </c>
      <c r="AK1172" s="21">
        <f>IF(AND($A1172="",$B1172=""),"",IF($X1172&lt;&gt;"",$X1172,IF($T1172&lt;&gt;"Y","Not assessed",IF(AND(ISNUMBER($V1172),Setup!$B$6-$V1172&gt;Setup!$B$26),"Assessment outdated",IF(NOT(ISNUMBER($W1172)),"Assessed – no score",IF($W1172&gt;=Setup!$B$24,"High",IF($W1172&gt;=Setup!$B$25,"Moderate","Low")))))))</f>
        <v/>
      </c>
      <c r="AL1172" s="21">
        <f>IF(AND($A1172="",$B1172=""),"",IF(Z1172=0,"",IF(AND(AE1172=1,N($R1172)&gt;AD1172*1.01+0.001),"Net terrestrial &gt; gross; ","")&amp;IF(AND(AE1172=1,N($S1172)&gt;AC1172*1.01+0.001),"Net marine &gt; gross; ","")&amp;IF(AE1172=0,"No net area – gross used, overlaps may be double-counted; ","")&amp;IF(AH1172=0,"STATUS_YR missing – imputed in time series; ","")&amp;IF(AND(ISNUMBER($I1172),N($I1172)&gt;Setup!$B$6),"STATUS_YR after reporting year; ","")&amp;IF(OR($G1172="",$G1172="Not Reported"),"GOV_TYPE not reported; ","")&amp;IF(AND(N($J1172)=1,$K1172="Point",N($M1172)&lt;=0),"Coastal point without REP_M_AREA – land/sea split unknown; ","")&amp;IF(AND(N($J1172)=0,N($S1172)&gt;0),"MARINE=0 but net marine &gt;0; ","")&amp;IF(AND(N($J1172)=2,N($R1172)&gt;0),"MARINE=2 but net terrestrial &gt;0; ","")&amp;IF($K1172="Point","Buffered point – coverage approximate; ","")))</f>
        <v/>
      </c>
    </row>
    <row r="1173">
      <c r="A1173" s="19" t="n"/>
      <c r="B1173" s="19" t="n"/>
      <c r="C1173" s="19" t="n"/>
      <c r="D1173" s="19" t="n"/>
      <c r="E1173" s="19" t="n"/>
      <c r="F1173" s="19" t="n"/>
      <c r="G1173" s="19" t="n"/>
      <c r="H1173" s="19" t="n"/>
      <c r="I1173" s="19" t="n"/>
      <c r="J1173" s="19" t="n"/>
      <c r="K1173" s="19" t="n"/>
      <c r="L1173" s="20" t="n"/>
      <c r="M1173" s="20" t="n"/>
      <c r="N1173" s="20" t="n"/>
      <c r="O1173" s="20" t="n"/>
      <c r="P1173" s="19" t="n"/>
      <c r="Q1173" s="19" t="n"/>
      <c r="R1173" s="20" t="n"/>
      <c r="S1173" s="20" t="n"/>
      <c r="T1173" s="19" t="n"/>
      <c r="U1173" s="19" t="n"/>
      <c r="V1173" s="19" t="n"/>
      <c r="W1173" s="19" t="n"/>
      <c r="X1173" s="19" t="n"/>
      <c r="Y1173" s="19" t="n"/>
      <c r="Z1173" s="21">
        <f>IF(AND($A1173="",$B1173=""),"",IF(OR($E1173="",$H1173="",$H1173="Proposed",$H1173="Not Reported"),0,IF(AND($P1173="Y",$Q1173&lt;&gt;"Y"),0,IF(AND($K1173="Point",N($L1173)&lt;=0),0,IF(AND(N($L1173)&lt;=0,N($N1173)&lt;=0,N($R1173)+N($S1173)&lt;=0),0,1)))))</f>
        <v/>
      </c>
      <c r="AA1173" s="21">
        <f>IF(AND($A1173="",$B1173=""),"",IF($E1173="","Site type missing",IF($H1173="","STATUS missing",IF($H1173="Proposed","STATUS = Proposed",IF($H1173="Not Reported","STATUS = Not Reported",IF(AND($P1173="Y",$Q1173&lt;&gt;"Y"),"UNESCO-MAB Biosphere Reserve",IF(AND($K1173="Point",N($L1173)&lt;=0),"Point without REP_AREA",IF(AND(N($L1173)&lt;=0,N($N1173)&lt;=0,N($R1173)+N($S1173)&lt;=0),"No area information",""))))))))</f>
        <v/>
      </c>
      <c r="AB1173" s="22">
        <f>IF(AND($A1173="",$B1173=""),"",IF($K1173="Point",N($L1173),IF(N($N1173)&gt;0,N($N1173),N($L1173))))</f>
        <v/>
      </c>
      <c r="AC1173" s="22">
        <f>IF(AND($A1173="",$B1173=""),"",MIN(AB1173,IF(N($J1173)=0,0,IF(N($J1173)=2,AB1173,IF(AND($K1173&lt;&gt;"Point",N($O1173)&gt;0),N($O1173),N($M1173))))))</f>
        <v/>
      </c>
      <c r="AD1173" s="22">
        <f>IF(AND($A1173="",$B1173=""),"",MAX(0,AB1173-AC1173))</f>
        <v/>
      </c>
      <c r="AE1173" s="21">
        <f>IF(AND($A1173="",$B1173=""),"",IF(OR($R1173&lt;&gt;"",$S1173&lt;&gt;""),1,0))</f>
        <v/>
      </c>
      <c r="AF1173" s="22">
        <f>IF(AND($A1173="",$B1173=""),"",IF(Z1173=1,IF(AE1173=1,N($R1173),AD1173),0))</f>
        <v/>
      </c>
      <c r="AG1173" s="22">
        <f>IF(AND($A1173="",$B1173=""),"",IF(Z1173=1,IF(AE1173=1,N($S1173),AC1173),0))</f>
        <v/>
      </c>
      <c r="AH1173" s="21">
        <f>IF(AND($A1173="",$B1173=""),"",IF(AND(ISNUMBER($I1173),N($I1173)&gt;0),$I1173,0))</f>
        <v/>
      </c>
      <c r="AI1173" s="23">
        <f>IF(AND(NOT(AND($A1173="",$B1173="")),$K1173="Point",N($L1173)&gt;0),SQRT(N($L1173)/PI()),"")</f>
        <v/>
      </c>
      <c r="AJ1173" s="21">
        <f>IF(AND($A1173="",$B1173=""),"",IFERROR(VLOOKUP($G1173,Lists!$D$4:$E$15,2,FALSE),"Not reported"))</f>
        <v/>
      </c>
      <c r="AK1173" s="21">
        <f>IF(AND($A1173="",$B1173=""),"",IF($X1173&lt;&gt;"",$X1173,IF($T1173&lt;&gt;"Y","Not assessed",IF(AND(ISNUMBER($V1173),Setup!$B$6-$V1173&gt;Setup!$B$26),"Assessment outdated",IF(NOT(ISNUMBER($W1173)),"Assessed – no score",IF($W1173&gt;=Setup!$B$24,"High",IF($W1173&gt;=Setup!$B$25,"Moderate","Low")))))))</f>
        <v/>
      </c>
      <c r="AL1173" s="21">
        <f>IF(AND($A1173="",$B1173=""),"",IF(Z1173=0,"",IF(AND(AE1173=1,N($R1173)&gt;AD1173*1.01+0.001),"Net terrestrial &gt; gross; ","")&amp;IF(AND(AE1173=1,N($S1173)&gt;AC1173*1.01+0.001),"Net marine &gt; gross; ","")&amp;IF(AE1173=0,"No net area – gross used, overlaps may be double-counted; ","")&amp;IF(AH1173=0,"STATUS_YR missing – imputed in time series; ","")&amp;IF(AND(ISNUMBER($I1173),N($I1173)&gt;Setup!$B$6),"STATUS_YR after reporting year; ","")&amp;IF(OR($G1173="",$G1173="Not Reported"),"GOV_TYPE not reported; ","")&amp;IF(AND(N($J1173)=1,$K1173="Point",N($M1173)&lt;=0),"Coastal point without REP_M_AREA – land/sea split unknown; ","")&amp;IF(AND(N($J1173)=0,N($S1173)&gt;0),"MARINE=0 but net marine &gt;0; ","")&amp;IF(AND(N($J1173)=2,N($R1173)&gt;0),"MARINE=2 but net terrestrial &gt;0; ","")&amp;IF($K1173="Point","Buffered point – coverage approximate; ","")))</f>
        <v/>
      </c>
    </row>
    <row r="1174">
      <c r="A1174" s="19" t="n"/>
      <c r="B1174" s="19" t="n"/>
      <c r="C1174" s="19" t="n"/>
      <c r="D1174" s="19" t="n"/>
      <c r="E1174" s="19" t="n"/>
      <c r="F1174" s="19" t="n"/>
      <c r="G1174" s="19" t="n"/>
      <c r="H1174" s="19" t="n"/>
      <c r="I1174" s="19" t="n"/>
      <c r="J1174" s="19" t="n"/>
      <c r="K1174" s="19" t="n"/>
      <c r="L1174" s="20" t="n"/>
      <c r="M1174" s="20" t="n"/>
      <c r="N1174" s="20" t="n"/>
      <c r="O1174" s="20" t="n"/>
      <c r="P1174" s="19" t="n"/>
      <c r="Q1174" s="19" t="n"/>
      <c r="R1174" s="20" t="n"/>
      <c r="S1174" s="20" t="n"/>
      <c r="T1174" s="19" t="n"/>
      <c r="U1174" s="19" t="n"/>
      <c r="V1174" s="19" t="n"/>
      <c r="W1174" s="19" t="n"/>
      <c r="X1174" s="19" t="n"/>
      <c r="Y1174" s="19" t="n"/>
      <c r="Z1174" s="21">
        <f>IF(AND($A1174="",$B1174=""),"",IF(OR($E1174="",$H1174="",$H1174="Proposed",$H1174="Not Reported"),0,IF(AND($P1174="Y",$Q1174&lt;&gt;"Y"),0,IF(AND($K1174="Point",N($L1174)&lt;=0),0,IF(AND(N($L1174)&lt;=0,N($N1174)&lt;=0,N($R1174)+N($S1174)&lt;=0),0,1)))))</f>
        <v/>
      </c>
      <c r="AA1174" s="21">
        <f>IF(AND($A1174="",$B1174=""),"",IF($E1174="","Site type missing",IF($H1174="","STATUS missing",IF($H1174="Proposed","STATUS = Proposed",IF($H1174="Not Reported","STATUS = Not Reported",IF(AND($P1174="Y",$Q1174&lt;&gt;"Y"),"UNESCO-MAB Biosphere Reserve",IF(AND($K1174="Point",N($L1174)&lt;=0),"Point without REP_AREA",IF(AND(N($L1174)&lt;=0,N($N1174)&lt;=0,N($R1174)+N($S1174)&lt;=0),"No area information",""))))))))</f>
        <v/>
      </c>
      <c r="AB1174" s="22">
        <f>IF(AND($A1174="",$B1174=""),"",IF($K1174="Point",N($L1174),IF(N($N1174)&gt;0,N($N1174),N($L1174))))</f>
        <v/>
      </c>
      <c r="AC1174" s="22">
        <f>IF(AND($A1174="",$B1174=""),"",MIN(AB1174,IF(N($J1174)=0,0,IF(N($J1174)=2,AB1174,IF(AND($K1174&lt;&gt;"Point",N($O1174)&gt;0),N($O1174),N($M1174))))))</f>
        <v/>
      </c>
      <c r="AD1174" s="22">
        <f>IF(AND($A1174="",$B1174=""),"",MAX(0,AB1174-AC1174))</f>
        <v/>
      </c>
      <c r="AE1174" s="21">
        <f>IF(AND($A1174="",$B1174=""),"",IF(OR($R1174&lt;&gt;"",$S1174&lt;&gt;""),1,0))</f>
        <v/>
      </c>
      <c r="AF1174" s="22">
        <f>IF(AND($A1174="",$B1174=""),"",IF(Z1174=1,IF(AE1174=1,N($R1174),AD1174),0))</f>
        <v/>
      </c>
      <c r="AG1174" s="22">
        <f>IF(AND($A1174="",$B1174=""),"",IF(Z1174=1,IF(AE1174=1,N($S1174),AC1174),0))</f>
        <v/>
      </c>
      <c r="AH1174" s="21">
        <f>IF(AND($A1174="",$B1174=""),"",IF(AND(ISNUMBER($I1174),N($I1174)&gt;0),$I1174,0))</f>
        <v/>
      </c>
      <c r="AI1174" s="23">
        <f>IF(AND(NOT(AND($A1174="",$B1174="")),$K1174="Point",N($L1174)&gt;0),SQRT(N($L1174)/PI()),"")</f>
        <v/>
      </c>
      <c r="AJ1174" s="21">
        <f>IF(AND($A1174="",$B1174=""),"",IFERROR(VLOOKUP($G1174,Lists!$D$4:$E$15,2,FALSE),"Not reported"))</f>
        <v/>
      </c>
      <c r="AK1174" s="21">
        <f>IF(AND($A1174="",$B1174=""),"",IF($X1174&lt;&gt;"",$X1174,IF($T1174&lt;&gt;"Y","Not assessed",IF(AND(ISNUMBER($V1174),Setup!$B$6-$V1174&gt;Setup!$B$26),"Assessment outdated",IF(NOT(ISNUMBER($W1174)),"Assessed – no score",IF($W1174&gt;=Setup!$B$24,"High",IF($W1174&gt;=Setup!$B$25,"Moderate","Low")))))))</f>
        <v/>
      </c>
      <c r="AL1174" s="21">
        <f>IF(AND($A1174="",$B1174=""),"",IF(Z1174=0,"",IF(AND(AE1174=1,N($R1174)&gt;AD1174*1.01+0.001),"Net terrestrial &gt; gross; ","")&amp;IF(AND(AE1174=1,N($S1174)&gt;AC1174*1.01+0.001),"Net marine &gt; gross; ","")&amp;IF(AE1174=0,"No net area – gross used, overlaps may be double-counted; ","")&amp;IF(AH1174=0,"STATUS_YR missing – imputed in time series; ","")&amp;IF(AND(ISNUMBER($I1174),N($I1174)&gt;Setup!$B$6),"STATUS_YR after reporting year; ","")&amp;IF(OR($G1174="",$G1174="Not Reported"),"GOV_TYPE not reported; ","")&amp;IF(AND(N($J1174)=1,$K1174="Point",N($M1174)&lt;=0),"Coastal point without REP_M_AREA – land/sea split unknown; ","")&amp;IF(AND(N($J1174)=0,N($S1174)&gt;0),"MARINE=0 but net marine &gt;0; ","")&amp;IF(AND(N($J1174)=2,N($R1174)&gt;0),"MARINE=2 but net terrestrial &gt;0; ","")&amp;IF($K1174="Point","Buffered point – coverage approximate; ","")))</f>
        <v/>
      </c>
    </row>
    <row r="1175">
      <c r="A1175" s="19" t="n"/>
      <c r="B1175" s="19" t="n"/>
      <c r="C1175" s="19" t="n"/>
      <c r="D1175" s="19" t="n"/>
      <c r="E1175" s="19" t="n"/>
      <c r="F1175" s="19" t="n"/>
      <c r="G1175" s="19" t="n"/>
      <c r="H1175" s="19" t="n"/>
      <c r="I1175" s="19" t="n"/>
      <c r="J1175" s="19" t="n"/>
      <c r="K1175" s="19" t="n"/>
      <c r="L1175" s="20" t="n"/>
      <c r="M1175" s="20" t="n"/>
      <c r="N1175" s="20" t="n"/>
      <c r="O1175" s="20" t="n"/>
      <c r="P1175" s="19" t="n"/>
      <c r="Q1175" s="19" t="n"/>
      <c r="R1175" s="20" t="n"/>
      <c r="S1175" s="20" t="n"/>
      <c r="T1175" s="19" t="n"/>
      <c r="U1175" s="19" t="n"/>
      <c r="V1175" s="19" t="n"/>
      <c r="W1175" s="19" t="n"/>
      <c r="X1175" s="19" t="n"/>
      <c r="Y1175" s="19" t="n"/>
      <c r="Z1175" s="21">
        <f>IF(AND($A1175="",$B1175=""),"",IF(OR($E1175="",$H1175="",$H1175="Proposed",$H1175="Not Reported"),0,IF(AND($P1175="Y",$Q1175&lt;&gt;"Y"),0,IF(AND($K1175="Point",N($L1175)&lt;=0),0,IF(AND(N($L1175)&lt;=0,N($N1175)&lt;=0,N($R1175)+N($S1175)&lt;=0),0,1)))))</f>
        <v/>
      </c>
      <c r="AA1175" s="21">
        <f>IF(AND($A1175="",$B1175=""),"",IF($E1175="","Site type missing",IF($H1175="","STATUS missing",IF($H1175="Proposed","STATUS = Proposed",IF($H1175="Not Reported","STATUS = Not Reported",IF(AND($P1175="Y",$Q1175&lt;&gt;"Y"),"UNESCO-MAB Biosphere Reserve",IF(AND($K1175="Point",N($L1175)&lt;=0),"Point without REP_AREA",IF(AND(N($L1175)&lt;=0,N($N1175)&lt;=0,N($R1175)+N($S1175)&lt;=0),"No area information",""))))))))</f>
        <v/>
      </c>
      <c r="AB1175" s="22">
        <f>IF(AND($A1175="",$B1175=""),"",IF($K1175="Point",N($L1175),IF(N($N1175)&gt;0,N($N1175),N($L1175))))</f>
        <v/>
      </c>
      <c r="AC1175" s="22">
        <f>IF(AND($A1175="",$B1175=""),"",MIN(AB1175,IF(N($J1175)=0,0,IF(N($J1175)=2,AB1175,IF(AND($K1175&lt;&gt;"Point",N($O1175)&gt;0),N($O1175),N($M1175))))))</f>
        <v/>
      </c>
      <c r="AD1175" s="22">
        <f>IF(AND($A1175="",$B1175=""),"",MAX(0,AB1175-AC1175))</f>
        <v/>
      </c>
      <c r="AE1175" s="21">
        <f>IF(AND($A1175="",$B1175=""),"",IF(OR($R1175&lt;&gt;"",$S1175&lt;&gt;""),1,0))</f>
        <v/>
      </c>
      <c r="AF1175" s="22">
        <f>IF(AND($A1175="",$B1175=""),"",IF(Z1175=1,IF(AE1175=1,N($R1175),AD1175),0))</f>
        <v/>
      </c>
      <c r="AG1175" s="22">
        <f>IF(AND($A1175="",$B1175=""),"",IF(Z1175=1,IF(AE1175=1,N($S1175),AC1175),0))</f>
        <v/>
      </c>
      <c r="AH1175" s="21">
        <f>IF(AND($A1175="",$B1175=""),"",IF(AND(ISNUMBER($I1175),N($I1175)&gt;0),$I1175,0))</f>
        <v/>
      </c>
      <c r="AI1175" s="23">
        <f>IF(AND(NOT(AND($A1175="",$B1175="")),$K1175="Point",N($L1175)&gt;0),SQRT(N($L1175)/PI()),"")</f>
        <v/>
      </c>
      <c r="AJ1175" s="21">
        <f>IF(AND($A1175="",$B1175=""),"",IFERROR(VLOOKUP($G1175,Lists!$D$4:$E$15,2,FALSE),"Not reported"))</f>
        <v/>
      </c>
      <c r="AK1175" s="21">
        <f>IF(AND($A1175="",$B1175=""),"",IF($X1175&lt;&gt;"",$X1175,IF($T1175&lt;&gt;"Y","Not assessed",IF(AND(ISNUMBER($V1175),Setup!$B$6-$V1175&gt;Setup!$B$26),"Assessment outdated",IF(NOT(ISNUMBER($W1175)),"Assessed – no score",IF($W1175&gt;=Setup!$B$24,"High",IF($W1175&gt;=Setup!$B$25,"Moderate","Low")))))))</f>
        <v/>
      </c>
      <c r="AL1175" s="21">
        <f>IF(AND($A1175="",$B1175=""),"",IF(Z1175=0,"",IF(AND(AE1175=1,N($R1175)&gt;AD1175*1.01+0.001),"Net terrestrial &gt; gross; ","")&amp;IF(AND(AE1175=1,N($S1175)&gt;AC1175*1.01+0.001),"Net marine &gt; gross; ","")&amp;IF(AE1175=0,"No net area – gross used, overlaps may be double-counted; ","")&amp;IF(AH1175=0,"STATUS_YR missing – imputed in time series; ","")&amp;IF(AND(ISNUMBER($I1175),N($I1175)&gt;Setup!$B$6),"STATUS_YR after reporting year; ","")&amp;IF(OR($G1175="",$G1175="Not Reported"),"GOV_TYPE not reported; ","")&amp;IF(AND(N($J1175)=1,$K1175="Point",N($M1175)&lt;=0),"Coastal point without REP_M_AREA – land/sea split unknown; ","")&amp;IF(AND(N($J1175)=0,N($S1175)&gt;0),"MARINE=0 but net marine &gt;0; ","")&amp;IF(AND(N($J1175)=2,N($R1175)&gt;0),"MARINE=2 but net terrestrial &gt;0; ","")&amp;IF($K1175="Point","Buffered point – coverage approximate; ","")))</f>
        <v/>
      </c>
    </row>
    <row r="1176">
      <c r="A1176" s="19" t="n"/>
      <c r="B1176" s="19" t="n"/>
      <c r="C1176" s="19" t="n"/>
      <c r="D1176" s="19" t="n"/>
      <c r="E1176" s="19" t="n"/>
      <c r="F1176" s="19" t="n"/>
      <c r="G1176" s="19" t="n"/>
      <c r="H1176" s="19" t="n"/>
      <c r="I1176" s="19" t="n"/>
      <c r="J1176" s="19" t="n"/>
      <c r="K1176" s="19" t="n"/>
      <c r="L1176" s="20" t="n"/>
      <c r="M1176" s="20" t="n"/>
      <c r="N1176" s="20" t="n"/>
      <c r="O1176" s="20" t="n"/>
      <c r="P1176" s="19" t="n"/>
      <c r="Q1176" s="19" t="n"/>
      <c r="R1176" s="20" t="n"/>
      <c r="S1176" s="20" t="n"/>
      <c r="T1176" s="19" t="n"/>
      <c r="U1176" s="19" t="n"/>
      <c r="V1176" s="19" t="n"/>
      <c r="W1176" s="19" t="n"/>
      <c r="X1176" s="19" t="n"/>
      <c r="Y1176" s="19" t="n"/>
      <c r="Z1176" s="21">
        <f>IF(AND($A1176="",$B1176=""),"",IF(OR($E1176="",$H1176="",$H1176="Proposed",$H1176="Not Reported"),0,IF(AND($P1176="Y",$Q1176&lt;&gt;"Y"),0,IF(AND($K1176="Point",N($L1176)&lt;=0),0,IF(AND(N($L1176)&lt;=0,N($N1176)&lt;=0,N($R1176)+N($S1176)&lt;=0),0,1)))))</f>
        <v/>
      </c>
      <c r="AA1176" s="21">
        <f>IF(AND($A1176="",$B1176=""),"",IF($E1176="","Site type missing",IF($H1176="","STATUS missing",IF($H1176="Proposed","STATUS = Proposed",IF($H1176="Not Reported","STATUS = Not Reported",IF(AND($P1176="Y",$Q1176&lt;&gt;"Y"),"UNESCO-MAB Biosphere Reserve",IF(AND($K1176="Point",N($L1176)&lt;=0),"Point without REP_AREA",IF(AND(N($L1176)&lt;=0,N($N1176)&lt;=0,N($R1176)+N($S1176)&lt;=0),"No area information",""))))))))</f>
        <v/>
      </c>
      <c r="AB1176" s="22">
        <f>IF(AND($A1176="",$B1176=""),"",IF($K1176="Point",N($L1176),IF(N($N1176)&gt;0,N($N1176),N($L1176))))</f>
        <v/>
      </c>
      <c r="AC1176" s="22">
        <f>IF(AND($A1176="",$B1176=""),"",MIN(AB1176,IF(N($J1176)=0,0,IF(N($J1176)=2,AB1176,IF(AND($K1176&lt;&gt;"Point",N($O1176)&gt;0),N($O1176),N($M1176))))))</f>
        <v/>
      </c>
      <c r="AD1176" s="22">
        <f>IF(AND($A1176="",$B1176=""),"",MAX(0,AB1176-AC1176))</f>
        <v/>
      </c>
      <c r="AE1176" s="21">
        <f>IF(AND($A1176="",$B1176=""),"",IF(OR($R1176&lt;&gt;"",$S1176&lt;&gt;""),1,0))</f>
        <v/>
      </c>
      <c r="AF1176" s="22">
        <f>IF(AND($A1176="",$B1176=""),"",IF(Z1176=1,IF(AE1176=1,N($R1176),AD1176),0))</f>
        <v/>
      </c>
      <c r="AG1176" s="22">
        <f>IF(AND($A1176="",$B1176=""),"",IF(Z1176=1,IF(AE1176=1,N($S1176),AC1176),0))</f>
        <v/>
      </c>
      <c r="AH1176" s="21">
        <f>IF(AND($A1176="",$B1176=""),"",IF(AND(ISNUMBER($I1176),N($I1176)&gt;0),$I1176,0))</f>
        <v/>
      </c>
      <c r="AI1176" s="23">
        <f>IF(AND(NOT(AND($A1176="",$B1176="")),$K1176="Point",N($L1176)&gt;0),SQRT(N($L1176)/PI()),"")</f>
        <v/>
      </c>
      <c r="AJ1176" s="21">
        <f>IF(AND($A1176="",$B1176=""),"",IFERROR(VLOOKUP($G1176,Lists!$D$4:$E$15,2,FALSE),"Not reported"))</f>
        <v/>
      </c>
      <c r="AK1176" s="21">
        <f>IF(AND($A1176="",$B1176=""),"",IF($X1176&lt;&gt;"",$X1176,IF($T1176&lt;&gt;"Y","Not assessed",IF(AND(ISNUMBER($V1176),Setup!$B$6-$V1176&gt;Setup!$B$26),"Assessment outdated",IF(NOT(ISNUMBER($W1176)),"Assessed – no score",IF($W1176&gt;=Setup!$B$24,"High",IF($W1176&gt;=Setup!$B$25,"Moderate","Low")))))))</f>
        <v/>
      </c>
      <c r="AL1176" s="21">
        <f>IF(AND($A1176="",$B1176=""),"",IF(Z1176=0,"",IF(AND(AE1176=1,N($R1176)&gt;AD1176*1.01+0.001),"Net terrestrial &gt; gross; ","")&amp;IF(AND(AE1176=1,N($S1176)&gt;AC1176*1.01+0.001),"Net marine &gt; gross; ","")&amp;IF(AE1176=0,"No net area – gross used, overlaps may be double-counted; ","")&amp;IF(AH1176=0,"STATUS_YR missing – imputed in time series; ","")&amp;IF(AND(ISNUMBER($I1176),N($I1176)&gt;Setup!$B$6),"STATUS_YR after reporting year; ","")&amp;IF(OR($G1176="",$G1176="Not Reported"),"GOV_TYPE not reported; ","")&amp;IF(AND(N($J1176)=1,$K1176="Point",N($M1176)&lt;=0),"Coastal point without REP_M_AREA – land/sea split unknown; ","")&amp;IF(AND(N($J1176)=0,N($S1176)&gt;0),"MARINE=0 but net marine &gt;0; ","")&amp;IF(AND(N($J1176)=2,N($R1176)&gt;0),"MARINE=2 but net terrestrial &gt;0; ","")&amp;IF($K1176="Point","Buffered point – coverage approximate; ","")))</f>
        <v/>
      </c>
    </row>
    <row r="1177">
      <c r="A1177" s="19" t="n"/>
      <c r="B1177" s="19" t="n"/>
      <c r="C1177" s="19" t="n"/>
      <c r="D1177" s="19" t="n"/>
      <c r="E1177" s="19" t="n"/>
      <c r="F1177" s="19" t="n"/>
      <c r="G1177" s="19" t="n"/>
      <c r="H1177" s="19" t="n"/>
      <c r="I1177" s="19" t="n"/>
      <c r="J1177" s="19" t="n"/>
      <c r="K1177" s="19" t="n"/>
      <c r="L1177" s="20" t="n"/>
      <c r="M1177" s="20" t="n"/>
      <c r="N1177" s="20" t="n"/>
      <c r="O1177" s="20" t="n"/>
      <c r="P1177" s="19" t="n"/>
      <c r="Q1177" s="19" t="n"/>
      <c r="R1177" s="20" t="n"/>
      <c r="S1177" s="20" t="n"/>
      <c r="T1177" s="19" t="n"/>
      <c r="U1177" s="19" t="n"/>
      <c r="V1177" s="19" t="n"/>
      <c r="W1177" s="19" t="n"/>
      <c r="X1177" s="19" t="n"/>
      <c r="Y1177" s="19" t="n"/>
      <c r="Z1177" s="21">
        <f>IF(AND($A1177="",$B1177=""),"",IF(OR($E1177="",$H1177="",$H1177="Proposed",$H1177="Not Reported"),0,IF(AND($P1177="Y",$Q1177&lt;&gt;"Y"),0,IF(AND($K1177="Point",N($L1177)&lt;=0),0,IF(AND(N($L1177)&lt;=0,N($N1177)&lt;=0,N($R1177)+N($S1177)&lt;=0),0,1)))))</f>
        <v/>
      </c>
      <c r="AA1177" s="21">
        <f>IF(AND($A1177="",$B1177=""),"",IF($E1177="","Site type missing",IF($H1177="","STATUS missing",IF($H1177="Proposed","STATUS = Proposed",IF($H1177="Not Reported","STATUS = Not Reported",IF(AND($P1177="Y",$Q1177&lt;&gt;"Y"),"UNESCO-MAB Biosphere Reserve",IF(AND($K1177="Point",N($L1177)&lt;=0),"Point without REP_AREA",IF(AND(N($L1177)&lt;=0,N($N1177)&lt;=0,N($R1177)+N($S1177)&lt;=0),"No area information",""))))))))</f>
        <v/>
      </c>
      <c r="AB1177" s="22">
        <f>IF(AND($A1177="",$B1177=""),"",IF($K1177="Point",N($L1177),IF(N($N1177)&gt;0,N($N1177),N($L1177))))</f>
        <v/>
      </c>
      <c r="AC1177" s="22">
        <f>IF(AND($A1177="",$B1177=""),"",MIN(AB1177,IF(N($J1177)=0,0,IF(N($J1177)=2,AB1177,IF(AND($K1177&lt;&gt;"Point",N($O1177)&gt;0),N($O1177),N($M1177))))))</f>
        <v/>
      </c>
      <c r="AD1177" s="22">
        <f>IF(AND($A1177="",$B1177=""),"",MAX(0,AB1177-AC1177))</f>
        <v/>
      </c>
      <c r="AE1177" s="21">
        <f>IF(AND($A1177="",$B1177=""),"",IF(OR($R1177&lt;&gt;"",$S1177&lt;&gt;""),1,0))</f>
        <v/>
      </c>
      <c r="AF1177" s="22">
        <f>IF(AND($A1177="",$B1177=""),"",IF(Z1177=1,IF(AE1177=1,N($R1177),AD1177),0))</f>
        <v/>
      </c>
      <c r="AG1177" s="22">
        <f>IF(AND($A1177="",$B1177=""),"",IF(Z1177=1,IF(AE1177=1,N($S1177),AC1177),0))</f>
        <v/>
      </c>
      <c r="AH1177" s="21">
        <f>IF(AND($A1177="",$B1177=""),"",IF(AND(ISNUMBER($I1177),N($I1177)&gt;0),$I1177,0))</f>
        <v/>
      </c>
      <c r="AI1177" s="23">
        <f>IF(AND(NOT(AND($A1177="",$B1177="")),$K1177="Point",N($L1177)&gt;0),SQRT(N($L1177)/PI()),"")</f>
        <v/>
      </c>
      <c r="AJ1177" s="21">
        <f>IF(AND($A1177="",$B1177=""),"",IFERROR(VLOOKUP($G1177,Lists!$D$4:$E$15,2,FALSE),"Not reported"))</f>
        <v/>
      </c>
      <c r="AK1177" s="21">
        <f>IF(AND($A1177="",$B1177=""),"",IF($X1177&lt;&gt;"",$X1177,IF($T1177&lt;&gt;"Y","Not assessed",IF(AND(ISNUMBER($V1177),Setup!$B$6-$V1177&gt;Setup!$B$26),"Assessment outdated",IF(NOT(ISNUMBER($W1177)),"Assessed – no score",IF($W1177&gt;=Setup!$B$24,"High",IF($W1177&gt;=Setup!$B$25,"Moderate","Low")))))))</f>
        <v/>
      </c>
      <c r="AL1177" s="21">
        <f>IF(AND($A1177="",$B1177=""),"",IF(Z1177=0,"",IF(AND(AE1177=1,N($R1177)&gt;AD1177*1.01+0.001),"Net terrestrial &gt; gross; ","")&amp;IF(AND(AE1177=1,N($S1177)&gt;AC1177*1.01+0.001),"Net marine &gt; gross; ","")&amp;IF(AE1177=0,"No net area – gross used, overlaps may be double-counted; ","")&amp;IF(AH1177=0,"STATUS_YR missing – imputed in time series; ","")&amp;IF(AND(ISNUMBER($I1177),N($I1177)&gt;Setup!$B$6),"STATUS_YR after reporting year; ","")&amp;IF(OR($G1177="",$G1177="Not Reported"),"GOV_TYPE not reported; ","")&amp;IF(AND(N($J1177)=1,$K1177="Point",N($M1177)&lt;=0),"Coastal point without REP_M_AREA – land/sea split unknown; ","")&amp;IF(AND(N($J1177)=0,N($S1177)&gt;0),"MARINE=0 but net marine &gt;0; ","")&amp;IF(AND(N($J1177)=2,N($R1177)&gt;0),"MARINE=2 but net terrestrial &gt;0; ","")&amp;IF($K1177="Point","Buffered point – coverage approximate; ","")))</f>
        <v/>
      </c>
    </row>
    <row r="1178">
      <c r="A1178" s="19" t="n"/>
      <c r="B1178" s="19" t="n"/>
      <c r="C1178" s="19" t="n"/>
      <c r="D1178" s="19" t="n"/>
      <c r="E1178" s="19" t="n"/>
      <c r="F1178" s="19" t="n"/>
      <c r="G1178" s="19" t="n"/>
      <c r="H1178" s="19" t="n"/>
      <c r="I1178" s="19" t="n"/>
      <c r="J1178" s="19" t="n"/>
      <c r="K1178" s="19" t="n"/>
      <c r="L1178" s="20" t="n"/>
      <c r="M1178" s="20" t="n"/>
      <c r="N1178" s="20" t="n"/>
      <c r="O1178" s="20" t="n"/>
      <c r="P1178" s="19" t="n"/>
      <c r="Q1178" s="19" t="n"/>
      <c r="R1178" s="20" t="n"/>
      <c r="S1178" s="20" t="n"/>
      <c r="T1178" s="19" t="n"/>
      <c r="U1178" s="19" t="n"/>
      <c r="V1178" s="19" t="n"/>
      <c r="W1178" s="19" t="n"/>
      <c r="X1178" s="19" t="n"/>
      <c r="Y1178" s="19" t="n"/>
      <c r="Z1178" s="21">
        <f>IF(AND($A1178="",$B1178=""),"",IF(OR($E1178="",$H1178="",$H1178="Proposed",$H1178="Not Reported"),0,IF(AND($P1178="Y",$Q1178&lt;&gt;"Y"),0,IF(AND($K1178="Point",N($L1178)&lt;=0),0,IF(AND(N($L1178)&lt;=0,N($N1178)&lt;=0,N($R1178)+N($S1178)&lt;=0),0,1)))))</f>
        <v/>
      </c>
      <c r="AA1178" s="21">
        <f>IF(AND($A1178="",$B1178=""),"",IF($E1178="","Site type missing",IF($H1178="","STATUS missing",IF($H1178="Proposed","STATUS = Proposed",IF($H1178="Not Reported","STATUS = Not Reported",IF(AND($P1178="Y",$Q1178&lt;&gt;"Y"),"UNESCO-MAB Biosphere Reserve",IF(AND($K1178="Point",N($L1178)&lt;=0),"Point without REP_AREA",IF(AND(N($L1178)&lt;=0,N($N1178)&lt;=0,N($R1178)+N($S1178)&lt;=0),"No area information",""))))))))</f>
        <v/>
      </c>
      <c r="AB1178" s="22">
        <f>IF(AND($A1178="",$B1178=""),"",IF($K1178="Point",N($L1178),IF(N($N1178)&gt;0,N($N1178),N($L1178))))</f>
        <v/>
      </c>
      <c r="AC1178" s="22">
        <f>IF(AND($A1178="",$B1178=""),"",MIN(AB1178,IF(N($J1178)=0,0,IF(N($J1178)=2,AB1178,IF(AND($K1178&lt;&gt;"Point",N($O1178)&gt;0),N($O1178),N($M1178))))))</f>
        <v/>
      </c>
      <c r="AD1178" s="22">
        <f>IF(AND($A1178="",$B1178=""),"",MAX(0,AB1178-AC1178))</f>
        <v/>
      </c>
      <c r="AE1178" s="21">
        <f>IF(AND($A1178="",$B1178=""),"",IF(OR($R1178&lt;&gt;"",$S1178&lt;&gt;""),1,0))</f>
        <v/>
      </c>
      <c r="AF1178" s="22">
        <f>IF(AND($A1178="",$B1178=""),"",IF(Z1178=1,IF(AE1178=1,N($R1178),AD1178),0))</f>
        <v/>
      </c>
      <c r="AG1178" s="22">
        <f>IF(AND($A1178="",$B1178=""),"",IF(Z1178=1,IF(AE1178=1,N($S1178),AC1178),0))</f>
        <v/>
      </c>
      <c r="AH1178" s="21">
        <f>IF(AND($A1178="",$B1178=""),"",IF(AND(ISNUMBER($I1178),N($I1178)&gt;0),$I1178,0))</f>
        <v/>
      </c>
      <c r="AI1178" s="23">
        <f>IF(AND(NOT(AND($A1178="",$B1178="")),$K1178="Point",N($L1178)&gt;0),SQRT(N($L1178)/PI()),"")</f>
        <v/>
      </c>
      <c r="AJ1178" s="21">
        <f>IF(AND($A1178="",$B1178=""),"",IFERROR(VLOOKUP($G1178,Lists!$D$4:$E$15,2,FALSE),"Not reported"))</f>
        <v/>
      </c>
      <c r="AK1178" s="21">
        <f>IF(AND($A1178="",$B1178=""),"",IF($X1178&lt;&gt;"",$X1178,IF($T1178&lt;&gt;"Y","Not assessed",IF(AND(ISNUMBER($V1178),Setup!$B$6-$V1178&gt;Setup!$B$26),"Assessment outdated",IF(NOT(ISNUMBER($W1178)),"Assessed – no score",IF($W1178&gt;=Setup!$B$24,"High",IF($W1178&gt;=Setup!$B$25,"Moderate","Low")))))))</f>
        <v/>
      </c>
      <c r="AL1178" s="21">
        <f>IF(AND($A1178="",$B1178=""),"",IF(Z1178=0,"",IF(AND(AE1178=1,N($R1178)&gt;AD1178*1.01+0.001),"Net terrestrial &gt; gross; ","")&amp;IF(AND(AE1178=1,N($S1178)&gt;AC1178*1.01+0.001),"Net marine &gt; gross; ","")&amp;IF(AE1178=0,"No net area – gross used, overlaps may be double-counted; ","")&amp;IF(AH1178=0,"STATUS_YR missing – imputed in time series; ","")&amp;IF(AND(ISNUMBER($I1178),N($I1178)&gt;Setup!$B$6),"STATUS_YR after reporting year; ","")&amp;IF(OR($G1178="",$G1178="Not Reported"),"GOV_TYPE not reported; ","")&amp;IF(AND(N($J1178)=1,$K1178="Point",N($M1178)&lt;=0),"Coastal point without REP_M_AREA – land/sea split unknown; ","")&amp;IF(AND(N($J1178)=0,N($S1178)&gt;0),"MARINE=0 but net marine &gt;0; ","")&amp;IF(AND(N($J1178)=2,N($R1178)&gt;0),"MARINE=2 but net terrestrial &gt;0; ","")&amp;IF($K1178="Point","Buffered point – coverage approximate; ","")))</f>
        <v/>
      </c>
    </row>
    <row r="1179">
      <c r="A1179" s="19" t="n"/>
      <c r="B1179" s="19" t="n"/>
      <c r="C1179" s="19" t="n"/>
      <c r="D1179" s="19" t="n"/>
      <c r="E1179" s="19" t="n"/>
      <c r="F1179" s="19" t="n"/>
      <c r="G1179" s="19" t="n"/>
      <c r="H1179" s="19" t="n"/>
      <c r="I1179" s="19" t="n"/>
      <c r="J1179" s="19" t="n"/>
      <c r="K1179" s="19" t="n"/>
      <c r="L1179" s="20" t="n"/>
      <c r="M1179" s="20" t="n"/>
      <c r="N1179" s="20" t="n"/>
      <c r="O1179" s="20" t="n"/>
      <c r="P1179" s="19" t="n"/>
      <c r="Q1179" s="19" t="n"/>
      <c r="R1179" s="20" t="n"/>
      <c r="S1179" s="20" t="n"/>
      <c r="T1179" s="19" t="n"/>
      <c r="U1179" s="19" t="n"/>
      <c r="V1179" s="19" t="n"/>
      <c r="W1179" s="19" t="n"/>
      <c r="X1179" s="19" t="n"/>
      <c r="Y1179" s="19" t="n"/>
      <c r="Z1179" s="21">
        <f>IF(AND($A1179="",$B1179=""),"",IF(OR($E1179="",$H1179="",$H1179="Proposed",$H1179="Not Reported"),0,IF(AND($P1179="Y",$Q1179&lt;&gt;"Y"),0,IF(AND($K1179="Point",N($L1179)&lt;=0),0,IF(AND(N($L1179)&lt;=0,N($N1179)&lt;=0,N($R1179)+N($S1179)&lt;=0),0,1)))))</f>
        <v/>
      </c>
      <c r="AA1179" s="21">
        <f>IF(AND($A1179="",$B1179=""),"",IF($E1179="","Site type missing",IF($H1179="","STATUS missing",IF($H1179="Proposed","STATUS = Proposed",IF($H1179="Not Reported","STATUS = Not Reported",IF(AND($P1179="Y",$Q1179&lt;&gt;"Y"),"UNESCO-MAB Biosphere Reserve",IF(AND($K1179="Point",N($L1179)&lt;=0),"Point without REP_AREA",IF(AND(N($L1179)&lt;=0,N($N1179)&lt;=0,N($R1179)+N($S1179)&lt;=0),"No area information",""))))))))</f>
        <v/>
      </c>
      <c r="AB1179" s="22">
        <f>IF(AND($A1179="",$B1179=""),"",IF($K1179="Point",N($L1179),IF(N($N1179)&gt;0,N($N1179),N($L1179))))</f>
        <v/>
      </c>
      <c r="AC1179" s="22">
        <f>IF(AND($A1179="",$B1179=""),"",MIN(AB1179,IF(N($J1179)=0,0,IF(N($J1179)=2,AB1179,IF(AND($K1179&lt;&gt;"Point",N($O1179)&gt;0),N($O1179),N($M1179))))))</f>
        <v/>
      </c>
      <c r="AD1179" s="22">
        <f>IF(AND($A1179="",$B1179=""),"",MAX(0,AB1179-AC1179))</f>
        <v/>
      </c>
      <c r="AE1179" s="21">
        <f>IF(AND($A1179="",$B1179=""),"",IF(OR($R1179&lt;&gt;"",$S1179&lt;&gt;""),1,0))</f>
        <v/>
      </c>
      <c r="AF1179" s="22">
        <f>IF(AND($A1179="",$B1179=""),"",IF(Z1179=1,IF(AE1179=1,N($R1179),AD1179),0))</f>
        <v/>
      </c>
      <c r="AG1179" s="22">
        <f>IF(AND($A1179="",$B1179=""),"",IF(Z1179=1,IF(AE1179=1,N($S1179),AC1179),0))</f>
        <v/>
      </c>
      <c r="AH1179" s="21">
        <f>IF(AND($A1179="",$B1179=""),"",IF(AND(ISNUMBER($I1179),N($I1179)&gt;0),$I1179,0))</f>
        <v/>
      </c>
      <c r="AI1179" s="23">
        <f>IF(AND(NOT(AND($A1179="",$B1179="")),$K1179="Point",N($L1179)&gt;0),SQRT(N($L1179)/PI()),"")</f>
        <v/>
      </c>
      <c r="AJ1179" s="21">
        <f>IF(AND($A1179="",$B1179=""),"",IFERROR(VLOOKUP($G1179,Lists!$D$4:$E$15,2,FALSE),"Not reported"))</f>
        <v/>
      </c>
      <c r="AK1179" s="21">
        <f>IF(AND($A1179="",$B1179=""),"",IF($X1179&lt;&gt;"",$X1179,IF($T1179&lt;&gt;"Y","Not assessed",IF(AND(ISNUMBER($V1179),Setup!$B$6-$V1179&gt;Setup!$B$26),"Assessment outdated",IF(NOT(ISNUMBER($W1179)),"Assessed – no score",IF($W1179&gt;=Setup!$B$24,"High",IF($W1179&gt;=Setup!$B$25,"Moderate","Low")))))))</f>
        <v/>
      </c>
      <c r="AL1179" s="21">
        <f>IF(AND($A1179="",$B1179=""),"",IF(Z1179=0,"",IF(AND(AE1179=1,N($R1179)&gt;AD1179*1.01+0.001),"Net terrestrial &gt; gross; ","")&amp;IF(AND(AE1179=1,N($S1179)&gt;AC1179*1.01+0.001),"Net marine &gt; gross; ","")&amp;IF(AE1179=0,"No net area – gross used, overlaps may be double-counted; ","")&amp;IF(AH1179=0,"STATUS_YR missing – imputed in time series; ","")&amp;IF(AND(ISNUMBER($I1179),N($I1179)&gt;Setup!$B$6),"STATUS_YR after reporting year; ","")&amp;IF(OR($G1179="",$G1179="Not Reported"),"GOV_TYPE not reported; ","")&amp;IF(AND(N($J1179)=1,$K1179="Point",N($M1179)&lt;=0),"Coastal point without REP_M_AREA – land/sea split unknown; ","")&amp;IF(AND(N($J1179)=0,N($S1179)&gt;0),"MARINE=0 but net marine &gt;0; ","")&amp;IF(AND(N($J1179)=2,N($R1179)&gt;0),"MARINE=2 but net terrestrial &gt;0; ","")&amp;IF($K1179="Point","Buffered point – coverage approximate; ","")))</f>
        <v/>
      </c>
    </row>
    <row r="1180">
      <c r="A1180" s="19" t="n"/>
      <c r="B1180" s="19" t="n"/>
      <c r="C1180" s="19" t="n"/>
      <c r="D1180" s="19" t="n"/>
      <c r="E1180" s="19" t="n"/>
      <c r="F1180" s="19" t="n"/>
      <c r="G1180" s="19" t="n"/>
      <c r="H1180" s="19" t="n"/>
      <c r="I1180" s="19" t="n"/>
      <c r="J1180" s="19" t="n"/>
      <c r="K1180" s="19" t="n"/>
      <c r="L1180" s="20" t="n"/>
      <c r="M1180" s="20" t="n"/>
      <c r="N1180" s="20" t="n"/>
      <c r="O1180" s="20" t="n"/>
      <c r="P1180" s="19" t="n"/>
      <c r="Q1180" s="19" t="n"/>
      <c r="R1180" s="20" t="n"/>
      <c r="S1180" s="20" t="n"/>
      <c r="T1180" s="19" t="n"/>
      <c r="U1180" s="19" t="n"/>
      <c r="V1180" s="19" t="n"/>
      <c r="W1180" s="19" t="n"/>
      <c r="X1180" s="19" t="n"/>
      <c r="Y1180" s="19" t="n"/>
      <c r="Z1180" s="21">
        <f>IF(AND($A1180="",$B1180=""),"",IF(OR($E1180="",$H1180="",$H1180="Proposed",$H1180="Not Reported"),0,IF(AND($P1180="Y",$Q1180&lt;&gt;"Y"),0,IF(AND($K1180="Point",N($L1180)&lt;=0),0,IF(AND(N($L1180)&lt;=0,N($N1180)&lt;=0,N($R1180)+N($S1180)&lt;=0),0,1)))))</f>
        <v/>
      </c>
      <c r="AA1180" s="21">
        <f>IF(AND($A1180="",$B1180=""),"",IF($E1180="","Site type missing",IF($H1180="","STATUS missing",IF($H1180="Proposed","STATUS = Proposed",IF($H1180="Not Reported","STATUS = Not Reported",IF(AND($P1180="Y",$Q1180&lt;&gt;"Y"),"UNESCO-MAB Biosphere Reserve",IF(AND($K1180="Point",N($L1180)&lt;=0),"Point without REP_AREA",IF(AND(N($L1180)&lt;=0,N($N1180)&lt;=0,N($R1180)+N($S1180)&lt;=0),"No area information",""))))))))</f>
        <v/>
      </c>
      <c r="AB1180" s="22">
        <f>IF(AND($A1180="",$B1180=""),"",IF($K1180="Point",N($L1180),IF(N($N1180)&gt;0,N($N1180),N($L1180))))</f>
        <v/>
      </c>
      <c r="AC1180" s="22">
        <f>IF(AND($A1180="",$B1180=""),"",MIN(AB1180,IF(N($J1180)=0,0,IF(N($J1180)=2,AB1180,IF(AND($K1180&lt;&gt;"Point",N($O1180)&gt;0),N($O1180),N($M1180))))))</f>
        <v/>
      </c>
      <c r="AD1180" s="22">
        <f>IF(AND($A1180="",$B1180=""),"",MAX(0,AB1180-AC1180))</f>
        <v/>
      </c>
      <c r="AE1180" s="21">
        <f>IF(AND($A1180="",$B1180=""),"",IF(OR($R1180&lt;&gt;"",$S1180&lt;&gt;""),1,0))</f>
        <v/>
      </c>
      <c r="AF1180" s="22">
        <f>IF(AND($A1180="",$B1180=""),"",IF(Z1180=1,IF(AE1180=1,N($R1180),AD1180),0))</f>
        <v/>
      </c>
      <c r="AG1180" s="22">
        <f>IF(AND($A1180="",$B1180=""),"",IF(Z1180=1,IF(AE1180=1,N($S1180),AC1180),0))</f>
        <v/>
      </c>
      <c r="AH1180" s="21">
        <f>IF(AND($A1180="",$B1180=""),"",IF(AND(ISNUMBER($I1180),N($I1180)&gt;0),$I1180,0))</f>
        <v/>
      </c>
      <c r="AI1180" s="23">
        <f>IF(AND(NOT(AND($A1180="",$B1180="")),$K1180="Point",N($L1180)&gt;0),SQRT(N($L1180)/PI()),"")</f>
        <v/>
      </c>
      <c r="AJ1180" s="21">
        <f>IF(AND($A1180="",$B1180=""),"",IFERROR(VLOOKUP($G1180,Lists!$D$4:$E$15,2,FALSE),"Not reported"))</f>
        <v/>
      </c>
      <c r="AK1180" s="21">
        <f>IF(AND($A1180="",$B1180=""),"",IF($X1180&lt;&gt;"",$X1180,IF($T1180&lt;&gt;"Y","Not assessed",IF(AND(ISNUMBER($V1180),Setup!$B$6-$V1180&gt;Setup!$B$26),"Assessment outdated",IF(NOT(ISNUMBER($W1180)),"Assessed – no score",IF($W1180&gt;=Setup!$B$24,"High",IF($W1180&gt;=Setup!$B$25,"Moderate","Low")))))))</f>
        <v/>
      </c>
      <c r="AL1180" s="21">
        <f>IF(AND($A1180="",$B1180=""),"",IF(Z1180=0,"",IF(AND(AE1180=1,N($R1180)&gt;AD1180*1.01+0.001),"Net terrestrial &gt; gross; ","")&amp;IF(AND(AE1180=1,N($S1180)&gt;AC1180*1.01+0.001),"Net marine &gt; gross; ","")&amp;IF(AE1180=0,"No net area – gross used, overlaps may be double-counted; ","")&amp;IF(AH1180=0,"STATUS_YR missing – imputed in time series; ","")&amp;IF(AND(ISNUMBER($I1180),N($I1180)&gt;Setup!$B$6),"STATUS_YR after reporting year; ","")&amp;IF(OR($G1180="",$G1180="Not Reported"),"GOV_TYPE not reported; ","")&amp;IF(AND(N($J1180)=1,$K1180="Point",N($M1180)&lt;=0),"Coastal point without REP_M_AREA – land/sea split unknown; ","")&amp;IF(AND(N($J1180)=0,N($S1180)&gt;0),"MARINE=0 but net marine &gt;0; ","")&amp;IF(AND(N($J1180)=2,N($R1180)&gt;0),"MARINE=2 but net terrestrial &gt;0; ","")&amp;IF($K1180="Point","Buffered point – coverage approximate; ","")))</f>
        <v/>
      </c>
    </row>
    <row r="1181">
      <c r="A1181" s="19" t="n"/>
      <c r="B1181" s="19" t="n"/>
      <c r="C1181" s="19" t="n"/>
      <c r="D1181" s="19" t="n"/>
      <c r="E1181" s="19" t="n"/>
      <c r="F1181" s="19" t="n"/>
      <c r="G1181" s="19" t="n"/>
      <c r="H1181" s="19" t="n"/>
      <c r="I1181" s="19" t="n"/>
      <c r="J1181" s="19" t="n"/>
      <c r="K1181" s="19" t="n"/>
      <c r="L1181" s="20" t="n"/>
      <c r="M1181" s="20" t="n"/>
      <c r="N1181" s="20" t="n"/>
      <c r="O1181" s="20" t="n"/>
      <c r="P1181" s="19" t="n"/>
      <c r="Q1181" s="19" t="n"/>
      <c r="R1181" s="20" t="n"/>
      <c r="S1181" s="20" t="n"/>
      <c r="T1181" s="19" t="n"/>
      <c r="U1181" s="19" t="n"/>
      <c r="V1181" s="19" t="n"/>
      <c r="W1181" s="19" t="n"/>
      <c r="X1181" s="19" t="n"/>
      <c r="Y1181" s="19" t="n"/>
      <c r="Z1181" s="21">
        <f>IF(AND($A1181="",$B1181=""),"",IF(OR($E1181="",$H1181="",$H1181="Proposed",$H1181="Not Reported"),0,IF(AND($P1181="Y",$Q1181&lt;&gt;"Y"),0,IF(AND($K1181="Point",N($L1181)&lt;=0),0,IF(AND(N($L1181)&lt;=0,N($N1181)&lt;=0,N($R1181)+N($S1181)&lt;=0),0,1)))))</f>
        <v/>
      </c>
      <c r="AA1181" s="21">
        <f>IF(AND($A1181="",$B1181=""),"",IF($E1181="","Site type missing",IF($H1181="","STATUS missing",IF($H1181="Proposed","STATUS = Proposed",IF($H1181="Not Reported","STATUS = Not Reported",IF(AND($P1181="Y",$Q1181&lt;&gt;"Y"),"UNESCO-MAB Biosphere Reserve",IF(AND($K1181="Point",N($L1181)&lt;=0),"Point without REP_AREA",IF(AND(N($L1181)&lt;=0,N($N1181)&lt;=0,N($R1181)+N($S1181)&lt;=0),"No area information",""))))))))</f>
        <v/>
      </c>
      <c r="AB1181" s="22">
        <f>IF(AND($A1181="",$B1181=""),"",IF($K1181="Point",N($L1181),IF(N($N1181)&gt;0,N($N1181),N($L1181))))</f>
        <v/>
      </c>
      <c r="AC1181" s="22">
        <f>IF(AND($A1181="",$B1181=""),"",MIN(AB1181,IF(N($J1181)=0,0,IF(N($J1181)=2,AB1181,IF(AND($K1181&lt;&gt;"Point",N($O1181)&gt;0),N($O1181),N($M1181))))))</f>
        <v/>
      </c>
      <c r="AD1181" s="22">
        <f>IF(AND($A1181="",$B1181=""),"",MAX(0,AB1181-AC1181))</f>
        <v/>
      </c>
      <c r="AE1181" s="21">
        <f>IF(AND($A1181="",$B1181=""),"",IF(OR($R1181&lt;&gt;"",$S1181&lt;&gt;""),1,0))</f>
        <v/>
      </c>
      <c r="AF1181" s="22">
        <f>IF(AND($A1181="",$B1181=""),"",IF(Z1181=1,IF(AE1181=1,N($R1181),AD1181),0))</f>
        <v/>
      </c>
      <c r="AG1181" s="22">
        <f>IF(AND($A1181="",$B1181=""),"",IF(Z1181=1,IF(AE1181=1,N($S1181),AC1181),0))</f>
        <v/>
      </c>
      <c r="AH1181" s="21">
        <f>IF(AND($A1181="",$B1181=""),"",IF(AND(ISNUMBER($I1181),N($I1181)&gt;0),$I1181,0))</f>
        <v/>
      </c>
      <c r="AI1181" s="23">
        <f>IF(AND(NOT(AND($A1181="",$B1181="")),$K1181="Point",N($L1181)&gt;0),SQRT(N($L1181)/PI()),"")</f>
        <v/>
      </c>
      <c r="AJ1181" s="21">
        <f>IF(AND($A1181="",$B1181=""),"",IFERROR(VLOOKUP($G1181,Lists!$D$4:$E$15,2,FALSE),"Not reported"))</f>
        <v/>
      </c>
      <c r="AK1181" s="21">
        <f>IF(AND($A1181="",$B1181=""),"",IF($X1181&lt;&gt;"",$X1181,IF($T1181&lt;&gt;"Y","Not assessed",IF(AND(ISNUMBER($V1181),Setup!$B$6-$V1181&gt;Setup!$B$26),"Assessment outdated",IF(NOT(ISNUMBER($W1181)),"Assessed – no score",IF($W1181&gt;=Setup!$B$24,"High",IF($W1181&gt;=Setup!$B$25,"Moderate","Low")))))))</f>
        <v/>
      </c>
      <c r="AL1181" s="21">
        <f>IF(AND($A1181="",$B1181=""),"",IF(Z1181=0,"",IF(AND(AE1181=1,N($R1181)&gt;AD1181*1.01+0.001),"Net terrestrial &gt; gross; ","")&amp;IF(AND(AE1181=1,N($S1181)&gt;AC1181*1.01+0.001),"Net marine &gt; gross; ","")&amp;IF(AE1181=0,"No net area – gross used, overlaps may be double-counted; ","")&amp;IF(AH1181=0,"STATUS_YR missing – imputed in time series; ","")&amp;IF(AND(ISNUMBER($I1181),N($I1181)&gt;Setup!$B$6),"STATUS_YR after reporting year; ","")&amp;IF(OR($G1181="",$G1181="Not Reported"),"GOV_TYPE not reported; ","")&amp;IF(AND(N($J1181)=1,$K1181="Point",N($M1181)&lt;=0),"Coastal point without REP_M_AREA – land/sea split unknown; ","")&amp;IF(AND(N($J1181)=0,N($S1181)&gt;0),"MARINE=0 but net marine &gt;0; ","")&amp;IF(AND(N($J1181)=2,N($R1181)&gt;0),"MARINE=2 but net terrestrial &gt;0; ","")&amp;IF($K1181="Point","Buffered point – coverage approximate; ","")))</f>
        <v/>
      </c>
    </row>
    <row r="1182">
      <c r="A1182" s="19" t="n"/>
      <c r="B1182" s="19" t="n"/>
      <c r="C1182" s="19" t="n"/>
      <c r="D1182" s="19" t="n"/>
      <c r="E1182" s="19" t="n"/>
      <c r="F1182" s="19" t="n"/>
      <c r="G1182" s="19" t="n"/>
      <c r="H1182" s="19" t="n"/>
      <c r="I1182" s="19" t="n"/>
      <c r="J1182" s="19" t="n"/>
      <c r="K1182" s="19" t="n"/>
      <c r="L1182" s="20" t="n"/>
      <c r="M1182" s="20" t="n"/>
      <c r="N1182" s="20" t="n"/>
      <c r="O1182" s="20" t="n"/>
      <c r="P1182" s="19" t="n"/>
      <c r="Q1182" s="19" t="n"/>
      <c r="R1182" s="20" t="n"/>
      <c r="S1182" s="20" t="n"/>
      <c r="T1182" s="19" t="n"/>
      <c r="U1182" s="19" t="n"/>
      <c r="V1182" s="19" t="n"/>
      <c r="W1182" s="19" t="n"/>
      <c r="X1182" s="19" t="n"/>
      <c r="Y1182" s="19" t="n"/>
      <c r="Z1182" s="21">
        <f>IF(AND($A1182="",$B1182=""),"",IF(OR($E1182="",$H1182="",$H1182="Proposed",$H1182="Not Reported"),0,IF(AND($P1182="Y",$Q1182&lt;&gt;"Y"),0,IF(AND($K1182="Point",N($L1182)&lt;=0),0,IF(AND(N($L1182)&lt;=0,N($N1182)&lt;=0,N($R1182)+N($S1182)&lt;=0),0,1)))))</f>
        <v/>
      </c>
      <c r="AA1182" s="21">
        <f>IF(AND($A1182="",$B1182=""),"",IF($E1182="","Site type missing",IF($H1182="","STATUS missing",IF($H1182="Proposed","STATUS = Proposed",IF($H1182="Not Reported","STATUS = Not Reported",IF(AND($P1182="Y",$Q1182&lt;&gt;"Y"),"UNESCO-MAB Biosphere Reserve",IF(AND($K1182="Point",N($L1182)&lt;=0),"Point without REP_AREA",IF(AND(N($L1182)&lt;=0,N($N1182)&lt;=0,N($R1182)+N($S1182)&lt;=0),"No area information",""))))))))</f>
        <v/>
      </c>
      <c r="AB1182" s="22">
        <f>IF(AND($A1182="",$B1182=""),"",IF($K1182="Point",N($L1182),IF(N($N1182)&gt;0,N($N1182),N($L1182))))</f>
        <v/>
      </c>
      <c r="AC1182" s="22">
        <f>IF(AND($A1182="",$B1182=""),"",MIN(AB1182,IF(N($J1182)=0,0,IF(N($J1182)=2,AB1182,IF(AND($K1182&lt;&gt;"Point",N($O1182)&gt;0),N($O1182),N($M1182))))))</f>
        <v/>
      </c>
      <c r="AD1182" s="22">
        <f>IF(AND($A1182="",$B1182=""),"",MAX(0,AB1182-AC1182))</f>
        <v/>
      </c>
      <c r="AE1182" s="21">
        <f>IF(AND($A1182="",$B1182=""),"",IF(OR($R1182&lt;&gt;"",$S1182&lt;&gt;""),1,0))</f>
        <v/>
      </c>
      <c r="AF1182" s="22">
        <f>IF(AND($A1182="",$B1182=""),"",IF(Z1182=1,IF(AE1182=1,N($R1182),AD1182),0))</f>
        <v/>
      </c>
      <c r="AG1182" s="22">
        <f>IF(AND($A1182="",$B1182=""),"",IF(Z1182=1,IF(AE1182=1,N($S1182),AC1182),0))</f>
        <v/>
      </c>
      <c r="AH1182" s="21">
        <f>IF(AND($A1182="",$B1182=""),"",IF(AND(ISNUMBER($I1182),N($I1182)&gt;0),$I1182,0))</f>
        <v/>
      </c>
      <c r="AI1182" s="23">
        <f>IF(AND(NOT(AND($A1182="",$B1182="")),$K1182="Point",N($L1182)&gt;0),SQRT(N($L1182)/PI()),"")</f>
        <v/>
      </c>
      <c r="AJ1182" s="21">
        <f>IF(AND($A1182="",$B1182=""),"",IFERROR(VLOOKUP($G1182,Lists!$D$4:$E$15,2,FALSE),"Not reported"))</f>
        <v/>
      </c>
      <c r="AK1182" s="21">
        <f>IF(AND($A1182="",$B1182=""),"",IF($X1182&lt;&gt;"",$X1182,IF($T1182&lt;&gt;"Y","Not assessed",IF(AND(ISNUMBER($V1182),Setup!$B$6-$V1182&gt;Setup!$B$26),"Assessment outdated",IF(NOT(ISNUMBER($W1182)),"Assessed – no score",IF($W1182&gt;=Setup!$B$24,"High",IF($W1182&gt;=Setup!$B$25,"Moderate","Low")))))))</f>
        <v/>
      </c>
      <c r="AL1182" s="21">
        <f>IF(AND($A1182="",$B1182=""),"",IF(Z1182=0,"",IF(AND(AE1182=1,N($R1182)&gt;AD1182*1.01+0.001),"Net terrestrial &gt; gross; ","")&amp;IF(AND(AE1182=1,N($S1182)&gt;AC1182*1.01+0.001),"Net marine &gt; gross; ","")&amp;IF(AE1182=0,"No net area – gross used, overlaps may be double-counted; ","")&amp;IF(AH1182=0,"STATUS_YR missing – imputed in time series; ","")&amp;IF(AND(ISNUMBER($I1182),N($I1182)&gt;Setup!$B$6),"STATUS_YR after reporting year; ","")&amp;IF(OR($G1182="",$G1182="Not Reported"),"GOV_TYPE not reported; ","")&amp;IF(AND(N($J1182)=1,$K1182="Point",N($M1182)&lt;=0),"Coastal point without REP_M_AREA – land/sea split unknown; ","")&amp;IF(AND(N($J1182)=0,N($S1182)&gt;0),"MARINE=0 but net marine &gt;0; ","")&amp;IF(AND(N($J1182)=2,N($R1182)&gt;0),"MARINE=2 but net terrestrial &gt;0; ","")&amp;IF($K1182="Point","Buffered point – coverage approximate; ","")))</f>
        <v/>
      </c>
    </row>
    <row r="1183">
      <c r="A1183" s="19" t="n"/>
      <c r="B1183" s="19" t="n"/>
      <c r="C1183" s="19" t="n"/>
      <c r="D1183" s="19" t="n"/>
      <c r="E1183" s="19" t="n"/>
      <c r="F1183" s="19" t="n"/>
      <c r="G1183" s="19" t="n"/>
      <c r="H1183" s="19" t="n"/>
      <c r="I1183" s="19" t="n"/>
      <c r="J1183" s="19" t="n"/>
      <c r="K1183" s="19" t="n"/>
      <c r="L1183" s="20" t="n"/>
      <c r="M1183" s="20" t="n"/>
      <c r="N1183" s="20" t="n"/>
      <c r="O1183" s="20" t="n"/>
      <c r="P1183" s="19" t="n"/>
      <c r="Q1183" s="19" t="n"/>
      <c r="R1183" s="20" t="n"/>
      <c r="S1183" s="20" t="n"/>
      <c r="T1183" s="19" t="n"/>
      <c r="U1183" s="19" t="n"/>
      <c r="V1183" s="19" t="n"/>
      <c r="W1183" s="19" t="n"/>
      <c r="X1183" s="19" t="n"/>
      <c r="Y1183" s="19" t="n"/>
      <c r="Z1183" s="21">
        <f>IF(AND($A1183="",$B1183=""),"",IF(OR($E1183="",$H1183="",$H1183="Proposed",$H1183="Not Reported"),0,IF(AND($P1183="Y",$Q1183&lt;&gt;"Y"),0,IF(AND($K1183="Point",N($L1183)&lt;=0),0,IF(AND(N($L1183)&lt;=0,N($N1183)&lt;=0,N($R1183)+N($S1183)&lt;=0),0,1)))))</f>
        <v/>
      </c>
      <c r="AA1183" s="21">
        <f>IF(AND($A1183="",$B1183=""),"",IF($E1183="","Site type missing",IF($H1183="","STATUS missing",IF($H1183="Proposed","STATUS = Proposed",IF($H1183="Not Reported","STATUS = Not Reported",IF(AND($P1183="Y",$Q1183&lt;&gt;"Y"),"UNESCO-MAB Biosphere Reserve",IF(AND($K1183="Point",N($L1183)&lt;=0),"Point without REP_AREA",IF(AND(N($L1183)&lt;=0,N($N1183)&lt;=0,N($R1183)+N($S1183)&lt;=0),"No area information",""))))))))</f>
        <v/>
      </c>
      <c r="AB1183" s="22">
        <f>IF(AND($A1183="",$B1183=""),"",IF($K1183="Point",N($L1183),IF(N($N1183)&gt;0,N($N1183),N($L1183))))</f>
        <v/>
      </c>
      <c r="AC1183" s="22">
        <f>IF(AND($A1183="",$B1183=""),"",MIN(AB1183,IF(N($J1183)=0,0,IF(N($J1183)=2,AB1183,IF(AND($K1183&lt;&gt;"Point",N($O1183)&gt;0),N($O1183),N($M1183))))))</f>
        <v/>
      </c>
      <c r="AD1183" s="22">
        <f>IF(AND($A1183="",$B1183=""),"",MAX(0,AB1183-AC1183))</f>
        <v/>
      </c>
      <c r="AE1183" s="21">
        <f>IF(AND($A1183="",$B1183=""),"",IF(OR($R1183&lt;&gt;"",$S1183&lt;&gt;""),1,0))</f>
        <v/>
      </c>
      <c r="AF1183" s="22">
        <f>IF(AND($A1183="",$B1183=""),"",IF(Z1183=1,IF(AE1183=1,N($R1183),AD1183),0))</f>
        <v/>
      </c>
      <c r="AG1183" s="22">
        <f>IF(AND($A1183="",$B1183=""),"",IF(Z1183=1,IF(AE1183=1,N($S1183),AC1183),0))</f>
        <v/>
      </c>
      <c r="AH1183" s="21">
        <f>IF(AND($A1183="",$B1183=""),"",IF(AND(ISNUMBER($I1183),N($I1183)&gt;0),$I1183,0))</f>
        <v/>
      </c>
      <c r="AI1183" s="23">
        <f>IF(AND(NOT(AND($A1183="",$B1183="")),$K1183="Point",N($L1183)&gt;0),SQRT(N($L1183)/PI()),"")</f>
        <v/>
      </c>
      <c r="AJ1183" s="21">
        <f>IF(AND($A1183="",$B1183=""),"",IFERROR(VLOOKUP($G1183,Lists!$D$4:$E$15,2,FALSE),"Not reported"))</f>
        <v/>
      </c>
      <c r="AK1183" s="21">
        <f>IF(AND($A1183="",$B1183=""),"",IF($X1183&lt;&gt;"",$X1183,IF($T1183&lt;&gt;"Y","Not assessed",IF(AND(ISNUMBER($V1183),Setup!$B$6-$V1183&gt;Setup!$B$26),"Assessment outdated",IF(NOT(ISNUMBER($W1183)),"Assessed – no score",IF($W1183&gt;=Setup!$B$24,"High",IF($W1183&gt;=Setup!$B$25,"Moderate","Low")))))))</f>
        <v/>
      </c>
      <c r="AL1183" s="21">
        <f>IF(AND($A1183="",$B1183=""),"",IF(Z1183=0,"",IF(AND(AE1183=1,N($R1183)&gt;AD1183*1.01+0.001),"Net terrestrial &gt; gross; ","")&amp;IF(AND(AE1183=1,N($S1183)&gt;AC1183*1.01+0.001),"Net marine &gt; gross; ","")&amp;IF(AE1183=0,"No net area – gross used, overlaps may be double-counted; ","")&amp;IF(AH1183=0,"STATUS_YR missing – imputed in time series; ","")&amp;IF(AND(ISNUMBER($I1183),N($I1183)&gt;Setup!$B$6),"STATUS_YR after reporting year; ","")&amp;IF(OR($G1183="",$G1183="Not Reported"),"GOV_TYPE not reported; ","")&amp;IF(AND(N($J1183)=1,$K1183="Point",N($M1183)&lt;=0),"Coastal point without REP_M_AREA – land/sea split unknown; ","")&amp;IF(AND(N($J1183)=0,N($S1183)&gt;0),"MARINE=0 but net marine &gt;0; ","")&amp;IF(AND(N($J1183)=2,N($R1183)&gt;0),"MARINE=2 but net terrestrial &gt;0; ","")&amp;IF($K1183="Point","Buffered point – coverage approximate; ","")))</f>
        <v/>
      </c>
    </row>
    <row r="1184">
      <c r="A1184" s="19" t="n"/>
      <c r="B1184" s="19" t="n"/>
      <c r="C1184" s="19" t="n"/>
      <c r="D1184" s="19" t="n"/>
      <c r="E1184" s="19" t="n"/>
      <c r="F1184" s="19" t="n"/>
      <c r="G1184" s="19" t="n"/>
      <c r="H1184" s="19" t="n"/>
      <c r="I1184" s="19" t="n"/>
      <c r="J1184" s="19" t="n"/>
      <c r="K1184" s="19" t="n"/>
      <c r="L1184" s="20" t="n"/>
      <c r="M1184" s="20" t="n"/>
      <c r="N1184" s="20" t="n"/>
      <c r="O1184" s="20" t="n"/>
      <c r="P1184" s="19" t="n"/>
      <c r="Q1184" s="19" t="n"/>
      <c r="R1184" s="20" t="n"/>
      <c r="S1184" s="20" t="n"/>
      <c r="T1184" s="19" t="n"/>
      <c r="U1184" s="19" t="n"/>
      <c r="V1184" s="19" t="n"/>
      <c r="W1184" s="19" t="n"/>
      <c r="X1184" s="19" t="n"/>
      <c r="Y1184" s="19" t="n"/>
      <c r="Z1184" s="21">
        <f>IF(AND($A1184="",$B1184=""),"",IF(OR($E1184="",$H1184="",$H1184="Proposed",$H1184="Not Reported"),0,IF(AND($P1184="Y",$Q1184&lt;&gt;"Y"),0,IF(AND($K1184="Point",N($L1184)&lt;=0),0,IF(AND(N($L1184)&lt;=0,N($N1184)&lt;=0,N($R1184)+N($S1184)&lt;=0),0,1)))))</f>
        <v/>
      </c>
      <c r="AA1184" s="21">
        <f>IF(AND($A1184="",$B1184=""),"",IF($E1184="","Site type missing",IF($H1184="","STATUS missing",IF($H1184="Proposed","STATUS = Proposed",IF($H1184="Not Reported","STATUS = Not Reported",IF(AND($P1184="Y",$Q1184&lt;&gt;"Y"),"UNESCO-MAB Biosphere Reserve",IF(AND($K1184="Point",N($L1184)&lt;=0),"Point without REP_AREA",IF(AND(N($L1184)&lt;=0,N($N1184)&lt;=0,N($R1184)+N($S1184)&lt;=0),"No area information",""))))))))</f>
        <v/>
      </c>
      <c r="AB1184" s="22">
        <f>IF(AND($A1184="",$B1184=""),"",IF($K1184="Point",N($L1184),IF(N($N1184)&gt;0,N($N1184),N($L1184))))</f>
        <v/>
      </c>
      <c r="AC1184" s="22">
        <f>IF(AND($A1184="",$B1184=""),"",MIN(AB1184,IF(N($J1184)=0,0,IF(N($J1184)=2,AB1184,IF(AND($K1184&lt;&gt;"Point",N($O1184)&gt;0),N($O1184),N($M1184))))))</f>
        <v/>
      </c>
      <c r="AD1184" s="22">
        <f>IF(AND($A1184="",$B1184=""),"",MAX(0,AB1184-AC1184))</f>
        <v/>
      </c>
      <c r="AE1184" s="21">
        <f>IF(AND($A1184="",$B1184=""),"",IF(OR($R1184&lt;&gt;"",$S1184&lt;&gt;""),1,0))</f>
        <v/>
      </c>
      <c r="AF1184" s="22">
        <f>IF(AND($A1184="",$B1184=""),"",IF(Z1184=1,IF(AE1184=1,N($R1184),AD1184),0))</f>
        <v/>
      </c>
      <c r="AG1184" s="22">
        <f>IF(AND($A1184="",$B1184=""),"",IF(Z1184=1,IF(AE1184=1,N($S1184),AC1184),0))</f>
        <v/>
      </c>
      <c r="AH1184" s="21">
        <f>IF(AND($A1184="",$B1184=""),"",IF(AND(ISNUMBER($I1184),N($I1184)&gt;0),$I1184,0))</f>
        <v/>
      </c>
      <c r="AI1184" s="23">
        <f>IF(AND(NOT(AND($A1184="",$B1184="")),$K1184="Point",N($L1184)&gt;0),SQRT(N($L1184)/PI()),"")</f>
        <v/>
      </c>
      <c r="AJ1184" s="21">
        <f>IF(AND($A1184="",$B1184=""),"",IFERROR(VLOOKUP($G1184,Lists!$D$4:$E$15,2,FALSE),"Not reported"))</f>
        <v/>
      </c>
      <c r="AK1184" s="21">
        <f>IF(AND($A1184="",$B1184=""),"",IF($X1184&lt;&gt;"",$X1184,IF($T1184&lt;&gt;"Y","Not assessed",IF(AND(ISNUMBER($V1184),Setup!$B$6-$V1184&gt;Setup!$B$26),"Assessment outdated",IF(NOT(ISNUMBER($W1184)),"Assessed – no score",IF($W1184&gt;=Setup!$B$24,"High",IF($W1184&gt;=Setup!$B$25,"Moderate","Low")))))))</f>
        <v/>
      </c>
      <c r="AL1184" s="21">
        <f>IF(AND($A1184="",$B1184=""),"",IF(Z1184=0,"",IF(AND(AE1184=1,N($R1184)&gt;AD1184*1.01+0.001),"Net terrestrial &gt; gross; ","")&amp;IF(AND(AE1184=1,N($S1184)&gt;AC1184*1.01+0.001),"Net marine &gt; gross; ","")&amp;IF(AE1184=0,"No net area – gross used, overlaps may be double-counted; ","")&amp;IF(AH1184=0,"STATUS_YR missing – imputed in time series; ","")&amp;IF(AND(ISNUMBER($I1184),N($I1184)&gt;Setup!$B$6),"STATUS_YR after reporting year; ","")&amp;IF(OR($G1184="",$G1184="Not Reported"),"GOV_TYPE not reported; ","")&amp;IF(AND(N($J1184)=1,$K1184="Point",N($M1184)&lt;=0),"Coastal point without REP_M_AREA – land/sea split unknown; ","")&amp;IF(AND(N($J1184)=0,N($S1184)&gt;0),"MARINE=0 but net marine &gt;0; ","")&amp;IF(AND(N($J1184)=2,N($R1184)&gt;0),"MARINE=2 but net terrestrial &gt;0; ","")&amp;IF($K1184="Point","Buffered point – coverage approximate; ","")))</f>
        <v/>
      </c>
    </row>
    <row r="1185">
      <c r="A1185" s="19" t="n"/>
      <c r="B1185" s="19" t="n"/>
      <c r="C1185" s="19" t="n"/>
      <c r="D1185" s="19" t="n"/>
      <c r="E1185" s="19" t="n"/>
      <c r="F1185" s="19" t="n"/>
      <c r="G1185" s="19" t="n"/>
      <c r="H1185" s="19" t="n"/>
      <c r="I1185" s="19" t="n"/>
      <c r="J1185" s="19" t="n"/>
      <c r="K1185" s="19" t="n"/>
      <c r="L1185" s="20" t="n"/>
      <c r="M1185" s="20" t="n"/>
      <c r="N1185" s="20" t="n"/>
      <c r="O1185" s="20" t="n"/>
      <c r="P1185" s="19" t="n"/>
      <c r="Q1185" s="19" t="n"/>
      <c r="R1185" s="20" t="n"/>
      <c r="S1185" s="20" t="n"/>
      <c r="T1185" s="19" t="n"/>
      <c r="U1185" s="19" t="n"/>
      <c r="V1185" s="19" t="n"/>
      <c r="W1185" s="19" t="n"/>
      <c r="X1185" s="19" t="n"/>
      <c r="Y1185" s="19" t="n"/>
      <c r="Z1185" s="21">
        <f>IF(AND($A1185="",$B1185=""),"",IF(OR($E1185="",$H1185="",$H1185="Proposed",$H1185="Not Reported"),0,IF(AND($P1185="Y",$Q1185&lt;&gt;"Y"),0,IF(AND($K1185="Point",N($L1185)&lt;=0),0,IF(AND(N($L1185)&lt;=0,N($N1185)&lt;=0,N($R1185)+N($S1185)&lt;=0),0,1)))))</f>
        <v/>
      </c>
      <c r="AA1185" s="21">
        <f>IF(AND($A1185="",$B1185=""),"",IF($E1185="","Site type missing",IF($H1185="","STATUS missing",IF($H1185="Proposed","STATUS = Proposed",IF($H1185="Not Reported","STATUS = Not Reported",IF(AND($P1185="Y",$Q1185&lt;&gt;"Y"),"UNESCO-MAB Biosphere Reserve",IF(AND($K1185="Point",N($L1185)&lt;=0),"Point without REP_AREA",IF(AND(N($L1185)&lt;=0,N($N1185)&lt;=0,N($R1185)+N($S1185)&lt;=0),"No area information",""))))))))</f>
        <v/>
      </c>
      <c r="AB1185" s="22">
        <f>IF(AND($A1185="",$B1185=""),"",IF($K1185="Point",N($L1185),IF(N($N1185)&gt;0,N($N1185),N($L1185))))</f>
        <v/>
      </c>
      <c r="AC1185" s="22">
        <f>IF(AND($A1185="",$B1185=""),"",MIN(AB1185,IF(N($J1185)=0,0,IF(N($J1185)=2,AB1185,IF(AND($K1185&lt;&gt;"Point",N($O1185)&gt;0),N($O1185),N($M1185))))))</f>
        <v/>
      </c>
      <c r="AD1185" s="22">
        <f>IF(AND($A1185="",$B1185=""),"",MAX(0,AB1185-AC1185))</f>
        <v/>
      </c>
      <c r="AE1185" s="21">
        <f>IF(AND($A1185="",$B1185=""),"",IF(OR($R1185&lt;&gt;"",$S1185&lt;&gt;""),1,0))</f>
        <v/>
      </c>
      <c r="AF1185" s="22">
        <f>IF(AND($A1185="",$B1185=""),"",IF(Z1185=1,IF(AE1185=1,N($R1185),AD1185),0))</f>
        <v/>
      </c>
      <c r="AG1185" s="22">
        <f>IF(AND($A1185="",$B1185=""),"",IF(Z1185=1,IF(AE1185=1,N($S1185),AC1185),0))</f>
        <v/>
      </c>
      <c r="AH1185" s="21">
        <f>IF(AND($A1185="",$B1185=""),"",IF(AND(ISNUMBER($I1185),N($I1185)&gt;0),$I1185,0))</f>
        <v/>
      </c>
      <c r="AI1185" s="23">
        <f>IF(AND(NOT(AND($A1185="",$B1185="")),$K1185="Point",N($L1185)&gt;0),SQRT(N($L1185)/PI()),"")</f>
        <v/>
      </c>
      <c r="AJ1185" s="21">
        <f>IF(AND($A1185="",$B1185=""),"",IFERROR(VLOOKUP($G1185,Lists!$D$4:$E$15,2,FALSE),"Not reported"))</f>
        <v/>
      </c>
      <c r="AK1185" s="21">
        <f>IF(AND($A1185="",$B1185=""),"",IF($X1185&lt;&gt;"",$X1185,IF($T1185&lt;&gt;"Y","Not assessed",IF(AND(ISNUMBER($V1185),Setup!$B$6-$V1185&gt;Setup!$B$26),"Assessment outdated",IF(NOT(ISNUMBER($W1185)),"Assessed – no score",IF($W1185&gt;=Setup!$B$24,"High",IF($W1185&gt;=Setup!$B$25,"Moderate","Low")))))))</f>
        <v/>
      </c>
      <c r="AL1185" s="21">
        <f>IF(AND($A1185="",$B1185=""),"",IF(Z1185=0,"",IF(AND(AE1185=1,N($R1185)&gt;AD1185*1.01+0.001),"Net terrestrial &gt; gross; ","")&amp;IF(AND(AE1185=1,N($S1185)&gt;AC1185*1.01+0.001),"Net marine &gt; gross; ","")&amp;IF(AE1185=0,"No net area – gross used, overlaps may be double-counted; ","")&amp;IF(AH1185=0,"STATUS_YR missing – imputed in time series; ","")&amp;IF(AND(ISNUMBER($I1185),N($I1185)&gt;Setup!$B$6),"STATUS_YR after reporting year; ","")&amp;IF(OR($G1185="",$G1185="Not Reported"),"GOV_TYPE not reported; ","")&amp;IF(AND(N($J1185)=1,$K1185="Point",N($M1185)&lt;=0),"Coastal point without REP_M_AREA – land/sea split unknown; ","")&amp;IF(AND(N($J1185)=0,N($S1185)&gt;0),"MARINE=0 but net marine &gt;0; ","")&amp;IF(AND(N($J1185)=2,N($R1185)&gt;0),"MARINE=2 but net terrestrial &gt;0; ","")&amp;IF($K1185="Point","Buffered point – coverage approximate; ","")))</f>
        <v/>
      </c>
    </row>
    <row r="1186">
      <c r="A1186" s="19" t="n"/>
      <c r="B1186" s="19" t="n"/>
      <c r="C1186" s="19" t="n"/>
      <c r="D1186" s="19" t="n"/>
      <c r="E1186" s="19" t="n"/>
      <c r="F1186" s="19" t="n"/>
      <c r="G1186" s="19" t="n"/>
      <c r="H1186" s="19" t="n"/>
      <c r="I1186" s="19" t="n"/>
      <c r="J1186" s="19" t="n"/>
      <c r="K1186" s="19" t="n"/>
      <c r="L1186" s="20" t="n"/>
      <c r="M1186" s="20" t="n"/>
      <c r="N1186" s="20" t="n"/>
      <c r="O1186" s="20" t="n"/>
      <c r="P1186" s="19" t="n"/>
      <c r="Q1186" s="19" t="n"/>
      <c r="R1186" s="20" t="n"/>
      <c r="S1186" s="20" t="n"/>
      <c r="T1186" s="19" t="n"/>
      <c r="U1186" s="19" t="n"/>
      <c r="V1186" s="19" t="n"/>
      <c r="W1186" s="19" t="n"/>
      <c r="X1186" s="19" t="n"/>
      <c r="Y1186" s="19" t="n"/>
      <c r="Z1186" s="21">
        <f>IF(AND($A1186="",$B1186=""),"",IF(OR($E1186="",$H1186="",$H1186="Proposed",$H1186="Not Reported"),0,IF(AND($P1186="Y",$Q1186&lt;&gt;"Y"),0,IF(AND($K1186="Point",N($L1186)&lt;=0),0,IF(AND(N($L1186)&lt;=0,N($N1186)&lt;=0,N($R1186)+N($S1186)&lt;=0),0,1)))))</f>
        <v/>
      </c>
      <c r="AA1186" s="21">
        <f>IF(AND($A1186="",$B1186=""),"",IF($E1186="","Site type missing",IF($H1186="","STATUS missing",IF($H1186="Proposed","STATUS = Proposed",IF($H1186="Not Reported","STATUS = Not Reported",IF(AND($P1186="Y",$Q1186&lt;&gt;"Y"),"UNESCO-MAB Biosphere Reserve",IF(AND($K1186="Point",N($L1186)&lt;=0),"Point without REP_AREA",IF(AND(N($L1186)&lt;=0,N($N1186)&lt;=0,N($R1186)+N($S1186)&lt;=0),"No area information",""))))))))</f>
        <v/>
      </c>
      <c r="AB1186" s="22">
        <f>IF(AND($A1186="",$B1186=""),"",IF($K1186="Point",N($L1186),IF(N($N1186)&gt;0,N($N1186),N($L1186))))</f>
        <v/>
      </c>
      <c r="AC1186" s="22">
        <f>IF(AND($A1186="",$B1186=""),"",MIN(AB1186,IF(N($J1186)=0,0,IF(N($J1186)=2,AB1186,IF(AND($K1186&lt;&gt;"Point",N($O1186)&gt;0),N($O1186),N($M1186))))))</f>
        <v/>
      </c>
      <c r="AD1186" s="22">
        <f>IF(AND($A1186="",$B1186=""),"",MAX(0,AB1186-AC1186))</f>
        <v/>
      </c>
      <c r="AE1186" s="21">
        <f>IF(AND($A1186="",$B1186=""),"",IF(OR($R1186&lt;&gt;"",$S1186&lt;&gt;""),1,0))</f>
        <v/>
      </c>
      <c r="AF1186" s="22">
        <f>IF(AND($A1186="",$B1186=""),"",IF(Z1186=1,IF(AE1186=1,N($R1186),AD1186),0))</f>
        <v/>
      </c>
      <c r="AG1186" s="22">
        <f>IF(AND($A1186="",$B1186=""),"",IF(Z1186=1,IF(AE1186=1,N($S1186),AC1186),0))</f>
        <v/>
      </c>
      <c r="AH1186" s="21">
        <f>IF(AND($A1186="",$B1186=""),"",IF(AND(ISNUMBER($I1186),N($I1186)&gt;0),$I1186,0))</f>
        <v/>
      </c>
      <c r="AI1186" s="23">
        <f>IF(AND(NOT(AND($A1186="",$B1186="")),$K1186="Point",N($L1186)&gt;0),SQRT(N($L1186)/PI()),"")</f>
        <v/>
      </c>
      <c r="AJ1186" s="21">
        <f>IF(AND($A1186="",$B1186=""),"",IFERROR(VLOOKUP($G1186,Lists!$D$4:$E$15,2,FALSE),"Not reported"))</f>
        <v/>
      </c>
      <c r="AK1186" s="21">
        <f>IF(AND($A1186="",$B1186=""),"",IF($X1186&lt;&gt;"",$X1186,IF($T1186&lt;&gt;"Y","Not assessed",IF(AND(ISNUMBER($V1186),Setup!$B$6-$V1186&gt;Setup!$B$26),"Assessment outdated",IF(NOT(ISNUMBER($W1186)),"Assessed – no score",IF($W1186&gt;=Setup!$B$24,"High",IF($W1186&gt;=Setup!$B$25,"Moderate","Low")))))))</f>
        <v/>
      </c>
      <c r="AL1186" s="21">
        <f>IF(AND($A1186="",$B1186=""),"",IF(Z1186=0,"",IF(AND(AE1186=1,N($R1186)&gt;AD1186*1.01+0.001),"Net terrestrial &gt; gross; ","")&amp;IF(AND(AE1186=1,N($S1186)&gt;AC1186*1.01+0.001),"Net marine &gt; gross; ","")&amp;IF(AE1186=0,"No net area – gross used, overlaps may be double-counted; ","")&amp;IF(AH1186=0,"STATUS_YR missing – imputed in time series; ","")&amp;IF(AND(ISNUMBER($I1186),N($I1186)&gt;Setup!$B$6),"STATUS_YR after reporting year; ","")&amp;IF(OR($G1186="",$G1186="Not Reported"),"GOV_TYPE not reported; ","")&amp;IF(AND(N($J1186)=1,$K1186="Point",N($M1186)&lt;=0),"Coastal point without REP_M_AREA – land/sea split unknown; ","")&amp;IF(AND(N($J1186)=0,N($S1186)&gt;0),"MARINE=0 but net marine &gt;0; ","")&amp;IF(AND(N($J1186)=2,N($R1186)&gt;0),"MARINE=2 but net terrestrial &gt;0; ","")&amp;IF($K1186="Point","Buffered point – coverage approximate; ","")))</f>
        <v/>
      </c>
    </row>
    <row r="1187">
      <c r="A1187" s="19" t="n"/>
      <c r="B1187" s="19" t="n"/>
      <c r="C1187" s="19" t="n"/>
      <c r="D1187" s="19" t="n"/>
      <c r="E1187" s="19" t="n"/>
      <c r="F1187" s="19" t="n"/>
      <c r="G1187" s="19" t="n"/>
      <c r="H1187" s="19" t="n"/>
      <c r="I1187" s="19" t="n"/>
      <c r="J1187" s="19" t="n"/>
      <c r="K1187" s="19" t="n"/>
      <c r="L1187" s="20" t="n"/>
      <c r="M1187" s="20" t="n"/>
      <c r="N1187" s="20" t="n"/>
      <c r="O1187" s="20" t="n"/>
      <c r="P1187" s="19" t="n"/>
      <c r="Q1187" s="19" t="n"/>
      <c r="R1187" s="20" t="n"/>
      <c r="S1187" s="20" t="n"/>
      <c r="T1187" s="19" t="n"/>
      <c r="U1187" s="19" t="n"/>
      <c r="V1187" s="19" t="n"/>
      <c r="W1187" s="19" t="n"/>
      <c r="X1187" s="19" t="n"/>
      <c r="Y1187" s="19" t="n"/>
      <c r="Z1187" s="21">
        <f>IF(AND($A1187="",$B1187=""),"",IF(OR($E1187="",$H1187="",$H1187="Proposed",$H1187="Not Reported"),0,IF(AND($P1187="Y",$Q1187&lt;&gt;"Y"),0,IF(AND($K1187="Point",N($L1187)&lt;=0),0,IF(AND(N($L1187)&lt;=0,N($N1187)&lt;=0,N($R1187)+N($S1187)&lt;=0),0,1)))))</f>
        <v/>
      </c>
      <c r="AA1187" s="21">
        <f>IF(AND($A1187="",$B1187=""),"",IF($E1187="","Site type missing",IF($H1187="","STATUS missing",IF($H1187="Proposed","STATUS = Proposed",IF($H1187="Not Reported","STATUS = Not Reported",IF(AND($P1187="Y",$Q1187&lt;&gt;"Y"),"UNESCO-MAB Biosphere Reserve",IF(AND($K1187="Point",N($L1187)&lt;=0),"Point without REP_AREA",IF(AND(N($L1187)&lt;=0,N($N1187)&lt;=0,N($R1187)+N($S1187)&lt;=0),"No area information",""))))))))</f>
        <v/>
      </c>
      <c r="AB1187" s="22">
        <f>IF(AND($A1187="",$B1187=""),"",IF($K1187="Point",N($L1187),IF(N($N1187)&gt;0,N($N1187),N($L1187))))</f>
        <v/>
      </c>
      <c r="AC1187" s="22">
        <f>IF(AND($A1187="",$B1187=""),"",MIN(AB1187,IF(N($J1187)=0,0,IF(N($J1187)=2,AB1187,IF(AND($K1187&lt;&gt;"Point",N($O1187)&gt;0),N($O1187),N($M1187))))))</f>
        <v/>
      </c>
      <c r="AD1187" s="22">
        <f>IF(AND($A1187="",$B1187=""),"",MAX(0,AB1187-AC1187))</f>
        <v/>
      </c>
      <c r="AE1187" s="21">
        <f>IF(AND($A1187="",$B1187=""),"",IF(OR($R1187&lt;&gt;"",$S1187&lt;&gt;""),1,0))</f>
        <v/>
      </c>
      <c r="AF1187" s="22">
        <f>IF(AND($A1187="",$B1187=""),"",IF(Z1187=1,IF(AE1187=1,N($R1187),AD1187),0))</f>
        <v/>
      </c>
      <c r="AG1187" s="22">
        <f>IF(AND($A1187="",$B1187=""),"",IF(Z1187=1,IF(AE1187=1,N($S1187),AC1187),0))</f>
        <v/>
      </c>
      <c r="AH1187" s="21">
        <f>IF(AND($A1187="",$B1187=""),"",IF(AND(ISNUMBER($I1187),N($I1187)&gt;0),$I1187,0))</f>
        <v/>
      </c>
      <c r="AI1187" s="23">
        <f>IF(AND(NOT(AND($A1187="",$B1187="")),$K1187="Point",N($L1187)&gt;0),SQRT(N($L1187)/PI()),"")</f>
        <v/>
      </c>
      <c r="AJ1187" s="21">
        <f>IF(AND($A1187="",$B1187=""),"",IFERROR(VLOOKUP($G1187,Lists!$D$4:$E$15,2,FALSE),"Not reported"))</f>
        <v/>
      </c>
      <c r="AK1187" s="21">
        <f>IF(AND($A1187="",$B1187=""),"",IF($X1187&lt;&gt;"",$X1187,IF($T1187&lt;&gt;"Y","Not assessed",IF(AND(ISNUMBER($V1187),Setup!$B$6-$V1187&gt;Setup!$B$26),"Assessment outdated",IF(NOT(ISNUMBER($W1187)),"Assessed – no score",IF($W1187&gt;=Setup!$B$24,"High",IF($W1187&gt;=Setup!$B$25,"Moderate","Low")))))))</f>
        <v/>
      </c>
      <c r="AL1187" s="21">
        <f>IF(AND($A1187="",$B1187=""),"",IF(Z1187=0,"",IF(AND(AE1187=1,N($R1187)&gt;AD1187*1.01+0.001),"Net terrestrial &gt; gross; ","")&amp;IF(AND(AE1187=1,N($S1187)&gt;AC1187*1.01+0.001),"Net marine &gt; gross; ","")&amp;IF(AE1187=0,"No net area – gross used, overlaps may be double-counted; ","")&amp;IF(AH1187=0,"STATUS_YR missing – imputed in time series; ","")&amp;IF(AND(ISNUMBER($I1187),N($I1187)&gt;Setup!$B$6),"STATUS_YR after reporting year; ","")&amp;IF(OR($G1187="",$G1187="Not Reported"),"GOV_TYPE not reported; ","")&amp;IF(AND(N($J1187)=1,$K1187="Point",N($M1187)&lt;=0),"Coastal point without REP_M_AREA – land/sea split unknown; ","")&amp;IF(AND(N($J1187)=0,N($S1187)&gt;0),"MARINE=0 but net marine &gt;0; ","")&amp;IF(AND(N($J1187)=2,N($R1187)&gt;0),"MARINE=2 but net terrestrial &gt;0; ","")&amp;IF($K1187="Point","Buffered point – coverage approximate; ","")))</f>
        <v/>
      </c>
    </row>
    <row r="1188">
      <c r="A1188" s="19" t="n"/>
      <c r="B1188" s="19" t="n"/>
      <c r="C1188" s="19" t="n"/>
      <c r="D1188" s="19" t="n"/>
      <c r="E1188" s="19" t="n"/>
      <c r="F1188" s="19" t="n"/>
      <c r="G1188" s="19" t="n"/>
      <c r="H1188" s="19" t="n"/>
      <c r="I1188" s="19" t="n"/>
      <c r="J1188" s="19" t="n"/>
      <c r="K1188" s="19" t="n"/>
      <c r="L1188" s="20" t="n"/>
      <c r="M1188" s="20" t="n"/>
      <c r="N1188" s="20" t="n"/>
      <c r="O1188" s="20" t="n"/>
      <c r="P1188" s="19" t="n"/>
      <c r="Q1188" s="19" t="n"/>
      <c r="R1188" s="20" t="n"/>
      <c r="S1188" s="20" t="n"/>
      <c r="T1188" s="19" t="n"/>
      <c r="U1188" s="19" t="n"/>
      <c r="V1188" s="19" t="n"/>
      <c r="W1188" s="19" t="n"/>
      <c r="X1188" s="19" t="n"/>
      <c r="Y1188" s="19" t="n"/>
      <c r="Z1188" s="21">
        <f>IF(AND($A1188="",$B1188=""),"",IF(OR($E1188="",$H1188="",$H1188="Proposed",$H1188="Not Reported"),0,IF(AND($P1188="Y",$Q1188&lt;&gt;"Y"),0,IF(AND($K1188="Point",N($L1188)&lt;=0),0,IF(AND(N($L1188)&lt;=0,N($N1188)&lt;=0,N($R1188)+N($S1188)&lt;=0),0,1)))))</f>
        <v/>
      </c>
      <c r="AA1188" s="21">
        <f>IF(AND($A1188="",$B1188=""),"",IF($E1188="","Site type missing",IF($H1188="","STATUS missing",IF($H1188="Proposed","STATUS = Proposed",IF($H1188="Not Reported","STATUS = Not Reported",IF(AND($P1188="Y",$Q1188&lt;&gt;"Y"),"UNESCO-MAB Biosphere Reserve",IF(AND($K1188="Point",N($L1188)&lt;=0),"Point without REP_AREA",IF(AND(N($L1188)&lt;=0,N($N1188)&lt;=0,N($R1188)+N($S1188)&lt;=0),"No area information",""))))))))</f>
        <v/>
      </c>
      <c r="AB1188" s="22">
        <f>IF(AND($A1188="",$B1188=""),"",IF($K1188="Point",N($L1188),IF(N($N1188)&gt;0,N($N1188),N($L1188))))</f>
        <v/>
      </c>
      <c r="AC1188" s="22">
        <f>IF(AND($A1188="",$B1188=""),"",MIN(AB1188,IF(N($J1188)=0,0,IF(N($J1188)=2,AB1188,IF(AND($K1188&lt;&gt;"Point",N($O1188)&gt;0),N($O1188),N($M1188))))))</f>
        <v/>
      </c>
      <c r="AD1188" s="22">
        <f>IF(AND($A1188="",$B1188=""),"",MAX(0,AB1188-AC1188))</f>
        <v/>
      </c>
      <c r="AE1188" s="21">
        <f>IF(AND($A1188="",$B1188=""),"",IF(OR($R1188&lt;&gt;"",$S1188&lt;&gt;""),1,0))</f>
        <v/>
      </c>
      <c r="AF1188" s="22">
        <f>IF(AND($A1188="",$B1188=""),"",IF(Z1188=1,IF(AE1188=1,N($R1188),AD1188),0))</f>
        <v/>
      </c>
      <c r="AG1188" s="22">
        <f>IF(AND($A1188="",$B1188=""),"",IF(Z1188=1,IF(AE1188=1,N($S1188),AC1188),0))</f>
        <v/>
      </c>
      <c r="AH1188" s="21">
        <f>IF(AND($A1188="",$B1188=""),"",IF(AND(ISNUMBER($I1188),N($I1188)&gt;0),$I1188,0))</f>
        <v/>
      </c>
      <c r="AI1188" s="23">
        <f>IF(AND(NOT(AND($A1188="",$B1188="")),$K1188="Point",N($L1188)&gt;0),SQRT(N($L1188)/PI()),"")</f>
        <v/>
      </c>
      <c r="AJ1188" s="21">
        <f>IF(AND($A1188="",$B1188=""),"",IFERROR(VLOOKUP($G1188,Lists!$D$4:$E$15,2,FALSE),"Not reported"))</f>
        <v/>
      </c>
      <c r="AK1188" s="21">
        <f>IF(AND($A1188="",$B1188=""),"",IF($X1188&lt;&gt;"",$X1188,IF($T1188&lt;&gt;"Y","Not assessed",IF(AND(ISNUMBER($V1188),Setup!$B$6-$V1188&gt;Setup!$B$26),"Assessment outdated",IF(NOT(ISNUMBER($W1188)),"Assessed – no score",IF($W1188&gt;=Setup!$B$24,"High",IF($W1188&gt;=Setup!$B$25,"Moderate","Low")))))))</f>
        <v/>
      </c>
      <c r="AL1188" s="21">
        <f>IF(AND($A1188="",$B1188=""),"",IF(Z1188=0,"",IF(AND(AE1188=1,N($R1188)&gt;AD1188*1.01+0.001),"Net terrestrial &gt; gross; ","")&amp;IF(AND(AE1188=1,N($S1188)&gt;AC1188*1.01+0.001),"Net marine &gt; gross; ","")&amp;IF(AE1188=0,"No net area – gross used, overlaps may be double-counted; ","")&amp;IF(AH1188=0,"STATUS_YR missing – imputed in time series; ","")&amp;IF(AND(ISNUMBER($I1188),N($I1188)&gt;Setup!$B$6),"STATUS_YR after reporting year; ","")&amp;IF(OR($G1188="",$G1188="Not Reported"),"GOV_TYPE not reported; ","")&amp;IF(AND(N($J1188)=1,$K1188="Point",N($M1188)&lt;=0),"Coastal point without REP_M_AREA – land/sea split unknown; ","")&amp;IF(AND(N($J1188)=0,N($S1188)&gt;0),"MARINE=0 but net marine &gt;0; ","")&amp;IF(AND(N($J1188)=2,N($R1188)&gt;0),"MARINE=2 but net terrestrial &gt;0; ","")&amp;IF($K1188="Point","Buffered point – coverage approximate; ","")))</f>
        <v/>
      </c>
    </row>
    <row r="1189">
      <c r="A1189" s="19" t="n"/>
      <c r="B1189" s="19" t="n"/>
      <c r="C1189" s="19" t="n"/>
      <c r="D1189" s="19" t="n"/>
      <c r="E1189" s="19" t="n"/>
      <c r="F1189" s="19" t="n"/>
      <c r="G1189" s="19" t="n"/>
      <c r="H1189" s="19" t="n"/>
      <c r="I1189" s="19" t="n"/>
      <c r="J1189" s="19" t="n"/>
      <c r="K1189" s="19" t="n"/>
      <c r="L1189" s="20" t="n"/>
      <c r="M1189" s="20" t="n"/>
      <c r="N1189" s="20" t="n"/>
      <c r="O1189" s="20" t="n"/>
      <c r="P1189" s="19" t="n"/>
      <c r="Q1189" s="19" t="n"/>
      <c r="R1189" s="20" t="n"/>
      <c r="S1189" s="20" t="n"/>
      <c r="T1189" s="19" t="n"/>
      <c r="U1189" s="19" t="n"/>
      <c r="V1189" s="19" t="n"/>
      <c r="W1189" s="19" t="n"/>
      <c r="X1189" s="19" t="n"/>
      <c r="Y1189" s="19" t="n"/>
      <c r="Z1189" s="21">
        <f>IF(AND($A1189="",$B1189=""),"",IF(OR($E1189="",$H1189="",$H1189="Proposed",$H1189="Not Reported"),0,IF(AND($P1189="Y",$Q1189&lt;&gt;"Y"),0,IF(AND($K1189="Point",N($L1189)&lt;=0),0,IF(AND(N($L1189)&lt;=0,N($N1189)&lt;=0,N($R1189)+N($S1189)&lt;=0),0,1)))))</f>
        <v/>
      </c>
      <c r="AA1189" s="21">
        <f>IF(AND($A1189="",$B1189=""),"",IF($E1189="","Site type missing",IF($H1189="","STATUS missing",IF($H1189="Proposed","STATUS = Proposed",IF($H1189="Not Reported","STATUS = Not Reported",IF(AND($P1189="Y",$Q1189&lt;&gt;"Y"),"UNESCO-MAB Biosphere Reserve",IF(AND($K1189="Point",N($L1189)&lt;=0),"Point without REP_AREA",IF(AND(N($L1189)&lt;=0,N($N1189)&lt;=0,N($R1189)+N($S1189)&lt;=0),"No area information",""))))))))</f>
        <v/>
      </c>
      <c r="AB1189" s="22">
        <f>IF(AND($A1189="",$B1189=""),"",IF($K1189="Point",N($L1189),IF(N($N1189)&gt;0,N($N1189),N($L1189))))</f>
        <v/>
      </c>
      <c r="AC1189" s="22">
        <f>IF(AND($A1189="",$B1189=""),"",MIN(AB1189,IF(N($J1189)=0,0,IF(N($J1189)=2,AB1189,IF(AND($K1189&lt;&gt;"Point",N($O1189)&gt;0),N($O1189),N($M1189))))))</f>
        <v/>
      </c>
      <c r="AD1189" s="22">
        <f>IF(AND($A1189="",$B1189=""),"",MAX(0,AB1189-AC1189))</f>
        <v/>
      </c>
      <c r="AE1189" s="21">
        <f>IF(AND($A1189="",$B1189=""),"",IF(OR($R1189&lt;&gt;"",$S1189&lt;&gt;""),1,0))</f>
        <v/>
      </c>
      <c r="AF1189" s="22">
        <f>IF(AND($A1189="",$B1189=""),"",IF(Z1189=1,IF(AE1189=1,N($R1189),AD1189),0))</f>
        <v/>
      </c>
      <c r="AG1189" s="22">
        <f>IF(AND($A1189="",$B1189=""),"",IF(Z1189=1,IF(AE1189=1,N($S1189),AC1189),0))</f>
        <v/>
      </c>
      <c r="AH1189" s="21">
        <f>IF(AND($A1189="",$B1189=""),"",IF(AND(ISNUMBER($I1189),N($I1189)&gt;0),$I1189,0))</f>
        <v/>
      </c>
      <c r="AI1189" s="23">
        <f>IF(AND(NOT(AND($A1189="",$B1189="")),$K1189="Point",N($L1189)&gt;0),SQRT(N($L1189)/PI()),"")</f>
        <v/>
      </c>
      <c r="AJ1189" s="21">
        <f>IF(AND($A1189="",$B1189=""),"",IFERROR(VLOOKUP($G1189,Lists!$D$4:$E$15,2,FALSE),"Not reported"))</f>
        <v/>
      </c>
      <c r="AK1189" s="21">
        <f>IF(AND($A1189="",$B1189=""),"",IF($X1189&lt;&gt;"",$X1189,IF($T1189&lt;&gt;"Y","Not assessed",IF(AND(ISNUMBER($V1189),Setup!$B$6-$V1189&gt;Setup!$B$26),"Assessment outdated",IF(NOT(ISNUMBER($W1189)),"Assessed – no score",IF($W1189&gt;=Setup!$B$24,"High",IF($W1189&gt;=Setup!$B$25,"Moderate","Low")))))))</f>
        <v/>
      </c>
      <c r="AL1189" s="21">
        <f>IF(AND($A1189="",$B1189=""),"",IF(Z1189=0,"",IF(AND(AE1189=1,N($R1189)&gt;AD1189*1.01+0.001),"Net terrestrial &gt; gross; ","")&amp;IF(AND(AE1189=1,N($S1189)&gt;AC1189*1.01+0.001),"Net marine &gt; gross; ","")&amp;IF(AE1189=0,"No net area – gross used, overlaps may be double-counted; ","")&amp;IF(AH1189=0,"STATUS_YR missing – imputed in time series; ","")&amp;IF(AND(ISNUMBER($I1189),N($I1189)&gt;Setup!$B$6),"STATUS_YR after reporting year; ","")&amp;IF(OR($G1189="",$G1189="Not Reported"),"GOV_TYPE not reported; ","")&amp;IF(AND(N($J1189)=1,$K1189="Point",N($M1189)&lt;=0),"Coastal point without REP_M_AREA – land/sea split unknown; ","")&amp;IF(AND(N($J1189)=0,N($S1189)&gt;0),"MARINE=0 but net marine &gt;0; ","")&amp;IF(AND(N($J1189)=2,N($R1189)&gt;0),"MARINE=2 but net terrestrial &gt;0; ","")&amp;IF($K1189="Point","Buffered point – coverage approximate; ","")))</f>
        <v/>
      </c>
    </row>
    <row r="1190">
      <c r="A1190" s="19" t="n"/>
      <c r="B1190" s="19" t="n"/>
      <c r="C1190" s="19" t="n"/>
      <c r="D1190" s="19" t="n"/>
      <c r="E1190" s="19" t="n"/>
      <c r="F1190" s="19" t="n"/>
      <c r="G1190" s="19" t="n"/>
      <c r="H1190" s="19" t="n"/>
      <c r="I1190" s="19" t="n"/>
      <c r="J1190" s="19" t="n"/>
      <c r="K1190" s="19" t="n"/>
      <c r="L1190" s="20" t="n"/>
      <c r="M1190" s="20" t="n"/>
      <c r="N1190" s="20" t="n"/>
      <c r="O1190" s="20" t="n"/>
      <c r="P1190" s="19" t="n"/>
      <c r="Q1190" s="19" t="n"/>
      <c r="R1190" s="20" t="n"/>
      <c r="S1190" s="20" t="n"/>
      <c r="T1190" s="19" t="n"/>
      <c r="U1190" s="19" t="n"/>
      <c r="V1190" s="19" t="n"/>
      <c r="W1190" s="19" t="n"/>
      <c r="X1190" s="19" t="n"/>
      <c r="Y1190" s="19" t="n"/>
      <c r="Z1190" s="21">
        <f>IF(AND($A1190="",$B1190=""),"",IF(OR($E1190="",$H1190="",$H1190="Proposed",$H1190="Not Reported"),0,IF(AND($P1190="Y",$Q1190&lt;&gt;"Y"),0,IF(AND($K1190="Point",N($L1190)&lt;=0),0,IF(AND(N($L1190)&lt;=0,N($N1190)&lt;=0,N($R1190)+N($S1190)&lt;=0),0,1)))))</f>
        <v/>
      </c>
      <c r="AA1190" s="21">
        <f>IF(AND($A1190="",$B1190=""),"",IF($E1190="","Site type missing",IF($H1190="","STATUS missing",IF($H1190="Proposed","STATUS = Proposed",IF($H1190="Not Reported","STATUS = Not Reported",IF(AND($P1190="Y",$Q1190&lt;&gt;"Y"),"UNESCO-MAB Biosphere Reserve",IF(AND($K1190="Point",N($L1190)&lt;=0),"Point without REP_AREA",IF(AND(N($L1190)&lt;=0,N($N1190)&lt;=0,N($R1190)+N($S1190)&lt;=0),"No area information",""))))))))</f>
        <v/>
      </c>
      <c r="AB1190" s="22">
        <f>IF(AND($A1190="",$B1190=""),"",IF($K1190="Point",N($L1190),IF(N($N1190)&gt;0,N($N1190),N($L1190))))</f>
        <v/>
      </c>
      <c r="AC1190" s="22">
        <f>IF(AND($A1190="",$B1190=""),"",MIN(AB1190,IF(N($J1190)=0,0,IF(N($J1190)=2,AB1190,IF(AND($K1190&lt;&gt;"Point",N($O1190)&gt;0),N($O1190),N($M1190))))))</f>
        <v/>
      </c>
      <c r="AD1190" s="22">
        <f>IF(AND($A1190="",$B1190=""),"",MAX(0,AB1190-AC1190))</f>
        <v/>
      </c>
      <c r="AE1190" s="21">
        <f>IF(AND($A1190="",$B1190=""),"",IF(OR($R1190&lt;&gt;"",$S1190&lt;&gt;""),1,0))</f>
        <v/>
      </c>
      <c r="AF1190" s="22">
        <f>IF(AND($A1190="",$B1190=""),"",IF(Z1190=1,IF(AE1190=1,N($R1190),AD1190),0))</f>
        <v/>
      </c>
      <c r="AG1190" s="22">
        <f>IF(AND($A1190="",$B1190=""),"",IF(Z1190=1,IF(AE1190=1,N($S1190),AC1190),0))</f>
        <v/>
      </c>
      <c r="AH1190" s="21">
        <f>IF(AND($A1190="",$B1190=""),"",IF(AND(ISNUMBER($I1190),N($I1190)&gt;0),$I1190,0))</f>
        <v/>
      </c>
      <c r="AI1190" s="23">
        <f>IF(AND(NOT(AND($A1190="",$B1190="")),$K1190="Point",N($L1190)&gt;0),SQRT(N($L1190)/PI()),"")</f>
        <v/>
      </c>
      <c r="AJ1190" s="21">
        <f>IF(AND($A1190="",$B1190=""),"",IFERROR(VLOOKUP($G1190,Lists!$D$4:$E$15,2,FALSE),"Not reported"))</f>
        <v/>
      </c>
      <c r="AK1190" s="21">
        <f>IF(AND($A1190="",$B1190=""),"",IF($X1190&lt;&gt;"",$X1190,IF($T1190&lt;&gt;"Y","Not assessed",IF(AND(ISNUMBER($V1190),Setup!$B$6-$V1190&gt;Setup!$B$26),"Assessment outdated",IF(NOT(ISNUMBER($W1190)),"Assessed – no score",IF($W1190&gt;=Setup!$B$24,"High",IF($W1190&gt;=Setup!$B$25,"Moderate","Low")))))))</f>
        <v/>
      </c>
      <c r="AL1190" s="21">
        <f>IF(AND($A1190="",$B1190=""),"",IF(Z1190=0,"",IF(AND(AE1190=1,N($R1190)&gt;AD1190*1.01+0.001),"Net terrestrial &gt; gross; ","")&amp;IF(AND(AE1190=1,N($S1190)&gt;AC1190*1.01+0.001),"Net marine &gt; gross; ","")&amp;IF(AE1190=0,"No net area – gross used, overlaps may be double-counted; ","")&amp;IF(AH1190=0,"STATUS_YR missing – imputed in time series; ","")&amp;IF(AND(ISNUMBER($I1190),N($I1190)&gt;Setup!$B$6),"STATUS_YR after reporting year; ","")&amp;IF(OR($G1190="",$G1190="Not Reported"),"GOV_TYPE not reported; ","")&amp;IF(AND(N($J1190)=1,$K1190="Point",N($M1190)&lt;=0),"Coastal point without REP_M_AREA – land/sea split unknown; ","")&amp;IF(AND(N($J1190)=0,N($S1190)&gt;0),"MARINE=0 but net marine &gt;0; ","")&amp;IF(AND(N($J1190)=2,N($R1190)&gt;0),"MARINE=2 but net terrestrial &gt;0; ","")&amp;IF($K1190="Point","Buffered point – coverage approximate; ","")))</f>
        <v/>
      </c>
    </row>
    <row r="1191">
      <c r="A1191" s="19" t="n"/>
      <c r="B1191" s="19" t="n"/>
      <c r="C1191" s="19" t="n"/>
      <c r="D1191" s="19" t="n"/>
      <c r="E1191" s="19" t="n"/>
      <c r="F1191" s="19" t="n"/>
      <c r="G1191" s="19" t="n"/>
      <c r="H1191" s="19" t="n"/>
      <c r="I1191" s="19" t="n"/>
      <c r="J1191" s="19" t="n"/>
      <c r="K1191" s="19" t="n"/>
      <c r="L1191" s="20" t="n"/>
      <c r="M1191" s="20" t="n"/>
      <c r="N1191" s="20" t="n"/>
      <c r="O1191" s="20" t="n"/>
      <c r="P1191" s="19" t="n"/>
      <c r="Q1191" s="19" t="n"/>
      <c r="R1191" s="20" t="n"/>
      <c r="S1191" s="20" t="n"/>
      <c r="T1191" s="19" t="n"/>
      <c r="U1191" s="19" t="n"/>
      <c r="V1191" s="19" t="n"/>
      <c r="W1191" s="19" t="n"/>
      <c r="X1191" s="19" t="n"/>
      <c r="Y1191" s="19" t="n"/>
      <c r="Z1191" s="21">
        <f>IF(AND($A1191="",$B1191=""),"",IF(OR($E1191="",$H1191="",$H1191="Proposed",$H1191="Not Reported"),0,IF(AND($P1191="Y",$Q1191&lt;&gt;"Y"),0,IF(AND($K1191="Point",N($L1191)&lt;=0),0,IF(AND(N($L1191)&lt;=0,N($N1191)&lt;=0,N($R1191)+N($S1191)&lt;=0),0,1)))))</f>
        <v/>
      </c>
      <c r="AA1191" s="21">
        <f>IF(AND($A1191="",$B1191=""),"",IF($E1191="","Site type missing",IF($H1191="","STATUS missing",IF($H1191="Proposed","STATUS = Proposed",IF($H1191="Not Reported","STATUS = Not Reported",IF(AND($P1191="Y",$Q1191&lt;&gt;"Y"),"UNESCO-MAB Biosphere Reserve",IF(AND($K1191="Point",N($L1191)&lt;=0),"Point without REP_AREA",IF(AND(N($L1191)&lt;=0,N($N1191)&lt;=0,N($R1191)+N($S1191)&lt;=0),"No area information",""))))))))</f>
        <v/>
      </c>
      <c r="AB1191" s="22">
        <f>IF(AND($A1191="",$B1191=""),"",IF($K1191="Point",N($L1191),IF(N($N1191)&gt;0,N($N1191),N($L1191))))</f>
        <v/>
      </c>
      <c r="AC1191" s="22">
        <f>IF(AND($A1191="",$B1191=""),"",MIN(AB1191,IF(N($J1191)=0,0,IF(N($J1191)=2,AB1191,IF(AND($K1191&lt;&gt;"Point",N($O1191)&gt;0),N($O1191),N($M1191))))))</f>
        <v/>
      </c>
      <c r="AD1191" s="22">
        <f>IF(AND($A1191="",$B1191=""),"",MAX(0,AB1191-AC1191))</f>
        <v/>
      </c>
      <c r="AE1191" s="21">
        <f>IF(AND($A1191="",$B1191=""),"",IF(OR($R1191&lt;&gt;"",$S1191&lt;&gt;""),1,0))</f>
        <v/>
      </c>
      <c r="AF1191" s="22">
        <f>IF(AND($A1191="",$B1191=""),"",IF(Z1191=1,IF(AE1191=1,N($R1191),AD1191),0))</f>
        <v/>
      </c>
      <c r="AG1191" s="22">
        <f>IF(AND($A1191="",$B1191=""),"",IF(Z1191=1,IF(AE1191=1,N($S1191),AC1191),0))</f>
        <v/>
      </c>
      <c r="AH1191" s="21">
        <f>IF(AND($A1191="",$B1191=""),"",IF(AND(ISNUMBER($I1191),N($I1191)&gt;0),$I1191,0))</f>
        <v/>
      </c>
      <c r="AI1191" s="23">
        <f>IF(AND(NOT(AND($A1191="",$B1191="")),$K1191="Point",N($L1191)&gt;0),SQRT(N($L1191)/PI()),"")</f>
        <v/>
      </c>
      <c r="AJ1191" s="21">
        <f>IF(AND($A1191="",$B1191=""),"",IFERROR(VLOOKUP($G1191,Lists!$D$4:$E$15,2,FALSE),"Not reported"))</f>
        <v/>
      </c>
      <c r="AK1191" s="21">
        <f>IF(AND($A1191="",$B1191=""),"",IF($X1191&lt;&gt;"",$X1191,IF($T1191&lt;&gt;"Y","Not assessed",IF(AND(ISNUMBER($V1191),Setup!$B$6-$V1191&gt;Setup!$B$26),"Assessment outdated",IF(NOT(ISNUMBER($W1191)),"Assessed – no score",IF($W1191&gt;=Setup!$B$24,"High",IF($W1191&gt;=Setup!$B$25,"Moderate","Low")))))))</f>
        <v/>
      </c>
      <c r="AL1191" s="21">
        <f>IF(AND($A1191="",$B1191=""),"",IF(Z1191=0,"",IF(AND(AE1191=1,N($R1191)&gt;AD1191*1.01+0.001),"Net terrestrial &gt; gross; ","")&amp;IF(AND(AE1191=1,N($S1191)&gt;AC1191*1.01+0.001),"Net marine &gt; gross; ","")&amp;IF(AE1191=0,"No net area – gross used, overlaps may be double-counted; ","")&amp;IF(AH1191=0,"STATUS_YR missing – imputed in time series; ","")&amp;IF(AND(ISNUMBER($I1191),N($I1191)&gt;Setup!$B$6),"STATUS_YR after reporting year; ","")&amp;IF(OR($G1191="",$G1191="Not Reported"),"GOV_TYPE not reported; ","")&amp;IF(AND(N($J1191)=1,$K1191="Point",N($M1191)&lt;=0),"Coastal point without REP_M_AREA – land/sea split unknown; ","")&amp;IF(AND(N($J1191)=0,N($S1191)&gt;0),"MARINE=0 but net marine &gt;0; ","")&amp;IF(AND(N($J1191)=2,N($R1191)&gt;0),"MARINE=2 but net terrestrial &gt;0; ","")&amp;IF($K1191="Point","Buffered point – coverage approximate; ","")))</f>
        <v/>
      </c>
    </row>
    <row r="1192">
      <c r="A1192" s="19" t="n"/>
      <c r="B1192" s="19" t="n"/>
      <c r="C1192" s="19" t="n"/>
      <c r="D1192" s="19" t="n"/>
      <c r="E1192" s="19" t="n"/>
      <c r="F1192" s="19" t="n"/>
      <c r="G1192" s="19" t="n"/>
      <c r="H1192" s="19" t="n"/>
      <c r="I1192" s="19" t="n"/>
      <c r="J1192" s="19" t="n"/>
      <c r="K1192" s="19" t="n"/>
      <c r="L1192" s="20" t="n"/>
      <c r="M1192" s="20" t="n"/>
      <c r="N1192" s="20" t="n"/>
      <c r="O1192" s="20" t="n"/>
      <c r="P1192" s="19" t="n"/>
      <c r="Q1192" s="19" t="n"/>
      <c r="R1192" s="20" t="n"/>
      <c r="S1192" s="20" t="n"/>
      <c r="T1192" s="19" t="n"/>
      <c r="U1192" s="19" t="n"/>
      <c r="V1192" s="19" t="n"/>
      <c r="W1192" s="19" t="n"/>
      <c r="X1192" s="19" t="n"/>
      <c r="Y1192" s="19" t="n"/>
      <c r="Z1192" s="21">
        <f>IF(AND($A1192="",$B1192=""),"",IF(OR($E1192="",$H1192="",$H1192="Proposed",$H1192="Not Reported"),0,IF(AND($P1192="Y",$Q1192&lt;&gt;"Y"),0,IF(AND($K1192="Point",N($L1192)&lt;=0),0,IF(AND(N($L1192)&lt;=0,N($N1192)&lt;=0,N($R1192)+N($S1192)&lt;=0),0,1)))))</f>
        <v/>
      </c>
      <c r="AA1192" s="21">
        <f>IF(AND($A1192="",$B1192=""),"",IF($E1192="","Site type missing",IF($H1192="","STATUS missing",IF($H1192="Proposed","STATUS = Proposed",IF($H1192="Not Reported","STATUS = Not Reported",IF(AND($P1192="Y",$Q1192&lt;&gt;"Y"),"UNESCO-MAB Biosphere Reserve",IF(AND($K1192="Point",N($L1192)&lt;=0),"Point without REP_AREA",IF(AND(N($L1192)&lt;=0,N($N1192)&lt;=0,N($R1192)+N($S1192)&lt;=0),"No area information",""))))))))</f>
        <v/>
      </c>
      <c r="AB1192" s="22">
        <f>IF(AND($A1192="",$B1192=""),"",IF($K1192="Point",N($L1192),IF(N($N1192)&gt;0,N($N1192),N($L1192))))</f>
        <v/>
      </c>
      <c r="AC1192" s="22">
        <f>IF(AND($A1192="",$B1192=""),"",MIN(AB1192,IF(N($J1192)=0,0,IF(N($J1192)=2,AB1192,IF(AND($K1192&lt;&gt;"Point",N($O1192)&gt;0),N($O1192),N($M1192))))))</f>
        <v/>
      </c>
      <c r="AD1192" s="22">
        <f>IF(AND($A1192="",$B1192=""),"",MAX(0,AB1192-AC1192))</f>
        <v/>
      </c>
      <c r="AE1192" s="21">
        <f>IF(AND($A1192="",$B1192=""),"",IF(OR($R1192&lt;&gt;"",$S1192&lt;&gt;""),1,0))</f>
        <v/>
      </c>
      <c r="AF1192" s="22">
        <f>IF(AND($A1192="",$B1192=""),"",IF(Z1192=1,IF(AE1192=1,N($R1192),AD1192),0))</f>
        <v/>
      </c>
      <c r="AG1192" s="22">
        <f>IF(AND($A1192="",$B1192=""),"",IF(Z1192=1,IF(AE1192=1,N($S1192),AC1192),0))</f>
        <v/>
      </c>
      <c r="AH1192" s="21">
        <f>IF(AND($A1192="",$B1192=""),"",IF(AND(ISNUMBER($I1192),N($I1192)&gt;0),$I1192,0))</f>
        <v/>
      </c>
      <c r="AI1192" s="23">
        <f>IF(AND(NOT(AND($A1192="",$B1192="")),$K1192="Point",N($L1192)&gt;0),SQRT(N($L1192)/PI()),"")</f>
        <v/>
      </c>
      <c r="AJ1192" s="21">
        <f>IF(AND($A1192="",$B1192=""),"",IFERROR(VLOOKUP($G1192,Lists!$D$4:$E$15,2,FALSE),"Not reported"))</f>
        <v/>
      </c>
      <c r="AK1192" s="21">
        <f>IF(AND($A1192="",$B1192=""),"",IF($X1192&lt;&gt;"",$X1192,IF($T1192&lt;&gt;"Y","Not assessed",IF(AND(ISNUMBER($V1192),Setup!$B$6-$V1192&gt;Setup!$B$26),"Assessment outdated",IF(NOT(ISNUMBER($W1192)),"Assessed – no score",IF($W1192&gt;=Setup!$B$24,"High",IF($W1192&gt;=Setup!$B$25,"Moderate","Low")))))))</f>
        <v/>
      </c>
      <c r="AL1192" s="21">
        <f>IF(AND($A1192="",$B1192=""),"",IF(Z1192=0,"",IF(AND(AE1192=1,N($R1192)&gt;AD1192*1.01+0.001),"Net terrestrial &gt; gross; ","")&amp;IF(AND(AE1192=1,N($S1192)&gt;AC1192*1.01+0.001),"Net marine &gt; gross; ","")&amp;IF(AE1192=0,"No net area – gross used, overlaps may be double-counted; ","")&amp;IF(AH1192=0,"STATUS_YR missing – imputed in time series; ","")&amp;IF(AND(ISNUMBER($I1192),N($I1192)&gt;Setup!$B$6),"STATUS_YR after reporting year; ","")&amp;IF(OR($G1192="",$G1192="Not Reported"),"GOV_TYPE not reported; ","")&amp;IF(AND(N($J1192)=1,$K1192="Point",N($M1192)&lt;=0),"Coastal point without REP_M_AREA – land/sea split unknown; ","")&amp;IF(AND(N($J1192)=0,N($S1192)&gt;0),"MARINE=0 but net marine &gt;0; ","")&amp;IF(AND(N($J1192)=2,N($R1192)&gt;0),"MARINE=2 but net terrestrial &gt;0; ","")&amp;IF($K1192="Point","Buffered point – coverage approximate; ","")))</f>
        <v/>
      </c>
    </row>
    <row r="1193">
      <c r="A1193" s="19" t="n"/>
      <c r="B1193" s="19" t="n"/>
      <c r="C1193" s="19" t="n"/>
      <c r="D1193" s="19" t="n"/>
      <c r="E1193" s="19" t="n"/>
      <c r="F1193" s="19" t="n"/>
      <c r="G1193" s="19" t="n"/>
      <c r="H1193" s="19" t="n"/>
      <c r="I1193" s="19" t="n"/>
      <c r="J1193" s="19" t="n"/>
      <c r="K1193" s="19" t="n"/>
      <c r="L1193" s="20" t="n"/>
      <c r="M1193" s="20" t="n"/>
      <c r="N1193" s="20" t="n"/>
      <c r="O1193" s="20" t="n"/>
      <c r="P1193" s="19" t="n"/>
      <c r="Q1193" s="19" t="n"/>
      <c r="R1193" s="20" t="n"/>
      <c r="S1193" s="20" t="n"/>
      <c r="T1193" s="19" t="n"/>
      <c r="U1193" s="19" t="n"/>
      <c r="V1193" s="19" t="n"/>
      <c r="W1193" s="19" t="n"/>
      <c r="X1193" s="19" t="n"/>
      <c r="Y1193" s="19" t="n"/>
      <c r="Z1193" s="21">
        <f>IF(AND($A1193="",$B1193=""),"",IF(OR($E1193="",$H1193="",$H1193="Proposed",$H1193="Not Reported"),0,IF(AND($P1193="Y",$Q1193&lt;&gt;"Y"),0,IF(AND($K1193="Point",N($L1193)&lt;=0),0,IF(AND(N($L1193)&lt;=0,N($N1193)&lt;=0,N($R1193)+N($S1193)&lt;=0),0,1)))))</f>
        <v/>
      </c>
      <c r="AA1193" s="21">
        <f>IF(AND($A1193="",$B1193=""),"",IF($E1193="","Site type missing",IF($H1193="","STATUS missing",IF($H1193="Proposed","STATUS = Proposed",IF($H1193="Not Reported","STATUS = Not Reported",IF(AND($P1193="Y",$Q1193&lt;&gt;"Y"),"UNESCO-MAB Biosphere Reserve",IF(AND($K1193="Point",N($L1193)&lt;=0),"Point without REP_AREA",IF(AND(N($L1193)&lt;=0,N($N1193)&lt;=0,N($R1193)+N($S1193)&lt;=0),"No area information",""))))))))</f>
        <v/>
      </c>
      <c r="AB1193" s="22">
        <f>IF(AND($A1193="",$B1193=""),"",IF($K1193="Point",N($L1193),IF(N($N1193)&gt;0,N($N1193),N($L1193))))</f>
        <v/>
      </c>
      <c r="AC1193" s="22">
        <f>IF(AND($A1193="",$B1193=""),"",MIN(AB1193,IF(N($J1193)=0,0,IF(N($J1193)=2,AB1193,IF(AND($K1193&lt;&gt;"Point",N($O1193)&gt;0),N($O1193),N($M1193))))))</f>
        <v/>
      </c>
      <c r="AD1193" s="22">
        <f>IF(AND($A1193="",$B1193=""),"",MAX(0,AB1193-AC1193))</f>
        <v/>
      </c>
      <c r="AE1193" s="21">
        <f>IF(AND($A1193="",$B1193=""),"",IF(OR($R1193&lt;&gt;"",$S1193&lt;&gt;""),1,0))</f>
        <v/>
      </c>
      <c r="AF1193" s="22">
        <f>IF(AND($A1193="",$B1193=""),"",IF(Z1193=1,IF(AE1193=1,N($R1193),AD1193),0))</f>
        <v/>
      </c>
      <c r="AG1193" s="22">
        <f>IF(AND($A1193="",$B1193=""),"",IF(Z1193=1,IF(AE1193=1,N($S1193),AC1193),0))</f>
        <v/>
      </c>
      <c r="AH1193" s="21">
        <f>IF(AND($A1193="",$B1193=""),"",IF(AND(ISNUMBER($I1193),N($I1193)&gt;0),$I1193,0))</f>
        <v/>
      </c>
      <c r="AI1193" s="23">
        <f>IF(AND(NOT(AND($A1193="",$B1193="")),$K1193="Point",N($L1193)&gt;0),SQRT(N($L1193)/PI()),"")</f>
        <v/>
      </c>
      <c r="AJ1193" s="21">
        <f>IF(AND($A1193="",$B1193=""),"",IFERROR(VLOOKUP($G1193,Lists!$D$4:$E$15,2,FALSE),"Not reported"))</f>
        <v/>
      </c>
      <c r="AK1193" s="21">
        <f>IF(AND($A1193="",$B1193=""),"",IF($X1193&lt;&gt;"",$X1193,IF($T1193&lt;&gt;"Y","Not assessed",IF(AND(ISNUMBER($V1193),Setup!$B$6-$V1193&gt;Setup!$B$26),"Assessment outdated",IF(NOT(ISNUMBER($W1193)),"Assessed – no score",IF($W1193&gt;=Setup!$B$24,"High",IF($W1193&gt;=Setup!$B$25,"Moderate","Low")))))))</f>
        <v/>
      </c>
      <c r="AL1193" s="21">
        <f>IF(AND($A1193="",$B1193=""),"",IF(Z1193=0,"",IF(AND(AE1193=1,N($R1193)&gt;AD1193*1.01+0.001),"Net terrestrial &gt; gross; ","")&amp;IF(AND(AE1193=1,N($S1193)&gt;AC1193*1.01+0.001),"Net marine &gt; gross; ","")&amp;IF(AE1193=0,"No net area – gross used, overlaps may be double-counted; ","")&amp;IF(AH1193=0,"STATUS_YR missing – imputed in time series; ","")&amp;IF(AND(ISNUMBER($I1193),N($I1193)&gt;Setup!$B$6),"STATUS_YR after reporting year; ","")&amp;IF(OR($G1193="",$G1193="Not Reported"),"GOV_TYPE not reported; ","")&amp;IF(AND(N($J1193)=1,$K1193="Point",N($M1193)&lt;=0),"Coastal point without REP_M_AREA – land/sea split unknown; ","")&amp;IF(AND(N($J1193)=0,N($S1193)&gt;0),"MARINE=0 but net marine &gt;0; ","")&amp;IF(AND(N($J1193)=2,N($R1193)&gt;0),"MARINE=2 but net terrestrial &gt;0; ","")&amp;IF($K1193="Point","Buffered point – coverage approximate; ","")))</f>
        <v/>
      </c>
    </row>
    <row r="1194">
      <c r="A1194" s="19" t="n"/>
      <c r="B1194" s="19" t="n"/>
      <c r="C1194" s="19" t="n"/>
      <c r="D1194" s="19" t="n"/>
      <c r="E1194" s="19" t="n"/>
      <c r="F1194" s="19" t="n"/>
      <c r="G1194" s="19" t="n"/>
      <c r="H1194" s="19" t="n"/>
      <c r="I1194" s="19" t="n"/>
      <c r="J1194" s="19" t="n"/>
      <c r="K1194" s="19" t="n"/>
      <c r="L1194" s="20" t="n"/>
      <c r="M1194" s="20" t="n"/>
      <c r="N1194" s="20" t="n"/>
      <c r="O1194" s="20" t="n"/>
      <c r="P1194" s="19" t="n"/>
      <c r="Q1194" s="19" t="n"/>
      <c r="R1194" s="20" t="n"/>
      <c r="S1194" s="20" t="n"/>
      <c r="T1194" s="19" t="n"/>
      <c r="U1194" s="19" t="n"/>
      <c r="V1194" s="19" t="n"/>
      <c r="W1194" s="19" t="n"/>
      <c r="X1194" s="19" t="n"/>
      <c r="Y1194" s="19" t="n"/>
      <c r="Z1194" s="21">
        <f>IF(AND($A1194="",$B1194=""),"",IF(OR($E1194="",$H1194="",$H1194="Proposed",$H1194="Not Reported"),0,IF(AND($P1194="Y",$Q1194&lt;&gt;"Y"),0,IF(AND($K1194="Point",N($L1194)&lt;=0),0,IF(AND(N($L1194)&lt;=0,N($N1194)&lt;=0,N($R1194)+N($S1194)&lt;=0),0,1)))))</f>
        <v/>
      </c>
      <c r="AA1194" s="21">
        <f>IF(AND($A1194="",$B1194=""),"",IF($E1194="","Site type missing",IF($H1194="","STATUS missing",IF($H1194="Proposed","STATUS = Proposed",IF($H1194="Not Reported","STATUS = Not Reported",IF(AND($P1194="Y",$Q1194&lt;&gt;"Y"),"UNESCO-MAB Biosphere Reserve",IF(AND($K1194="Point",N($L1194)&lt;=0),"Point without REP_AREA",IF(AND(N($L1194)&lt;=0,N($N1194)&lt;=0,N($R1194)+N($S1194)&lt;=0),"No area information",""))))))))</f>
        <v/>
      </c>
      <c r="AB1194" s="22">
        <f>IF(AND($A1194="",$B1194=""),"",IF($K1194="Point",N($L1194),IF(N($N1194)&gt;0,N($N1194),N($L1194))))</f>
        <v/>
      </c>
      <c r="AC1194" s="22">
        <f>IF(AND($A1194="",$B1194=""),"",MIN(AB1194,IF(N($J1194)=0,0,IF(N($J1194)=2,AB1194,IF(AND($K1194&lt;&gt;"Point",N($O1194)&gt;0),N($O1194),N($M1194))))))</f>
        <v/>
      </c>
      <c r="AD1194" s="22">
        <f>IF(AND($A1194="",$B1194=""),"",MAX(0,AB1194-AC1194))</f>
        <v/>
      </c>
      <c r="AE1194" s="21">
        <f>IF(AND($A1194="",$B1194=""),"",IF(OR($R1194&lt;&gt;"",$S1194&lt;&gt;""),1,0))</f>
        <v/>
      </c>
      <c r="AF1194" s="22">
        <f>IF(AND($A1194="",$B1194=""),"",IF(Z1194=1,IF(AE1194=1,N($R1194),AD1194),0))</f>
        <v/>
      </c>
      <c r="AG1194" s="22">
        <f>IF(AND($A1194="",$B1194=""),"",IF(Z1194=1,IF(AE1194=1,N($S1194),AC1194),0))</f>
        <v/>
      </c>
      <c r="AH1194" s="21">
        <f>IF(AND($A1194="",$B1194=""),"",IF(AND(ISNUMBER($I1194),N($I1194)&gt;0),$I1194,0))</f>
        <v/>
      </c>
      <c r="AI1194" s="23">
        <f>IF(AND(NOT(AND($A1194="",$B1194="")),$K1194="Point",N($L1194)&gt;0),SQRT(N($L1194)/PI()),"")</f>
        <v/>
      </c>
      <c r="AJ1194" s="21">
        <f>IF(AND($A1194="",$B1194=""),"",IFERROR(VLOOKUP($G1194,Lists!$D$4:$E$15,2,FALSE),"Not reported"))</f>
        <v/>
      </c>
      <c r="AK1194" s="21">
        <f>IF(AND($A1194="",$B1194=""),"",IF($X1194&lt;&gt;"",$X1194,IF($T1194&lt;&gt;"Y","Not assessed",IF(AND(ISNUMBER($V1194),Setup!$B$6-$V1194&gt;Setup!$B$26),"Assessment outdated",IF(NOT(ISNUMBER($W1194)),"Assessed – no score",IF($W1194&gt;=Setup!$B$24,"High",IF($W1194&gt;=Setup!$B$25,"Moderate","Low")))))))</f>
        <v/>
      </c>
      <c r="AL1194" s="21">
        <f>IF(AND($A1194="",$B1194=""),"",IF(Z1194=0,"",IF(AND(AE1194=1,N($R1194)&gt;AD1194*1.01+0.001),"Net terrestrial &gt; gross; ","")&amp;IF(AND(AE1194=1,N($S1194)&gt;AC1194*1.01+0.001),"Net marine &gt; gross; ","")&amp;IF(AE1194=0,"No net area – gross used, overlaps may be double-counted; ","")&amp;IF(AH1194=0,"STATUS_YR missing – imputed in time series; ","")&amp;IF(AND(ISNUMBER($I1194),N($I1194)&gt;Setup!$B$6),"STATUS_YR after reporting year; ","")&amp;IF(OR($G1194="",$G1194="Not Reported"),"GOV_TYPE not reported; ","")&amp;IF(AND(N($J1194)=1,$K1194="Point",N($M1194)&lt;=0),"Coastal point without REP_M_AREA – land/sea split unknown; ","")&amp;IF(AND(N($J1194)=0,N($S1194)&gt;0),"MARINE=0 but net marine &gt;0; ","")&amp;IF(AND(N($J1194)=2,N($R1194)&gt;0),"MARINE=2 but net terrestrial &gt;0; ","")&amp;IF($K1194="Point","Buffered point – coverage approximate; ","")))</f>
        <v/>
      </c>
    </row>
    <row r="1195">
      <c r="A1195" s="19" t="n"/>
      <c r="B1195" s="19" t="n"/>
      <c r="C1195" s="19" t="n"/>
      <c r="D1195" s="19" t="n"/>
      <c r="E1195" s="19" t="n"/>
      <c r="F1195" s="19" t="n"/>
      <c r="G1195" s="19" t="n"/>
      <c r="H1195" s="19" t="n"/>
      <c r="I1195" s="19" t="n"/>
      <c r="J1195" s="19" t="n"/>
      <c r="K1195" s="19" t="n"/>
      <c r="L1195" s="20" t="n"/>
      <c r="M1195" s="20" t="n"/>
      <c r="N1195" s="20" t="n"/>
      <c r="O1195" s="20" t="n"/>
      <c r="P1195" s="19" t="n"/>
      <c r="Q1195" s="19" t="n"/>
      <c r="R1195" s="20" t="n"/>
      <c r="S1195" s="20" t="n"/>
      <c r="T1195" s="19" t="n"/>
      <c r="U1195" s="19" t="n"/>
      <c r="V1195" s="19" t="n"/>
      <c r="W1195" s="19" t="n"/>
      <c r="X1195" s="19" t="n"/>
      <c r="Y1195" s="19" t="n"/>
      <c r="Z1195" s="21">
        <f>IF(AND($A1195="",$B1195=""),"",IF(OR($E1195="",$H1195="",$H1195="Proposed",$H1195="Not Reported"),0,IF(AND($P1195="Y",$Q1195&lt;&gt;"Y"),0,IF(AND($K1195="Point",N($L1195)&lt;=0),0,IF(AND(N($L1195)&lt;=0,N($N1195)&lt;=0,N($R1195)+N($S1195)&lt;=0),0,1)))))</f>
        <v/>
      </c>
      <c r="AA1195" s="21">
        <f>IF(AND($A1195="",$B1195=""),"",IF($E1195="","Site type missing",IF($H1195="","STATUS missing",IF($H1195="Proposed","STATUS = Proposed",IF($H1195="Not Reported","STATUS = Not Reported",IF(AND($P1195="Y",$Q1195&lt;&gt;"Y"),"UNESCO-MAB Biosphere Reserve",IF(AND($K1195="Point",N($L1195)&lt;=0),"Point without REP_AREA",IF(AND(N($L1195)&lt;=0,N($N1195)&lt;=0,N($R1195)+N($S1195)&lt;=0),"No area information",""))))))))</f>
        <v/>
      </c>
      <c r="AB1195" s="22">
        <f>IF(AND($A1195="",$B1195=""),"",IF($K1195="Point",N($L1195),IF(N($N1195)&gt;0,N($N1195),N($L1195))))</f>
        <v/>
      </c>
      <c r="AC1195" s="22">
        <f>IF(AND($A1195="",$B1195=""),"",MIN(AB1195,IF(N($J1195)=0,0,IF(N($J1195)=2,AB1195,IF(AND($K1195&lt;&gt;"Point",N($O1195)&gt;0),N($O1195),N($M1195))))))</f>
        <v/>
      </c>
      <c r="AD1195" s="22">
        <f>IF(AND($A1195="",$B1195=""),"",MAX(0,AB1195-AC1195))</f>
        <v/>
      </c>
      <c r="AE1195" s="21">
        <f>IF(AND($A1195="",$B1195=""),"",IF(OR($R1195&lt;&gt;"",$S1195&lt;&gt;""),1,0))</f>
        <v/>
      </c>
      <c r="AF1195" s="22">
        <f>IF(AND($A1195="",$B1195=""),"",IF(Z1195=1,IF(AE1195=1,N($R1195),AD1195),0))</f>
        <v/>
      </c>
      <c r="AG1195" s="22">
        <f>IF(AND($A1195="",$B1195=""),"",IF(Z1195=1,IF(AE1195=1,N($S1195),AC1195),0))</f>
        <v/>
      </c>
      <c r="AH1195" s="21">
        <f>IF(AND($A1195="",$B1195=""),"",IF(AND(ISNUMBER($I1195),N($I1195)&gt;0),$I1195,0))</f>
        <v/>
      </c>
      <c r="AI1195" s="23">
        <f>IF(AND(NOT(AND($A1195="",$B1195="")),$K1195="Point",N($L1195)&gt;0),SQRT(N($L1195)/PI()),"")</f>
        <v/>
      </c>
      <c r="AJ1195" s="21">
        <f>IF(AND($A1195="",$B1195=""),"",IFERROR(VLOOKUP($G1195,Lists!$D$4:$E$15,2,FALSE),"Not reported"))</f>
        <v/>
      </c>
      <c r="AK1195" s="21">
        <f>IF(AND($A1195="",$B1195=""),"",IF($X1195&lt;&gt;"",$X1195,IF($T1195&lt;&gt;"Y","Not assessed",IF(AND(ISNUMBER($V1195),Setup!$B$6-$V1195&gt;Setup!$B$26),"Assessment outdated",IF(NOT(ISNUMBER($W1195)),"Assessed – no score",IF($W1195&gt;=Setup!$B$24,"High",IF($W1195&gt;=Setup!$B$25,"Moderate","Low")))))))</f>
        <v/>
      </c>
      <c r="AL1195" s="21">
        <f>IF(AND($A1195="",$B1195=""),"",IF(Z1195=0,"",IF(AND(AE1195=1,N($R1195)&gt;AD1195*1.01+0.001),"Net terrestrial &gt; gross; ","")&amp;IF(AND(AE1195=1,N($S1195)&gt;AC1195*1.01+0.001),"Net marine &gt; gross; ","")&amp;IF(AE1195=0,"No net area – gross used, overlaps may be double-counted; ","")&amp;IF(AH1195=0,"STATUS_YR missing – imputed in time series; ","")&amp;IF(AND(ISNUMBER($I1195),N($I1195)&gt;Setup!$B$6),"STATUS_YR after reporting year; ","")&amp;IF(OR($G1195="",$G1195="Not Reported"),"GOV_TYPE not reported; ","")&amp;IF(AND(N($J1195)=1,$K1195="Point",N($M1195)&lt;=0),"Coastal point without REP_M_AREA – land/sea split unknown; ","")&amp;IF(AND(N($J1195)=0,N($S1195)&gt;0),"MARINE=0 but net marine &gt;0; ","")&amp;IF(AND(N($J1195)=2,N($R1195)&gt;0),"MARINE=2 but net terrestrial &gt;0; ","")&amp;IF($K1195="Point","Buffered point – coverage approximate; ","")))</f>
        <v/>
      </c>
    </row>
    <row r="1196">
      <c r="A1196" s="19" t="n"/>
      <c r="B1196" s="19" t="n"/>
      <c r="C1196" s="19" t="n"/>
      <c r="D1196" s="19" t="n"/>
      <c r="E1196" s="19" t="n"/>
      <c r="F1196" s="19" t="n"/>
      <c r="G1196" s="19" t="n"/>
      <c r="H1196" s="19" t="n"/>
      <c r="I1196" s="19" t="n"/>
      <c r="J1196" s="19" t="n"/>
      <c r="K1196" s="19" t="n"/>
      <c r="L1196" s="20" t="n"/>
      <c r="M1196" s="20" t="n"/>
      <c r="N1196" s="20" t="n"/>
      <c r="O1196" s="20" t="n"/>
      <c r="P1196" s="19" t="n"/>
      <c r="Q1196" s="19" t="n"/>
      <c r="R1196" s="20" t="n"/>
      <c r="S1196" s="20" t="n"/>
      <c r="T1196" s="19" t="n"/>
      <c r="U1196" s="19" t="n"/>
      <c r="V1196" s="19" t="n"/>
      <c r="W1196" s="19" t="n"/>
      <c r="X1196" s="19" t="n"/>
      <c r="Y1196" s="19" t="n"/>
      <c r="Z1196" s="21">
        <f>IF(AND($A1196="",$B1196=""),"",IF(OR($E1196="",$H1196="",$H1196="Proposed",$H1196="Not Reported"),0,IF(AND($P1196="Y",$Q1196&lt;&gt;"Y"),0,IF(AND($K1196="Point",N($L1196)&lt;=0),0,IF(AND(N($L1196)&lt;=0,N($N1196)&lt;=0,N($R1196)+N($S1196)&lt;=0),0,1)))))</f>
        <v/>
      </c>
      <c r="AA1196" s="21">
        <f>IF(AND($A1196="",$B1196=""),"",IF($E1196="","Site type missing",IF($H1196="","STATUS missing",IF($H1196="Proposed","STATUS = Proposed",IF($H1196="Not Reported","STATUS = Not Reported",IF(AND($P1196="Y",$Q1196&lt;&gt;"Y"),"UNESCO-MAB Biosphere Reserve",IF(AND($K1196="Point",N($L1196)&lt;=0),"Point without REP_AREA",IF(AND(N($L1196)&lt;=0,N($N1196)&lt;=0,N($R1196)+N($S1196)&lt;=0),"No area information",""))))))))</f>
        <v/>
      </c>
      <c r="AB1196" s="22">
        <f>IF(AND($A1196="",$B1196=""),"",IF($K1196="Point",N($L1196),IF(N($N1196)&gt;0,N($N1196),N($L1196))))</f>
        <v/>
      </c>
      <c r="AC1196" s="22">
        <f>IF(AND($A1196="",$B1196=""),"",MIN(AB1196,IF(N($J1196)=0,0,IF(N($J1196)=2,AB1196,IF(AND($K1196&lt;&gt;"Point",N($O1196)&gt;0),N($O1196),N($M1196))))))</f>
        <v/>
      </c>
      <c r="AD1196" s="22">
        <f>IF(AND($A1196="",$B1196=""),"",MAX(0,AB1196-AC1196))</f>
        <v/>
      </c>
      <c r="AE1196" s="21">
        <f>IF(AND($A1196="",$B1196=""),"",IF(OR($R1196&lt;&gt;"",$S1196&lt;&gt;""),1,0))</f>
        <v/>
      </c>
      <c r="AF1196" s="22">
        <f>IF(AND($A1196="",$B1196=""),"",IF(Z1196=1,IF(AE1196=1,N($R1196),AD1196),0))</f>
        <v/>
      </c>
      <c r="AG1196" s="22">
        <f>IF(AND($A1196="",$B1196=""),"",IF(Z1196=1,IF(AE1196=1,N($S1196),AC1196),0))</f>
        <v/>
      </c>
      <c r="AH1196" s="21">
        <f>IF(AND($A1196="",$B1196=""),"",IF(AND(ISNUMBER($I1196),N($I1196)&gt;0),$I1196,0))</f>
        <v/>
      </c>
      <c r="AI1196" s="23">
        <f>IF(AND(NOT(AND($A1196="",$B1196="")),$K1196="Point",N($L1196)&gt;0),SQRT(N($L1196)/PI()),"")</f>
        <v/>
      </c>
      <c r="AJ1196" s="21">
        <f>IF(AND($A1196="",$B1196=""),"",IFERROR(VLOOKUP($G1196,Lists!$D$4:$E$15,2,FALSE),"Not reported"))</f>
        <v/>
      </c>
      <c r="AK1196" s="21">
        <f>IF(AND($A1196="",$B1196=""),"",IF($X1196&lt;&gt;"",$X1196,IF($T1196&lt;&gt;"Y","Not assessed",IF(AND(ISNUMBER($V1196),Setup!$B$6-$V1196&gt;Setup!$B$26),"Assessment outdated",IF(NOT(ISNUMBER($W1196)),"Assessed – no score",IF($W1196&gt;=Setup!$B$24,"High",IF($W1196&gt;=Setup!$B$25,"Moderate","Low")))))))</f>
        <v/>
      </c>
      <c r="AL1196" s="21">
        <f>IF(AND($A1196="",$B1196=""),"",IF(Z1196=0,"",IF(AND(AE1196=1,N($R1196)&gt;AD1196*1.01+0.001),"Net terrestrial &gt; gross; ","")&amp;IF(AND(AE1196=1,N($S1196)&gt;AC1196*1.01+0.001),"Net marine &gt; gross; ","")&amp;IF(AE1196=0,"No net area – gross used, overlaps may be double-counted; ","")&amp;IF(AH1196=0,"STATUS_YR missing – imputed in time series; ","")&amp;IF(AND(ISNUMBER($I1196),N($I1196)&gt;Setup!$B$6),"STATUS_YR after reporting year; ","")&amp;IF(OR($G1196="",$G1196="Not Reported"),"GOV_TYPE not reported; ","")&amp;IF(AND(N($J1196)=1,$K1196="Point",N($M1196)&lt;=0),"Coastal point without REP_M_AREA – land/sea split unknown; ","")&amp;IF(AND(N($J1196)=0,N($S1196)&gt;0),"MARINE=0 but net marine &gt;0; ","")&amp;IF(AND(N($J1196)=2,N($R1196)&gt;0),"MARINE=2 but net terrestrial &gt;0; ","")&amp;IF($K1196="Point","Buffered point – coverage approximate; ","")))</f>
        <v/>
      </c>
    </row>
    <row r="1197">
      <c r="A1197" s="19" t="n"/>
      <c r="B1197" s="19" t="n"/>
      <c r="C1197" s="19" t="n"/>
      <c r="D1197" s="19" t="n"/>
      <c r="E1197" s="19" t="n"/>
      <c r="F1197" s="19" t="n"/>
      <c r="G1197" s="19" t="n"/>
      <c r="H1197" s="19" t="n"/>
      <c r="I1197" s="19" t="n"/>
      <c r="J1197" s="19" t="n"/>
      <c r="K1197" s="19" t="n"/>
      <c r="L1197" s="20" t="n"/>
      <c r="M1197" s="20" t="n"/>
      <c r="N1197" s="20" t="n"/>
      <c r="O1197" s="20" t="n"/>
      <c r="P1197" s="19" t="n"/>
      <c r="Q1197" s="19" t="n"/>
      <c r="R1197" s="20" t="n"/>
      <c r="S1197" s="20" t="n"/>
      <c r="T1197" s="19" t="n"/>
      <c r="U1197" s="19" t="n"/>
      <c r="V1197" s="19" t="n"/>
      <c r="W1197" s="19" t="n"/>
      <c r="X1197" s="19" t="n"/>
      <c r="Y1197" s="19" t="n"/>
      <c r="Z1197" s="21">
        <f>IF(AND($A1197="",$B1197=""),"",IF(OR($E1197="",$H1197="",$H1197="Proposed",$H1197="Not Reported"),0,IF(AND($P1197="Y",$Q1197&lt;&gt;"Y"),0,IF(AND($K1197="Point",N($L1197)&lt;=0),0,IF(AND(N($L1197)&lt;=0,N($N1197)&lt;=0,N($R1197)+N($S1197)&lt;=0),0,1)))))</f>
        <v/>
      </c>
      <c r="AA1197" s="21">
        <f>IF(AND($A1197="",$B1197=""),"",IF($E1197="","Site type missing",IF($H1197="","STATUS missing",IF($H1197="Proposed","STATUS = Proposed",IF($H1197="Not Reported","STATUS = Not Reported",IF(AND($P1197="Y",$Q1197&lt;&gt;"Y"),"UNESCO-MAB Biosphere Reserve",IF(AND($K1197="Point",N($L1197)&lt;=0),"Point without REP_AREA",IF(AND(N($L1197)&lt;=0,N($N1197)&lt;=0,N($R1197)+N($S1197)&lt;=0),"No area information",""))))))))</f>
        <v/>
      </c>
      <c r="AB1197" s="22">
        <f>IF(AND($A1197="",$B1197=""),"",IF($K1197="Point",N($L1197),IF(N($N1197)&gt;0,N($N1197),N($L1197))))</f>
        <v/>
      </c>
      <c r="AC1197" s="22">
        <f>IF(AND($A1197="",$B1197=""),"",MIN(AB1197,IF(N($J1197)=0,0,IF(N($J1197)=2,AB1197,IF(AND($K1197&lt;&gt;"Point",N($O1197)&gt;0),N($O1197),N($M1197))))))</f>
        <v/>
      </c>
      <c r="AD1197" s="22">
        <f>IF(AND($A1197="",$B1197=""),"",MAX(0,AB1197-AC1197))</f>
        <v/>
      </c>
      <c r="AE1197" s="21">
        <f>IF(AND($A1197="",$B1197=""),"",IF(OR($R1197&lt;&gt;"",$S1197&lt;&gt;""),1,0))</f>
        <v/>
      </c>
      <c r="AF1197" s="22">
        <f>IF(AND($A1197="",$B1197=""),"",IF(Z1197=1,IF(AE1197=1,N($R1197),AD1197),0))</f>
        <v/>
      </c>
      <c r="AG1197" s="22">
        <f>IF(AND($A1197="",$B1197=""),"",IF(Z1197=1,IF(AE1197=1,N($S1197),AC1197),0))</f>
        <v/>
      </c>
      <c r="AH1197" s="21">
        <f>IF(AND($A1197="",$B1197=""),"",IF(AND(ISNUMBER($I1197),N($I1197)&gt;0),$I1197,0))</f>
        <v/>
      </c>
      <c r="AI1197" s="23">
        <f>IF(AND(NOT(AND($A1197="",$B1197="")),$K1197="Point",N($L1197)&gt;0),SQRT(N($L1197)/PI()),"")</f>
        <v/>
      </c>
      <c r="AJ1197" s="21">
        <f>IF(AND($A1197="",$B1197=""),"",IFERROR(VLOOKUP($G1197,Lists!$D$4:$E$15,2,FALSE),"Not reported"))</f>
        <v/>
      </c>
      <c r="AK1197" s="21">
        <f>IF(AND($A1197="",$B1197=""),"",IF($X1197&lt;&gt;"",$X1197,IF($T1197&lt;&gt;"Y","Not assessed",IF(AND(ISNUMBER($V1197),Setup!$B$6-$V1197&gt;Setup!$B$26),"Assessment outdated",IF(NOT(ISNUMBER($W1197)),"Assessed – no score",IF($W1197&gt;=Setup!$B$24,"High",IF($W1197&gt;=Setup!$B$25,"Moderate","Low")))))))</f>
        <v/>
      </c>
      <c r="AL1197" s="21">
        <f>IF(AND($A1197="",$B1197=""),"",IF(Z1197=0,"",IF(AND(AE1197=1,N($R1197)&gt;AD1197*1.01+0.001),"Net terrestrial &gt; gross; ","")&amp;IF(AND(AE1197=1,N($S1197)&gt;AC1197*1.01+0.001),"Net marine &gt; gross; ","")&amp;IF(AE1197=0,"No net area – gross used, overlaps may be double-counted; ","")&amp;IF(AH1197=0,"STATUS_YR missing – imputed in time series; ","")&amp;IF(AND(ISNUMBER($I1197),N($I1197)&gt;Setup!$B$6),"STATUS_YR after reporting year; ","")&amp;IF(OR($G1197="",$G1197="Not Reported"),"GOV_TYPE not reported; ","")&amp;IF(AND(N($J1197)=1,$K1197="Point",N($M1197)&lt;=0),"Coastal point without REP_M_AREA – land/sea split unknown; ","")&amp;IF(AND(N($J1197)=0,N($S1197)&gt;0),"MARINE=0 but net marine &gt;0; ","")&amp;IF(AND(N($J1197)=2,N($R1197)&gt;0),"MARINE=2 but net terrestrial &gt;0; ","")&amp;IF($K1197="Point","Buffered point – coverage approximate; ","")))</f>
        <v/>
      </c>
    </row>
    <row r="1198">
      <c r="A1198" s="19" t="n"/>
      <c r="B1198" s="19" t="n"/>
      <c r="C1198" s="19" t="n"/>
      <c r="D1198" s="19" t="n"/>
      <c r="E1198" s="19" t="n"/>
      <c r="F1198" s="19" t="n"/>
      <c r="G1198" s="19" t="n"/>
      <c r="H1198" s="19" t="n"/>
      <c r="I1198" s="19" t="n"/>
      <c r="J1198" s="19" t="n"/>
      <c r="K1198" s="19" t="n"/>
      <c r="L1198" s="20" t="n"/>
      <c r="M1198" s="20" t="n"/>
      <c r="N1198" s="20" t="n"/>
      <c r="O1198" s="20" t="n"/>
      <c r="P1198" s="19" t="n"/>
      <c r="Q1198" s="19" t="n"/>
      <c r="R1198" s="20" t="n"/>
      <c r="S1198" s="20" t="n"/>
      <c r="T1198" s="19" t="n"/>
      <c r="U1198" s="19" t="n"/>
      <c r="V1198" s="19" t="n"/>
      <c r="W1198" s="19" t="n"/>
      <c r="X1198" s="19" t="n"/>
      <c r="Y1198" s="19" t="n"/>
      <c r="Z1198" s="21">
        <f>IF(AND($A1198="",$B1198=""),"",IF(OR($E1198="",$H1198="",$H1198="Proposed",$H1198="Not Reported"),0,IF(AND($P1198="Y",$Q1198&lt;&gt;"Y"),0,IF(AND($K1198="Point",N($L1198)&lt;=0),0,IF(AND(N($L1198)&lt;=0,N($N1198)&lt;=0,N($R1198)+N($S1198)&lt;=0),0,1)))))</f>
        <v/>
      </c>
      <c r="AA1198" s="21">
        <f>IF(AND($A1198="",$B1198=""),"",IF($E1198="","Site type missing",IF($H1198="","STATUS missing",IF($H1198="Proposed","STATUS = Proposed",IF($H1198="Not Reported","STATUS = Not Reported",IF(AND($P1198="Y",$Q1198&lt;&gt;"Y"),"UNESCO-MAB Biosphere Reserve",IF(AND($K1198="Point",N($L1198)&lt;=0),"Point without REP_AREA",IF(AND(N($L1198)&lt;=0,N($N1198)&lt;=0,N($R1198)+N($S1198)&lt;=0),"No area information",""))))))))</f>
        <v/>
      </c>
      <c r="AB1198" s="22">
        <f>IF(AND($A1198="",$B1198=""),"",IF($K1198="Point",N($L1198),IF(N($N1198)&gt;0,N($N1198),N($L1198))))</f>
        <v/>
      </c>
      <c r="AC1198" s="22">
        <f>IF(AND($A1198="",$B1198=""),"",MIN(AB1198,IF(N($J1198)=0,0,IF(N($J1198)=2,AB1198,IF(AND($K1198&lt;&gt;"Point",N($O1198)&gt;0),N($O1198),N($M1198))))))</f>
        <v/>
      </c>
      <c r="AD1198" s="22">
        <f>IF(AND($A1198="",$B1198=""),"",MAX(0,AB1198-AC1198))</f>
        <v/>
      </c>
      <c r="AE1198" s="21">
        <f>IF(AND($A1198="",$B1198=""),"",IF(OR($R1198&lt;&gt;"",$S1198&lt;&gt;""),1,0))</f>
        <v/>
      </c>
      <c r="AF1198" s="22">
        <f>IF(AND($A1198="",$B1198=""),"",IF(Z1198=1,IF(AE1198=1,N($R1198),AD1198),0))</f>
        <v/>
      </c>
      <c r="AG1198" s="22">
        <f>IF(AND($A1198="",$B1198=""),"",IF(Z1198=1,IF(AE1198=1,N($S1198),AC1198),0))</f>
        <v/>
      </c>
      <c r="AH1198" s="21">
        <f>IF(AND($A1198="",$B1198=""),"",IF(AND(ISNUMBER($I1198),N($I1198)&gt;0),$I1198,0))</f>
        <v/>
      </c>
      <c r="AI1198" s="23">
        <f>IF(AND(NOT(AND($A1198="",$B1198="")),$K1198="Point",N($L1198)&gt;0),SQRT(N($L1198)/PI()),"")</f>
        <v/>
      </c>
      <c r="AJ1198" s="21">
        <f>IF(AND($A1198="",$B1198=""),"",IFERROR(VLOOKUP($G1198,Lists!$D$4:$E$15,2,FALSE),"Not reported"))</f>
        <v/>
      </c>
      <c r="AK1198" s="21">
        <f>IF(AND($A1198="",$B1198=""),"",IF($X1198&lt;&gt;"",$X1198,IF($T1198&lt;&gt;"Y","Not assessed",IF(AND(ISNUMBER($V1198),Setup!$B$6-$V1198&gt;Setup!$B$26),"Assessment outdated",IF(NOT(ISNUMBER($W1198)),"Assessed – no score",IF($W1198&gt;=Setup!$B$24,"High",IF($W1198&gt;=Setup!$B$25,"Moderate","Low")))))))</f>
        <v/>
      </c>
      <c r="AL1198" s="21">
        <f>IF(AND($A1198="",$B1198=""),"",IF(Z1198=0,"",IF(AND(AE1198=1,N($R1198)&gt;AD1198*1.01+0.001),"Net terrestrial &gt; gross; ","")&amp;IF(AND(AE1198=1,N($S1198)&gt;AC1198*1.01+0.001),"Net marine &gt; gross; ","")&amp;IF(AE1198=0,"No net area – gross used, overlaps may be double-counted; ","")&amp;IF(AH1198=0,"STATUS_YR missing – imputed in time series; ","")&amp;IF(AND(ISNUMBER($I1198),N($I1198)&gt;Setup!$B$6),"STATUS_YR after reporting year; ","")&amp;IF(OR($G1198="",$G1198="Not Reported"),"GOV_TYPE not reported; ","")&amp;IF(AND(N($J1198)=1,$K1198="Point",N($M1198)&lt;=0),"Coastal point without REP_M_AREA – land/sea split unknown; ","")&amp;IF(AND(N($J1198)=0,N($S1198)&gt;0),"MARINE=0 but net marine &gt;0; ","")&amp;IF(AND(N($J1198)=2,N($R1198)&gt;0),"MARINE=2 but net terrestrial &gt;0; ","")&amp;IF($K1198="Point","Buffered point – coverage approximate; ","")))</f>
        <v/>
      </c>
    </row>
    <row r="1199">
      <c r="A1199" s="19" t="n"/>
      <c r="B1199" s="19" t="n"/>
      <c r="C1199" s="19" t="n"/>
      <c r="D1199" s="19" t="n"/>
      <c r="E1199" s="19" t="n"/>
      <c r="F1199" s="19" t="n"/>
      <c r="G1199" s="19" t="n"/>
      <c r="H1199" s="19" t="n"/>
      <c r="I1199" s="19" t="n"/>
      <c r="J1199" s="19" t="n"/>
      <c r="K1199" s="19" t="n"/>
      <c r="L1199" s="20" t="n"/>
      <c r="M1199" s="20" t="n"/>
      <c r="N1199" s="20" t="n"/>
      <c r="O1199" s="20" t="n"/>
      <c r="P1199" s="19" t="n"/>
      <c r="Q1199" s="19" t="n"/>
      <c r="R1199" s="20" t="n"/>
      <c r="S1199" s="20" t="n"/>
      <c r="T1199" s="19" t="n"/>
      <c r="U1199" s="19" t="n"/>
      <c r="V1199" s="19" t="n"/>
      <c r="W1199" s="19" t="n"/>
      <c r="X1199" s="19" t="n"/>
      <c r="Y1199" s="19" t="n"/>
      <c r="Z1199" s="21">
        <f>IF(AND($A1199="",$B1199=""),"",IF(OR($E1199="",$H1199="",$H1199="Proposed",$H1199="Not Reported"),0,IF(AND($P1199="Y",$Q1199&lt;&gt;"Y"),0,IF(AND($K1199="Point",N($L1199)&lt;=0),0,IF(AND(N($L1199)&lt;=0,N($N1199)&lt;=0,N($R1199)+N($S1199)&lt;=0),0,1)))))</f>
        <v/>
      </c>
      <c r="AA1199" s="21">
        <f>IF(AND($A1199="",$B1199=""),"",IF($E1199="","Site type missing",IF($H1199="","STATUS missing",IF($H1199="Proposed","STATUS = Proposed",IF($H1199="Not Reported","STATUS = Not Reported",IF(AND($P1199="Y",$Q1199&lt;&gt;"Y"),"UNESCO-MAB Biosphere Reserve",IF(AND($K1199="Point",N($L1199)&lt;=0),"Point without REP_AREA",IF(AND(N($L1199)&lt;=0,N($N1199)&lt;=0,N($R1199)+N($S1199)&lt;=0),"No area information",""))))))))</f>
        <v/>
      </c>
      <c r="AB1199" s="22">
        <f>IF(AND($A1199="",$B1199=""),"",IF($K1199="Point",N($L1199),IF(N($N1199)&gt;0,N($N1199),N($L1199))))</f>
        <v/>
      </c>
      <c r="AC1199" s="22">
        <f>IF(AND($A1199="",$B1199=""),"",MIN(AB1199,IF(N($J1199)=0,0,IF(N($J1199)=2,AB1199,IF(AND($K1199&lt;&gt;"Point",N($O1199)&gt;0),N($O1199),N($M1199))))))</f>
        <v/>
      </c>
      <c r="AD1199" s="22">
        <f>IF(AND($A1199="",$B1199=""),"",MAX(0,AB1199-AC1199))</f>
        <v/>
      </c>
      <c r="AE1199" s="21">
        <f>IF(AND($A1199="",$B1199=""),"",IF(OR($R1199&lt;&gt;"",$S1199&lt;&gt;""),1,0))</f>
        <v/>
      </c>
      <c r="AF1199" s="22">
        <f>IF(AND($A1199="",$B1199=""),"",IF(Z1199=1,IF(AE1199=1,N($R1199),AD1199),0))</f>
        <v/>
      </c>
      <c r="AG1199" s="22">
        <f>IF(AND($A1199="",$B1199=""),"",IF(Z1199=1,IF(AE1199=1,N($S1199),AC1199),0))</f>
        <v/>
      </c>
      <c r="AH1199" s="21">
        <f>IF(AND($A1199="",$B1199=""),"",IF(AND(ISNUMBER($I1199),N($I1199)&gt;0),$I1199,0))</f>
        <v/>
      </c>
      <c r="AI1199" s="23">
        <f>IF(AND(NOT(AND($A1199="",$B1199="")),$K1199="Point",N($L1199)&gt;0),SQRT(N($L1199)/PI()),"")</f>
        <v/>
      </c>
      <c r="AJ1199" s="21">
        <f>IF(AND($A1199="",$B1199=""),"",IFERROR(VLOOKUP($G1199,Lists!$D$4:$E$15,2,FALSE),"Not reported"))</f>
        <v/>
      </c>
      <c r="AK1199" s="21">
        <f>IF(AND($A1199="",$B1199=""),"",IF($X1199&lt;&gt;"",$X1199,IF($T1199&lt;&gt;"Y","Not assessed",IF(AND(ISNUMBER($V1199),Setup!$B$6-$V1199&gt;Setup!$B$26),"Assessment outdated",IF(NOT(ISNUMBER($W1199)),"Assessed – no score",IF($W1199&gt;=Setup!$B$24,"High",IF($W1199&gt;=Setup!$B$25,"Moderate","Low")))))))</f>
        <v/>
      </c>
      <c r="AL1199" s="21">
        <f>IF(AND($A1199="",$B1199=""),"",IF(Z1199=0,"",IF(AND(AE1199=1,N($R1199)&gt;AD1199*1.01+0.001),"Net terrestrial &gt; gross; ","")&amp;IF(AND(AE1199=1,N($S1199)&gt;AC1199*1.01+0.001),"Net marine &gt; gross; ","")&amp;IF(AE1199=0,"No net area – gross used, overlaps may be double-counted; ","")&amp;IF(AH1199=0,"STATUS_YR missing – imputed in time series; ","")&amp;IF(AND(ISNUMBER($I1199),N($I1199)&gt;Setup!$B$6),"STATUS_YR after reporting year; ","")&amp;IF(OR($G1199="",$G1199="Not Reported"),"GOV_TYPE not reported; ","")&amp;IF(AND(N($J1199)=1,$K1199="Point",N($M1199)&lt;=0),"Coastal point without REP_M_AREA – land/sea split unknown; ","")&amp;IF(AND(N($J1199)=0,N($S1199)&gt;0),"MARINE=0 but net marine &gt;0; ","")&amp;IF(AND(N($J1199)=2,N($R1199)&gt;0),"MARINE=2 but net terrestrial &gt;0; ","")&amp;IF($K1199="Point","Buffered point – coverage approximate; ","")))</f>
        <v/>
      </c>
    </row>
    <row r="1200">
      <c r="A1200" s="19" t="n"/>
      <c r="B1200" s="19" t="n"/>
      <c r="C1200" s="19" t="n"/>
      <c r="D1200" s="19" t="n"/>
      <c r="E1200" s="19" t="n"/>
      <c r="F1200" s="19" t="n"/>
      <c r="G1200" s="19" t="n"/>
      <c r="H1200" s="19" t="n"/>
      <c r="I1200" s="19" t="n"/>
      <c r="J1200" s="19" t="n"/>
      <c r="K1200" s="19" t="n"/>
      <c r="L1200" s="20" t="n"/>
      <c r="M1200" s="20" t="n"/>
      <c r="N1200" s="20" t="n"/>
      <c r="O1200" s="20" t="n"/>
      <c r="P1200" s="19" t="n"/>
      <c r="Q1200" s="19" t="n"/>
      <c r="R1200" s="20" t="n"/>
      <c r="S1200" s="20" t="n"/>
      <c r="T1200" s="19" t="n"/>
      <c r="U1200" s="19" t="n"/>
      <c r="V1200" s="19" t="n"/>
      <c r="W1200" s="19" t="n"/>
      <c r="X1200" s="19" t="n"/>
      <c r="Y1200" s="19" t="n"/>
      <c r="Z1200" s="21">
        <f>IF(AND($A1200="",$B1200=""),"",IF(OR($E1200="",$H1200="",$H1200="Proposed",$H1200="Not Reported"),0,IF(AND($P1200="Y",$Q1200&lt;&gt;"Y"),0,IF(AND($K1200="Point",N($L1200)&lt;=0),0,IF(AND(N($L1200)&lt;=0,N($N1200)&lt;=0,N($R1200)+N($S1200)&lt;=0),0,1)))))</f>
        <v/>
      </c>
      <c r="AA1200" s="21">
        <f>IF(AND($A1200="",$B1200=""),"",IF($E1200="","Site type missing",IF($H1200="","STATUS missing",IF($H1200="Proposed","STATUS = Proposed",IF($H1200="Not Reported","STATUS = Not Reported",IF(AND($P1200="Y",$Q1200&lt;&gt;"Y"),"UNESCO-MAB Biosphere Reserve",IF(AND($K1200="Point",N($L1200)&lt;=0),"Point without REP_AREA",IF(AND(N($L1200)&lt;=0,N($N1200)&lt;=0,N($R1200)+N($S1200)&lt;=0),"No area information",""))))))))</f>
        <v/>
      </c>
      <c r="AB1200" s="22">
        <f>IF(AND($A1200="",$B1200=""),"",IF($K1200="Point",N($L1200),IF(N($N1200)&gt;0,N($N1200),N($L1200))))</f>
        <v/>
      </c>
      <c r="AC1200" s="22">
        <f>IF(AND($A1200="",$B1200=""),"",MIN(AB1200,IF(N($J1200)=0,0,IF(N($J1200)=2,AB1200,IF(AND($K1200&lt;&gt;"Point",N($O1200)&gt;0),N($O1200),N($M1200))))))</f>
        <v/>
      </c>
      <c r="AD1200" s="22">
        <f>IF(AND($A1200="",$B1200=""),"",MAX(0,AB1200-AC1200))</f>
        <v/>
      </c>
      <c r="AE1200" s="21">
        <f>IF(AND($A1200="",$B1200=""),"",IF(OR($R1200&lt;&gt;"",$S1200&lt;&gt;""),1,0))</f>
        <v/>
      </c>
      <c r="AF1200" s="22">
        <f>IF(AND($A1200="",$B1200=""),"",IF(Z1200=1,IF(AE1200=1,N($R1200),AD1200),0))</f>
        <v/>
      </c>
      <c r="AG1200" s="22">
        <f>IF(AND($A1200="",$B1200=""),"",IF(Z1200=1,IF(AE1200=1,N($S1200),AC1200),0))</f>
        <v/>
      </c>
      <c r="AH1200" s="21">
        <f>IF(AND($A1200="",$B1200=""),"",IF(AND(ISNUMBER($I1200),N($I1200)&gt;0),$I1200,0))</f>
        <v/>
      </c>
      <c r="AI1200" s="23">
        <f>IF(AND(NOT(AND($A1200="",$B1200="")),$K1200="Point",N($L1200)&gt;0),SQRT(N($L1200)/PI()),"")</f>
        <v/>
      </c>
      <c r="AJ1200" s="21">
        <f>IF(AND($A1200="",$B1200=""),"",IFERROR(VLOOKUP($G1200,Lists!$D$4:$E$15,2,FALSE),"Not reported"))</f>
        <v/>
      </c>
      <c r="AK1200" s="21">
        <f>IF(AND($A1200="",$B1200=""),"",IF($X1200&lt;&gt;"",$X1200,IF($T1200&lt;&gt;"Y","Not assessed",IF(AND(ISNUMBER($V1200),Setup!$B$6-$V1200&gt;Setup!$B$26),"Assessment outdated",IF(NOT(ISNUMBER($W1200)),"Assessed – no score",IF($W1200&gt;=Setup!$B$24,"High",IF($W1200&gt;=Setup!$B$25,"Moderate","Low")))))))</f>
        <v/>
      </c>
      <c r="AL1200" s="21">
        <f>IF(AND($A1200="",$B1200=""),"",IF(Z1200=0,"",IF(AND(AE1200=1,N($R1200)&gt;AD1200*1.01+0.001),"Net terrestrial &gt; gross; ","")&amp;IF(AND(AE1200=1,N($S1200)&gt;AC1200*1.01+0.001),"Net marine &gt; gross; ","")&amp;IF(AE1200=0,"No net area – gross used, overlaps may be double-counted; ","")&amp;IF(AH1200=0,"STATUS_YR missing – imputed in time series; ","")&amp;IF(AND(ISNUMBER($I1200),N($I1200)&gt;Setup!$B$6),"STATUS_YR after reporting year; ","")&amp;IF(OR($G1200="",$G1200="Not Reported"),"GOV_TYPE not reported; ","")&amp;IF(AND(N($J1200)=1,$K1200="Point",N($M1200)&lt;=0),"Coastal point without REP_M_AREA – land/sea split unknown; ","")&amp;IF(AND(N($J1200)=0,N($S1200)&gt;0),"MARINE=0 but net marine &gt;0; ","")&amp;IF(AND(N($J1200)=2,N($R1200)&gt;0),"MARINE=2 but net terrestrial &gt;0; ","")&amp;IF($K1200="Point","Buffered point – coverage approximate; ","")))</f>
        <v/>
      </c>
    </row>
    <row r="1201">
      <c r="A1201" s="19" t="n"/>
      <c r="B1201" s="19" t="n"/>
      <c r="C1201" s="19" t="n"/>
      <c r="D1201" s="19" t="n"/>
      <c r="E1201" s="19" t="n"/>
      <c r="F1201" s="19" t="n"/>
      <c r="G1201" s="19" t="n"/>
      <c r="H1201" s="19" t="n"/>
      <c r="I1201" s="19" t="n"/>
      <c r="J1201" s="19" t="n"/>
      <c r="K1201" s="19" t="n"/>
      <c r="L1201" s="20" t="n"/>
      <c r="M1201" s="20" t="n"/>
      <c r="N1201" s="20" t="n"/>
      <c r="O1201" s="20" t="n"/>
      <c r="P1201" s="19" t="n"/>
      <c r="Q1201" s="19" t="n"/>
      <c r="R1201" s="20" t="n"/>
      <c r="S1201" s="20" t="n"/>
      <c r="T1201" s="19" t="n"/>
      <c r="U1201" s="19" t="n"/>
      <c r="V1201" s="19" t="n"/>
      <c r="W1201" s="19" t="n"/>
      <c r="X1201" s="19" t="n"/>
      <c r="Y1201" s="19" t="n"/>
      <c r="Z1201" s="21">
        <f>IF(AND($A1201="",$B1201=""),"",IF(OR($E1201="",$H1201="",$H1201="Proposed",$H1201="Not Reported"),0,IF(AND($P1201="Y",$Q1201&lt;&gt;"Y"),0,IF(AND($K1201="Point",N($L1201)&lt;=0),0,IF(AND(N($L1201)&lt;=0,N($N1201)&lt;=0,N($R1201)+N($S1201)&lt;=0),0,1)))))</f>
        <v/>
      </c>
      <c r="AA1201" s="21">
        <f>IF(AND($A1201="",$B1201=""),"",IF($E1201="","Site type missing",IF($H1201="","STATUS missing",IF($H1201="Proposed","STATUS = Proposed",IF($H1201="Not Reported","STATUS = Not Reported",IF(AND($P1201="Y",$Q1201&lt;&gt;"Y"),"UNESCO-MAB Biosphere Reserve",IF(AND($K1201="Point",N($L1201)&lt;=0),"Point without REP_AREA",IF(AND(N($L1201)&lt;=0,N($N1201)&lt;=0,N($R1201)+N($S1201)&lt;=0),"No area information",""))))))))</f>
        <v/>
      </c>
      <c r="AB1201" s="22">
        <f>IF(AND($A1201="",$B1201=""),"",IF($K1201="Point",N($L1201),IF(N($N1201)&gt;0,N($N1201),N($L1201))))</f>
        <v/>
      </c>
      <c r="AC1201" s="22">
        <f>IF(AND($A1201="",$B1201=""),"",MIN(AB1201,IF(N($J1201)=0,0,IF(N($J1201)=2,AB1201,IF(AND($K1201&lt;&gt;"Point",N($O1201)&gt;0),N($O1201),N($M1201))))))</f>
        <v/>
      </c>
      <c r="AD1201" s="22">
        <f>IF(AND($A1201="",$B1201=""),"",MAX(0,AB1201-AC1201))</f>
        <v/>
      </c>
      <c r="AE1201" s="21">
        <f>IF(AND($A1201="",$B1201=""),"",IF(OR($R1201&lt;&gt;"",$S1201&lt;&gt;""),1,0))</f>
        <v/>
      </c>
      <c r="AF1201" s="22">
        <f>IF(AND($A1201="",$B1201=""),"",IF(Z1201=1,IF(AE1201=1,N($R1201),AD1201),0))</f>
        <v/>
      </c>
      <c r="AG1201" s="22">
        <f>IF(AND($A1201="",$B1201=""),"",IF(Z1201=1,IF(AE1201=1,N($S1201),AC1201),0))</f>
        <v/>
      </c>
      <c r="AH1201" s="21">
        <f>IF(AND($A1201="",$B1201=""),"",IF(AND(ISNUMBER($I1201),N($I1201)&gt;0),$I1201,0))</f>
        <v/>
      </c>
      <c r="AI1201" s="23">
        <f>IF(AND(NOT(AND($A1201="",$B1201="")),$K1201="Point",N($L1201)&gt;0),SQRT(N($L1201)/PI()),"")</f>
        <v/>
      </c>
      <c r="AJ1201" s="21">
        <f>IF(AND($A1201="",$B1201=""),"",IFERROR(VLOOKUP($G1201,Lists!$D$4:$E$15,2,FALSE),"Not reported"))</f>
        <v/>
      </c>
      <c r="AK1201" s="21">
        <f>IF(AND($A1201="",$B1201=""),"",IF($X1201&lt;&gt;"",$X1201,IF($T1201&lt;&gt;"Y","Not assessed",IF(AND(ISNUMBER($V1201),Setup!$B$6-$V1201&gt;Setup!$B$26),"Assessment outdated",IF(NOT(ISNUMBER($W1201)),"Assessed – no score",IF($W1201&gt;=Setup!$B$24,"High",IF($W1201&gt;=Setup!$B$25,"Moderate","Low")))))))</f>
        <v/>
      </c>
      <c r="AL1201" s="21">
        <f>IF(AND($A1201="",$B1201=""),"",IF(Z1201=0,"",IF(AND(AE1201=1,N($R1201)&gt;AD1201*1.01+0.001),"Net terrestrial &gt; gross; ","")&amp;IF(AND(AE1201=1,N($S1201)&gt;AC1201*1.01+0.001),"Net marine &gt; gross; ","")&amp;IF(AE1201=0,"No net area – gross used, overlaps may be double-counted; ","")&amp;IF(AH1201=0,"STATUS_YR missing – imputed in time series; ","")&amp;IF(AND(ISNUMBER($I1201),N($I1201)&gt;Setup!$B$6),"STATUS_YR after reporting year; ","")&amp;IF(OR($G1201="",$G1201="Not Reported"),"GOV_TYPE not reported; ","")&amp;IF(AND(N($J1201)=1,$K1201="Point",N($M1201)&lt;=0),"Coastal point without REP_M_AREA – land/sea split unknown; ","")&amp;IF(AND(N($J1201)=0,N($S1201)&gt;0),"MARINE=0 but net marine &gt;0; ","")&amp;IF(AND(N($J1201)=2,N($R1201)&gt;0),"MARINE=2 but net terrestrial &gt;0; ","")&amp;IF($K1201="Point","Buffered point – coverage approximate; ","")))</f>
        <v/>
      </c>
    </row>
    <row r="1202">
      <c r="A1202" s="19" t="n"/>
      <c r="B1202" s="19" t="n"/>
      <c r="C1202" s="19" t="n"/>
      <c r="D1202" s="19" t="n"/>
      <c r="E1202" s="19" t="n"/>
      <c r="F1202" s="19" t="n"/>
      <c r="G1202" s="19" t="n"/>
      <c r="H1202" s="19" t="n"/>
      <c r="I1202" s="19" t="n"/>
      <c r="J1202" s="19" t="n"/>
      <c r="K1202" s="19" t="n"/>
      <c r="L1202" s="20" t="n"/>
      <c r="M1202" s="20" t="n"/>
      <c r="N1202" s="20" t="n"/>
      <c r="O1202" s="20" t="n"/>
      <c r="P1202" s="19" t="n"/>
      <c r="Q1202" s="19" t="n"/>
      <c r="R1202" s="20" t="n"/>
      <c r="S1202" s="20" t="n"/>
      <c r="T1202" s="19" t="n"/>
      <c r="U1202" s="19" t="n"/>
      <c r="V1202" s="19" t="n"/>
      <c r="W1202" s="19" t="n"/>
      <c r="X1202" s="19" t="n"/>
      <c r="Y1202" s="19" t="n"/>
      <c r="Z1202" s="21">
        <f>IF(AND($A1202="",$B1202=""),"",IF(OR($E1202="",$H1202="",$H1202="Proposed",$H1202="Not Reported"),0,IF(AND($P1202="Y",$Q1202&lt;&gt;"Y"),0,IF(AND($K1202="Point",N($L1202)&lt;=0),0,IF(AND(N($L1202)&lt;=0,N($N1202)&lt;=0,N($R1202)+N($S1202)&lt;=0),0,1)))))</f>
        <v/>
      </c>
      <c r="AA1202" s="21">
        <f>IF(AND($A1202="",$B1202=""),"",IF($E1202="","Site type missing",IF($H1202="","STATUS missing",IF($H1202="Proposed","STATUS = Proposed",IF($H1202="Not Reported","STATUS = Not Reported",IF(AND($P1202="Y",$Q1202&lt;&gt;"Y"),"UNESCO-MAB Biosphere Reserve",IF(AND($K1202="Point",N($L1202)&lt;=0),"Point without REP_AREA",IF(AND(N($L1202)&lt;=0,N($N1202)&lt;=0,N($R1202)+N($S1202)&lt;=0),"No area information",""))))))))</f>
        <v/>
      </c>
      <c r="AB1202" s="22">
        <f>IF(AND($A1202="",$B1202=""),"",IF($K1202="Point",N($L1202),IF(N($N1202)&gt;0,N($N1202),N($L1202))))</f>
        <v/>
      </c>
      <c r="AC1202" s="22">
        <f>IF(AND($A1202="",$B1202=""),"",MIN(AB1202,IF(N($J1202)=0,0,IF(N($J1202)=2,AB1202,IF(AND($K1202&lt;&gt;"Point",N($O1202)&gt;0),N($O1202),N($M1202))))))</f>
        <v/>
      </c>
      <c r="AD1202" s="22">
        <f>IF(AND($A1202="",$B1202=""),"",MAX(0,AB1202-AC1202))</f>
        <v/>
      </c>
      <c r="AE1202" s="21">
        <f>IF(AND($A1202="",$B1202=""),"",IF(OR($R1202&lt;&gt;"",$S1202&lt;&gt;""),1,0))</f>
        <v/>
      </c>
      <c r="AF1202" s="22">
        <f>IF(AND($A1202="",$B1202=""),"",IF(Z1202=1,IF(AE1202=1,N($R1202),AD1202),0))</f>
        <v/>
      </c>
      <c r="AG1202" s="22">
        <f>IF(AND($A1202="",$B1202=""),"",IF(Z1202=1,IF(AE1202=1,N($S1202),AC1202),0))</f>
        <v/>
      </c>
      <c r="AH1202" s="21">
        <f>IF(AND($A1202="",$B1202=""),"",IF(AND(ISNUMBER($I1202),N($I1202)&gt;0),$I1202,0))</f>
        <v/>
      </c>
      <c r="AI1202" s="23">
        <f>IF(AND(NOT(AND($A1202="",$B1202="")),$K1202="Point",N($L1202)&gt;0),SQRT(N($L1202)/PI()),"")</f>
        <v/>
      </c>
      <c r="AJ1202" s="21">
        <f>IF(AND($A1202="",$B1202=""),"",IFERROR(VLOOKUP($G1202,Lists!$D$4:$E$15,2,FALSE),"Not reported"))</f>
        <v/>
      </c>
      <c r="AK1202" s="21">
        <f>IF(AND($A1202="",$B1202=""),"",IF($X1202&lt;&gt;"",$X1202,IF($T1202&lt;&gt;"Y","Not assessed",IF(AND(ISNUMBER($V1202),Setup!$B$6-$V1202&gt;Setup!$B$26),"Assessment outdated",IF(NOT(ISNUMBER($W1202)),"Assessed – no score",IF($W1202&gt;=Setup!$B$24,"High",IF($W1202&gt;=Setup!$B$25,"Moderate","Low")))))))</f>
        <v/>
      </c>
      <c r="AL1202" s="21">
        <f>IF(AND($A1202="",$B1202=""),"",IF(Z1202=0,"",IF(AND(AE1202=1,N($R1202)&gt;AD1202*1.01+0.001),"Net terrestrial &gt; gross; ","")&amp;IF(AND(AE1202=1,N($S1202)&gt;AC1202*1.01+0.001),"Net marine &gt; gross; ","")&amp;IF(AE1202=0,"No net area – gross used, overlaps may be double-counted; ","")&amp;IF(AH1202=0,"STATUS_YR missing – imputed in time series; ","")&amp;IF(AND(ISNUMBER($I1202),N($I1202)&gt;Setup!$B$6),"STATUS_YR after reporting year; ","")&amp;IF(OR($G1202="",$G1202="Not Reported"),"GOV_TYPE not reported; ","")&amp;IF(AND(N($J1202)=1,$K1202="Point",N($M1202)&lt;=0),"Coastal point without REP_M_AREA – land/sea split unknown; ","")&amp;IF(AND(N($J1202)=0,N($S1202)&gt;0),"MARINE=0 but net marine &gt;0; ","")&amp;IF(AND(N($J1202)=2,N($R1202)&gt;0),"MARINE=2 but net terrestrial &gt;0; ","")&amp;IF($K1202="Point","Buffered point – coverage approximate; ","")))</f>
        <v/>
      </c>
    </row>
    <row r="1203">
      <c r="A1203" s="19" t="n"/>
      <c r="B1203" s="19" t="n"/>
      <c r="C1203" s="19" t="n"/>
      <c r="D1203" s="19" t="n"/>
      <c r="E1203" s="19" t="n"/>
      <c r="F1203" s="19" t="n"/>
      <c r="G1203" s="19" t="n"/>
      <c r="H1203" s="19" t="n"/>
      <c r="I1203" s="19" t="n"/>
      <c r="J1203" s="19" t="n"/>
      <c r="K1203" s="19" t="n"/>
      <c r="L1203" s="20" t="n"/>
      <c r="M1203" s="20" t="n"/>
      <c r="N1203" s="20" t="n"/>
      <c r="O1203" s="20" t="n"/>
      <c r="P1203" s="19" t="n"/>
      <c r="Q1203" s="19" t="n"/>
      <c r="R1203" s="20" t="n"/>
      <c r="S1203" s="20" t="n"/>
      <c r="T1203" s="19" t="n"/>
      <c r="U1203" s="19" t="n"/>
      <c r="V1203" s="19" t="n"/>
      <c r="W1203" s="19" t="n"/>
      <c r="X1203" s="19" t="n"/>
      <c r="Y1203" s="19" t="n"/>
      <c r="Z1203" s="21">
        <f>IF(AND($A1203="",$B1203=""),"",IF(OR($E1203="",$H1203="",$H1203="Proposed",$H1203="Not Reported"),0,IF(AND($P1203="Y",$Q1203&lt;&gt;"Y"),0,IF(AND($K1203="Point",N($L1203)&lt;=0),0,IF(AND(N($L1203)&lt;=0,N($N1203)&lt;=0,N($R1203)+N($S1203)&lt;=0),0,1)))))</f>
        <v/>
      </c>
      <c r="AA1203" s="21">
        <f>IF(AND($A1203="",$B1203=""),"",IF($E1203="","Site type missing",IF($H1203="","STATUS missing",IF($H1203="Proposed","STATUS = Proposed",IF($H1203="Not Reported","STATUS = Not Reported",IF(AND($P1203="Y",$Q1203&lt;&gt;"Y"),"UNESCO-MAB Biosphere Reserve",IF(AND($K1203="Point",N($L1203)&lt;=0),"Point without REP_AREA",IF(AND(N($L1203)&lt;=0,N($N1203)&lt;=0,N($R1203)+N($S1203)&lt;=0),"No area information",""))))))))</f>
        <v/>
      </c>
      <c r="AB1203" s="22">
        <f>IF(AND($A1203="",$B1203=""),"",IF($K1203="Point",N($L1203),IF(N($N1203)&gt;0,N($N1203),N($L1203))))</f>
        <v/>
      </c>
      <c r="AC1203" s="22">
        <f>IF(AND($A1203="",$B1203=""),"",MIN(AB1203,IF(N($J1203)=0,0,IF(N($J1203)=2,AB1203,IF(AND($K1203&lt;&gt;"Point",N($O1203)&gt;0),N($O1203),N($M1203))))))</f>
        <v/>
      </c>
      <c r="AD1203" s="22">
        <f>IF(AND($A1203="",$B1203=""),"",MAX(0,AB1203-AC1203))</f>
        <v/>
      </c>
      <c r="AE1203" s="21">
        <f>IF(AND($A1203="",$B1203=""),"",IF(OR($R1203&lt;&gt;"",$S1203&lt;&gt;""),1,0))</f>
        <v/>
      </c>
      <c r="AF1203" s="22">
        <f>IF(AND($A1203="",$B1203=""),"",IF(Z1203=1,IF(AE1203=1,N($R1203),AD1203),0))</f>
        <v/>
      </c>
      <c r="AG1203" s="22">
        <f>IF(AND($A1203="",$B1203=""),"",IF(Z1203=1,IF(AE1203=1,N($S1203),AC1203),0))</f>
        <v/>
      </c>
      <c r="AH1203" s="21">
        <f>IF(AND($A1203="",$B1203=""),"",IF(AND(ISNUMBER($I1203),N($I1203)&gt;0),$I1203,0))</f>
        <v/>
      </c>
      <c r="AI1203" s="23">
        <f>IF(AND(NOT(AND($A1203="",$B1203="")),$K1203="Point",N($L1203)&gt;0),SQRT(N($L1203)/PI()),"")</f>
        <v/>
      </c>
      <c r="AJ1203" s="21">
        <f>IF(AND($A1203="",$B1203=""),"",IFERROR(VLOOKUP($G1203,Lists!$D$4:$E$15,2,FALSE),"Not reported"))</f>
        <v/>
      </c>
      <c r="AK1203" s="21">
        <f>IF(AND($A1203="",$B1203=""),"",IF($X1203&lt;&gt;"",$X1203,IF($T1203&lt;&gt;"Y","Not assessed",IF(AND(ISNUMBER($V1203),Setup!$B$6-$V1203&gt;Setup!$B$26),"Assessment outdated",IF(NOT(ISNUMBER($W1203)),"Assessed – no score",IF($W1203&gt;=Setup!$B$24,"High",IF($W1203&gt;=Setup!$B$25,"Moderate","Low")))))))</f>
        <v/>
      </c>
      <c r="AL1203" s="21">
        <f>IF(AND($A1203="",$B1203=""),"",IF(Z1203=0,"",IF(AND(AE1203=1,N($R1203)&gt;AD1203*1.01+0.001),"Net terrestrial &gt; gross; ","")&amp;IF(AND(AE1203=1,N($S1203)&gt;AC1203*1.01+0.001),"Net marine &gt; gross; ","")&amp;IF(AE1203=0,"No net area – gross used, overlaps may be double-counted; ","")&amp;IF(AH1203=0,"STATUS_YR missing – imputed in time series; ","")&amp;IF(AND(ISNUMBER($I1203),N($I1203)&gt;Setup!$B$6),"STATUS_YR after reporting year; ","")&amp;IF(OR($G1203="",$G1203="Not Reported"),"GOV_TYPE not reported; ","")&amp;IF(AND(N($J1203)=1,$K1203="Point",N($M1203)&lt;=0),"Coastal point without REP_M_AREA – land/sea split unknown; ","")&amp;IF(AND(N($J1203)=0,N($S1203)&gt;0),"MARINE=0 but net marine &gt;0; ","")&amp;IF(AND(N($J1203)=2,N($R1203)&gt;0),"MARINE=2 but net terrestrial &gt;0; ","")&amp;IF($K1203="Point","Buffered point – coverage approximate; ","")))</f>
        <v/>
      </c>
    </row>
    <row r="1204">
      <c r="A1204" s="19" t="n"/>
      <c r="B1204" s="19" t="n"/>
      <c r="C1204" s="19" t="n"/>
      <c r="D1204" s="19" t="n"/>
      <c r="E1204" s="19" t="n"/>
      <c r="F1204" s="19" t="n"/>
      <c r="G1204" s="19" t="n"/>
      <c r="H1204" s="19" t="n"/>
      <c r="I1204" s="19" t="n"/>
      <c r="J1204" s="19" t="n"/>
      <c r="K1204" s="19" t="n"/>
      <c r="L1204" s="20" t="n"/>
      <c r="M1204" s="20" t="n"/>
      <c r="N1204" s="20" t="n"/>
      <c r="O1204" s="20" t="n"/>
      <c r="P1204" s="19" t="n"/>
      <c r="Q1204" s="19" t="n"/>
      <c r="R1204" s="20" t="n"/>
      <c r="S1204" s="20" t="n"/>
      <c r="T1204" s="19" t="n"/>
      <c r="U1204" s="19" t="n"/>
      <c r="V1204" s="19" t="n"/>
      <c r="W1204" s="19" t="n"/>
      <c r="X1204" s="19" t="n"/>
      <c r="Y1204" s="19" t="n"/>
      <c r="Z1204" s="21">
        <f>IF(AND($A1204="",$B1204=""),"",IF(OR($E1204="",$H1204="",$H1204="Proposed",$H1204="Not Reported"),0,IF(AND($P1204="Y",$Q1204&lt;&gt;"Y"),0,IF(AND($K1204="Point",N($L1204)&lt;=0),0,IF(AND(N($L1204)&lt;=0,N($N1204)&lt;=0,N($R1204)+N($S1204)&lt;=0),0,1)))))</f>
        <v/>
      </c>
      <c r="AA1204" s="21">
        <f>IF(AND($A1204="",$B1204=""),"",IF($E1204="","Site type missing",IF($H1204="","STATUS missing",IF($H1204="Proposed","STATUS = Proposed",IF($H1204="Not Reported","STATUS = Not Reported",IF(AND($P1204="Y",$Q1204&lt;&gt;"Y"),"UNESCO-MAB Biosphere Reserve",IF(AND($K1204="Point",N($L1204)&lt;=0),"Point without REP_AREA",IF(AND(N($L1204)&lt;=0,N($N1204)&lt;=0,N($R1204)+N($S1204)&lt;=0),"No area information",""))))))))</f>
        <v/>
      </c>
      <c r="AB1204" s="22">
        <f>IF(AND($A1204="",$B1204=""),"",IF($K1204="Point",N($L1204),IF(N($N1204)&gt;0,N($N1204),N($L1204))))</f>
        <v/>
      </c>
      <c r="AC1204" s="22">
        <f>IF(AND($A1204="",$B1204=""),"",MIN(AB1204,IF(N($J1204)=0,0,IF(N($J1204)=2,AB1204,IF(AND($K1204&lt;&gt;"Point",N($O1204)&gt;0),N($O1204),N($M1204))))))</f>
        <v/>
      </c>
      <c r="AD1204" s="22">
        <f>IF(AND($A1204="",$B1204=""),"",MAX(0,AB1204-AC1204))</f>
        <v/>
      </c>
      <c r="AE1204" s="21">
        <f>IF(AND($A1204="",$B1204=""),"",IF(OR($R1204&lt;&gt;"",$S1204&lt;&gt;""),1,0))</f>
        <v/>
      </c>
      <c r="AF1204" s="22">
        <f>IF(AND($A1204="",$B1204=""),"",IF(Z1204=1,IF(AE1204=1,N($R1204),AD1204),0))</f>
        <v/>
      </c>
      <c r="AG1204" s="22">
        <f>IF(AND($A1204="",$B1204=""),"",IF(Z1204=1,IF(AE1204=1,N($S1204),AC1204),0))</f>
        <v/>
      </c>
      <c r="AH1204" s="21">
        <f>IF(AND($A1204="",$B1204=""),"",IF(AND(ISNUMBER($I1204),N($I1204)&gt;0),$I1204,0))</f>
        <v/>
      </c>
      <c r="AI1204" s="23">
        <f>IF(AND(NOT(AND($A1204="",$B1204="")),$K1204="Point",N($L1204)&gt;0),SQRT(N($L1204)/PI()),"")</f>
        <v/>
      </c>
      <c r="AJ1204" s="21">
        <f>IF(AND($A1204="",$B1204=""),"",IFERROR(VLOOKUP($G1204,Lists!$D$4:$E$15,2,FALSE),"Not reported"))</f>
        <v/>
      </c>
      <c r="AK1204" s="21">
        <f>IF(AND($A1204="",$B1204=""),"",IF($X1204&lt;&gt;"",$X1204,IF($T1204&lt;&gt;"Y","Not assessed",IF(AND(ISNUMBER($V1204),Setup!$B$6-$V1204&gt;Setup!$B$26),"Assessment outdated",IF(NOT(ISNUMBER($W1204)),"Assessed – no score",IF($W1204&gt;=Setup!$B$24,"High",IF($W1204&gt;=Setup!$B$25,"Moderate","Low")))))))</f>
        <v/>
      </c>
      <c r="AL1204" s="21">
        <f>IF(AND($A1204="",$B1204=""),"",IF(Z1204=0,"",IF(AND(AE1204=1,N($R1204)&gt;AD1204*1.01+0.001),"Net terrestrial &gt; gross; ","")&amp;IF(AND(AE1204=1,N($S1204)&gt;AC1204*1.01+0.001),"Net marine &gt; gross; ","")&amp;IF(AE1204=0,"No net area – gross used, overlaps may be double-counted; ","")&amp;IF(AH1204=0,"STATUS_YR missing – imputed in time series; ","")&amp;IF(AND(ISNUMBER($I1204),N($I1204)&gt;Setup!$B$6),"STATUS_YR after reporting year; ","")&amp;IF(OR($G1204="",$G1204="Not Reported"),"GOV_TYPE not reported; ","")&amp;IF(AND(N($J1204)=1,$K1204="Point",N($M1204)&lt;=0),"Coastal point without REP_M_AREA – land/sea split unknown; ","")&amp;IF(AND(N($J1204)=0,N($S1204)&gt;0),"MARINE=0 but net marine &gt;0; ","")&amp;IF(AND(N($J1204)=2,N($R1204)&gt;0),"MARINE=2 but net terrestrial &gt;0; ","")&amp;IF($K1204="Point","Buffered point – coverage approximate; ","")))</f>
        <v/>
      </c>
    </row>
    <row r="1205">
      <c r="A1205" s="19" t="n"/>
      <c r="B1205" s="19" t="n"/>
      <c r="C1205" s="19" t="n"/>
      <c r="D1205" s="19" t="n"/>
      <c r="E1205" s="19" t="n"/>
      <c r="F1205" s="19" t="n"/>
      <c r="G1205" s="19" t="n"/>
      <c r="H1205" s="19" t="n"/>
      <c r="I1205" s="19" t="n"/>
      <c r="J1205" s="19" t="n"/>
      <c r="K1205" s="19" t="n"/>
      <c r="L1205" s="20" t="n"/>
      <c r="M1205" s="20" t="n"/>
      <c r="N1205" s="20" t="n"/>
      <c r="O1205" s="20" t="n"/>
      <c r="P1205" s="19" t="n"/>
      <c r="Q1205" s="19" t="n"/>
      <c r="R1205" s="20" t="n"/>
      <c r="S1205" s="20" t="n"/>
      <c r="T1205" s="19" t="n"/>
      <c r="U1205" s="19" t="n"/>
      <c r="V1205" s="19" t="n"/>
      <c r="W1205" s="19" t="n"/>
      <c r="X1205" s="19" t="n"/>
      <c r="Y1205" s="19" t="n"/>
      <c r="Z1205" s="21">
        <f>IF(AND($A1205="",$B1205=""),"",IF(OR($E1205="",$H1205="",$H1205="Proposed",$H1205="Not Reported"),0,IF(AND($P1205="Y",$Q1205&lt;&gt;"Y"),0,IF(AND($K1205="Point",N($L1205)&lt;=0),0,IF(AND(N($L1205)&lt;=0,N($N1205)&lt;=0,N($R1205)+N($S1205)&lt;=0),0,1)))))</f>
        <v/>
      </c>
      <c r="AA1205" s="21">
        <f>IF(AND($A1205="",$B1205=""),"",IF($E1205="","Site type missing",IF($H1205="","STATUS missing",IF($H1205="Proposed","STATUS = Proposed",IF($H1205="Not Reported","STATUS = Not Reported",IF(AND($P1205="Y",$Q1205&lt;&gt;"Y"),"UNESCO-MAB Biosphere Reserve",IF(AND($K1205="Point",N($L1205)&lt;=0),"Point without REP_AREA",IF(AND(N($L1205)&lt;=0,N($N1205)&lt;=0,N($R1205)+N($S1205)&lt;=0),"No area information",""))))))))</f>
        <v/>
      </c>
      <c r="AB1205" s="22">
        <f>IF(AND($A1205="",$B1205=""),"",IF($K1205="Point",N($L1205),IF(N($N1205)&gt;0,N($N1205),N($L1205))))</f>
        <v/>
      </c>
      <c r="AC1205" s="22">
        <f>IF(AND($A1205="",$B1205=""),"",MIN(AB1205,IF(N($J1205)=0,0,IF(N($J1205)=2,AB1205,IF(AND($K1205&lt;&gt;"Point",N($O1205)&gt;0),N($O1205),N($M1205))))))</f>
        <v/>
      </c>
      <c r="AD1205" s="22">
        <f>IF(AND($A1205="",$B1205=""),"",MAX(0,AB1205-AC1205))</f>
        <v/>
      </c>
      <c r="AE1205" s="21">
        <f>IF(AND($A1205="",$B1205=""),"",IF(OR($R1205&lt;&gt;"",$S1205&lt;&gt;""),1,0))</f>
        <v/>
      </c>
      <c r="AF1205" s="22">
        <f>IF(AND($A1205="",$B1205=""),"",IF(Z1205=1,IF(AE1205=1,N($R1205),AD1205),0))</f>
        <v/>
      </c>
      <c r="AG1205" s="22">
        <f>IF(AND($A1205="",$B1205=""),"",IF(Z1205=1,IF(AE1205=1,N($S1205),AC1205),0))</f>
        <v/>
      </c>
      <c r="AH1205" s="21">
        <f>IF(AND($A1205="",$B1205=""),"",IF(AND(ISNUMBER($I1205),N($I1205)&gt;0),$I1205,0))</f>
        <v/>
      </c>
      <c r="AI1205" s="23">
        <f>IF(AND(NOT(AND($A1205="",$B1205="")),$K1205="Point",N($L1205)&gt;0),SQRT(N($L1205)/PI()),"")</f>
        <v/>
      </c>
      <c r="AJ1205" s="21">
        <f>IF(AND($A1205="",$B1205=""),"",IFERROR(VLOOKUP($G1205,Lists!$D$4:$E$15,2,FALSE),"Not reported"))</f>
        <v/>
      </c>
      <c r="AK1205" s="21">
        <f>IF(AND($A1205="",$B1205=""),"",IF($X1205&lt;&gt;"",$X1205,IF($T1205&lt;&gt;"Y","Not assessed",IF(AND(ISNUMBER($V1205),Setup!$B$6-$V1205&gt;Setup!$B$26),"Assessment outdated",IF(NOT(ISNUMBER($W1205)),"Assessed – no score",IF($W1205&gt;=Setup!$B$24,"High",IF($W1205&gt;=Setup!$B$25,"Moderate","Low")))))))</f>
        <v/>
      </c>
      <c r="AL1205" s="21">
        <f>IF(AND($A1205="",$B1205=""),"",IF(Z1205=0,"",IF(AND(AE1205=1,N($R1205)&gt;AD1205*1.01+0.001),"Net terrestrial &gt; gross; ","")&amp;IF(AND(AE1205=1,N($S1205)&gt;AC1205*1.01+0.001),"Net marine &gt; gross; ","")&amp;IF(AE1205=0,"No net area – gross used, overlaps may be double-counted; ","")&amp;IF(AH1205=0,"STATUS_YR missing – imputed in time series; ","")&amp;IF(AND(ISNUMBER($I1205),N($I1205)&gt;Setup!$B$6),"STATUS_YR after reporting year; ","")&amp;IF(OR($G1205="",$G1205="Not Reported"),"GOV_TYPE not reported; ","")&amp;IF(AND(N($J1205)=1,$K1205="Point",N($M1205)&lt;=0),"Coastal point without REP_M_AREA – land/sea split unknown; ","")&amp;IF(AND(N($J1205)=0,N($S1205)&gt;0),"MARINE=0 but net marine &gt;0; ","")&amp;IF(AND(N($J1205)=2,N($R1205)&gt;0),"MARINE=2 but net terrestrial &gt;0; ","")&amp;IF($K1205="Point","Buffered point – coverage approximate; ","")))</f>
        <v/>
      </c>
    </row>
    <row r="1206">
      <c r="A1206" s="19" t="n"/>
      <c r="B1206" s="19" t="n"/>
      <c r="C1206" s="19" t="n"/>
      <c r="D1206" s="19" t="n"/>
      <c r="E1206" s="19" t="n"/>
      <c r="F1206" s="19" t="n"/>
      <c r="G1206" s="19" t="n"/>
      <c r="H1206" s="19" t="n"/>
      <c r="I1206" s="19" t="n"/>
      <c r="J1206" s="19" t="n"/>
      <c r="K1206" s="19" t="n"/>
      <c r="L1206" s="20" t="n"/>
      <c r="M1206" s="20" t="n"/>
      <c r="N1206" s="20" t="n"/>
      <c r="O1206" s="20" t="n"/>
      <c r="P1206" s="19" t="n"/>
      <c r="Q1206" s="19" t="n"/>
      <c r="R1206" s="20" t="n"/>
      <c r="S1206" s="20" t="n"/>
      <c r="T1206" s="19" t="n"/>
      <c r="U1206" s="19" t="n"/>
      <c r="V1206" s="19" t="n"/>
      <c r="W1206" s="19" t="n"/>
      <c r="X1206" s="19" t="n"/>
      <c r="Y1206" s="19" t="n"/>
      <c r="Z1206" s="21">
        <f>IF(AND($A1206="",$B1206=""),"",IF(OR($E1206="",$H1206="",$H1206="Proposed",$H1206="Not Reported"),0,IF(AND($P1206="Y",$Q1206&lt;&gt;"Y"),0,IF(AND($K1206="Point",N($L1206)&lt;=0),0,IF(AND(N($L1206)&lt;=0,N($N1206)&lt;=0,N($R1206)+N($S1206)&lt;=0),0,1)))))</f>
        <v/>
      </c>
      <c r="AA1206" s="21">
        <f>IF(AND($A1206="",$B1206=""),"",IF($E1206="","Site type missing",IF($H1206="","STATUS missing",IF($H1206="Proposed","STATUS = Proposed",IF($H1206="Not Reported","STATUS = Not Reported",IF(AND($P1206="Y",$Q1206&lt;&gt;"Y"),"UNESCO-MAB Biosphere Reserve",IF(AND($K1206="Point",N($L1206)&lt;=0),"Point without REP_AREA",IF(AND(N($L1206)&lt;=0,N($N1206)&lt;=0,N($R1206)+N($S1206)&lt;=0),"No area information",""))))))))</f>
        <v/>
      </c>
      <c r="AB1206" s="22">
        <f>IF(AND($A1206="",$B1206=""),"",IF($K1206="Point",N($L1206),IF(N($N1206)&gt;0,N($N1206),N($L1206))))</f>
        <v/>
      </c>
      <c r="AC1206" s="22">
        <f>IF(AND($A1206="",$B1206=""),"",MIN(AB1206,IF(N($J1206)=0,0,IF(N($J1206)=2,AB1206,IF(AND($K1206&lt;&gt;"Point",N($O1206)&gt;0),N($O1206),N($M1206))))))</f>
        <v/>
      </c>
      <c r="AD1206" s="22">
        <f>IF(AND($A1206="",$B1206=""),"",MAX(0,AB1206-AC1206))</f>
        <v/>
      </c>
      <c r="AE1206" s="21">
        <f>IF(AND($A1206="",$B1206=""),"",IF(OR($R1206&lt;&gt;"",$S1206&lt;&gt;""),1,0))</f>
        <v/>
      </c>
      <c r="AF1206" s="22">
        <f>IF(AND($A1206="",$B1206=""),"",IF(Z1206=1,IF(AE1206=1,N($R1206),AD1206),0))</f>
        <v/>
      </c>
      <c r="AG1206" s="22">
        <f>IF(AND($A1206="",$B1206=""),"",IF(Z1206=1,IF(AE1206=1,N($S1206),AC1206),0))</f>
        <v/>
      </c>
      <c r="AH1206" s="21">
        <f>IF(AND($A1206="",$B1206=""),"",IF(AND(ISNUMBER($I1206),N($I1206)&gt;0),$I1206,0))</f>
        <v/>
      </c>
      <c r="AI1206" s="23">
        <f>IF(AND(NOT(AND($A1206="",$B1206="")),$K1206="Point",N($L1206)&gt;0),SQRT(N($L1206)/PI()),"")</f>
        <v/>
      </c>
      <c r="AJ1206" s="21">
        <f>IF(AND($A1206="",$B1206=""),"",IFERROR(VLOOKUP($G1206,Lists!$D$4:$E$15,2,FALSE),"Not reported"))</f>
        <v/>
      </c>
      <c r="AK1206" s="21">
        <f>IF(AND($A1206="",$B1206=""),"",IF($X1206&lt;&gt;"",$X1206,IF($T1206&lt;&gt;"Y","Not assessed",IF(AND(ISNUMBER($V1206),Setup!$B$6-$V1206&gt;Setup!$B$26),"Assessment outdated",IF(NOT(ISNUMBER($W1206)),"Assessed – no score",IF($W1206&gt;=Setup!$B$24,"High",IF($W1206&gt;=Setup!$B$25,"Moderate","Low")))))))</f>
        <v/>
      </c>
      <c r="AL1206" s="21">
        <f>IF(AND($A1206="",$B1206=""),"",IF(Z1206=0,"",IF(AND(AE1206=1,N($R1206)&gt;AD1206*1.01+0.001),"Net terrestrial &gt; gross; ","")&amp;IF(AND(AE1206=1,N($S1206)&gt;AC1206*1.01+0.001),"Net marine &gt; gross; ","")&amp;IF(AE1206=0,"No net area – gross used, overlaps may be double-counted; ","")&amp;IF(AH1206=0,"STATUS_YR missing – imputed in time series; ","")&amp;IF(AND(ISNUMBER($I1206),N($I1206)&gt;Setup!$B$6),"STATUS_YR after reporting year; ","")&amp;IF(OR($G1206="",$G1206="Not Reported"),"GOV_TYPE not reported; ","")&amp;IF(AND(N($J1206)=1,$K1206="Point",N($M1206)&lt;=0),"Coastal point without REP_M_AREA – land/sea split unknown; ","")&amp;IF(AND(N($J1206)=0,N($S1206)&gt;0),"MARINE=0 but net marine &gt;0; ","")&amp;IF(AND(N($J1206)=2,N($R1206)&gt;0),"MARINE=2 but net terrestrial &gt;0; ","")&amp;IF($K1206="Point","Buffered point – coverage approximate; ","")))</f>
        <v/>
      </c>
    </row>
    <row r="1207">
      <c r="A1207" s="19" t="n"/>
      <c r="B1207" s="19" t="n"/>
      <c r="C1207" s="19" t="n"/>
      <c r="D1207" s="19" t="n"/>
      <c r="E1207" s="19" t="n"/>
      <c r="F1207" s="19" t="n"/>
      <c r="G1207" s="19" t="n"/>
      <c r="H1207" s="19" t="n"/>
      <c r="I1207" s="19" t="n"/>
      <c r="J1207" s="19" t="n"/>
      <c r="K1207" s="19" t="n"/>
      <c r="L1207" s="20" t="n"/>
      <c r="M1207" s="20" t="n"/>
      <c r="N1207" s="20" t="n"/>
      <c r="O1207" s="20" t="n"/>
      <c r="P1207" s="19" t="n"/>
      <c r="Q1207" s="19" t="n"/>
      <c r="R1207" s="20" t="n"/>
      <c r="S1207" s="20" t="n"/>
      <c r="T1207" s="19" t="n"/>
      <c r="U1207" s="19" t="n"/>
      <c r="V1207" s="19" t="n"/>
      <c r="W1207" s="19" t="n"/>
      <c r="X1207" s="19" t="n"/>
      <c r="Y1207" s="19" t="n"/>
      <c r="Z1207" s="21">
        <f>IF(AND($A1207="",$B1207=""),"",IF(OR($E1207="",$H1207="",$H1207="Proposed",$H1207="Not Reported"),0,IF(AND($P1207="Y",$Q1207&lt;&gt;"Y"),0,IF(AND($K1207="Point",N($L1207)&lt;=0),0,IF(AND(N($L1207)&lt;=0,N($N1207)&lt;=0,N($R1207)+N($S1207)&lt;=0),0,1)))))</f>
        <v/>
      </c>
      <c r="AA1207" s="21">
        <f>IF(AND($A1207="",$B1207=""),"",IF($E1207="","Site type missing",IF($H1207="","STATUS missing",IF($H1207="Proposed","STATUS = Proposed",IF($H1207="Not Reported","STATUS = Not Reported",IF(AND($P1207="Y",$Q1207&lt;&gt;"Y"),"UNESCO-MAB Biosphere Reserve",IF(AND($K1207="Point",N($L1207)&lt;=0),"Point without REP_AREA",IF(AND(N($L1207)&lt;=0,N($N1207)&lt;=0,N($R1207)+N($S1207)&lt;=0),"No area information",""))))))))</f>
        <v/>
      </c>
      <c r="AB1207" s="22">
        <f>IF(AND($A1207="",$B1207=""),"",IF($K1207="Point",N($L1207),IF(N($N1207)&gt;0,N($N1207),N($L1207))))</f>
        <v/>
      </c>
      <c r="AC1207" s="22">
        <f>IF(AND($A1207="",$B1207=""),"",MIN(AB1207,IF(N($J1207)=0,0,IF(N($J1207)=2,AB1207,IF(AND($K1207&lt;&gt;"Point",N($O1207)&gt;0),N($O1207),N($M1207))))))</f>
        <v/>
      </c>
      <c r="AD1207" s="22">
        <f>IF(AND($A1207="",$B1207=""),"",MAX(0,AB1207-AC1207))</f>
        <v/>
      </c>
      <c r="AE1207" s="21">
        <f>IF(AND($A1207="",$B1207=""),"",IF(OR($R1207&lt;&gt;"",$S1207&lt;&gt;""),1,0))</f>
        <v/>
      </c>
      <c r="AF1207" s="22">
        <f>IF(AND($A1207="",$B1207=""),"",IF(Z1207=1,IF(AE1207=1,N($R1207),AD1207),0))</f>
        <v/>
      </c>
      <c r="AG1207" s="22">
        <f>IF(AND($A1207="",$B1207=""),"",IF(Z1207=1,IF(AE1207=1,N($S1207),AC1207),0))</f>
        <v/>
      </c>
      <c r="AH1207" s="21">
        <f>IF(AND($A1207="",$B1207=""),"",IF(AND(ISNUMBER($I1207),N($I1207)&gt;0),$I1207,0))</f>
        <v/>
      </c>
      <c r="AI1207" s="23">
        <f>IF(AND(NOT(AND($A1207="",$B1207="")),$K1207="Point",N($L1207)&gt;0),SQRT(N($L1207)/PI()),"")</f>
        <v/>
      </c>
      <c r="AJ1207" s="21">
        <f>IF(AND($A1207="",$B1207=""),"",IFERROR(VLOOKUP($G1207,Lists!$D$4:$E$15,2,FALSE),"Not reported"))</f>
        <v/>
      </c>
      <c r="AK1207" s="21">
        <f>IF(AND($A1207="",$B1207=""),"",IF($X1207&lt;&gt;"",$X1207,IF($T1207&lt;&gt;"Y","Not assessed",IF(AND(ISNUMBER($V1207),Setup!$B$6-$V1207&gt;Setup!$B$26),"Assessment outdated",IF(NOT(ISNUMBER($W1207)),"Assessed – no score",IF($W1207&gt;=Setup!$B$24,"High",IF($W1207&gt;=Setup!$B$25,"Moderate","Low")))))))</f>
        <v/>
      </c>
      <c r="AL1207" s="21">
        <f>IF(AND($A1207="",$B1207=""),"",IF(Z1207=0,"",IF(AND(AE1207=1,N($R1207)&gt;AD1207*1.01+0.001),"Net terrestrial &gt; gross; ","")&amp;IF(AND(AE1207=1,N($S1207)&gt;AC1207*1.01+0.001),"Net marine &gt; gross; ","")&amp;IF(AE1207=0,"No net area – gross used, overlaps may be double-counted; ","")&amp;IF(AH1207=0,"STATUS_YR missing – imputed in time series; ","")&amp;IF(AND(ISNUMBER($I1207),N($I1207)&gt;Setup!$B$6),"STATUS_YR after reporting year; ","")&amp;IF(OR($G1207="",$G1207="Not Reported"),"GOV_TYPE not reported; ","")&amp;IF(AND(N($J1207)=1,$K1207="Point",N($M1207)&lt;=0),"Coastal point without REP_M_AREA – land/sea split unknown; ","")&amp;IF(AND(N($J1207)=0,N($S1207)&gt;0),"MARINE=0 but net marine &gt;0; ","")&amp;IF(AND(N($J1207)=2,N($R1207)&gt;0),"MARINE=2 but net terrestrial &gt;0; ","")&amp;IF($K1207="Point","Buffered point – coverage approximate; ","")))</f>
        <v/>
      </c>
    </row>
    <row r="1208">
      <c r="A1208" s="19" t="n"/>
      <c r="B1208" s="19" t="n"/>
      <c r="C1208" s="19" t="n"/>
      <c r="D1208" s="19" t="n"/>
      <c r="E1208" s="19" t="n"/>
      <c r="F1208" s="19" t="n"/>
      <c r="G1208" s="19" t="n"/>
      <c r="H1208" s="19" t="n"/>
      <c r="I1208" s="19" t="n"/>
      <c r="J1208" s="19" t="n"/>
      <c r="K1208" s="19" t="n"/>
      <c r="L1208" s="20" t="n"/>
      <c r="M1208" s="20" t="n"/>
      <c r="N1208" s="20" t="n"/>
      <c r="O1208" s="20" t="n"/>
      <c r="P1208" s="19" t="n"/>
      <c r="Q1208" s="19" t="n"/>
      <c r="R1208" s="20" t="n"/>
      <c r="S1208" s="20" t="n"/>
      <c r="T1208" s="19" t="n"/>
      <c r="U1208" s="19" t="n"/>
      <c r="V1208" s="19" t="n"/>
      <c r="W1208" s="19" t="n"/>
      <c r="X1208" s="19" t="n"/>
      <c r="Y1208" s="19" t="n"/>
      <c r="Z1208" s="21">
        <f>IF(AND($A1208="",$B1208=""),"",IF(OR($E1208="",$H1208="",$H1208="Proposed",$H1208="Not Reported"),0,IF(AND($P1208="Y",$Q1208&lt;&gt;"Y"),0,IF(AND($K1208="Point",N($L1208)&lt;=0),0,IF(AND(N($L1208)&lt;=0,N($N1208)&lt;=0,N($R1208)+N($S1208)&lt;=0),0,1)))))</f>
        <v/>
      </c>
      <c r="AA1208" s="21">
        <f>IF(AND($A1208="",$B1208=""),"",IF($E1208="","Site type missing",IF($H1208="","STATUS missing",IF($H1208="Proposed","STATUS = Proposed",IF($H1208="Not Reported","STATUS = Not Reported",IF(AND($P1208="Y",$Q1208&lt;&gt;"Y"),"UNESCO-MAB Biosphere Reserve",IF(AND($K1208="Point",N($L1208)&lt;=0),"Point without REP_AREA",IF(AND(N($L1208)&lt;=0,N($N1208)&lt;=0,N($R1208)+N($S1208)&lt;=0),"No area information",""))))))))</f>
        <v/>
      </c>
      <c r="AB1208" s="22">
        <f>IF(AND($A1208="",$B1208=""),"",IF($K1208="Point",N($L1208),IF(N($N1208)&gt;0,N($N1208),N($L1208))))</f>
        <v/>
      </c>
      <c r="AC1208" s="22">
        <f>IF(AND($A1208="",$B1208=""),"",MIN(AB1208,IF(N($J1208)=0,0,IF(N($J1208)=2,AB1208,IF(AND($K1208&lt;&gt;"Point",N($O1208)&gt;0),N($O1208),N($M1208))))))</f>
        <v/>
      </c>
      <c r="AD1208" s="22">
        <f>IF(AND($A1208="",$B1208=""),"",MAX(0,AB1208-AC1208))</f>
        <v/>
      </c>
      <c r="AE1208" s="21">
        <f>IF(AND($A1208="",$B1208=""),"",IF(OR($R1208&lt;&gt;"",$S1208&lt;&gt;""),1,0))</f>
        <v/>
      </c>
      <c r="AF1208" s="22">
        <f>IF(AND($A1208="",$B1208=""),"",IF(Z1208=1,IF(AE1208=1,N($R1208),AD1208),0))</f>
        <v/>
      </c>
      <c r="AG1208" s="22">
        <f>IF(AND($A1208="",$B1208=""),"",IF(Z1208=1,IF(AE1208=1,N($S1208),AC1208),0))</f>
        <v/>
      </c>
      <c r="AH1208" s="21">
        <f>IF(AND($A1208="",$B1208=""),"",IF(AND(ISNUMBER($I1208),N($I1208)&gt;0),$I1208,0))</f>
        <v/>
      </c>
      <c r="AI1208" s="23">
        <f>IF(AND(NOT(AND($A1208="",$B1208="")),$K1208="Point",N($L1208)&gt;0),SQRT(N($L1208)/PI()),"")</f>
        <v/>
      </c>
      <c r="AJ1208" s="21">
        <f>IF(AND($A1208="",$B1208=""),"",IFERROR(VLOOKUP($G1208,Lists!$D$4:$E$15,2,FALSE),"Not reported"))</f>
        <v/>
      </c>
      <c r="AK1208" s="21">
        <f>IF(AND($A1208="",$B1208=""),"",IF($X1208&lt;&gt;"",$X1208,IF($T1208&lt;&gt;"Y","Not assessed",IF(AND(ISNUMBER($V1208),Setup!$B$6-$V1208&gt;Setup!$B$26),"Assessment outdated",IF(NOT(ISNUMBER($W1208)),"Assessed – no score",IF($W1208&gt;=Setup!$B$24,"High",IF($W1208&gt;=Setup!$B$25,"Moderate","Low")))))))</f>
        <v/>
      </c>
      <c r="AL1208" s="21">
        <f>IF(AND($A1208="",$B1208=""),"",IF(Z1208=0,"",IF(AND(AE1208=1,N($R1208)&gt;AD1208*1.01+0.001),"Net terrestrial &gt; gross; ","")&amp;IF(AND(AE1208=1,N($S1208)&gt;AC1208*1.01+0.001),"Net marine &gt; gross; ","")&amp;IF(AE1208=0,"No net area – gross used, overlaps may be double-counted; ","")&amp;IF(AH1208=0,"STATUS_YR missing – imputed in time series; ","")&amp;IF(AND(ISNUMBER($I1208),N($I1208)&gt;Setup!$B$6),"STATUS_YR after reporting year; ","")&amp;IF(OR($G1208="",$G1208="Not Reported"),"GOV_TYPE not reported; ","")&amp;IF(AND(N($J1208)=1,$K1208="Point",N($M1208)&lt;=0),"Coastal point without REP_M_AREA – land/sea split unknown; ","")&amp;IF(AND(N($J1208)=0,N($S1208)&gt;0),"MARINE=0 but net marine &gt;0; ","")&amp;IF(AND(N($J1208)=2,N($R1208)&gt;0),"MARINE=2 but net terrestrial &gt;0; ","")&amp;IF($K1208="Point","Buffered point – coverage approximate; ","")))</f>
        <v/>
      </c>
    </row>
    <row r="1209">
      <c r="A1209" s="19" t="n"/>
      <c r="B1209" s="19" t="n"/>
      <c r="C1209" s="19" t="n"/>
      <c r="D1209" s="19" t="n"/>
      <c r="E1209" s="19" t="n"/>
      <c r="F1209" s="19" t="n"/>
      <c r="G1209" s="19" t="n"/>
      <c r="H1209" s="19" t="n"/>
      <c r="I1209" s="19" t="n"/>
      <c r="J1209" s="19" t="n"/>
      <c r="K1209" s="19" t="n"/>
      <c r="L1209" s="20" t="n"/>
      <c r="M1209" s="20" t="n"/>
      <c r="N1209" s="20" t="n"/>
      <c r="O1209" s="20" t="n"/>
      <c r="P1209" s="19" t="n"/>
      <c r="Q1209" s="19" t="n"/>
      <c r="R1209" s="20" t="n"/>
      <c r="S1209" s="20" t="n"/>
      <c r="T1209" s="19" t="n"/>
      <c r="U1209" s="19" t="n"/>
      <c r="V1209" s="19" t="n"/>
      <c r="W1209" s="19" t="n"/>
      <c r="X1209" s="19" t="n"/>
      <c r="Y1209" s="19" t="n"/>
      <c r="Z1209" s="21">
        <f>IF(AND($A1209="",$B1209=""),"",IF(OR($E1209="",$H1209="",$H1209="Proposed",$H1209="Not Reported"),0,IF(AND($P1209="Y",$Q1209&lt;&gt;"Y"),0,IF(AND($K1209="Point",N($L1209)&lt;=0),0,IF(AND(N($L1209)&lt;=0,N($N1209)&lt;=0,N($R1209)+N($S1209)&lt;=0),0,1)))))</f>
        <v/>
      </c>
      <c r="AA1209" s="21">
        <f>IF(AND($A1209="",$B1209=""),"",IF($E1209="","Site type missing",IF($H1209="","STATUS missing",IF($H1209="Proposed","STATUS = Proposed",IF($H1209="Not Reported","STATUS = Not Reported",IF(AND($P1209="Y",$Q1209&lt;&gt;"Y"),"UNESCO-MAB Biosphere Reserve",IF(AND($K1209="Point",N($L1209)&lt;=0),"Point without REP_AREA",IF(AND(N($L1209)&lt;=0,N($N1209)&lt;=0,N($R1209)+N($S1209)&lt;=0),"No area information",""))))))))</f>
        <v/>
      </c>
      <c r="AB1209" s="22">
        <f>IF(AND($A1209="",$B1209=""),"",IF($K1209="Point",N($L1209),IF(N($N1209)&gt;0,N($N1209),N($L1209))))</f>
        <v/>
      </c>
      <c r="AC1209" s="22">
        <f>IF(AND($A1209="",$B1209=""),"",MIN(AB1209,IF(N($J1209)=0,0,IF(N($J1209)=2,AB1209,IF(AND($K1209&lt;&gt;"Point",N($O1209)&gt;0),N($O1209),N($M1209))))))</f>
        <v/>
      </c>
      <c r="AD1209" s="22">
        <f>IF(AND($A1209="",$B1209=""),"",MAX(0,AB1209-AC1209))</f>
        <v/>
      </c>
      <c r="AE1209" s="21">
        <f>IF(AND($A1209="",$B1209=""),"",IF(OR($R1209&lt;&gt;"",$S1209&lt;&gt;""),1,0))</f>
        <v/>
      </c>
      <c r="AF1209" s="22">
        <f>IF(AND($A1209="",$B1209=""),"",IF(Z1209=1,IF(AE1209=1,N($R1209),AD1209),0))</f>
        <v/>
      </c>
      <c r="AG1209" s="22">
        <f>IF(AND($A1209="",$B1209=""),"",IF(Z1209=1,IF(AE1209=1,N($S1209),AC1209),0))</f>
        <v/>
      </c>
      <c r="AH1209" s="21">
        <f>IF(AND($A1209="",$B1209=""),"",IF(AND(ISNUMBER($I1209),N($I1209)&gt;0),$I1209,0))</f>
        <v/>
      </c>
      <c r="AI1209" s="23">
        <f>IF(AND(NOT(AND($A1209="",$B1209="")),$K1209="Point",N($L1209)&gt;0),SQRT(N($L1209)/PI()),"")</f>
        <v/>
      </c>
      <c r="AJ1209" s="21">
        <f>IF(AND($A1209="",$B1209=""),"",IFERROR(VLOOKUP($G1209,Lists!$D$4:$E$15,2,FALSE),"Not reported"))</f>
        <v/>
      </c>
      <c r="AK1209" s="21">
        <f>IF(AND($A1209="",$B1209=""),"",IF($X1209&lt;&gt;"",$X1209,IF($T1209&lt;&gt;"Y","Not assessed",IF(AND(ISNUMBER($V1209),Setup!$B$6-$V1209&gt;Setup!$B$26),"Assessment outdated",IF(NOT(ISNUMBER($W1209)),"Assessed – no score",IF($W1209&gt;=Setup!$B$24,"High",IF($W1209&gt;=Setup!$B$25,"Moderate","Low")))))))</f>
        <v/>
      </c>
      <c r="AL1209" s="21">
        <f>IF(AND($A1209="",$B1209=""),"",IF(Z1209=0,"",IF(AND(AE1209=1,N($R1209)&gt;AD1209*1.01+0.001),"Net terrestrial &gt; gross; ","")&amp;IF(AND(AE1209=1,N($S1209)&gt;AC1209*1.01+0.001),"Net marine &gt; gross; ","")&amp;IF(AE1209=0,"No net area – gross used, overlaps may be double-counted; ","")&amp;IF(AH1209=0,"STATUS_YR missing – imputed in time series; ","")&amp;IF(AND(ISNUMBER($I1209),N($I1209)&gt;Setup!$B$6),"STATUS_YR after reporting year; ","")&amp;IF(OR($G1209="",$G1209="Not Reported"),"GOV_TYPE not reported; ","")&amp;IF(AND(N($J1209)=1,$K1209="Point",N($M1209)&lt;=0),"Coastal point without REP_M_AREA – land/sea split unknown; ","")&amp;IF(AND(N($J1209)=0,N($S1209)&gt;0),"MARINE=0 but net marine &gt;0; ","")&amp;IF(AND(N($J1209)=2,N($R1209)&gt;0),"MARINE=2 but net terrestrial &gt;0; ","")&amp;IF($K1209="Point","Buffered point – coverage approximate; ","")))</f>
        <v/>
      </c>
    </row>
    <row r="1210">
      <c r="A1210" s="19" t="n"/>
      <c r="B1210" s="19" t="n"/>
      <c r="C1210" s="19" t="n"/>
      <c r="D1210" s="19" t="n"/>
      <c r="E1210" s="19" t="n"/>
      <c r="F1210" s="19" t="n"/>
      <c r="G1210" s="19" t="n"/>
      <c r="H1210" s="19" t="n"/>
      <c r="I1210" s="19" t="n"/>
      <c r="J1210" s="19" t="n"/>
      <c r="K1210" s="19" t="n"/>
      <c r="L1210" s="20" t="n"/>
      <c r="M1210" s="20" t="n"/>
      <c r="N1210" s="20" t="n"/>
      <c r="O1210" s="20" t="n"/>
      <c r="P1210" s="19" t="n"/>
      <c r="Q1210" s="19" t="n"/>
      <c r="R1210" s="20" t="n"/>
      <c r="S1210" s="20" t="n"/>
      <c r="T1210" s="19" t="n"/>
      <c r="U1210" s="19" t="n"/>
      <c r="V1210" s="19" t="n"/>
      <c r="W1210" s="19" t="n"/>
      <c r="X1210" s="19" t="n"/>
      <c r="Y1210" s="19" t="n"/>
      <c r="Z1210" s="21">
        <f>IF(AND($A1210="",$B1210=""),"",IF(OR($E1210="",$H1210="",$H1210="Proposed",$H1210="Not Reported"),0,IF(AND($P1210="Y",$Q1210&lt;&gt;"Y"),0,IF(AND($K1210="Point",N($L1210)&lt;=0),0,IF(AND(N($L1210)&lt;=0,N($N1210)&lt;=0,N($R1210)+N($S1210)&lt;=0),0,1)))))</f>
        <v/>
      </c>
      <c r="AA1210" s="21">
        <f>IF(AND($A1210="",$B1210=""),"",IF($E1210="","Site type missing",IF($H1210="","STATUS missing",IF($H1210="Proposed","STATUS = Proposed",IF($H1210="Not Reported","STATUS = Not Reported",IF(AND($P1210="Y",$Q1210&lt;&gt;"Y"),"UNESCO-MAB Biosphere Reserve",IF(AND($K1210="Point",N($L1210)&lt;=0),"Point without REP_AREA",IF(AND(N($L1210)&lt;=0,N($N1210)&lt;=0,N($R1210)+N($S1210)&lt;=0),"No area information",""))))))))</f>
        <v/>
      </c>
      <c r="AB1210" s="22">
        <f>IF(AND($A1210="",$B1210=""),"",IF($K1210="Point",N($L1210),IF(N($N1210)&gt;0,N($N1210),N($L1210))))</f>
        <v/>
      </c>
      <c r="AC1210" s="22">
        <f>IF(AND($A1210="",$B1210=""),"",MIN(AB1210,IF(N($J1210)=0,0,IF(N($J1210)=2,AB1210,IF(AND($K1210&lt;&gt;"Point",N($O1210)&gt;0),N($O1210),N($M1210))))))</f>
        <v/>
      </c>
      <c r="AD1210" s="22">
        <f>IF(AND($A1210="",$B1210=""),"",MAX(0,AB1210-AC1210))</f>
        <v/>
      </c>
      <c r="AE1210" s="21">
        <f>IF(AND($A1210="",$B1210=""),"",IF(OR($R1210&lt;&gt;"",$S1210&lt;&gt;""),1,0))</f>
        <v/>
      </c>
      <c r="AF1210" s="22">
        <f>IF(AND($A1210="",$B1210=""),"",IF(Z1210=1,IF(AE1210=1,N($R1210),AD1210),0))</f>
        <v/>
      </c>
      <c r="AG1210" s="22">
        <f>IF(AND($A1210="",$B1210=""),"",IF(Z1210=1,IF(AE1210=1,N($S1210),AC1210),0))</f>
        <v/>
      </c>
      <c r="AH1210" s="21">
        <f>IF(AND($A1210="",$B1210=""),"",IF(AND(ISNUMBER($I1210),N($I1210)&gt;0),$I1210,0))</f>
        <v/>
      </c>
      <c r="AI1210" s="23">
        <f>IF(AND(NOT(AND($A1210="",$B1210="")),$K1210="Point",N($L1210)&gt;0),SQRT(N($L1210)/PI()),"")</f>
        <v/>
      </c>
      <c r="AJ1210" s="21">
        <f>IF(AND($A1210="",$B1210=""),"",IFERROR(VLOOKUP($G1210,Lists!$D$4:$E$15,2,FALSE),"Not reported"))</f>
        <v/>
      </c>
      <c r="AK1210" s="21">
        <f>IF(AND($A1210="",$B1210=""),"",IF($X1210&lt;&gt;"",$X1210,IF($T1210&lt;&gt;"Y","Not assessed",IF(AND(ISNUMBER($V1210),Setup!$B$6-$V1210&gt;Setup!$B$26),"Assessment outdated",IF(NOT(ISNUMBER($W1210)),"Assessed – no score",IF($W1210&gt;=Setup!$B$24,"High",IF($W1210&gt;=Setup!$B$25,"Moderate","Low")))))))</f>
        <v/>
      </c>
      <c r="AL1210" s="21">
        <f>IF(AND($A1210="",$B1210=""),"",IF(Z1210=0,"",IF(AND(AE1210=1,N($R1210)&gt;AD1210*1.01+0.001),"Net terrestrial &gt; gross; ","")&amp;IF(AND(AE1210=1,N($S1210)&gt;AC1210*1.01+0.001),"Net marine &gt; gross; ","")&amp;IF(AE1210=0,"No net area – gross used, overlaps may be double-counted; ","")&amp;IF(AH1210=0,"STATUS_YR missing – imputed in time series; ","")&amp;IF(AND(ISNUMBER($I1210),N($I1210)&gt;Setup!$B$6),"STATUS_YR after reporting year; ","")&amp;IF(OR($G1210="",$G1210="Not Reported"),"GOV_TYPE not reported; ","")&amp;IF(AND(N($J1210)=1,$K1210="Point",N($M1210)&lt;=0),"Coastal point without REP_M_AREA – land/sea split unknown; ","")&amp;IF(AND(N($J1210)=0,N($S1210)&gt;0),"MARINE=0 but net marine &gt;0; ","")&amp;IF(AND(N($J1210)=2,N($R1210)&gt;0),"MARINE=2 but net terrestrial &gt;0; ","")&amp;IF($K1210="Point","Buffered point – coverage approximate; ","")))</f>
        <v/>
      </c>
    </row>
    <row r="1211">
      <c r="A1211" s="19" t="n"/>
      <c r="B1211" s="19" t="n"/>
      <c r="C1211" s="19" t="n"/>
      <c r="D1211" s="19" t="n"/>
      <c r="E1211" s="19" t="n"/>
      <c r="F1211" s="19" t="n"/>
      <c r="G1211" s="19" t="n"/>
      <c r="H1211" s="19" t="n"/>
      <c r="I1211" s="19" t="n"/>
      <c r="J1211" s="19" t="n"/>
      <c r="K1211" s="19" t="n"/>
      <c r="L1211" s="20" t="n"/>
      <c r="M1211" s="20" t="n"/>
      <c r="N1211" s="20" t="n"/>
      <c r="O1211" s="20" t="n"/>
      <c r="P1211" s="19" t="n"/>
      <c r="Q1211" s="19" t="n"/>
      <c r="R1211" s="20" t="n"/>
      <c r="S1211" s="20" t="n"/>
      <c r="T1211" s="19" t="n"/>
      <c r="U1211" s="19" t="n"/>
      <c r="V1211" s="19" t="n"/>
      <c r="W1211" s="19" t="n"/>
      <c r="X1211" s="19" t="n"/>
      <c r="Y1211" s="19" t="n"/>
      <c r="Z1211" s="21">
        <f>IF(AND($A1211="",$B1211=""),"",IF(OR($E1211="",$H1211="",$H1211="Proposed",$H1211="Not Reported"),0,IF(AND($P1211="Y",$Q1211&lt;&gt;"Y"),0,IF(AND($K1211="Point",N($L1211)&lt;=0),0,IF(AND(N($L1211)&lt;=0,N($N1211)&lt;=0,N($R1211)+N($S1211)&lt;=0),0,1)))))</f>
        <v/>
      </c>
      <c r="AA1211" s="21">
        <f>IF(AND($A1211="",$B1211=""),"",IF($E1211="","Site type missing",IF($H1211="","STATUS missing",IF($H1211="Proposed","STATUS = Proposed",IF($H1211="Not Reported","STATUS = Not Reported",IF(AND($P1211="Y",$Q1211&lt;&gt;"Y"),"UNESCO-MAB Biosphere Reserve",IF(AND($K1211="Point",N($L1211)&lt;=0),"Point without REP_AREA",IF(AND(N($L1211)&lt;=0,N($N1211)&lt;=0,N($R1211)+N($S1211)&lt;=0),"No area information",""))))))))</f>
        <v/>
      </c>
      <c r="AB1211" s="22">
        <f>IF(AND($A1211="",$B1211=""),"",IF($K1211="Point",N($L1211),IF(N($N1211)&gt;0,N($N1211),N($L1211))))</f>
        <v/>
      </c>
      <c r="AC1211" s="22">
        <f>IF(AND($A1211="",$B1211=""),"",MIN(AB1211,IF(N($J1211)=0,0,IF(N($J1211)=2,AB1211,IF(AND($K1211&lt;&gt;"Point",N($O1211)&gt;0),N($O1211),N($M1211))))))</f>
        <v/>
      </c>
      <c r="AD1211" s="22">
        <f>IF(AND($A1211="",$B1211=""),"",MAX(0,AB1211-AC1211))</f>
        <v/>
      </c>
      <c r="AE1211" s="21">
        <f>IF(AND($A1211="",$B1211=""),"",IF(OR($R1211&lt;&gt;"",$S1211&lt;&gt;""),1,0))</f>
        <v/>
      </c>
      <c r="AF1211" s="22">
        <f>IF(AND($A1211="",$B1211=""),"",IF(Z1211=1,IF(AE1211=1,N($R1211),AD1211),0))</f>
        <v/>
      </c>
      <c r="AG1211" s="22">
        <f>IF(AND($A1211="",$B1211=""),"",IF(Z1211=1,IF(AE1211=1,N($S1211),AC1211),0))</f>
        <v/>
      </c>
      <c r="AH1211" s="21">
        <f>IF(AND($A1211="",$B1211=""),"",IF(AND(ISNUMBER($I1211),N($I1211)&gt;0),$I1211,0))</f>
        <v/>
      </c>
      <c r="AI1211" s="23">
        <f>IF(AND(NOT(AND($A1211="",$B1211="")),$K1211="Point",N($L1211)&gt;0),SQRT(N($L1211)/PI()),"")</f>
        <v/>
      </c>
      <c r="AJ1211" s="21">
        <f>IF(AND($A1211="",$B1211=""),"",IFERROR(VLOOKUP($G1211,Lists!$D$4:$E$15,2,FALSE),"Not reported"))</f>
        <v/>
      </c>
      <c r="AK1211" s="21">
        <f>IF(AND($A1211="",$B1211=""),"",IF($X1211&lt;&gt;"",$X1211,IF($T1211&lt;&gt;"Y","Not assessed",IF(AND(ISNUMBER($V1211),Setup!$B$6-$V1211&gt;Setup!$B$26),"Assessment outdated",IF(NOT(ISNUMBER($W1211)),"Assessed – no score",IF($W1211&gt;=Setup!$B$24,"High",IF($W1211&gt;=Setup!$B$25,"Moderate","Low")))))))</f>
        <v/>
      </c>
      <c r="AL1211" s="21">
        <f>IF(AND($A1211="",$B1211=""),"",IF(Z1211=0,"",IF(AND(AE1211=1,N($R1211)&gt;AD1211*1.01+0.001),"Net terrestrial &gt; gross; ","")&amp;IF(AND(AE1211=1,N($S1211)&gt;AC1211*1.01+0.001),"Net marine &gt; gross; ","")&amp;IF(AE1211=0,"No net area – gross used, overlaps may be double-counted; ","")&amp;IF(AH1211=0,"STATUS_YR missing – imputed in time series; ","")&amp;IF(AND(ISNUMBER($I1211),N($I1211)&gt;Setup!$B$6),"STATUS_YR after reporting year; ","")&amp;IF(OR($G1211="",$G1211="Not Reported"),"GOV_TYPE not reported; ","")&amp;IF(AND(N($J1211)=1,$K1211="Point",N($M1211)&lt;=0),"Coastal point without REP_M_AREA – land/sea split unknown; ","")&amp;IF(AND(N($J1211)=0,N($S1211)&gt;0),"MARINE=0 but net marine &gt;0; ","")&amp;IF(AND(N($J1211)=2,N($R1211)&gt;0),"MARINE=2 but net terrestrial &gt;0; ","")&amp;IF($K1211="Point","Buffered point – coverage approximate; ","")))</f>
        <v/>
      </c>
    </row>
    <row r="1212">
      <c r="A1212" s="19" t="n"/>
      <c r="B1212" s="19" t="n"/>
      <c r="C1212" s="19" t="n"/>
      <c r="D1212" s="19" t="n"/>
      <c r="E1212" s="19" t="n"/>
      <c r="F1212" s="19" t="n"/>
      <c r="G1212" s="19" t="n"/>
      <c r="H1212" s="19" t="n"/>
      <c r="I1212" s="19" t="n"/>
      <c r="J1212" s="19" t="n"/>
      <c r="K1212" s="19" t="n"/>
      <c r="L1212" s="20" t="n"/>
      <c r="M1212" s="20" t="n"/>
      <c r="N1212" s="20" t="n"/>
      <c r="O1212" s="20" t="n"/>
      <c r="P1212" s="19" t="n"/>
      <c r="Q1212" s="19" t="n"/>
      <c r="R1212" s="20" t="n"/>
      <c r="S1212" s="20" t="n"/>
      <c r="T1212" s="19" t="n"/>
      <c r="U1212" s="19" t="n"/>
      <c r="V1212" s="19" t="n"/>
      <c r="W1212" s="19" t="n"/>
      <c r="X1212" s="19" t="n"/>
      <c r="Y1212" s="19" t="n"/>
      <c r="Z1212" s="21">
        <f>IF(AND($A1212="",$B1212=""),"",IF(OR($E1212="",$H1212="",$H1212="Proposed",$H1212="Not Reported"),0,IF(AND($P1212="Y",$Q1212&lt;&gt;"Y"),0,IF(AND($K1212="Point",N($L1212)&lt;=0),0,IF(AND(N($L1212)&lt;=0,N($N1212)&lt;=0,N($R1212)+N($S1212)&lt;=0),0,1)))))</f>
        <v/>
      </c>
      <c r="AA1212" s="21">
        <f>IF(AND($A1212="",$B1212=""),"",IF($E1212="","Site type missing",IF($H1212="","STATUS missing",IF($H1212="Proposed","STATUS = Proposed",IF($H1212="Not Reported","STATUS = Not Reported",IF(AND($P1212="Y",$Q1212&lt;&gt;"Y"),"UNESCO-MAB Biosphere Reserve",IF(AND($K1212="Point",N($L1212)&lt;=0),"Point without REP_AREA",IF(AND(N($L1212)&lt;=0,N($N1212)&lt;=0,N($R1212)+N($S1212)&lt;=0),"No area information",""))))))))</f>
        <v/>
      </c>
      <c r="AB1212" s="22">
        <f>IF(AND($A1212="",$B1212=""),"",IF($K1212="Point",N($L1212),IF(N($N1212)&gt;0,N($N1212),N($L1212))))</f>
        <v/>
      </c>
      <c r="AC1212" s="22">
        <f>IF(AND($A1212="",$B1212=""),"",MIN(AB1212,IF(N($J1212)=0,0,IF(N($J1212)=2,AB1212,IF(AND($K1212&lt;&gt;"Point",N($O1212)&gt;0),N($O1212),N($M1212))))))</f>
        <v/>
      </c>
      <c r="AD1212" s="22">
        <f>IF(AND($A1212="",$B1212=""),"",MAX(0,AB1212-AC1212))</f>
        <v/>
      </c>
      <c r="AE1212" s="21">
        <f>IF(AND($A1212="",$B1212=""),"",IF(OR($R1212&lt;&gt;"",$S1212&lt;&gt;""),1,0))</f>
        <v/>
      </c>
      <c r="AF1212" s="22">
        <f>IF(AND($A1212="",$B1212=""),"",IF(Z1212=1,IF(AE1212=1,N($R1212),AD1212),0))</f>
        <v/>
      </c>
      <c r="AG1212" s="22">
        <f>IF(AND($A1212="",$B1212=""),"",IF(Z1212=1,IF(AE1212=1,N($S1212),AC1212),0))</f>
        <v/>
      </c>
      <c r="AH1212" s="21">
        <f>IF(AND($A1212="",$B1212=""),"",IF(AND(ISNUMBER($I1212),N($I1212)&gt;0),$I1212,0))</f>
        <v/>
      </c>
      <c r="AI1212" s="23">
        <f>IF(AND(NOT(AND($A1212="",$B1212="")),$K1212="Point",N($L1212)&gt;0),SQRT(N($L1212)/PI()),"")</f>
        <v/>
      </c>
      <c r="AJ1212" s="21">
        <f>IF(AND($A1212="",$B1212=""),"",IFERROR(VLOOKUP($G1212,Lists!$D$4:$E$15,2,FALSE),"Not reported"))</f>
        <v/>
      </c>
      <c r="AK1212" s="21">
        <f>IF(AND($A1212="",$B1212=""),"",IF($X1212&lt;&gt;"",$X1212,IF($T1212&lt;&gt;"Y","Not assessed",IF(AND(ISNUMBER($V1212),Setup!$B$6-$V1212&gt;Setup!$B$26),"Assessment outdated",IF(NOT(ISNUMBER($W1212)),"Assessed – no score",IF($W1212&gt;=Setup!$B$24,"High",IF($W1212&gt;=Setup!$B$25,"Moderate","Low")))))))</f>
        <v/>
      </c>
      <c r="AL1212" s="21">
        <f>IF(AND($A1212="",$B1212=""),"",IF(Z1212=0,"",IF(AND(AE1212=1,N($R1212)&gt;AD1212*1.01+0.001),"Net terrestrial &gt; gross; ","")&amp;IF(AND(AE1212=1,N($S1212)&gt;AC1212*1.01+0.001),"Net marine &gt; gross; ","")&amp;IF(AE1212=0,"No net area – gross used, overlaps may be double-counted; ","")&amp;IF(AH1212=0,"STATUS_YR missing – imputed in time series; ","")&amp;IF(AND(ISNUMBER($I1212),N($I1212)&gt;Setup!$B$6),"STATUS_YR after reporting year; ","")&amp;IF(OR($G1212="",$G1212="Not Reported"),"GOV_TYPE not reported; ","")&amp;IF(AND(N($J1212)=1,$K1212="Point",N($M1212)&lt;=0),"Coastal point without REP_M_AREA – land/sea split unknown; ","")&amp;IF(AND(N($J1212)=0,N($S1212)&gt;0),"MARINE=0 but net marine &gt;0; ","")&amp;IF(AND(N($J1212)=2,N($R1212)&gt;0),"MARINE=2 but net terrestrial &gt;0; ","")&amp;IF($K1212="Point","Buffered point – coverage approximate; ","")))</f>
        <v/>
      </c>
    </row>
    <row r="1213">
      <c r="A1213" s="19" t="n"/>
      <c r="B1213" s="19" t="n"/>
      <c r="C1213" s="19" t="n"/>
      <c r="D1213" s="19" t="n"/>
      <c r="E1213" s="19" t="n"/>
      <c r="F1213" s="19" t="n"/>
      <c r="G1213" s="19" t="n"/>
      <c r="H1213" s="19" t="n"/>
      <c r="I1213" s="19" t="n"/>
      <c r="J1213" s="19" t="n"/>
      <c r="K1213" s="19" t="n"/>
      <c r="L1213" s="20" t="n"/>
      <c r="M1213" s="20" t="n"/>
      <c r="N1213" s="20" t="n"/>
      <c r="O1213" s="20" t="n"/>
      <c r="P1213" s="19" t="n"/>
      <c r="Q1213" s="19" t="n"/>
      <c r="R1213" s="20" t="n"/>
      <c r="S1213" s="20" t="n"/>
      <c r="T1213" s="19" t="n"/>
      <c r="U1213" s="19" t="n"/>
      <c r="V1213" s="19" t="n"/>
      <c r="W1213" s="19" t="n"/>
      <c r="X1213" s="19" t="n"/>
      <c r="Y1213" s="19" t="n"/>
      <c r="Z1213" s="21">
        <f>IF(AND($A1213="",$B1213=""),"",IF(OR($E1213="",$H1213="",$H1213="Proposed",$H1213="Not Reported"),0,IF(AND($P1213="Y",$Q1213&lt;&gt;"Y"),0,IF(AND($K1213="Point",N($L1213)&lt;=0),0,IF(AND(N($L1213)&lt;=0,N($N1213)&lt;=0,N($R1213)+N($S1213)&lt;=0),0,1)))))</f>
        <v/>
      </c>
      <c r="AA1213" s="21">
        <f>IF(AND($A1213="",$B1213=""),"",IF($E1213="","Site type missing",IF($H1213="","STATUS missing",IF($H1213="Proposed","STATUS = Proposed",IF($H1213="Not Reported","STATUS = Not Reported",IF(AND($P1213="Y",$Q1213&lt;&gt;"Y"),"UNESCO-MAB Biosphere Reserve",IF(AND($K1213="Point",N($L1213)&lt;=0),"Point without REP_AREA",IF(AND(N($L1213)&lt;=0,N($N1213)&lt;=0,N($R1213)+N($S1213)&lt;=0),"No area information",""))))))))</f>
        <v/>
      </c>
      <c r="AB1213" s="22">
        <f>IF(AND($A1213="",$B1213=""),"",IF($K1213="Point",N($L1213),IF(N($N1213)&gt;0,N($N1213),N($L1213))))</f>
        <v/>
      </c>
      <c r="AC1213" s="22">
        <f>IF(AND($A1213="",$B1213=""),"",MIN(AB1213,IF(N($J1213)=0,0,IF(N($J1213)=2,AB1213,IF(AND($K1213&lt;&gt;"Point",N($O1213)&gt;0),N($O1213),N($M1213))))))</f>
        <v/>
      </c>
      <c r="AD1213" s="22">
        <f>IF(AND($A1213="",$B1213=""),"",MAX(0,AB1213-AC1213))</f>
        <v/>
      </c>
      <c r="AE1213" s="21">
        <f>IF(AND($A1213="",$B1213=""),"",IF(OR($R1213&lt;&gt;"",$S1213&lt;&gt;""),1,0))</f>
        <v/>
      </c>
      <c r="AF1213" s="22">
        <f>IF(AND($A1213="",$B1213=""),"",IF(Z1213=1,IF(AE1213=1,N($R1213),AD1213),0))</f>
        <v/>
      </c>
      <c r="AG1213" s="22">
        <f>IF(AND($A1213="",$B1213=""),"",IF(Z1213=1,IF(AE1213=1,N($S1213),AC1213),0))</f>
        <v/>
      </c>
      <c r="AH1213" s="21">
        <f>IF(AND($A1213="",$B1213=""),"",IF(AND(ISNUMBER($I1213),N($I1213)&gt;0),$I1213,0))</f>
        <v/>
      </c>
      <c r="AI1213" s="23">
        <f>IF(AND(NOT(AND($A1213="",$B1213="")),$K1213="Point",N($L1213)&gt;0),SQRT(N($L1213)/PI()),"")</f>
        <v/>
      </c>
      <c r="AJ1213" s="21">
        <f>IF(AND($A1213="",$B1213=""),"",IFERROR(VLOOKUP($G1213,Lists!$D$4:$E$15,2,FALSE),"Not reported"))</f>
        <v/>
      </c>
      <c r="AK1213" s="21">
        <f>IF(AND($A1213="",$B1213=""),"",IF($X1213&lt;&gt;"",$X1213,IF($T1213&lt;&gt;"Y","Not assessed",IF(AND(ISNUMBER($V1213),Setup!$B$6-$V1213&gt;Setup!$B$26),"Assessment outdated",IF(NOT(ISNUMBER($W1213)),"Assessed – no score",IF($W1213&gt;=Setup!$B$24,"High",IF($W1213&gt;=Setup!$B$25,"Moderate","Low")))))))</f>
        <v/>
      </c>
      <c r="AL1213" s="21">
        <f>IF(AND($A1213="",$B1213=""),"",IF(Z1213=0,"",IF(AND(AE1213=1,N($R1213)&gt;AD1213*1.01+0.001),"Net terrestrial &gt; gross; ","")&amp;IF(AND(AE1213=1,N($S1213)&gt;AC1213*1.01+0.001),"Net marine &gt; gross; ","")&amp;IF(AE1213=0,"No net area – gross used, overlaps may be double-counted; ","")&amp;IF(AH1213=0,"STATUS_YR missing – imputed in time series; ","")&amp;IF(AND(ISNUMBER($I1213),N($I1213)&gt;Setup!$B$6),"STATUS_YR after reporting year; ","")&amp;IF(OR($G1213="",$G1213="Not Reported"),"GOV_TYPE not reported; ","")&amp;IF(AND(N($J1213)=1,$K1213="Point",N($M1213)&lt;=0),"Coastal point without REP_M_AREA – land/sea split unknown; ","")&amp;IF(AND(N($J1213)=0,N($S1213)&gt;0),"MARINE=0 but net marine &gt;0; ","")&amp;IF(AND(N($J1213)=2,N($R1213)&gt;0),"MARINE=2 but net terrestrial &gt;0; ","")&amp;IF($K1213="Point","Buffered point – coverage approximate; ","")))</f>
        <v/>
      </c>
    </row>
    <row r="1214">
      <c r="A1214" s="19" t="n"/>
      <c r="B1214" s="19" t="n"/>
      <c r="C1214" s="19" t="n"/>
      <c r="D1214" s="19" t="n"/>
      <c r="E1214" s="19" t="n"/>
      <c r="F1214" s="19" t="n"/>
      <c r="G1214" s="19" t="n"/>
      <c r="H1214" s="19" t="n"/>
      <c r="I1214" s="19" t="n"/>
      <c r="J1214" s="19" t="n"/>
      <c r="K1214" s="19" t="n"/>
      <c r="L1214" s="20" t="n"/>
      <c r="M1214" s="20" t="n"/>
      <c r="N1214" s="20" t="n"/>
      <c r="O1214" s="20" t="n"/>
      <c r="P1214" s="19" t="n"/>
      <c r="Q1214" s="19" t="n"/>
      <c r="R1214" s="20" t="n"/>
      <c r="S1214" s="20" t="n"/>
      <c r="T1214" s="19" t="n"/>
      <c r="U1214" s="19" t="n"/>
      <c r="V1214" s="19" t="n"/>
      <c r="W1214" s="19" t="n"/>
      <c r="X1214" s="19" t="n"/>
      <c r="Y1214" s="19" t="n"/>
      <c r="Z1214" s="21">
        <f>IF(AND($A1214="",$B1214=""),"",IF(OR($E1214="",$H1214="",$H1214="Proposed",$H1214="Not Reported"),0,IF(AND($P1214="Y",$Q1214&lt;&gt;"Y"),0,IF(AND($K1214="Point",N($L1214)&lt;=0),0,IF(AND(N($L1214)&lt;=0,N($N1214)&lt;=0,N($R1214)+N($S1214)&lt;=0),0,1)))))</f>
        <v/>
      </c>
      <c r="AA1214" s="21">
        <f>IF(AND($A1214="",$B1214=""),"",IF($E1214="","Site type missing",IF($H1214="","STATUS missing",IF($H1214="Proposed","STATUS = Proposed",IF($H1214="Not Reported","STATUS = Not Reported",IF(AND($P1214="Y",$Q1214&lt;&gt;"Y"),"UNESCO-MAB Biosphere Reserve",IF(AND($K1214="Point",N($L1214)&lt;=0),"Point without REP_AREA",IF(AND(N($L1214)&lt;=0,N($N1214)&lt;=0,N($R1214)+N($S1214)&lt;=0),"No area information",""))))))))</f>
        <v/>
      </c>
      <c r="AB1214" s="22">
        <f>IF(AND($A1214="",$B1214=""),"",IF($K1214="Point",N($L1214),IF(N($N1214)&gt;0,N($N1214),N($L1214))))</f>
        <v/>
      </c>
      <c r="AC1214" s="22">
        <f>IF(AND($A1214="",$B1214=""),"",MIN(AB1214,IF(N($J1214)=0,0,IF(N($J1214)=2,AB1214,IF(AND($K1214&lt;&gt;"Point",N($O1214)&gt;0),N($O1214),N($M1214))))))</f>
        <v/>
      </c>
      <c r="AD1214" s="22">
        <f>IF(AND($A1214="",$B1214=""),"",MAX(0,AB1214-AC1214))</f>
        <v/>
      </c>
      <c r="AE1214" s="21">
        <f>IF(AND($A1214="",$B1214=""),"",IF(OR($R1214&lt;&gt;"",$S1214&lt;&gt;""),1,0))</f>
        <v/>
      </c>
      <c r="AF1214" s="22">
        <f>IF(AND($A1214="",$B1214=""),"",IF(Z1214=1,IF(AE1214=1,N($R1214),AD1214),0))</f>
        <v/>
      </c>
      <c r="AG1214" s="22">
        <f>IF(AND($A1214="",$B1214=""),"",IF(Z1214=1,IF(AE1214=1,N($S1214),AC1214),0))</f>
        <v/>
      </c>
      <c r="AH1214" s="21">
        <f>IF(AND($A1214="",$B1214=""),"",IF(AND(ISNUMBER($I1214),N($I1214)&gt;0),$I1214,0))</f>
        <v/>
      </c>
      <c r="AI1214" s="23">
        <f>IF(AND(NOT(AND($A1214="",$B1214="")),$K1214="Point",N($L1214)&gt;0),SQRT(N($L1214)/PI()),"")</f>
        <v/>
      </c>
      <c r="AJ1214" s="21">
        <f>IF(AND($A1214="",$B1214=""),"",IFERROR(VLOOKUP($G1214,Lists!$D$4:$E$15,2,FALSE),"Not reported"))</f>
        <v/>
      </c>
      <c r="AK1214" s="21">
        <f>IF(AND($A1214="",$B1214=""),"",IF($X1214&lt;&gt;"",$X1214,IF($T1214&lt;&gt;"Y","Not assessed",IF(AND(ISNUMBER($V1214),Setup!$B$6-$V1214&gt;Setup!$B$26),"Assessment outdated",IF(NOT(ISNUMBER($W1214)),"Assessed – no score",IF($W1214&gt;=Setup!$B$24,"High",IF($W1214&gt;=Setup!$B$25,"Moderate","Low")))))))</f>
        <v/>
      </c>
      <c r="AL1214" s="21">
        <f>IF(AND($A1214="",$B1214=""),"",IF(Z1214=0,"",IF(AND(AE1214=1,N($R1214)&gt;AD1214*1.01+0.001),"Net terrestrial &gt; gross; ","")&amp;IF(AND(AE1214=1,N($S1214)&gt;AC1214*1.01+0.001),"Net marine &gt; gross; ","")&amp;IF(AE1214=0,"No net area – gross used, overlaps may be double-counted; ","")&amp;IF(AH1214=0,"STATUS_YR missing – imputed in time series; ","")&amp;IF(AND(ISNUMBER($I1214),N($I1214)&gt;Setup!$B$6),"STATUS_YR after reporting year; ","")&amp;IF(OR($G1214="",$G1214="Not Reported"),"GOV_TYPE not reported; ","")&amp;IF(AND(N($J1214)=1,$K1214="Point",N($M1214)&lt;=0),"Coastal point without REP_M_AREA – land/sea split unknown; ","")&amp;IF(AND(N($J1214)=0,N($S1214)&gt;0),"MARINE=0 but net marine &gt;0; ","")&amp;IF(AND(N($J1214)=2,N($R1214)&gt;0),"MARINE=2 but net terrestrial &gt;0; ","")&amp;IF($K1214="Point","Buffered point – coverage approximate; ","")))</f>
        <v/>
      </c>
    </row>
    <row r="1215">
      <c r="A1215" s="19" t="n"/>
      <c r="B1215" s="19" t="n"/>
      <c r="C1215" s="19" t="n"/>
      <c r="D1215" s="19" t="n"/>
      <c r="E1215" s="19" t="n"/>
      <c r="F1215" s="19" t="n"/>
      <c r="G1215" s="19" t="n"/>
      <c r="H1215" s="19" t="n"/>
      <c r="I1215" s="19" t="n"/>
      <c r="J1215" s="19" t="n"/>
      <c r="K1215" s="19" t="n"/>
      <c r="L1215" s="20" t="n"/>
      <c r="M1215" s="20" t="n"/>
      <c r="N1215" s="20" t="n"/>
      <c r="O1215" s="20" t="n"/>
      <c r="P1215" s="19" t="n"/>
      <c r="Q1215" s="19" t="n"/>
      <c r="R1215" s="20" t="n"/>
      <c r="S1215" s="20" t="n"/>
      <c r="T1215" s="19" t="n"/>
      <c r="U1215" s="19" t="n"/>
      <c r="V1215" s="19" t="n"/>
      <c r="W1215" s="19" t="n"/>
      <c r="X1215" s="19" t="n"/>
      <c r="Y1215" s="19" t="n"/>
      <c r="Z1215" s="21">
        <f>IF(AND($A1215="",$B1215=""),"",IF(OR($E1215="",$H1215="",$H1215="Proposed",$H1215="Not Reported"),0,IF(AND($P1215="Y",$Q1215&lt;&gt;"Y"),0,IF(AND($K1215="Point",N($L1215)&lt;=0),0,IF(AND(N($L1215)&lt;=0,N($N1215)&lt;=0,N($R1215)+N($S1215)&lt;=0),0,1)))))</f>
        <v/>
      </c>
      <c r="AA1215" s="21">
        <f>IF(AND($A1215="",$B1215=""),"",IF($E1215="","Site type missing",IF($H1215="","STATUS missing",IF($H1215="Proposed","STATUS = Proposed",IF($H1215="Not Reported","STATUS = Not Reported",IF(AND($P1215="Y",$Q1215&lt;&gt;"Y"),"UNESCO-MAB Biosphere Reserve",IF(AND($K1215="Point",N($L1215)&lt;=0),"Point without REP_AREA",IF(AND(N($L1215)&lt;=0,N($N1215)&lt;=0,N($R1215)+N($S1215)&lt;=0),"No area information",""))))))))</f>
        <v/>
      </c>
      <c r="AB1215" s="22">
        <f>IF(AND($A1215="",$B1215=""),"",IF($K1215="Point",N($L1215),IF(N($N1215)&gt;0,N($N1215),N($L1215))))</f>
        <v/>
      </c>
      <c r="AC1215" s="22">
        <f>IF(AND($A1215="",$B1215=""),"",MIN(AB1215,IF(N($J1215)=0,0,IF(N($J1215)=2,AB1215,IF(AND($K1215&lt;&gt;"Point",N($O1215)&gt;0),N($O1215),N($M1215))))))</f>
        <v/>
      </c>
      <c r="AD1215" s="22">
        <f>IF(AND($A1215="",$B1215=""),"",MAX(0,AB1215-AC1215))</f>
        <v/>
      </c>
      <c r="AE1215" s="21">
        <f>IF(AND($A1215="",$B1215=""),"",IF(OR($R1215&lt;&gt;"",$S1215&lt;&gt;""),1,0))</f>
        <v/>
      </c>
      <c r="AF1215" s="22">
        <f>IF(AND($A1215="",$B1215=""),"",IF(Z1215=1,IF(AE1215=1,N($R1215),AD1215),0))</f>
        <v/>
      </c>
      <c r="AG1215" s="22">
        <f>IF(AND($A1215="",$B1215=""),"",IF(Z1215=1,IF(AE1215=1,N($S1215),AC1215),0))</f>
        <v/>
      </c>
      <c r="AH1215" s="21">
        <f>IF(AND($A1215="",$B1215=""),"",IF(AND(ISNUMBER($I1215),N($I1215)&gt;0),$I1215,0))</f>
        <v/>
      </c>
      <c r="AI1215" s="23">
        <f>IF(AND(NOT(AND($A1215="",$B1215="")),$K1215="Point",N($L1215)&gt;0),SQRT(N($L1215)/PI()),"")</f>
        <v/>
      </c>
      <c r="AJ1215" s="21">
        <f>IF(AND($A1215="",$B1215=""),"",IFERROR(VLOOKUP($G1215,Lists!$D$4:$E$15,2,FALSE),"Not reported"))</f>
        <v/>
      </c>
      <c r="AK1215" s="21">
        <f>IF(AND($A1215="",$B1215=""),"",IF($X1215&lt;&gt;"",$X1215,IF($T1215&lt;&gt;"Y","Not assessed",IF(AND(ISNUMBER($V1215),Setup!$B$6-$V1215&gt;Setup!$B$26),"Assessment outdated",IF(NOT(ISNUMBER($W1215)),"Assessed – no score",IF($W1215&gt;=Setup!$B$24,"High",IF($W1215&gt;=Setup!$B$25,"Moderate","Low")))))))</f>
        <v/>
      </c>
      <c r="AL1215" s="21">
        <f>IF(AND($A1215="",$B1215=""),"",IF(Z1215=0,"",IF(AND(AE1215=1,N($R1215)&gt;AD1215*1.01+0.001),"Net terrestrial &gt; gross; ","")&amp;IF(AND(AE1215=1,N($S1215)&gt;AC1215*1.01+0.001),"Net marine &gt; gross; ","")&amp;IF(AE1215=0,"No net area – gross used, overlaps may be double-counted; ","")&amp;IF(AH1215=0,"STATUS_YR missing – imputed in time series; ","")&amp;IF(AND(ISNUMBER($I1215),N($I1215)&gt;Setup!$B$6),"STATUS_YR after reporting year; ","")&amp;IF(OR($G1215="",$G1215="Not Reported"),"GOV_TYPE not reported; ","")&amp;IF(AND(N($J1215)=1,$K1215="Point",N($M1215)&lt;=0),"Coastal point without REP_M_AREA – land/sea split unknown; ","")&amp;IF(AND(N($J1215)=0,N($S1215)&gt;0),"MARINE=0 but net marine &gt;0; ","")&amp;IF(AND(N($J1215)=2,N($R1215)&gt;0),"MARINE=2 but net terrestrial &gt;0; ","")&amp;IF($K1215="Point","Buffered point – coverage approximate; ","")))</f>
        <v/>
      </c>
    </row>
    <row r="1216">
      <c r="A1216" s="19" t="n"/>
      <c r="B1216" s="19" t="n"/>
      <c r="C1216" s="19" t="n"/>
      <c r="D1216" s="19" t="n"/>
      <c r="E1216" s="19" t="n"/>
      <c r="F1216" s="19" t="n"/>
      <c r="G1216" s="19" t="n"/>
      <c r="H1216" s="19" t="n"/>
      <c r="I1216" s="19" t="n"/>
      <c r="J1216" s="19" t="n"/>
      <c r="K1216" s="19" t="n"/>
      <c r="L1216" s="20" t="n"/>
      <c r="M1216" s="20" t="n"/>
      <c r="N1216" s="20" t="n"/>
      <c r="O1216" s="20" t="n"/>
      <c r="P1216" s="19" t="n"/>
      <c r="Q1216" s="19" t="n"/>
      <c r="R1216" s="20" t="n"/>
      <c r="S1216" s="20" t="n"/>
      <c r="T1216" s="19" t="n"/>
      <c r="U1216" s="19" t="n"/>
      <c r="V1216" s="19" t="n"/>
      <c r="W1216" s="19" t="n"/>
      <c r="X1216" s="19" t="n"/>
      <c r="Y1216" s="19" t="n"/>
      <c r="Z1216" s="21">
        <f>IF(AND($A1216="",$B1216=""),"",IF(OR($E1216="",$H1216="",$H1216="Proposed",$H1216="Not Reported"),0,IF(AND($P1216="Y",$Q1216&lt;&gt;"Y"),0,IF(AND($K1216="Point",N($L1216)&lt;=0),0,IF(AND(N($L1216)&lt;=0,N($N1216)&lt;=0,N($R1216)+N($S1216)&lt;=0),0,1)))))</f>
        <v/>
      </c>
      <c r="AA1216" s="21">
        <f>IF(AND($A1216="",$B1216=""),"",IF($E1216="","Site type missing",IF($H1216="","STATUS missing",IF($H1216="Proposed","STATUS = Proposed",IF($H1216="Not Reported","STATUS = Not Reported",IF(AND($P1216="Y",$Q1216&lt;&gt;"Y"),"UNESCO-MAB Biosphere Reserve",IF(AND($K1216="Point",N($L1216)&lt;=0),"Point without REP_AREA",IF(AND(N($L1216)&lt;=0,N($N1216)&lt;=0,N($R1216)+N($S1216)&lt;=0),"No area information",""))))))))</f>
        <v/>
      </c>
      <c r="AB1216" s="22">
        <f>IF(AND($A1216="",$B1216=""),"",IF($K1216="Point",N($L1216),IF(N($N1216)&gt;0,N($N1216),N($L1216))))</f>
        <v/>
      </c>
      <c r="AC1216" s="22">
        <f>IF(AND($A1216="",$B1216=""),"",MIN(AB1216,IF(N($J1216)=0,0,IF(N($J1216)=2,AB1216,IF(AND($K1216&lt;&gt;"Point",N($O1216)&gt;0),N($O1216),N($M1216))))))</f>
        <v/>
      </c>
      <c r="AD1216" s="22">
        <f>IF(AND($A1216="",$B1216=""),"",MAX(0,AB1216-AC1216))</f>
        <v/>
      </c>
      <c r="AE1216" s="21">
        <f>IF(AND($A1216="",$B1216=""),"",IF(OR($R1216&lt;&gt;"",$S1216&lt;&gt;""),1,0))</f>
        <v/>
      </c>
      <c r="AF1216" s="22">
        <f>IF(AND($A1216="",$B1216=""),"",IF(Z1216=1,IF(AE1216=1,N($R1216),AD1216),0))</f>
        <v/>
      </c>
      <c r="AG1216" s="22">
        <f>IF(AND($A1216="",$B1216=""),"",IF(Z1216=1,IF(AE1216=1,N($S1216),AC1216),0))</f>
        <v/>
      </c>
      <c r="AH1216" s="21">
        <f>IF(AND($A1216="",$B1216=""),"",IF(AND(ISNUMBER($I1216),N($I1216)&gt;0),$I1216,0))</f>
        <v/>
      </c>
      <c r="AI1216" s="23">
        <f>IF(AND(NOT(AND($A1216="",$B1216="")),$K1216="Point",N($L1216)&gt;0),SQRT(N($L1216)/PI()),"")</f>
        <v/>
      </c>
      <c r="AJ1216" s="21">
        <f>IF(AND($A1216="",$B1216=""),"",IFERROR(VLOOKUP($G1216,Lists!$D$4:$E$15,2,FALSE),"Not reported"))</f>
        <v/>
      </c>
      <c r="AK1216" s="21">
        <f>IF(AND($A1216="",$B1216=""),"",IF($X1216&lt;&gt;"",$X1216,IF($T1216&lt;&gt;"Y","Not assessed",IF(AND(ISNUMBER($V1216),Setup!$B$6-$V1216&gt;Setup!$B$26),"Assessment outdated",IF(NOT(ISNUMBER($W1216)),"Assessed – no score",IF($W1216&gt;=Setup!$B$24,"High",IF($W1216&gt;=Setup!$B$25,"Moderate","Low")))))))</f>
        <v/>
      </c>
      <c r="AL1216" s="21">
        <f>IF(AND($A1216="",$B1216=""),"",IF(Z1216=0,"",IF(AND(AE1216=1,N($R1216)&gt;AD1216*1.01+0.001),"Net terrestrial &gt; gross; ","")&amp;IF(AND(AE1216=1,N($S1216)&gt;AC1216*1.01+0.001),"Net marine &gt; gross; ","")&amp;IF(AE1216=0,"No net area – gross used, overlaps may be double-counted; ","")&amp;IF(AH1216=0,"STATUS_YR missing – imputed in time series; ","")&amp;IF(AND(ISNUMBER($I1216),N($I1216)&gt;Setup!$B$6),"STATUS_YR after reporting year; ","")&amp;IF(OR($G1216="",$G1216="Not Reported"),"GOV_TYPE not reported; ","")&amp;IF(AND(N($J1216)=1,$K1216="Point",N($M1216)&lt;=0),"Coastal point without REP_M_AREA – land/sea split unknown; ","")&amp;IF(AND(N($J1216)=0,N($S1216)&gt;0),"MARINE=0 but net marine &gt;0; ","")&amp;IF(AND(N($J1216)=2,N($R1216)&gt;0),"MARINE=2 but net terrestrial &gt;0; ","")&amp;IF($K1216="Point","Buffered point – coverage approximate; ","")))</f>
        <v/>
      </c>
    </row>
    <row r="1217">
      <c r="A1217" s="19" t="n"/>
      <c r="B1217" s="19" t="n"/>
      <c r="C1217" s="19" t="n"/>
      <c r="D1217" s="19" t="n"/>
      <c r="E1217" s="19" t="n"/>
      <c r="F1217" s="19" t="n"/>
      <c r="G1217" s="19" t="n"/>
      <c r="H1217" s="19" t="n"/>
      <c r="I1217" s="19" t="n"/>
      <c r="J1217" s="19" t="n"/>
      <c r="K1217" s="19" t="n"/>
      <c r="L1217" s="20" t="n"/>
      <c r="M1217" s="20" t="n"/>
      <c r="N1217" s="20" t="n"/>
      <c r="O1217" s="20" t="n"/>
      <c r="P1217" s="19" t="n"/>
      <c r="Q1217" s="19" t="n"/>
      <c r="R1217" s="20" t="n"/>
      <c r="S1217" s="20" t="n"/>
      <c r="T1217" s="19" t="n"/>
      <c r="U1217" s="19" t="n"/>
      <c r="V1217" s="19" t="n"/>
      <c r="W1217" s="19" t="n"/>
      <c r="X1217" s="19" t="n"/>
      <c r="Y1217" s="19" t="n"/>
      <c r="Z1217" s="21">
        <f>IF(AND($A1217="",$B1217=""),"",IF(OR($E1217="",$H1217="",$H1217="Proposed",$H1217="Not Reported"),0,IF(AND($P1217="Y",$Q1217&lt;&gt;"Y"),0,IF(AND($K1217="Point",N($L1217)&lt;=0),0,IF(AND(N($L1217)&lt;=0,N($N1217)&lt;=0,N($R1217)+N($S1217)&lt;=0),0,1)))))</f>
        <v/>
      </c>
      <c r="AA1217" s="21">
        <f>IF(AND($A1217="",$B1217=""),"",IF($E1217="","Site type missing",IF($H1217="","STATUS missing",IF($H1217="Proposed","STATUS = Proposed",IF($H1217="Not Reported","STATUS = Not Reported",IF(AND($P1217="Y",$Q1217&lt;&gt;"Y"),"UNESCO-MAB Biosphere Reserve",IF(AND($K1217="Point",N($L1217)&lt;=0),"Point without REP_AREA",IF(AND(N($L1217)&lt;=0,N($N1217)&lt;=0,N($R1217)+N($S1217)&lt;=0),"No area information",""))))))))</f>
        <v/>
      </c>
      <c r="AB1217" s="22">
        <f>IF(AND($A1217="",$B1217=""),"",IF($K1217="Point",N($L1217),IF(N($N1217)&gt;0,N($N1217),N($L1217))))</f>
        <v/>
      </c>
      <c r="AC1217" s="22">
        <f>IF(AND($A1217="",$B1217=""),"",MIN(AB1217,IF(N($J1217)=0,0,IF(N($J1217)=2,AB1217,IF(AND($K1217&lt;&gt;"Point",N($O1217)&gt;0),N($O1217),N($M1217))))))</f>
        <v/>
      </c>
      <c r="AD1217" s="22">
        <f>IF(AND($A1217="",$B1217=""),"",MAX(0,AB1217-AC1217))</f>
        <v/>
      </c>
      <c r="AE1217" s="21">
        <f>IF(AND($A1217="",$B1217=""),"",IF(OR($R1217&lt;&gt;"",$S1217&lt;&gt;""),1,0))</f>
        <v/>
      </c>
      <c r="AF1217" s="22">
        <f>IF(AND($A1217="",$B1217=""),"",IF(Z1217=1,IF(AE1217=1,N($R1217),AD1217),0))</f>
        <v/>
      </c>
      <c r="AG1217" s="22">
        <f>IF(AND($A1217="",$B1217=""),"",IF(Z1217=1,IF(AE1217=1,N($S1217),AC1217),0))</f>
        <v/>
      </c>
      <c r="AH1217" s="21">
        <f>IF(AND($A1217="",$B1217=""),"",IF(AND(ISNUMBER($I1217),N($I1217)&gt;0),$I1217,0))</f>
        <v/>
      </c>
      <c r="AI1217" s="23">
        <f>IF(AND(NOT(AND($A1217="",$B1217="")),$K1217="Point",N($L1217)&gt;0),SQRT(N($L1217)/PI()),"")</f>
        <v/>
      </c>
      <c r="AJ1217" s="21">
        <f>IF(AND($A1217="",$B1217=""),"",IFERROR(VLOOKUP($G1217,Lists!$D$4:$E$15,2,FALSE),"Not reported"))</f>
        <v/>
      </c>
      <c r="AK1217" s="21">
        <f>IF(AND($A1217="",$B1217=""),"",IF($X1217&lt;&gt;"",$X1217,IF($T1217&lt;&gt;"Y","Not assessed",IF(AND(ISNUMBER($V1217),Setup!$B$6-$V1217&gt;Setup!$B$26),"Assessment outdated",IF(NOT(ISNUMBER($W1217)),"Assessed – no score",IF($W1217&gt;=Setup!$B$24,"High",IF($W1217&gt;=Setup!$B$25,"Moderate","Low")))))))</f>
        <v/>
      </c>
      <c r="AL1217" s="21">
        <f>IF(AND($A1217="",$B1217=""),"",IF(Z1217=0,"",IF(AND(AE1217=1,N($R1217)&gt;AD1217*1.01+0.001),"Net terrestrial &gt; gross; ","")&amp;IF(AND(AE1217=1,N($S1217)&gt;AC1217*1.01+0.001),"Net marine &gt; gross; ","")&amp;IF(AE1217=0,"No net area – gross used, overlaps may be double-counted; ","")&amp;IF(AH1217=0,"STATUS_YR missing – imputed in time series; ","")&amp;IF(AND(ISNUMBER($I1217),N($I1217)&gt;Setup!$B$6),"STATUS_YR after reporting year; ","")&amp;IF(OR($G1217="",$G1217="Not Reported"),"GOV_TYPE not reported; ","")&amp;IF(AND(N($J1217)=1,$K1217="Point",N($M1217)&lt;=0),"Coastal point without REP_M_AREA – land/sea split unknown; ","")&amp;IF(AND(N($J1217)=0,N($S1217)&gt;0),"MARINE=0 but net marine &gt;0; ","")&amp;IF(AND(N($J1217)=2,N($R1217)&gt;0),"MARINE=2 but net terrestrial &gt;0; ","")&amp;IF($K1217="Point","Buffered point – coverage approximate; ","")))</f>
        <v/>
      </c>
    </row>
    <row r="1218">
      <c r="A1218" s="19" t="n"/>
      <c r="B1218" s="19" t="n"/>
      <c r="C1218" s="19" t="n"/>
      <c r="D1218" s="19" t="n"/>
      <c r="E1218" s="19" t="n"/>
      <c r="F1218" s="19" t="n"/>
      <c r="G1218" s="19" t="n"/>
      <c r="H1218" s="19" t="n"/>
      <c r="I1218" s="19" t="n"/>
      <c r="J1218" s="19" t="n"/>
      <c r="K1218" s="19" t="n"/>
      <c r="L1218" s="20" t="n"/>
      <c r="M1218" s="20" t="n"/>
      <c r="N1218" s="20" t="n"/>
      <c r="O1218" s="20" t="n"/>
      <c r="P1218" s="19" t="n"/>
      <c r="Q1218" s="19" t="n"/>
      <c r="R1218" s="20" t="n"/>
      <c r="S1218" s="20" t="n"/>
      <c r="T1218" s="19" t="n"/>
      <c r="U1218" s="19" t="n"/>
      <c r="V1218" s="19" t="n"/>
      <c r="W1218" s="19" t="n"/>
      <c r="X1218" s="19" t="n"/>
      <c r="Y1218" s="19" t="n"/>
      <c r="Z1218" s="21">
        <f>IF(AND($A1218="",$B1218=""),"",IF(OR($E1218="",$H1218="",$H1218="Proposed",$H1218="Not Reported"),0,IF(AND($P1218="Y",$Q1218&lt;&gt;"Y"),0,IF(AND($K1218="Point",N($L1218)&lt;=0),0,IF(AND(N($L1218)&lt;=0,N($N1218)&lt;=0,N($R1218)+N($S1218)&lt;=0),0,1)))))</f>
        <v/>
      </c>
      <c r="AA1218" s="21">
        <f>IF(AND($A1218="",$B1218=""),"",IF($E1218="","Site type missing",IF($H1218="","STATUS missing",IF($H1218="Proposed","STATUS = Proposed",IF($H1218="Not Reported","STATUS = Not Reported",IF(AND($P1218="Y",$Q1218&lt;&gt;"Y"),"UNESCO-MAB Biosphere Reserve",IF(AND($K1218="Point",N($L1218)&lt;=0),"Point without REP_AREA",IF(AND(N($L1218)&lt;=0,N($N1218)&lt;=0,N($R1218)+N($S1218)&lt;=0),"No area information",""))))))))</f>
        <v/>
      </c>
      <c r="AB1218" s="22">
        <f>IF(AND($A1218="",$B1218=""),"",IF($K1218="Point",N($L1218),IF(N($N1218)&gt;0,N($N1218),N($L1218))))</f>
        <v/>
      </c>
      <c r="AC1218" s="22">
        <f>IF(AND($A1218="",$B1218=""),"",MIN(AB1218,IF(N($J1218)=0,0,IF(N($J1218)=2,AB1218,IF(AND($K1218&lt;&gt;"Point",N($O1218)&gt;0),N($O1218),N($M1218))))))</f>
        <v/>
      </c>
      <c r="AD1218" s="22">
        <f>IF(AND($A1218="",$B1218=""),"",MAX(0,AB1218-AC1218))</f>
        <v/>
      </c>
      <c r="AE1218" s="21">
        <f>IF(AND($A1218="",$B1218=""),"",IF(OR($R1218&lt;&gt;"",$S1218&lt;&gt;""),1,0))</f>
        <v/>
      </c>
      <c r="AF1218" s="22">
        <f>IF(AND($A1218="",$B1218=""),"",IF(Z1218=1,IF(AE1218=1,N($R1218),AD1218),0))</f>
        <v/>
      </c>
      <c r="AG1218" s="22">
        <f>IF(AND($A1218="",$B1218=""),"",IF(Z1218=1,IF(AE1218=1,N($S1218),AC1218),0))</f>
        <v/>
      </c>
      <c r="AH1218" s="21">
        <f>IF(AND($A1218="",$B1218=""),"",IF(AND(ISNUMBER($I1218),N($I1218)&gt;0),$I1218,0))</f>
        <v/>
      </c>
      <c r="AI1218" s="23">
        <f>IF(AND(NOT(AND($A1218="",$B1218="")),$K1218="Point",N($L1218)&gt;0),SQRT(N($L1218)/PI()),"")</f>
        <v/>
      </c>
      <c r="AJ1218" s="21">
        <f>IF(AND($A1218="",$B1218=""),"",IFERROR(VLOOKUP($G1218,Lists!$D$4:$E$15,2,FALSE),"Not reported"))</f>
        <v/>
      </c>
      <c r="AK1218" s="21">
        <f>IF(AND($A1218="",$B1218=""),"",IF($X1218&lt;&gt;"",$X1218,IF($T1218&lt;&gt;"Y","Not assessed",IF(AND(ISNUMBER($V1218),Setup!$B$6-$V1218&gt;Setup!$B$26),"Assessment outdated",IF(NOT(ISNUMBER($W1218)),"Assessed – no score",IF($W1218&gt;=Setup!$B$24,"High",IF($W1218&gt;=Setup!$B$25,"Moderate","Low")))))))</f>
        <v/>
      </c>
      <c r="AL1218" s="21">
        <f>IF(AND($A1218="",$B1218=""),"",IF(Z1218=0,"",IF(AND(AE1218=1,N($R1218)&gt;AD1218*1.01+0.001),"Net terrestrial &gt; gross; ","")&amp;IF(AND(AE1218=1,N($S1218)&gt;AC1218*1.01+0.001),"Net marine &gt; gross; ","")&amp;IF(AE1218=0,"No net area – gross used, overlaps may be double-counted; ","")&amp;IF(AH1218=0,"STATUS_YR missing – imputed in time series; ","")&amp;IF(AND(ISNUMBER($I1218),N($I1218)&gt;Setup!$B$6),"STATUS_YR after reporting year; ","")&amp;IF(OR($G1218="",$G1218="Not Reported"),"GOV_TYPE not reported; ","")&amp;IF(AND(N($J1218)=1,$K1218="Point",N($M1218)&lt;=0),"Coastal point without REP_M_AREA – land/sea split unknown; ","")&amp;IF(AND(N($J1218)=0,N($S1218)&gt;0),"MARINE=0 but net marine &gt;0; ","")&amp;IF(AND(N($J1218)=2,N($R1218)&gt;0),"MARINE=2 but net terrestrial &gt;0; ","")&amp;IF($K1218="Point","Buffered point – coverage approximate; ","")))</f>
        <v/>
      </c>
    </row>
    <row r="1219">
      <c r="A1219" s="19" t="n"/>
      <c r="B1219" s="19" t="n"/>
      <c r="C1219" s="19" t="n"/>
      <c r="D1219" s="19" t="n"/>
      <c r="E1219" s="19" t="n"/>
      <c r="F1219" s="19" t="n"/>
      <c r="G1219" s="19" t="n"/>
      <c r="H1219" s="19" t="n"/>
      <c r="I1219" s="19" t="n"/>
      <c r="J1219" s="19" t="n"/>
      <c r="K1219" s="19" t="n"/>
      <c r="L1219" s="20" t="n"/>
      <c r="M1219" s="20" t="n"/>
      <c r="N1219" s="20" t="n"/>
      <c r="O1219" s="20" t="n"/>
      <c r="P1219" s="19" t="n"/>
      <c r="Q1219" s="19" t="n"/>
      <c r="R1219" s="20" t="n"/>
      <c r="S1219" s="20" t="n"/>
      <c r="T1219" s="19" t="n"/>
      <c r="U1219" s="19" t="n"/>
      <c r="V1219" s="19" t="n"/>
      <c r="W1219" s="19" t="n"/>
      <c r="X1219" s="19" t="n"/>
      <c r="Y1219" s="19" t="n"/>
      <c r="Z1219" s="21">
        <f>IF(AND($A1219="",$B1219=""),"",IF(OR($E1219="",$H1219="",$H1219="Proposed",$H1219="Not Reported"),0,IF(AND($P1219="Y",$Q1219&lt;&gt;"Y"),0,IF(AND($K1219="Point",N($L1219)&lt;=0),0,IF(AND(N($L1219)&lt;=0,N($N1219)&lt;=0,N($R1219)+N($S1219)&lt;=0),0,1)))))</f>
        <v/>
      </c>
      <c r="AA1219" s="21">
        <f>IF(AND($A1219="",$B1219=""),"",IF($E1219="","Site type missing",IF($H1219="","STATUS missing",IF($H1219="Proposed","STATUS = Proposed",IF($H1219="Not Reported","STATUS = Not Reported",IF(AND($P1219="Y",$Q1219&lt;&gt;"Y"),"UNESCO-MAB Biosphere Reserve",IF(AND($K1219="Point",N($L1219)&lt;=0),"Point without REP_AREA",IF(AND(N($L1219)&lt;=0,N($N1219)&lt;=0,N($R1219)+N($S1219)&lt;=0),"No area information",""))))))))</f>
        <v/>
      </c>
      <c r="AB1219" s="22">
        <f>IF(AND($A1219="",$B1219=""),"",IF($K1219="Point",N($L1219),IF(N($N1219)&gt;0,N($N1219),N($L1219))))</f>
        <v/>
      </c>
      <c r="AC1219" s="22">
        <f>IF(AND($A1219="",$B1219=""),"",MIN(AB1219,IF(N($J1219)=0,0,IF(N($J1219)=2,AB1219,IF(AND($K1219&lt;&gt;"Point",N($O1219)&gt;0),N($O1219),N($M1219))))))</f>
        <v/>
      </c>
      <c r="AD1219" s="22">
        <f>IF(AND($A1219="",$B1219=""),"",MAX(0,AB1219-AC1219))</f>
        <v/>
      </c>
      <c r="AE1219" s="21">
        <f>IF(AND($A1219="",$B1219=""),"",IF(OR($R1219&lt;&gt;"",$S1219&lt;&gt;""),1,0))</f>
        <v/>
      </c>
      <c r="AF1219" s="22">
        <f>IF(AND($A1219="",$B1219=""),"",IF(Z1219=1,IF(AE1219=1,N($R1219),AD1219),0))</f>
        <v/>
      </c>
      <c r="AG1219" s="22">
        <f>IF(AND($A1219="",$B1219=""),"",IF(Z1219=1,IF(AE1219=1,N($S1219),AC1219),0))</f>
        <v/>
      </c>
      <c r="AH1219" s="21">
        <f>IF(AND($A1219="",$B1219=""),"",IF(AND(ISNUMBER($I1219),N($I1219)&gt;0),$I1219,0))</f>
        <v/>
      </c>
      <c r="AI1219" s="23">
        <f>IF(AND(NOT(AND($A1219="",$B1219="")),$K1219="Point",N($L1219)&gt;0),SQRT(N($L1219)/PI()),"")</f>
        <v/>
      </c>
      <c r="AJ1219" s="21">
        <f>IF(AND($A1219="",$B1219=""),"",IFERROR(VLOOKUP($G1219,Lists!$D$4:$E$15,2,FALSE),"Not reported"))</f>
        <v/>
      </c>
      <c r="AK1219" s="21">
        <f>IF(AND($A1219="",$B1219=""),"",IF($X1219&lt;&gt;"",$X1219,IF($T1219&lt;&gt;"Y","Not assessed",IF(AND(ISNUMBER($V1219),Setup!$B$6-$V1219&gt;Setup!$B$26),"Assessment outdated",IF(NOT(ISNUMBER($W1219)),"Assessed – no score",IF($W1219&gt;=Setup!$B$24,"High",IF($W1219&gt;=Setup!$B$25,"Moderate","Low")))))))</f>
        <v/>
      </c>
      <c r="AL1219" s="21">
        <f>IF(AND($A1219="",$B1219=""),"",IF(Z1219=0,"",IF(AND(AE1219=1,N($R1219)&gt;AD1219*1.01+0.001),"Net terrestrial &gt; gross; ","")&amp;IF(AND(AE1219=1,N($S1219)&gt;AC1219*1.01+0.001),"Net marine &gt; gross; ","")&amp;IF(AE1219=0,"No net area – gross used, overlaps may be double-counted; ","")&amp;IF(AH1219=0,"STATUS_YR missing – imputed in time series; ","")&amp;IF(AND(ISNUMBER($I1219),N($I1219)&gt;Setup!$B$6),"STATUS_YR after reporting year; ","")&amp;IF(OR($G1219="",$G1219="Not Reported"),"GOV_TYPE not reported; ","")&amp;IF(AND(N($J1219)=1,$K1219="Point",N($M1219)&lt;=0),"Coastal point without REP_M_AREA – land/sea split unknown; ","")&amp;IF(AND(N($J1219)=0,N($S1219)&gt;0),"MARINE=0 but net marine &gt;0; ","")&amp;IF(AND(N($J1219)=2,N($R1219)&gt;0),"MARINE=2 but net terrestrial &gt;0; ","")&amp;IF($K1219="Point","Buffered point – coverage approximate; ","")))</f>
        <v/>
      </c>
    </row>
    <row r="1220">
      <c r="A1220" s="19" t="n"/>
      <c r="B1220" s="19" t="n"/>
      <c r="C1220" s="19" t="n"/>
      <c r="D1220" s="19" t="n"/>
      <c r="E1220" s="19" t="n"/>
      <c r="F1220" s="19" t="n"/>
      <c r="G1220" s="19" t="n"/>
      <c r="H1220" s="19" t="n"/>
      <c r="I1220" s="19" t="n"/>
      <c r="J1220" s="19" t="n"/>
      <c r="K1220" s="19" t="n"/>
      <c r="L1220" s="20" t="n"/>
      <c r="M1220" s="20" t="n"/>
      <c r="N1220" s="20" t="n"/>
      <c r="O1220" s="20" t="n"/>
      <c r="P1220" s="19" t="n"/>
      <c r="Q1220" s="19" t="n"/>
      <c r="R1220" s="20" t="n"/>
      <c r="S1220" s="20" t="n"/>
      <c r="T1220" s="19" t="n"/>
      <c r="U1220" s="19" t="n"/>
      <c r="V1220" s="19" t="n"/>
      <c r="W1220" s="19" t="n"/>
      <c r="X1220" s="19" t="n"/>
      <c r="Y1220" s="19" t="n"/>
      <c r="Z1220" s="21">
        <f>IF(AND($A1220="",$B1220=""),"",IF(OR($E1220="",$H1220="",$H1220="Proposed",$H1220="Not Reported"),0,IF(AND($P1220="Y",$Q1220&lt;&gt;"Y"),0,IF(AND($K1220="Point",N($L1220)&lt;=0),0,IF(AND(N($L1220)&lt;=0,N($N1220)&lt;=0,N($R1220)+N($S1220)&lt;=0),0,1)))))</f>
        <v/>
      </c>
      <c r="AA1220" s="21">
        <f>IF(AND($A1220="",$B1220=""),"",IF($E1220="","Site type missing",IF($H1220="","STATUS missing",IF($H1220="Proposed","STATUS = Proposed",IF($H1220="Not Reported","STATUS = Not Reported",IF(AND($P1220="Y",$Q1220&lt;&gt;"Y"),"UNESCO-MAB Biosphere Reserve",IF(AND($K1220="Point",N($L1220)&lt;=0),"Point without REP_AREA",IF(AND(N($L1220)&lt;=0,N($N1220)&lt;=0,N($R1220)+N($S1220)&lt;=0),"No area information",""))))))))</f>
        <v/>
      </c>
      <c r="AB1220" s="22">
        <f>IF(AND($A1220="",$B1220=""),"",IF($K1220="Point",N($L1220),IF(N($N1220)&gt;0,N($N1220),N($L1220))))</f>
        <v/>
      </c>
      <c r="AC1220" s="22">
        <f>IF(AND($A1220="",$B1220=""),"",MIN(AB1220,IF(N($J1220)=0,0,IF(N($J1220)=2,AB1220,IF(AND($K1220&lt;&gt;"Point",N($O1220)&gt;0),N($O1220),N($M1220))))))</f>
        <v/>
      </c>
      <c r="AD1220" s="22">
        <f>IF(AND($A1220="",$B1220=""),"",MAX(0,AB1220-AC1220))</f>
        <v/>
      </c>
      <c r="AE1220" s="21">
        <f>IF(AND($A1220="",$B1220=""),"",IF(OR($R1220&lt;&gt;"",$S1220&lt;&gt;""),1,0))</f>
        <v/>
      </c>
      <c r="AF1220" s="22">
        <f>IF(AND($A1220="",$B1220=""),"",IF(Z1220=1,IF(AE1220=1,N($R1220),AD1220),0))</f>
        <v/>
      </c>
      <c r="AG1220" s="22">
        <f>IF(AND($A1220="",$B1220=""),"",IF(Z1220=1,IF(AE1220=1,N($S1220),AC1220),0))</f>
        <v/>
      </c>
      <c r="AH1220" s="21">
        <f>IF(AND($A1220="",$B1220=""),"",IF(AND(ISNUMBER($I1220),N($I1220)&gt;0),$I1220,0))</f>
        <v/>
      </c>
      <c r="AI1220" s="23">
        <f>IF(AND(NOT(AND($A1220="",$B1220="")),$K1220="Point",N($L1220)&gt;0),SQRT(N($L1220)/PI()),"")</f>
        <v/>
      </c>
      <c r="AJ1220" s="21">
        <f>IF(AND($A1220="",$B1220=""),"",IFERROR(VLOOKUP($G1220,Lists!$D$4:$E$15,2,FALSE),"Not reported"))</f>
        <v/>
      </c>
      <c r="AK1220" s="21">
        <f>IF(AND($A1220="",$B1220=""),"",IF($X1220&lt;&gt;"",$X1220,IF($T1220&lt;&gt;"Y","Not assessed",IF(AND(ISNUMBER($V1220),Setup!$B$6-$V1220&gt;Setup!$B$26),"Assessment outdated",IF(NOT(ISNUMBER($W1220)),"Assessed – no score",IF($W1220&gt;=Setup!$B$24,"High",IF($W1220&gt;=Setup!$B$25,"Moderate","Low")))))))</f>
        <v/>
      </c>
      <c r="AL1220" s="21">
        <f>IF(AND($A1220="",$B1220=""),"",IF(Z1220=0,"",IF(AND(AE1220=1,N($R1220)&gt;AD1220*1.01+0.001),"Net terrestrial &gt; gross; ","")&amp;IF(AND(AE1220=1,N($S1220)&gt;AC1220*1.01+0.001),"Net marine &gt; gross; ","")&amp;IF(AE1220=0,"No net area – gross used, overlaps may be double-counted; ","")&amp;IF(AH1220=0,"STATUS_YR missing – imputed in time series; ","")&amp;IF(AND(ISNUMBER($I1220),N($I1220)&gt;Setup!$B$6),"STATUS_YR after reporting year; ","")&amp;IF(OR($G1220="",$G1220="Not Reported"),"GOV_TYPE not reported; ","")&amp;IF(AND(N($J1220)=1,$K1220="Point",N($M1220)&lt;=0),"Coastal point without REP_M_AREA – land/sea split unknown; ","")&amp;IF(AND(N($J1220)=0,N($S1220)&gt;0),"MARINE=0 but net marine &gt;0; ","")&amp;IF(AND(N($J1220)=2,N($R1220)&gt;0),"MARINE=2 but net terrestrial &gt;0; ","")&amp;IF($K1220="Point","Buffered point – coverage approximate; ","")))</f>
        <v/>
      </c>
    </row>
    <row r="1221">
      <c r="A1221" s="19" t="n"/>
      <c r="B1221" s="19" t="n"/>
      <c r="C1221" s="19" t="n"/>
      <c r="D1221" s="19" t="n"/>
      <c r="E1221" s="19" t="n"/>
      <c r="F1221" s="19" t="n"/>
      <c r="G1221" s="19" t="n"/>
      <c r="H1221" s="19" t="n"/>
      <c r="I1221" s="19" t="n"/>
      <c r="J1221" s="19" t="n"/>
      <c r="K1221" s="19" t="n"/>
      <c r="L1221" s="20" t="n"/>
      <c r="M1221" s="20" t="n"/>
      <c r="N1221" s="20" t="n"/>
      <c r="O1221" s="20" t="n"/>
      <c r="P1221" s="19" t="n"/>
      <c r="Q1221" s="19" t="n"/>
      <c r="R1221" s="20" t="n"/>
      <c r="S1221" s="20" t="n"/>
      <c r="T1221" s="19" t="n"/>
      <c r="U1221" s="19" t="n"/>
      <c r="V1221" s="19" t="n"/>
      <c r="W1221" s="19" t="n"/>
      <c r="X1221" s="19" t="n"/>
      <c r="Y1221" s="19" t="n"/>
      <c r="Z1221" s="21">
        <f>IF(AND($A1221="",$B1221=""),"",IF(OR($E1221="",$H1221="",$H1221="Proposed",$H1221="Not Reported"),0,IF(AND($P1221="Y",$Q1221&lt;&gt;"Y"),0,IF(AND($K1221="Point",N($L1221)&lt;=0),0,IF(AND(N($L1221)&lt;=0,N($N1221)&lt;=0,N($R1221)+N($S1221)&lt;=0),0,1)))))</f>
        <v/>
      </c>
      <c r="AA1221" s="21">
        <f>IF(AND($A1221="",$B1221=""),"",IF($E1221="","Site type missing",IF($H1221="","STATUS missing",IF($H1221="Proposed","STATUS = Proposed",IF($H1221="Not Reported","STATUS = Not Reported",IF(AND($P1221="Y",$Q1221&lt;&gt;"Y"),"UNESCO-MAB Biosphere Reserve",IF(AND($K1221="Point",N($L1221)&lt;=0),"Point without REP_AREA",IF(AND(N($L1221)&lt;=0,N($N1221)&lt;=0,N($R1221)+N($S1221)&lt;=0),"No area information",""))))))))</f>
        <v/>
      </c>
      <c r="AB1221" s="22">
        <f>IF(AND($A1221="",$B1221=""),"",IF($K1221="Point",N($L1221),IF(N($N1221)&gt;0,N($N1221),N($L1221))))</f>
        <v/>
      </c>
      <c r="AC1221" s="22">
        <f>IF(AND($A1221="",$B1221=""),"",MIN(AB1221,IF(N($J1221)=0,0,IF(N($J1221)=2,AB1221,IF(AND($K1221&lt;&gt;"Point",N($O1221)&gt;0),N($O1221),N($M1221))))))</f>
        <v/>
      </c>
      <c r="AD1221" s="22">
        <f>IF(AND($A1221="",$B1221=""),"",MAX(0,AB1221-AC1221))</f>
        <v/>
      </c>
      <c r="AE1221" s="21">
        <f>IF(AND($A1221="",$B1221=""),"",IF(OR($R1221&lt;&gt;"",$S1221&lt;&gt;""),1,0))</f>
        <v/>
      </c>
      <c r="AF1221" s="22">
        <f>IF(AND($A1221="",$B1221=""),"",IF(Z1221=1,IF(AE1221=1,N($R1221),AD1221),0))</f>
        <v/>
      </c>
      <c r="AG1221" s="22">
        <f>IF(AND($A1221="",$B1221=""),"",IF(Z1221=1,IF(AE1221=1,N($S1221),AC1221),0))</f>
        <v/>
      </c>
      <c r="AH1221" s="21">
        <f>IF(AND($A1221="",$B1221=""),"",IF(AND(ISNUMBER($I1221),N($I1221)&gt;0),$I1221,0))</f>
        <v/>
      </c>
      <c r="AI1221" s="23">
        <f>IF(AND(NOT(AND($A1221="",$B1221="")),$K1221="Point",N($L1221)&gt;0),SQRT(N($L1221)/PI()),"")</f>
        <v/>
      </c>
      <c r="AJ1221" s="21">
        <f>IF(AND($A1221="",$B1221=""),"",IFERROR(VLOOKUP($G1221,Lists!$D$4:$E$15,2,FALSE),"Not reported"))</f>
        <v/>
      </c>
      <c r="AK1221" s="21">
        <f>IF(AND($A1221="",$B1221=""),"",IF($X1221&lt;&gt;"",$X1221,IF($T1221&lt;&gt;"Y","Not assessed",IF(AND(ISNUMBER($V1221),Setup!$B$6-$V1221&gt;Setup!$B$26),"Assessment outdated",IF(NOT(ISNUMBER($W1221)),"Assessed – no score",IF($W1221&gt;=Setup!$B$24,"High",IF($W1221&gt;=Setup!$B$25,"Moderate","Low")))))))</f>
        <v/>
      </c>
      <c r="AL1221" s="21">
        <f>IF(AND($A1221="",$B1221=""),"",IF(Z1221=0,"",IF(AND(AE1221=1,N($R1221)&gt;AD1221*1.01+0.001),"Net terrestrial &gt; gross; ","")&amp;IF(AND(AE1221=1,N($S1221)&gt;AC1221*1.01+0.001),"Net marine &gt; gross; ","")&amp;IF(AE1221=0,"No net area – gross used, overlaps may be double-counted; ","")&amp;IF(AH1221=0,"STATUS_YR missing – imputed in time series; ","")&amp;IF(AND(ISNUMBER($I1221),N($I1221)&gt;Setup!$B$6),"STATUS_YR after reporting year; ","")&amp;IF(OR($G1221="",$G1221="Not Reported"),"GOV_TYPE not reported; ","")&amp;IF(AND(N($J1221)=1,$K1221="Point",N($M1221)&lt;=0),"Coastal point without REP_M_AREA – land/sea split unknown; ","")&amp;IF(AND(N($J1221)=0,N($S1221)&gt;0),"MARINE=0 but net marine &gt;0; ","")&amp;IF(AND(N($J1221)=2,N($R1221)&gt;0),"MARINE=2 but net terrestrial &gt;0; ","")&amp;IF($K1221="Point","Buffered point – coverage approximate; ","")))</f>
        <v/>
      </c>
    </row>
    <row r="1222">
      <c r="A1222" s="19" t="n"/>
      <c r="B1222" s="19" t="n"/>
      <c r="C1222" s="19" t="n"/>
      <c r="D1222" s="19" t="n"/>
      <c r="E1222" s="19" t="n"/>
      <c r="F1222" s="19" t="n"/>
      <c r="G1222" s="19" t="n"/>
      <c r="H1222" s="19" t="n"/>
      <c r="I1222" s="19" t="n"/>
      <c r="J1222" s="19" t="n"/>
      <c r="K1222" s="19" t="n"/>
      <c r="L1222" s="20" t="n"/>
      <c r="M1222" s="20" t="n"/>
      <c r="N1222" s="20" t="n"/>
      <c r="O1222" s="20" t="n"/>
      <c r="P1222" s="19" t="n"/>
      <c r="Q1222" s="19" t="n"/>
      <c r="R1222" s="20" t="n"/>
      <c r="S1222" s="20" t="n"/>
      <c r="T1222" s="19" t="n"/>
      <c r="U1222" s="19" t="n"/>
      <c r="V1222" s="19" t="n"/>
      <c r="W1222" s="19" t="n"/>
      <c r="X1222" s="19" t="n"/>
      <c r="Y1222" s="19" t="n"/>
      <c r="Z1222" s="21">
        <f>IF(AND($A1222="",$B1222=""),"",IF(OR($E1222="",$H1222="",$H1222="Proposed",$H1222="Not Reported"),0,IF(AND($P1222="Y",$Q1222&lt;&gt;"Y"),0,IF(AND($K1222="Point",N($L1222)&lt;=0),0,IF(AND(N($L1222)&lt;=0,N($N1222)&lt;=0,N($R1222)+N($S1222)&lt;=0),0,1)))))</f>
        <v/>
      </c>
      <c r="AA1222" s="21">
        <f>IF(AND($A1222="",$B1222=""),"",IF($E1222="","Site type missing",IF($H1222="","STATUS missing",IF($H1222="Proposed","STATUS = Proposed",IF($H1222="Not Reported","STATUS = Not Reported",IF(AND($P1222="Y",$Q1222&lt;&gt;"Y"),"UNESCO-MAB Biosphere Reserve",IF(AND($K1222="Point",N($L1222)&lt;=0),"Point without REP_AREA",IF(AND(N($L1222)&lt;=0,N($N1222)&lt;=0,N($R1222)+N($S1222)&lt;=0),"No area information",""))))))))</f>
        <v/>
      </c>
      <c r="AB1222" s="22">
        <f>IF(AND($A1222="",$B1222=""),"",IF($K1222="Point",N($L1222),IF(N($N1222)&gt;0,N($N1222),N($L1222))))</f>
        <v/>
      </c>
      <c r="AC1222" s="22">
        <f>IF(AND($A1222="",$B1222=""),"",MIN(AB1222,IF(N($J1222)=0,0,IF(N($J1222)=2,AB1222,IF(AND($K1222&lt;&gt;"Point",N($O1222)&gt;0),N($O1222),N($M1222))))))</f>
        <v/>
      </c>
      <c r="AD1222" s="22">
        <f>IF(AND($A1222="",$B1222=""),"",MAX(0,AB1222-AC1222))</f>
        <v/>
      </c>
      <c r="AE1222" s="21">
        <f>IF(AND($A1222="",$B1222=""),"",IF(OR($R1222&lt;&gt;"",$S1222&lt;&gt;""),1,0))</f>
        <v/>
      </c>
      <c r="AF1222" s="22">
        <f>IF(AND($A1222="",$B1222=""),"",IF(Z1222=1,IF(AE1222=1,N($R1222),AD1222),0))</f>
        <v/>
      </c>
      <c r="AG1222" s="22">
        <f>IF(AND($A1222="",$B1222=""),"",IF(Z1222=1,IF(AE1222=1,N($S1222),AC1222),0))</f>
        <v/>
      </c>
      <c r="AH1222" s="21">
        <f>IF(AND($A1222="",$B1222=""),"",IF(AND(ISNUMBER($I1222),N($I1222)&gt;0),$I1222,0))</f>
        <v/>
      </c>
      <c r="AI1222" s="23">
        <f>IF(AND(NOT(AND($A1222="",$B1222="")),$K1222="Point",N($L1222)&gt;0),SQRT(N($L1222)/PI()),"")</f>
        <v/>
      </c>
      <c r="AJ1222" s="21">
        <f>IF(AND($A1222="",$B1222=""),"",IFERROR(VLOOKUP($G1222,Lists!$D$4:$E$15,2,FALSE),"Not reported"))</f>
        <v/>
      </c>
      <c r="AK1222" s="21">
        <f>IF(AND($A1222="",$B1222=""),"",IF($X1222&lt;&gt;"",$X1222,IF($T1222&lt;&gt;"Y","Not assessed",IF(AND(ISNUMBER($V1222),Setup!$B$6-$V1222&gt;Setup!$B$26),"Assessment outdated",IF(NOT(ISNUMBER($W1222)),"Assessed – no score",IF($W1222&gt;=Setup!$B$24,"High",IF($W1222&gt;=Setup!$B$25,"Moderate","Low")))))))</f>
        <v/>
      </c>
      <c r="AL1222" s="21">
        <f>IF(AND($A1222="",$B1222=""),"",IF(Z1222=0,"",IF(AND(AE1222=1,N($R1222)&gt;AD1222*1.01+0.001),"Net terrestrial &gt; gross; ","")&amp;IF(AND(AE1222=1,N($S1222)&gt;AC1222*1.01+0.001),"Net marine &gt; gross; ","")&amp;IF(AE1222=0,"No net area – gross used, overlaps may be double-counted; ","")&amp;IF(AH1222=0,"STATUS_YR missing – imputed in time series; ","")&amp;IF(AND(ISNUMBER($I1222),N($I1222)&gt;Setup!$B$6),"STATUS_YR after reporting year; ","")&amp;IF(OR($G1222="",$G1222="Not Reported"),"GOV_TYPE not reported; ","")&amp;IF(AND(N($J1222)=1,$K1222="Point",N($M1222)&lt;=0),"Coastal point without REP_M_AREA – land/sea split unknown; ","")&amp;IF(AND(N($J1222)=0,N($S1222)&gt;0),"MARINE=0 but net marine &gt;0; ","")&amp;IF(AND(N($J1222)=2,N($R1222)&gt;0),"MARINE=2 but net terrestrial &gt;0; ","")&amp;IF($K1222="Point","Buffered point – coverage approximate; ","")))</f>
        <v/>
      </c>
    </row>
    <row r="1223">
      <c r="A1223" s="19" t="n"/>
      <c r="B1223" s="19" t="n"/>
      <c r="C1223" s="19" t="n"/>
      <c r="D1223" s="19" t="n"/>
      <c r="E1223" s="19" t="n"/>
      <c r="F1223" s="19" t="n"/>
      <c r="G1223" s="19" t="n"/>
      <c r="H1223" s="19" t="n"/>
      <c r="I1223" s="19" t="n"/>
      <c r="J1223" s="19" t="n"/>
      <c r="K1223" s="19" t="n"/>
      <c r="L1223" s="20" t="n"/>
      <c r="M1223" s="20" t="n"/>
      <c r="N1223" s="20" t="n"/>
      <c r="O1223" s="20" t="n"/>
      <c r="P1223" s="19" t="n"/>
      <c r="Q1223" s="19" t="n"/>
      <c r="R1223" s="20" t="n"/>
      <c r="S1223" s="20" t="n"/>
      <c r="T1223" s="19" t="n"/>
      <c r="U1223" s="19" t="n"/>
      <c r="V1223" s="19" t="n"/>
      <c r="W1223" s="19" t="n"/>
      <c r="X1223" s="19" t="n"/>
      <c r="Y1223" s="19" t="n"/>
      <c r="Z1223" s="21">
        <f>IF(AND($A1223="",$B1223=""),"",IF(OR($E1223="",$H1223="",$H1223="Proposed",$H1223="Not Reported"),0,IF(AND($P1223="Y",$Q1223&lt;&gt;"Y"),0,IF(AND($K1223="Point",N($L1223)&lt;=0),0,IF(AND(N($L1223)&lt;=0,N($N1223)&lt;=0,N($R1223)+N($S1223)&lt;=0),0,1)))))</f>
        <v/>
      </c>
      <c r="AA1223" s="21">
        <f>IF(AND($A1223="",$B1223=""),"",IF($E1223="","Site type missing",IF($H1223="","STATUS missing",IF($H1223="Proposed","STATUS = Proposed",IF($H1223="Not Reported","STATUS = Not Reported",IF(AND($P1223="Y",$Q1223&lt;&gt;"Y"),"UNESCO-MAB Biosphere Reserve",IF(AND($K1223="Point",N($L1223)&lt;=0),"Point without REP_AREA",IF(AND(N($L1223)&lt;=0,N($N1223)&lt;=0,N($R1223)+N($S1223)&lt;=0),"No area information",""))))))))</f>
        <v/>
      </c>
      <c r="AB1223" s="22">
        <f>IF(AND($A1223="",$B1223=""),"",IF($K1223="Point",N($L1223),IF(N($N1223)&gt;0,N($N1223),N($L1223))))</f>
        <v/>
      </c>
      <c r="AC1223" s="22">
        <f>IF(AND($A1223="",$B1223=""),"",MIN(AB1223,IF(N($J1223)=0,0,IF(N($J1223)=2,AB1223,IF(AND($K1223&lt;&gt;"Point",N($O1223)&gt;0),N($O1223),N($M1223))))))</f>
        <v/>
      </c>
      <c r="AD1223" s="22">
        <f>IF(AND($A1223="",$B1223=""),"",MAX(0,AB1223-AC1223))</f>
        <v/>
      </c>
      <c r="AE1223" s="21">
        <f>IF(AND($A1223="",$B1223=""),"",IF(OR($R1223&lt;&gt;"",$S1223&lt;&gt;""),1,0))</f>
        <v/>
      </c>
      <c r="AF1223" s="22">
        <f>IF(AND($A1223="",$B1223=""),"",IF(Z1223=1,IF(AE1223=1,N($R1223),AD1223),0))</f>
        <v/>
      </c>
      <c r="AG1223" s="22">
        <f>IF(AND($A1223="",$B1223=""),"",IF(Z1223=1,IF(AE1223=1,N($S1223),AC1223),0))</f>
        <v/>
      </c>
      <c r="AH1223" s="21">
        <f>IF(AND($A1223="",$B1223=""),"",IF(AND(ISNUMBER($I1223),N($I1223)&gt;0),$I1223,0))</f>
        <v/>
      </c>
      <c r="AI1223" s="23">
        <f>IF(AND(NOT(AND($A1223="",$B1223="")),$K1223="Point",N($L1223)&gt;0),SQRT(N($L1223)/PI()),"")</f>
        <v/>
      </c>
      <c r="AJ1223" s="21">
        <f>IF(AND($A1223="",$B1223=""),"",IFERROR(VLOOKUP($G1223,Lists!$D$4:$E$15,2,FALSE),"Not reported"))</f>
        <v/>
      </c>
      <c r="AK1223" s="21">
        <f>IF(AND($A1223="",$B1223=""),"",IF($X1223&lt;&gt;"",$X1223,IF($T1223&lt;&gt;"Y","Not assessed",IF(AND(ISNUMBER($V1223),Setup!$B$6-$V1223&gt;Setup!$B$26),"Assessment outdated",IF(NOT(ISNUMBER($W1223)),"Assessed – no score",IF($W1223&gt;=Setup!$B$24,"High",IF($W1223&gt;=Setup!$B$25,"Moderate","Low")))))))</f>
        <v/>
      </c>
      <c r="AL1223" s="21">
        <f>IF(AND($A1223="",$B1223=""),"",IF(Z1223=0,"",IF(AND(AE1223=1,N($R1223)&gt;AD1223*1.01+0.001),"Net terrestrial &gt; gross; ","")&amp;IF(AND(AE1223=1,N($S1223)&gt;AC1223*1.01+0.001),"Net marine &gt; gross; ","")&amp;IF(AE1223=0,"No net area – gross used, overlaps may be double-counted; ","")&amp;IF(AH1223=0,"STATUS_YR missing – imputed in time series; ","")&amp;IF(AND(ISNUMBER($I1223),N($I1223)&gt;Setup!$B$6),"STATUS_YR after reporting year; ","")&amp;IF(OR($G1223="",$G1223="Not Reported"),"GOV_TYPE not reported; ","")&amp;IF(AND(N($J1223)=1,$K1223="Point",N($M1223)&lt;=0),"Coastal point without REP_M_AREA – land/sea split unknown; ","")&amp;IF(AND(N($J1223)=0,N($S1223)&gt;0),"MARINE=0 but net marine &gt;0; ","")&amp;IF(AND(N($J1223)=2,N($R1223)&gt;0),"MARINE=2 but net terrestrial &gt;0; ","")&amp;IF($K1223="Point","Buffered point – coverage approximate; ","")))</f>
        <v/>
      </c>
    </row>
    <row r="1224">
      <c r="A1224" s="19" t="n"/>
      <c r="B1224" s="19" t="n"/>
      <c r="C1224" s="19" t="n"/>
      <c r="D1224" s="19" t="n"/>
      <c r="E1224" s="19" t="n"/>
      <c r="F1224" s="19" t="n"/>
      <c r="G1224" s="19" t="n"/>
      <c r="H1224" s="19" t="n"/>
      <c r="I1224" s="19" t="n"/>
      <c r="J1224" s="19" t="n"/>
      <c r="K1224" s="19" t="n"/>
      <c r="L1224" s="20" t="n"/>
      <c r="M1224" s="20" t="n"/>
      <c r="N1224" s="20" t="n"/>
      <c r="O1224" s="20" t="n"/>
      <c r="P1224" s="19" t="n"/>
      <c r="Q1224" s="19" t="n"/>
      <c r="R1224" s="20" t="n"/>
      <c r="S1224" s="20" t="n"/>
      <c r="T1224" s="19" t="n"/>
      <c r="U1224" s="19" t="n"/>
      <c r="V1224" s="19" t="n"/>
      <c r="W1224" s="19" t="n"/>
      <c r="X1224" s="19" t="n"/>
      <c r="Y1224" s="19" t="n"/>
      <c r="Z1224" s="21">
        <f>IF(AND($A1224="",$B1224=""),"",IF(OR($E1224="",$H1224="",$H1224="Proposed",$H1224="Not Reported"),0,IF(AND($P1224="Y",$Q1224&lt;&gt;"Y"),0,IF(AND($K1224="Point",N($L1224)&lt;=0),0,IF(AND(N($L1224)&lt;=0,N($N1224)&lt;=0,N($R1224)+N($S1224)&lt;=0),0,1)))))</f>
        <v/>
      </c>
      <c r="AA1224" s="21">
        <f>IF(AND($A1224="",$B1224=""),"",IF($E1224="","Site type missing",IF($H1224="","STATUS missing",IF($H1224="Proposed","STATUS = Proposed",IF($H1224="Not Reported","STATUS = Not Reported",IF(AND($P1224="Y",$Q1224&lt;&gt;"Y"),"UNESCO-MAB Biosphere Reserve",IF(AND($K1224="Point",N($L1224)&lt;=0),"Point without REP_AREA",IF(AND(N($L1224)&lt;=0,N($N1224)&lt;=0,N($R1224)+N($S1224)&lt;=0),"No area information",""))))))))</f>
        <v/>
      </c>
      <c r="AB1224" s="22">
        <f>IF(AND($A1224="",$B1224=""),"",IF($K1224="Point",N($L1224),IF(N($N1224)&gt;0,N($N1224),N($L1224))))</f>
        <v/>
      </c>
      <c r="AC1224" s="22">
        <f>IF(AND($A1224="",$B1224=""),"",MIN(AB1224,IF(N($J1224)=0,0,IF(N($J1224)=2,AB1224,IF(AND($K1224&lt;&gt;"Point",N($O1224)&gt;0),N($O1224),N($M1224))))))</f>
        <v/>
      </c>
      <c r="AD1224" s="22">
        <f>IF(AND($A1224="",$B1224=""),"",MAX(0,AB1224-AC1224))</f>
        <v/>
      </c>
      <c r="AE1224" s="21">
        <f>IF(AND($A1224="",$B1224=""),"",IF(OR($R1224&lt;&gt;"",$S1224&lt;&gt;""),1,0))</f>
        <v/>
      </c>
      <c r="AF1224" s="22">
        <f>IF(AND($A1224="",$B1224=""),"",IF(Z1224=1,IF(AE1224=1,N($R1224),AD1224),0))</f>
        <v/>
      </c>
      <c r="AG1224" s="22">
        <f>IF(AND($A1224="",$B1224=""),"",IF(Z1224=1,IF(AE1224=1,N($S1224),AC1224),0))</f>
        <v/>
      </c>
      <c r="AH1224" s="21">
        <f>IF(AND($A1224="",$B1224=""),"",IF(AND(ISNUMBER($I1224),N($I1224)&gt;0),$I1224,0))</f>
        <v/>
      </c>
      <c r="AI1224" s="23">
        <f>IF(AND(NOT(AND($A1224="",$B1224="")),$K1224="Point",N($L1224)&gt;0),SQRT(N($L1224)/PI()),"")</f>
        <v/>
      </c>
      <c r="AJ1224" s="21">
        <f>IF(AND($A1224="",$B1224=""),"",IFERROR(VLOOKUP($G1224,Lists!$D$4:$E$15,2,FALSE),"Not reported"))</f>
        <v/>
      </c>
      <c r="AK1224" s="21">
        <f>IF(AND($A1224="",$B1224=""),"",IF($X1224&lt;&gt;"",$X1224,IF($T1224&lt;&gt;"Y","Not assessed",IF(AND(ISNUMBER($V1224),Setup!$B$6-$V1224&gt;Setup!$B$26),"Assessment outdated",IF(NOT(ISNUMBER($W1224)),"Assessed – no score",IF($W1224&gt;=Setup!$B$24,"High",IF($W1224&gt;=Setup!$B$25,"Moderate","Low")))))))</f>
        <v/>
      </c>
      <c r="AL1224" s="21">
        <f>IF(AND($A1224="",$B1224=""),"",IF(Z1224=0,"",IF(AND(AE1224=1,N($R1224)&gt;AD1224*1.01+0.001),"Net terrestrial &gt; gross; ","")&amp;IF(AND(AE1224=1,N($S1224)&gt;AC1224*1.01+0.001),"Net marine &gt; gross; ","")&amp;IF(AE1224=0,"No net area – gross used, overlaps may be double-counted; ","")&amp;IF(AH1224=0,"STATUS_YR missing – imputed in time series; ","")&amp;IF(AND(ISNUMBER($I1224),N($I1224)&gt;Setup!$B$6),"STATUS_YR after reporting year; ","")&amp;IF(OR($G1224="",$G1224="Not Reported"),"GOV_TYPE not reported; ","")&amp;IF(AND(N($J1224)=1,$K1224="Point",N($M1224)&lt;=0),"Coastal point without REP_M_AREA – land/sea split unknown; ","")&amp;IF(AND(N($J1224)=0,N($S1224)&gt;0),"MARINE=0 but net marine &gt;0; ","")&amp;IF(AND(N($J1224)=2,N($R1224)&gt;0),"MARINE=2 but net terrestrial &gt;0; ","")&amp;IF($K1224="Point","Buffered point – coverage approximate; ","")))</f>
        <v/>
      </c>
    </row>
    <row r="1225">
      <c r="A1225" s="19" t="n"/>
      <c r="B1225" s="19" t="n"/>
      <c r="C1225" s="19" t="n"/>
      <c r="D1225" s="19" t="n"/>
      <c r="E1225" s="19" t="n"/>
      <c r="F1225" s="19" t="n"/>
      <c r="G1225" s="19" t="n"/>
      <c r="H1225" s="19" t="n"/>
      <c r="I1225" s="19" t="n"/>
      <c r="J1225" s="19" t="n"/>
      <c r="K1225" s="19" t="n"/>
      <c r="L1225" s="20" t="n"/>
      <c r="M1225" s="20" t="n"/>
      <c r="N1225" s="20" t="n"/>
      <c r="O1225" s="20" t="n"/>
      <c r="P1225" s="19" t="n"/>
      <c r="Q1225" s="19" t="n"/>
      <c r="R1225" s="20" t="n"/>
      <c r="S1225" s="20" t="n"/>
      <c r="T1225" s="19" t="n"/>
      <c r="U1225" s="19" t="n"/>
      <c r="V1225" s="19" t="n"/>
      <c r="W1225" s="19" t="n"/>
      <c r="X1225" s="19" t="n"/>
      <c r="Y1225" s="19" t="n"/>
      <c r="Z1225" s="21">
        <f>IF(AND($A1225="",$B1225=""),"",IF(OR($E1225="",$H1225="",$H1225="Proposed",$H1225="Not Reported"),0,IF(AND($P1225="Y",$Q1225&lt;&gt;"Y"),0,IF(AND($K1225="Point",N($L1225)&lt;=0),0,IF(AND(N($L1225)&lt;=0,N($N1225)&lt;=0,N($R1225)+N($S1225)&lt;=0),0,1)))))</f>
        <v/>
      </c>
      <c r="AA1225" s="21">
        <f>IF(AND($A1225="",$B1225=""),"",IF($E1225="","Site type missing",IF($H1225="","STATUS missing",IF($H1225="Proposed","STATUS = Proposed",IF($H1225="Not Reported","STATUS = Not Reported",IF(AND($P1225="Y",$Q1225&lt;&gt;"Y"),"UNESCO-MAB Biosphere Reserve",IF(AND($K1225="Point",N($L1225)&lt;=0),"Point without REP_AREA",IF(AND(N($L1225)&lt;=0,N($N1225)&lt;=0,N($R1225)+N($S1225)&lt;=0),"No area information",""))))))))</f>
        <v/>
      </c>
      <c r="AB1225" s="22">
        <f>IF(AND($A1225="",$B1225=""),"",IF($K1225="Point",N($L1225),IF(N($N1225)&gt;0,N($N1225),N($L1225))))</f>
        <v/>
      </c>
      <c r="AC1225" s="22">
        <f>IF(AND($A1225="",$B1225=""),"",MIN(AB1225,IF(N($J1225)=0,0,IF(N($J1225)=2,AB1225,IF(AND($K1225&lt;&gt;"Point",N($O1225)&gt;0),N($O1225),N($M1225))))))</f>
        <v/>
      </c>
      <c r="AD1225" s="22">
        <f>IF(AND($A1225="",$B1225=""),"",MAX(0,AB1225-AC1225))</f>
        <v/>
      </c>
      <c r="AE1225" s="21">
        <f>IF(AND($A1225="",$B1225=""),"",IF(OR($R1225&lt;&gt;"",$S1225&lt;&gt;""),1,0))</f>
        <v/>
      </c>
      <c r="AF1225" s="22">
        <f>IF(AND($A1225="",$B1225=""),"",IF(Z1225=1,IF(AE1225=1,N($R1225),AD1225),0))</f>
        <v/>
      </c>
      <c r="AG1225" s="22">
        <f>IF(AND($A1225="",$B1225=""),"",IF(Z1225=1,IF(AE1225=1,N($S1225),AC1225),0))</f>
        <v/>
      </c>
      <c r="AH1225" s="21">
        <f>IF(AND($A1225="",$B1225=""),"",IF(AND(ISNUMBER($I1225),N($I1225)&gt;0),$I1225,0))</f>
        <v/>
      </c>
      <c r="AI1225" s="23">
        <f>IF(AND(NOT(AND($A1225="",$B1225="")),$K1225="Point",N($L1225)&gt;0),SQRT(N($L1225)/PI()),"")</f>
        <v/>
      </c>
      <c r="AJ1225" s="21">
        <f>IF(AND($A1225="",$B1225=""),"",IFERROR(VLOOKUP($G1225,Lists!$D$4:$E$15,2,FALSE),"Not reported"))</f>
        <v/>
      </c>
      <c r="AK1225" s="21">
        <f>IF(AND($A1225="",$B1225=""),"",IF($X1225&lt;&gt;"",$X1225,IF($T1225&lt;&gt;"Y","Not assessed",IF(AND(ISNUMBER($V1225),Setup!$B$6-$V1225&gt;Setup!$B$26),"Assessment outdated",IF(NOT(ISNUMBER($W1225)),"Assessed – no score",IF($W1225&gt;=Setup!$B$24,"High",IF($W1225&gt;=Setup!$B$25,"Moderate","Low")))))))</f>
        <v/>
      </c>
      <c r="AL1225" s="21">
        <f>IF(AND($A1225="",$B1225=""),"",IF(Z1225=0,"",IF(AND(AE1225=1,N($R1225)&gt;AD1225*1.01+0.001),"Net terrestrial &gt; gross; ","")&amp;IF(AND(AE1225=1,N($S1225)&gt;AC1225*1.01+0.001),"Net marine &gt; gross; ","")&amp;IF(AE1225=0,"No net area – gross used, overlaps may be double-counted; ","")&amp;IF(AH1225=0,"STATUS_YR missing – imputed in time series; ","")&amp;IF(AND(ISNUMBER($I1225),N($I1225)&gt;Setup!$B$6),"STATUS_YR after reporting year; ","")&amp;IF(OR($G1225="",$G1225="Not Reported"),"GOV_TYPE not reported; ","")&amp;IF(AND(N($J1225)=1,$K1225="Point",N($M1225)&lt;=0),"Coastal point without REP_M_AREA – land/sea split unknown; ","")&amp;IF(AND(N($J1225)=0,N($S1225)&gt;0),"MARINE=0 but net marine &gt;0; ","")&amp;IF(AND(N($J1225)=2,N($R1225)&gt;0),"MARINE=2 but net terrestrial &gt;0; ","")&amp;IF($K1225="Point","Buffered point – coverage approximate; ","")))</f>
        <v/>
      </c>
    </row>
    <row r="1226">
      <c r="A1226" s="19" t="n"/>
      <c r="B1226" s="19" t="n"/>
      <c r="C1226" s="19" t="n"/>
      <c r="D1226" s="19" t="n"/>
      <c r="E1226" s="19" t="n"/>
      <c r="F1226" s="19" t="n"/>
      <c r="G1226" s="19" t="n"/>
      <c r="H1226" s="19" t="n"/>
      <c r="I1226" s="19" t="n"/>
      <c r="J1226" s="19" t="n"/>
      <c r="K1226" s="19" t="n"/>
      <c r="L1226" s="20" t="n"/>
      <c r="M1226" s="20" t="n"/>
      <c r="N1226" s="20" t="n"/>
      <c r="O1226" s="20" t="n"/>
      <c r="P1226" s="19" t="n"/>
      <c r="Q1226" s="19" t="n"/>
      <c r="R1226" s="20" t="n"/>
      <c r="S1226" s="20" t="n"/>
      <c r="T1226" s="19" t="n"/>
      <c r="U1226" s="19" t="n"/>
      <c r="V1226" s="19" t="n"/>
      <c r="W1226" s="19" t="n"/>
      <c r="X1226" s="19" t="n"/>
      <c r="Y1226" s="19" t="n"/>
      <c r="Z1226" s="21">
        <f>IF(AND($A1226="",$B1226=""),"",IF(OR($E1226="",$H1226="",$H1226="Proposed",$H1226="Not Reported"),0,IF(AND($P1226="Y",$Q1226&lt;&gt;"Y"),0,IF(AND($K1226="Point",N($L1226)&lt;=0),0,IF(AND(N($L1226)&lt;=0,N($N1226)&lt;=0,N($R1226)+N($S1226)&lt;=0),0,1)))))</f>
        <v/>
      </c>
      <c r="AA1226" s="21">
        <f>IF(AND($A1226="",$B1226=""),"",IF($E1226="","Site type missing",IF($H1226="","STATUS missing",IF($H1226="Proposed","STATUS = Proposed",IF($H1226="Not Reported","STATUS = Not Reported",IF(AND($P1226="Y",$Q1226&lt;&gt;"Y"),"UNESCO-MAB Biosphere Reserve",IF(AND($K1226="Point",N($L1226)&lt;=0),"Point without REP_AREA",IF(AND(N($L1226)&lt;=0,N($N1226)&lt;=0,N($R1226)+N($S1226)&lt;=0),"No area information",""))))))))</f>
        <v/>
      </c>
      <c r="AB1226" s="22">
        <f>IF(AND($A1226="",$B1226=""),"",IF($K1226="Point",N($L1226),IF(N($N1226)&gt;0,N($N1226),N($L1226))))</f>
        <v/>
      </c>
      <c r="AC1226" s="22">
        <f>IF(AND($A1226="",$B1226=""),"",MIN(AB1226,IF(N($J1226)=0,0,IF(N($J1226)=2,AB1226,IF(AND($K1226&lt;&gt;"Point",N($O1226)&gt;0),N($O1226),N($M1226))))))</f>
        <v/>
      </c>
      <c r="AD1226" s="22">
        <f>IF(AND($A1226="",$B1226=""),"",MAX(0,AB1226-AC1226))</f>
        <v/>
      </c>
      <c r="AE1226" s="21">
        <f>IF(AND($A1226="",$B1226=""),"",IF(OR($R1226&lt;&gt;"",$S1226&lt;&gt;""),1,0))</f>
        <v/>
      </c>
      <c r="AF1226" s="22">
        <f>IF(AND($A1226="",$B1226=""),"",IF(Z1226=1,IF(AE1226=1,N($R1226),AD1226),0))</f>
        <v/>
      </c>
      <c r="AG1226" s="22">
        <f>IF(AND($A1226="",$B1226=""),"",IF(Z1226=1,IF(AE1226=1,N($S1226),AC1226),0))</f>
        <v/>
      </c>
      <c r="AH1226" s="21">
        <f>IF(AND($A1226="",$B1226=""),"",IF(AND(ISNUMBER($I1226),N($I1226)&gt;0),$I1226,0))</f>
        <v/>
      </c>
      <c r="AI1226" s="23">
        <f>IF(AND(NOT(AND($A1226="",$B1226="")),$K1226="Point",N($L1226)&gt;0),SQRT(N($L1226)/PI()),"")</f>
        <v/>
      </c>
      <c r="AJ1226" s="21">
        <f>IF(AND($A1226="",$B1226=""),"",IFERROR(VLOOKUP($G1226,Lists!$D$4:$E$15,2,FALSE),"Not reported"))</f>
        <v/>
      </c>
      <c r="AK1226" s="21">
        <f>IF(AND($A1226="",$B1226=""),"",IF($X1226&lt;&gt;"",$X1226,IF($T1226&lt;&gt;"Y","Not assessed",IF(AND(ISNUMBER($V1226),Setup!$B$6-$V1226&gt;Setup!$B$26),"Assessment outdated",IF(NOT(ISNUMBER($W1226)),"Assessed – no score",IF($W1226&gt;=Setup!$B$24,"High",IF($W1226&gt;=Setup!$B$25,"Moderate","Low")))))))</f>
        <v/>
      </c>
      <c r="AL1226" s="21">
        <f>IF(AND($A1226="",$B1226=""),"",IF(Z1226=0,"",IF(AND(AE1226=1,N($R1226)&gt;AD1226*1.01+0.001),"Net terrestrial &gt; gross; ","")&amp;IF(AND(AE1226=1,N($S1226)&gt;AC1226*1.01+0.001),"Net marine &gt; gross; ","")&amp;IF(AE1226=0,"No net area – gross used, overlaps may be double-counted; ","")&amp;IF(AH1226=0,"STATUS_YR missing – imputed in time series; ","")&amp;IF(AND(ISNUMBER($I1226),N($I1226)&gt;Setup!$B$6),"STATUS_YR after reporting year; ","")&amp;IF(OR($G1226="",$G1226="Not Reported"),"GOV_TYPE not reported; ","")&amp;IF(AND(N($J1226)=1,$K1226="Point",N($M1226)&lt;=0),"Coastal point without REP_M_AREA – land/sea split unknown; ","")&amp;IF(AND(N($J1226)=0,N($S1226)&gt;0),"MARINE=0 but net marine &gt;0; ","")&amp;IF(AND(N($J1226)=2,N($R1226)&gt;0),"MARINE=2 but net terrestrial &gt;0; ","")&amp;IF($K1226="Point","Buffered point – coverage approximate; ","")))</f>
        <v/>
      </c>
    </row>
    <row r="1227">
      <c r="A1227" s="19" t="n"/>
      <c r="B1227" s="19" t="n"/>
      <c r="C1227" s="19" t="n"/>
      <c r="D1227" s="19" t="n"/>
      <c r="E1227" s="19" t="n"/>
      <c r="F1227" s="19" t="n"/>
      <c r="G1227" s="19" t="n"/>
      <c r="H1227" s="19" t="n"/>
      <c r="I1227" s="19" t="n"/>
      <c r="J1227" s="19" t="n"/>
      <c r="K1227" s="19" t="n"/>
      <c r="L1227" s="20" t="n"/>
      <c r="M1227" s="20" t="n"/>
      <c r="N1227" s="20" t="n"/>
      <c r="O1227" s="20" t="n"/>
      <c r="P1227" s="19" t="n"/>
      <c r="Q1227" s="19" t="n"/>
      <c r="R1227" s="20" t="n"/>
      <c r="S1227" s="20" t="n"/>
      <c r="T1227" s="19" t="n"/>
      <c r="U1227" s="19" t="n"/>
      <c r="V1227" s="19" t="n"/>
      <c r="W1227" s="19" t="n"/>
      <c r="X1227" s="19" t="n"/>
      <c r="Y1227" s="19" t="n"/>
      <c r="Z1227" s="21">
        <f>IF(AND($A1227="",$B1227=""),"",IF(OR($E1227="",$H1227="",$H1227="Proposed",$H1227="Not Reported"),0,IF(AND($P1227="Y",$Q1227&lt;&gt;"Y"),0,IF(AND($K1227="Point",N($L1227)&lt;=0),0,IF(AND(N($L1227)&lt;=0,N($N1227)&lt;=0,N($R1227)+N($S1227)&lt;=0),0,1)))))</f>
        <v/>
      </c>
      <c r="AA1227" s="21">
        <f>IF(AND($A1227="",$B1227=""),"",IF($E1227="","Site type missing",IF($H1227="","STATUS missing",IF($H1227="Proposed","STATUS = Proposed",IF($H1227="Not Reported","STATUS = Not Reported",IF(AND($P1227="Y",$Q1227&lt;&gt;"Y"),"UNESCO-MAB Biosphere Reserve",IF(AND($K1227="Point",N($L1227)&lt;=0),"Point without REP_AREA",IF(AND(N($L1227)&lt;=0,N($N1227)&lt;=0,N($R1227)+N($S1227)&lt;=0),"No area information",""))))))))</f>
        <v/>
      </c>
      <c r="AB1227" s="22">
        <f>IF(AND($A1227="",$B1227=""),"",IF($K1227="Point",N($L1227),IF(N($N1227)&gt;0,N($N1227),N($L1227))))</f>
        <v/>
      </c>
      <c r="AC1227" s="22">
        <f>IF(AND($A1227="",$B1227=""),"",MIN(AB1227,IF(N($J1227)=0,0,IF(N($J1227)=2,AB1227,IF(AND($K1227&lt;&gt;"Point",N($O1227)&gt;0),N($O1227),N($M1227))))))</f>
        <v/>
      </c>
      <c r="AD1227" s="22">
        <f>IF(AND($A1227="",$B1227=""),"",MAX(0,AB1227-AC1227))</f>
        <v/>
      </c>
      <c r="AE1227" s="21">
        <f>IF(AND($A1227="",$B1227=""),"",IF(OR($R1227&lt;&gt;"",$S1227&lt;&gt;""),1,0))</f>
        <v/>
      </c>
      <c r="AF1227" s="22">
        <f>IF(AND($A1227="",$B1227=""),"",IF(Z1227=1,IF(AE1227=1,N($R1227),AD1227),0))</f>
        <v/>
      </c>
      <c r="AG1227" s="22">
        <f>IF(AND($A1227="",$B1227=""),"",IF(Z1227=1,IF(AE1227=1,N($S1227),AC1227),0))</f>
        <v/>
      </c>
      <c r="AH1227" s="21">
        <f>IF(AND($A1227="",$B1227=""),"",IF(AND(ISNUMBER($I1227),N($I1227)&gt;0),$I1227,0))</f>
        <v/>
      </c>
      <c r="AI1227" s="23">
        <f>IF(AND(NOT(AND($A1227="",$B1227="")),$K1227="Point",N($L1227)&gt;0),SQRT(N($L1227)/PI()),"")</f>
        <v/>
      </c>
      <c r="AJ1227" s="21">
        <f>IF(AND($A1227="",$B1227=""),"",IFERROR(VLOOKUP($G1227,Lists!$D$4:$E$15,2,FALSE),"Not reported"))</f>
        <v/>
      </c>
      <c r="AK1227" s="21">
        <f>IF(AND($A1227="",$B1227=""),"",IF($X1227&lt;&gt;"",$X1227,IF($T1227&lt;&gt;"Y","Not assessed",IF(AND(ISNUMBER($V1227),Setup!$B$6-$V1227&gt;Setup!$B$26),"Assessment outdated",IF(NOT(ISNUMBER($W1227)),"Assessed – no score",IF($W1227&gt;=Setup!$B$24,"High",IF($W1227&gt;=Setup!$B$25,"Moderate","Low")))))))</f>
        <v/>
      </c>
      <c r="AL1227" s="21">
        <f>IF(AND($A1227="",$B1227=""),"",IF(Z1227=0,"",IF(AND(AE1227=1,N($R1227)&gt;AD1227*1.01+0.001),"Net terrestrial &gt; gross; ","")&amp;IF(AND(AE1227=1,N($S1227)&gt;AC1227*1.01+0.001),"Net marine &gt; gross; ","")&amp;IF(AE1227=0,"No net area – gross used, overlaps may be double-counted; ","")&amp;IF(AH1227=0,"STATUS_YR missing – imputed in time series; ","")&amp;IF(AND(ISNUMBER($I1227),N($I1227)&gt;Setup!$B$6),"STATUS_YR after reporting year; ","")&amp;IF(OR($G1227="",$G1227="Not Reported"),"GOV_TYPE not reported; ","")&amp;IF(AND(N($J1227)=1,$K1227="Point",N($M1227)&lt;=0),"Coastal point without REP_M_AREA – land/sea split unknown; ","")&amp;IF(AND(N($J1227)=0,N($S1227)&gt;0),"MARINE=0 but net marine &gt;0; ","")&amp;IF(AND(N($J1227)=2,N($R1227)&gt;0),"MARINE=2 but net terrestrial &gt;0; ","")&amp;IF($K1227="Point","Buffered point – coverage approximate; ","")))</f>
        <v/>
      </c>
    </row>
    <row r="1228">
      <c r="A1228" s="19" t="n"/>
      <c r="B1228" s="19" t="n"/>
      <c r="C1228" s="19" t="n"/>
      <c r="D1228" s="19" t="n"/>
      <c r="E1228" s="19" t="n"/>
      <c r="F1228" s="19" t="n"/>
      <c r="G1228" s="19" t="n"/>
      <c r="H1228" s="19" t="n"/>
      <c r="I1228" s="19" t="n"/>
      <c r="J1228" s="19" t="n"/>
      <c r="K1228" s="19" t="n"/>
      <c r="L1228" s="20" t="n"/>
      <c r="M1228" s="20" t="n"/>
      <c r="N1228" s="20" t="n"/>
      <c r="O1228" s="20" t="n"/>
      <c r="P1228" s="19" t="n"/>
      <c r="Q1228" s="19" t="n"/>
      <c r="R1228" s="20" t="n"/>
      <c r="S1228" s="20" t="n"/>
      <c r="T1228" s="19" t="n"/>
      <c r="U1228" s="19" t="n"/>
      <c r="V1228" s="19" t="n"/>
      <c r="W1228" s="19" t="n"/>
      <c r="X1228" s="19" t="n"/>
      <c r="Y1228" s="19" t="n"/>
      <c r="Z1228" s="21">
        <f>IF(AND($A1228="",$B1228=""),"",IF(OR($E1228="",$H1228="",$H1228="Proposed",$H1228="Not Reported"),0,IF(AND($P1228="Y",$Q1228&lt;&gt;"Y"),0,IF(AND($K1228="Point",N($L1228)&lt;=0),0,IF(AND(N($L1228)&lt;=0,N($N1228)&lt;=0,N($R1228)+N($S1228)&lt;=0),0,1)))))</f>
        <v/>
      </c>
      <c r="AA1228" s="21">
        <f>IF(AND($A1228="",$B1228=""),"",IF($E1228="","Site type missing",IF($H1228="","STATUS missing",IF($H1228="Proposed","STATUS = Proposed",IF($H1228="Not Reported","STATUS = Not Reported",IF(AND($P1228="Y",$Q1228&lt;&gt;"Y"),"UNESCO-MAB Biosphere Reserve",IF(AND($K1228="Point",N($L1228)&lt;=0),"Point without REP_AREA",IF(AND(N($L1228)&lt;=0,N($N1228)&lt;=0,N($R1228)+N($S1228)&lt;=0),"No area information",""))))))))</f>
        <v/>
      </c>
      <c r="AB1228" s="22">
        <f>IF(AND($A1228="",$B1228=""),"",IF($K1228="Point",N($L1228),IF(N($N1228)&gt;0,N($N1228),N($L1228))))</f>
        <v/>
      </c>
      <c r="AC1228" s="22">
        <f>IF(AND($A1228="",$B1228=""),"",MIN(AB1228,IF(N($J1228)=0,0,IF(N($J1228)=2,AB1228,IF(AND($K1228&lt;&gt;"Point",N($O1228)&gt;0),N($O1228),N($M1228))))))</f>
        <v/>
      </c>
      <c r="AD1228" s="22">
        <f>IF(AND($A1228="",$B1228=""),"",MAX(0,AB1228-AC1228))</f>
        <v/>
      </c>
      <c r="AE1228" s="21">
        <f>IF(AND($A1228="",$B1228=""),"",IF(OR($R1228&lt;&gt;"",$S1228&lt;&gt;""),1,0))</f>
        <v/>
      </c>
      <c r="AF1228" s="22">
        <f>IF(AND($A1228="",$B1228=""),"",IF(Z1228=1,IF(AE1228=1,N($R1228),AD1228),0))</f>
        <v/>
      </c>
      <c r="AG1228" s="22">
        <f>IF(AND($A1228="",$B1228=""),"",IF(Z1228=1,IF(AE1228=1,N($S1228),AC1228),0))</f>
        <v/>
      </c>
      <c r="AH1228" s="21">
        <f>IF(AND($A1228="",$B1228=""),"",IF(AND(ISNUMBER($I1228),N($I1228)&gt;0),$I1228,0))</f>
        <v/>
      </c>
      <c r="AI1228" s="23">
        <f>IF(AND(NOT(AND($A1228="",$B1228="")),$K1228="Point",N($L1228)&gt;0),SQRT(N($L1228)/PI()),"")</f>
        <v/>
      </c>
      <c r="AJ1228" s="21">
        <f>IF(AND($A1228="",$B1228=""),"",IFERROR(VLOOKUP($G1228,Lists!$D$4:$E$15,2,FALSE),"Not reported"))</f>
        <v/>
      </c>
      <c r="AK1228" s="21">
        <f>IF(AND($A1228="",$B1228=""),"",IF($X1228&lt;&gt;"",$X1228,IF($T1228&lt;&gt;"Y","Not assessed",IF(AND(ISNUMBER($V1228),Setup!$B$6-$V1228&gt;Setup!$B$26),"Assessment outdated",IF(NOT(ISNUMBER($W1228)),"Assessed – no score",IF($W1228&gt;=Setup!$B$24,"High",IF($W1228&gt;=Setup!$B$25,"Moderate","Low")))))))</f>
        <v/>
      </c>
      <c r="AL1228" s="21">
        <f>IF(AND($A1228="",$B1228=""),"",IF(Z1228=0,"",IF(AND(AE1228=1,N($R1228)&gt;AD1228*1.01+0.001),"Net terrestrial &gt; gross; ","")&amp;IF(AND(AE1228=1,N($S1228)&gt;AC1228*1.01+0.001),"Net marine &gt; gross; ","")&amp;IF(AE1228=0,"No net area – gross used, overlaps may be double-counted; ","")&amp;IF(AH1228=0,"STATUS_YR missing – imputed in time series; ","")&amp;IF(AND(ISNUMBER($I1228),N($I1228)&gt;Setup!$B$6),"STATUS_YR after reporting year; ","")&amp;IF(OR($G1228="",$G1228="Not Reported"),"GOV_TYPE not reported; ","")&amp;IF(AND(N($J1228)=1,$K1228="Point",N($M1228)&lt;=0),"Coastal point without REP_M_AREA – land/sea split unknown; ","")&amp;IF(AND(N($J1228)=0,N($S1228)&gt;0),"MARINE=0 but net marine &gt;0; ","")&amp;IF(AND(N($J1228)=2,N($R1228)&gt;0),"MARINE=2 but net terrestrial &gt;0; ","")&amp;IF($K1228="Point","Buffered point – coverage approximate; ","")))</f>
        <v/>
      </c>
    </row>
    <row r="1229">
      <c r="A1229" s="19" t="n"/>
      <c r="B1229" s="19" t="n"/>
      <c r="C1229" s="19" t="n"/>
      <c r="D1229" s="19" t="n"/>
      <c r="E1229" s="19" t="n"/>
      <c r="F1229" s="19" t="n"/>
      <c r="G1229" s="19" t="n"/>
      <c r="H1229" s="19" t="n"/>
      <c r="I1229" s="19" t="n"/>
      <c r="J1229" s="19" t="n"/>
      <c r="K1229" s="19" t="n"/>
      <c r="L1229" s="20" t="n"/>
      <c r="M1229" s="20" t="n"/>
      <c r="N1229" s="20" t="n"/>
      <c r="O1229" s="20" t="n"/>
      <c r="P1229" s="19" t="n"/>
      <c r="Q1229" s="19" t="n"/>
      <c r="R1229" s="20" t="n"/>
      <c r="S1229" s="20" t="n"/>
      <c r="T1229" s="19" t="n"/>
      <c r="U1229" s="19" t="n"/>
      <c r="V1229" s="19" t="n"/>
      <c r="W1229" s="19" t="n"/>
      <c r="X1229" s="19" t="n"/>
      <c r="Y1229" s="19" t="n"/>
      <c r="Z1229" s="21">
        <f>IF(AND($A1229="",$B1229=""),"",IF(OR($E1229="",$H1229="",$H1229="Proposed",$H1229="Not Reported"),0,IF(AND($P1229="Y",$Q1229&lt;&gt;"Y"),0,IF(AND($K1229="Point",N($L1229)&lt;=0),0,IF(AND(N($L1229)&lt;=0,N($N1229)&lt;=0,N($R1229)+N($S1229)&lt;=0),0,1)))))</f>
        <v/>
      </c>
      <c r="AA1229" s="21">
        <f>IF(AND($A1229="",$B1229=""),"",IF($E1229="","Site type missing",IF($H1229="","STATUS missing",IF($H1229="Proposed","STATUS = Proposed",IF($H1229="Not Reported","STATUS = Not Reported",IF(AND($P1229="Y",$Q1229&lt;&gt;"Y"),"UNESCO-MAB Biosphere Reserve",IF(AND($K1229="Point",N($L1229)&lt;=0),"Point without REP_AREA",IF(AND(N($L1229)&lt;=0,N($N1229)&lt;=0,N($R1229)+N($S1229)&lt;=0),"No area information",""))))))))</f>
        <v/>
      </c>
      <c r="AB1229" s="22">
        <f>IF(AND($A1229="",$B1229=""),"",IF($K1229="Point",N($L1229),IF(N($N1229)&gt;0,N($N1229),N($L1229))))</f>
        <v/>
      </c>
      <c r="AC1229" s="22">
        <f>IF(AND($A1229="",$B1229=""),"",MIN(AB1229,IF(N($J1229)=0,0,IF(N($J1229)=2,AB1229,IF(AND($K1229&lt;&gt;"Point",N($O1229)&gt;0),N($O1229),N($M1229))))))</f>
        <v/>
      </c>
      <c r="AD1229" s="22">
        <f>IF(AND($A1229="",$B1229=""),"",MAX(0,AB1229-AC1229))</f>
        <v/>
      </c>
      <c r="AE1229" s="21">
        <f>IF(AND($A1229="",$B1229=""),"",IF(OR($R1229&lt;&gt;"",$S1229&lt;&gt;""),1,0))</f>
        <v/>
      </c>
      <c r="AF1229" s="22">
        <f>IF(AND($A1229="",$B1229=""),"",IF(Z1229=1,IF(AE1229=1,N($R1229),AD1229),0))</f>
        <v/>
      </c>
      <c r="AG1229" s="22">
        <f>IF(AND($A1229="",$B1229=""),"",IF(Z1229=1,IF(AE1229=1,N($S1229),AC1229),0))</f>
        <v/>
      </c>
      <c r="AH1229" s="21">
        <f>IF(AND($A1229="",$B1229=""),"",IF(AND(ISNUMBER($I1229),N($I1229)&gt;0),$I1229,0))</f>
        <v/>
      </c>
      <c r="AI1229" s="23">
        <f>IF(AND(NOT(AND($A1229="",$B1229="")),$K1229="Point",N($L1229)&gt;0),SQRT(N($L1229)/PI()),"")</f>
        <v/>
      </c>
      <c r="AJ1229" s="21">
        <f>IF(AND($A1229="",$B1229=""),"",IFERROR(VLOOKUP($G1229,Lists!$D$4:$E$15,2,FALSE),"Not reported"))</f>
        <v/>
      </c>
      <c r="AK1229" s="21">
        <f>IF(AND($A1229="",$B1229=""),"",IF($X1229&lt;&gt;"",$X1229,IF($T1229&lt;&gt;"Y","Not assessed",IF(AND(ISNUMBER($V1229),Setup!$B$6-$V1229&gt;Setup!$B$26),"Assessment outdated",IF(NOT(ISNUMBER($W1229)),"Assessed – no score",IF($W1229&gt;=Setup!$B$24,"High",IF($W1229&gt;=Setup!$B$25,"Moderate","Low")))))))</f>
        <v/>
      </c>
      <c r="AL1229" s="21">
        <f>IF(AND($A1229="",$B1229=""),"",IF(Z1229=0,"",IF(AND(AE1229=1,N($R1229)&gt;AD1229*1.01+0.001),"Net terrestrial &gt; gross; ","")&amp;IF(AND(AE1229=1,N($S1229)&gt;AC1229*1.01+0.001),"Net marine &gt; gross; ","")&amp;IF(AE1229=0,"No net area – gross used, overlaps may be double-counted; ","")&amp;IF(AH1229=0,"STATUS_YR missing – imputed in time series; ","")&amp;IF(AND(ISNUMBER($I1229),N($I1229)&gt;Setup!$B$6),"STATUS_YR after reporting year; ","")&amp;IF(OR($G1229="",$G1229="Not Reported"),"GOV_TYPE not reported; ","")&amp;IF(AND(N($J1229)=1,$K1229="Point",N($M1229)&lt;=0),"Coastal point without REP_M_AREA – land/sea split unknown; ","")&amp;IF(AND(N($J1229)=0,N($S1229)&gt;0),"MARINE=0 but net marine &gt;0; ","")&amp;IF(AND(N($J1229)=2,N($R1229)&gt;0),"MARINE=2 but net terrestrial &gt;0; ","")&amp;IF($K1229="Point","Buffered point – coverage approximate; ","")))</f>
        <v/>
      </c>
    </row>
    <row r="1230">
      <c r="A1230" s="19" t="n"/>
      <c r="B1230" s="19" t="n"/>
      <c r="C1230" s="19" t="n"/>
      <c r="D1230" s="19" t="n"/>
      <c r="E1230" s="19" t="n"/>
      <c r="F1230" s="19" t="n"/>
      <c r="G1230" s="19" t="n"/>
      <c r="H1230" s="19" t="n"/>
      <c r="I1230" s="19" t="n"/>
      <c r="J1230" s="19" t="n"/>
      <c r="K1230" s="19" t="n"/>
      <c r="L1230" s="20" t="n"/>
      <c r="M1230" s="20" t="n"/>
      <c r="N1230" s="20" t="n"/>
      <c r="O1230" s="20" t="n"/>
      <c r="P1230" s="19" t="n"/>
      <c r="Q1230" s="19" t="n"/>
      <c r="R1230" s="20" t="n"/>
      <c r="S1230" s="20" t="n"/>
      <c r="T1230" s="19" t="n"/>
      <c r="U1230" s="19" t="n"/>
      <c r="V1230" s="19" t="n"/>
      <c r="W1230" s="19" t="n"/>
      <c r="X1230" s="19" t="n"/>
      <c r="Y1230" s="19" t="n"/>
      <c r="Z1230" s="21">
        <f>IF(AND($A1230="",$B1230=""),"",IF(OR($E1230="",$H1230="",$H1230="Proposed",$H1230="Not Reported"),0,IF(AND($P1230="Y",$Q1230&lt;&gt;"Y"),0,IF(AND($K1230="Point",N($L1230)&lt;=0),0,IF(AND(N($L1230)&lt;=0,N($N1230)&lt;=0,N($R1230)+N($S1230)&lt;=0),0,1)))))</f>
        <v/>
      </c>
      <c r="AA1230" s="21">
        <f>IF(AND($A1230="",$B1230=""),"",IF($E1230="","Site type missing",IF($H1230="","STATUS missing",IF($H1230="Proposed","STATUS = Proposed",IF($H1230="Not Reported","STATUS = Not Reported",IF(AND($P1230="Y",$Q1230&lt;&gt;"Y"),"UNESCO-MAB Biosphere Reserve",IF(AND($K1230="Point",N($L1230)&lt;=0),"Point without REP_AREA",IF(AND(N($L1230)&lt;=0,N($N1230)&lt;=0,N($R1230)+N($S1230)&lt;=0),"No area information",""))))))))</f>
        <v/>
      </c>
      <c r="AB1230" s="22">
        <f>IF(AND($A1230="",$B1230=""),"",IF($K1230="Point",N($L1230),IF(N($N1230)&gt;0,N($N1230),N($L1230))))</f>
        <v/>
      </c>
      <c r="AC1230" s="22">
        <f>IF(AND($A1230="",$B1230=""),"",MIN(AB1230,IF(N($J1230)=0,0,IF(N($J1230)=2,AB1230,IF(AND($K1230&lt;&gt;"Point",N($O1230)&gt;0),N($O1230),N($M1230))))))</f>
        <v/>
      </c>
      <c r="AD1230" s="22">
        <f>IF(AND($A1230="",$B1230=""),"",MAX(0,AB1230-AC1230))</f>
        <v/>
      </c>
      <c r="AE1230" s="21">
        <f>IF(AND($A1230="",$B1230=""),"",IF(OR($R1230&lt;&gt;"",$S1230&lt;&gt;""),1,0))</f>
        <v/>
      </c>
      <c r="AF1230" s="22">
        <f>IF(AND($A1230="",$B1230=""),"",IF(Z1230=1,IF(AE1230=1,N($R1230),AD1230),0))</f>
        <v/>
      </c>
      <c r="AG1230" s="22">
        <f>IF(AND($A1230="",$B1230=""),"",IF(Z1230=1,IF(AE1230=1,N($S1230),AC1230),0))</f>
        <v/>
      </c>
      <c r="AH1230" s="21">
        <f>IF(AND($A1230="",$B1230=""),"",IF(AND(ISNUMBER($I1230),N($I1230)&gt;0),$I1230,0))</f>
        <v/>
      </c>
      <c r="AI1230" s="23">
        <f>IF(AND(NOT(AND($A1230="",$B1230="")),$K1230="Point",N($L1230)&gt;0),SQRT(N($L1230)/PI()),"")</f>
        <v/>
      </c>
      <c r="AJ1230" s="21">
        <f>IF(AND($A1230="",$B1230=""),"",IFERROR(VLOOKUP($G1230,Lists!$D$4:$E$15,2,FALSE),"Not reported"))</f>
        <v/>
      </c>
      <c r="AK1230" s="21">
        <f>IF(AND($A1230="",$B1230=""),"",IF($X1230&lt;&gt;"",$X1230,IF($T1230&lt;&gt;"Y","Not assessed",IF(AND(ISNUMBER($V1230),Setup!$B$6-$V1230&gt;Setup!$B$26),"Assessment outdated",IF(NOT(ISNUMBER($W1230)),"Assessed – no score",IF($W1230&gt;=Setup!$B$24,"High",IF($W1230&gt;=Setup!$B$25,"Moderate","Low")))))))</f>
        <v/>
      </c>
      <c r="AL1230" s="21">
        <f>IF(AND($A1230="",$B1230=""),"",IF(Z1230=0,"",IF(AND(AE1230=1,N($R1230)&gt;AD1230*1.01+0.001),"Net terrestrial &gt; gross; ","")&amp;IF(AND(AE1230=1,N($S1230)&gt;AC1230*1.01+0.001),"Net marine &gt; gross; ","")&amp;IF(AE1230=0,"No net area – gross used, overlaps may be double-counted; ","")&amp;IF(AH1230=0,"STATUS_YR missing – imputed in time series; ","")&amp;IF(AND(ISNUMBER($I1230),N($I1230)&gt;Setup!$B$6),"STATUS_YR after reporting year; ","")&amp;IF(OR($G1230="",$G1230="Not Reported"),"GOV_TYPE not reported; ","")&amp;IF(AND(N($J1230)=1,$K1230="Point",N($M1230)&lt;=0),"Coastal point without REP_M_AREA – land/sea split unknown; ","")&amp;IF(AND(N($J1230)=0,N($S1230)&gt;0),"MARINE=0 but net marine &gt;0; ","")&amp;IF(AND(N($J1230)=2,N($R1230)&gt;0),"MARINE=2 but net terrestrial &gt;0; ","")&amp;IF($K1230="Point","Buffered point – coverage approximate; ","")))</f>
        <v/>
      </c>
    </row>
    <row r="1231">
      <c r="A1231" s="19" t="n"/>
      <c r="B1231" s="19" t="n"/>
      <c r="C1231" s="19" t="n"/>
      <c r="D1231" s="19" t="n"/>
      <c r="E1231" s="19" t="n"/>
      <c r="F1231" s="19" t="n"/>
      <c r="G1231" s="19" t="n"/>
      <c r="H1231" s="19" t="n"/>
      <c r="I1231" s="19" t="n"/>
      <c r="J1231" s="19" t="n"/>
      <c r="K1231" s="19" t="n"/>
      <c r="L1231" s="20" t="n"/>
      <c r="M1231" s="20" t="n"/>
      <c r="N1231" s="20" t="n"/>
      <c r="O1231" s="20" t="n"/>
      <c r="P1231" s="19" t="n"/>
      <c r="Q1231" s="19" t="n"/>
      <c r="R1231" s="20" t="n"/>
      <c r="S1231" s="20" t="n"/>
      <c r="T1231" s="19" t="n"/>
      <c r="U1231" s="19" t="n"/>
      <c r="V1231" s="19" t="n"/>
      <c r="W1231" s="19" t="n"/>
      <c r="X1231" s="19" t="n"/>
      <c r="Y1231" s="19" t="n"/>
      <c r="Z1231" s="21">
        <f>IF(AND($A1231="",$B1231=""),"",IF(OR($E1231="",$H1231="",$H1231="Proposed",$H1231="Not Reported"),0,IF(AND($P1231="Y",$Q1231&lt;&gt;"Y"),0,IF(AND($K1231="Point",N($L1231)&lt;=0),0,IF(AND(N($L1231)&lt;=0,N($N1231)&lt;=0,N($R1231)+N($S1231)&lt;=0),0,1)))))</f>
        <v/>
      </c>
      <c r="AA1231" s="21">
        <f>IF(AND($A1231="",$B1231=""),"",IF($E1231="","Site type missing",IF($H1231="","STATUS missing",IF($H1231="Proposed","STATUS = Proposed",IF($H1231="Not Reported","STATUS = Not Reported",IF(AND($P1231="Y",$Q1231&lt;&gt;"Y"),"UNESCO-MAB Biosphere Reserve",IF(AND($K1231="Point",N($L1231)&lt;=0),"Point without REP_AREA",IF(AND(N($L1231)&lt;=0,N($N1231)&lt;=0,N($R1231)+N($S1231)&lt;=0),"No area information",""))))))))</f>
        <v/>
      </c>
      <c r="AB1231" s="22">
        <f>IF(AND($A1231="",$B1231=""),"",IF($K1231="Point",N($L1231),IF(N($N1231)&gt;0,N($N1231),N($L1231))))</f>
        <v/>
      </c>
      <c r="AC1231" s="22">
        <f>IF(AND($A1231="",$B1231=""),"",MIN(AB1231,IF(N($J1231)=0,0,IF(N($J1231)=2,AB1231,IF(AND($K1231&lt;&gt;"Point",N($O1231)&gt;0),N($O1231),N($M1231))))))</f>
        <v/>
      </c>
      <c r="AD1231" s="22">
        <f>IF(AND($A1231="",$B1231=""),"",MAX(0,AB1231-AC1231))</f>
        <v/>
      </c>
      <c r="AE1231" s="21">
        <f>IF(AND($A1231="",$B1231=""),"",IF(OR($R1231&lt;&gt;"",$S1231&lt;&gt;""),1,0))</f>
        <v/>
      </c>
      <c r="AF1231" s="22">
        <f>IF(AND($A1231="",$B1231=""),"",IF(Z1231=1,IF(AE1231=1,N($R1231),AD1231),0))</f>
        <v/>
      </c>
      <c r="AG1231" s="22">
        <f>IF(AND($A1231="",$B1231=""),"",IF(Z1231=1,IF(AE1231=1,N($S1231),AC1231),0))</f>
        <v/>
      </c>
      <c r="AH1231" s="21">
        <f>IF(AND($A1231="",$B1231=""),"",IF(AND(ISNUMBER($I1231),N($I1231)&gt;0),$I1231,0))</f>
        <v/>
      </c>
      <c r="AI1231" s="23">
        <f>IF(AND(NOT(AND($A1231="",$B1231="")),$K1231="Point",N($L1231)&gt;0),SQRT(N($L1231)/PI()),"")</f>
        <v/>
      </c>
      <c r="AJ1231" s="21">
        <f>IF(AND($A1231="",$B1231=""),"",IFERROR(VLOOKUP($G1231,Lists!$D$4:$E$15,2,FALSE),"Not reported"))</f>
        <v/>
      </c>
      <c r="AK1231" s="21">
        <f>IF(AND($A1231="",$B1231=""),"",IF($X1231&lt;&gt;"",$X1231,IF($T1231&lt;&gt;"Y","Not assessed",IF(AND(ISNUMBER($V1231),Setup!$B$6-$V1231&gt;Setup!$B$26),"Assessment outdated",IF(NOT(ISNUMBER($W1231)),"Assessed – no score",IF($W1231&gt;=Setup!$B$24,"High",IF($W1231&gt;=Setup!$B$25,"Moderate","Low")))))))</f>
        <v/>
      </c>
      <c r="AL1231" s="21">
        <f>IF(AND($A1231="",$B1231=""),"",IF(Z1231=0,"",IF(AND(AE1231=1,N($R1231)&gt;AD1231*1.01+0.001),"Net terrestrial &gt; gross; ","")&amp;IF(AND(AE1231=1,N($S1231)&gt;AC1231*1.01+0.001),"Net marine &gt; gross; ","")&amp;IF(AE1231=0,"No net area – gross used, overlaps may be double-counted; ","")&amp;IF(AH1231=0,"STATUS_YR missing – imputed in time series; ","")&amp;IF(AND(ISNUMBER($I1231),N($I1231)&gt;Setup!$B$6),"STATUS_YR after reporting year; ","")&amp;IF(OR($G1231="",$G1231="Not Reported"),"GOV_TYPE not reported; ","")&amp;IF(AND(N($J1231)=1,$K1231="Point",N($M1231)&lt;=0),"Coastal point without REP_M_AREA – land/sea split unknown; ","")&amp;IF(AND(N($J1231)=0,N($S1231)&gt;0),"MARINE=0 but net marine &gt;0; ","")&amp;IF(AND(N($J1231)=2,N($R1231)&gt;0),"MARINE=2 but net terrestrial &gt;0; ","")&amp;IF($K1231="Point","Buffered point – coverage approximate; ","")))</f>
        <v/>
      </c>
    </row>
    <row r="1232">
      <c r="A1232" s="19" t="n"/>
      <c r="B1232" s="19" t="n"/>
      <c r="C1232" s="19" t="n"/>
      <c r="D1232" s="19" t="n"/>
      <c r="E1232" s="19" t="n"/>
      <c r="F1232" s="19" t="n"/>
      <c r="G1232" s="19" t="n"/>
      <c r="H1232" s="19" t="n"/>
      <c r="I1232" s="19" t="n"/>
      <c r="J1232" s="19" t="n"/>
      <c r="K1232" s="19" t="n"/>
      <c r="L1232" s="20" t="n"/>
      <c r="M1232" s="20" t="n"/>
      <c r="N1232" s="20" t="n"/>
      <c r="O1232" s="20" t="n"/>
      <c r="P1232" s="19" t="n"/>
      <c r="Q1232" s="19" t="n"/>
      <c r="R1232" s="20" t="n"/>
      <c r="S1232" s="20" t="n"/>
      <c r="T1232" s="19" t="n"/>
      <c r="U1232" s="19" t="n"/>
      <c r="V1232" s="19" t="n"/>
      <c r="W1232" s="19" t="n"/>
      <c r="X1232" s="19" t="n"/>
      <c r="Y1232" s="19" t="n"/>
      <c r="Z1232" s="21">
        <f>IF(AND($A1232="",$B1232=""),"",IF(OR($E1232="",$H1232="",$H1232="Proposed",$H1232="Not Reported"),0,IF(AND($P1232="Y",$Q1232&lt;&gt;"Y"),0,IF(AND($K1232="Point",N($L1232)&lt;=0),0,IF(AND(N($L1232)&lt;=0,N($N1232)&lt;=0,N($R1232)+N($S1232)&lt;=0),0,1)))))</f>
        <v/>
      </c>
      <c r="AA1232" s="21">
        <f>IF(AND($A1232="",$B1232=""),"",IF($E1232="","Site type missing",IF($H1232="","STATUS missing",IF($H1232="Proposed","STATUS = Proposed",IF($H1232="Not Reported","STATUS = Not Reported",IF(AND($P1232="Y",$Q1232&lt;&gt;"Y"),"UNESCO-MAB Biosphere Reserve",IF(AND($K1232="Point",N($L1232)&lt;=0),"Point without REP_AREA",IF(AND(N($L1232)&lt;=0,N($N1232)&lt;=0,N($R1232)+N($S1232)&lt;=0),"No area information",""))))))))</f>
        <v/>
      </c>
      <c r="AB1232" s="22">
        <f>IF(AND($A1232="",$B1232=""),"",IF($K1232="Point",N($L1232),IF(N($N1232)&gt;0,N($N1232),N($L1232))))</f>
        <v/>
      </c>
      <c r="AC1232" s="22">
        <f>IF(AND($A1232="",$B1232=""),"",MIN(AB1232,IF(N($J1232)=0,0,IF(N($J1232)=2,AB1232,IF(AND($K1232&lt;&gt;"Point",N($O1232)&gt;0),N($O1232),N($M1232))))))</f>
        <v/>
      </c>
      <c r="AD1232" s="22">
        <f>IF(AND($A1232="",$B1232=""),"",MAX(0,AB1232-AC1232))</f>
        <v/>
      </c>
      <c r="AE1232" s="21">
        <f>IF(AND($A1232="",$B1232=""),"",IF(OR($R1232&lt;&gt;"",$S1232&lt;&gt;""),1,0))</f>
        <v/>
      </c>
      <c r="AF1232" s="22">
        <f>IF(AND($A1232="",$B1232=""),"",IF(Z1232=1,IF(AE1232=1,N($R1232),AD1232),0))</f>
        <v/>
      </c>
      <c r="AG1232" s="22">
        <f>IF(AND($A1232="",$B1232=""),"",IF(Z1232=1,IF(AE1232=1,N($S1232),AC1232),0))</f>
        <v/>
      </c>
      <c r="AH1232" s="21">
        <f>IF(AND($A1232="",$B1232=""),"",IF(AND(ISNUMBER($I1232),N($I1232)&gt;0),$I1232,0))</f>
        <v/>
      </c>
      <c r="AI1232" s="23">
        <f>IF(AND(NOT(AND($A1232="",$B1232="")),$K1232="Point",N($L1232)&gt;0),SQRT(N($L1232)/PI()),"")</f>
        <v/>
      </c>
      <c r="AJ1232" s="21">
        <f>IF(AND($A1232="",$B1232=""),"",IFERROR(VLOOKUP($G1232,Lists!$D$4:$E$15,2,FALSE),"Not reported"))</f>
        <v/>
      </c>
      <c r="AK1232" s="21">
        <f>IF(AND($A1232="",$B1232=""),"",IF($X1232&lt;&gt;"",$X1232,IF($T1232&lt;&gt;"Y","Not assessed",IF(AND(ISNUMBER($V1232),Setup!$B$6-$V1232&gt;Setup!$B$26),"Assessment outdated",IF(NOT(ISNUMBER($W1232)),"Assessed – no score",IF($W1232&gt;=Setup!$B$24,"High",IF($W1232&gt;=Setup!$B$25,"Moderate","Low")))))))</f>
        <v/>
      </c>
      <c r="AL1232" s="21">
        <f>IF(AND($A1232="",$B1232=""),"",IF(Z1232=0,"",IF(AND(AE1232=1,N($R1232)&gt;AD1232*1.01+0.001),"Net terrestrial &gt; gross; ","")&amp;IF(AND(AE1232=1,N($S1232)&gt;AC1232*1.01+0.001),"Net marine &gt; gross; ","")&amp;IF(AE1232=0,"No net area – gross used, overlaps may be double-counted; ","")&amp;IF(AH1232=0,"STATUS_YR missing – imputed in time series; ","")&amp;IF(AND(ISNUMBER($I1232),N($I1232)&gt;Setup!$B$6),"STATUS_YR after reporting year; ","")&amp;IF(OR($G1232="",$G1232="Not Reported"),"GOV_TYPE not reported; ","")&amp;IF(AND(N($J1232)=1,$K1232="Point",N($M1232)&lt;=0),"Coastal point without REP_M_AREA – land/sea split unknown; ","")&amp;IF(AND(N($J1232)=0,N($S1232)&gt;0),"MARINE=0 but net marine &gt;0; ","")&amp;IF(AND(N($J1232)=2,N($R1232)&gt;0),"MARINE=2 but net terrestrial &gt;0; ","")&amp;IF($K1232="Point","Buffered point – coverage approximate; ","")))</f>
        <v/>
      </c>
    </row>
    <row r="1233">
      <c r="A1233" s="19" t="n"/>
      <c r="B1233" s="19" t="n"/>
      <c r="C1233" s="19" t="n"/>
      <c r="D1233" s="19" t="n"/>
      <c r="E1233" s="19" t="n"/>
      <c r="F1233" s="19" t="n"/>
      <c r="G1233" s="19" t="n"/>
      <c r="H1233" s="19" t="n"/>
      <c r="I1233" s="19" t="n"/>
      <c r="J1233" s="19" t="n"/>
      <c r="K1233" s="19" t="n"/>
      <c r="L1233" s="20" t="n"/>
      <c r="M1233" s="20" t="n"/>
      <c r="N1233" s="20" t="n"/>
      <c r="O1233" s="20" t="n"/>
      <c r="P1233" s="19" t="n"/>
      <c r="Q1233" s="19" t="n"/>
      <c r="R1233" s="20" t="n"/>
      <c r="S1233" s="20" t="n"/>
      <c r="T1233" s="19" t="n"/>
      <c r="U1233" s="19" t="n"/>
      <c r="V1233" s="19" t="n"/>
      <c r="W1233" s="19" t="n"/>
      <c r="X1233" s="19" t="n"/>
      <c r="Y1233" s="19" t="n"/>
      <c r="Z1233" s="21">
        <f>IF(AND($A1233="",$B1233=""),"",IF(OR($E1233="",$H1233="",$H1233="Proposed",$H1233="Not Reported"),0,IF(AND($P1233="Y",$Q1233&lt;&gt;"Y"),0,IF(AND($K1233="Point",N($L1233)&lt;=0),0,IF(AND(N($L1233)&lt;=0,N($N1233)&lt;=0,N($R1233)+N($S1233)&lt;=0),0,1)))))</f>
        <v/>
      </c>
      <c r="AA1233" s="21">
        <f>IF(AND($A1233="",$B1233=""),"",IF($E1233="","Site type missing",IF($H1233="","STATUS missing",IF($H1233="Proposed","STATUS = Proposed",IF($H1233="Not Reported","STATUS = Not Reported",IF(AND($P1233="Y",$Q1233&lt;&gt;"Y"),"UNESCO-MAB Biosphere Reserve",IF(AND($K1233="Point",N($L1233)&lt;=0),"Point without REP_AREA",IF(AND(N($L1233)&lt;=0,N($N1233)&lt;=0,N($R1233)+N($S1233)&lt;=0),"No area information",""))))))))</f>
        <v/>
      </c>
      <c r="AB1233" s="22">
        <f>IF(AND($A1233="",$B1233=""),"",IF($K1233="Point",N($L1233),IF(N($N1233)&gt;0,N($N1233),N($L1233))))</f>
        <v/>
      </c>
      <c r="AC1233" s="22">
        <f>IF(AND($A1233="",$B1233=""),"",MIN(AB1233,IF(N($J1233)=0,0,IF(N($J1233)=2,AB1233,IF(AND($K1233&lt;&gt;"Point",N($O1233)&gt;0),N($O1233),N($M1233))))))</f>
        <v/>
      </c>
      <c r="AD1233" s="22">
        <f>IF(AND($A1233="",$B1233=""),"",MAX(0,AB1233-AC1233))</f>
        <v/>
      </c>
      <c r="AE1233" s="21">
        <f>IF(AND($A1233="",$B1233=""),"",IF(OR($R1233&lt;&gt;"",$S1233&lt;&gt;""),1,0))</f>
        <v/>
      </c>
      <c r="AF1233" s="22">
        <f>IF(AND($A1233="",$B1233=""),"",IF(Z1233=1,IF(AE1233=1,N($R1233),AD1233),0))</f>
        <v/>
      </c>
      <c r="AG1233" s="22">
        <f>IF(AND($A1233="",$B1233=""),"",IF(Z1233=1,IF(AE1233=1,N($S1233),AC1233),0))</f>
        <v/>
      </c>
      <c r="AH1233" s="21">
        <f>IF(AND($A1233="",$B1233=""),"",IF(AND(ISNUMBER($I1233),N($I1233)&gt;0),$I1233,0))</f>
        <v/>
      </c>
      <c r="AI1233" s="23">
        <f>IF(AND(NOT(AND($A1233="",$B1233="")),$K1233="Point",N($L1233)&gt;0),SQRT(N($L1233)/PI()),"")</f>
        <v/>
      </c>
      <c r="AJ1233" s="21">
        <f>IF(AND($A1233="",$B1233=""),"",IFERROR(VLOOKUP($G1233,Lists!$D$4:$E$15,2,FALSE),"Not reported"))</f>
        <v/>
      </c>
      <c r="AK1233" s="21">
        <f>IF(AND($A1233="",$B1233=""),"",IF($X1233&lt;&gt;"",$X1233,IF($T1233&lt;&gt;"Y","Not assessed",IF(AND(ISNUMBER($V1233),Setup!$B$6-$V1233&gt;Setup!$B$26),"Assessment outdated",IF(NOT(ISNUMBER($W1233)),"Assessed – no score",IF($W1233&gt;=Setup!$B$24,"High",IF($W1233&gt;=Setup!$B$25,"Moderate","Low")))))))</f>
        <v/>
      </c>
      <c r="AL1233" s="21">
        <f>IF(AND($A1233="",$B1233=""),"",IF(Z1233=0,"",IF(AND(AE1233=1,N($R1233)&gt;AD1233*1.01+0.001),"Net terrestrial &gt; gross; ","")&amp;IF(AND(AE1233=1,N($S1233)&gt;AC1233*1.01+0.001),"Net marine &gt; gross; ","")&amp;IF(AE1233=0,"No net area – gross used, overlaps may be double-counted; ","")&amp;IF(AH1233=0,"STATUS_YR missing – imputed in time series; ","")&amp;IF(AND(ISNUMBER($I1233),N($I1233)&gt;Setup!$B$6),"STATUS_YR after reporting year; ","")&amp;IF(OR($G1233="",$G1233="Not Reported"),"GOV_TYPE not reported; ","")&amp;IF(AND(N($J1233)=1,$K1233="Point",N($M1233)&lt;=0),"Coastal point without REP_M_AREA – land/sea split unknown; ","")&amp;IF(AND(N($J1233)=0,N($S1233)&gt;0),"MARINE=0 but net marine &gt;0; ","")&amp;IF(AND(N($J1233)=2,N($R1233)&gt;0),"MARINE=2 but net terrestrial &gt;0; ","")&amp;IF($K1233="Point","Buffered point – coverage approximate; ","")))</f>
        <v/>
      </c>
    </row>
    <row r="1234">
      <c r="A1234" s="19" t="n"/>
      <c r="B1234" s="19" t="n"/>
      <c r="C1234" s="19" t="n"/>
      <c r="D1234" s="19" t="n"/>
      <c r="E1234" s="19" t="n"/>
      <c r="F1234" s="19" t="n"/>
      <c r="G1234" s="19" t="n"/>
      <c r="H1234" s="19" t="n"/>
      <c r="I1234" s="19" t="n"/>
      <c r="J1234" s="19" t="n"/>
      <c r="K1234" s="19" t="n"/>
      <c r="L1234" s="20" t="n"/>
      <c r="M1234" s="20" t="n"/>
      <c r="N1234" s="20" t="n"/>
      <c r="O1234" s="20" t="n"/>
      <c r="P1234" s="19" t="n"/>
      <c r="Q1234" s="19" t="n"/>
      <c r="R1234" s="20" t="n"/>
      <c r="S1234" s="20" t="n"/>
      <c r="T1234" s="19" t="n"/>
      <c r="U1234" s="19" t="n"/>
      <c r="V1234" s="19" t="n"/>
      <c r="W1234" s="19" t="n"/>
      <c r="X1234" s="19" t="n"/>
      <c r="Y1234" s="19" t="n"/>
      <c r="Z1234" s="21">
        <f>IF(AND($A1234="",$B1234=""),"",IF(OR($E1234="",$H1234="",$H1234="Proposed",$H1234="Not Reported"),0,IF(AND($P1234="Y",$Q1234&lt;&gt;"Y"),0,IF(AND($K1234="Point",N($L1234)&lt;=0),0,IF(AND(N($L1234)&lt;=0,N($N1234)&lt;=0,N($R1234)+N($S1234)&lt;=0),0,1)))))</f>
        <v/>
      </c>
      <c r="AA1234" s="21">
        <f>IF(AND($A1234="",$B1234=""),"",IF($E1234="","Site type missing",IF($H1234="","STATUS missing",IF($H1234="Proposed","STATUS = Proposed",IF($H1234="Not Reported","STATUS = Not Reported",IF(AND($P1234="Y",$Q1234&lt;&gt;"Y"),"UNESCO-MAB Biosphere Reserve",IF(AND($K1234="Point",N($L1234)&lt;=0),"Point without REP_AREA",IF(AND(N($L1234)&lt;=0,N($N1234)&lt;=0,N($R1234)+N($S1234)&lt;=0),"No area information",""))))))))</f>
        <v/>
      </c>
      <c r="AB1234" s="22">
        <f>IF(AND($A1234="",$B1234=""),"",IF($K1234="Point",N($L1234),IF(N($N1234)&gt;0,N($N1234),N($L1234))))</f>
        <v/>
      </c>
      <c r="AC1234" s="22">
        <f>IF(AND($A1234="",$B1234=""),"",MIN(AB1234,IF(N($J1234)=0,0,IF(N($J1234)=2,AB1234,IF(AND($K1234&lt;&gt;"Point",N($O1234)&gt;0),N($O1234),N($M1234))))))</f>
        <v/>
      </c>
      <c r="AD1234" s="22">
        <f>IF(AND($A1234="",$B1234=""),"",MAX(0,AB1234-AC1234))</f>
        <v/>
      </c>
      <c r="AE1234" s="21">
        <f>IF(AND($A1234="",$B1234=""),"",IF(OR($R1234&lt;&gt;"",$S1234&lt;&gt;""),1,0))</f>
        <v/>
      </c>
      <c r="AF1234" s="22">
        <f>IF(AND($A1234="",$B1234=""),"",IF(Z1234=1,IF(AE1234=1,N($R1234),AD1234),0))</f>
        <v/>
      </c>
      <c r="AG1234" s="22">
        <f>IF(AND($A1234="",$B1234=""),"",IF(Z1234=1,IF(AE1234=1,N($S1234),AC1234),0))</f>
        <v/>
      </c>
      <c r="AH1234" s="21">
        <f>IF(AND($A1234="",$B1234=""),"",IF(AND(ISNUMBER($I1234),N($I1234)&gt;0),$I1234,0))</f>
        <v/>
      </c>
      <c r="AI1234" s="23">
        <f>IF(AND(NOT(AND($A1234="",$B1234="")),$K1234="Point",N($L1234)&gt;0),SQRT(N($L1234)/PI()),"")</f>
        <v/>
      </c>
      <c r="AJ1234" s="21">
        <f>IF(AND($A1234="",$B1234=""),"",IFERROR(VLOOKUP($G1234,Lists!$D$4:$E$15,2,FALSE),"Not reported"))</f>
        <v/>
      </c>
      <c r="AK1234" s="21">
        <f>IF(AND($A1234="",$B1234=""),"",IF($X1234&lt;&gt;"",$X1234,IF($T1234&lt;&gt;"Y","Not assessed",IF(AND(ISNUMBER($V1234),Setup!$B$6-$V1234&gt;Setup!$B$26),"Assessment outdated",IF(NOT(ISNUMBER($W1234)),"Assessed – no score",IF($W1234&gt;=Setup!$B$24,"High",IF($W1234&gt;=Setup!$B$25,"Moderate","Low")))))))</f>
        <v/>
      </c>
      <c r="AL1234" s="21">
        <f>IF(AND($A1234="",$B1234=""),"",IF(Z1234=0,"",IF(AND(AE1234=1,N($R1234)&gt;AD1234*1.01+0.001),"Net terrestrial &gt; gross; ","")&amp;IF(AND(AE1234=1,N($S1234)&gt;AC1234*1.01+0.001),"Net marine &gt; gross; ","")&amp;IF(AE1234=0,"No net area – gross used, overlaps may be double-counted; ","")&amp;IF(AH1234=0,"STATUS_YR missing – imputed in time series; ","")&amp;IF(AND(ISNUMBER($I1234),N($I1234)&gt;Setup!$B$6),"STATUS_YR after reporting year; ","")&amp;IF(OR($G1234="",$G1234="Not Reported"),"GOV_TYPE not reported; ","")&amp;IF(AND(N($J1234)=1,$K1234="Point",N($M1234)&lt;=0),"Coastal point without REP_M_AREA – land/sea split unknown; ","")&amp;IF(AND(N($J1234)=0,N($S1234)&gt;0),"MARINE=0 but net marine &gt;0; ","")&amp;IF(AND(N($J1234)=2,N($R1234)&gt;0),"MARINE=2 but net terrestrial &gt;0; ","")&amp;IF($K1234="Point","Buffered point – coverage approximate; ","")))</f>
        <v/>
      </c>
    </row>
    <row r="1235">
      <c r="A1235" s="19" t="n"/>
      <c r="B1235" s="19" t="n"/>
      <c r="C1235" s="19" t="n"/>
      <c r="D1235" s="19" t="n"/>
      <c r="E1235" s="19" t="n"/>
      <c r="F1235" s="19" t="n"/>
      <c r="G1235" s="19" t="n"/>
      <c r="H1235" s="19" t="n"/>
      <c r="I1235" s="19" t="n"/>
      <c r="J1235" s="19" t="n"/>
      <c r="K1235" s="19" t="n"/>
      <c r="L1235" s="20" t="n"/>
      <c r="M1235" s="20" t="n"/>
      <c r="N1235" s="20" t="n"/>
      <c r="O1235" s="20" t="n"/>
      <c r="P1235" s="19" t="n"/>
      <c r="Q1235" s="19" t="n"/>
      <c r="R1235" s="20" t="n"/>
      <c r="S1235" s="20" t="n"/>
      <c r="T1235" s="19" t="n"/>
      <c r="U1235" s="19" t="n"/>
      <c r="V1235" s="19" t="n"/>
      <c r="W1235" s="19" t="n"/>
      <c r="X1235" s="19" t="n"/>
      <c r="Y1235" s="19" t="n"/>
      <c r="Z1235" s="21">
        <f>IF(AND($A1235="",$B1235=""),"",IF(OR($E1235="",$H1235="",$H1235="Proposed",$H1235="Not Reported"),0,IF(AND($P1235="Y",$Q1235&lt;&gt;"Y"),0,IF(AND($K1235="Point",N($L1235)&lt;=0),0,IF(AND(N($L1235)&lt;=0,N($N1235)&lt;=0,N($R1235)+N($S1235)&lt;=0),0,1)))))</f>
        <v/>
      </c>
      <c r="AA1235" s="21">
        <f>IF(AND($A1235="",$B1235=""),"",IF($E1235="","Site type missing",IF($H1235="","STATUS missing",IF($H1235="Proposed","STATUS = Proposed",IF($H1235="Not Reported","STATUS = Not Reported",IF(AND($P1235="Y",$Q1235&lt;&gt;"Y"),"UNESCO-MAB Biosphere Reserve",IF(AND($K1235="Point",N($L1235)&lt;=0),"Point without REP_AREA",IF(AND(N($L1235)&lt;=0,N($N1235)&lt;=0,N($R1235)+N($S1235)&lt;=0),"No area information",""))))))))</f>
        <v/>
      </c>
      <c r="AB1235" s="22">
        <f>IF(AND($A1235="",$B1235=""),"",IF($K1235="Point",N($L1235),IF(N($N1235)&gt;0,N($N1235),N($L1235))))</f>
        <v/>
      </c>
      <c r="AC1235" s="22">
        <f>IF(AND($A1235="",$B1235=""),"",MIN(AB1235,IF(N($J1235)=0,0,IF(N($J1235)=2,AB1235,IF(AND($K1235&lt;&gt;"Point",N($O1235)&gt;0),N($O1235),N($M1235))))))</f>
        <v/>
      </c>
      <c r="AD1235" s="22">
        <f>IF(AND($A1235="",$B1235=""),"",MAX(0,AB1235-AC1235))</f>
        <v/>
      </c>
      <c r="AE1235" s="21">
        <f>IF(AND($A1235="",$B1235=""),"",IF(OR($R1235&lt;&gt;"",$S1235&lt;&gt;""),1,0))</f>
        <v/>
      </c>
      <c r="AF1235" s="22">
        <f>IF(AND($A1235="",$B1235=""),"",IF(Z1235=1,IF(AE1235=1,N($R1235),AD1235),0))</f>
        <v/>
      </c>
      <c r="AG1235" s="22">
        <f>IF(AND($A1235="",$B1235=""),"",IF(Z1235=1,IF(AE1235=1,N($S1235),AC1235),0))</f>
        <v/>
      </c>
      <c r="AH1235" s="21">
        <f>IF(AND($A1235="",$B1235=""),"",IF(AND(ISNUMBER($I1235),N($I1235)&gt;0),$I1235,0))</f>
        <v/>
      </c>
      <c r="AI1235" s="23">
        <f>IF(AND(NOT(AND($A1235="",$B1235="")),$K1235="Point",N($L1235)&gt;0),SQRT(N($L1235)/PI()),"")</f>
        <v/>
      </c>
      <c r="AJ1235" s="21">
        <f>IF(AND($A1235="",$B1235=""),"",IFERROR(VLOOKUP($G1235,Lists!$D$4:$E$15,2,FALSE),"Not reported"))</f>
        <v/>
      </c>
      <c r="AK1235" s="21">
        <f>IF(AND($A1235="",$B1235=""),"",IF($X1235&lt;&gt;"",$X1235,IF($T1235&lt;&gt;"Y","Not assessed",IF(AND(ISNUMBER($V1235),Setup!$B$6-$V1235&gt;Setup!$B$26),"Assessment outdated",IF(NOT(ISNUMBER($W1235)),"Assessed – no score",IF($W1235&gt;=Setup!$B$24,"High",IF($W1235&gt;=Setup!$B$25,"Moderate","Low")))))))</f>
        <v/>
      </c>
      <c r="AL1235" s="21">
        <f>IF(AND($A1235="",$B1235=""),"",IF(Z1235=0,"",IF(AND(AE1235=1,N($R1235)&gt;AD1235*1.01+0.001),"Net terrestrial &gt; gross; ","")&amp;IF(AND(AE1235=1,N($S1235)&gt;AC1235*1.01+0.001),"Net marine &gt; gross; ","")&amp;IF(AE1235=0,"No net area – gross used, overlaps may be double-counted; ","")&amp;IF(AH1235=0,"STATUS_YR missing – imputed in time series; ","")&amp;IF(AND(ISNUMBER($I1235),N($I1235)&gt;Setup!$B$6),"STATUS_YR after reporting year; ","")&amp;IF(OR($G1235="",$G1235="Not Reported"),"GOV_TYPE not reported; ","")&amp;IF(AND(N($J1235)=1,$K1235="Point",N($M1235)&lt;=0),"Coastal point without REP_M_AREA – land/sea split unknown; ","")&amp;IF(AND(N($J1235)=0,N($S1235)&gt;0),"MARINE=0 but net marine &gt;0; ","")&amp;IF(AND(N($J1235)=2,N($R1235)&gt;0),"MARINE=2 but net terrestrial &gt;0; ","")&amp;IF($K1235="Point","Buffered point – coverage approximate; ","")))</f>
        <v/>
      </c>
    </row>
    <row r="1236">
      <c r="A1236" s="19" t="n"/>
      <c r="B1236" s="19" t="n"/>
      <c r="C1236" s="19" t="n"/>
      <c r="D1236" s="19" t="n"/>
      <c r="E1236" s="19" t="n"/>
      <c r="F1236" s="19" t="n"/>
      <c r="G1236" s="19" t="n"/>
      <c r="H1236" s="19" t="n"/>
      <c r="I1236" s="19" t="n"/>
      <c r="J1236" s="19" t="n"/>
      <c r="K1236" s="19" t="n"/>
      <c r="L1236" s="20" t="n"/>
      <c r="M1236" s="20" t="n"/>
      <c r="N1236" s="20" t="n"/>
      <c r="O1236" s="20" t="n"/>
      <c r="P1236" s="19" t="n"/>
      <c r="Q1236" s="19" t="n"/>
      <c r="R1236" s="20" t="n"/>
      <c r="S1236" s="20" t="n"/>
      <c r="T1236" s="19" t="n"/>
      <c r="U1236" s="19" t="n"/>
      <c r="V1236" s="19" t="n"/>
      <c r="W1236" s="19" t="n"/>
      <c r="X1236" s="19" t="n"/>
      <c r="Y1236" s="19" t="n"/>
      <c r="Z1236" s="21">
        <f>IF(AND($A1236="",$B1236=""),"",IF(OR($E1236="",$H1236="",$H1236="Proposed",$H1236="Not Reported"),0,IF(AND($P1236="Y",$Q1236&lt;&gt;"Y"),0,IF(AND($K1236="Point",N($L1236)&lt;=0),0,IF(AND(N($L1236)&lt;=0,N($N1236)&lt;=0,N($R1236)+N($S1236)&lt;=0),0,1)))))</f>
        <v/>
      </c>
      <c r="AA1236" s="21">
        <f>IF(AND($A1236="",$B1236=""),"",IF($E1236="","Site type missing",IF($H1236="","STATUS missing",IF($H1236="Proposed","STATUS = Proposed",IF($H1236="Not Reported","STATUS = Not Reported",IF(AND($P1236="Y",$Q1236&lt;&gt;"Y"),"UNESCO-MAB Biosphere Reserve",IF(AND($K1236="Point",N($L1236)&lt;=0),"Point without REP_AREA",IF(AND(N($L1236)&lt;=0,N($N1236)&lt;=0,N($R1236)+N($S1236)&lt;=0),"No area information",""))))))))</f>
        <v/>
      </c>
      <c r="AB1236" s="22">
        <f>IF(AND($A1236="",$B1236=""),"",IF($K1236="Point",N($L1236),IF(N($N1236)&gt;0,N($N1236),N($L1236))))</f>
        <v/>
      </c>
      <c r="AC1236" s="22">
        <f>IF(AND($A1236="",$B1236=""),"",MIN(AB1236,IF(N($J1236)=0,0,IF(N($J1236)=2,AB1236,IF(AND($K1236&lt;&gt;"Point",N($O1236)&gt;0),N($O1236),N($M1236))))))</f>
        <v/>
      </c>
      <c r="AD1236" s="22">
        <f>IF(AND($A1236="",$B1236=""),"",MAX(0,AB1236-AC1236))</f>
        <v/>
      </c>
      <c r="AE1236" s="21">
        <f>IF(AND($A1236="",$B1236=""),"",IF(OR($R1236&lt;&gt;"",$S1236&lt;&gt;""),1,0))</f>
        <v/>
      </c>
      <c r="AF1236" s="22">
        <f>IF(AND($A1236="",$B1236=""),"",IF(Z1236=1,IF(AE1236=1,N($R1236),AD1236),0))</f>
        <v/>
      </c>
      <c r="AG1236" s="22">
        <f>IF(AND($A1236="",$B1236=""),"",IF(Z1236=1,IF(AE1236=1,N($S1236),AC1236),0))</f>
        <v/>
      </c>
      <c r="AH1236" s="21">
        <f>IF(AND($A1236="",$B1236=""),"",IF(AND(ISNUMBER($I1236),N($I1236)&gt;0),$I1236,0))</f>
        <v/>
      </c>
      <c r="AI1236" s="23">
        <f>IF(AND(NOT(AND($A1236="",$B1236="")),$K1236="Point",N($L1236)&gt;0),SQRT(N($L1236)/PI()),"")</f>
        <v/>
      </c>
      <c r="AJ1236" s="21">
        <f>IF(AND($A1236="",$B1236=""),"",IFERROR(VLOOKUP($G1236,Lists!$D$4:$E$15,2,FALSE),"Not reported"))</f>
        <v/>
      </c>
      <c r="AK1236" s="21">
        <f>IF(AND($A1236="",$B1236=""),"",IF($X1236&lt;&gt;"",$X1236,IF($T1236&lt;&gt;"Y","Not assessed",IF(AND(ISNUMBER($V1236),Setup!$B$6-$V1236&gt;Setup!$B$26),"Assessment outdated",IF(NOT(ISNUMBER($W1236)),"Assessed – no score",IF($W1236&gt;=Setup!$B$24,"High",IF($W1236&gt;=Setup!$B$25,"Moderate","Low")))))))</f>
        <v/>
      </c>
      <c r="AL1236" s="21">
        <f>IF(AND($A1236="",$B1236=""),"",IF(Z1236=0,"",IF(AND(AE1236=1,N($R1236)&gt;AD1236*1.01+0.001),"Net terrestrial &gt; gross; ","")&amp;IF(AND(AE1236=1,N($S1236)&gt;AC1236*1.01+0.001),"Net marine &gt; gross; ","")&amp;IF(AE1236=0,"No net area – gross used, overlaps may be double-counted; ","")&amp;IF(AH1236=0,"STATUS_YR missing – imputed in time series; ","")&amp;IF(AND(ISNUMBER($I1236),N($I1236)&gt;Setup!$B$6),"STATUS_YR after reporting year; ","")&amp;IF(OR($G1236="",$G1236="Not Reported"),"GOV_TYPE not reported; ","")&amp;IF(AND(N($J1236)=1,$K1236="Point",N($M1236)&lt;=0),"Coastal point without REP_M_AREA – land/sea split unknown; ","")&amp;IF(AND(N($J1236)=0,N($S1236)&gt;0),"MARINE=0 but net marine &gt;0; ","")&amp;IF(AND(N($J1236)=2,N($R1236)&gt;0),"MARINE=2 but net terrestrial &gt;0; ","")&amp;IF($K1236="Point","Buffered point – coverage approximate; ","")))</f>
        <v/>
      </c>
    </row>
    <row r="1237">
      <c r="A1237" s="19" t="n"/>
      <c r="B1237" s="19" t="n"/>
      <c r="C1237" s="19" t="n"/>
      <c r="D1237" s="19" t="n"/>
      <c r="E1237" s="19" t="n"/>
      <c r="F1237" s="19" t="n"/>
      <c r="G1237" s="19" t="n"/>
      <c r="H1237" s="19" t="n"/>
      <c r="I1237" s="19" t="n"/>
      <c r="J1237" s="19" t="n"/>
      <c r="K1237" s="19" t="n"/>
      <c r="L1237" s="20" t="n"/>
      <c r="M1237" s="20" t="n"/>
      <c r="N1237" s="20" t="n"/>
      <c r="O1237" s="20" t="n"/>
      <c r="P1237" s="19" t="n"/>
      <c r="Q1237" s="19" t="n"/>
      <c r="R1237" s="20" t="n"/>
      <c r="S1237" s="20" t="n"/>
      <c r="T1237" s="19" t="n"/>
      <c r="U1237" s="19" t="n"/>
      <c r="V1237" s="19" t="n"/>
      <c r="W1237" s="19" t="n"/>
      <c r="X1237" s="19" t="n"/>
      <c r="Y1237" s="19" t="n"/>
      <c r="Z1237" s="21">
        <f>IF(AND($A1237="",$B1237=""),"",IF(OR($E1237="",$H1237="",$H1237="Proposed",$H1237="Not Reported"),0,IF(AND($P1237="Y",$Q1237&lt;&gt;"Y"),0,IF(AND($K1237="Point",N($L1237)&lt;=0),0,IF(AND(N($L1237)&lt;=0,N($N1237)&lt;=0,N($R1237)+N($S1237)&lt;=0),0,1)))))</f>
        <v/>
      </c>
      <c r="AA1237" s="21">
        <f>IF(AND($A1237="",$B1237=""),"",IF($E1237="","Site type missing",IF($H1237="","STATUS missing",IF($H1237="Proposed","STATUS = Proposed",IF($H1237="Not Reported","STATUS = Not Reported",IF(AND($P1237="Y",$Q1237&lt;&gt;"Y"),"UNESCO-MAB Biosphere Reserve",IF(AND($K1237="Point",N($L1237)&lt;=0),"Point without REP_AREA",IF(AND(N($L1237)&lt;=0,N($N1237)&lt;=0,N($R1237)+N($S1237)&lt;=0),"No area information",""))))))))</f>
        <v/>
      </c>
      <c r="AB1237" s="22">
        <f>IF(AND($A1237="",$B1237=""),"",IF($K1237="Point",N($L1237),IF(N($N1237)&gt;0,N($N1237),N($L1237))))</f>
        <v/>
      </c>
      <c r="AC1237" s="22">
        <f>IF(AND($A1237="",$B1237=""),"",MIN(AB1237,IF(N($J1237)=0,0,IF(N($J1237)=2,AB1237,IF(AND($K1237&lt;&gt;"Point",N($O1237)&gt;0),N($O1237),N($M1237))))))</f>
        <v/>
      </c>
      <c r="AD1237" s="22">
        <f>IF(AND($A1237="",$B1237=""),"",MAX(0,AB1237-AC1237))</f>
        <v/>
      </c>
      <c r="AE1237" s="21">
        <f>IF(AND($A1237="",$B1237=""),"",IF(OR($R1237&lt;&gt;"",$S1237&lt;&gt;""),1,0))</f>
        <v/>
      </c>
      <c r="AF1237" s="22">
        <f>IF(AND($A1237="",$B1237=""),"",IF(Z1237=1,IF(AE1237=1,N($R1237),AD1237),0))</f>
        <v/>
      </c>
      <c r="AG1237" s="22">
        <f>IF(AND($A1237="",$B1237=""),"",IF(Z1237=1,IF(AE1237=1,N($S1237),AC1237),0))</f>
        <v/>
      </c>
      <c r="AH1237" s="21">
        <f>IF(AND($A1237="",$B1237=""),"",IF(AND(ISNUMBER($I1237),N($I1237)&gt;0),$I1237,0))</f>
        <v/>
      </c>
      <c r="AI1237" s="23">
        <f>IF(AND(NOT(AND($A1237="",$B1237="")),$K1237="Point",N($L1237)&gt;0),SQRT(N($L1237)/PI()),"")</f>
        <v/>
      </c>
      <c r="AJ1237" s="21">
        <f>IF(AND($A1237="",$B1237=""),"",IFERROR(VLOOKUP($G1237,Lists!$D$4:$E$15,2,FALSE),"Not reported"))</f>
        <v/>
      </c>
      <c r="AK1237" s="21">
        <f>IF(AND($A1237="",$B1237=""),"",IF($X1237&lt;&gt;"",$X1237,IF($T1237&lt;&gt;"Y","Not assessed",IF(AND(ISNUMBER($V1237),Setup!$B$6-$V1237&gt;Setup!$B$26),"Assessment outdated",IF(NOT(ISNUMBER($W1237)),"Assessed – no score",IF($W1237&gt;=Setup!$B$24,"High",IF($W1237&gt;=Setup!$B$25,"Moderate","Low")))))))</f>
        <v/>
      </c>
      <c r="AL1237" s="21">
        <f>IF(AND($A1237="",$B1237=""),"",IF(Z1237=0,"",IF(AND(AE1237=1,N($R1237)&gt;AD1237*1.01+0.001),"Net terrestrial &gt; gross; ","")&amp;IF(AND(AE1237=1,N($S1237)&gt;AC1237*1.01+0.001),"Net marine &gt; gross; ","")&amp;IF(AE1237=0,"No net area – gross used, overlaps may be double-counted; ","")&amp;IF(AH1237=0,"STATUS_YR missing – imputed in time series; ","")&amp;IF(AND(ISNUMBER($I1237),N($I1237)&gt;Setup!$B$6),"STATUS_YR after reporting year; ","")&amp;IF(OR($G1237="",$G1237="Not Reported"),"GOV_TYPE not reported; ","")&amp;IF(AND(N($J1237)=1,$K1237="Point",N($M1237)&lt;=0),"Coastal point without REP_M_AREA – land/sea split unknown; ","")&amp;IF(AND(N($J1237)=0,N($S1237)&gt;0),"MARINE=0 but net marine &gt;0; ","")&amp;IF(AND(N($J1237)=2,N($R1237)&gt;0),"MARINE=2 but net terrestrial &gt;0; ","")&amp;IF($K1237="Point","Buffered point – coverage approximate; ","")))</f>
        <v/>
      </c>
    </row>
    <row r="1238">
      <c r="A1238" s="19" t="n"/>
      <c r="B1238" s="19" t="n"/>
      <c r="C1238" s="19" t="n"/>
      <c r="D1238" s="19" t="n"/>
      <c r="E1238" s="19" t="n"/>
      <c r="F1238" s="19" t="n"/>
      <c r="G1238" s="19" t="n"/>
      <c r="H1238" s="19" t="n"/>
      <c r="I1238" s="19" t="n"/>
      <c r="J1238" s="19" t="n"/>
      <c r="K1238" s="19" t="n"/>
      <c r="L1238" s="20" t="n"/>
      <c r="M1238" s="20" t="n"/>
      <c r="N1238" s="20" t="n"/>
      <c r="O1238" s="20" t="n"/>
      <c r="P1238" s="19" t="n"/>
      <c r="Q1238" s="19" t="n"/>
      <c r="R1238" s="20" t="n"/>
      <c r="S1238" s="20" t="n"/>
      <c r="T1238" s="19" t="n"/>
      <c r="U1238" s="19" t="n"/>
      <c r="V1238" s="19" t="n"/>
      <c r="W1238" s="19" t="n"/>
      <c r="X1238" s="19" t="n"/>
      <c r="Y1238" s="19" t="n"/>
      <c r="Z1238" s="21">
        <f>IF(AND($A1238="",$B1238=""),"",IF(OR($E1238="",$H1238="",$H1238="Proposed",$H1238="Not Reported"),0,IF(AND($P1238="Y",$Q1238&lt;&gt;"Y"),0,IF(AND($K1238="Point",N($L1238)&lt;=0),0,IF(AND(N($L1238)&lt;=0,N($N1238)&lt;=0,N($R1238)+N($S1238)&lt;=0),0,1)))))</f>
        <v/>
      </c>
      <c r="AA1238" s="21">
        <f>IF(AND($A1238="",$B1238=""),"",IF($E1238="","Site type missing",IF($H1238="","STATUS missing",IF($H1238="Proposed","STATUS = Proposed",IF($H1238="Not Reported","STATUS = Not Reported",IF(AND($P1238="Y",$Q1238&lt;&gt;"Y"),"UNESCO-MAB Biosphere Reserve",IF(AND($K1238="Point",N($L1238)&lt;=0),"Point without REP_AREA",IF(AND(N($L1238)&lt;=0,N($N1238)&lt;=0,N($R1238)+N($S1238)&lt;=0),"No area information",""))))))))</f>
        <v/>
      </c>
      <c r="AB1238" s="22">
        <f>IF(AND($A1238="",$B1238=""),"",IF($K1238="Point",N($L1238),IF(N($N1238)&gt;0,N($N1238),N($L1238))))</f>
        <v/>
      </c>
      <c r="AC1238" s="22">
        <f>IF(AND($A1238="",$B1238=""),"",MIN(AB1238,IF(N($J1238)=0,0,IF(N($J1238)=2,AB1238,IF(AND($K1238&lt;&gt;"Point",N($O1238)&gt;0),N($O1238),N($M1238))))))</f>
        <v/>
      </c>
      <c r="AD1238" s="22">
        <f>IF(AND($A1238="",$B1238=""),"",MAX(0,AB1238-AC1238))</f>
        <v/>
      </c>
      <c r="AE1238" s="21">
        <f>IF(AND($A1238="",$B1238=""),"",IF(OR($R1238&lt;&gt;"",$S1238&lt;&gt;""),1,0))</f>
        <v/>
      </c>
      <c r="AF1238" s="22">
        <f>IF(AND($A1238="",$B1238=""),"",IF(Z1238=1,IF(AE1238=1,N($R1238),AD1238),0))</f>
        <v/>
      </c>
      <c r="AG1238" s="22">
        <f>IF(AND($A1238="",$B1238=""),"",IF(Z1238=1,IF(AE1238=1,N($S1238),AC1238),0))</f>
        <v/>
      </c>
      <c r="AH1238" s="21">
        <f>IF(AND($A1238="",$B1238=""),"",IF(AND(ISNUMBER($I1238),N($I1238)&gt;0),$I1238,0))</f>
        <v/>
      </c>
      <c r="AI1238" s="23">
        <f>IF(AND(NOT(AND($A1238="",$B1238="")),$K1238="Point",N($L1238)&gt;0),SQRT(N($L1238)/PI()),"")</f>
        <v/>
      </c>
      <c r="AJ1238" s="21">
        <f>IF(AND($A1238="",$B1238=""),"",IFERROR(VLOOKUP($G1238,Lists!$D$4:$E$15,2,FALSE),"Not reported"))</f>
        <v/>
      </c>
      <c r="AK1238" s="21">
        <f>IF(AND($A1238="",$B1238=""),"",IF($X1238&lt;&gt;"",$X1238,IF($T1238&lt;&gt;"Y","Not assessed",IF(AND(ISNUMBER($V1238),Setup!$B$6-$V1238&gt;Setup!$B$26),"Assessment outdated",IF(NOT(ISNUMBER($W1238)),"Assessed – no score",IF($W1238&gt;=Setup!$B$24,"High",IF($W1238&gt;=Setup!$B$25,"Moderate","Low")))))))</f>
        <v/>
      </c>
      <c r="AL1238" s="21">
        <f>IF(AND($A1238="",$B1238=""),"",IF(Z1238=0,"",IF(AND(AE1238=1,N($R1238)&gt;AD1238*1.01+0.001),"Net terrestrial &gt; gross; ","")&amp;IF(AND(AE1238=1,N($S1238)&gt;AC1238*1.01+0.001),"Net marine &gt; gross; ","")&amp;IF(AE1238=0,"No net area – gross used, overlaps may be double-counted; ","")&amp;IF(AH1238=0,"STATUS_YR missing – imputed in time series; ","")&amp;IF(AND(ISNUMBER($I1238),N($I1238)&gt;Setup!$B$6),"STATUS_YR after reporting year; ","")&amp;IF(OR($G1238="",$G1238="Not Reported"),"GOV_TYPE not reported; ","")&amp;IF(AND(N($J1238)=1,$K1238="Point",N($M1238)&lt;=0),"Coastal point without REP_M_AREA – land/sea split unknown; ","")&amp;IF(AND(N($J1238)=0,N($S1238)&gt;0),"MARINE=0 but net marine &gt;0; ","")&amp;IF(AND(N($J1238)=2,N($R1238)&gt;0),"MARINE=2 but net terrestrial &gt;0; ","")&amp;IF($K1238="Point","Buffered point – coverage approximate; ","")))</f>
        <v/>
      </c>
    </row>
    <row r="1239">
      <c r="A1239" s="19" t="n"/>
      <c r="B1239" s="19" t="n"/>
      <c r="C1239" s="19" t="n"/>
      <c r="D1239" s="19" t="n"/>
      <c r="E1239" s="19" t="n"/>
      <c r="F1239" s="19" t="n"/>
      <c r="G1239" s="19" t="n"/>
      <c r="H1239" s="19" t="n"/>
      <c r="I1239" s="19" t="n"/>
      <c r="J1239" s="19" t="n"/>
      <c r="K1239" s="19" t="n"/>
      <c r="L1239" s="20" t="n"/>
      <c r="M1239" s="20" t="n"/>
      <c r="N1239" s="20" t="n"/>
      <c r="O1239" s="20" t="n"/>
      <c r="P1239" s="19" t="n"/>
      <c r="Q1239" s="19" t="n"/>
      <c r="R1239" s="20" t="n"/>
      <c r="S1239" s="20" t="n"/>
      <c r="T1239" s="19" t="n"/>
      <c r="U1239" s="19" t="n"/>
      <c r="V1239" s="19" t="n"/>
      <c r="W1239" s="19" t="n"/>
      <c r="X1239" s="19" t="n"/>
      <c r="Y1239" s="19" t="n"/>
      <c r="Z1239" s="21">
        <f>IF(AND($A1239="",$B1239=""),"",IF(OR($E1239="",$H1239="",$H1239="Proposed",$H1239="Not Reported"),0,IF(AND($P1239="Y",$Q1239&lt;&gt;"Y"),0,IF(AND($K1239="Point",N($L1239)&lt;=0),0,IF(AND(N($L1239)&lt;=0,N($N1239)&lt;=0,N($R1239)+N($S1239)&lt;=0),0,1)))))</f>
        <v/>
      </c>
      <c r="AA1239" s="21">
        <f>IF(AND($A1239="",$B1239=""),"",IF($E1239="","Site type missing",IF($H1239="","STATUS missing",IF($H1239="Proposed","STATUS = Proposed",IF($H1239="Not Reported","STATUS = Not Reported",IF(AND($P1239="Y",$Q1239&lt;&gt;"Y"),"UNESCO-MAB Biosphere Reserve",IF(AND($K1239="Point",N($L1239)&lt;=0),"Point without REP_AREA",IF(AND(N($L1239)&lt;=0,N($N1239)&lt;=0,N($R1239)+N($S1239)&lt;=0),"No area information",""))))))))</f>
        <v/>
      </c>
      <c r="AB1239" s="22">
        <f>IF(AND($A1239="",$B1239=""),"",IF($K1239="Point",N($L1239),IF(N($N1239)&gt;0,N($N1239),N($L1239))))</f>
        <v/>
      </c>
      <c r="AC1239" s="22">
        <f>IF(AND($A1239="",$B1239=""),"",MIN(AB1239,IF(N($J1239)=0,0,IF(N($J1239)=2,AB1239,IF(AND($K1239&lt;&gt;"Point",N($O1239)&gt;0),N($O1239),N($M1239))))))</f>
        <v/>
      </c>
      <c r="AD1239" s="22">
        <f>IF(AND($A1239="",$B1239=""),"",MAX(0,AB1239-AC1239))</f>
        <v/>
      </c>
      <c r="AE1239" s="21">
        <f>IF(AND($A1239="",$B1239=""),"",IF(OR($R1239&lt;&gt;"",$S1239&lt;&gt;""),1,0))</f>
        <v/>
      </c>
      <c r="AF1239" s="22">
        <f>IF(AND($A1239="",$B1239=""),"",IF(Z1239=1,IF(AE1239=1,N($R1239),AD1239),0))</f>
        <v/>
      </c>
      <c r="AG1239" s="22">
        <f>IF(AND($A1239="",$B1239=""),"",IF(Z1239=1,IF(AE1239=1,N($S1239),AC1239),0))</f>
        <v/>
      </c>
      <c r="AH1239" s="21">
        <f>IF(AND($A1239="",$B1239=""),"",IF(AND(ISNUMBER($I1239),N($I1239)&gt;0),$I1239,0))</f>
        <v/>
      </c>
      <c r="AI1239" s="23">
        <f>IF(AND(NOT(AND($A1239="",$B1239="")),$K1239="Point",N($L1239)&gt;0),SQRT(N($L1239)/PI()),"")</f>
        <v/>
      </c>
      <c r="AJ1239" s="21">
        <f>IF(AND($A1239="",$B1239=""),"",IFERROR(VLOOKUP($G1239,Lists!$D$4:$E$15,2,FALSE),"Not reported"))</f>
        <v/>
      </c>
      <c r="AK1239" s="21">
        <f>IF(AND($A1239="",$B1239=""),"",IF($X1239&lt;&gt;"",$X1239,IF($T1239&lt;&gt;"Y","Not assessed",IF(AND(ISNUMBER($V1239),Setup!$B$6-$V1239&gt;Setup!$B$26),"Assessment outdated",IF(NOT(ISNUMBER($W1239)),"Assessed – no score",IF($W1239&gt;=Setup!$B$24,"High",IF($W1239&gt;=Setup!$B$25,"Moderate","Low")))))))</f>
        <v/>
      </c>
      <c r="AL1239" s="21">
        <f>IF(AND($A1239="",$B1239=""),"",IF(Z1239=0,"",IF(AND(AE1239=1,N($R1239)&gt;AD1239*1.01+0.001),"Net terrestrial &gt; gross; ","")&amp;IF(AND(AE1239=1,N($S1239)&gt;AC1239*1.01+0.001),"Net marine &gt; gross; ","")&amp;IF(AE1239=0,"No net area – gross used, overlaps may be double-counted; ","")&amp;IF(AH1239=0,"STATUS_YR missing – imputed in time series; ","")&amp;IF(AND(ISNUMBER($I1239),N($I1239)&gt;Setup!$B$6),"STATUS_YR after reporting year; ","")&amp;IF(OR($G1239="",$G1239="Not Reported"),"GOV_TYPE not reported; ","")&amp;IF(AND(N($J1239)=1,$K1239="Point",N($M1239)&lt;=0),"Coastal point without REP_M_AREA – land/sea split unknown; ","")&amp;IF(AND(N($J1239)=0,N($S1239)&gt;0),"MARINE=0 but net marine &gt;0; ","")&amp;IF(AND(N($J1239)=2,N($R1239)&gt;0),"MARINE=2 but net terrestrial &gt;0; ","")&amp;IF($K1239="Point","Buffered point – coverage approximate; ","")))</f>
        <v/>
      </c>
    </row>
    <row r="1240">
      <c r="A1240" s="19" t="n"/>
      <c r="B1240" s="19" t="n"/>
      <c r="C1240" s="19" t="n"/>
      <c r="D1240" s="19" t="n"/>
      <c r="E1240" s="19" t="n"/>
      <c r="F1240" s="19" t="n"/>
      <c r="G1240" s="19" t="n"/>
      <c r="H1240" s="19" t="n"/>
      <c r="I1240" s="19" t="n"/>
      <c r="J1240" s="19" t="n"/>
      <c r="K1240" s="19" t="n"/>
      <c r="L1240" s="20" t="n"/>
      <c r="M1240" s="20" t="n"/>
      <c r="N1240" s="20" t="n"/>
      <c r="O1240" s="20" t="n"/>
      <c r="P1240" s="19" t="n"/>
      <c r="Q1240" s="19" t="n"/>
      <c r="R1240" s="20" t="n"/>
      <c r="S1240" s="20" t="n"/>
      <c r="T1240" s="19" t="n"/>
      <c r="U1240" s="19" t="n"/>
      <c r="V1240" s="19" t="n"/>
      <c r="W1240" s="19" t="n"/>
      <c r="X1240" s="19" t="n"/>
      <c r="Y1240" s="19" t="n"/>
      <c r="Z1240" s="21">
        <f>IF(AND($A1240="",$B1240=""),"",IF(OR($E1240="",$H1240="",$H1240="Proposed",$H1240="Not Reported"),0,IF(AND($P1240="Y",$Q1240&lt;&gt;"Y"),0,IF(AND($K1240="Point",N($L1240)&lt;=0),0,IF(AND(N($L1240)&lt;=0,N($N1240)&lt;=0,N($R1240)+N($S1240)&lt;=0),0,1)))))</f>
        <v/>
      </c>
      <c r="AA1240" s="21">
        <f>IF(AND($A1240="",$B1240=""),"",IF($E1240="","Site type missing",IF($H1240="","STATUS missing",IF($H1240="Proposed","STATUS = Proposed",IF($H1240="Not Reported","STATUS = Not Reported",IF(AND($P1240="Y",$Q1240&lt;&gt;"Y"),"UNESCO-MAB Biosphere Reserve",IF(AND($K1240="Point",N($L1240)&lt;=0),"Point without REP_AREA",IF(AND(N($L1240)&lt;=0,N($N1240)&lt;=0,N($R1240)+N($S1240)&lt;=0),"No area information",""))))))))</f>
        <v/>
      </c>
      <c r="AB1240" s="22">
        <f>IF(AND($A1240="",$B1240=""),"",IF($K1240="Point",N($L1240),IF(N($N1240)&gt;0,N($N1240),N($L1240))))</f>
        <v/>
      </c>
      <c r="AC1240" s="22">
        <f>IF(AND($A1240="",$B1240=""),"",MIN(AB1240,IF(N($J1240)=0,0,IF(N($J1240)=2,AB1240,IF(AND($K1240&lt;&gt;"Point",N($O1240)&gt;0),N($O1240),N($M1240))))))</f>
        <v/>
      </c>
      <c r="AD1240" s="22">
        <f>IF(AND($A1240="",$B1240=""),"",MAX(0,AB1240-AC1240))</f>
        <v/>
      </c>
      <c r="AE1240" s="21">
        <f>IF(AND($A1240="",$B1240=""),"",IF(OR($R1240&lt;&gt;"",$S1240&lt;&gt;""),1,0))</f>
        <v/>
      </c>
      <c r="AF1240" s="22">
        <f>IF(AND($A1240="",$B1240=""),"",IF(Z1240=1,IF(AE1240=1,N($R1240),AD1240),0))</f>
        <v/>
      </c>
      <c r="AG1240" s="22">
        <f>IF(AND($A1240="",$B1240=""),"",IF(Z1240=1,IF(AE1240=1,N($S1240),AC1240),0))</f>
        <v/>
      </c>
      <c r="AH1240" s="21">
        <f>IF(AND($A1240="",$B1240=""),"",IF(AND(ISNUMBER($I1240),N($I1240)&gt;0),$I1240,0))</f>
        <v/>
      </c>
      <c r="AI1240" s="23">
        <f>IF(AND(NOT(AND($A1240="",$B1240="")),$K1240="Point",N($L1240)&gt;0),SQRT(N($L1240)/PI()),"")</f>
        <v/>
      </c>
      <c r="AJ1240" s="21">
        <f>IF(AND($A1240="",$B1240=""),"",IFERROR(VLOOKUP($G1240,Lists!$D$4:$E$15,2,FALSE),"Not reported"))</f>
        <v/>
      </c>
      <c r="AK1240" s="21">
        <f>IF(AND($A1240="",$B1240=""),"",IF($X1240&lt;&gt;"",$X1240,IF($T1240&lt;&gt;"Y","Not assessed",IF(AND(ISNUMBER($V1240),Setup!$B$6-$V1240&gt;Setup!$B$26),"Assessment outdated",IF(NOT(ISNUMBER($W1240)),"Assessed – no score",IF($W1240&gt;=Setup!$B$24,"High",IF($W1240&gt;=Setup!$B$25,"Moderate","Low")))))))</f>
        <v/>
      </c>
      <c r="AL1240" s="21">
        <f>IF(AND($A1240="",$B1240=""),"",IF(Z1240=0,"",IF(AND(AE1240=1,N($R1240)&gt;AD1240*1.01+0.001),"Net terrestrial &gt; gross; ","")&amp;IF(AND(AE1240=1,N($S1240)&gt;AC1240*1.01+0.001),"Net marine &gt; gross; ","")&amp;IF(AE1240=0,"No net area – gross used, overlaps may be double-counted; ","")&amp;IF(AH1240=0,"STATUS_YR missing – imputed in time series; ","")&amp;IF(AND(ISNUMBER($I1240),N($I1240)&gt;Setup!$B$6),"STATUS_YR after reporting year; ","")&amp;IF(OR($G1240="",$G1240="Not Reported"),"GOV_TYPE not reported; ","")&amp;IF(AND(N($J1240)=1,$K1240="Point",N($M1240)&lt;=0),"Coastal point without REP_M_AREA – land/sea split unknown; ","")&amp;IF(AND(N($J1240)=0,N($S1240)&gt;0),"MARINE=0 but net marine &gt;0; ","")&amp;IF(AND(N($J1240)=2,N($R1240)&gt;0),"MARINE=2 but net terrestrial &gt;0; ","")&amp;IF($K1240="Point","Buffered point – coverage approximate; ","")))</f>
        <v/>
      </c>
    </row>
    <row r="1241">
      <c r="A1241" s="19" t="n"/>
      <c r="B1241" s="19" t="n"/>
      <c r="C1241" s="19" t="n"/>
      <c r="D1241" s="19" t="n"/>
      <c r="E1241" s="19" t="n"/>
      <c r="F1241" s="19" t="n"/>
      <c r="G1241" s="19" t="n"/>
      <c r="H1241" s="19" t="n"/>
      <c r="I1241" s="19" t="n"/>
      <c r="J1241" s="19" t="n"/>
      <c r="K1241" s="19" t="n"/>
      <c r="L1241" s="20" t="n"/>
      <c r="M1241" s="20" t="n"/>
      <c r="N1241" s="20" t="n"/>
      <c r="O1241" s="20" t="n"/>
      <c r="P1241" s="19" t="n"/>
      <c r="Q1241" s="19" t="n"/>
      <c r="R1241" s="20" t="n"/>
      <c r="S1241" s="20" t="n"/>
      <c r="T1241" s="19" t="n"/>
      <c r="U1241" s="19" t="n"/>
      <c r="V1241" s="19" t="n"/>
      <c r="W1241" s="19" t="n"/>
      <c r="X1241" s="19" t="n"/>
      <c r="Y1241" s="19" t="n"/>
      <c r="Z1241" s="21">
        <f>IF(AND($A1241="",$B1241=""),"",IF(OR($E1241="",$H1241="",$H1241="Proposed",$H1241="Not Reported"),0,IF(AND($P1241="Y",$Q1241&lt;&gt;"Y"),0,IF(AND($K1241="Point",N($L1241)&lt;=0),0,IF(AND(N($L1241)&lt;=0,N($N1241)&lt;=0,N($R1241)+N($S1241)&lt;=0),0,1)))))</f>
        <v/>
      </c>
      <c r="AA1241" s="21">
        <f>IF(AND($A1241="",$B1241=""),"",IF($E1241="","Site type missing",IF($H1241="","STATUS missing",IF($H1241="Proposed","STATUS = Proposed",IF($H1241="Not Reported","STATUS = Not Reported",IF(AND($P1241="Y",$Q1241&lt;&gt;"Y"),"UNESCO-MAB Biosphere Reserve",IF(AND($K1241="Point",N($L1241)&lt;=0),"Point without REP_AREA",IF(AND(N($L1241)&lt;=0,N($N1241)&lt;=0,N($R1241)+N($S1241)&lt;=0),"No area information",""))))))))</f>
        <v/>
      </c>
      <c r="AB1241" s="22">
        <f>IF(AND($A1241="",$B1241=""),"",IF($K1241="Point",N($L1241),IF(N($N1241)&gt;0,N($N1241),N($L1241))))</f>
        <v/>
      </c>
      <c r="AC1241" s="22">
        <f>IF(AND($A1241="",$B1241=""),"",MIN(AB1241,IF(N($J1241)=0,0,IF(N($J1241)=2,AB1241,IF(AND($K1241&lt;&gt;"Point",N($O1241)&gt;0),N($O1241),N($M1241))))))</f>
        <v/>
      </c>
      <c r="AD1241" s="22">
        <f>IF(AND($A1241="",$B1241=""),"",MAX(0,AB1241-AC1241))</f>
        <v/>
      </c>
      <c r="AE1241" s="21">
        <f>IF(AND($A1241="",$B1241=""),"",IF(OR($R1241&lt;&gt;"",$S1241&lt;&gt;""),1,0))</f>
        <v/>
      </c>
      <c r="AF1241" s="22">
        <f>IF(AND($A1241="",$B1241=""),"",IF(Z1241=1,IF(AE1241=1,N($R1241),AD1241),0))</f>
        <v/>
      </c>
      <c r="AG1241" s="22">
        <f>IF(AND($A1241="",$B1241=""),"",IF(Z1241=1,IF(AE1241=1,N($S1241),AC1241),0))</f>
        <v/>
      </c>
      <c r="AH1241" s="21">
        <f>IF(AND($A1241="",$B1241=""),"",IF(AND(ISNUMBER($I1241),N($I1241)&gt;0),$I1241,0))</f>
        <v/>
      </c>
      <c r="AI1241" s="23">
        <f>IF(AND(NOT(AND($A1241="",$B1241="")),$K1241="Point",N($L1241)&gt;0),SQRT(N($L1241)/PI()),"")</f>
        <v/>
      </c>
      <c r="AJ1241" s="21">
        <f>IF(AND($A1241="",$B1241=""),"",IFERROR(VLOOKUP($G1241,Lists!$D$4:$E$15,2,FALSE),"Not reported"))</f>
        <v/>
      </c>
      <c r="AK1241" s="21">
        <f>IF(AND($A1241="",$B1241=""),"",IF($X1241&lt;&gt;"",$X1241,IF($T1241&lt;&gt;"Y","Not assessed",IF(AND(ISNUMBER($V1241),Setup!$B$6-$V1241&gt;Setup!$B$26),"Assessment outdated",IF(NOT(ISNUMBER($W1241)),"Assessed – no score",IF($W1241&gt;=Setup!$B$24,"High",IF($W1241&gt;=Setup!$B$25,"Moderate","Low")))))))</f>
        <v/>
      </c>
      <c r="AL1241" s="21">
        <f>IF(AND($A1241="",$B1241=""),"",IF(Z1241=0,"",IF(AND(AE1241=1,N($R1241)&gt;AD1241*1.01+0.001),"Net terrestrial &gt; gross; ","")&amp;IF(AND(AE1241=1,N($S1241)&gt;AC1241*1.01+0.001),"Net marine &gt; gross; ","")&amp;IF(AE1241=0,"No net area – gross used, overlaps may be double-counted; ","")&amp;IF(AH1241=0,"STATUS_YR missing – imputed in time series; ","")&amp;IF(AND(ISNUMBER($I1241),N($I1241)&gt;Setup!$B$6),"STATUS_YR after reporting year; ","")&amp;IF(OR($G1241="",$G1241="Not Reported"),"GOV_TYPE not reported; ","")&amp;IF(AND(N($J1241)=1,$K1241="Point",N($M1241)&lt;=0),"Coastal point without REP_M_AREA – land/sea split unknown; ","")&amp;IF(AND(N($J1241)=0,N($S1241)&gt;0),"MARINE=0 but net marine &gt;0; ","")&amp;IF(AND(N($J1241)=2,N($R1241)&gt;0),"MARINE=2 but net terrestrial &gt;0; ","")&amp;IF($K1241="Point","Buffered point – coverage approximate; ","")))</f>
        <v/>
      </c>
    </row>
    <row r="1242">
      <c r="A1242" s="19" t="n"/>
      <c r="B1242" s="19" t="n"/>
      <c r="C1242" s="19" t="n"/>
      <c r="D1242" s="19" t="n"/>
      <c r="E1242" s="19" t="n"/>
      <c r="F1242" s="19" t="n"/>
      <c r="G1242" s="19" t="n"/>
      <c r="H1242" s="19" t="n"/>
      <c r="I1242" s="19" t="n"/>
      <c r="J1242" s="19" t="n"/>
      <c r="K1242" s="19" t="n"/>
      <c r="L1242" s="20" t="n"/>
      <c r="M1242" s="20" t="n"/>
      <c r="N1242" s="20" t="n"/>
      <c r="O1242" s="20" t="n"/>
      <c r="P1242" s="19" t="n"/>
      <c r="Q1242" s="19" t="n"/>
      <c r="R1242" s="20" t="n"/>
      <c r="S1242" s="20" t="n"/>
      <c r="T1242" s="19" t="n"/>
      <c r="U1242" s="19" t="n"/>
      <c r="V1242" s="19" t="n"/>
      <c r="W1242" s="19" t="n"/>
      <c r="X1242" s="19" t="n"/>
      <c r="Y1242" s="19" t="n"/>
      <c r="Z1242" s="21">
        <f>IF(AND($A1242="",$B1242=""),"",IF(OR($E1242="",$H1242="",$H1242="Proposed",$H1242="Not Reported"),0,IF(AND($P1242="Y",$Q1242&lt;&gt;"Y"),0,IF(AND($K1242="Point",N($L1242)&lt;=0),0,IF(AND(N($L1242)&lt;=0,N($N1242)&lt;=0,N($R1242)+N($S1242)&lt;=0),0,1)))))</f>
        <v/>
      </c>
      <c r="AA1242" s="21">
        <f>IF(AND($A1242="",$B1242=""),"",IF($E1242="","Site type missing",IF($H1242="","STATUS missing",IF($H1242="Proposed","STATUS = Proposed",IF($H1242="Not Reported","STATUS = Not Reported",IF(AND($P1242="Y",$Q1242&lt;&gt;"Y"),"UNESCO-MAB Biosphere Reserve",IF(AND($K1242="Point",N($L1242)&lt;=0),"Point without REP_AREA",IF(AND(N($L1242)&lt;=0,N($N1242)&lt;=0,N($R1242)+N($S1242)&lt;=0),"No area information",""))))))))</f>
        <v/>
      </c>
      <c r="AB1242" s="22">
        <f>IF(AND($A1242="",$B1242=""),"",IF($K1242="Point",N($L1242),IF(N($N1242)&gt;0,N($N1242),N($L1242))))</f>
        <v/>
      </c>
      <c r="AC1242" s="22">
        <f>IF(AND($A1242="",$B1242=""),"",MIN(AB1242,IF(N($J1242)=0,0,IF(N($J1242)=2,AB1242,IF(AND($K1242&lt;&gt;"Point",N($O1242)&gt;0),N($O1242),N($M1242))))))</f>
        <v/>
      </c>
      <c r="AD1242" s="22">
        <f>IF(AND($A1242="",$B1242=""),"",MAX(0,AB1242-AC1242))</f>
        <v/>
      </c>
      <c r="AE1242" s="21">
        <f>IF(AND($A1242="",$B1242=""),"",IF(OR($R1242&lt;&gt;"",$S1242&lt;&gt;""),1,0))</f>
        <v/>
      </c>
      <c r="AF1242" s="22">
        <f>IF(AND($A1242="",$B1242=""),"",IF(Z1242=1,IF(AE1242=1,N($R1242),AD1242),0))</f>
        <v/>
      </c>
      <c r="AG1242" s="22">
        <f>IF(AND($A1242="",$B1242=""),"",IF(Z1242=1,IF(AE1242=1,N($S1242),AC1242),0))</f>
        <v/>
      </c>
      <c r="AH1242" s="21">
        <f>IF(AND($A1242="",$B1242=""),"",IF(AND(ISNUMBER($I1242),N($I1242)&gt;0),$I1242,0))</f>
        <v/>
      </c>
      <c r="AI1242" s="23">
        <f>IF(AND(NOT(AND($A1242="",$B1242="")),$K1242="Point",N($L1242)&gt;0),SQRT(N($L1242)/PI()),"")</f>
        <v/>
      </c>
      <c r="AJ1242" s="21">
        <f>IF(AND($A1242="",$B1242=""),"",IFERROR(VLOOKUP($G1242,Lists!$D$4:$E$15,2,FALSE),"Not reported"))</f>
        <v/>
      </c>
      <c r="AK1242" s="21">
        <f>IF(AND($A1242="",$B1242=""),"",IF($X1242&lt;&gt;"",$X1242,IF($T1242&lt;&gt;"Y","Not assessed",IF(AND(ISNUMBER($V1242),Setup!$B$6-$V1242&gt;Setup!$B$26),"Assessment outdated",IF(NOT(ISNUMBER($W1242)),"Assessed – no score",IF($W1242&gt;=Setup!$B$24,"High",IF($W1242&gt;=Setup!$B$25,"Moderate","Low")))))))</f>
        <v/>
      </c>
      <c r="AL1242" s="21">
        <f>IF(AND($A1242="",$B1242=""),"",IF(Z1242=0,"",IF(AND(AE1242=1,N($R1242)&gt;AD1242*1.01+0.001),"Net terrestrial &gt; gross; ","")&amp;IF(AND(AE1242=1,N($S1242)&gt;AC1242*1.01+0.001),"Net marine &gt; gross; ","")&amp;IF(AE1242=0,"No net area – gross used, overlaps may be double-counted; ","")&amp;IF(AH1242=0,"STATUS_YR missing – imputed in time series; ","")&amp;IF(AND(ISNUMBER($I1242),N($I1242)&gt;Setup!$B$6),"STATUS_YR after reporting year; ","")&amp;IF(OR($G1242="",$G1242="Not Reported"),"GOV_TYPE not reported; ","")&amp;IF(AND(N($J1242)=1,$K1242="Point",N($M1242)&lt;=0),"Coastal point without REP_M_AREA – land/sea split unknown; ","")&amp;IF(AND(N($J1242)=0,N($S1242)&gt;0),"MARINE=0 but net marine &gt;0; ","")&amp;IF(AND(N($J1242)=2,N($R1242)&gt;0),"MARINE=2 but net terrestrial &gt;0; ","")&amp;IF($K1242="Point","Buffered point – coverage approximate; ","")))</f>
        <v/>
      </c>
    </row>
    <row r="1243">
      <c r="A1243" s="19" t="n"/>
      <c r="B1243" s="19" t="n"/>
      <c r="C1243" s="19" t="n"/>
      <c r="D1243" s="19" t="n"/>
      <c r="E1243" s="19" t="n"/>
      <c r="F1243" s="19" t="n"/>
      <c r="G1243" s="19" t="n"/>
      <c r="H1243" s="19" t="n"/>
      <c r="I1243" s="19" t="n"/>
      <c r="J1243" s="19" t="n"/>
      <c r="K1243" s="19" t="n"/>
      <c r="L1243" s="20" t="n"/>
      <c r="M1243" s="20" t="n"/>
      <c r="N1243" s="20" t="n"/>
      <c r="O1243" s="20" t="n"/>
      <c r="P1243" s="19" t="n"/>
      <c r="Q1243" s="19" t="n"/>
      <c r="R1243" s="20" t="n"/>
      <c r="S1243" s="20" t="n"/>
      <c r="T1243" s="19" t="n"/>
      <c r="U1243" s="19" t="n"/>
      <c r="V1243" s="19" t="n"/>
      <c r="W1243" s="19" t="n"/>
      <c r="X1243" s="19" t="n"/>
      <c r="Y1243" s="19" t="n"/>
      <c r="Z1243" s="21">
        <f>IF(AND($A1243="",$B1243=""),"",IF(OR($E1243="",$H1243="",$H1243="Proposed",$H1243="Not Reported"),0,IF(AND($P1243="Y",$Q1243&lt;&gt;"Y"),0,IF(AND($K1243="Point",N($L1243)&lt;=0),0,IF(AND(N($L1243)&lt;=0,N($N1243)&lt;=0,N($R1243)+N($S1243)&lt;=0),0,1)))))</f>
        <v/>
      </c>
      <c r="AA1243" s="21">
        <f>IF(AND($A1243="",$B1243=""),"",IF($E1243="","Site type missing",IF($H1243="","STATUS missing",IF($H1243="Proposed","STATUS = Proposed",IF($H1243="Not Reported","STATUS = Not Reported",IF(AND($P1243="Y",$Q1243&lt;&gt;"Y"),"UNESCO-MAB Biosphere Reserve",IF(AND($K1243="Point",N($L1243)&lt;=0),"Point without REP_AREA",IF(AND(N($L1243)&lt;=0,N($N1243)&lt;=0,N($R1243)+N($S1243)&lt;=0),"No area information",""))))))))</f>
        <v/>
      </c>
      <c r="AB1243" s="22">
        <f>IF(AND($A1243="",$B1243=""),"",IF($K1243="Point",N($L1243),IF(N($N1243)&gt;0,N($N1243),N($L1243))))</f>
        <v/>
      </c>
      <c r="AC1243" s="22">
        <f>IF(AND($A1243="",$B1243=""),"",MIN(AB1243,IF(N($J1243)=0,0,IF(N($J1243)=2,AB1243,IF(AND($K1243&lt;&gt;"Point",N($O1243)&gt;0),N($O1243),N($M1243))))))</f>
        <v/>
      </c>
      <c r="AD1243" s="22">
        <f>IF(AND($A1243="",$B1243=""),"",MAX(0,AB1243-AC1243))</f>
        <v/>
      </c>
      <c r="AE1243" s="21">
        <f>IF(AND($A1243="",$B1243=""),"",IF(OR($R1243&lt;&gt;"",$S1243&lt;&gt;""),1,0))</f>
        <v/>
      </c>
      <c r="AF1243" s="22">
        <f>IF(AND($A1243="",$B1243=""),"",IF(Z1243=1,IF(AE1243=1,N($R1243),AD1243),0))</f>
        <v/>
      </c>
      <c r="AG1243" s="22">
        <f>IF(AND($A1243="",$B1243=""),"",IF(Z1243=1,IF(AE1243=1,N($S1243),AC1243),0))</f>
        <v/>
      </c>
      <c r="AH1243" s="21">
        <f>IF(AND($A1243="",$B1243=""),"",IF(AND(ISNUMBER($I1243),N($I1243)&gt;0),$I1243,0))</f>
        <v/>
      </c>
      <c r="AI1243" s="23">
        <f>IF(AND(NOT(AND($A1243="",$B1243="")),$K1243="Point",N($L1243)&gt;0),SQRT(N($L1243)/PI()),"")</f>
        <v/>
      </c>
      <c r="AJ1243" s="21">
        <f>IF(AND($A1243="",$B1243=""),"",IFERROR(VLOOKUP($G1243,Lists!$D$4:$E$15,2,FALSE),"Not reported"))</f>
        <v/>
      </c>
      <c r="AK1243" s="21">
        <f>IF(AND($A1243="",$B1243=""),"",IF($X1243&lt;&gt;"",$X1243,IF($T1243&lt;&gt;"Y","Not assessed",IF(AND(ISNUMBER($V1243),Setup!$B$6-$V1243&gt;Setup!$B$26),"Assessment outdated",IF(NOT(ISNUMBER($W1243)),"Assessed – no score",IF($W1243&gt;=Setup!$B$24,"High",IF($W1243&gt;=Setup!$B$25,"Moderate","Low")))))))</f>
        <v/>
      </c>
      <c r="AL1243" s="21">
        <f>IF(AND($A1243="",$B1243=""),"",IF(Z1243=0,"",IF(AND(AE1243=1,N($R1243)&gt;AD1243*1.01+0.001),"Net terrestrial &gt; gross; ","")&amp;IF(AND(AE1243=1,N($S1243)&gt;AC1243*1.01+0.001),"Net marine &gt; gross; ","")&amp;IF(AE1243=0,"No net area – gross used, overlaps may be double-counted; ","")&amp;IF(AH1243=0,"STATUS_YR missing – imputed in time series; ","")&amp;IF(AND(ISNUMBER($I1243),N($I1243)&gt;Setup!$B$6),"STATUS_YR after reporting year; ","")&amp;IF(OR($G1243="",$G1243="Not Reported"),"GOV_TYPE not reported; ","")&amp;IF(AND(N($J1243)=1,$K1243="Point",N($M1243)&lt;=0),"Coastal point without REP_M_AREA – land/sea split unknown; ","")&amp;IF(AND(N($J1243)=0,N($S1243)&gt;0),"MARINE=0 but net marine &gt;0; ","")&amp;IF(AND(N($J1243)=2,N($R1243)&gt;0),"MARINE=2 but net terrestrial &gt;0; ","")&amp;IF($K1243="Point","Buffered point – coverage approximate; ","")))</f>
        <v/>
      </c>
    </row>
    <row r="1244">
      <c r="A1244" s="19" t="n"/>
      <c r="B1244" s="19" t="n"/>
      <c r="C1244" s="19" t="n"/>
      <c r="D1244" s="19" t="n"/>
      <c r="E1244" s="19" t="n"/>
      <c r="F1244" s="19" t="n"/>
      <c r="G1244" s="19" t="n"/>
      <c r="H1244" s="19" t="n"/>
      <c r="I1244" s="19" t="n"/>
      <c r="J1244" s="19" t="n"/>
      <c r="K1244" s="19" t="n"/>
      <c r="L1244" s="20" t="n"/>
      <c r="M1244" s="20" t="n"/>
      <c r="N1244" s="20" t="n"/>
      <c r="O1244" s="20" t="n"/>
      <c r="P1244" s="19" t="n"/>
      <c r="Q1244" s="19" t="n"/>
      <c r="R1244" s="20" t="n"/>
      <c r="S1244" s="20" t="n"/>
      <c r="T1244" s="19" t="n"/>
      <c r="U1244" s="19" t="n"/>
      <c r="V1244" s="19" t="n"/>
      <c r="W1244" s="19" t="n"/>
      <c r="X1244" s="19" t="n"/>
      <c r="Y1244" s="19" t="n"/>
      <c r="Z1244" s="21">
        <f>IF(AND($A1244="",$B1244=""),"",IF(OR($E1244="",$H1244="",$H1244="Proposed",$H1244="Not Reported"),0,IF(AND($P1244="Y",$Q1244&lt;&gt;"Y"),0,IF(AND($K1244="Point",N($L1244)&lt;=0),0,IF(AND(N($L1244)&lt;=0,N($N1244)&lt;=0,N($R1244)+N($S1244)&lt;=0),0,1)))))</f>
        <v/>
      </c>
      <c r="AA1244" s="21">
        <f>IF(AND($A1244="",$B1244=""),"",IF($E1244="","Site type missing",IF($H1244="","STATUS missing",IF($H1244="Proposed","STATUS = Proposed",IF($H1244="Not Reported","STATUS = Not Reported",IF(AND($P1244="Y",$Q1244&lt;&gt;"Y"),"UNESCO-MAB Biosphere Reserve",IF(AND($K1244="Point",N($L1244)&lt;=0),"Point without REP_AREA",IF(AND(N($L1244)&lt;=0,N($N1244)&lt;=0,N($R1244)+N($S1244)&lt;=0),"No area information",""))))))))</f>
        <v/>
      </c>
      <c r="AB1244" s="22">
        <f>IF(AND($A1244="",$B1244=""),"",IF($K1244="Point",N($L1244),IF(N($N1244)&gt;0,N($N1244),N($L1244))))</f>
        <v/>
      </c>
      <c r="AC1244" s="22">
        <f>IF(AND($A1244="",$B1244=""),"",MIN(AB1244,IF(N($J1244)=0,0,IF(N($J1244)=2,AB1244,IF(AND($K1244&lt;&gt;"Point",N($O1244)&gt;0),N($O1244),N($M1244))))))</f>
        <v/>
      </c>
      <c r="AD1244" s="22">
        <f>IF(AND($A1244="",$B1244=""),"",MAX(0,AB1244-AC1244))</f>
        <v/>
      </c>
      <c r="AE1244" s="21">
        <f>IF(AND($A1244="",$B1244=""),"",IF(OR($R1244&lt;&gt;"",$S1244&lt;&gt;""),1,0))</f>
        <v/>
      </c>
      <c r="AF1244" s="22">
        <f>IF(AND($A1244="",$B1244=""),"",IF(Z1244=1,IF(AE1244=1,N($R1244),AD1244),0))</f>
        <v/>
      </c>
      <c r="AG1244" s="22">
        <f>IF(AND($A1244="",$B1244=""),"",IF(Z1244=1,IF(AE1244=1,N($S1244),AC1244),0))</f>
        <v/>
      </c>
      <c r="AH1244" s="21">
        <f>IF(AND($A1244="",$B1244=""),"",IF(AND(ISNUMBER($I1244),N($I1244)&gt;0),$I1244,0))</f>
        <v/>
      </c>
      <c r="AI1244" s="23">
        <f>IF(AND(NOT(AND($A1244="",$B1244="")),$K1244="Point",N($L1244)&gt;0),SQRT(N($L1244)/PI()),"")</f>
        <v/>
      </c>
      <c r="AJ1244" s="21">
        <f>IF(AND($A1244="",$B1244=""),"",IFERROR(VLOOKUP($G1244,Lists!$D$4:$E$15,2,FALSE),"Not reported"))</f>
        <v/>
      </c>
      <c r="AK1244" s="21">
        <f>IF(AND($A1244="",$B1244=""),"",IF($X1244&lt;&gt;"",$X1244,IF($T1244&lt;&gt;"Y","Not assessed",IF(AND(ISNUMBER($V1244),Setup!$B$6-$V1244&gt;Setup!$B$26),"Assessment outdated",IF(NOT(ISNUMBER($W1244)),"Assessed – no score",IF($W1244&gt;=Setup!$B$24,"High",IF($W1244&gt;=Setup!$B$25,"Moderate","Low")))))))</f>
        <v/>
      </c>
      <c r="AL1244" s="21">
        <f>IF(AND($A1244="",$B1244=""),"",IF(Z1244=0,"",IF(AND(AE1244=1,N($R1244)&gt;AD1244*1.01+0.001),"Net terrestrial &gt; gross; ","")&amp;IF(AND(AE1244=1,N($S1244)&gt;AC1244*1.01+0.001),"Net marine &gt; gross; ","")&amp;IF(AE1244=0,"No net area – gross used, overlaps may be double-counted; ","")&amp;IF(AH1244=0,"STATUS_YR missing – imputed in time series; ","")&amp;IF(AND(ISNUMBER($I1244),N($I1244)&gt;Setup!$B$6),"STATUS_YR after reporting year; ","")&amp;IF(OR($G1244="",$G1244="Not Reported"),"GOV_TYPE not reported; ","")&amp;IF(AND(N($J1244)=1,$K1244="Point",N($M1244)&lt;=0),"Coastal point without REP_M_AREA – land/sea split unknown; ","")&amp;IF(AND(N($J1244)=0,N($S1244)&gt;0),"MARINE=0 but net marine &gt;0; ","")&amp;IF(AND(N($J1244)=2,N($R1244)&gt;0),"MARINE=2 but net terrestrial &gt;0; ","")&amp;IF($K1244="Point","Buffered point – coverage approximate; ","")))</f>
        <v/>
      </c>
    </row>
    <row r="1245">
      <c r="A1245" s="19" t="n"/>
      <c r="B1245" s="19" t="n"/>
      <c r="C1245" s="19" t="n"/>
      <c r="D1245" s="19" t="n"/>
      <c r="E1245" s="19" t="n"/>
      <c r="F1245" s="19" t="n"/>
      <c r="G1245" s="19" t="n"/>
      <c r="H1245" s="19" t="n"/>
      <c r="I1245" s="19" t="n"/>
      <c r="J1245" s="19" t="n"/>
      <c r="K1245" s="19" t="n"/>
      <c r="L1245" s="20" t="n"/>
      <c r="M1245" s="20" t="n"/>
      <c r="N1245" s="20" t="n"/>
      <c r="O1245" s="20" t="n"/>
      <c r="P1245" s="19" t="n"/>
      <c r="Q1245" s="19" t="n"/>
      <c r="R1245" s="20" t="n"/>
      <c r="S1245" s="20" t="n"/>
      <c r="T1245" s="19" t="n"/>
      <c r="U1245" s="19" t="n"/>
      <c r="V1245" s="19" t="n"/>
      <c r="W1245" s="19" t="n"/>
      <c r="X1245" s="19" t="n"/>
      <c r="Y1245" s="19" t="n"/>
      <c r="Z1245" s="21">
        <f>IF(AND($A1245="",$B1245=""),"",IF(OR($E1245="",$H1245="",$H1245="Proposed",$H1245="Not Reported"),0,IF(AND($P1245="Y",$Q1245&lt;&gt;"Y"),0,IF(AND($K1245="Point",N($L1245)&lt;=0),0,IF(AND(N($L1245)&lt;=0,N($N1245)&lt;=0,N($R1245)+N($S1245)&lt;=0),0,1)))))</f>
        <v/>
      </c>
      <c r="AA1245" s="21">
        <f>IF(AND($A1245="",$B1245=""),"",IF($E1245="","Site type missing",IF($H1245="","STATUS missing",IF($H1245="Proposed","STATUS = Proposed",IF($H1245="Not Reported","STATUS = Not Reported",IF(AND($P1245="Y",$Q1245&lt;&gt;"Y"),"UNESCO-MAB Biosphere Reserve",IF(AND($K1245="Point",N($L1245)&lt;=0),"Point without REP_AREA",IF(AND(N($L1245)&lt;=0,N($N1245)&lt;=0,N($R1245)+N($S1245)&lt;=0),"No area information",""))))))))</f>
        <v/>
      </c>
      <c r="AB1245" s="22">
        <f>IF(AND($A1245="",$B1245=""),"",IF($K1245="Point",N($L1245),IF(N($N1245)&gt;0,N($N1245),N($L1245))))</f>
        <v/>
      </c>
      <c r="AC1245" s="22">
        <f>IF(AND($A1245="",$B1245=""),"",MIN(AB1245,IF(N($J1245)=0,0,IF(N($J1245)=2,AB1245,IF(AND($K1245&lt;&gt;"Point",N($O1245)&gt;0),N($O1245),N($M1245))))))</f>
        <v/>
      </c>
      <c r="AD1245" s="22">
        <f>IF(AND($A1245="",$B1245=""),"",MAX(0,AB1245-AC1245))</f>
        <v/>
      </c>
      <c r="AE1245" s="21">
        <f>IF(AND($A1245="",$B1245=""),"",IF(OR($R1245&lt;&gt;"",$S1245&lt;&gt;""),1,0))</f>
        <v/>
      </c>
      <c r="AF1245" s="22">
        <f>IF(AND($A1245="",$B1245=""),"",IF(Z1245=1,IF(AE1245=1,N($R1245),AD1245),0))</f>
        <v/>
      </c>
      <c r="AG1245" s="22">
        <f>IF(AND($A1245="",$B1245=""),"",IF(Z1245=1,IF(AE1245=1,N($S1245),AC1245),0))</f>
        <v/>
      </c>
      <c r="AH1245" s="21">
        <f>IF(AND($A1245="",$B1245=""),"",IF(AND(ISNUMBER($I1245),N($I1245)&gt;0),$I1245,0))</f>
        <v/>
      </c>
      <c r="AI1245" s="23">
        <f>IF(AND(NOT(AND($A1245="",$B1245="")),$K1245="Point",N($L1245)&gt;0),SQRT(N($L1245)/PI()),"")</f>
        <v/>
      </c>
      <c r="AJ1245" s="21">
        <f>IF(AND($A1245="",$B1245=""),"",IFERROR(VLOOKUP($G1245,Lists!$D$4:$E$15,2,FALSE),"Not reported"))</f>
        <v/>
      </c>
      <c r="AK1245" s="21">
        <f>IF(AND($A1245="",$B1245=""),"",IF($X1245&lt;&gt;"",$X1245,IF($T1245&lt;&gt;"Y","Not assessed",IF(AND(ISNUMBER($V1245),Setup!$B$6-$V1245&gt;Setup!$B$26),"Assessment outdated",IF(NOT(ISNUMBER($W1245)),"Assessed – no score",IF($W1245&gt;=Setup!$B$24,"High",IF($W1245&gt;=Setup!$B$25,"Moderate","Low")))))))</f>
        <v/>
      </c>
      <c r="AL1245" s="21">
        <f>IF(AND($A1245="",$B1245=""),"",IF(Z1245=0,"",IF(AND(AE1245=1,N($R1245)&gt;AD1245*1.01+0.001),"Net terrestrial &gt; gross; ","")&amp;IF(AND(AE1245=1,N($S1245)&gt;AC1245*1.01+0.001),"Net marine &gt; gross; ","")&amp;IF(AE1245=0,"No net area – gross used, overlaps may be double-counted; ","")&amp;IF(AH1245=0,"STATUS_YR missing – imputed in time series; ","")&amp;IF(AND(ISNUMBER($I1245),N($I1245)&gt;Setup!$B$6),"STATUS_YR after reporting year; ","")&amp;IF(OR($G1245="",$G1245="Not Reported"),"GOV_TYPE not reported; ","")&amp;IF(AND(N($J1245)=1,$K1245="Point",N($M1245)&lt;=0),"Coastal point without REP_M_AREA – land/sea split unknown; ","")&amp;IF(AND(N($J1245)=0,N($S1245)&gt;0),"MARINE=0 but net marine &gt;0; ","")&amp;IF(AND(N($J1245)=2,N($R1245)&gt;0),"MARINE=2 but net terrestrial &gt;0; ","")&amp;IF($K1245="Point","Buffered point – coverage approximate; ","")))</f>
        <v/>
      </c>
    </row>
    <row r="1246">
      <c r="A1246" s="19" t="n"/>
      <c r="B1246" s="19" t="n"/>
      <c r="C1246" s="19" t="n"/>
      <c r="D1246" s="19" t="n"/>
      <c r="E1246" s="19" t="n"/>
      <c r="F1246" s="19" t="n"/>
      <c r="G1246" s="19" t="n"/>
      <c r="H1246" s="19" t="n"/>
      <c r="I1246" s="19" t="n"/>
      <c r="J1246" s="19" t="n"/>
      <c r="K1246" s="19" t="n"/>
      <c r="L1246" s="20" t="n"/>
      <c r="M1246" s="20" t="n"/>
      <c r="N1246" s="20" t="n"/>
      <c r="O1246" s="20" t="n"/>
      <c r="P1246" s="19" t="n"/>
      <c r="Q1246" s="19" t="n"/>
      <c r="R1246" s="20" t="n"/>
      <c r="S1246" s="20" t="n"/>
      <c r="T1246" s="19" t="n"/>
      <c r="U1246" s="19" t="n"/>
      <c r="V1246" s="19" t="n"/>
      <c r="W1246" s="19" t="n"/>
      <c r="X1246" s="19" t="n"/>
      <c r="Y1246" s="19" t="n"/>
      <c r="Z1246" s="21">
        <f>IF(AND($A1246="",$B1246=""),"",IF(OR($E1246="",$H1246="",$H1246="Proposed",$H1246="Not Reported"),0,IF(AND($P1246="Y",$Q1246&lt;&gt;"Y"),0,IF(AND($K1246="Point",N($L1246)&lt;=0),0,IF(AND(N($L1246)&lt;=0,N($N1246)&lt;=0,N($R1246)+N($S1246)&lt;=0),0,1)))))</f>
        <v/>
      </c>
      <c r="AA1246" s="21">
        <f>IF(AND($A1246="",$B1246=""),"",IF($E1246="","Site type missing",IF($H1246="","STATUS missing",IF($H1246="Proposed","STATUS = Proposed",IF($H1246="Not Reported","STATUS = Not Reported",IF(AND($P1246="Y",$Q1246&lt;&gt;"Y"),"UNESCO-MAB Biosphere Reserve",IF(AND($K1246="Point",N($L1246)&lt;=0),"Point without REP_AREA",IF(AND(N($L1246)&lt;=0,N($N1246)&lt;=0,N($R1246)+N($S1246)&lt;=0),"No area information",""))))))))</f>
        <v/>
      </c>
      <c r="AB1246" s="22">
        <f>IF(AND($A1246="",$B1246=""),"",IF($K1246="Point",N($L1246),IF(N($N1246)&gt;0,N($N1246),N($L1246))))</f>
        <v/>
      </c>
      <c r="AC1246" s="22">
        <f>IF(AND($A1246="",$B1246=""),"",MIN(AB1246,IF(N($J1246)=0,0,IF(N($J1246)=2,AB1246,IF(AND($K1246&lt;&gt;"Point",N($O1246)&gt;0),N($O1246),N($M1246))))))</f>
        <v/>
      </c>
      <c r="AD1246" s="22">
        <f>IF(AND($A1246="",$B1246=""),"",MAX(0,AB1246-AC1246))</f>
        <v/>
      </c>
      <c r="AE1246" s="21">
        <f>IF(AND($A1246="",$B1246=""),"",IF(OR($R1246&lt;&gt;"",$S1246&lt;&gt;""),1,0))</f>
        <v/>
      </c>
      <c r="AF1246" s="22">
        <f>IF(AND($A1246="",$B1246=""),"",IF(Z1246=1,IF(AE1246=1,N($R1246),AD1246),0))</f>
        <v/>
      </c>
      <c r="AG1246" s="22">
        <f>IF(AND($A1246="",$B1246=""),"",IF(Z1246=1,IF(AE1246=1,N($S1246),AC1246),0))</f>
        <v/>
      </c>
      <c r="AH1246" s="21">
        <f>IF(AND($A1246="",$B1246=""),"",IF(AND(ISNUMBER($I1246),N($I1246)&gt;0),$I1246,0))</f>
        <v/>
      </c>
      <c r="AI1246" s="23">
        <f>IF(AND(NOT(AND($A1246="",$B1246="")),$K1246="Point",N($L1246)&gt;0),SQRT(N($L1246)/PI()),"")</f>
        <v/>
      </c>
      <c r="AJ1246" s="21">
        <f>IF(AND($A1246="",$B1246=""),"",IFERROR(VLOOKUP($G1246,Lists!$D$4:$E$15,2,FALSE),"Not reported"))</f>
        <v/>
      </c>
      <c r="AK1246" s="21">
        <f>IF(AND($A1246="",$B1246=""),"",IF($X1246&lt;&gt;"",$X1246,IF($T1246&lt;&gt;"Y","Not assessed",IF(AND(ISNUMBER($V1246),Setup!$B$6-$V1246&gt;Setup!$B$26),"Assessment outdated",IF(NOT(ISNUMBER($W1246)),"Assessed – no score",IF($W1246&gt;=Setup!$B$24,"High",IF($W1246&gt;=Setup!$B$25,"Moderate","Low")))))))</f>
        <v/>
      </c>
      <c r="AL1246" s="21">
        <f>IF(AND($A1246="",$B1246=""),"",IF(Z1246=0,"",IF(AND(AE1246=1,N($R1246)&gt;AD1246*1.01+0.001),"Net terrestrial &gt; gross; ","")&amp;IF(AND(AE1246=1,N($S1246)&gt;AC1246*1.01+0.001),"Net marine &gt; gross; ","")&amp;IF(AE1246=0,"No net area – gross used, overlaps may be double-counted; ","")&amp;IF(AH1246=0,"STATUS_YR missing – imputed in time series; ","")&amp;IF(AND(ISNUMBER($I1246),N($I1246)&gt;Setup!$B$6),"STATUS_YR after reporting year; ","")&amp;IF(OR($G1246="",$G1246="Not Reported"),"GOV_TYPE not reported; ","")&amp;IF(AND(N($J1246)=1,$K1246="Point",N($M1246)&lt;=0),"Coastal point without REP_M_AREA – land/sea split unknown; ","")&amp;IF(AND(N($J1246)=0,N($S1246)&gt;0),"MARINE=0 but net marine &gt;0; ","")&amp;IF(AND(N($J1246)=2,N($R1246)&gt;0),"MARINE=2 but net terrestrial &gt;0; ","")&amp;IF($K1246="Point","Buffered point – coverage approximate; ","")))</f>
        <v/>
      </c>
    </row>
    <row r="1247">
      <c r="A1247" s="19" t="n"/>
      <c r="B1247" s="19" t="n"/>
      <c r="C1247" s="19" t="n"/>
      <c r="D1247" s="19" t="n"/>
      <c r="E1247" s="19" t="n"/>
      <c r="F1247" s="19" t="n"/>
      <c r="G1247" s="19" t="n"/>
      <c r="H1247" s="19" t="n"/>
      <c r="I1247" s="19" t="n"/>
      <c r="J1247" s="19" t="n"/>
      <c r="K1247" s="19" t="n"/>
      <c r="L1247" s="20" t="n"/>
      <c r="M1247" s="20" t="n"/>
      <c r="N1247" s="20" t="n"/>
      <c r="O1247" s="20" t="n"/>
      <c r="P1247" s="19" t="n"/>
      <c r="Q1247" s="19" t="n"/>
      <c r="R1247" s="20" t="n"/>
      <c r="S1247" s="20" t="n"/>
      <c r="T1247" s="19" t="n"/>
      <c r="U1247" s="19" t="n"/>
      <c r="V1247" s="19" t="n"/>
      <c r="W1247" s="19" t="n"/>
      <c r="X1247" s="19" t="n"/>
      <c r="Y1247" s="19" t="n"/>
      <c r="Z1247" s="21">
        <f>IF(AND($A1247="",$B1247=""),"",IF(OR($E1247="",$H1247="",$H1247="Proposed",$H1247="Not Reported"),0,IF(AND($P1247="Y",$Q1247&lt;&gt;"Y"),0,IF(AND($K1247="Point",N($L1247)&lt;=0),0,IF(AND(N($L1247)&lt;=0,N($N1247)&lt;=0,N($R1247)+N($S1247)&lt;=0),0,1)))))</f>
        <v/>
      </c>
      <c r="AA1247" s="21">
        <f>IF(AND($A1247="",$B1247=""),"",IF($E1247="","Site type missing",IF($H1247="","STATUS missing",IF($H1247="Proposed","STATUS = Proposed",IF($H1247="Not Reported","STATUS = Not Reported",IF(AND($P1247="Y",$Q1247&lt;&gt;"Y"),"UNESCO-MAB Biosphere Reserve",IF(AND($K1247="Point",N($L1247)&lt;=0),"Point without REP_AREA",IF(AND(N($L1247)&lt;=0,N($N1247)&lt;=0,N($R1247)+N($S1247)&lt;=0),"No area information",""))))))))</f>
        <v/>
      </c>
      <c r="AB1247" s="22">
        <f>IF(AND($A1247="",$B1247=""),"",IF($K1247="Point",N($L1247),IF(N($N1247)&gt;0,N($N1247),N($L1247))))</f>
        <v/>
      </c>
      <c r="AC1247" s="22">
        <f>IF(AND($A1247="",$B1247=""),"",MIN(AB1247,IF(N($J1247)=0,0,IF(N($J1247)=2,AB1247,IF(AND($K1247&lt;&gt;"Point",N($O1247)&gt;0),N($O1247),N($M1247))))))</f>
        <v/>
      </c>
      <c r="AD1247" s="22">
        <f>IF(AND($A1247="",$B1247=""),"",MAX(0,AB1247-AC1247))</f>
        <v/>
      </c>
      <c r="AE1247" s="21">
        <f>IF(AND($A1247="",$B1247=""),"",IF(OR($R1247&lt;&gt;"",$S1247&lt;&gt;""),1,0))</f>
        <v/>
      </c>
      <c r="AF1247" s="22">
        <f>IF(AND($A1247="",$B1247=""),"",IF(Z1247=1,IF(AE1247=1,N($R1247),AD1247),0))</f>
        <v/>
      </c>
      <c r="AG1247" s="22">
        <f>IF(AND($A1247="",$B1247=""),"",IF(Z1247=1,IF(AE1247=1,N($S1247),AC1247),0))</f>
        <v/>
      </c>
      <c r="AH1247" s="21">
        <f>IF(AND($A1247="",$B1247=""),"",IF(AND(ISNUMBER($I1247),N($I1247)&gt;0),$I1247,0))</f>
        <v/>
      </c>
      <c r="AI1247" s="23">
        <f>IF(AND(NOT(AND($A1247="",$B1247="")),$K1247="Point",N($L1247)&gt;0),SQRT(N($L1247)/PI()),"")</f>
        <v/>
      </c>
      <c r="AJ1247" s="21">
        <f>IF(AND($A1247="",$B1247=""),"",IFERROR(VLOOKUP($G1247,Lists!$D$4:$E$15,2,FALSE),"Not reported"))</f>
        <v/>
      </c>
      <c r="AK1247" s="21">
        <f>IF(AND($A1247="",$B1247=""),"",IF($X1247&lt;&gt;"",$X1247,IF($T1247&lt;&gt;"Y","Not assessed",IF(AND(ISNUMBER($V1247),Setup!$B$6-$V1247&gt;Setup!$B$26),"Assessment outdated",IF(NOT(ISNUMBER($W1247)),"Assessed – no score",IF($W1247&gt;=Setup!$B$24,"High",IF($W1247&gt;=Setup!$B$25,"Moderate","Low")))))))</f>
        <v/>
      </c>
      <c r="AL1247" s="21">
        <f>IF(AND($A1247="",$B1247=""),"",IF(Z1247=0,"",IF(AND(AE1247=1,N($R1247)&gt;AD1247*1.01+0.001),"Net terrestrial &gt; gross; ","")&amp;IF(AND(AE1247=1,N($S1247)&gt;AC1247*1.01+0.001),"Net marine &gt; gross; ","")&amp;IF(AE1247=0,"No net area – gross used, overlaps may be double-counted; ","")&amp;IF(AH1247=0,"STATUS_YR missing – imputed in time series; ","")&amp;IF(AND(ISNUMBER($I1247),N($I1247)&gt;Setup!$B$6),"STATUS_YR after reporting year; ","")&amp;IF(OR($G1247="",$G1247="Not Reported"),"GOV_TYPE not reported; ","")&amp;IF(AND(N($J1247)=1,$K1247="Point",N($M1247)&lt;=0),"Coastal point without REP_M_AREA – land/sea split unknown; ","")&amp;IF(AND(N($J1247)=0,N($S1247)&gt;0),"MARINE=0 but net marine &gt;0; ","")&amp;IF(AND(N($J1247)=2,N($R1247)&gt;0),"MARINE=2 but net terrestrial &gt;0; ","")&amp;IF($K1247="Point","Buffered point – coverage approximate; ","")))</f>
        <v/>
      </c>
    </row>
    <row r="1248">
      <c r="A1248" s="19" t="n"/>
      <c r="B1248" s="19" t="n"/>
      <c r="C1248" s="19" t="n"/>
      <c r="D1248" s="19" t="n"/>
      <c r="E1248" s="19" t="n"/>
      <c r="F1248" s="19" t="n"/>
      <c r="G1248" s="19" t="n"/>
      <c r="H1248" s="19" t="n"/>
      <c r="I1248" s="19" t="n"/>
      <c r="J1248" s="19" t="n"/>
      <c r="K1248" s="19" t="n"/>
      <c r="L1248" s="20" t="n"/>
      <c r="M1248" s="20" t="n"/>
      <c r="N1248" s="20" t="n"/>
      <c r="O1248" s="20" t="n"/>
      <c r="P1248" s="19" t="n"/>
      <c r="Q1248" s="19" t="n"/>
      <c r="R1248" s="20" t="n"/>
      <c r="S1248" s="20" t="n"/>
      <c r="T1248" s="19" t="n"/>
      <c r="U1248" s="19" t="n"/>
      <c r="V1248" s="19" t="n"/>
      <c r="W1248" s="19" t="n"/>
      <c r="X1248" s="19" t="n"/>
      <c r="Y1248" s="19" t="n"/>
      <c r="Z1248" s="21">
        <f>IF(AND($A1248="",$B1248=""),"",IF(OR($E1248="",$H1248="",$H1248="Proposed",$H1248="Not Reported"),0,IF(AND($P1248="Y",$Q1248&lt;&gt;"Y"),0,IF(AND($K1248="Point",N($L1248)&lt;=0),0,IF(AND(N($L1248)&lt;=0,N($N1248)&lt;=0,N($R1248)+N($S1248)&lt;=0),0,1)))))</f>
        <v/>
      </c>
      <c r="AA1248" s="21">
        <f>IF(AND($A1248="",$B1248=""),"",IF($E1248="","Site type missing",IF($H1248="","STATUS missing",IF($H1248="Proposed","STATUS = Proposed",IF($H1248="Not Reported","STATUS = Not Reported",IF(AND($P1248="Y",$Q1248&lt;&gt;"Y"),"UNESCO-MAB Biosphere Reserve",IF(AND($K1248="Point",N($L1248)&lt;=0),"Point without REP_AREA",IF(AND(N($L1248)&lt;=0,N($N1248)&lt;=0,N($R1248)+N($S1248)&lt;=0),"No area information",""))))))))</f>
        <v/>
      </c>
      <c r="AB1248" s="22">
        <f>IF(AND($A1248="",$B1248=""),"",IF($K1248="Point",N($L1248),IF(N($N1248)&gt;0,N($N1248),N($L1248))))</f>
        <v/>
      </c>
      <c r="AC1248" s="22">
        <f>IF(AND($A1248="",$B1248=""),"",MIN(AB1248,IF(N($J1248)=0,0,IF(N($J1248)=2,AB1248,IF(AND($K1248&lt;&gt;"Point",N($O1248)&gt;0),N($O1248),N($M1248))))))</f>
        <v/>
      </c>
      <c r="AD1248" s="22">
        <f>IF(AND($A1248="",$B1248=""),"",MAX(0,AB1248-AC1248))</f>
        <v/>
      </c>
      <c r="AE1248" s="21">
        <f>IF(AND($A1248="",$B1248=""),"",IF(OR($R1248&lt;&gt;"",$S1248&lt;&gt;""),1,0))</f>
        <v/>
      </c>
      <c r="AF1248" s="22">
        <f>IF(AND($A1248="",$B1248=""),"",IF(Z1248=1,IF(AE1248=1,N($R1248),AD1248),0))</f>
        <v/>
      </c>
      <c r="AG1248" s="22">
        <f>IF(AND($A1248="",$B1248=""),"",IF(Z1248=1,IF(AE1248=1,N($S1248),AC1248),0))</f>
        <v/>
      </c>
      <c r="AH1248" s="21">
        <f>IF(AND($A1248="",$B1248=""),"",IF(AND(ISNUMBER($I1248),N($I1248)&gt;0),$I1248,0))</f>
        <v/>
      </c>
      <c r="AI1248" s="23">
        <f>IF(AND(NOT(AND($A1248="",$B1248="")),$K1248="Point",N($L1248)&gt;0),SQRT(N($L1248)/PI()),"")</f>
        <v/>
      </c>
      <c r="AJ1248" s="21">
        <f>IF(AND($A1248="",$B1248=""),"",IFERROR(VLOOKUP($G1248,Lists!$D$4:$E$15,2,FALSE),"Not reported"))</f>
        <v/>
      </c>
      <c r="AK1248" s="21">
        <f>IF(AND($A1248="",$B1248=""),"",IF($X1248&lt;&gt;"",$X1248,IF($T1248&lt;&gt;"Y","Not assessed",IF(AND(ISNUMBER($V1248),Setup!$B$6-$V1248&gt;Setup!$B$26),"Assessment outdated",IF(NOT(ISNUMBER($W1248)),"Assessed – no score",IF($W1248&gt;=Setup!$B$24,"High",IF($W1248&gt;=Setup!$B$25,"Moderate","Low")))))))</f>
        <v/>
      </c>
      <c r="AL1248" s="21">
        <f>IF(AND($A1248="",$B1248=""),"",IF(Z1248=0,"",IF(AND(AE1248=1,N($R1248)&gt;AD1248*1.01+0.001),"Net terrestrial &gt; gross; ","")&amp;IF(AND(AE1248=1,N($S1248)&gt;AC1248*1.01+0.001),"Net marine &gt; gross; ","")&amp;IF(AE1248=0,"No net area – gross used, overlaps may be double-counted; ","")&amp;IF(AH1248=0,"STATUS_YR missing – imputed in time series; ","")&amp;IF(AND(ISNUMBER($I1248),N($I1248)&gt;Setup!$B$6),"STATUS_YR after reporting year; ","")&amp;IF(OR($G1248="",$G1248="Not Reported"),"GOV_TYPE not reported; ","")&amp;IF(AND(N($J1248)=1,$K1248="Point",N($M1248)&lt;=0),"Coastal point without REP_M_AREA – land/sea split unknown; ","")&amp;IF(AND(N($J1248)=0,N($S1248)&gt;0),"MARINE=0 but net marine &gt;0; ","")&amp;IF(AND(N($J1248)=2,N($R1248)&gt;0),"MARINE=2 but net terrestrial &gt;0; ","")&amp;IF($K1248="Point","Buffered point – coverage approximate; ","")))</f>
        <v/>
      </c>
    </row>
    <row r="1249">
      <c r="A1249" s="19" t="n"/>
      <c r="B1249" s="19" t="n"/>
      <c r="C1249" s="19" t="n"/>
      <c r="D1249" s="19" t="n"/>
      <c r="E1249" s="19" t="n"/>
      <c r="F1249" s="19" t="n"/>
      <c r="G1249" s="19" t="n"/>
      <c r="H1249" s="19" t="n"/>
      <c r="I1249" s="19" t="n"/>
      <c r="J1249" s="19" t="n"/>
      <c r="K1249" s="19" t="n"/>
      <c r="L1249" s="20" t="n"/>
      <c r="M1249" s="20" t="n"/>
      <c r="N1249" s="20" t="n"/>
      <c r="O1249" s="20" t="n"/>
      <c r="P1249" s="19" t="n"/>
      <c r="Q1249" s="19" t="n"/>
      <c r="R1249" s="20" t="n"/>
      <c r="S1249" s="20" t="n"/>
      <c r="T1249" s="19" t="n"/>
      <c r="U1249" s="19" t="n"/>
      <c r="V1249" s="19" t="n"/>
      <c r="W1249" s="19" t="n"/>
      <c r="X1249" s="19" t="n"/>
      <c r="Y1249" s="19" t="n"/>
      <c r="Z1249" s="21">
        <f>IF(AND($A1249="",$B1249=""),"",IF(OR($E1249="",$H1249="",$H1249="Proposed",$H1249="Not Reported"),0,IF(AND($P1249="Y",$Q1249&lt;&gt;"Y"),0,IF(AND($K1249="Point",N($L1249)&lt;=0),0,IF(AND(N($L1249)&lt;=0,N($N1249)&lt;=0,N($R1249)+N($S1249)&lt;=0),0,1)))))</f>
        <v/>
      </c>
      <c r="AA1249" s="21">
        <f>IF(AND($A1249="",$B1249=""),"",IF($E1249="","Site type missing",IF($H1249="","STATUS missing",IF($H1249="Proposed","STATUS = Proposed",IF($H1249="Not Reported","STATUS = Not Reported",IF(AND($P1249="Y",$Q1249&lt;&gt;"Y"),"UNESCO-MAB Biosphere Reserve",IF(AND($K1249="Point",N($L1249)&lt;=0),"Point without REP_AREA",IF(AND(N($L1249)&lt;=0,N($N1249)&lt;=0,N($R1249)+N($S1249)&lt;=0),"No area information",""))))))))</f>
        <v/>
      </c>
      <c r="AB1249" s="22">
        <f>IF(AND($A1249="",$B1249=""),"",IF($K1249="Point",N($L1249),IF(N($N1249)&gt;0,N($N1249),N($L1249))))</f>
        <v/>
      </c>
      <c r="AC1249" s="22">
        <f>IF(AND($A1249="",$B1249=""),"",MIN(AB1249,IF(N($J1249)=0,0,IF(N($J1249)=2,AB1249,IF(AND($K1249&lt;&gt;"Point",N($O1249)&gt;0),N($O1249),N($M1249))))))</f>
        <v/>
      </c>
      <c r="AD1249" s="22">
        <f>IF(AND($A1249="",$B1249=""),"",MAX(0,AB1249-AC1249))</f>
        <v/>
      </c>
      <c r="AE1249" s="21">
        <f>IF(AND($A1249="",$B1249=""),"",IF(OR($R1249&lt;&gt;"",$S1249&lt;&gt;""),1,0))</f>
        <v/>
      </c>
      <c r="AF1249" s="22">
        <f>IF(AND($A1249="",$B1249=""),"",IF(Z1249=1,IF(AE1249=1,N($R1249),AD1249),0))</f>
        <v/>
      </c>
      <c r="AG1249" s="22">
        <f>IF(AND($A1249="",$B1249=""),"",IF(Z1249=1,IF(AE1249=1,N($S1249),AC1249),0))</f>
        <v/>
      </c>
      <c r="AH1249" s="21">
        <f>IF(AND($A1249="",$B1249=""),"",IF(AND(ISNUMBER($I1249),N($I1249)&gt;0),$I1249,0))</f>
        <v/>
      </c>
      <c r="AI1249" s="23">
        <f>IF(AND(NOT(AND($A1249="",$B1249="")),$K1249="Point",N($L1249)&gt;0),SQRT(N($L1249)/PI()),"")</f>
        <v/>
      </c>
      <c r="AJ1249" s="21">
        <f>IF(AND($A1249="",$B1249=""),"",IFERROR(VLOOKUP($G1249,Lists!$D$4:$E$15,2,FALSE),"Not reported"))</f>
        <v/>
      </c>
      <c r="AK1249" s="21">
        <f>IF(AND($A1249="",$B1249=""),"",IF($X1249&lt;&gt;"",$X1249,IF($T1249&lt;&gt;"Y","Not assessed",IF(AND(ISNUMBER($V1249),Setup!$B$6-$V1249&gt;Setup!$B$26),"Assessment outdated",IF(NOT(ISNUMBER($W1249)),"Assessed – no score",IF($W1249&gt;=Setup!$B$24,"High",IF($W1249&gt;=Setup!$B$25,"Moderate","Low")))))))</f>
        <v/>
      </c>
      <c r="AL1249" s="21">
        <f>IF(AND($A1249="",$B1249=""),"",IF(Z1249=0,"",IF(AND(AE1249=1,N($R1249)&gt;AD1249*1.01+0.001),"Net terrestrial &gt; gross; ","")&amp;IF(AND(AE1249=1,N($S1249)&gt;AC1249*1.01+0.001),"Net marine &gt; gross; ","")&amp;IF(AE1249=0,"No net area – gross used, overlaps may be double-counted; ","")&amp;IF(AH1249=0,"STATUS_YR missing – imputed in time series; ","")&amp;IF(AND(ISNUMBER($I1249),N($I1249)&gt;Setup!$B$6),"STATUS_YR after reporting year; ","")&amp;IF(OR($G1249="",$G1249="Not Reported"),"GOV_TYPE not reported; ","")&amp;IF(AND(N($J1249)=1,$K1249="Point",N($M1249)&lt;=0),"Coastal point without REP_M_AREA – land/sea split unknown; ","")&amp;IF(AND(N($J1249)=0,N($S1249)&gt;0),"MARINE=0 but net marine &gt;0; ","")&amp;IF(AND(N($J1249)=2,N($R1249)&gt;0),"MARINE=2 but net terrestrial &gt;0; ","")&amp;IF($K1249="Point","Buffered point – coverage approximate; ","")))</f>
        <v/>
      </c>
    </row>
    <row r="1250">
      <c r="A1250" s="19" t="n"/>
      <c r="B1250" s="19" t="n"/>
      <c r="C1250" s="19" t="n"/>
      <c r="D1250" s="19" t="n"/>
      <c r="E1250" s="19" t="n"/>
      <c r="F1250" s="19" t="n"/>
      <c r="G1250" s="19" t="n"/>
      <c r="H1250" s="19" t="n"/>
      <c r="I1250" s="19" t="n"/>
      <c r="J1250" s="19" t="n"/>
      <c r="K1250" s="19" t="n"/>
      <c r="L1250" s="20" t="n"/>
      <c r="M1250" s="20" t="n"/>
      <c r="N1250" s="20" t="n"/>
      <c r="O1250" s="20" t="n"/>
      <c r="P1250" s="19" t="n"/>
      <c r="Q1250" s="19" t="n"/>
      <c r="R1250" s="20" t="n"/>
      <c r="S1250" s="20" t="n"/>
      <c r="T1250" s="19" t="n"/>
      <c r="U1250" s="19" t="n"/>
      <c r="V1250" s="19" t="n"/>
      <c r="W1250" s="19" t="n"/>
      <c r="X1250" s="19" t="n"/>
      <c r="Y1250" s="19" t="n"/>
      <c r="Z1250" s="21">
        <f>IF(AND($A1250="",$B1250=""),"",IF(OR($E1250="",$H1250="",$H1250="Proposed",$H1250="Not Reported"),0,IF(AND($P1250="Y",$Q1250&lt;&gt;"Y"),0,IF(AND($K1250="Point",N($L1250)&lt;=0),0,IF(AND(N($L1250)&lt;=0,N($N1250)&lt;=0,N($R1250)+N($S1250)&lt;=0),0,1)))))</f>
        <v/>
      </c>
      <c r="AA1250" s="21">
        <f>IF(AND($A1250="",$B1250=""),"",IF($E1250="","Site type missing",IF($H1250="","STATUS missing",IF($H1250="Proposed","STATUS = Proposed",IF($H1250="Not Reported","STATUS = Not Reported",IF(AND($P1250="Y",$Q1250&lt;&gt;"Y"),"UNESCO-MAB Biosphere Reserve",IF(AND($K1250="Point",N($L1250)&lt;=0),"Point without REP_AREA",IF(AND(N($L1250)&lt;=0,N($N1250)&lt;=0,N($R1250)+N($S1250)&lt;=0),"No area information",""))))))))</f>
        <v/>
      </c>
      <c r="AB1250" s="22">
        <f>IF(AND($A1250="",$B1250=""),"",IF($K1250="Point",N($L1250),IF(N($N1250)&gt;0,N($N1250),N($L1250))))</f>
        <v/>
      </c>
      <c r="AC1250" s="22">
        <f>IF(AND($A1250="",$B1250=""),"",MIN(AB1250,IF(N($J1250)=0,0,IF(N($J1250)=2,AB1250,IF(AND($K1250&lt;&gt;"Point",N($O1250)&gt;0),N($O1250),N($M1250))))))</f>
        <v/>
      </c>
      <c r="AD1250" s="22">
        <f>IF(AND($A1250="",$B1250=""),"",MAX(0,AB1250-AC1250))</f>
        <v/>
      </c>
      <c r="AE1250" s="21">
        <f>IF(AND($A1250="",$B1250=""),"",IF(OR($R1250&lt;&gt;"",$S1250&lt;&gt;""),1,0))</f>
        <v/>
      </c>
      <c r="AF1250" s="22">
        <f>IF(AND($A1250="",$B1250=""),"",IF(Z1250=1,IF(AE1250=1,N($R1250),AD1250),0))</f>
        <v/>
      </c>
      <c r="AG1250" s="22">
        <f>IF(AND($A1250="",$B1250=""),"",IF(Z1250=1,IF(AE1250=1,N($S1250),AC1250),0))</f>
        <v/>
      </c>
      <c r="AH1250" s="21">
        <f>IF(AND($A1250="",$B1250=""),"",IF(AND(ISNUMBER($I1250),N($I1250)&gt;0),$I1250,0))</f>
        <v/>
      </c>
      <c r="AI1250" s="23">
        <f>IF(AND(NOT(AND($A1250="",$B1250="")),$K1250="Point",N($L1250)&gt;0),SQRT(N($L1250)/PI()),"")</f>
        <v/>
      </c>
      <c r="AJ1250" s="21">
        <f>IF(AND($A1250="",$B1250=""),"",IFERROR(VLOOKUP($G1250,Lists!$D$4:$E$15,2,FALSE),"Not reported"))</f>
        <v/>
      </c>
      <c r="AK1250" s="21">
        <f>IF(AND($A1250="",$B1250=""),"",IF($X1250&lt;&gt;"",$X1250,IF($T1250&lt;&gt;"Y","Not assessed",IF(AND(ISNUMBER($V1250),Setup!$B$6-$V1250&gt;Setup!$B$26),"Assessment outdated",IF(NOT(ISNUMBER($W1250)),"Assessed – no score",IF($W1250&gt;=Setup!$B$24,"High",IF($W1250&gt;=Setup!$B$25,"Moderate","Low")))))))</f>
        <v/>
      </c>
      <c r="AL1250" s="21">
        <f>IF(AND($A1250="",$B1250=""),"",IF(Z1250=0,"",IF(AND(AE1250=1,N($R1250)&gt;AD1250*1.01+0.001),"Net terrestrial &gt; gross; ","")&amp;IF(AND(AE1250=1,N($S1250)&gt;AC1250*1.01+0.001),"Net marine &gt; gross; ","")&amp;IF(AE1250=0,"No net area – gross used, overlaps may be double-counted; ","")&amp;IF(AH1250=0,"STATUS_YR missing – imputed in time series; ","")&amp;IF(AND(ISNUMBER($I1250),N($I1250)&gt;Setup!$B$6),"STATUS_YR after reporting year; ","")&amp;IF(OR($G1250="",$G1250="Not Reported"),"GOV_TYPE not reported; ","")&amp;IF(AND(N($J1250)=1,$K1250="Point",N($M1250)&lt;=0),"Coastal point without REP_M_AREA – land/sea split unknown; ","")&amp;IF(AND(N($J1250)=0,N($S1250)&gt;0),"MARINE=0 but net marine &gt;0; ","")&amp;IF(AND(N($J1250)=2,N($R1250)&gt;0),"MARINE=2 but net terrestrial &gt;0; ","")&amp;IF($K1250="Point","Buffered point – coverage approximate; ","")))</f>
        <v/>
      </c>
    </row>
    <row r="1251">
      <c r="A1251" s="19" t="n"/>
      <c r="B1251" s="19" t="n"/>
      <c r="C1251" s="19" t="n"/>
      <c r="D1251" s="19" t="n"/>
      <c r="E1251" s="19" t="n"/>
      <c r="F1251" s="19" t="n"/>
      <c r="G1251" s="19" t="n"/>
      <c r="H1251" s="19" t="n"/>
      <c r="I1251" s="19" t="n"/>
      <c r="J1251" s="19" t="n"/>
      <c r="K1251" s="19" t="n"/>
      <c r="L1251" s="20" t="n"/>
      <c r="M1251" s="20" t="n"/>
      <c r="N1251" s="20" t="n"/>
      <c r="O1251" s="20" t="n"/>
      <c r="P1251" s="19" t="n"/>
      <c r="Q1251" s="19" t="n"/>
      <c r="R1251" s="20" t="n"/>
      <c r="S1251" s="20" t="n"/>
      <c r="T1251" s="19" t="n"/>
      <c r="U1251" s="19" t="n"/>
      <c r="V1251" s="19" t="n"/>
      <c r="W1251" s="19" t="n"/>
      <c r="X1251" s="19" t="n"/>
      <c r="Y1251" s="19" t="n"/>
      <c r="Z1251" s="21">
        <f>IF(AND($A1251="",$B1251=""),"",IF(OR($E1251="",$H1251="",$H1251="Proposed",$H1251="Not Reported"),0,IF(AND($P1251="Y",$Q1251&lt;&gt;"Y"),0,IF(AND($K1251="Point",N($L1251)&lt;=0),0,IF(AND(N($L1251)&lt;=0,N($N1251)&lt;=0,N($R1251)+N($S1251)&lt;=0),0,1)))))</f>
        <v/>
      </c>
      <c r="AA1251" s="21">
        <f>IF(AND($A1251="",$B1251=""),"",IF($E1251="","Site type missing",IF($H1251="","STATUS missing",IF($H1251="Proposed","STATUS = Proposed",IF($H1251="Not Reported","STATUS = Not Reported",IF(AND($P1251="Y",$Q1251&lt;&gt;"Y"),"UNESCO-MAB Biosphere Reserve",IF(AND($K1251="Point",N($L1251)&lt;=0),"Point without REP_AREA",IF(AND(N($L1251)&lt;=0,N($N1251)&lt;=0,N($R1251)+N($S1251)&lt;=0),"No area information",""))))))))</f>
        <v/>
      </c>
      <c r="AB1251" s="22">
        <f>IF(AND($A1251="",$B1251=""),"",IF($K1251="Point",N($L1251),IF(N($N1251)&gt;0,N($N1251),N($L1251))))</f>
        <v/>
      </c>
      <c r="AC1251" s="22">
        <f>IF(AND($A1251="",$B1251=""),"",MIN(AB1251,IF(N($J1251)=0,0,IF(N($J1251)=2,AB1251,IF(AND($K1251&lt;&gt;"Point",N($O1251)&gt;0),N($O1251),N($M1251))))))</f>
        <v/>
      </c>
      <c r="AD1251" s="22">
        <f>IF(AND($A1251="",$B1251=""),"",MAX(0,AB1251-AC1251))</f>
        <v/>
      </c>
      <c r="AE1251" s="21">
        <f>IF(AND($A1251="",$B1251=""),"",IF(OR($R1251&lt;&gt;"",$S1251&lt;&gt;""),1,0))</f>
        <v/>
      </c>
      <c r="AF1251" s="22">
        <f>IF(AND($A1251="",$B1251=""),"",IF(Z1251=1,IF(AE1251=1,N($R1251),AD1251),0))</f>
        <v/>
      </c>
      <c r="AG1251" s="22">
        <f>IF(AND($A1251="",$B1251=""),"",IF(Z1251=1,IF(AE1251=1,N($S1251),AC1251),0))</f>
        <v/>
      </c>
      <c r="AH1251" s="21">
        <f>IF(AND($A1251="",$B1251=""),"",IF(AND(ISNUMBER($I1251),N($I1251)&gt;0),$I1251,0))</f>
        <v/>
      </c>
      <c r="AI1251" s="23">
        <f>IF(AND(NOT(AND($A1251="",$B1251="")),$K1251="Point",N($L1251)&gt;0),SQRT(N($L1251)/PI()),"")</f>
        <v/>
      </c>
      <c r="AJ1251" s="21">
        <f>IF(AND($A1251="",$B1251=""),"",IFERROR(VLOOKUP($G1251,Lists!$D$4:$E$15,2,FALSE),"Not reported"))</f>
        <v/>
      </c>
      <c r="AK1251" s="21">
        <f>IF(AND($A1251="",$B1251=""),"",IF($X1251&lt;&gt;"",$X1251,IF($T1251&lt;&gt;"Y","Not assessed",IF(AND(ISNUMBER($V1251),Setup!$B$6-$V1251&gt;Setup!$B$26),"Assessment outdated",IF(NOT(ISNUMBER($W1251)),"Assessed – no score",IF($W1251&gt;=Setup!$B$24,"High",IF($W1251&gt;=Setup!$B$25,"Moderate","Low")))))))</f>
        <v/>
      </c>
      <c r="AL1251" s="21">
        <f>IF(AND($A1251="",$B1251=""),"",IF(Z1251=0,"",IF(AND(AE1251=1,N($R1251)&gt;AD1251*1.01+0.001),"Net terrestrial &gt; gross; ","")&amp;IF(AND(AE1251=1,N($S1251)&gt;AC1251*1.01+0.001),"Net marine &gt; gross; ","")&amp;IF(AE1251=0,"No net area – gross used, overlaps may be double-counted; ","")&amp;IF(AH1251=0,"STATUS_YR missing – imputed in time series; ","")&amp;IF(AND(ISNUMBER($I1251),N($I1251)&gt;Setup!$B$6),"STATUS_YR after reporting year; ","")&amp;IF(OR($G1251="",$G1251="Not Reported"),"GOV_TYPE not reported; ","")&amp;IF(AND(N($J1251)=1,$K1251="Point",N($M1251)&lt;=0),"Coastal point without REP_M_AREA – land/sea split unknown; ","")&amp;IF(AND(N($J1251)=0,N($S1251)&gt;0),"MARINE=0 but net marine &gt;0; ","")&amp;IF(AND(N($J1251)=2,N($R1251)&gt;0),"MARINE=2 but net terrestrial &gt;0; ","")&amp;IF($K1251="Point","Buffered point – coverage approximate; ","")))</f>
        <v/>
      </c>
    </row>
    <row r="1252">
      <c r="A1252" s="19" t="n"/>
      <c r="B1252" s="19" t="n"/>
      <c r="C1252" s="19" t="n"/>
      <c r="D1252" s="19" t="n"/>
      <c r="E1252" s="19" t="n"/>
      <c r="F1252" s="19" t="n"/>
      <c r="G1252" s="19" t="n"/>
      <c r="H1252" s="19" t="n"/>
      <c r="I1252" s="19" t="n"/>
      <c r="J1252" s="19" t="n"/>
      <c r="K1252" s="19" t="n"/>
      <c r="L1252" s="20" t="n"/>
      <c r="M1252" s="20" t="n"/>
      <c r="N1252" s="20" t="n"/>
      <c r="O1252" s="20" t="n"/>
      <c r="P1252" s="19" t="n"/>
      <c r="Q1252" s="19" t="n"/>
      <c r="R1252" s="20" t="n"/>
      <c r="S1252" s="20" t="n"/>
      <c r="T1252" s="19" t="n"/>
      <c r="U1252" s="19" t="n"/>
      <c r="V1252" s="19" t="n"/>
      <c r="W1252" s="19" t="n"/>
      <c r="X1252" s="19" t="n"/>
      <c r="Y1252" s="19" t="n"/>
      <c r="Z1252" s="21">
        <f>IF(AND($A1252="",$B1252=""),"",IF(OR($E1252="",$H1252="",$H1252="Proposed",$H1252="Not Reported"),0,IF(AND($P1252="Y",$Q1252&lt;&gt;"Y"),0,IF(AND($K1252="Point",N($L1252)&lt;=0),0,IF(AND(N($L1252)&lt;=0,N($N1252)&lt;=0,N($R1252)+N($S1252)&lt;=0),0,1)))))</f>
        <v/>
      </c>
      <c r="AA1252" s="21">
        <f>IF(AND($A1252="",$B1252=""),"",IF($E1252="","Site type missing",IF($H1252="","STATUS missing",IF($H1252="Proposed","STATUS = Proposed",IF($H1252="Not Reported","STATUS = Not Reported",IF(AND($P1252="Y",$Q1252&lt;&gt;"Y"),"UNESCO-MAB Biosphere Reserve",IF(AND($K1252="Point",N($L1252)&lt;=0),"Point without REP_AREA",IF(AND(N($L1252)&lt;=0,N($N1252)&lt;=0,N($R1252)+N($S1252)&lt;=0),"No area information",""))))))))</f>
        <v/>
      </c>
      <c r="AB1252" s="22">
        <f>IF(AND($A1252="",$B1252=""),"",IF($K1252="Point",N($L1252),IF(N($N1252)&gt;0,N($N1252),N($L1252))))</f>
        <v/>
      </c>
      <c r="AC1252" s="22">
        <f>IF(AND($A1252="",$B1252=""),"",MIN(AB1252,IF(N($J1252)=0,0,IF(N($J1252)=2,AB1252,IF(AND($K1252&lt;&gt;"Point",N($O1252)&gt;0),N($O1252),N($M1252))))))</f>
        <v/>
      </c>
      <c r="AD1252" s="22">
        <f>IF(AND($A1252="",$B1252=""),"",MAX(0,AB1252-AC1252))</f>
        <v/>
      </c>
      <c r="AE1252" s="21">
        <f>IF(AND($A1252="",$B1252=""),"",IF(OR($R1252&lt;&gt;"",$S1252&lt;&gt;""),1,0))</f>
        <v/>
      </c>
      <c r="AF1252" s="22">
        <f>IF(AND($A1252="",$B1252=""),"",IF(Z1252=1,IF(AE1252=1,N($R1252),AD1252),0))</f>
        <v/>
      </c>
      <c r="AG1252" s="22">
        <f>IF(AND($A1252="",$B1252=""),"",IF(Z1252=1,IF(AE1252=1,N($S1252),AC1252),0))</f>
        <v/>
      </c>
      <c r="AH1252" s="21">
        <f>IF(AND($A1252="",$B1252=""),"",IF(AND(ISNUMBER($I1252),N($I1252)&gt;0),$I1252,0))</f>
        <v/>
      </c>
      <c r="AI1252" s="23">
        <f>IF(AND(NOT(AND($A1252="",$B1252="")),$K1252="Point",N($L1252)&gt;0),SQRT(N($L1252)/PI()),"")</f>
        <v/>
      </c>
      <c r="AJ1252" s="21">
        <f>IF(AND($A1252="",$B1252=""),"",IFERROR(VLOOKUP($G1252,Lists!$D$4:$E$15,2,FALSE),"Not reported"))</f>
        <v/>
      </c>
      <c r="AK1252" s="21">
        <f>IF(AND($A1252="",$B1252=""),"",IF($X1252&lt;&gt;"",$X1252,IF($T1252&lt;&gt;"Y","Not assessed",IF(AND(ISNUMBER($V1252),Setup!$B$6-$V1252&gt;Setup!$B$26),"Assessment outdated",IF(NOT(ISNUMBER($W1252)),"Assessed – no score",IF($W1252&gt;=Setup!$B$24,"High",IF($W1252&gt;=Setup!$B$25,"Moderate","Low")))))))</f>
        <v/>
      </c>
      <c r="AL1252" s="21">
        <f>IF(AND($A1252="",$B1252=""),"",IF(Z1252=0,"",IF(AND(AE1252=1,N($R1252)&gt;AD1252*1.01+0.001),"Net terrestrial &gt; gross; ","")&amp;IF(AND(AE1252=1,N($S1252)&gt;AC1252*1.01+0.001),"Net marine &gt; gross; ","")&amp;IF(AE1252=0,"No net area – gross used, overlaps may be double-counted; ","")&amp;IF(AH1252=0,"STATUS_YR missing – imputed in time series; ","")&amp;IF(AND(ISNUMBER($I1252),N($I1252)&gt;Setup!$B$6),"STATUS_YR after reporting year; ","")&amp;IF(OR($G1252="",$G1252="Not Reported"),"GOV_TYPE not reported; ","")&amp;IF(AND(N($J1252)=1,$K1252="Point",N($M1252)&lt;=0),"Coastal point without REP_M_AREA – land/sea split unknown; ","")&amp;IF(AND(N($J1252)=0,N($S1252)&gt;0),"MARINE=0 but net marine &gt;0; ","")&amp;IF(AND(N($J1252)=2,N($R1252)&gt;0),"MARINE=2 but net terrestrial &gt;0; ","")&amp;IF($K1252="Point","Buffered point – coverage approximate; ","")))</f>
        <v/>
      </c>
    </row>
    <row r="1253">
      <c r="A1253" s="19" t="n"/>
      <c r="B1253" s="19" t="n"/>
      <c r="C1253" s="19" t="n"/>
      <c r="D1253" s="19" t="n"/>
      <c r="E1253" s="19" t="n"/>
      <c r="F1253" s="19" t="n"/>
      <c r="G1253" s="19" t="n"/>
      <c r="H1253" s="19" t="n"/>
      <c r="I1253" s="19" t="n"/>
      <c r="J1253" s="19" t="n"/>
      <c r="K1253" s="19" t="n"/>
      <c r="L1253" s="20" t="n"/>
      <c r="M1253" s="20" t="n"/>
      <c r="N1253" s="20" t="n"/>
      <c r="O1253" s="20" t="n"/>
      <c r="P1253" s="19" t="n"/>
      <c r="Q1253" s="19" t="n"/>
      <c r="R1253" s="20" t="n"/>
      <c r="S1253" s="20" t="n"/>
      <c r="T1253" s="19" t="n"/>
      <c r="U1253" s="19" t="n"/>
      <c r="V1253" s="19" t="n"/>
      <c r="W1253" s="19" t="n"/>
      <c r="X1253" s="19" t="n"/>
      <c r="Y1253" s="19" t="n"/>
      <c r="Z1253" s="21">
        <f>IF(AND($A1253="",$B1253=""),"",IF(OR($E1253="",$H1253="",$H1253="Proposed",$H1253="Not Reported"),0,IF(AND($P1253="Y",$Q1253&lt;&gt;"Y"),0,IF(AND($K1253="Point",N($L1253)&lt;=0),0,IF(AND(N($L1253)&lt;=0,N($N1253)&lt;=0,N($R1253)+N($S1253)&lt;=0),0,1)))))</f>
        <v/>
      </c>
      <c r="AA1253" s="21">
        <f>IF(AND($A1253="",$B1253=""),"",IF($E1253="","Site type missing",IF($H1253="","STATUS missing",IF($H1253="Proposed","STATUS = Proposed",IF($H1253="Not Reported","STATUS = Not Reported",IF(AND($P1253="Y",$Q1253&lt;&gt;"Y"),"UNESCO-MAB Biosphere Reserve",IF(AND($K1253="Point",N($L1253)&lt;=0),"Point without REP_AREA",IF(AND(N($L1253)&lt;=0,N($N1253)&lt;=0,N($R1253)+N($S1253)&lt;=0),"No area information",""))))))))</f>
        <v/>
      </c>
      <c r="AB1253" s="22">
        <f>IF(AND($A1253="",$B1253=""),"",IF($K1253="Point",N($L1253),IF(N($N1253)&gt;0,N($N1253),N($L1253))))</f>
        <v/>
      </c>
      <c r="AC1253" s="22">
        <f>IF(AND($A1253="",$B1253=""),"",MIN(AB1253,IF(N($J1253)=0,0,IF(N($J1253)=2,AB1253,IF(AND($K1253&lt;&gt;"Point",N($O1253)&gt;0),N($O1253),N($M1253))))))</f>
        <v/>
      </c>
      <c r="AD1253" s="22">
        <f>IF(AND($A1253="",$B1253=""),"",MAX(0,AB1253-AC1253))</f>
        <v/>
      </c>
      <c r="AE1253" s="21">
        <f>IF(AND($A1253="",$B1253=""),"",IF(OR($R1253&lt;&gt;"",$S1253&lt;&gt;""),1,0))</f>
        <v/>
      </c>
      <c r="AF1253" s="22">
        <f>IF(AND($A1253="",$B1253=""),"",IF(Z1253=1,IF(AE1253=1,N($R1253),AD1253),0))</f>
        <v/>
      </c>
      <c r="AG1253" s="22">
        <f>IF(AND($A1253="",$B1253=""),"",IF(Z1253=1,IF(AE1253=1,N($S1253),AC1253),0))</f>
        <v/>
      </c>
      <c r="AH1253" s="21">
        <f>IF(AND($A1253="",$B1253=""),"",IF(AND(ISNUMBER($I1253),N($I1253)&gt;0),$I1253,0))</f>
        <v/>
      </c>
      <c r="AI1253" s="23">
        <f>IF(AND(NOT(AND($A1253="",$B1253="")),$K1253="Point",N($L1253)&gt;0),SQRT(N($L1253)/PI()),"")</f>
        <v/>
      </c>
      <c r="AJ1253" s="21">
        <f>IF(AND($A1253="",$B1253=""),"",IFERROR(VLOOKUP($G1253,Lists!$D$4:$E$15,2,FALSE),"Not reported"))</f>
        <v/>
      </c>
      <c r="AK1253" s="21">
        <f>IF(AND($A1253="",$B1253=""),"",IF($X1253&lt;&gt;"",$X1253,IF($T1253&lt;&gt;"Y","Not assessed",IF(AND(ISNUMBER($V1253),Setup!$B$6-$V1253&gt;Setup!$B$26),"Assessment outdated",IF(NOT(ISNUMBER($W1253)),"Assessed – no score",IF($W1253&gt;=Setup!$B$24,"High",IF($W1253&gt;=Setup!$B$25,"Moderate","Low")))))))</f>
        <v/>
      </c>
      <c r="AL1253" s="21">
        <f>IF(AND($A1253="",$B1253=""),"",IF(Z1253=0,"",IF(AND(AE1253=1,N($R1253)&gt;AD1253*1.01+0.001),"Net terrestrial &gt; gross; ","")&amp;IF(AND(AE1253=1,N($S1253)&gt;AC1253*1.01+0.001),"Net marine &gt; gross; ","")&amp;IF(AE1253=0,"No net area – gross used, overlaps may be double-counted; ","")&amp;IF(AH1253=0,"STATUS_YR missing – imputed in time series; ","")&amp;IF(AND(ISNUMBER($I1253),N($I1253)&gt;Setup!$B$6),"STATUS_YR after reporting year; ","")&amp;IF(OR($G1253="",$G1253="Not Reported"),"GOV_TYPE not reported; ","")&amp;IF(AND(N($J1253)=1,$K1253="Point",N($M1253)&lt;=0),"Coastal point without REP_M_AREA – land/sea split unknown; ","")&amp;IF(AND(N($J1253)=0,N($S1253)&gt;0),"MARINE=0 but net marine &gt;0; ","")&amp;IF(AND(N($J1253)=2,N($R1253)&gt;0),"MARINE=2 but net terrestrial &gt;0; ","")&amp;IF($K1253="Point","Buffered point – coverage approximate; ","")))</f>
        <v/>
      </c>
    </row>
    <row r="1254">
      <c r="A1254" s="19" t="n"/>
      <c r="B1254" s="19" t="n"/>
      <c r="C1254" s="19" t="n"/>
      <c r="D1254" s="19" t="n"/>
      <c r="E1254" s="19" t="n"/>
      <c r="F1254" s="19" t="n"/>
      <c r="G1254" s="19" t="n"/>
      <c r="H1254" s="19" t="n"/>
      <c r="I1254" s="19" t="n"/>
      <c r="J1254" s="19" t="n"/>
      <c r="K1254" s="19" t="n"/>
      <c r="L1254" s="20" t="n"/>
      <c r="M1254" s="20" t="n"/>
      <c r="N1254" s="20" t="n"/>
      <c r="O1254" s="20" t="n"/>
      <c r="P1254" s="19" t="n"/>
      <c r="Q1254" s="19" t="n"/>
      <c r="R1254" s="20" t="n"/>
      <c r="S1254" s="20" t="n"/>
      <c r="T1254" s="19" t="n"/>
      <c r="U1254" s="19" t="n"/>
      <c r="V1254" s="19" t="n"/>
      <c r="W1254" s="19" t="n"/>
      <c r="X1254" s="19" t="n"/>
      <c r="Y1254" s="19" t="n"/>
      <c r="Z1254" s="21">
        <f>IF(AND($A1254="",$B1254=""),"",IF(OR($E1254="",$H1254="",$H1254="Proposed",$H1254="Not Reported"),0,IF(AND($P1254="Y",$Q1254&lt;&gt;"Y"),0,IF(AND($K1254="Point",N($L1254)&lt;=0),0,IF(AND(N($L1254)&lt;=0,N($N1254)&lt;=0,N($R1254)+N($S1254)&lt;=0),0,1)))))</f>
        <v/>
      </c>
      <c r="AA1254" s="21">
        <f>IF(AND($A1254="",$B1254=""),"",IF($E1254="","Site type missing",IF($H1254="","STATUS missing",IF($H1254="Proposed","STATUS = Proposed",IF($H1254="Not Reported","STATUS = Not Reported",IF(AND($P1254="Y",$Q1254&lt;&gt;"Y"),"UNESCO-MAB Biosphere Reserve",IF(AND($K1254="Point",N($L1254)&lt;=0),"Point without REP_AREA",IF(AND(N($L1254)&lt;=0,N($N1254)&lt;=0,N($R1254)+N($S1254)&lt;=0),"No area information",""))))))))</f>
        <v/>
      </c>
      <c r="AB1254" s="22">
        <f>IF(AND($A1254="",$B1254=""),"",IF($K1254="Point",N($L1254),IF(N($N1254)&gt;0,N($N1254),N($L1254))))</f>
        <v/>
      </c>
      <c r="AC1254" s="22">
        <f>IF(AND($A1254="",$B1254=""),"",MIN(AB1254,IF(N($J1254)=0,0,IF(N($J1254)=2,AB1254,IF(AND($K1254&lt;&gt;"Point",N($O1254)&gt;0),N($O1254),N($M1254))))))</f>
        <v/>
      </c>
      <c r="AD1254" s="22">
        <f>IF(AND($A1254="",$B1254=""),"",MAX(0,AB1254-AC1254))</f>
        <v/>
      </c>
      <c r="AE1254" s="21">
        <f>IF(AND($A1254="",$B1254=""),"",IF(OR($R1254&lt;&gt;"",$S1254&lt;&gt;""),1,0))</f>
        <v/>
      </c>
      <c r="AF1254" s="22">
        <f>IF(AND($A1254="",$B1254=""),"",IF(Z1254=1,IF(AE1254=1,N($R1254),AD1254),0))</f>
        <v/>
      </c>
      <c r="AG1254" s="22">
        <f>IF(AND($A1254="",$B1254=""),"",IF(Z1254=1,IF(AE1254=1,N($S1254),AC1254),0))</f>
        <v/>
      </c>
      <c r="AH1254" s="21">
        <f>IF(AND($A1254="",$B1254=""),"",IF(AND(ISNUMBER($I1254),N($I1254)&gt;0),$I1254,0))</f>
        <v/>
      </c>
      <c r="AI1254" s="23">
        <f>IF(AND(NOT(AND($A1254="",$B1254="")),$K1254="Point",N($L1254)&gt;0),SQRT(N($L1254)/PI()),"")</f>
        <v/>
      </c>
      <c r="AJ1254" s="21">
        <f>IF(AND($A1254="",$B1254=""),"",IFERROR(VLOOKUP($G1254,Lists!$D$4:$E$15,2,FALSE),"Not reported"))</f>
        <v/>
      </c>
      <c r="AK1254" s="21">
        <f>IF(AND($A1254="",$B1254=""),"",IF($X1254&lt;&gt;"",$X1254,IF($T1254&lt;&gt;"Y","Not assessed",IF(AND(ISNUMBER($V1254),Setup!$B$6-$V1254&gt;Setup!$B$26),"Assessment outdated",IF(NOT(ISNUMBER($W1254)),"Assessed – no score",IF($W1254&gt;=Setup!$B$24,"High",IF($W1254&gt;=Setup!$B$25,"Moderate","Low")))))))</f>
        <v/>
      </c>
      <c r="AL1254" s="21">
        <f>IF(AND($A1254="",$B1254=""),"",IF(Z1254=0,"",IF(AND(AE1254=1,N($R1254)&gt;AD1254*1.01+0.001),"Net terrestrial &gt; gross; ","")&amp;IF(AND(AE1254=1,N($S1254)&gt;AC1254*1.01+0.001),"Net marine &gt; gross; ","")&amp;IF(AE1254=0,"No net area – gross used, overlaps may be double-counted; ","")&amp;IF(AH1254=0,"STATUS_YR missing – imputed in time series; ","")&amp;IF(AND(ISNUMBER($I1254),N($I1254)&gt;Setup!$B$6),"STATUS_YR after reporting year; ","")&amp;IF(OR($G1254="",$G1254="Not Reported"),"GOV_TYPE not reported; ","")&amp;IF(AND(N($J1254)=1,$K1254="Point",N($M1254)&lt;=0),"Coastal point without REP_M_AREA – land/sea split unknown; ","")&amp;IF(AND(N($J1254)=0,N($S1254)&gt;0),"MARINE=0 but net marine &gt;0; ","")&amp;IF(AND(N($J1254)=2,N($R1254)&gt;0),"MARINE=2 but net terrestrial &gt;0; ","")&amp;IF($K1254="Point","Buffered point – coverage approximate; ","")))</f>
        <v/>
      </c>
    </row>
    <row r="1255">
      <c r="A1255" s="19" t="n"/>
      <c r="B1255" s="19" t="n"/>
      <c r="C1255" s="19" t="n"/>
      <c r="D1255" s="19" t="n"/>
      <c r="E1255" s="19" t="n"/>
      <c r="F1255" s="19" t="n"/>
      <c r="G1255" s="19" t="n"/>
      <c r="H1255" s="19" t="n"/>
      <c r="I1255" s="19" t="n"/>
      <c r="J1255" s="19" t="n"/>
      <c r="K1255" s="19" t="n"/>
      <c r="L1255" s="20" t="n"/>
      <c r="M1255" s="20" t="n"/>
      <c r="N1255" s="20" t="n"/>
      <c r="O1255" s="20" t="n"/>
      <c r="P1255" s="19" t="n"/>
      <c r="Q1255" s="19" t="n"/>
      <c r="R1255" s="20" t="n"/>
      <c r="S1255" s="20" t="n"/>
      <c r="T1255" s="19" t="n"/>
      <c r="U1255" s="19" t="n"/>
      <c r="V1255" s="19" t="n"/>
      <c r="W1255" s="19" t="n"/>
      <c r="X1255" s="19" t="n"/>
      <c r="Y1255" s="19" t="n"/>
      <c r="Z1255" s="21">
        <f>IF(AND($A1255="",$B1255=""),"",IF(OR($E1255="",$H1255="",$H1255="Proposed",$H1255="Not Reported"),0,IF(AND($P1255="Y",$Q1255&lt;&gt;"Y"),0,IF(AND($K1255="Point",N($L1255)&lt;=0),0,IF(AND(N($L1255)&lt;=0,N($N1255)&lt;=0,N($R1255)+N($S1255)&lt;=0),0,1)))))</f>
        <v/>
      </c>
      <c r="AA1255" s="21">
        <f>IF(AND($A1255="",$B1255=""),"",IF($E1255="","Site type missing",IF($H1255="","STATUS missing",IF($H1255="Proposed","STATUS = Proposed",IF($H1255="Not Reported","STATUS = Not Reported",IF(AND($P1255="Y",$Q1255&lt;&gt;"Y"),"UNESCO-MAB Biosphere Reserve",IF(AND($K1255="Point",N($L1255)&lt;=0),"Point without REP_AREA",IF(AND(N($L1255)&lt;=0,N($N1255)&lt;=0,N($R1255)+N($S1255)&lt;=0),"No area information",""))))))))</f>
        <v/>
      </c>
      <c r="AB1255" s="22">
        <f>IF(AND($A1255="",$B1255=""),"",IF($K1255="Point",N($L1255),IF(N($N1255)&gt;0,N($N1255),N($L1255))))</f>
        <v/>
      </c>
      <c r="AC1255" s="22">
        <f>IF(AND($A1255="",$B1255=""),"",MIN(AB1255,IF(N($J1255)=0,0,IF(N($J1255)=2,AB1255,IF(AND($K1255&lt;&gt;"Point",N($O1255)&gt;0),N($O1255),N($M1255))))))</f>
        <v/>
      </c>
      <c r="AD1255" s="22">
        <f>IF(AND($A1255="",$B1255=""),"",MAX(0,AB1255-AC1255))</f>
        <v/>
      </c>
      <c r="AE1255" s="21">
        <f>IF(AND($A1255="",$B1255=""),"",IF(OR($R1255&lt;&gt;"",$S1255&lt;&gt;""),1,0))</f>
        <v/>
      </c>
      <c r="AF1255" s="22">
        <f>IF(AND($A1255="",$B1255=""),"",IF(Z1255=1,IF(AE1255=1,N($R1255),AD1255),0))</f>
        <v/>
      </c>
      <c r="AG1255" s="22">
        <f>IF(AND($A1255="",$B1255=""),"",IF(Z1255=1,IF(AE1255=1,N($S1255),AC1255),0))</f>
        <v/>
      </c>
      <c r="AH1255" s="21">
        <f>IF(AND($A1255="",$B1255=""),"",IF(AND(ISNUMBER($I1255),N($I1255)&gt;0),$I1255,0))</f>
        <v/>
      </c>
      <c r="AI1255" s="23">
        <f>IF(AND(NOT(AND($A1255="",$B1255="")),$K1255="Point",N($L1255)&gt;0),SQRT(N($L1255)/PI()),"")</f>
        <v/>
      </c>
      <c r="AJ1255" s="21">
        <f>IF(AND($A1255="",$B1255=""),"",IFERROR(VLOOKUP($G1255,Lists!$D$4:$E$15,2,FALSE),"Not reported"))</f>
        <v/>
      </c>
      <c r="AK1255" s="21">
        <f>IF(AND($A1255="",$B1255=""),"",IF($X1255&lt;&gt;"",$X1255,IF($T1255&lt;&gt;"Y","Not assessed",IF(AND(ISNUMBER($V1255),Setup!$B$6-$V1255&gt;Setup!$B$26),"Assessment outdated",IF(NOT(ISNUMBER($W1255)),"Assessed – no score",IF($W1255&gt;=Setup!$B$24,"High",IF($W1255&gt;=Setup!$B$25,"Moderate","Low")))))))</f>
        <v/>
      </c>
      <c r="AL1255" s="21">
        <f>IF(AND($A1255="",$B1255=""),"",IF(Z1255=0,"",IF(AND(AE1255=1,N($R1255)&gt;AD1255*1.01+0.001),"Net terrestrial &gt; gross; ","")&amp;IF(AND(AE1255=1,N($S1255)&gt;AC1255*1.01+0.001),"Net marine &gt; gross; ","")&amp;IF(AE1255=0,"No net area – gross used, overlaps may be double-counted; ","")&amp;IF(AH1255=0,"STATUS_YR missing – imputed in time series; ","")&amp;IF(AND(ISNUMBER($I1255),N($I1255)&gt;Setup!$B$6),"STATUS_YR after reporting year; ","")&amp;IF(OR($G1255="",$G1255="Not Reported"),"GOV_TYPE not reported; ","")&amp;IF(AND(N($J1255)=1,$K1255="Point",N($M1255)&lt;=0),"Coastal point without REP_M_AREA – land/sea split unknown; ","")&amp;IF(AND(N($J1255)=0,N($S1255)&gt;0),"MARINE=0 but net marine &gt;0; ","")&amp;IF(AND(N($J1255)=2,N($R1255)&gt;0),"MARINE=2 but net terrestrial &gt;0; ","")&amp;IF($K1255="Point","Buffered point – coverage approximate; ","")))</f>
        <v/>
      </c>
    </row>
    <row r="1256">
      <c r="A1256" s="19" t="n"/>
      <c r="B1256" s="19" t="n"/>
      <c r="C1256" s="19" t="n"/>
      <c r="D1256" s="19" t="n"/>
      <c r="E1256" s="19" t="n"/>
      <c r="F1256" s="19" t="n"/>
      <c r="G1256" s="19" t="n"/>
      <c r="H1256" s="19" t="n"/>
      <c r="I1256" s="19" t="n"/>
      <c r="J1256" s="19" t="n"/>
      <c r="K1256" s="19" t="n"/>
      <c r="L1256" s="20" t="n"/>
      <c r="M1256" s="20" t="n"/>
      <c r="N1256" s="20" t="n"/>
      <c r="O1256" s="20" t="n"/>
      <c r="P1256" s="19" t="n"/>
      <c r="Q1256" s="19" t="n"/>
      <c r="R1256" s="20" t="n"/>
      <c r="S1256" s="20" t="n"/>
      <c r="T1256" s="19" t="n"/>
      <c r="U1256" s="19" t="n"/>
      <c r="V1256" s="19" t="n"/>
      <c r="W1256" s="19" t="n"/>
      <c r="X1256" s="19" t="n"/>
      <c r="Y1256" s="19" t="n"/>
      <c r="Z1256" s="21">
        <f>IF(AND($A1256="",$B1256=""),"",IF(OR($E1256="",$H1256="",$H1256="Proposed",$H1256="Not Reported"),0,IF(AND($P1256="Y",$Q1256&lt;&gt;"Y"),0,IF(AND($K1256="Point",N($L1256)&lt;=0),0,IF(AND(N($L1256)&lt;=0,N($N1256)&lt;=0,N($R1256)+N($S1256)&lt;=0),0,1)))))</f>
        <v/>
      </c>
      <c r="AA1256" s="21">
        <f>IF(AND($A1256="",$B1256=""),"",IF($E1256="","Site type missing",IF($H1256="","STATUS missing",IF($H1256="Proposed","STATUS = Proposed",IF($H1256="Not Reported","STATUS = Not Reported",IF(AND($P1256="Y",$Q1256&lt;&gt;"Y"),"UNESCO-MAB Biosphere Reserve",IF(AND($K1256="Point",N($L1256)&lt;=0),"Point without REP_AREA",IF(AND(N($L1256)&lt;=0,N($N1256)&lt;=0,N($R1256)+N($S1256)&lt;=0),"No area information",""))))))))</f>
        <v/>
      </c>
      <c r="AB1256" s="22">
        <f>IF(AND($A1256="",$B1256=""),"",IF($K1256="Point",N($L1256),IF(N($N1256)&gt;0,N($N1256),N($L1256))))</f>
        <v/>
      </c>
      <c r="AC1256" s="22">
        <f>IF(AND($A1256="",$B1256=""),"",MIN(AB1256,IF(N($J1256)=0,0,IF(N($J1256)=2,AB1256,IF(AND($K1256&lt;&gt;"Point",N($O1256)&gt;0),N($O1256),N($M1256))))))</f>
        <v/>
      </c>
      <c r="AD1256" s="22">
        <f>IF(AND($A1256="",$B1256=""),"",MAX(0,AB1256-AC1256))</f>
        <v/>
      </c>
      <c r="AE1256" s="21">
        <f>IF(AND($A1256="",$B1256=""),"",IF(OR($R1256&lt;&gt;"",$S1256&lt;&gt;""),1,0))</f>
        <v/>
      </c>
      <c r="AF1256" s="22">
        <f>IF(AND($A1256="",$B1256=""),"",IF(Z1256=1,IF(AE1256=1,N($R1256),AD1256),0))</f>
        <v/>
      </c>
      <c r="AG1256" s="22">
        <f>IF(AND($A1256="",$B1256=""),"",IF(Z1256=1,IF(AE1256=1,N($S1256),AC1256),0))</f>
        <v/>
      </c>
      <c r="AH1256" s="21">
        <f>IF(AND($A1256="",$B1256=""),"",IF(AND(ISNUMBER($I1256),N($I1256)&gt;0),$I1256,0))</f>
        <v/>
      </c>
      <c r="AI1256" s="23">
        <f>IF(AND(NOT(AND($A1256="",$B1256="")),$K1256="Point",N($L1256)&gt;0),SQRT(N($L1256)/PI()),"")</f>
        <v/>
      </c>
      <c r="AJ1256" s="21">
        <f>IF(AND($A1256="",$B1256=""),"",IFERROR(VLOOKUP($G1256,Lists!$D$4:$E$15,2,FALSE),"Not reported"))</f>
        <v/>
      </c>
      <c r="AK1256" s="21">
        <f>IF(AND($A1256="",$B1256=""),"",IF($X1256&lt;&gt;"",$X1256,IF($T1256&lt;&gt;"Y","Not assessed",IF(AND(ISNUMBER($V1256),Setup!$B$6-$V1256&gt;Setup!$B$26),"Assessment outdated",IF(NOT(ISNUMBER($W1256)),"Assessed – no score",IF($W1256&gt;=Setup!$B$24,"High",IF($W1256&gt;=Setup!$B$25,"Moderate","Low")))))))</f>
        <v/>
      </c>
      <c r="AL1256" s="21">
        <f>IF(AND($A1256="",$B1256=""),"",IF(Z1256=0,"",IF(AND(AE1256=1,N($R1256)&gt;AD1256*1.01+0.001),"Net terrestrial &gt; gross; ","")&amp;IF(AND(AE1256=1,N($S1256)&gt;AC1256*1.01+0.001),"Net marine &gt; gross; ","")&amp;IF(AE1256=0,"No net area – gross used, overlaps may be double-counted; ","")&amp;IF(AH1256=0,"STATUS_YR missing – imputed in time series; ","")&amp;IF(AND(ISNUMBER($I1256),N($I1256)&gt;Setup!$B$6),"STATUS_YR after reporting year; ","")&amp;IF(OR($G1256="",$G1256="Not Reported"),"GOV_TYPE not reported; ","")&amp;IF(AND(N($J1256)=1,$K1256="Point",N($M1256)&lt;=0),"Coastal point without REP_M_AREA – land/sea split unknown; ","")&amp;IF(AND(N($J1256)=0,N($S1256)&gt;0),"MARINE=0 but net marine &gt;0; ","")&amp;IF(AND(N($J1256)=2,N($R1256)&gt;0),"MARINE=2 but net terrestrial &gt;0; ","")&amp;IF($K1256="Point","Buffered point – coverage approximate; ","")))</f>
        <v/>
      </c>
    </row>
    <row r="1257">
      <c r="A1257" s="19" t="n"/>
      <c r="B1257" s="19" t="n"/>
      <c r="C1257" s="19" t="n"/>
      <c r="D1257" s="19" t="n"/>
      <c r="E1257" s="19" t="n"/>
      <c r="F1257" s="19" t="n"/>
      <c r="G1257" s="19" t="n"/>
      <c r="H1257" s="19" t="n"/>
      <c r="I1257" s="19" t="n"/>
      <c r="J1257" s="19" t="n"/>
      <c r="K1257" s="19" t="n"/>
      <c r="L1257" s="20" t="n"/>
      <c r="M1257" s="20" t="n"/>
      <c r="N1257" s="20" t="n"/>
      <c r="O1257" s="20" t="n"/>
      <c r="P1257" s="19" t="n"/>
      <c r="Q1257" s="19" t="n"/>
      <c r="R1257" s="20" t="n"/>
      <c r="S1257" s="20" t="n"/>
      <c r="T1257" s="19" t="n"/>
      <c r="U1257" s="19" t="n"/>
      <c r="V1257" s="19" t="n"/>
      <c r="W1257" s="19" t="n"/>
      <c r="X1257" s="19" t="n"/>
      <c r="Y1257" s="19" t="n"/>
      <c r="Z1257" s="21">
        <f>IF(AND($A1257="",$B1257=""),"",IF(OR($E1257="",$H1257="",$H1257="Proposed",$H1257="Not Reported"),0,IF(AND($P1257="Y",$Q1257&lt;&gt;"Y"),0,IF(AND($K1257="Point",N($L1257)&lt;=0),0,IF(AND(N($L1257)&lt;=0,N($N1257)&lt;=0,N($R1257)+N($S1257)&lt;=0),0,1)))))</f>
        <v/>
      </c>
      <c r="AA1257" s="21">
        <f>IF(AND($A1257="",$B1257=""),"",IF($E1257="","Site type missing",IF($H1257="","STATUS missing",IF($H1257="Proposed","STATUS = Proposed",IF($H1257="Not Reported","STATUS = Not Reported",IF(AND($P1257="Y",$Q1257&lt;&gt;"Y"),"UNESCO-MAB Biosphere Reserve",IF(AND($K1257="Point",N($L1257)&lt;=0),"Point without REP_AREA",IF(AND(N($L1257)&lt;=0,N($N1257)&lt;=0,N($R1257)+N($S1257)&lt;=0),"No area information",""))))))))</f>
        <v/>
      </c>
      <c r="AB1257" s="22">
        <f>IF(AND($A1257="",$B1257=""),"",IF($K1257="Point",N($L1257),IF(N($N1257)&gt;0,N($N1257),N($L1257))))</f>
        <v/>
      </c>
      <c r="AC1257" s="22">
        <f>IF(AND($A1257="",$B1257=""),"",MIN(AB1257,IF(N($J1257)=0,0,IF(N($J1257)=2,AB1257,IF(AND($K1257&lt;&gt;"Point",N($O1257)&gt;0),N($O1257),N($M1257))))))</f>
        <v/>
      </c>
      <c r="AD1257" s="22">
        <f>IF(AND($A1257="",$B1257=""),"",MAX(0,AB1257-AC1257))</f>
        <v/>
      </c>
      <c r="AE1257" s="21">
        <f>IF(AND($A1257="",$B1257=""),"",IF(OR($R1257&lt;&gt;"",$S1257&lt;&gt;""),1,0))</f>
        <v/>
      </c>
      <c r="AF1257" s="22">
        <f>IF(AND($A1257="",$B1257=""),"",IF(Z1257=1,IF(AE1257=1,N($R1257),AD1257),0))</f>
        <v/>
      </c>
      <c r="AG1257" s="22">
        <f>IF(AND($A1257="",$B1257=""),"",IF(Z1257=1,IF(AE1257=1,N($S1257),AC1257),0))</f>
        <v/>
      </c>
      <c r="AH1257" s="21">
        <f>IF(AND($A1257="",$B1257=""),"",IF(AND(ISNUMBER($I1257),N($I1257)&gt;0),$I1257,0))</f>
        <v/>
      </c>
      <c r="AI1257" s="23">
        <f>IF(AND(NOT(AND($A1257="",$B1257="")),$K1257="Point",N($L1257)&gt;0),SQRT(N($L1257)/PI()),"")</f>
        <v/>
      </c>
      <c r="AJ1257" s="21">
        <f>IF(AND($A1257="",$B1257=""),"",IFERROR(VLOOKUP($G1257,Lists!$D$4:$E$15,2,FALSE),"Not reported"))</f>
        <v/>
      </c>
      <c r="AK1257" s="21">
        <f>IF(AND($A1257="",$B1257=""),"",IF($X1257&lt;&gt;"",$X1257,IF($T1257&lt;&gt;"Y","Not assessed",IF(AND(ISNUMBER($V1257),Setup!$B$6-$V1257&gt;Setup!$B$26),"Assessment outdated",IF(NOT(ISNUMBER($W1257)),"Assessed – no score",IF($W1257&gt;=Setup!$B$24,"High",IF($W1257&gt;=Setup!$B$25,"Moderate","Low")))))))</f>
        <v/>
      </c>
      <c r="AL1257" s="21">
        <f>IF(AND($A1257="",$B1257=""),"",IF(Z1257=0,"",IF(AND(AE1257=1,N($R1257)&gt;AD1257*1.01+0.001),"Net terrestrial &gt; gross; ","")&amp;IF(AND(AE1257=1,N($S1257)&gt;AC1257*1.01+0.001),"Net marine &gt; gross; ","")&amp;IF(AE1257=0,"No net area – gross used, overlaps may be double-counted; ","")&amp;IF(AH1257=0,"STATUS_YR missing – imputed in time series; ","")&amp;IF(AND(ISNUMBER($I1257),N($I1257)&gt;Setup!$B$6),"STATUS_YR after reporting year; ","")&amp;IF(OR($G1257="",$G1257="Not Reported"),"GOV_TYPE not reported; ","")&amp;IF(AND(N($J1257)=1,$K1257="Point",N($M1257)&lt;=0),"Coastal point without REP_M_AREA – land/sea split unknown; ","")&amp;IF(AND(N($J1257)=0,N($S1257)&gt;0),"MARINE=0 but net marine &gt;0; ","")&amp;IF(AND(N($J1257)=2,N($R1257)&gt;0),"MARINE=2 but net terrestrial &gt;0; ","")&amp;IF($K1257="Point","Buffered point – coverage approximate; ","")))</f>
        <v/>
      </c>
    </row>
    <row r="1258">
      <c r="A1258" s="19" t="n"/>
      <c r="B1258" s="19" t="n"/>
      <c r="C1258" s="19" t="n"/>
      <c r="D1258" s="19" t="n"/>
      <c r="E1258" s="19" t="n"/>
      <c r="F1258" s="19" t="n"/>
      <c r="G1258" s="19" t="n"/>
      <c r="H1258" s="19" t="n"/>
      <c r="I1258" s="19" t="n"/>
      <c r="J1258" s="19" t="n"/>
      <c r="K1258" s="19" t="n"/>
      <c r="L1258" s="20" t="n"/>
      <c r="M1258" s="20" t="n"/>
      <c r="N1258" s="20" t="n"/>
      <c r="O1258" s="20" t="n"/>
      <c r="P1258" s="19" t="n"/>
      <c r="Q1258" s="19" t="n"/>
      <c r="R1258" s="20" t="n"/>
      <c r="S1258" s="20" t="n"/>
      <c r="T1258" s="19" t="n"/>
      <c r="U1258" s="19" t="n"/>
      <c r="V1258" s="19" t="n"/>
      <c r="W1258" s="19" t="n"/>
      <c r="X1258" s="19" t="n"/>
      <c r="Y1258" s="19" t="n"/>
      <c r="Z1258" s="21">
        <f>IF(AND($A1258="",$B1258=""),"",IF(OR($E1258="",$H1258="",$H1258="Proposed",$H1258="Not Reported"),0,IF(AND($P1258="Y",$Q1258&lt;&gt;"Y"),0,IF(AND($K1258="Point",N($L1258)&lt;=0),0,IF(AND(N($L1258)&lt;=0,N($N1258)&lt;=0,N($R1258)+N($S1258)&lt;=0),0,1)))))</f>
        <v/>
      </c>
      <c r="AA1258" s="21">
        <f>IF(AND($A1258="",$B1258=""),"",IF($E1258="","Site type missing",IF($H1258="","STATUS missing",IF($H1258="Proposed","STATUS = Proposed",IF($H1258="Not Reported","STATUS = Not Reported",IF(AND($P1258="Y",$Q1258&lt;&gt;"Y"),"UNESCO-MAB Biosphere Reserve",IF(AND($K1258="Point",N($L1258)&lt;=0),"Point without REP_AREA",IF(AND(N($L1258)&lt;=0,N($N1258)&lt;=0,N($R1258)+N($S1258)&lt;=0),"No area information",""))))))))</f>
        <v/>
      </c>
      <c r="AB1258" s="22">
        <f>IF(AND($A1258="",$B1258=""),"",IF($K1258="Point",N($L1258),IF(N($N1258)&gt;0,N($N1258),N($L1258))))</f>
        <v/>
      </c>
      <c r="AC1258" s="22">
        <f>IF(AND($A1258="",$B1258=""),"",MIN(AB1258,IF(N($J1258)=0,0,IF(N($J1258)=2,AB1258,IF(AND($K1258&lt;&gt;"Point",N($O1258)&gt;0),N($O1258),N($M1258))))))</f>
        <v/>
      </c>
      <c r="AD1258" s="22">
        <f>IF(AND($A1258="",$B1258=""),"",MAX(0,AB1258-AC1258))</f>
        <v/>
      </c>
      <c r="AE1258" s="21">
        <f>IF(AND($A1258="",$B1258=""),"",IF(OR($R1258&lt;&gt;"",$S1258&lt;&gt;""),1,0))</f>
        <v/>
      </c>
      <c r="AF1258" s="22">
        <f>IF(AND($A1258="",$B1258=""),"",IF(Z1258=1,IF(AE1258=1,N($R1258),AD1258),0))</f>
        <v/>
      </c>
      <c r="AG1258" s="22">
        <f>IF(AND($A1258="",$B1258=""),"",IF(Z1258=1,IF(AE1258=1,N($S1258),AC1258),0))</f>
        <v/>
      </c>
      <c r="AH1258" s="21">
        <f>IF(AND($A1258="",$B1258=""),"",IF(AND(ISNUMBER($I1258),N($I1258)&gt;0),$I1258,0))</f>
        <v/>
      </c>
      <c r="AI1258" s="23">
        <f>IF(AND(NOT(AND($A1258="",$B1258="")),$K1258="Point",N($L1258)&gt;0),SQRT(N($L1258)/PI()),"")</f>
        <v/>
      </c>
      <c r="AJ1258" s="21">
        <f>IF(AND($A1258="",$B1258=""),"",IFERROR(VLOOKUP($G1258,Lists!$D$4:$E$15,2,FALSE),"Not reported"))</f>
        <v/>
      </c>
      <c r="AK1258" s="21">
        <f>IF(AND($A1258="",$B1258=""),"",IF($X1258&lt;&gt;"",$X1258,IF($T1258&lt;&gt;"Y","Not assessed",IF(AND(ISNUMBER($V1258),Setup!$B$6-$V1258&gt;Setup!$B$26),"Assessment outdated",IF(NOT(ISNUMBER($W1258)),"Assessed – no score",IF($W1258&gt;=Setup!$B$24,"High",IF($W1258&gt;=Setup!$B$25,"Moderate","Low")))))))</f>
        <v/>
      </c>
      <c r="AL1258" s="21">
        <f>IF(AND($A1258="",$B1258=""),"",IF(Z1258=0,"",IF(AND(AE1258=1,N($R1258)&gt;AD1258*1.01+0.001),"Net terrestrial &gt; gross; ","")&amp;IF(AND(AE1258=1,N($S1258)&gt;AC1258*1.01+0.001),"Net marine &gt; gross; ","")&amp;IF(AE1258=0,"No net area – gross used, overlaps may be double-counted; ","")&amp;IF(AH1258=0,"STATUS_YR missing – imputed in time series; ","")&amp;IF(AND(ISNUMBER($I1258),N($I1258)&gt;Setup!$B$6),"STATUS_YR after reporting year; ","")&amp;IF(OR($G1258="",$G1258="Not Reported"),"GOV_TYPE not reported; ","")&amp;IF(AND(N($J1258)=1,$K1258="Point",N($M1258)&lt;=0),"Coastal point without REP_M_AREA – land/sea split unknown; ","")&amp;IF(AND(N($J1258)=0,N($S1258)&gt;0),"MARINE=0 but net marine &gt;0; ","")&amp;IF(AND(N($J1258)=2,N($R1258)&gt;0),"MARINE=2 but net terrestrial &gt;0; ","")&amp;IF($K1258="Point","Buffered point – coverage approximate; ","")))</f>
        <v/>
      </c>
    </row>
    <row r="1259">
      <c r="A1259" s="19" t="n"/>
      <c r="B1259" s="19" t="n"/>
      <c r="C1259" s="19" t="n"/>
      <c r="D1259" s="19" t="n"/>
      <c r="E1259" s="19" t="n"/>
      <c r="F1259" s="19" t="n"/>
      <c r="G1259" s="19" t="n"/>
      <c r="H1259" s="19" t="n"/>
      <c r="I1259" s="19" t="n"/>
      <c r="J1259" s="19" t="n"/>
      <c r="K1259" s="19" t="n"/>
      <c r="L1259" s="20" t="n"/>
      <c r="M1259" s="20" t="n"/>
      <c r="N1259" s="20" t="n"/>
      <c r="O1259" s="20" t="n"/>
      <c r="P1259" s="19" t="n"/>
      <c r="Q1259" s="19" t="n"/>
      <c r="R1259" s="20" t="n"/>
      <c r="S1259" s="20" t="n"/>
      <c r="T1259" s="19" t="n"/>
      <c r="U1259" s="19" t="n"/>
      <c r="V1259" s="19" t="n"/>
      <c r="W1259" s="19" t="n"/>
      <c r="X1259" s="19" t="n"/>
      <c r="Y1259" s="19" t="n"/>
      <c r="Z1259" s="21">
        <f>IF(AND($A1259="",$B1259=""),"",IF(OR($E1259="",$H1259="",$H1259="Proposed",$H1259="Not Reported"),0,IF(AND($P1259="Y",$Q1259&lt;&gt;"Y"),0,IF(AND($K1259="Point",N($L1259)&lt;=0),0,IF(AND(N($L1259)&lt;=0,N($N1259)&lt;=0,N($R1259)+N($S1259)&lt;=0),0,1)))))</f>
        <v/>
      </c>
      <c r="AA1259" s="21">
        <f>IF(AND($A1259="",$B1259=""),"",IF($E1259="","Site type missing",IF($H1259="","STATUS missing",IF($H1259="Proposed","STATUS = Proposed",IF($H1259="Not Reported","STATUS = Not Reported",IF(AND($P1259="Y",$Q1259&lt;&gt;"Y"),"UNESCO-MAB Biosphere Reserve",IF(AND($K1259="Point",N($L1259)&lt;=0),"Point without REP_AREA",IF(AND(N($L1259)&lt;=0,N($N1259)&lt;=0,N($R1259)+N($S1259)&lt;=0),"No area information",""))))))))</f>
        <v/>
      </c>
      <c r="AB1259" s="22">
        <f>IF(AND($A1259="",$B1259=""),"",IF($K1259="Point",N($L1259),IF(N($N1259)&gt;0,N($N1259),N($L1259))))</f>
        <v/>
      </c>
      <c r="AC1259" s="22">
        <f>IF(AND($A1259="",$B1259=""),"",MIN(AB1259,IF(N($J1259)=0,0,IF(N($J1259)=2,AB1259,IF(AND($K1259&lt;&gt;"Point",N($O1259)&gt;0),N($O1259),N($M1259))))))</f>
        <v/>
      </c>
      <c r="AD1259" s="22">
        <f>IF(AND($A1259="",$B1259=""),"",MAX(0,AB1259-AC1259))</f>
        <v/>
      </c>
      <c r="AE1259" s="21">
        <f>IF(AND($A1259="",$B1259=""),"",IF(OR($R1259&lt;&gt;"",$S1259&lt;&gt;""),1,0))</f>
        <v/>
      </c>
      <c r="AF1259" s="22">
        <f>IF(AND($A1259="",$B1259=""),"",IF(Z1259=1,IF(AE1259=1,N($R1259),AD1259),0))</f>
        <v/>
      </c>
      <c r="AG1259" s="22">
        <f>IF(AND($A1259="",$B1259=""),"",IF(Z1259=1,IF(AE1259=1,N($S1259),AC1259),0))</f>
        <v/>
      </c>
      <c r="AH1259" s="21">
        <f>IF(AND($A1259="",$B1259=""),"",IF(AND(ISNUMBER($I1259),N($I1259)&gt;0),$I1259,0))</f>
        <v/>
      </c>
      <c r="AI1259" s="23">
        <f>IF(AND(NOT(AND($A1259="",$B1259="")),$K1259="Point",N($L1259)&gt;0),SQRT(N($L1259)/PI()),"")</f>
        <v/>
      </c>
      <c r="AJ1259" s="21">
        <f>IF(AND($A1259="",$B1259=""),"",IFERROR(VLOOKUP($G1259,Lists!$D$4:$E$15,2,FALSE),"Not reported"))</f>
        <v/>
      </c>
      <c r="AK1259" s="21">
        <f>IF(AND($A1259="",$B1259=""),"",IF($X1259&lt;&gt;"",$X1259,IF($T1259&lt;&gt;"Y","Not assessed",IF(AND(ISNUMBER($V1259),Setup!$B$6-$V1259&gt;Setup!$B$26),"Assessment outdated",IF(NOT(ISNUMBER($W1259)),"Assessed – no score",IF($W1259&gt;=Setup!$B$24,"High",IF($W1259&gt;=Setup!$B$25,"Moderate","Low")))))))</f>
        <v/>
      </c>
      <c r="AL1259" s="21">
        <f>IF(AND($A1259="",$B1259=""),"",IF(Z1259=0,"",IF(AND(AE1259=1,N($R1259)&gt;AD1259*1.01+0.001),"Net terrestrial &gt; gross; ","")&amp;IF(AND(AE1259=1,N($S1259)&gt;AC1259*1.01+0.001),"Net marine &gt; gross; ","")&amp;IF(AE1259=0,"No net area – gross used, overlaps may be double-counted; ","")&amp;IF(AH1259=0,"STATUS_YR missing – imputed in time series; ","")&amp;IF(AND(ISNUMBER($I1259),N($I1259)&gt;Setup!$B$6),"STATUS_YR after reporting year; ","")&amp;IF(OR($G1259="",$G1259="Not Reported"),"GOV_TYPE not reported; ","")&amp;IF(AND(N($J1259)=1,$K1259="Point",N($M1259)&lt;=0),"Coastal point without REP_M_AREA – land/sea split unknown; ","")&amp;IF(AND(N($J1259)=0,N($S1259)&gt;0),"MARINE=0 but net marine &gt;0; ","")&amp;IF(AND(N($J1259)=2,N($R1259)&gt;0),"MARINE=2 but net terrestrial &gt;0; ","")&amp;IF($K1259="Point","Buffered point – coverage approximate; ","")))</f>
        <v/>
      </c>
    </row>
    <row r="1260">
      <c r="A1260" s="19" t="n"/>
      <c r="B1260" s="19" t="n"/>
      <c r="C1260" s="19" t="n"/>
      <c r="D1260" s="19" t="n"/>
      <c r="E1260" s="19" t="n"/>
      <c r="F1260" s="19" t="n"/>
      <c r="G1260" s="19" t="n"/>
      <c r="H1260" s="19" t="n"/>
      <c r="I1260" s="19" t="n"/>
      <c r="J1260" s="19" t="n"/>
      <c r="K1260" s="19" t="n"/>
      <c r="L1260" s="20" t="n"/>
      <c r="M1260" s="20" t="n"/>
      <c r="N1260" s="20" t="n"/>
      <c r="O1260" s="20" t="n"/>
      <c r="P1260" s="19" t="n"/>
      <c r="Q1260" s="19" t="n"/>
      <c r="R1260" s="20" t="n"/>
      <c r="S1260" s="20" t="n"/>
      <c r="T1260" s="19" t="n"/>
      <c r="U1260" s="19" t="n"/>
      <c r="V1260" s="19" t="n"/>
      <c r="W1260" s="19" t="n"/>
      <c r="X1260" s="19" t="n"/>
      <c r="Y1260" s="19" t="n"/>
      <c r="Z1260" s="21">
        <f>IF(AND($A1260="",$B1260=""),"",IF(OR($E1260="",$H1260="",$H1260="Proposed",$H1260="Not Reported"),0,IF(AND($P1260="Y",$Q1260&lt;&gt;"Y"),0,IF(AND($K1260="Point",N($L1260)&lt;=0),0,IF(AND(N($L1260)&lt;=0,N($N1260)&lt;=0,N($R1260)+N($S1260)&lt;=0),0,1)))))</f>
        <v/>
      </c>
      <c r="AA1260" s="21">
        <f>IF(AND($A1260="",$B1260=""),"",IF($E1260="","Site type missing",IF($H1260="","STATUS missing",IF($H1260="Proposed","STATUS = Proposed",IF($H1260="Not Reported","STATUS = Not Reported",IF(AND($P1260="Y",$Q1260&lt;&gt;"Y"),"UNESCO-MAB Biosphere Reserve",IF(AND($K1260="Point",N($L1260)&lt;=0),"Point without REP_AREA",IF(AND(N($L1260)&lt;=0,N($N1260)&lt;=0,N($R1260)+N($S1260)&lt;=0),"No area information",""))))))))</f>
        <v/>
      </c>
      <c r="AB1260" s="22">
        <f>IF(AND($A1260="",$B1260=""),"",IF($K1260="Point",N($L1260),IF(N($N1260)&gt;0,N($N1260),N($L1260))))</f>
        <v/>
      </c>
      <c r="AC1260" s="22">
        <f>IF(AND($A1260="",$B1260=""),"",MIN(AB1260,IF(N($J1260)=0,0,IF(N($J1260)=2,AB1260,IF(AND($K1260&lt;&gt;"Point",N($O1260)&gt;0),N($O1260),N($M1260))))))</f>
        <v/>
      </c>
      <c r="AD1260" s="22">
        <f>IF(AND($A1260="",$B1260=""),"",MAX(0,AB1260-AC1260))</f>
        <v/>
      </c>
      <c r="AE1260" s="21">
        <f>IF(AND($A1260="",$B1260=""),"",IF(OR($R1260&lt;&gt;"",$S1260&lt;&gt;""),1,0))</f>
        <v/>
      </c>
      <c r="AF1260" s="22">
        <f>IF(AND($A1260="",$B1260=""),"",IF(Z1260=1,IF(AE1260=1,N($R1260),AD1260),0))</f>
        <v/>
      </c>
      <c r="AG1260" s="22">
        <f>IF(AND($A1260="",$B1260=""),"",IF(Z1260=1,IF(AE1260=1,N($S1260),AC1260),0))</f>
        <v/>
      </c>
      <c r="AH1260" s="21">
        <f>IF(AND($A1260="",$B1260=""),"",IF(AND(ISNUMBER($I1260),N($I1260)&gt;0),$I1260,0))</f>
        <v/>
      </c>
      <c r="AI1260" s="23">
        <f>IF(AND(NOT(AND($A1260="",$B1260="")),$K1260="Point",N($L1260)&gt;0),SQRT(N($L1260)/PI()),"")</f>
        <v/>
      </c>
      <c r="AJ1260" s="21">
        <f>IF(AND($A1260="",$B1260=""),"",IFERROR(VLOOKUP($G1260,Lists!$D$4:$E$15,2,FALSE),"Not reported"))</f>
        <v/>
      </c>
      <c r="AK1260" s="21">
        <f>IF(AND($A1260="",$B1260=""),"",IF($X1260&lt;&gt;"",$X1260,IF($T1260&lt;&gt;"Y","Not assessed",IF(AND(ISNUMBER($V1260),Setup!$B$6-$V1260&gt;Setup!$B$26),"Assessment outdated",IF(NOT(ISNUMBER($W1260)),"Assessed – no score",IF($W1260&gt;=Setup!$B$24,"High",IF($W1260&gt;=Setup!$B$25,"Moderate","Low")))))))</f>
        <v/>
      </c>
      <c r="AL1260" s="21">
        <f>IF(AND($A1260="",$B1260=""),"",IF(Z1260=0,"",IF(AND(AE1260=1,N($R1260)&gt;AD1260*1.01+0.001),"Net terrestrial &gt; gross; ","")&amp;IF(AND(AE1260=1,N($S1260)&gt;AC1260*1.01+0.001),"Net marine &gt; gross; ","")&amp;IF(AE1260=0,"No net area – gross used, overlaps may be double-counted; ","")&amp;IF(AH1260=0,"STATUS_YR missing – imputed in time series; ","")&amp;IF(AND(ISNUMBER($I1260),N($I1260)&gt;Setup!$B$6),"STATUS_YR after reporting year; ","")&amp;IF(OR($G1260="",$G1260="Not Reported"),"GOV_TYPE not reported; ","")&amp;IF(AND(N($J1260)=1,$K1260="Point",N($M1260)&lt;=0),"Coastal point without REP_M_AREA – land/sea split unknown; ","")&amp;IF(AND(N($J1260)=0,N($S1260)&gt;0),"MARINE=0 but net marine &gt;0; ","")&amp;IF(AND(N($J1260)=2,N($R1260)&gt;0),"MARINE=2 but net terrestrial &gt;0; ","")&amp;IF($K1260="Point","Buffered point – coverage approximate; ","")))</f>
        <v/>
      </c>
    </row>
    <row r="1261">
      <c r="A1261" s="19" t="n"/>
      <c r="B1261" s="19" t="n"/>
      <c r="C1261" s="19" t="n"/>
      <c r="D1261" s="19" t="n"/>
      <c r="E1261" s="19" t="n"/>
      <c r="F1261" s="19" t="n"/>
      <c r="G1261" s="19" t="n"/>
      <c r="H1261" s="19" t="n"/>
      <c r="I1261" s="19" t="n"/>
      <c r="J1261" s="19" t="n"/>
      <c r="K1261" s="19" t="n"/>
      <c r="L1261" s="20" t="n"/>
      <c r="M1261" s="20" t="n"/>
      <c r="N1261" s="20" t="n"/>
      <c r="O1261" s="20" t="n"/>
      <c r="P1261" s="19" t="n"/>
      <c r="Q1261" s="19" t="n"/>
      <c r="R1261" s="20" t="n"/>
      <c r="S1261" s="20" t="n"/>
      <c r="T1261" s="19" t="n"/>
      <c r="U1261" s="19" t="n"/>
      <c r="V1261" s="19" t="n"/>
      <c r="W1261" s="19" t="n"/>
      <c r="X1261" s="19" t="n"/>
      <c r="Y1261" s="19" t="n"/>
      <c r="Z1261" s="21">
        <f>IF(AND($A1261="",$B1261=""),"",IF(OR($E1261="",$H1261="",$H1261="Proposed",$H1261="Not Reported"),0,IF(AND($P1261="Y",$Q1261&lt;&gt;"Y"),0,IF(AND($K1261="Point",N($L1261)&lt;=0),0,IF(AND(N($L1261)&lt;=0,N($N1261)&lt;=0,N($R1261)+N($S1261)&lt;=0),0,1)))))</f>
        <v/>
      </c>
      <c r="AA1261" s="21">
        <f>IF(AND($A1261="",$B1261=""),"",IF($E1261="","Site type missing",IF($H1261="","STATUS missing",IF($H1261="Proposed","STATUS = Proposed",IF($H1261="Not Reported","STATUS = Not Reported",IF(AND($P1261="Y",$Q1261&lt;&gt;"Y"),"UNESCO-MAB Biosphere Reserve",IF(AND($K1261="Point",N($L1261)&lt;=0),"Point without REP_AREA",IF(AND(N($L1261)&lt;=0,N($N1261)&lt;=0,N($R1261)+N($S1261)&lt;=0),"No area information",""))))))))</f>
        <v/>
      </c>
      <c r="AB1261" s="22">
        <f>IF(AND($A1261="",$B1261=""),"",IF($K1261="Point",N($L1261),IF(N($N1261)&gt;0,N($N1261),N($L1261))))</f>
        <v/>
      </c>
      <c r="AC1261" s="22">
        <f>IF(AND($A1261="",$B1261=""),"",MIN(AB1261,IF(N($J1261)=0,0,IF(N($J1261)=2,AB1261,IF(AND($K1261&lt;&gt;"Point",N($O1261)&gt;0),N($O1261),N($M1261))))))</f>
        <v/>
      </c>
      <c r="AD1261" s="22">
        <f>IF(AND($A1261="",$B1261=""),"",MAX(0,AB1261-AC1261))</f>
        <v/>
      </c>
      <c r="AE1261" s="21">
        <f>IF(AND($A1261="",$B1261=""),"",IF(OR($R1261&lt;&gt;"",$S1261&lt;&gt;""),1,0))</f>
        <v/>
      </c>
      <c r="AF1261" s="22">
        <f>IF(AND($A1261="",$B1261=""),"",IF(Z1261=1,IF(AE1261=1,N($R1261),AD1261),0))</f>
        <v/>
      </c>
      <c r="AG1261" s="22">
        <f>IF(AND($A1261="",$B1261=""),"",IF(Z1261=1,IF(AE1261=1,N($S1261),AC1261),0))</f>
        <v/>
      </c>
      <c r="AH1261" s="21">
        <f>IF(AND($A1261="",$B1261=""),"",IF(AND(ISNUMBER($I1261),N($I1261)&gt;0),$I1261,0))</f>
        <v/>
      </c>
      <c r="AI1261" s="23">
        <f>IF(AND(NOT(AND($A1261="",$B1261="")),$K1261="Point",N($L1261)&gt;0),SQRT(N($L1261)/PI()),"")</f>
        <v/>
      </c>
      <c r="AJ1261" s="21">
        <f>IF(AND($A1261="",$B1261=""),"",IFERROR(VLOOKUP($G1261,Lists!$D$4:$E$15,2,FALSE),"Not reported"))</f>
        <v/>
      </c>
      <c r="AK1261" s="21">
        <f>IF(AND($A1261="",$B1261=""),"",IF($X1261&lt;&gt;"",$X1261,IF($T1261&lt;&gt;"Y","Not assessed",IF(AND(ISNUMBER($V1261),Setup!$B$6-$V1261&gt;Setup!$B$26),"Assessment outdated",IF(NOT(ISNUMBER($W1261)),"Assessed – no score",IF($W1261&gt;=Setup!$B$24,"High",IF($W1261&gt;=Setup!$B$25,"Moderate","Low")))))))</f>
        <v/>
      </c>
      <c r="AL1261" s="21">
        <f>IF(AND($A1261="",$B1261=""),"",IF(Z1261=0,"",IF(AND(AE1261=1,N($R1261)&gt;AD1261*1.01+0.001),"Net terrestrial &gt; gross; ","")&amp;IF(AND(AE1261=1,N($S1261)&gt;AC1261*1.01+0.001),"Net marine &gt; gross; ","")&amp;IF(AE1261=0,"No net area – gross used, overlaps may be double-counted; ","")&amp;IF(AH1261=0,"STATUS_YR missing – imputed in time series; ","")&amp;IF(AND(ISNUMBER($I1261),N($I1261)&gt;Setup!$B$6),"STATUS_YR after reporting year; ","")&amp;IF(OR($G1261="",$G1261="Not Reported"),"GOV_TYPE not reported; ","")&amp;IF(AND(N($J1261)=1,$K1261="Point",N($M1261)&lt;=0),"Coastal point without REP_M_AREA – land/sea split unknown; ","")&amp;IF(AND(N($J1261)=0,N($S1261)&gt;0),"MARINE=0 but net marine &gt;0; ","")&amp;IF(AND(N($J1261)=2,N($R1261)&gt;0),"MARINE=2 but net terrestrial &gt;0; ","")&amp;IF($K1261="Point","Buffered point – coverage approximate; ","")))</f>
        <v/>
      </c>
    </row>
    <row r="1262">
      <c r="A1262" s="19" t="n"/>
      <c r="B1262" s="19" t="n"/>
      <c r="C1262" s="19" t="n"/>
      <c r="D1262" s="19" t="n"/>
      <c r="E1262" s="19" t="n"/>
      <c r="F1262" s="19" t="n"/>
      <c r="G1262" s="19" t="n"/>
      <c r="H1262" s="19" t="n"/>
      <c r="I1262" s="19" t="n"/>
      <c r="J1262" s="19" t="n"/>
      <c r="K1262" s="19" t="n"/>
      <c r="L1262" s="20" t="n"/>
      <c r="M1262" s="20" t="n"/>
      <c r="N1262" s="20" t="n"/>
      <c r="O1262" s="20" t="n"/>
      <c r="P1262" s="19" t="n"/>
      <c r="Q1262" s="19" t="n"/>
      <c r="R1262" s="20" t="n"/>
      <c r="S1262" s="20" t="n"/>
      <c r="T1262" s="19" t="n"/>
      <c r="U1262" s="19" t="n"/>
      <c r="V1262" s="19" t="n"/>
      <c r="W1262" s="19" t="n"/>
      <c r="X1262" s="19" t="n"/>
      <c r="Y1262" s="19" t="n"/>
      <c r="Z1262" s="21">
        <f>IF(AND($A1262="",$B1262=""),"",IF(OR($E1262="",$H1262="",$H1262="Proposed",$H1262="Not Reported"),0,IF(AND($P1262="Y",$Q1262&lt;&gt;"Y"),0,IF(AND($K1262="Point",N($L1262)&lt;=0),0,IF(AND(N($L1262)&lt;=0,N($N1262)&lt;=0,N($R1262)+N($S1262)&lt;=0),0,1)))))</f>
        <v/>
      </c>
      <c r="AA1262" s="21">
        <f>IF(AND($A1262="",$B1262=""),"",IF($E1262="","Site type missing",IF($H1262="","STATUS missing",IF($H1262="Proposed","STATUS = Proposed",IF($H1262="Not Reported","STATUS = Not Reported",IF(AND($P1262="Y",$Q1262&lt;&gt;"Y"),"UNESCO-MAB Biosphere Reserve",IF(AND($K1262="Point",N($L1262)&lt;=0),"Point without REP_AREA",IF(AND(N($L1262)&lt;=0,N($N1262)&lt;=0,N($R1262)+N($S1262)&lt;=0),"No area information",""))))))))</f>
        <v/>
      </c>
      <c r="AB1262" s="22">
        <f>IF(AND($A1262="",$B1262=""),"",IF($K1262="Point",N($L1262),IF(N($N1262)&gt;0,N($N1262),N($L1262))))</f>
        <v/>
      </c>
      <c r="AC1262" s="22">
        <f>IF(AND($A1262="",$B1262=""),"",MIN(AB1262,IF(N($J1262)=0,0,IF(N($J1262)=2,AB1262,IF(AND($K1262&lt;&gt;"Point",N($O1262)&gt;0),N($O1262),N($M1262))))))</f>
        <v/>
      </c>
      <c r="AD1262" s="22">
        <f>IF(AND($A1262="",$B1262=""),"",MAX(0,AB1262-AC1262))</f>
        <v/>
      </c>
      <c r="AE1262" s="21">
        <f>IF(AND($A1262="",$B1262=""),"",IF(OR($R1262&lt;&gt;"",$S1262&lt;&gt;""),1,0))</f>
        <v/>
      </c>
      <c r="AF1262" s="22">
        <f>IF(AND($A1262="",$B1262=""),"",IF(Z1262=1,IF(AE1262=1,N($R1262),AD1262),0))</f>
        <v/>
      </c>
      <c r="AG1262" s="22">
        <f>IF(AND($A1262="",$B1262=""),"",IF(Z1262=1,IF(AE1262=1,N($S1262),AC1262),0))</f>
        <v/>
      </c>
      <c r="AH1262" s="21">
        <f>IF(AND($A1262="",$B1262=""),"",IF(AND(ISNUMBER($I1262),N($I1262)&gt;0),$I1262,0))</f>
        <v/>
      </c>
      <c r="AI1262" s="23">
        <f>IF(AND(NOT(AND($A1262="",$B1262="")),$K1262="Point",N($L1262)&gt;0),SQRT(N($L1262)/PI()),"")</f>
        <v/>
      </c>
      <c r="AJ1262" s="21">
        <f>IF(AND($A1262="",$B1262=""),"",IFERROR(VLOOKUP($G1262,Lists!$D$4:$E$15,2,FALSE),"Not reported"))</f>
        <v/>
      </c>
      <c r="AK1262" s="21">
        <f>IF(AND($A1262="",$B1262=""),"",IF($X1262&lt;&gt;"",$X1262,IF($T1262&lt;&gt;"Y","Not assessed",IF(AND(ISNUMBER($V1262),Setup!$B$6-$V1262&gt;Setup!$B$26),"Assessment outdated",IF(NOT(ISNUMBER($W1262)),"Assessed – no score",IF($W1262&gt;=Setup!$B$24,"High",IF($W1262&gt;=Setup!$B$25,"Moderate","Low")))))))</f>
        <v/>
      </c>
      <c r="AL1262" s="21">
        <f>IF(AND($A1262="",$B1262=""),"",IF(Z1262=0,"",IF(AND(AE1262=1,N($R1262)&gt;AD1262*1.01+0.001),"Net terrestrial &gt; gross; ","")&amp;IF(AND(AE1262=1,N($S1262)&gt;AC1262*1.01+0.001),"Net marine &gt; gross; ","")&amp;IF(AE1262=0,"No net area – gross used, overlaps may be double-counted; ","")&amp;IF(AH1262=0,"STATUS_YR missing – imputed in time series; ","")&amp;IF(AND(ISNUMBER($I1262),N($I1262)&gt;Setup!$B$6),"STATUS_YR after reporting year; ","")&amp;IF(OR($G1262="",$G1262="Not Reported"),"GOV_TYPE not reported; ","")&amp;IF(AND(N($J1262)=1,$K1262="Point",N($M1262)&lt;=0),"Coastal point without REP_M_AREA – land/sea split unknown; ","")&amp;IF(AND(N($J1262)=0,N($S1262)&gt;0),"MARINE=0 but net marine &gt;0; ","")&amp;IF(AND(N($J1262)=2,N($R1262)&gt;0),"MARINE=2 but net terrestrial &gt;0; ","")&amp;IF($K1262="Point","Buffered point – coverage approximate; ","")))</f>
        <v/>
      </c>
    </row>
    <row r="1263">
      <c r="A1263" s="19" t="n"/>
      <c r="B1263" s="19" t="n"/>
      <c r="C1263" s="19" t="n"/>
      <c r="D1263" s="19" t="n"/>
      <c r="E1263" s="19" t="n"/>
      <c r="F1263" s="19" t="n"/>
      <c r="G1263" s="19" t="n"/>
      <c r="H1263" s="19" t="n"/>
      <c r="I1263" s="19" t="n"/>
      <c r="J1263" s="19" t="n"/>
      <c r="K1263" s="19" t="n"/>
      <c r="L1263" s="20" t="n"/>
      <c r="M1263" s="20" t="n"/>
      <c r="N1263" s="20" t="n"/>
      <c r="O1263" s="20" t="n"/>
      <c r="P1263" s="19" t="n"/>
      <c r="Q1263" s="19" t="n"/>
      <c r="R1263" s="20" t="n"/>
      <c r="S1263" s="20" t="n"/>
      <c r="T1263" s="19" t="n"/>
      <c r="U1263" s="19" t="n"/>
      <c r="V1263" s="19" t="n"/>
      <c r="W1263" s="19" t="n"/>
      <c r="X1263" s="19" t="n"/>
      <c r="Y1263" s="19" t="n"/>
      <c r="Z1263" s="21">
        <f>IF(AND($A1263="",$B1263=""),"",IF(OR($E1263="",$H1263="",$H1263="Proposed",$H1263="Not Reported"),0,IF(AND($P1263="Y",$Q1263&lt;&gt;"Y"),0,IF(AND($K1263="Point",N($L1263)&lt;=0),0,IF(AND(N($L1263)&lt;=0,N($N1263)&lt;=0,N($R1263)+N($S1263)&lt;=0),0,1)))))</f>
        <v/>
      </c>
      <c r="AA1263" s="21">
        <f>IF(AND($A1263="",$B1263=""),"",IF($E1263="","Site type missing",IF($H1263="","STATUS missing",IF($H1263="Proposed","STATUS = Proposed",IF($H1263="Not Reported","STATUS = Not Reported",IF(AND($P1263="Y",$Q1263&lt;&gt;"Y"),"UNESCO-MAB Biosphere Reserve",IF(AND($K1263="Point",N($L1263)&lt;=0),"Point without REP_AREA",IF(AND(N($L1263)&lt;=0,N($N1263)&lt;=0,N($R1263)+N($S1263)&lt;=0),"No area information",""))))))))</f>
        <v/>
      </c>
      <c r="AB1263" s="22">
        <f>IF(AND($A1263="",$B1263=""),"",IF($K1263="Point",N($L1263),IF(N($N1263)&gt;0,N($N1263),N($L1263))))</f>
        <v/>
      </c>
      <c r="AC1263" s="22">
        <f>IF(AND($A1263="",$B1263=""),"",MIN(AB1263,IF(N($J1263)=0,0,IF(N($J1263)=2,AB1263,IF(AND($K1263&lt;&gt;"Point",N($O1263)&gt;0),N($O1263),N($M1263))))))</f>
        <v/>
      </c>
      <c r="AD1263" s="22">
        <f>IF(AND($A1263="",$B1263=""),"",MAX(0,AB1263-AC1263))</f>
        <v/>
      </c>
      <c r="AE1263" s="21">
        <f>IF(AND($A1263="",$B1263=""),"",IF(OR($R1263&lt;&gt;"",$S1263&lt;&gt;""),1,0))</f>
        <v/>
      </c>
      <c r="AF1263" s="22">
        <f>IF(AND($A1263="",$B1263=""),"",IF(Z1263=1,IF(AE1263=1,N($R1263),AD1263),0))</f>
        <v/>
      </c>
      <c r="AG1263" s="22">
        <f>IF(AND($A1263="",$B1263=""),"",IF(Z1263=1,IF(AE1263=1,N($S1263),AC1263),0))</f>
        <v/>
      </c>
      <c r="AH1263" s="21">
        <f>IF(AND($A1263="",$B1263=""),"",IF(AND(ISNUMBER($I1263),N($I1263)&gt;0),$I1263,0))</f>
        <v/>
      </c>
      <c r="AI1263" s="23">
        <f>IF(AND(NOT(AND($A1263="",$B1263="")),$K1263="Point",N($L1263)&gt;0),SQRT(N($L1263)/PI()),"")</f>
        <v/>
      </c>
      <c r="AJ1263" s="21">
        <f>IF(AND($A1263="",$B1263=""),"",IFERROR(VLOOKUP($G1263,Lists!$D$4:$E$15,2,FALSE),"Not reported"))</f>
        <v/>
      </c>
      <c r="AK1263" s="21">
        <f>IF(AND($A1263="",$B1263=""),"",IF($X1263&lt;&gt;"",$X1263,IF($T1263&lt;&gt;"Y","Not assessed",IF(AND(ISNUMBER($V1263),Setup!$B$6-$V1263&gt;Setup!$B$26),"Assessment outdated",IF(NOT(ISNUMBER($W1263)),"Assessed – no score",IF($W1263&gt;=Setup!$B$24,"High",IF($W1263&gt;=Setup!$B$25,"Moderate","Low")))))))</f>
        <v/>
      </c>
      <c r="AL1263" s="21">
        <f>IF(AND($A1263="",$B1263=""),"",IF(Z1263=0,"",IF(AND(AE1263=1,N($R1263)&gt;AD1263*1.01+0.001),"Net terrestrial &gt; gross; ","")&amp;IF(AND(AE1263=1,N($S1263)&gt;AC1263*1.01+0.001),"Net marine &gt; gross; ","")&amp;IF(AE1263=0,"No net area – gross used, overlaps may be double-counted; ","")&amp;IF(AH1263=0,"STATUS_YR missing – imputed in time series; ","")&amp;IF(AND(ISNUMBER($I1263),N($I1263)&gt;Setup!$B$6),"STATUS_YR after reporting year; ","")&amp;IF(OR($G1263="",$G1263="Not Reported"),"GOV_TYPE not reported; ","")&amp;IF(AND(N($J1263)=1,$K1263="Point",N($M1263)&lt;=0),"Coastal point without REP_M_AREA – land/sea split unknown; ","")&amp;IF(AND(N($J1263)=0,N($S1263)&gt;0),"MARINE=0 but net marine &gt;0; ","")&amp;IF(AND(N($J1263)=2,N($R1263)&gt;0),"MARINE=2 but net terrestrial &gt;0; ","")&amp;IF($K1263="Point","Buffered point – coverage approximate; ","")))</f>
        <v/>
      </c>
    </row>
    <row r="1264">
      <c r="A1264" s="19" t="n"/>
      <c r="B1264" s="19" t="n"/>
      <c r="C1264" s="19" t="n"/>
      <c r="D1264" s="19" t="n"/>
      <c r="E1264" s="19" t="n"/>
      <c r="F1264" s="19" t="n"/>
      <c r="G1264" s="19" t="n"/>
      <c r="H1264" s="19" t="n"/>
      <c r="I1264" s="19" t="n"/>
      <c r="J1264" s="19" t="n"/>
      <c r="K1264" s="19" t="n"/>
      <c r="L1264" s="20" t="n"/>
      <c r="M1264" s="20" t="n"/>
      <c r="N1264" s="20" t="n"/>
      <c r="O1264" s="20" t="n"/>
      <c r="P1264" s="19" t="n"/>
      <c r="Q1264" s="19" t="n"/>
      <c r="R1264" s="20" t="n"/>
      <c r="S1264" s="20" t="n"/>
      <c r="T1264" s="19" t="n"/>
      <c r="U1264" s="19" t="n"/>
      <c r="V1264" s="19" t="n"/>
      <c r="W1264" s="19" t="n"/>
      <c r="X1264" s="19" t="n"/>
      <c r="Y1264" s="19" t="n"/>
      <c r="Z1264" s="21">
        <f>IF(AND($A1264="",$B1264=""),"",IF(OR($E1264="",$H1264="",$H1264="Proposed",$H1264="Not Reported"),0,IF(AND($P1264="Y",$Q1264&lt;&gt;"Y"),0,IF(AND($K1264="Point",N($L1264)&lt;=0),0,IF(AND(N($L1264)&lt;=0,N($N1264)&lt;=0,N($R1264)+N($S1264)&lt;=0),0,1)))))</f>
        <v/>
      </c>
      <c r="AA1264" s="21">
        <f>IF(AND($A1264="",$B1264=""),"",IF($E1264="","Site type missing",IF($H1264="","STATUS missing",IF($H1264="Proposed","STATUS = Proposed",IF($H1264="Not Reported","STATUS = Not Reported",IF(AND($P1264="Y",$Q1264&lt;&gt;"Y"),"UNESCO-MAB Biosphere Reserve",IF(AND($K1264="Point",N($L1264)&lt;=0),"Point without REP_AREA",IF(AND(N($L1264)&lt;=0,N($N1264)&lt;=0,N($R1264)+N($S1264)&lt;=0),"No area information",""))))))))</f>
        <v/>
      </c>
      <c r="AB1264" s="22">
        <f>IF(AND($A1264="",$B1264=""),"",IF($K1264="Point",N($L1264),IF(N($N1264)&gt;0,N($N1264),N($L1264))))</f>
        <v/>
      </c>
      <c r="AC1264" s="22">
        <f>IF(AND($A1264="",$B1264=""),"",MIN(AB1264,IF(N($J1264)=0,0,IF(N($J1264)=2,AB1264,IF(AND($K1264&lt;&gt;"Point",N($O1264)&gt;0),N($O1264),N($M1264))))))</f>
        <v/>
      </c>
      <c r="AD1264" s="22">
        <f>IF(AND($A1264="",$B1264=""),"",MAX(0,AB1264-AC1264))</f>
        <v/>
      </c>
      <c r="AE1264" s="21">
        <f>IF(AND($A1264="",$B1264=""),"",IF(OR($R1264&lt;&gt;"",$S1264&lt;&gt;""),1,0))</f>
        <v/>
      </c>
      <c r="AF1264" s="22">
        <f>IF(AND($A1264="",$B1264=""),"",IF(Z1264=1,IF(AE1264=1,N($R1264),AD1264),0))</f>
        <v/>
      </c>
      <c r="AG1264" s="22">
        <f>IF(AND($A1264="",$B1264=""),"",IF(Z1264=1,IF(AE1264=1,N($S1264),AC1264),0))</f>
        <v/>
      </c>
      <c r="AH1264" s="21">
        <f>IF(AND($A1264="",$B1264=""),"",IF(AND(ISNUMBER($I1264),N($I1264)&gt;0),$I1264,0))</f>
        <v/>
      </c>
      <c r="AI1264" s="23">
        <f>IF(AND(NOT(AND($A1264="",$B1264="")),$K1264="Point",N($L1264)&gt;0),SQRT(N($L1264)/PI()),"")</f>
        <v/>
      </c>
      <c r="AJ1264" s="21">
        <f>IF(AND($A1264="",$B1264=""),"",IFERROR(VLOOKUP($G1264,Lists!$D$4:$E$15,2,FALSE),"Not reported"))</f>
        <v/>
      </c>
      <c r="AK1264" s="21">
        <f>IF(AND($A1264="",$B1264=""),"",IF($X1264&lt;&gt;"",$X1264,IF($T1264&lt;&gt;"Y","Not assessed",IF(AND(ISNUMBER($V1264),Setup!$B$6-$V1264&gt;Setup!$B$26),"Assessment outdated",IF(NOT(ISNUMBER($W1264)),"Assessed – no score",IF($W1264&gt;=Setup!$B$24,"High",IF($W1264&gt;=Setup!$B$25,"Moderate","Low")))))))</f>
        <v/>
      </c>
      <c r="AL1264" s="21">
        <f>IF(AND($A1264="",$B1264=""),"",IF(Z1264=0,"",IF(AND(AE1264=1,N($R1264)&gt;AD1264*1.01+0.001),"Net terrestrial &gt; gross; ","")&amp;IF(AND(AE1264=1,N($S1264)&gt;AC1264*1.01+0.001),"Net marine &gt; gross; ","")&amp;IF(AE1264=0,"No net area – gross used, overlaps may be double-counted; ","")&amp;IF(AH1264=0,"STATUS_YR missing – imputed in time series; ","")&amp;IF(AND(ISNUMBER($I1264),N($I1264)&gt;Setup!$B$6),"STATUS_YR after reporting year; ","")&amp;IF(OR($G1264="",$G1264="Not Reported"),"GOV_TYPE not reported; ","")&amp;IF(AND(N($J1264)=1,$K1264="Point",N($M1264)&lt;=0),"Coastal point without REP_M_AREA – land/sea split unknown; ","")&amp;IF(AND(N($J1264)=0,N($S1264)&gt;0),"MARINE=0 but net marine &gt;0; ","")&amp;IF(AND(N($J1264)=2,N($R1264)&gt;0),"MARINE=2 but net terrestrial &gt;0; ","")&amp;IF($K1264="Point","Buffered point – coverage approximate; ","")))</f>
        <v/>
      </c>
    </row>
    <row r="1265">
      <c r="A1265" s="19" t="n"/>
      <c r="B1265" s="19" t="n"/>
      <c r="C1265" s="19" t="n"/>
      <c r="D1265" s="19" t="n"/>
      <c r="E1265" s="19" t="n"/>
      <c r="F1265" s="19" t="n"/>
      <c r="G1265" s="19" t="n"/>
      <c r="H1265" s="19" t="n"/>
      <c r="I1265" s="19" t="n"/>
      <c r="J1265" s="19" t="n"/>
      <c r="K1265" s="19" t="n"/>
      <c r="L1265" s="20" t="n"/>
      <c r="M1265" s="20" t="n"/>
      <c r="N1265" s="20" t="n"/>
      <c r="O1265" s="20" t="n"/>
      <c r="P1265" s="19" t="n"/>
      <c r="Q1265" s="19" t="n"/>
      <c r="R1265" s="20" t="n"/>
      <c r="S1265" s="20" t="n"/>
      <c r="T1265" s="19" t="n"/>
      <c r="U1265" s="19" t="n"/>
      <c r="V1265" s="19" t="n"/>
      <c r="W1265" s="19" t="n"/>
      <c r="X1265" s="19" t="n"/>
      <c r="Y1265" s="19" t="n"/>
      <c r="Z1265" s="21">
        <f>IF(AND($A1265="",$B1265=""),"",IF(OR($E1265="",$H1265="",$H1265="Proposed",$H1265="Not Reported"),0,IF(AND($P1265="Y",$Q1265&lt;&gt;"Y"),0,IF(AND($K1265="Point",N($L1265)&lt;=0),0,IF(AND(N($L1265)&lt;=0,N($N1265)&lt;=0,N($R1265)+N($S1265)&lt;=0),0,1)))))</f>
        <v/>
      </c>
      <c r="AA1265" s="21">
        <f>IF(AND($A1265="",$B1265=""),"",IF($E1265="","Site type missing",IF($H1265="","STATUS missing",IF($H1265="Proposed","STATUS = Proposed",IF($H1265="Not Reported","STATUS = Not Reported",IF(AND($P1265="Y",$Q1265&lt;&gt;"Y"),"UNESCO-MAB Biosphere Reserve",IF(AND($K1265="Point",N($L1265)&lt;=0),"Point without REP_AREA",IF(AND(N($L1265)&lt;=0,N($N1265)&lt;=0,N($R1265)+N($S1265)&lt;=0),"No area information",""))))))))</f>
        <v/>
      </c>
      <c r="AB1265" s="22">
        <f>IF(AND($A1265="",$B1265=""),"",IF($K1265="Point",N($L1265),IF(N($N1265)&gt;0,N($N1265),N($L1265))))</f>
        <v/>
      </c>
      <c r="AC1265" s="22">
        <f>IF(AND($A1265="",$B1265=""),"",MIN(AB1265,IF(N($J1265)=0,0,IF(N($J1265)=2,AB1265,IF(AND($K1265&lt;&gt;"Point",N($O1265)&gt;0),N($O1265),N($M1265))))))</f>
        <v/>
      </c>
      <c r="AD1265" s="22">
        <f>IF(AND($A1265="",$B1265=""),"",MAX(0,AB1265-AC1265))</f>
        <v/>
      </c>
      <c r="AE1265" s="21">
        <f>IF(AND($A1265="",$B1265=""),"",IF(OR($R1265&lt;&gt;"",$S1265&lt;&gt;""),1,0))</f>
        <v/>
      </c>
      <c r="AF1265" s="22">
        <f>IF(AND($A1265="",$B1265=""),"",IF(Z1265=1,IF(AE1265=1,N($R1265),AD1265),0))</f>
        <v/>
      </c>
      <c r="AG1265" s="22">
        <f>IF(AND($A1265="",$B1265=""),"",IF(Z1265=1,IF(AE1265=1,N($S1265),AC1265),0))</f>
        <v/>
      </c>
      <c r="AH1265" s="21">
        <f>IF(AND($A1265="",$B1265=""),"",IF(AND(ISNUMBER($I1265),N($I1265)&gt;0),$I1265,0))</f>
        <v/>
      </c>
      <c r="AI1265" s="23">
        <f>IF(AND(NOT(AND($A1265="",$B1265="")),$K1265="Point",N($L1265)&gt;0),SQRT(N($L1265)/PI()),"")</f>
        <v/>
      </c>
      <c r="AJ1265" s="21">
        <f>IF(AND($A1265="",$B1265=""),"",IFERROR(VLOOKUP($G1265,Lists!$D$4:$E$15,2,FALSE),"Not reported"))</f>
        <v/>
      </c>
      <c r="AK1265" s="21">
        <f>IF(AND($A1265="",$B1265=""),"",IF($X1265&lt;&gt;"",$X1265,IF($T1265&lt;&gt;"Y","Not assessed",IF(AND(ISNUMBER($V1265),Setup!$B$6-$V1265&gt;Setup!$B$26),"Assessment outdated",IF(NOT(ISNUMBER($W1265)),"Assessed – no score",IF($W1265&gt;=Setup!$B$24,"High",IF($W1265&gt;=Setup!$B$25,"Moderate","Low")))))))</f>
        <v/>
      </c>
      <c r="AL1265" s="21">
        <f>IF(AND($A1265="",$B1265=""),"",IF(Z1265=0,"",IF(AND(AE1265=1,N($R1265)&gt;AD1265*1.01+0.001),"Net terrestrial &gt; gross; ","")&amp;IF(AND(AE1265=1,N($S1265)&gt;AC1265*1.01+0.001),"Net marine &gt; gross; ","")&amp;IF(AE1265=0,"No net area – gross used, overlaps may be double-counted; ","")&amp;IF(AH1265=0,"STATUS_YR missing – imputed in time series; ","")&amp;IF(AND(ISNUMBER($I1265),N($I1265)&gt;Setup!$B$6),"STATUS_YR after reporting year; ","")&amp;IF(OR($G1265="",$G1265="Not Reported"),"GOV_TYPE not reported; ","")&amp;IF(AND(N($J1265)=1,$K1265="Point",N($M1265)&lt;=0),"Coastal point without REP_M_AREA – land/sea split unknown; ","")&amp;IF(AND(N($J1265)=0,N($S1265)&gt;0),"MARINE=0 but net marine &gt;0; ","")&amp;IF(AND(N($J1265)=2,N($R1265)&gt;0),"MARINE=2 but net terrestrial &gt;0; ","")&amp;IF($K1265="Point","Buffered point – coverage approximate; ","")))</f>
        <v/>
      </c>
    </row>
    <row r="1266">
      <c r="A1266" s="19" t="n"/>
      <c r="B1266" s="19" t="n"/>
      <c r="C1266" s="19" t="n"/>
      <c r="D1266" s="19" t="n"/>
      <c r="E1266" s="19" t="n"/>
      <c r="F1266" s="19" t="n"/>
      <c r="G1266" s="19" t="n"/>
      <c r="H1266" s="19" t="n"/>
      <c r="I1266" s="19" t="n"/>
      <c r="J1266" s="19" t="n"/>
      <c r="K1266" s="19" t="n"/>
      <c r="L1266" s="20" t="n"/>
      <c r="M1266" s="20" t="n"/>
      <c r="N1266" s="20" t="n"/>
      <c r="O1266" s="20" t="n"/>
      <c r="P1266" s="19" t="n"/>
      <c r="Q1266" s="19" t="n"/>
      <c r="R1266" s="20" t="n"/>
      <c r="S1266" s="20" t="n"/>
      <c r="T1266" s="19" t="n"/>
      <c r="U1266" s="19" t="n"/>
      <c r="V1266" s="19" t="n"/>
      <c r="W1266" s="19" t="n"/>
      <c r="X1266" s="19" t="n"/>
      <c r="Y1266" s="19" t="n"/>
      <c r="Z1266" s="21">
        <f>IF(AND($A1266="",$B1266=""),"",IF(OR($E1266="",$H1266="",$H1266="Proposed",$H1266="Not Reported"),0,IF(AND($P1266="Y",$Q1266&lt;&gt;"Y"),0,IF(AND($K1266="Point",N($L1266)&lt;=0),0,IF(AND(N($L1266)&lt;=0,N($N1266)&lt;=0,N($R1266)+N($S1266)&lt;=0),0,1)))))</f>
        <v/>
      </c>
      <c r="AA1266" s="21">
        <f>IF(AND($A1266="",$B1266=""),"",IF($E1266="","Site type missing",IF($H1266="","STATUS missing",IF($H1266="Proposed","STATUS = Proposed",IF($H1266="Not Reported","STATUS = Not Reported",IF(AND($P1266="Y",$Q1266&lt;&gt;"Y"),"UNESCO-MAB Biosphere Reserve",IF(AND($K1266="Point",N($L1266)&lt;=0),"Point without REP_AREA",IF(AND(N($L1266)&lt;=0,N($N1266)&lt;=0,N($R1266)+N($S1266)&lt;=0),"No area information",""))))))))</f>
        <v/>
      </c>
      <c r="AB1266" s="22">
        <f>IF(AND($A1266="",$B1266=""),"",IF($K1266="Point",N($L1266),IF(N($N1266)&gt;0,N($N1266),N($L1266))))</f>
        <v/>
      </c>
      <c r="AC1266" s="22">
        <f>IF(AND($A1266="",$B1266=""),"",MIN(AB1266,IF(N($J1266)=0,0,IF(N($J1266)=2,AB1266,IF(AND($K1266&lt;&gt;"Point",N($O1266)&gt;0),N($O1266),N($M1266))))))</f>
        <v/>
      </c>
      <c r="AD1266" s="22">
        <f>IF(AND($A1266="",$B1266=""),"",MAX(0,AB1266-AC1266))</f>
        <v/>
      </c>
      <c r="AE1266" s="21">
        <f>IF(AND($A1266="",$B1266=""),"",IF(OR($R1266&lt;&gt;"",$S1266&lt;&gt;""),1,0))</f>
        <v/>
      </c>
      <c r="AF1266" s="22">
        <f>IF(AND($A1266="",$B1266=""),"",IF(Z1266=1,IF(AE1266=1,N($R1266),AD1266),0))</f>
        <v/>
      </c>
      <c r="AG1266" s="22">
        <f>IF(AND($A1266="",$B1266=""),"",IF(Z1266=1,IF(AE1266=1,N($S1266),AC1266),0))</f>
        <v/>
      </c>
      <c r="AH1266" s="21">
        <f>IF(AND($A1266="",$B1266=""),"",IF(AND(ISNUMBER($I1266),N($I1266)&gt;0),$I1266,0))</f>
        <v/>
      </c>
      <c r="AI1266" s="23">
        <f>IF(AND(NOT(AND($A1266="",$B1266="")),$K1266="Point",N($L1266)&gt;0),SQRT(N($L1266)/PI()),"")</f>
        <v/>
      </c>
      <c r="AJ1266" s="21">
        <f>IF(AND($A1266="",$B1266=""),"",IFERROR(VLOOKUP($G1266,Lists!$D$4:$E$15,2,FALSE),"Not reported"))</f>
        <v/>
      </c>
      <c r="AK1266" s="21">
        <f>IF(AND($A1266="",$B1266=""),"",IF($X1266&lt;&gt;"",$X1266,IF($T1266&lt;&gt;"Y","Not assessed",IF(AND(ISNUMBER($V1266),Setup!$B$6-$V1266&gt;Setup!$B$26),"Assessment outdated",IF(NOT(ISNUMBER($W1266)),"Assessed – no score",IF($W1266&gt;=Setup!$B$24,"High",IF($W1266&gt;=Setup!$B$25,"Moderate","Low")))))))</f>
        <v/>
      </c>
      <c r="AL1266" s="21">
        <f>IF(AND($A1266="",$B1266=""),"",IF(Z1266=0,"",IF(AND(AE1266=1,N($R1266)&gt;AD1266*1.01+0.001),"Net terrestrial &gt; gross; ","")&amp;IF(AND(AE1266=1,N($S1266)&gt;AC1266*1.01+0.001),"Net marine &gt; gross; ","")&amp;IF(AE1266=0,"No net area – gross used, overlaps may be double-counted; ","")&amp;IF(AH1266=0,"STATUS_YR missing – imputed in time series; ","")&amp;IF(AND(ISNUMBER($I1266),N($I1266)&gt;Setup!$B$6),"STATUS_YR after reporting year; ","")&amp;IF(OR($G1266="",$G1266="Not Reported"),"GOV_TYPE not reported; ","")&amp;IF(AND(N($J1266)=1,$K1266="Point",N($M1266)&lt;=0),"Coastal point without REP_M_AREA – land/sea split unknown; ","")&amp;IF(AND(N($J1266)=0,N($S1266)&gt;0),"MARINE=0 but net marine &gt;0; ","")&amp;IF(AND(N($J1266)=2,N($R1266)&gt;0),"MARINE=2 but net terrestrial &gt;0; ","")&amp;IF($K1266="Point","Buffered point – coverage approximate; ","")))</f>
        <v/>
      </c>
    </row>
    <row r="1267">
      <c r="A1267" s="19" t="n"/>
      <c r="B1267" s="19" t="n"/>
      <c r="C1267" s="19" t="n"/>
      <c r="D1267" s="19" t="n"/>
      <c r="E1267" s="19" t="n"/>
      <c r="F1267" s="19" t="n"/>
      <c r="G1267" s="19" t="n"/>
      <c r="H1267" s="19" t="n"/>
      <c r="I1267" s="19" t="n"/>
      <c r="J1267" s="19" t="n"/>
      <c r="K1267" s="19" t="n"/>
      <c r="L1267" s="20" t="n"/>
      <c r="M1267" s="20" t="n"/>
      <c r="N1267" s="20" t="n"/>
      <c r="O1267" s="20" t="n"/>
      <c r="P1267" s="19" t="n"/>
      <c r="Q1267" s="19" t="n"/>
      <c r="R1267" s="20" t="n"/>
      <c r="S1267" s="20" t="n"/>
      <c r="T1267" s="19" t="n"/>
      <c r="U1267" s="19" t="n"/>
      <c r="V1267" s="19" t="n"/>
      <c r="W1267" s="19" t="n"/>
      <c r="X1267" s="19" t="n"/>
      <c r="Y1267" s="19" t="n"/>
      <c r="Z1267" s="21">
        <f>IF(AND($A1267="",$B1267=""),"",IF(OR($E1267="",$H1267="",$H1267="Proposed",$H1267="Not Reported"),0,IF(AND($P1267="Y",$Q1267&lt;&gt;"Y"),0,IF(AND($K1267="Point",N($L1267)&lt;=0),0,IF(AND(N($L1267)&lt;=0,N($N1267)&lt;=0,N($R1267)+N($S1267)&lt;=0),0,1)))))</f>
        <v/>
      </c>
      <c r="AA1267" s="21">
        <f>IF(AND($A1267="",$B1267=""),"",IF($E1267="","Site type missing",IF($H1267="","STATUS missing",IF($H1267="Proposed","STATUS = Proposed",IF($H1267="Not Reported","STATUS = Not Reported",IF(AND($P1267="Y",$Q1267&lt;&gt;"Y"),"UNESCO-MAB Biosphere Reserve",IF(AND($K1267="Point",N($L1267)&lt;=0),"Point without REP_AREA",IF(AND(N($L1267)&lt;=0,N($N1267)&lt;=0,N($R1267)+N($S1267)&lt;=0),"No area information",""))))))))</f>
        <v/>
      </c>
      <c r="AB1267" s="22">
        <f>IF(AND($A1267="",$B1267=""),"",IF($K1267="Point",N($L1267),IF(N($N1267)&gt;0,N($N1267),N($L1267))))</f>
        <v/>
      </c>
      <c r="AC1267" s="22">
        <f>IF(AND($A1267="",$B1267=""),"",MIN(AB1267,IF(N($J1267)=0,0,IF(N($J1267)=2,AB1267,IF(AND($K1267&lt;&gt;"Point",N($O1267)&gt;0),N($O1267),N($M1267))))))</f>
        <v/>
      </c>
      <c r="AD1267" s="22">
        <f>IF(AND($A1267="",$B1267=""),"",MAX(0,AB1267-AC1267))</f>
        <v/>
      </c>
      <c r="AE1267" s="21">
        <f>IF(AND($A1267="",$B1267=""),"",IF(OR($R1267&lt;&gt;"",$S1267&lt;&gt;""),1,0))</f>
        <v/>
      </c>
      <c r="AF1267" s="22">
        <f>IF(AND($A1267="",$B1267=""),"",IF(Z1267=1,IF(AE1267=1,N($R1267),AD1267),0))</f>
        <v/>
      </c>
      <c r="AG1267" s="22">
        <f>IF(AND($A1267="",$B1267=""),"",IF(Z1267=1,IF(AE1267=1,N($S1267),AC1267),0))</f>
        <v/>
      </c>
      <c r="AH1267" s="21">
        <f>IF(AND($A1267="",$B1267=""),"",IF(AND(ISNUMBER($I1267),N($I1267)&gt;0),$I1267,0))</f>
        <v/>
      </c>
      <c r="AI1267" s="23">
        <f>IF(AND(NOT(AND($A1267="",$B1267="")),$K1267="Point",N($L1267)&gt;0),SQRT(N($L1267)/PI()),"")</f>
        <v/>
      </c>
      <c r="AJ1267" s="21">
        <f>IF(AND($A1267="",$B1267=""),"",IFERROR(VLOOKUP($G1267,Lists!$D$4:$E$15,2,FALSE),"Not reported"))</f>
        <v/>
      </c>
      <c r="AK1267" s="21">
        <f>IF(AND($A1267="",$B1267=""),"",IF($X1267&lt;&gt;"",$X1267,IF($T1267&lt;&gt;"Y","Not assessed",IF(AND(ISNUMBER($V1267),Setup!$B$6-$V1267&gt;Setup!$B$26),"Assessment outdated",IF(NOT(ISNUMBER($W1267)),"Assessed – no score",IF($W1267&gt;=Setup!$B$24,"High",IF($W1267&gt;=Setup!$B$25,"Moderate","Low")))))))</f>
        <v/>
      </c>
      <c r="AL1267" s="21">
        <f>IF(AND($A1267="",$B1267=""),"",IF(Z1267=0,"",IF(AND(AE1267=1,N($R1267)&gt;AD1267*1.01+0.001),"Net terrestrial &gt; gross; ","")&amp;IF(AND(AE1267=1,N($S1267)&gt;AC1267*1.01+0.001),"Net marine &gt; gross; ","")&amp;IF(AE1267=0,"No net area – gross used, overlaps may be double-counted; ","")&amp;IF(AH1267=0,"STATUS_YR missing – imputed in time series; ","")&amp;IF(AND(ISNUMBER($I1267),N($I1267)&gt;Setup!$B$6),"STATUS_YR after reporting year; ","")&amp;IF(OR($G1267="",$G1267="Not Reported"),"GOV_TYPE not reported; ","")&amp;IF(AND(N($J1267)=1,$K1267="Point",N($M1267)&lt;=0),"Coastal point without REP_M_AREA – land/sea split unknown; ","")&amp;IF(AND(N($J1267)=0,N($S1267)&gt;0),"MARINE=0 but net marine &gt;0; ","")&amp;IF(AND(N($J1267)=2,N($R1267)&gt;0),"MARINE=2 but net terrestrial &gt;0; ","")&amp;IF($K1267="Point","Buffered point – coverage approximate; ","")))</f>
        <v/>
      </c>
    </row>
    <row r="1268">
      <c r="A1268" s="19" t="n"/>
      <c r="B1268" s="19" t="n"/>
      <c r="C1268" s="19" t="n"/>
      <c r="D1268" s="19" t="n"/>
      <c r="E1268" s="19" t="n"/>
      <c r="F1268" s="19" t="n"/>
      <c r="G1268" s="19" t="n"/>
      <c r="H1268" s="19" t="n"/>
      <c r="I1268" s="19" t="n"/>
      <c r="J1268" s="19" t="n"/>
      <c r="K1268" s="19" t="n"/>
      <c r="L1268" s="20" t="n"/>
      <c r="M1268" s="20" t="n"/>
      <c r="N1268" s="20" t="n"/>
      <c r="O1268" s="20" t="n"/>
      <c r="P1268" s="19" t="n"/>
      <c r="Q1268" s="19" t="n"/>
      <c r="R1268" s="20" t="n"/>
      <c r="S1268" s="20" t="n"/>
      <c r="T1268" s="19" t="n"/>
      <c r="U1268" s="19" t="n"/>
      <c r="V1268" s="19" t="n"/>
      <c r="W1268" s="19" t="n"/>
      <c r="X1268" s="19" t="n"/>
      <c r="Y1268" s="19" t="n"/>
      <c r="Z1268" s="21">
        <f>IF(AND($A1268="",$B1268=""),"",IF(OR($E1268="",$H1268="",$H1268="Proposed",$H1268="Not Reported"),0,IF(AND($P1268="Y",$Q1268&lt;&gt;"Y"),0,IF(AND($K1268="Point",N($L1268)&lt;=0),0,IF(AND(N($L1268)&lt;=0,N($N1268)&lt;=0,N($R1268)+N($S1268)&lt;=0),0,1)))))</f>
        <v/>
      </c>
      <c r="AA1268" s="21">
        <f>IF(AND($A1268="",$B1268=""),"",IF($E1268="","Site type missing",IF($H1268="","STATUS missing",IF($H1268="Proposed","STATUS = Proposed",IF($H1268="Not Reported","STATUS = Not Reported",IF(AND($P1268="Y",$Q1268&lt;&gt;"Y"),"UNESCO-MAB Biosphere Reserve",IF(AND($K1268="Point",N($L1268)&lt;=0),"Point without REP_AREA",IF(AND(N($L1268)&lt;=0,N($N1268)&lt;=0,N($R1268)+N($S1268)&lt;=0),"No area information",""))))))))</f>
        <v/>
      </c>
      <c r="AB1268" s="22">
        <f>IF(AND($A1268="",$B1268=""),"",IF($K1268="Point",N($L1268),IF(N($N1268)&gt;0,N($N1268),N($L1268))))</f>
        <v/>
      </c>
      <c r="AC1268" s="22">
        <f>IF(AND($A1268="",$B1268=""),"",MIN(AB1268,IF(N($J1268)=0,0,IF(N($J1268)=2,AB1268,IF(AND($K1268&lt;&gt;"Point",N($O1268)&gt;0),N($O1268),N($M1268))))))</f>
        <v/>
      </c>
      <c r="AD1268" s="22">
        <f>IF(AND($A1268="",$B1268=""),"",MAX(0,AB1268-AC1268))</f>
        <v/>
      </c>
      <c r="AE1268" s="21">
        <f>IF(AND($A1268="",$B1268=""),"",IF(OR($R1268&lt;&gt;"",$S1268&lt;&gt;""),1,0))</f>
        <v/>
      </c>
      <c r="AF1268" s="22">
        <f>IF(AND($A1268="",$B1268=""),"",IF(Z1268=1,IF(AE1268=1,N($R1268),AD1268),0))</f>
        <v/>
      </c>
      <c r="AG1268" s="22">
        <f>IF(AND($A1268="",$B1268=""),"",IF(Z1268=1,IF(AE1268=1,N($S1268),AC1268),0))</f>
        <v/>
      </c>
      <c r="AH1268" s="21">
        <f>IF(AND($A1268="",$B1268=""),"",IF(AND(ISNUMBER($I1268),N($I1268)&gt;0),$I1268,0))</f>
        <v/>
      </c>
      <c r="AI1268" s="23">
        <f>IF(AND(NOT(AND($A1268="",$B1268="")),$K1268="Point",N($L1268)&gt;0),SQRT(N($L1268)/PI()),"")</f>
        <v/>
      </c>
      <c r="AJ1268" s="21">
        <f>IF(AND($A1268="",$B1268=""),"",IFERROR(VLOOKUP($G1268,Lists!$D$4:$E$15,2,FALSE),"Not reported"))</f>
        <v/>
      </c>
      <c r="AK1268" s="21">
        <f>IF(AND($A1268="",$B1268=""),"",IF($X1268&lt;&gt;"",$X1268,IF($T1268&lt;&gt;"Y","Not assessed",IF(AND(ISNUMBER($V1268),Setup!$B$6-$V1268&gt;Setup!$B$26),"Assessment outdated",IF(NOT(ISNUMBER($W1268)),"Assessed – no score",IF($W1268&gt;=Setup!$B$24,"High",IF($W1268&gt;=Setup!$B$25,"Moderate","Low")))))))</f>
        <v/>
      </c>
      <c r="AL1268" s="21">
        <f>IF(AND($A1268="",$B1268=""),"",IF(Z1268=0,"",IF(AND(AE1268=1,N($R1268)&gt;AD1268*1.01+0.001),"Net terrestrial &gt; gross; ","")&amp;IF(AND(AE1268=1,N($S1268)&gt;AC1268*1.01+0.001),"Net marine &gt; gross; ","")&amp;IF(AE1268=0,"No net area – gross used, overlaps may be double-counted; ","")&amp;IF(AH1268=0,"STATUS_YR missing – imputed in time series; ","")&amp;IF(AND(ISNUMBER($I1268),N($I1268)&gt;Setup!$B$6),"STATUS_YR after reporting year; ","")&amp;IF(OR($G1268="",$G1268="Not Reported"),"GOV_TYPE not reported; ","")&amp;IF(AND(N($J1268)=1,$K1268="Point",N($M1268)&lt;=0),"Coastal point without REP_M_AREA – land/sea split unknown; ","")&amp;IF(AND(N($J1268)=0,N($S1268)&gt;0),"MARINE=0 but net marine &gt;0; ","")&amp;IF(AND(N($J1268)=2,N($R1268)&gt;0),"MARINE=2 but net terrestrial &gt;0; ","")&amp;IF($K1268="Point","Buffered point – coverage approximate; ","")))</f>
        <v/>
      </c>
    </row>
    <row r="1269">
      <c r="A1269" s="19" t="n"/>
      <c r="B1269" s="19" t="n"/>
      <c r="C1269" s="19" t="n"/>
      <c r="D1269" s="19" t="n"/>
      <c r="E1269" s="19" t="n"/>
      <c r="F1269" s="19" t="n"/>
      <c r="G1269" s="19" t="n"/>
      <c r="H1269" s="19" t="n"/>
      <c r="I1269" s="19" t="n"/>
      <c r="J1269" s="19" t="n"/>
      <c r="K1269" s="19" t="n"/>
      <c r="L1269" s="20" t="n"/>
      <c r="M1269" s="20" t="n"/>
      <c r="N1269" s="20" t="n"/>
      <c r="O1269" s="20" t="n"/>
      <c r="P1269" s="19" t="n"/>
      <c r="Q1269" s="19" t="n"/>
      <c r="R1269" s="20" t="n"/>
      <c r="S1269" s="20" t="n"/>
      <c r="T1269" s="19" t="n"/>
      <c r="U1269" s="19" t="n"/>
      <c r="V1269" s="19" t="n"/>
      <c r="W1269" s="19" t="n"/>
      <c r="X1269" s="19" t="n"/>
      <c r="Y1269" s="19" t="n"/>
      <c r="Z1269" s="21">
        <f>IF(AND($A1269="",$B1269=""),"",IF(OR($E1269="",$H1269="",$H1269="Proposed",$H1269="Not Reported"),0,IF(AND($P1269="Y",$Q1269&lt;&gt;"Y"),0,IF(AND($K1269="Point",N($L1269)&lt;=0),0,IF(AND(N($L1269)&lt;=0,N($N1269)&lt;=0,N($R1269)+N($S1269)&lt;=0),0,1)))))</f>
        <v/>
      </c>
      <c r="AA1269" s="21">
        <f>IF(AND($A1269="",$B1269=""),"",IF($E1269="","Site type missing",IF($H1269="","STATUS missing",IF($H1269="Proposed","STATUS = Proposed",IF($H1269="Not Reported","STATUS = Not Reported",IF(AND($P1269="Y",$Q1269&lt;&gt;"Y"),"UNESCO-MAB Biosphere Reserve",IF(AND($K1269="Point",N($L1269)&lt;=0),"Point without REP_AREA",IF(AND(N($L1269)&lt;=0,N($N1269)&lt;=0,N($R1269)+N($S1269)&lt;=0),"No area information",""))))))))</f>
        <v/>
      </c>
      <c r="AB1269" s="22">
        <f>IF(AND($A1269="",$B1269=""),"",IF($K1269="Point",N($L1269),IF(N($N1269)&gt;0,N($N1269),N($L1269))))</f>
        <v/>
      </c>
      <c r="AC1269" s="22">
        <f>IF(AND($A1269="",$B1269=""),"",MIN(AB1269,IF(N($J1269)=0,0,IF(N($J1269)=2,AB1269,IF(AND($K1269&lt;&gt;"Point",N($O1269)&gt;0),N($O1269),N($M1269))))))</f>
        <v/>
      </c>
      <c r="AD1269" s="22">
        <f>IF(AND($A1269="",$B1269=""),"",MAX(0,AB1269-AC1269))</f>
        <v/>
      </c>
      <c r="AE1269" s="21">
        <f>IF(AND($A1269="",$B1269=""),"",IF(OR($R1269&lt;&gt;"",$S1269&lt;&gt;""),1,0))</f>
        <v/>
      </c>
      <c r="AF1269" s="22">
        <f>IF(AND($A1269="",$B1269=""),"",IF(Z1269=1,IF(AE1269=1,N($R1269),AD1269),0))</f>
        <v/>
      </c>
      <c r="AG1269" s="22">
        <f>IF(AND($A1269="",$B1269=""),"",IF(Z1269=1,IF(AE1269=1,N($S1269),AC1269),0))</f>
        <v/>
      </c>
      <c r="AH1269" s="21">
        <f>IF(AND($A1269="",$B1269=""),"",IF(AND(ISNUMBER($I1269),N($I1269)&gt;0),$I1269,0))</f>
        <v/>
      </c>
      <c r="AI1269" s="23">
        <f>IF(AND(NOT(AND($A1269="",$B1269="")),$K1269="Point",N($L1269)&gt;0),SQRT(N($L1269)/PI()),"")</f>
        <v/>
      </c>
      <c r="AJ1269" s="21">
        <f>IF(AND($A1269="",$B1269=""),"",IFERROR(VLOOKUP($G1269,Lists!$D$4:$E$15,2,FALSE),"Not reported"))</f>
        <v/>
      </c>
      <c r="AK1269" s="21">
        <f>IF(AND($A1269="",$B1269=""),"",IF($X1269&lt;&gt;"",$X1269,IF($T1269&lt;&gt;"Y","Not assessed",IF(AND(ISNUMBER($V1269),Setup!$B$6-$V1269&gt;Setup!$B$26),"Assessment outdated",IF(NOT(ISNUMBER($W1269)),"Assessed – no score",IF($W1269&gt;=Setup!$B$24,"High",IF($W1269&gt;=Setup!$B$25,"Moderate","Low")))))))</f>
        <v/>
      </c>
      <c r="AL1269" s="21">
        <f>IF(AND($A1269="",$B1269=""),"",IF(Z1269=0,"",IF(AND(AE1269=1,N($R1269)&gt;AD1269*1.01+0.001),"Net terrestrial &gt; gross; ","")&amp;IF(AND(AE1269=1,N($S1269)&gt;AC1269*1.01+0.001),"Net marine &gt; gross; ","")&amp;IF(AE1269=0,"No net area – gross used, overlaps may be double-counted; ","")&amp;IF(AH1269=0,"STATUS_YR missing – imputed in time series; ","")&amp;IF(AND(ISNUMBER($I1269),N($I1269)&gt;Setup!$B$6),"STATUS_YR after reporting year; ","")&amp;IF(OR($G1269="",$G1269="Not Reported"),"GOV_TYPE not reported; ","")&amp;IF(AND(N($J1269)=1,$K1269="Point",N($M1269)&lt;=0),"Coastal point without REP_M_AREA – land/sea split unknown; ","")&amp;IF(AND(N($J1269)=0,N($S1269)&gt;0),"MARINE=0 but net marine &gt;0; ","")&amp;IF(AND(N($J1269)=2,N($R1269)&gt;0),"MARINE=2 but net terrestrial &gt;0; ","")&amp;IF($K1269="Point","Buffered point – coverage approximate; ","")))</f>
        <v/>
      </c>
    </row>
    <row r="1270">
      <c r="A1270" s="19" t="n"/>
      <c r="B1270" s="19" t="n"/>
      <c r="C1270" s="19" t="n"/>
      <c r="D1270" s="19" t="n"/>
      <c r="E1270" s="19" t="n"/>
      <c r="F1270" s="19" t="n"/>
      <c r="G1270" s="19" t="n"/>
      <c r="H1270" s="19" t="n"/>
      <c r="I1270" s="19" t="n"/>
      <c r="J1270" s="19" t="n"/>
      <c r="K1270" s="19" t="n"/>
      <c r="L1270" s="20" t="n"/>
      <c r="M1270" s="20" t="n"/>
      <c r="N1270" s="20" t="n"/>
      <c r="O1270" s="20" t="n"/>
      <c r="P1270" s="19" t="n"/>
      <c r="Q1270" s="19" t="n"/>
      <c r="R1270" s="20" t="n"/>
      <c r="S1270" s="20" t="n"/>
      <c r="T1270" s="19" t="n"/>
      <c r="U1270" s="19" t="n"/>
      <c r="V1270" s="19" t="n"/>
      <c r="W1270" s="19" t="n"/>
      <c r="X1270" s="19" t="n"/>
      <c r="Y1270" s="19" t="n"/>
      <c r="Z1270" s="21">
        <f>IF(AND($A1270="",$B1270=""),"",IF(OR($E1270="",$H1270="",$H1270="Proposed",$H1270="Not Reported"),0,IF(AND($P1270="Y",$Q1270&lt;&gt;"Y"),0,IF(AND($K1270="Point",N($L1270)&lt;=0),0,IF(AND(N($L1270)&lt;=0,N($N1270)&lt;=0,N($R1270)+N($S1270)&lt;=0),0,1)))))</f>
        <v/>
      </c>
      <c r="AA1270" s="21">
        <f>IF(AND($A1270="",$B1270=""),"",IF($E1270="","Site type missing",IF($H1270="","STATUS missing",IF($H1270="Proposed","STATUS = Proposed",IF($H1270="Not Reported","STATUS = Not Reported",IF(AND($P1270="Y",$Q1270&lt;&gt;"Y"),"UNESCO-MAB Biosphere Reserve",IF(AND($K1270="Point",N($L1270)&lt;=0),"Point without REP_AREA",IF(AND(N($L1270)&lt;=0,N($N1270)&lt;=0,N($R1270)+N($S1270)&lt;=0),"No area information",""))))))))</f>
        <v/>
      </c>
      <c r="AB1270" s="22">
        <f>IF(AND($A1270="",$B1270=""),"",IF($K1270="Point",N($L1270),IF(N($N1270)&gt;0,N($N1270),N($L1270))))</f>
        <v/>
      </c>
      <c r="AC1270" s="22">
        <f>IF(AND($A1270="",$B1270=""),"",MIN(AB1270,IF(N($J1270)=0,0,IF(N($J1270)=2,AB1270,IF(AND($K1270&lt;&gt;"Point",N($O1270)&gt;0),N($O1270),N($M1270))))))</f>
        <v/>
      </c>
      <c r="AD1270" s="22">
        <f>IF(AND($A1270="",$B1270=""),"",MAX(0,AB1270-AC1270))</f>
        <v/>
      </c>
      <c r="AE1270" s="21">
        <f>IF(AND($A1270="",$B1270=""),"",IF(OR($R1270&lt;&gt;"",$S1270&lt;&gt;""),1,0))</f>
        <v/>
      </c>
      <c r="AF1270" s="22">
        <f>IF(AND($A1270="",$B1270=""),"",IF(Z1270=1,IF(AE1270=1,N($R1270),AD1270),0))</f>
        <v/>
      </c>
      <c r="AG1270" s="22">
        <f>IF(AND($A1270="",$B1270=""),"",IF(Z1270=1,IF(AE1270=1,N($S1270),AC1270),0))</f>
        <v/>
      </c>
      <c r="AH1270" s="21">
        <f>IF(AND($A1270="",$B1270=""),"",IF(AND(ISNUMBER($I1270),N($I1270)&gt;0),$I1270,0))</f>
        <v/>
      </c>
      <c r="AI1270" s="23">
        <f>IF(AND(NOT(AND($A1270="",$B1270="")),$K1270="Point",N($L1270)&gt;0),SQRT(N($L1270)/PI()),"")</f>
        <v/>
      </c>
      <c r="AJ1270" s="21">
        <f>IF(AND($A1270="",$B1270=""),"",IFERROR(VLOOKUP($G1270,Lists!$D$4:$E$15,2,FALSE),"Not reported"))</f>
        <v/>
      </c>
      <c r="AK1270" s="21">
        <f>IF(AND($A1270="",$B1270=""),"",IF($X1270&lt;&gt;"",$X1270,IF($T1270&lt;&gt;"Y","Not assessed",IF(AND(ISNUMBER($V1270),Setup!$B$6-$V1270&gt;Setup!$B$26),"Assessment outdated",IF(NOT(ISNUMBER($W1270)),"Assessed – no score",IF($W1270&gt;=Setup!$B$24,"High",IF($W1270&gt;=Setup!$B$25,"Moderate","Low")))))))</f>
        <v/>
      </c>
      <c r="AL1270" s="21">
        <f>IF(AND($A1270="",$B1270=""),"",IF(Z1270=0,"",IF(AND(AE1270=1,N($R1270)&gt;AD1270*1.01+0.001),"Net terrestrial &gt; gross; ","")&amp;IF(AND(AE1270=1,N($S1270)&gt;AC1270*1.01+0.001),"Net marine &gt; gross; ","")&amp;IF(AE1270=0,"No net area – gross used, overlaps may be double-counted; ","")&amp;IF(AH1270=0,"STATUS_YR missing – imputed in time series; ","")&amp;IF(AND(ISNUMBER($I1270),N($I1270)&gt;Setup!$B$6),"STATUS_YR after reporting year; ","")&amp;IF(OR($G1270="",$G1270="Not Reported"),"GOV_TYPE not reported; ","")&amp;IF(AND(N($J1270)=1,$K1270="Point",N($M1270)&lt;=0),"Coastal point without REP_M_AREA – land/sea split unknown; ","")&amp;IF(AND(N($J1270)=0,N($S1270)&gt;0),"MARINE=0 but net marine &gt;0; ","")&amp;IF(AND(N($J1270)=2,N($R1270)&gt;0),"MARINE=2 but net terrestrial &gt;0; ","")&amp;IF($K1270="Point","Buffered point – coverage approximate; ","")))</f>
        <v/>
      </c>
    </row>
    <row r="1271">
      <c r="A1271" s="19" t="n"/>
      <c r="B1271" s="19" t="n"/>
      <c r="C1271" s="19" t="n"/>
      <c r="D1271" s="19" t="n"/>
      <c r="E1271" s="19" t="n"/>
      <c r="F1271" s="19" t="n"/>
      <c r="G1271" s="19" t="n"/>
      <c r="H1271" s="19" t="n"/>
      <c r="I1271" s="19" t="n"/>
      <c r="J1271" s="19" t="n"/>
      <c r="K1271" s="19" t="n"/>
      <c r="L1271" s="20" t="n"/>
      <c r="M1271" s="20" t="n"/>
      <c r="N1271" s="20" t="n"/>
      <c r="O1271" s="20" t="n"/>
      <c r="P1271" s="19" t="n"/>
      <c r="Q1271" s="19" t="n"/>
      <c r="R1271" s="20" t="n"/>
      <c r="S1271" s="20" t="n"/>
      <c r="T1271" s="19" t="n"/>
      <c r="U1271" s="19" t="n"/>
      <c r="V1271" s="19" t="n"/>
      <c r="W1271" s="19" t="n"/>
      <c r="X1271" s="19" t="n"/>
      <c r="Y1271" s="19" t="n"/>
      <c r="Z1271" s="21">
        <f>IF(AND($A1271="",$B1271=""),"",IF(OR($E1271="",$H1271="",$H1271="Proposed",$H1271="Not Reported"),0,IF(AND($P1271="Y",$Q1271&lt;&gt;"Y"),0,IF(AND($K1271="Point",N($L1271)&lt;=0),0,IF(AND(N($L1271)&lt;=0,N($N1271)&lt;=0,N($R1271)+N($S1271)&lt;=0),0,1)))))</f>
        <v/>
      </c>
      <c r="AA1271" s="21">
        <f>IF(AND($A1271="",$B1271=""),"",IF($E1271="","Site type missing",IF($H1271="","STATUS missing",IF($H1271="Proposed","STATUS = Proposed",IF($H1271="Not Reported","STATUS = Not Reported",IF(AND($P1271="Y",$Q1271&lt;&gt;"Y"),"UNESCO-MAB Biosphere Reserve",IF(AND($K1271="Point",N($L1271)&lt;=0),"Point without REP_AREA",IF(AND(N($L1271)&lt;=0,N($N1271)&lt;=0,N($R1271)+N($S1271)&lt;=0),"No area information",""))))))))</f>
        <v/>
      </c>
      <c r="AB1271" s="22">
        <f>IF(AND($A1271="",$B1271=""),"",IF($K1271="Point",N($L1271),IF(N($N1271)&gt;0,N($N1271),N($L1271))))</f>
        <v/>
      </c>
      <c r="AC1271" s="22">
        <f>IF(AND($A1271="",$B1271=""),"",MIN(AB1271,IF(N($J1271)=0,0,IF(N($J1271)=2,AB1271,IF(AND($K1271&lt;&gt;"Point",N($O1271)&gt;0),N($O1271),N($M1271))))))</f>
        <v/>
      </c>
      <c r="AD1271" s="22">
        <f>IF(AND($A1271="",$B1271=""),"",MAX(0,AB1271-AC1271))</f>
        <v/>
      </c>
      <c r="AE1271" s="21">
        <f>IF(AND($A1271="",$B1271=""),"",IF(OR($R1271&lt;&gt;"",$S1271&lt;&gt;""),1,0))</f>
        <v/>
      </c>
      <c r="AF1271" s="22">
        <f>IF(AND($A1271="",$B1271=""),"",IF(Z1271=1,IF(AE1271=1,N($R1271),AD1271),0))</f>
        <v/>
      </c>
      <c r="AG1271" s="22">
        <f>IF(AND($A1271="",$B1271=""),"",IF(Z1271=1,IF(AE1271=1,N($S1271),AC1271),0))</f>
        <v/>
      </c>
      <c r="AH1271" s="21">
        <f>IF(AND($A1271="",$B1271=""),"",IF(AND(ISNUMBER($I1271),N($I1271)&gt;0),$I1271,0))</f>
        <v/>
      </c>
      <c r="AI1271" s="23">
        <f>IF(AND(NOT(AND($A1271="",$B1271="")),$K1271="Point",N($L1271)&gt;0),SQRT(N($L1271)/PI()),"")</f>
        <v/>
      </c>
      <c r="AJ1271" s="21">
        <f>IF(AND($A1271="",$B1271=""),"",IFERROR(VLOOKUP($G1271,Lists!$D$4:$E$15,2,FALSE),"Not reported"))</f>
        <v/>
      </c>
      <c r="AK1271" s="21">
        <f>IF(AND($A1271="",$B1271=""),"",IF($X1271&lt;&gt;"",$X1271,IF($T1271&lt;&gt;"Y","Not assessed",IF(AND(ISNUMBER($V1271),Setup!$B$6-$V1271&gt;Setup!$B$26),"Assessment outdated",IF(NOT(ISNUMBER($W1271)),"Assessed – no score",IF($W1271&gt;=Setup!$B$24,"High",IF($W1271&gt;=Setup!$B$25,"Moderate","Low")))))))</f>
        <v/>
      </c>
      <c r="AL1271" s="21">
        <f>IF(AND($A1271="",$B1271=""),"",IF(Z1271=0,"",IF(AND(AE1271=1,N($R1271)&gt;AD1271*1.01+0.001),"Net terrestrial &gt; gross; ","")&amp;IF(AND(AE1271=1,N($S1271)&gt;AC1271*1.01+0.001),"Net marine &gt; gross; ","")&amp;IF(AE1271=0,"No net area – gross used, overlaps may be double-counted; ","")&amp;IF(AH1271=0,"STATUS_YR missing – imputed in time series; ","")&amp;IF(AND(ISNUMBER($I1271),N($I1271)&gt;Setup!$B$6),"STATUS_YR after reporting year; ","")&amp;IF(OR($G1271="",$G1271="Not Reported"),"GOV_TYPE not reported; ","")&amp;IF(AND(N($J1271)=1,$K1271="Point",N($M1271)&lt;=0),"Coastal point without REP_M_AREA – land/sea split unknown; ","")&amp;IF(AND(N($J1271)=0,N($S1271)&gt;0),"MARINE=0 but net marine &gt;0; ","")&amp;IF(AND(N($J1271)=2,N($R1271)&gt;0),"MARINE=2 but net terrestrial &gt;0; ","")&amp;IF($K1271="Point","Buffered point – coverage approximate; ","")))</f>
        <v/>
      </c>
    </row>
    <row r="1272">
      <c r="A1272" s="19" t="n"/>
      <c r="B1272" s="19" t="n"/>
      <c r="C1272" s="19" t="n"/>
      <c r="D1272" s="19" t="n"/>
      <c r="E1272" s="19" t="n"/>
      <c r="F1272" s="19" t="n"/>
      <c r="G1272" s="19" t="n"/>
      <c r="H1272" s="19" t="n"/>
      <c r="I1272" s="19" t="n"/>
      <c r="J1272" s="19" t="n"/>
      <c r="K1272" s="19" t="n"/>
      <c r="L1272" s="20" t="n"/>
      <c r="M1272" s="20" t="n"/>
      <c r="N1272" s="20" t="n"/>
      <c r="O1272" s="20" t="n"/>
      <c r="P1272" s="19" t="n"/>
      <c r="Q1272" s="19" t="n"/>
      <c r="R1272" s="20" t="n"/>
      <c r="S1272" s="20" t="n"/>
      <c r="T1272" s="19" t="n"/>
      <c r="U1272" s="19" t="n"/>
      <c r="V1272" s="19" t="n"/>
      <c r="W1272" s="19" t="n"/>
      <c r="X1272" s="19" t="n"/>
      <c r="Y1272" s="19" t="n"/>
      <c r="Z1272" s="21">
        <f>IF(AND($A1272="",$B1272=""),"",IF(OR($E1272="",$H1272="",$H1272="Proposed",$H1272="Not Reported"),0,IF(AND($P1272="Y",$Q1272&lt;&gt;"Y"),0,IF(AND($K1272="Point",N($L1272)&lt;=0),0,IF(AND(N($L1272)&lt;=0,N($N1272)&lt;=0,N($R1272)+N($S1272)&lt;=0),0,1)))))</f>
        <v/>
      </c>
      <c r="AA1272" s="21">
        <f>IF(AND($A1272="",$B1272=""),"",IF($E1272="","Site type missing",IF($H1272="","STATUS missing",IF($H1272="Proposed","STATUS = Proposed",IF($H1272="Not Reported","STATUS = Not Reported",IF(AND($P1272="Y",$Q1272&lt;&gt;"Y"),"UNESCO-MAB Biosphere Reserve",IF(AND($K1272="Point",N($L1272)&lt;=0),"Point without REP_AREA",IF(AND(N($L1272)&lt;=0,N($N1272)&lt;=0,N($R1272)+N($S1272)&lt;=0),"No area information",""))))))))</f>
        <v/>
      </c>
      <c r="AB1272" s="22">
        <f>IF(AND($A1272="",$B1272=""),"",IF($K1272="Point",N($L1272),IF(N($N1272)&gt;0,N($N1272),N($L1272))))</f>
        <v/>
      </c>
      <c r="AC1272" s="22">
        <f>IF(AND($A1272="",$B1272=""),"",MIN(AB1272,IF(N($J1272)=0,0,IF(N($J1272)=2,AB1272,IF(AND($K1272&lt;&gt;"Point",N($O1272)&gt;0),N($O1272),N($M1272))))))</f>
        <v/>
      </c>
      <c r="AD1272" s="22">
        <f>IF(AND($A1272="",$B1272=""),"",MAX(0,AB1272-AC1272))</f>
        <v/>
      </c>
      <c r="AE1272" s="21">
        <f>IF(AND($A1272="",$B1272=""),"",IF(OR($R1272&lt;&gt;"",$S1272&lt;&gt;""),1,0))</f>
        <v/>
      </c>
      <c r="AF1272" s="22">
        <f>IF(AND($A1272="",$B1272=""),"",IF(Z1272=1,IF(AE1272=1,N($R1272),AD1272),0))</f>
        <v/>
      </c>
      <c r="AG1272" s="22">
        <f>IF(AND($A1272="",$B1272=""),"",IF(Z1272=1,IF(AE1272=1,N($S1272),AC1272),0))</f>
        <v/>
      </c>
      <c r="AH1272" s="21">
        <f>IF(AND($A1272="",$B1272=""),"",IF(AND(ISNUMBER($I1272),N($I1272)&gt;0),$I1272,0))</f>
        <v/>
      </c>
      <c r="AI1272" s="23">
        <f>IF(AND(NOT(AND($A1272="",$B1272="")),$K1272="Point",N($L1272)&gt;0),SQRT(N($L1272)/PI()),"")</f>
        <v/>
      </c>
      <c r="AJ1272" s="21">
        <f>IF(AND($A1272="",$B1272=""),"",IFERROR(VLOOKUP($G1272,Lists!$D$4:$E$15,2,FALSE),"Not reported"))</f>
        <v/>
      </c>
      <c r="AK1272" s="21">
        <f>IF(AND($A1272="",$B1272=""),"",IF($X1272&lt;&gt;"",$X1272,IF($T1272&lt;&gt;"Y","Not assessed",IF(AND(ISNUMBER($V1272),Setup!$B$6-$V1272&gt;Setup!$B$26),"Assessment outdated",IF(NOT(ISNUMBER($W1272)),"Assessed – no score",IF($W1272&gt;=Setup!$B$24,"High",IF($W1272&gt;=Setup!$B$25,"Moderate","Low")))))))</f>
        <v/>
      </c>
      <c r="AL1272" s="21">
        <f>IF(AND($A1272="",$B1272=""),"",IF(Z1272=0,"",IF(AND(AE1272=1,N($R1272)&gt;AD1272*1.01+0.001),"Net terrestrial &gt; gross; ","")&amp;IF(AND(AE1272=1,N($S1272)&gt;AC1272*1.01+0.001),"Net marine &gt; gross; ","")&amp;IF(AE1272=0,"No net area – gross used, overlaps may be double-counted; ","")&amp;IF(AH1272=0,"STATUS_YR missing – imputed in time series; ","")&amp;IF(AND(ISNUMBER($I1272),N($I1272)&gt;Setup!$B$6),"STATUS_YR after reporting year; ","")&amp;IF(OR($G1272="",$G1272="Not Reported"),"GOV_TYPE not reported; ","")&amp;IF(AND(N($J1272)=1,$K1272="Point",N($M1272)&lt;=0),"Coastal point without REP_M_AREA – land/sea split unknown; ","")&amp;IF(AND(N($J1272)=0,N($S1272)&gt;0),"MARINE=0 but net marine &gt;0; ","")&amp;IF(AND(N($J1272)=2,N($R1272)&gt;0),"MARINE=2 but net terrestrial &gt;0; ","")&amp;IF($K1272="Point","Buffered point – coverage approximate; ","")))</f>
        <v/>
      </c>
    </row>
    <row r="1273">
      <c r="A1273" s="19" t="n"/>
      <c r="B1273" s="19" t="n"/>
      <c r="C1273" s="19" t="n"/>
      <c r="D1273" s="19" t="n"/>
      <c r="E1273" s="19" t="n"/>
      <c r="F1273" s="19" t="n"/>
      <c r="G1273" s="19" t="n"/>
      <c r="H1273" s="19" t="n"/>
      <c r="I1273" s="19" t="n"/>
      <c r="J1273" s="19" t="n"/>
      <c r="K1273" s="19" t="n"/>
      <c r="L1273" s="20" t="n"/>
      <c r="M1273" s="20" t="n"/>
      <c r="N1273" s="20" t="n"/>
      <c r="O1273" s="20" t="n"/>
      <c r="P1273" s="19" t="n"/>
      <c r="Q1273" s="19" t="n"/>
      <c r="R1273" s="20" t="n"/>
      <c r="S1273" s="20" t="n"/>
      <c r="T1273" s="19" t="n"/>
      <c r="U1273" s="19" t="n"/>
      <c r="V1273" s="19" t="n"/>
      <c r="W1273" s="19" t="n"/>
      <c r="X1273" s="19" t="n"/>
      <c r="Y1273" s="19" t="n"/>
      <c r="Z1273" s="21">
        <f>IF(AND($A1273="",$B1273=""),"",IF(OR($E1273="",$H1273="",$H1273="Proposed",$H1273="Not Reported"),0,IF(AND($P1273="Y",$Q1273&lt;&gt;"Y"),0,IF(AND($K1273="Point",N($L1273)&lt;=0),0,IF(AND(N($L1273)&lt;=0,N($N1273)&lt;=0,N($R1273)+N($S1273)&lt;=0),0,1)))))</f>
        <v/>
      </c>
      <c r="AA1273" s="21">
        <f>IF(AND($A1273="",$B1273=""),"",IF($E1273="","Site type missing",IF($H1273="","STATUS missing",IF($H1273="Proposed","STATUS = Proposed",IF($H1273="Not Reported","STATUS = Not Reported",IF(AND($P1273="Y",$Q1273&lt;&gt;"Y"),"UNESCO-MAB Biosphere Reserve",IF(AND($K1273="Point",N($L1273)&lt;=0),"Point without REP_AREA",IF(AND(N($L1273)&lt;=0,N($N1273)&lt;=0,N($R1273)+N($S1273)&lt;=0),"No area information",""))))))))</f>
        <v/>
      </c>
      <c r="AB1273" s="22">
        <f>IF(AND($A1273="",$B1273=""),"",IF($K1273="Point",N($L1273),IF(N($N1273)&gt;0,N($N1273),N($L1273))))</f>
        <v/>
      </c>
      <c r="AC1273" s="22">
        <f>IF(AND($A1273="",$B1273=""),"",MIN(AB1273,IF(N($J1273)=0,0,IF(N($J1273)=2,AB1273,IF(AND($K1273&lt;&gt;"Point",N($O1273)&gt;0),N($O1273),N($M1273))))))</f>
        <v/>
      </c>
      <c r="AD1273" s="22">
        <f>IF(AND($A1273="",$B1273=""),"",MAX(0,AB1273-AC1273))</f>
        <v/>
      </c>
      <c r="AE1273" s="21">
        <f>IF(AND($A1273="",$B1273=""),"",IF(OR($R1273&lt;&gt;"",$S1273&lt;&gt;""),1,0))</f>
        <v/>
      </c>
      <c r="AF1273" s="22">
        <f>IF(AND($A1273="",$B1273=""),"",IF(Z1273=1,IF(AE1273=1,N($R1273),AD1273),0))</f>
        <v/>
      </c>
      <c r="AG1273" s="22">
        <f>IF(AND($A1273="",$B1273=""),"",IF(Z1273=1,IF(AE1273=1,N($S1273),AC1273),0))</f>
        <v/>
      </c>
      <c r="AH1273" s="21">
        <f>IF(AND($A1273="",$B1273=""),"",IF(AND(ISNUMBER($I1273),N($I1273)&gt;0),$I1273,0))</f>
        <v/>
      </c>
      <c r="AI1273" s="23">
        <f>IF(AND(NOT(AND($A1273="",$B1273="")),$K1273="Point",N($L1273)&gt;0),SQRT(N($L1273)/PI()),"")</f>
        <v/>
      </c>
      <c r="AJ1273" s="21">
        <f>IF(AND($A1273="",$B1273=""),"",IFERROR(VLOOKUP($G1273,Lists!$D$4:$E$15,2,FALSE),"Not reported"))</f>
        <v/>
      </c>
      <c r="AK1273" s="21">
        <f>IF(AND($A1273="",$B1273=""),"",IF($X1273&lt;&gt;"",$X1273,IF($T1273&lt;&gt;"Y","Not assessed",IF(AND(ISNUMBER($V1273),Setup!$B$6-$V1273&gt;Setup!$B$26),"Assessment outdated",IF(NOT(ISNUMBER($W1273)),"Assessed – no score",IF($W1273&gt;=Setup!$B$24,"High",IF($W1273&gt;=Setup!$B$25,"Moderate","Low")))))))</f>
        <v/>
      </c>
      <c r="AL1273" s="21">
        <f>IF(AND($A1273="",$B1273=""),"",IF(Z1273=0,"",IF(AND(AE1273=1,N($R1273)&gt;AD1273*1.01+0.001),"Net terrestrial &gt; gross; ","")&amp;IF(AND(AE1273=1,N($S1273)&gt;AC1273*1.01+0.001),"Net marine &gt; gross; ","")&amp;IF(AE1273=0,"No net area – gross used, overlaps may be double-counted; ","")&amp;IF(AH1273=0,"STATUS_YR missing – imputed in time series; ","")&amp;IF(AND(ISNUMBER($I1273),N($I1273)&gt;Setup!$B$6),"STATUS_YR after reporting year; ","")&amp;IF(OR($G1273="",$G1273="Not Reported"),"GOV_TYPE not reported; ","")&amp;IF(AND(N($J1273)=1,$K1273="Point",N($M1273)&lt;=0),"Coastal point without REP_M_AREA – land/sea split unknown; ","")&amp;IF(AND(N($J1273)=0,N($S1273)&gt;0),"MARINE=0 but net marine &gt;0; ","")&amp;IF(AND(N($J1273)=2,N($R1273)&gt;0),"MARINE=2 but net terrestrial &gt;0; ","")&amp;IF($K1273="Point","Buffered point – coverage approximate; ","")))</f>
        <v/>
      </c>
    </row>
    <row r="1274">
      <c r="A1274" s="19" t="n"/>
      <c r="B1274" s="19" t="n"/>
      <c r="C1274" s="19" t="n"/>
      <c r="D1274" s="19" t="n"/>
      <c r="E1274" s="19" t="n"/>
      <c r="F1274" s="19" t="n"/>
      <c r="G1274" s="19" t="n"/>
      <c r="H1274" s="19" t="n"/>
      <c r="I1274" s="19" t="n"/>
      <c r="J1274" s="19" t="n"/>
      <c r="K1274" s="19" t="n"/>
      <c r="L1274" s="20" t="n"/>
      <c r="M1274" s="20" t="n"/>
      <c r="N1274" s="20" t="n"/>
      <c r="O1274" s="20" t="n"/>
      <c r="P1274" s="19" t="n"/>
      <c r="Q1274" s="19" t="n"/>
      <c r="R1274" s="20" t="n"/>
      <c r="S1274" s="20" t="n"/>
      <c r="T1274" s="19" t="n"/>
      <c r="U1274" s="19" t="n"/>
      <c r="V1274" s="19" t="n"/>
      <c r="W1274" s="19" t="n"/>
      <c r="X1274" s="19" t="n"/>
      <c r="Y1274" s="19" t="n"/>
      <c r="Z1274" s="21">
        <f>IF(AND($A1274="",$B1274=""),"",IF(OR($E1274="",$H1274="",$H1274="Proposed",$H1274="Not Reported"),0,IF(AND($P1274="Y",$Q1274&lt;&gt;"Y"),0,IF(AND($K1274="Point",N($L1274)&lt;=0),0,IF(AND(N($L1274)&lt;=0,N($N1274)&lt;=0,N($R1274)+N($S1274)&lt;=0),0,1)))))</f>
        <v/>
      </c>
      <c r="AA1274" s="21">
        <f>IF(AND($A1274="",$B1274=""),"",IF($E1274="","Site type missing",IF($H1274="","STATUS missing",IF($H1274="Proposed","STATUS = Proposed",IF($H1274="Not Reported","STATUS = Not Reported",IF(AND($P1274="Y",$Q1274&lt;&gt;"Y"),"UNESCO-MAB Biosphere Reserve",IF(AND($K1274="Point",N($L1274)&lt;=0),"Point without REP_AREA",IF(AND(N($L1274)&lt;=0,N($N1274)&lt;=0,N($R1274)+N($S1274)&lt;=0),"No area information",""))))))))</f>
        <v/>
      </c>
      <c r="AB1274" s="22">
        <f>IF(AND($A1274="",$B1274=""),"",IF($K1274="Point",N($L1274),IF(N($N1274)&gt;0,N($N1274),N($L1274))))</f>
        <v/>
      </c>
      <c r="AC1274" s="22">
        <f>IF(AND($A1274="",$B1274=""),"",MIN(AB1274,IF(N($J1274)=0,0,IF(N($J1274)=2,AB1274,IF(AND($K1274&lt;&gt;"Point",N($O1274)&gt;0),N($O1274),N($M1274))))))</f>
        <v/>
      </c>
      <c r="AD1274" s="22">
        <f>IF(AND($A1274="",$B1274=""),"",MAX(0,AB1274-AC1274))</f>
        <v/>
      </c>
      <c r="AE1274" s="21">
        <f>IF(AND($A1274="",$B1274=""),"",IF(OR($R1274&lt;&gt;"",$S1274&lt;&gt;""),1,0))</f>
        <v/>
      </c>
      <c r="AF1274" s="22">
        <f>IF(AND($A1274="",$B1274=""),"",IF(Z1274=1,IF(AE1274=1,N($R1274),AD1274),0))</f>
        <v/>
      </c>
      <c r="AG1274" s="22">
        <f>IF(AND($A1274="",$B1274=""),"",IF(Z1274=1,IF(AE1274=1,N($S1274),AC1274),0))</f>
        <v/>
      </c>
      <c r="AH1274" s="21">
        <f>IF(AND($A1274="",$B1274=""),"",IF(AND(ISNUMBER($I1274),N($I1274)&gt;0),$I1274,0))</f>
        <v/>
      </c>
      <c r="AI1274" s="23">
        <f>IF(AND(NOT(AND($A1274="",$B1274="")),$K1274="Point",N($L1274)&gt;0),SQRT(N($L1274)/PI()),"")</f>
        <v/>
      </c>
      <c r="AJ1274" s="21">
        <f>IF(AND($A1274="",$B1274=""),"",IFERROR(VLOOKUP($G1274,Lists!$D$4:$E$15,2,FALSE),"Not reported"))</f>
        <v/>
      </c>
      <c r="AK1274" s="21">
        <f>IF(AND($A1274="",$B1274=""),"",IF($X1274&lt;&gt;"",$X1274,IF($T1274&lt;&gt;"Y","Not assessed",IF(AND(ISNUMBER($V1274),Setup!$B$6-$V1274&gt;Setup!$B$26),"Assessment outdated",IF(NOT(ISNUMBER($W1274)),"Assessed – no score",IF($W1274&gt;=Setup!$B$24,"High",IF($W1274&gt;=Setup!$B$25,"Moderate","Low")))))))</f>
        <v/>
      </c>
      <c r="AL1274" s="21">
        <f>IF(AND($A1274="",$B1274=""),"",IF(Z1274=0,"",IF(AND(AE1274=1,N($R1274)&gt;AD1274*1.01+0.001),"Net terrestrial &gt; gross; ","")&amp;IF(AND(AE1274=1,N($S1274)&gt;AC1274*1.01+0.001),"Net marine &gt; gross; ","")&amp;IF(AE1274=0,"No net area – gross used, overlaps may be double-counted; ","")&amp;IF(AH1274=0,"STATUS_YR missing – imputed in time series; ","")&amp;IF(AND(ISNUMBER($I1274),N($I1274)&gt;Setup!$B$6),"STATUS_YR after reporting year; ","")&amp;IF(OR($G1274="",$G1274="Not Reported"),"GOV_TYPE not reported; ","")&amp;IF(AND(N($J1274)=1,$K1274="Point",N($M1274)&lt;=0),"Coastal point without REP_M_AREA – land/sea split unknown; ","")&amp;IF(AND(N($J1274)=0,N($S1274)&gt;0),"MARINE=0 but net marine &gt;0; ","")&amp;IF(AND(N($J1274)=2,N($R1274)&gt;0),"MARINE=2 but net terrestrial &gt;0; ","")&amp;IF($K1274="Point","Buffered point – coverage approximate; ","")))</f>
        <v/>
      </c>
    </row>
    <row r="1275">
      <c r="A1275" s="19" t="n"/>
      <c r="B1275" s="19" t="n"/>
      <c r="C1275" s="19" t="n"/>
      <c r="D1275" s="19" t="n"/>
      <c r="E1275" s="19" t="n"/>
      <c r="F1275" s="19" t="n"/>
      <c r="G1275" s="19" t="n"/>
      <c r="H1275" s="19" t="n"/>
      <c r="I1275" s="19" t="n"/>
      <c r="J1275" s="19" t="n"/>
      <c r="K1275" s="19" t="n"/>
      <c r="L1275" s="20" t="n"/>
      <c r="M1275" s="20" t="n"/>
      <c r="N1275" s="20" t="n"/>
      <c r="O1275" s="20" t="n"/>
      <c r="P1275" s="19" t="n"/>
      <c r="Q1275" s="19" t="n"/>
      <c r="R1275" s="20" t="n"/>
      <c r="S1275" s="20" t="n"/>
      <c r="T1275" s="19" t="n"/>
      <c r="U1275" s="19" t="n"/>
      <c r="V1275" s="19" t="n"/>
      <c r="W1275" s="19" t="n"/>
      <c r="X1275" s="19" t="n"/>
      <c r="Y1275" s="19" t="n"/>
      <c r="Z1275" s="21">
        <f>IF(AND($A1275="",$B1275=""),"",IF(OR($E1275="",$H1275="",$H1275="Proposed",$H1275="Not Reported"),0,IF(AND($P1275="Y",$Q1275&lt;&gt;"Y"),0,IF(AND($K1275="Point",N($L1275)&lt;=0),0,IF(AND(N($L1275)&lt;=0,N($N1275)&lt;=0,N($R1275)+N($S1275)&lt;=0),0,1)))))</f>
        <v/>
      </c>
      <c r="AA1275" s="21">
        <f>IF(AND($A1275="",$B1275=""),"",IF($E1275="","Site type missing",IF($H1275="","STATUS missing",IF($H1275="Proposed","STATUS = Proposed",IF($H1275="Not Reported","STATUS = Not Reported",IF(AND($P1275="Y",$Q1275&lt;&gt;"Y"),"UNESCO-MAB Biosphere Reserve",IF(AND($K1275="Point",N($L1275)&lt;=0),"Point without REP_AREA",IF(AND(N($L1275)&lt;=0,N($N1275)&lt;=0,N($R1275)+N($S1275)&lt;=0),"No area information",""))))))))</f>
        <v/>
      </c>
      <c r="AB1275" s="22">
        <f>IF(AND($A1275="",$B1275=""),"",IF($K1275="Point",N($L1275),IF(N($N1275)&gt;0,N($N1275),N($L1275))))</f>
        <v/>
      </c>
      <c r="AC1275" s="22">
        <f>IF(AND($A1275="",$B1275=""),"",MIN(AB1275,IF(N($J1275)=0,0,IF(N($J1275)=2,AB1275,IF(AND($K1275&lt;&gt;"Point",N($O1275)&gt;0),N($O1275),N($M1275))))))</f>
        <v/>
      </c>
      <c r="AD1275" s="22">
        <f>IF(AND($A1275="",$B1275=""),"",MAX(0,AB1275-AC1275))</f>
        <v/>
      </c>
      <c r="AE1275" s="21">
        <f>IF(AND($A1275="",$B1275=""),"",IF(OR($R1275&lt;&gt;"",$S1275&lt;&gt;""),1,0))</f>
        <v/>
      </c>
      <c r="AF1275" s="22">
        <f>IF(AND($A1275="",$B1275=""),"",IF(Z1275=1,IF(AE1275=1,N($R1275),AD1275),0))</f>
        <v/>
      </c>
      <c r="AG1275" s="22">
        <f>IF(AND($A1275="",$B1275=""),"",IF(Z1275=1,IF(AE1275=1,N($S1275),AC1275),0))</f>
        <v/>
      </c>
      <c r="AH1275" s="21">
        <f>IF(AND($A1275="",$B1275=""),"",IF(AND(ISNUMBER($I1275),N($I1275)&gt;0),$I1275,0))</f>
        <v/>
      </c>
      <c r="AI1275" s="23">
        <f>IF(AND(NOT(AND($A1275="",$B1275="")),$K1275="Point",N($L1275)&gt;0),SQRT(N($L1275)/PI()),"")</f>
        <v/>
      </c>
      <c r="AJ1275" s="21">
        <f>IF(AND($A1275="",$B1275=""),"",IFERROR(VLOOKUP($G1275,Lists!$D$4:$E$15,2,FALSE),"Not reported"))</f>
        <v/>
      </c>
      <c r="AK1275" s="21">
        <f>IF(AND($A1275="",$B1275=""),"",IF($X1275&lt;&gt;"",$X1275,IF($T1275&lt;&gt;"Y","Not assessed",IF(AND(ISNUMBER($V1275),Setup!$B$6-$V1275&gt;Setup!$B$26),"Assessment outdated",IF(NOT(ISNUMBER($W1275)),"Assessed – no score",IF($W1275&gt;=Setup!$B$24,"High",IF($W1275&gt;=Setup!$B$25,"Moderate","Low")))))))</f>
        <v/>
      </c>
      <c r="AL1275" s="21">
        <f>IF(AND($A1275="",$B1275=""),"",IF(Z1275=0,"",IF(AND(AE1275=1,N($R1275)&gt;AD1275*1.01+0.001),"Net terrestrial &gt; gross; ","")&amp;IF(AND(AE1275=1,N($S1275)&gt;AC1275*1.01+0.001),"Net marine &gt; gross; ","")&amp;IF(AE1275=0,"No net area – gross used, overlaps may be double-counted; ","")&amp;IF(AH1275=0,"STATUS_YR missing – imputed in time series; ","")&amp;IF(AND(ISNUMBER($I1275),N($I1275)&gt;Setup!$B$6),"STATUS_YR after reporting year; ","")&amp;IF(OR($G1275="",$G1275="Not Reported"),"GOV_TYPE not reported; ","")&amp;IF(AND(N($J1275)=1,$K1275="Point",N($M1275)&lt;=0),"Coastal point without REP_M_AREA – land/sea split unknown; ","")&amp;IF(AND(N($J1275)=0,N($S1275)&gt;0),"MARINE=0 but net marine &gt;0; ","")&amp;IF(AND(N($J1275)=2,N($R1275)&gt;0),"MARINE=2 but net terrestrial &gt;0; ","")&amp;IF($K1275="Point","Buffered point – coverage approximate; ","")))</f>
        <v/>
      </c>
    </row>
    <row r="1276">
      <c r="A1276" s="19" t="n"/>
      <c r="B1276" s="19" t="n"/>
      <c r="C1276" s="19" t="n"/>
      <c r="D1276" s="19" t="n"/>
      <c r="E1276" s="19" t="n"/>
      <c r="F1276" s="19" t="n"/>
      <c r="G1276" s="19" t="n"/>
      <c r="H1276" s="19" t="n"/>
      <c r="I1276" s="19" t="n"/>
      <c r="J1276" s="19" t="n"/>
      <c r="K1276" s="19" t="n"/>
      <c r="L1276" s="20" t="n"/>
      <c r="M1276" s="20" t="n"/>
      <c r="N1276" s="20" t="n"/>
      <c r="O1276" s="20" t="n"/>
      <c r="P1276" s="19" t="n"/>
      <c r="Q1276" s="19" t="n"/>
      <c r="R1276" s="20" t="n"/>
      <c r="S1276" s="20" t="n"/>
      <c r="T1276" s="19" t="n"/>
      <c r="U1276" s="19" t="n"/>
      <c r="V1276" s="19" t="n"/>
      <c r="W1276" s="19" t="n"/>
      <c r="X1276" s="19" t="n"/>
      <c r="Y1276" s="19" t="n"/>
      <c r="Z1276" s="21">
        <f>IF(AND($A1276="",$B1276=""),"",IF(OR($E1276="",$H1276="",$H1276="Proposed",$H1276="Not Reported"),0,IF(AND($P1276="Y",$Q1276&lt;&gt;"Y"),0,IF(AND($K1276="Point",N($L1276)&lt;=0),0,IF(AND(N($L1276)&lt;=0,N($N1276)&lt;=0,N($R1276)+N($S1276)&lt;=0),0,1)))))</f>
        <v/>
      </c>
      <c r="AA1276" s="21">
        <f>IF(AND($A1276="",$B1276=""),"",IF($E1276="","Site type missing",IF($H1276="","STATUS missing",IF($H1276="Proposed","STATUS = Proposed",IF($H1276="Not Reported","STATUS = Not Reported",IF(AND($P1276="Y",$Q1276&lt;&gt;"Y"),"UNESCO-MAB Biosphere Reserve",IF(AND($K1276="Point",N($L1276)&lt;=0),"Point without REP_AREA",IF(AND(N($L1276)&lt;=0,N($N1276)&lt;=0,N($R1276)+N($S1276)&lt;=0),"No area information",""))))))))</f>
        <v/>
      </c>
      <c r="AB1276" s="22">
        <f>IF(AND($A1276="",$B1276=""),"",IF($K1276="Point",N($L1276),IF(N($N1276)&gt;0,N($N1276),N($L1276))))</f>
        <v/>
      </c>
      <c r="AC1276" s="22">
        <f>IF(AND($A1276="",$B1276=""),"",MIN(AB1276,IF(N($J1276)=0,0,IF(N($J1276)=2,AB1276,IF(AND($K1276&lt;&gt;"Point",N($O1276)&gt;0),N($O1276),N($M1276))))))</f>
        <v/>
      </c>
      <c r="AD1276" s="22">
        <f>IF(AND($A1276="",$B1276=""),"",MAX(0,AB1276-AC1276))</f>
        <v/>
      </c>
      <c r="AE1276" s="21">
        <f>IF(AND($A1276="",$B1276=""),"",IF(OR($R1276&lt;&gt;"",$S1276&lt;&gt;""),1,0))</f>
        <v/>
      </c>
      <c r="AF1276" s="22">
        <f>IF(AND($A1276="",$B1276=""),"",IF(Z1276=1,IF(AE1276=1,N($R1276),AD1276),0))</f>
        <v/>
      </c>
      <c r="AG1276" s="22">
        <f>IF(AND($A1276="",$B1276=""),"",IF(Z1276=1,IF(AE1276=1,N($S1276),AC1276),0))</f>
        <v/>
      </c>
      <c r="AH1276" s="21">
        <f>IF(AND($A1276="",$B1276=""),"",IF(AND(ISNUMBER($I1276),N($I1276)&gt;0),$I1276,0))</f>
        <v/>
      </c>
      <c r="AI1276" s="23">
        <f>IF(AND(NOT(AND($A1276="",$B1276="")),$K1276="Point",N($L1276)&gt;0),SQRT(N($L1276)/PI()),"")</f>
        <v/>
      </c>
      <c r="AJ1276" s="21">
        <f>IF(AND($A1276="",$B1276=""),"",IFERROR(VLOOKUP($G1276,Lists!$D$4:$E$15,2,FALSE),"Not reported"))</f>
        <v/>
      </c>
      <c r="AK1276" s="21">
        <f>IF(AND($A1276="",$B1276=""),"",IF($X1276&lt;&gt;"",$X1276,IF($T1276&lt;&gt;"Y","Not assessed",IF(AND(ISNUMBER($V1276),Setup!$B$6-$V1276&gt;Setup!$B$26),"Assessment outdated",IF(NOT(ISNUMBER($W1276)),"Assessed – no score",IF($W1276&gt;=Setup!$B$24,"High",IF($W1276&gt;=Setup!$B$25,"Moderate","Low")))))))</f>
        <v/>
      </c>
      <c r="AL1276" s="21">
        <f>IF(AND($A1276="",$B1276=""),"",IF(Z1276=0,"",IF(AND(AE1276=1,N($R1276)&gt;AD1276*1.01+0.001),"Net terrestrial &gt; gross; ","")&amp;IF(AND(AE1276=1,N($S1276)&gt;AC1276*1.01+0.001),"Net marine &gt; gross; ","")&amp;IF(AE1276=0,"No net area – gross used, overlaps may be double-counted; ","")&amp;IF(AH1276=0,"STATUS_YR missing – imputed in time series; ","")&amp;IF(AND(ISNUMBER($I1276),N($I1276)&gt;Setup!$B$6),"STATUS_YR after reporting year; ","")&amp;IF(OR($G1276="",$G1276="Not Reported"),"GOV_TYPE not reported; ","")&amp;IF(AND(N($J1276)=1,$K1276="Point",N($M1276)&lt;=0),"Coastal point without REP_M_AREA – land/sea split unknown; ","")&amp;IF(AND(N($J1276)=0,N($S1276)&gt;0),"MARINE=0 but net marine &gt;0; ","")&amp;IF(AND(N($J1276)=2,N($R1276)&gt;0),"MARINE=2 but net terrestrial &gt;0; ","")&amp;IF($K1276="Point","Buffered point – coverage approximate; ","")))</f>
        <v/>
      </c>
    </row>
    <row r="1277">
      <c r="A1277" s="19" t="n"/>
      <c r="B1277" s="19" t="n"/>
      <c r="C1277" s="19" t="n"/>
      <c r="D1277" s="19" t="n"/>
      <c r="E1277" s="19" t="n"/>
      <c r="F1277" s="19" t="n"/>
      <c r="G1277" s="19" t="n"/>
      <c r="H1277" s="19" t="n"/>
      <c r="I1277" s="19" t="n"/>
      <c r="J1277" s="19" t="n"/>
      <c r="K1277" s="19" t="n"/>
      <c r="L1277" s="20" t="n"/>
      <c r="M1277" s="20" t="n"/>
      <c r="N1277" s="20" t="n"/>
      <c r="O1277" s="20" t="n"/>
      <c r="P1277" s="19" t="n"/>
      <c r="Q1277" s="19" t="n"/>
      <c r="R1277" s="20" t="n"/>
      <c r="S1277" s="20" t="n"/>
      <c r="T1277" s="19" t="n"/>
      <c r="U1277" s="19" t="n"/>
      <c r="V1277" s="19" t="n"/>
      <c r="W1277" s="19" t="n"/>
      <c r="X1277" s="19" t="n"/>
      <c r="Y1277" s="19" t="n"/>
      <c r="Z1277" s="21">
        <f>IF(AND($A1277="",$B1277=""),"",IF(OR($E1277="",$H1277="",$H1277="Proposed",$H1277="Not Reported"),0,IF(AND($P1277="Y",$Q1277&lt;&gt;"Y"),0,IF(AND($K1277="Point",N($L1277)&lt;=0),0,IF(AND(N($L1277)&lt;=0,N($N1277)&lt;=0,N($R1277)+N($S1277)&lt;=0),0,1)))))</f>
        <v/>
      </c>
      <c r="AA1277" s="21">
        <f>IF(AND($A1277="",$B1277=""),"",IF($E1277="","Site type missing",IF($H1277="","STATUS missing",IF($H1277="Proposed","STATUS = Proposed",IF($H1277="Not Reported","STATUS = Not Reported",IF(AND($P1277="Y",$Q1277&lt;&gt;"Y"),"UNESCO-MAB Biosphere Reserve",IF(AND($K1277="Point",N($L1277)&lt;=0),"Point without REP_AREA",IF(AND(N($L1277)&lt;=0,N($N1277)&lt;=0,N($R1277)+N($S1277)&lt;=0),"No area information",""))))))))</f>
        <v/>
      </c>
      <c r="AB1277" s="22">
        <f>IF(AND($A1277="",$B1277=""),"",IF($K1277="Point",N($L1277),IF(N($N1277)&gt;0,N($N1277),N($L1277))))</f>
        <v/>
      </c>
      <c r="AC1277" s="22">
        <f>IF(AND($A1277="",$B1277=""),"",MIN(AB1277,IF(N($J1277)=0,0,IF(N($J1277)=2,AB1277,IF(AND($K1277&lt;&gt;"Point",N($O1277)&gt;0),N($O1277),N($M1277))))))</f>
        <v/>
      </c>
      <c r="AD1277" s="22">
        <f>IF(AND($A1277="",$B1277=""),"",MAX(0,AB1277-AC1277))</f>
        <v/>
      </c>
      <c r="AE1277" s="21">
        <f>IF(AND($A1277="",$B1277=""),"",IF(OR($R1277&lt;&gt;"",$S1277&lt;&gt;""),1,0))</f>
        <v/>
      </c>
      <c r="AF1277" s="22">
        <f>IF(AND($A1277="",$B1277=""),"",IF(Z1277=1,IF(AE1277=1,N($R1277),AD1277),0))</f>
        <v/>
      </c>
      <c r="AG1277" s="22">
        <f>IF(AND($A1277="",$B1277=""),"",IF(Z1277=1,IF(AE1277=1,N($S1277),AC1277),0))</f>
        <v/>
      </c>
      <c r="AH1277" s="21">
        <f>IF(AND($A1277="",$B1277=""),"",IF(AND(ISNUMBER($I1277),N($I1277)&gt;0),$I1277,0))</f>
        <v/>
      </c>
      <c r="AI1277" s="23">
        <f>IF(AND(NOT(AND($A1277="",$B1277="")),$K1277="Point",N($L1277)&gt;0),SQRT(N($L1277)/PI()),"")</f>
        <v/>
      </c>
      <c r="AJ1277" s="21">
        <f>IF(AND($A1277="",$B1277=""),"",IFERROR(VLOOKUP($G1277,Lists!$D$4:$E$15,2,FALSE),"Not reported"))</f>
        <v/>
      </c>
      <c r="AK1277" s="21">
        <f>IF(AND($A1277="",$B1277=""),"",IF($X1277&lt;&gt;"",$X1277,IF($T1277&lt;&gt;"Y","Not assessed",IF(AND(ISNUMBER($V1277),Setup!$B$6-$V1277&gt;Setup!$B$26),"Assessment outdated",IF(NOT(ISNUMBER($W1277)),"Assessed – no score",IF($W1277&gt;=Setup!$B$24,"High",IF($W1277&gt;=Setup!$B$25,"Moderate","Low")))))))</f>
        <v/>
      </c>
      <c r="AL1277" s="21">
        <f>IF(AND($A1277="",$B1277=""),"",IF(Z1277=0,"",IF(AND(AE1277=1,N($R1277)&gt;AD1277*1.01+0.001),"Net terrestrial &gt; gross; ","")&amp;IF(AND(AE1277=1,N($S1277)&gt;AC1277*1.01+0.001),"Net marine &gt; gross; ","")&amp;IF(AE1277=0,"No net area – gross used, overlaps may be double-counted; ","")&amp;IF(AH1277=0,"STATUS_YR missing – imputed in time series; ","")&amp;IF(AND(ISNUMBER($I1277),N($I1277)&gt;Setup!$B$6),"STATUS_YR after reporting year; ","")&amp;IF(OR($G1277="",$G1277="Not Reported"),"GOV_TYPE not reported; ","")&amp;IF(AND(N($J1277)=1,$K1277="Point",N($M1277)&lt;=0),"Coastal point without REP_M_AREA – land/sea split unknown; ","")&amp;IF(AND(N($J1277)=0,N($S1277)&gt;0),"MARINE=0 but net marine &gt;0; ","")&amp;IF(AND(N($J1277)=2,N($R1277)&gt;0),"MARINE=2 but net terrestrial &gt;0; ","")&amp;IF($K1277="Point","Buffered point – coverage approximate; ","")))</f>
        <v/>
      </c>
    </row>
    <row r="1278">
      <c r="A1278" s="19" t="n"/>
      <c r="B1278" s="19" t="n"/>
      <c r="C1278" s="19" t="n"/>
      <c r="D1278" s="19" t="n"/>
      <c r="E1278" s="19" t="n"/>
      <c r="F1278" s="19" t="n"/>
      <c r="G1278" s="19" t="n"/>
      <c r="H1278" s="19" t="n"/>
      <c r="I1278" s="19" t="n"/>
      <c r="J1278" s="19" t="n"/>
      <c r="K1278" s="19" t="n"/>
      <c r="L1278" s="20" t="n"/>
      <c r="M1278" s="20" t="n"/>
      <c r="N1278" s="20" t="n"/>
      <c r="O1278" s="20" t="n"/>
      <c r="P1278" s="19" t="n"/>
      <c r="Q1278" s="19" t="n"/>
      <c r="R1278" s="20" t="n"/>
      <c r="S1278" s="20" t="n"/>
      <c r="T1278" s="19" t="n"/>
      <c r="U1278" s="19" t="n"/>
      <c r="V1278" s="19" t="n"/>
      <c r="W1278" s="19" t="n"/>
      <c r="X1278" s="19" t="n"/>
      <c r="Y1278" s="19" t="n"/>
      <c r="Z1278" s="21">
        <f>IF(AND($A1278="",$B1278=""),"",IF(OR($E1278="",$H1278="",$H1278="Proposed",$H1278="Not Reported"),0,IF(AND($P1278="Y",$Q1278&lt;&gt;"Y"),0,IF(AND($K1278="Point",N($L1278)&lt;=0),0,IF(AND(N($L1278)&lt;=0,N($N1278)&lt;=0,N($R1278)+N($S1278)&lt;=0),0,1)))))</f>
        <v/>
      </c>
      <c r="AA1278" s="21">
        <f>IF(AND($A1278="",$B1278=""),"",IF($E1278="","Site type missing",IF($H1278="","STATUS missing",IF($H1278="Proposed","STATUS = Proposed",IF($H1278="Not Reported","STATUS = Not Reported",IF(AND($P1278="Y",$Q1278&lt;&gt;"Y"),"UNESCO-MAB Biosphere Reserve",IF(AND($K1278="Point",N($L1278)&lt;=0),"Point without REP_AREA",IF(AND(N($L1278)&lt;=0,N($N1278)&lt;=0,N($R1278)+N($S1278)&lt;=0),"No area information",""))))))))</f>
        <v/>
      </c>
      <c r="AB1278" s="22">
        <f>IF(AND($A1278="",$B1278=""),"",IF($K1278="Point",N($L1278),IF(N($N1278)&gt;0,N($N1278),N($L1278))))</f>
        <v/>
      </c>
      <c r="AC1278" s="22">
        <f>IF(AND($A1278="",$B1278=""),"",MIN(AB1278,IF(N($J1278)=0,0,IF(N($J1278)=2,AB1278,IF(AND($K1278&lt;&gt;"Point",N($O1278)&gt;0),N($O1278),N($M1278))))))</f>
        <v/>
      </c>
      <c r="AD1278" s="22">
        <f>IF(AND($A1278="",$B1278=""),"",MAX(0,AB1278-AC1278))</f>
        <v/>
      </c>
      <c r="AE1278" s="21">
        <f>IF(AND($A1278="",$B1278=""),"",IF(OR($R1278&lt;&gt;"",$S1278&lt;&gt;""),1,0))</f>
        <v/>
      </c>
      <c r="AF1278" s="22">
        <f>IF(AND($A1278="",$B1278=""),"",IF(Z1278=1,IF(AE1278=1,N($R1278),AD1278),0))</f>
        <v/>
      </c>
      <c r="AG1278" s="22">
        <f>IF(AND($A1278="",$B1278=""),"",IF(Z1278=1,IF(AE1278=1,N($S1278),AC1278),0))</f>
        <v/>
      </c>
      <c r="AH1278" s="21">
        <f>IF(AND($A1278="",$B1278=""),"",IF(AND(ISNUMBER($I1278),N($I1278)&gt;0),$I1278,0))</f>
        <v/>
      </c>
      <c r="AI1278" s="23">
        <f>IF(AND(NOT(AND($A1278="",$B1278="")),$K1278="Point",N($L1278)&gt;0),SQRT(N($L1278)/PI()),"")</f>
        <v/>
      </c>
      <c r="AJ1278" s="21">
        <f>IF(AND($A1278="",$B1278=""),"",IFERROR(VLOOKUP($G1278,Lists!$D$4:$E$15,2,FALSE),"Not reported"))</f>
        <v/>
      </c>
      <c r="AK1278" s="21">
        <f>IF(AND($A1278="",$B1278=""),"",IF($X1278&lt;&gt;"",$X1278,IF($T1278&lt;&gt;"Y","Not assessed",IF(AND(ISNUMBER($V1278),Setup!$B$6-$V1278&gt;Setup!$B$26),"Assessment outdated",IF(NOT(ISNUMBER($W1278)),"Assessed – no score",IF($W1278&gt;=Setup!$B$24,"High",IF($W1278&gt;=Setup!$B$25,"Moderate","Low")))))))</f>
        <v/>
      </c>
      <c r="AL1278" s="21">
        <f>IF(AND($A1278="",$B1278=""),"",IF(Z1278=0,"",IF(AND(AE1278=1,N($R1278)&gt;AD1278*1.01+0.001),"Net terrestrial &gt; gross; ","")&amp;IF(AND(AE1278=1,N($S1278)&gt;AC1278*1.01+0.001),"Net marine &gt; gross; ","")&amp;IF(AE1278=0,"No net area – gross used, overlaps may be double-counted; ","")&amp;IF(AH1278=0,"STATUS_YR missing – imputed in time series; ","")&amp;IF(AND(ISNUMBER($I1278),N($I1278)&gt;Setup!$B$6),"STATUS_YR after reporting year; ","")&amp;IF(OR($G1278="",$G1278="Not Reported"),"GOV_TYPE not reported; ","")&amp;IF(AND(N($J1278)=1,$K1278="Point",N($M1278)&lt;=0),"Coastal point without REP_M_AREA – land/sea split unknown; ","")&amp;IF(AND(N($J1278)=0,N($S1278)&gt;0),"MARINE=0 but net marine &gt;0; ","")&amp;IF(AND(N($J1278)=2,N($R1278)&gt;0),"MARINE=2 but net terrestrial &gt;0; ","")&amp;IF($K1278="Point","Buffered point – coverage approximate; ","")))</f>
        <v/>
      </c>
    </row>
    <row r="1279">
      <c r="A1279" s="19" t="n"/>
      <c r="B1279" s="19" t="n"/>
      <c r="C1279" s="19" t="n"/>
      <c r="D1279" s="19" t="n"/>
      <c r="E1279" s="19" t="n"/>
      <c r="F1279" s="19" t="n"/>
      <c r="G1279" s="19" t="n"/>
      <c r="H1279" s="19" t="n"/>
      <c r="I1279" s="19" t="n"/>
      <c r="J1279" s="19" t="n"/>
      <c r="K1279" s="19" t="n"/>
      <c r="L1279" s="20" t="n"/>
      <c r="M1279" s="20" t="n"/>
      <c r="N1279" s="20" t="n"/>
      <c r="O1279" s="20" t="n"/>
      <c r="P1279" s="19" t="n"/>
      <c r="Q1279" s="19" t="n"/>
      <c r="R1279" s="20" t="n"/>
      <c r="S1279" s="20" t="n"/>
      <c r="T1279" s="19" t="n"/>
      <c r="U1279" s="19" t="n"/>
      <c r="V1279" s="19" t="n"/>
      <c r="W1279" s="19" t="n"/>
      <c r="X1279" s="19" t="n"/>
      <c r="Y1279" s="19" t="n"/>
      <c r="Z1279" s="21">
        <f>IF(AND($A1279="",$B1279=""),"",IF(OR($E1279="",$H1279="",$H1279="Proposed",$H1279="Not Reported"),0,IF(AND($P1279="Y",$Q1279&lt;&gt;"Y"),0,IF(AND($K1279="Point",N($L1279)&lt;=0),0,IF(AND(N($L1279)&lt;=0,N($N1279)&lt;=0,N($R1279)+N($S1279)&lt;=0),0,1)))))</f>
        <v/>
      </c>
      <c r="AA1279" s="21">
        <f>IF(AND($A1279="",$B1279=""),"",IF($E1279="","Site type missing",IF($H1279="","STATUS missing",IF($H1279="Proposed","STATUS = Proposed",IF($H1279="Not Reported","STATUS = Not Reported",IF(AND($P1279="Y",$Q1279&lt;&gt;"Y"),"UNESCO-MAB Biosphere Reserve",IF(AND($K1279="Point",N($L1279)&lt;=0),"Point without REP_AREA",IF(AND(N($L1279)&lt;=0,N($N1279)&lt;=0,N($R1279)+N($S1279)&lt;=0),"No area information",""))))))))</f>
        <v/>
      </c>
      <c r="AB1279" s="22">
        <f>IF(AND($A1279="",$B1279=""),"",IF($K1279="Point",N($L1279),IF(N($N1279)&gt;0,N($N1279),N($L1279))))</f>
        <v/>
      </c>
      <c r="AC1279" s="22">
        <f>IF(AND($A1279="",$B1279=""),"",MIN(AB1279,IF(N($J1279)=0,0,IF(N($J1279)=2,AB1279,IF(AND($K1279&lt;&gt;"Point",N($O1279)&gt;0),N($O1279),N($M1279))))))</f>
        <v/>
      </c>
      <c r="AD1279" s="22">
        <f>IF(AND($A1279="",$B1279=""),"",MAX(0,AB1279-AC1279))</f>
        <v/>
      </c>
      <c r="AE1279" s="21">
        <f>IF(AND($A1279="",$B1279=""),"",IF(OR($R1279&lt;&gt;"",$S1279&lt;&gt;""),1,0))</f>
        <v/>
      </c>
      <c r="AF1279" s="22">
        <f>IF(AND($A1279="",$B1279=""),"",IF(Z1279=1,IF(AE1279=1,N($R1279),AD1279),0))</f>
        <v/>
      </c>
      <c r="AG1279" s="22">
        <f>IF(AND($A1279="",$B1279=""),"",IF(Z1279=1,IF(AE1279=1,N($S1279),AC1279),0))</f>
        <v/>
      </c>
      <c r="AH1279" s="21">
        <f>IF(AND($A1279="",$B1279=""),"",IF(AND(ISNUMBER($I1279),N($I1279)&gt;0),$I1279,0))</f>
        <v/>
      </c>
      <c r="AI1279" s="23">
        <f>IF(AND(NOT(AND($A1279="",$B1279="")),$K1279="Point",N($L1279)&gt;0),SQRT(N($L1279)/PI()),"")</f>
        <v/>
      </c>
      <c r="AJ1279" s="21">
        <f>IF(AND($A1279="",$B1279=""),"",IFERROR(VLOOKUP($G1279,Lists!$D$4:$E$15,2,FALSE),"Not reported"))</f>
        <v/>
      </c>
      <c r="AK1279" s="21">
        <f>IF(AND($A1279="",$B1279=""),"",IF($X1279&lt;&gt;"",$X1279,IF($T1279&lt;&gt;"Y","Not assessed",IF(AND(ISNUMBER($V1279),Setup!$B$6-$V1279&gt;Setup!$B$26),"Assessment outdated",IF(NOT(ISNUMBER($W1279)),"Assessed – no score",IF($W1279&gt;=Setup!$B$24,"High",IF($W1279&gt;=Setup!$B$25,"Moderate","Low")))))))</f>
        <v/>
      </c>
      <c r="AL1279" s="21">
        <f>IF(AND($A1279="",$B1279=""),"",IF(Z1279=0,"",IF(AND(AE1279=1,N($R1279)&gt;AD1279*1.01+0.001),"Net terrestrial &gt; gross; ","")&amp;IF(AND(AE1279=1,N($S1279)&gt;AC1279*1.01+0.001),"Net marine &gt; gross; ","")&amp;IF(AE1279=0,"No net area – gross used, overlaps may be double-counted; ","")&amp;IF(AH1279=0,"STATUS_YR missing – imputed in time series; ","")&amp;IF(AND(ISNUMBER($I1279),N($I1279)&gt;Setup!$B$6),"STATUS_YR after reporting year; ","")&amp;IF(OR($G1279="",$G1279="Not Reported"),"GOV_TYPE not reported; ","")&amp;IF(AND(N($J1279)=1,$K1279="Point",N($M1279)&lt;=0),"Coastal point without REP_M_AREA – land/sea split unknown; ","")&amp;IF(AND(N($J1279)=0,N($S1279)&gt;0),"MARINE=0 but net marine &gt;0; ","")&amp;IF(AND(N($J1279)=2,N($R1279)&gt;0),"MARINE=2 but net terrestrial &gt;0; ","")&amp;IF($K1279="Point","Buffered point – coverage approximate; ","")))</f>
        <v/>
      </c>
    </row>
    <row r="1280">
      <c r="A1280" s="19" t="n"/>
      <c r="B1280" s="19" t="n"/>
      <c r="C1280" s="19" t="n"/>
      <c r="D1280" s="19" t="n"/>
      <c r="E1280" s="19" t="n"/>
      <c r="F1280" s="19" t="n"/>
      <c r="G1280" s="19" t="n"/>
      <c r="H1280" s="19" t="n"/>
      <c r="I1280" s="19" t="n"/>
      <c r="J1280" s="19" t="n"/>
      <c r="K1280" s="19" t="n"/>
      <c r="L1280" s="20" t="n"/>
      <c r="M1280" s="20" t="n"/>
      <c r="N1280" s="20" t="n"/>
      <c r="O1280" s="20" t="n"/>
      <c r="P1280" s="19" t="n"/>
      <c r="Q1280" s="19" t="n"/>
      <c r="R1280" s="20" t="n"/>
      <c r="S1280" s="20" t="n"/>
      <c r="T1280" s="19" t="n"/>
      <c r="U1280" s="19" t="n"/>
      <c r="V1280" s="19" t="n"/>
      <c r="W1280" s="19" t="n"/>
      <c r="X1280" s="19" t="n"/>
      <c r="Y1280" s="19" t="n"/>
      <c r="Z1280" s="21">
        <f>IF(AND($A1280="",$B1280=""),"",IF(OR($E1280="",$H1280="",$H1280="Proposed",$H1280="Not Reported"),0,IF(AND($P1280="Y",$Q1280&lt;&gt;"Y"),0,IF(AND($K1280="Point",N($L1280)&lt;=0),0,IF(AND(N($L1280)&lt;=0,N($N1280)&lt;=0,N($R1280)+N($S1280)&lt;=0),0,1)))))</f>
        <v/>
      </c>
      <c r="AA1280" s="21">
        <f>IF(AND($A1280="",$B1280=""),"",IF($E1280="","Site type missing",IF($H1280="","STATUS missing",IF($H1280="Proposed","STATUS = Proposed",IF($H1280="Not Reported","STATUS = Not Reported",IF(AND($P1280="Y",$Q1280&lt;&gt;"Y"),"UNESCO-MAB Biosphere Reserve",IF(AND($K1280="Point",N($L1280)&lt;=0),"Point without REP_AREA",IF(AND(N($L1280)&lt;=0,N($N1280)&lt;=0,N($R1280)+N($S1280)&lt;=0),"No area information",""))))))))</f>
        <v/>
      </c>
      <c r="AB1280" s="22">
        <f>IF(AND($A1280="",$B1280=""),"",IF($K1280="Point",N($L1280),IF(N($N1280)&gt;0,N($N1280),N($L1280))))</f>
        <v/>
      </c>
      <c r="AC1280" s="22">
        <f>IF(AND($A1280="",$B1280=""),"",MIN(AB1280,IF(N($J1280)=0,0,IF(N($J1280)=2,AB1280,IF(AND($K1280&lt;&gt;"Point",N($O1280)&gt;0),N($O1280),N($M1280))))))</f>
        <v/>
      </c>
      <c r="AD1280" s="22">
        <f>IF(AND($A1280="",$B1280=""),"",MAX(0,AB1280-AC1280))</f>
        <v/>
      </c>
      <c r="AE1280" s="21">
        <f>IF(AND($A1280="",$B1280=""),"",IF(OR($R1280&lt;&gt;"",$S1280&lt;&gt;""),1,0))</f>
        <v/>
      </c>
      <c r="AF1280" s="22">
        <f>IF(AND($A1280="",$B1280=""),"",IF(Z1280=1,IF(AE1280=1,N($R1280),AD1280),0))</f>
        <v/>
      </c>
      <c r="AG1280" s="22">
        <f>IF(AND($A1280="",$B1280=""),"",IF(Z1280=1,IF(AE1280=1,N($S1280),AC1280),0))</f>
        <v/>
      </c>
      <c r="AH1280" s="21">
        <f>IF(AND($A1280="",$B1280=""),"",IF(AND(ISNUMBER($I1280),N($I1280)&gt;0),$I1280,0))</f>
        <v/>
      </c>
      <c r="AI1280" s="23">
        <f>IF(AND(NOT(AND($A1280="",$B1280="")),$K1280="Point",N($L1280)&gt;0),SQRT(N($L1280)/PI()),"")</f>
        <v/>
      </c>
      <c r="AJ1280" s="21">
        <f>IF(AND($A1280="",$B1280=""),"",IFERROR(VLOOKUP($G1280,Lists!$D$4:$E$15,2,FALSE),"Not reported"))</f>
        <v/>
      </c>
      <c r="AK1280" s="21">
        <f>IF(AND($A1280="",$B1280=""),"",IF($X1280&lt;&gt;"",$X1280,IF($T1280&lt;&gt;"Y","Not assessed",IF(AND(ISNUMBER($V1280),Setup!$B$6-$V1280&gt;Setup!$B$26),"Assessment outdated",IF(NOT(ISNUMBER($W1280)),"Assessed – no score",IF($W1280&gt;=Setup!$B$24,"High",IF($W1280&gt;=Setup!$B$25,"Moderate","Low")))))))</f>
        <v/>
      </c>
      <c r="AL1280" s="21">
        <f>IF(AND($A1280="",$B1280=""),"",IF(Z1280=0,"",IF(AND(AE1280=1,N($R1280)&gt;AD1280*1.01+0.001),"Net terrestrial &gt; gross; ","")&amp;IF(AND(AE1280=1,N($S1280)&gt;AC1280*1.01+0.001),"Net marine &gt; gross; ","")&amp;IF(AE1280=0,"No net area – gross used, overlaps may be double-counted; ","")&amp;IF(AH1280=0,"STATUS_YR missing – imputed in time series; ","")&amp;IF(AND(ISNUMBER($I1280),N($I1280)&gt;Setup!$B$6),"STATUS_YR after reporting year; ","")&amp;IF(OR($G1280="",$G1280="Not Reported"),"GOV_TYPE not reported; ","")&amp;IF(AND(N($J1280)=1,$K1280="Point",N($M1280)&lt;=0),"Coastal point without REP_M_AREA – land/sea split unknown; ","")&amp;IF(AND(N($J1280)=0,N($S1280)&gt;0),"MARINE=0 but net marine &gt;0; ","")&amp;IF(AND(N($J1280)=2,N($R1280)&gt;0),"MARINE=2 but net terrestrial &gt;0; ","")&amp;IF($K1280="Point","Buffered point – coverage approximate; ","")))</f>
        <v/>
      </c>
    </row>
    <row r="1281">
      <c r="A1281" s="19" t="n"/>
      <c r="B1281" s="19" t="n"/>
      <c r="C1281" s="19" t="n"/>
      <c r="D1281" s="19" t="n"/>
      <c r="E1281" s="19" t="n"/>
      <c r="F1281" s="19" t="n"/>
      <c r="G1281" s="19" t="n"/>
      <c r="H1281" s="19" t="n"/>
      <c r="I1281" s="19" t="n"/>
      <c r="J1281" s="19" t="n"/>
      <c r="K1281" s="19" t="n"/>
      <c r="L1281" s="20" t="n"/>
      <c r="M1281" s="20" t="n"/>
      <c r="N1281" s="20" t="n"/>
      <c r="O1281" s="20" t="n"/>
      <c r="P1281" s="19" t="n"/>
      <c r="Q1281" s="19" t="n"/>
      <c r="R1281" s="20" t="n"/>
      <c r="S1281" s="20" t="n"/>
      <c r="T1281" s="19" t="n"/>
      <c r="U1281" s="19" t="n"/>
      <c r="V1281" s="19" t="n"/>
      <c r="W1281" s="19" t="n"/>
      <c r="X1281" s="19" t="n"/>
      <c r="Y1281" s="19" t="n"/>
      <c r="Z1281" s="21">
        <f>IF(AND($A1281="",$B1281=""),"",IF(OR($E1281="",$H1281="",$H1281="Proposed",$H1281="Not Reported"),0,IF(AND($P1281="Y",$Q1281&lt;&gt;"Y"),0,IF(AND($K1281="Point",N($L1281)&lt;=0),0,IF(AND(N($L1281)&lt;=0,N($N1281)&lt;=0,N($R1281)+N($S1281)&lt;=0),0,1)))))</f>
        <v/>
      </c>
      <c r="AA1281" s="21">
        <f>IF(AND($A1281="",$B1281=""),"",IF($E1281="","Site type missing",IF($H1281="","STATUS missing",IF($H1281="Proposed","STATUS = Proposed",IF($H1281="Not Reported","STATUS = Not Reported",IF(AND($P1281="Y",$Q1281&lt;&gt;"Y"),"UNESCO-MAB Biosphere Reserve",IF(AND($K1281="Point",N($L1281)&lt;=0),"Point without REP_AREA",IF(AND(N($L1281)&lt;=0,N($N1281)&lt;=0,N($R1281)+N($S1281)&lt;=0),"No area information",""))))))))</f>
        <v/>
      </c>
      <c r="AB1281" s="22">
        <f>IF(AND($A1281="",$B1281=""),"",IF($K1281="Point",N($L1281),IF(N($N1281)&gt;0,N($N1281),N($L1281))))</f>
        <v/>
      </c>
      <c r="AC1281" s="22">
        <f>IF(AND($A1281="",$B1281=""),"",MIN(AB1281,IF(N($J1281)=0,0,IF(N($J1281)=2,AB1281,IF(AND($K1281&lt;&gt;"Point",N($O1281)&gt;0),N($O1281),N($M1281))))))</f>
        <v/>
      </c>
      <c r="AD1281" s="22">
        <f>IF(AND($A1281="",$B1281=""),"",MAX(0,AB1281-AC1281))</f>
        <v/>
      </c>
      <c r="AE1281" s="21">
        <f>IF(AND($A1281="",$B1281=""),"",IF(OR($R1281&lt;&gt;"",$S1281&lt;&gt;""),1,0))</f>
        <v/>
      </c>
      <c r="AF1281" s="22">
        <f>IF(AND($A1281="",$B1281=""),"",IF(Z1281=1,IF(AE1281=1,N($R1281),AD1281),0))</f>
        <v/>
      </c>
      <c r="AG1281" s="22">
        <f>IF(AND($A1281="",$B1281=""),"",IF(Z1281=1,IF(AE1281=1,N($S1281),AC1281),0))</f>
        <v/>
      </c>
      <c r="AH1281" s="21">
        <f>IF(AND($A1281="",$B1281=""),"",IF(AND(ISNUMBER($I1281),N($I1281)&gt;0),$I1281,0))</f>
        <v/>
      </c>
      <c r="AI1281" s="23">
        <f>IF(AND(NOT(AND($A1281="",$B1281="")),$K1281="Point",N($L1281)&gt;0),SQRT(N($L1281)/PI()),"")</f>
        <v/>
      </c>
      <c r="AJ1281" s="21">
        <f>IF(AND($A1281="",$B1281=""),"",IFERROR(VLOOKUP($G1281,Lists!$D$4:$E$15,2,FALSE),"Not reported"))</f>
        <v/>
      </c>
      <c r="AK1281" s="21">
        <f>IF(AND($A1281="",$B1281=""),"",IF($X1281&lt;&gt;"",$X1281,IF($T1281&lt;&gt;"Y","Not assessed",IF(AND(ISNUMBER($V1281),Setup!$B$6-$V1281&gt;Setup!$B$26),"Assessment outdated",IF(NOT(ISNUMBER($W1281)),"Assessed – no score",IF($W1281&gt;=Setup!$B$24,"High",IF($W1281&gt;=Setup!$B$25,"Moderate","Low")))))))</f>
        <v/>
      </c>
      <c r="AL1281" s="21">
        <f>IF(AND($A1281="",$B1281=""),"",IF(Z1281=0,"",IF(AND(AE1281=1,N($R1281)&gt;AD1281*1.01+0.001),"Net terrestrial &gt; gross; ","")&amp;IF(AND(AE1281=1,N($S1281)&gt;AC1281*1.01+0.001),"Net marine &gt; gross; ","")&amp;IF(AE1281=0,"No net area – gross used, overlaps may be double-counted; ","")&amp;IF(AH1281=0,"STATUS_YR missing – imputed in time series; ","")&amp;IF(AND(ISNUMBER($I1281),N($I1281)&gt;Setup!$B$6),"STATUS_YR after reporting year; ","")&amp;IF(OR($G1281="",$G1281="Not Reported"),"GOV_TYPE not reported; ","")&amp;IF(AND(N($J1281)=1,$K1281="Point",N($M1281)&lt;=0),"Coastal point without REP_M_AREA – land/sea split unknown; ","")&amp;IF(AND(N($J1281)=0,N($S1281)&gt;0),"MARINE=0 but net marine &gt;0; ","")&amp;IF(AND(N($J1281)=2,N($R1281)&gt;0),"MARINE=2 but net terrestrial &gt;0; ","")&amp;IF($K1281="Point","Buffered point – coverage approximate; ","")))</f>
        <v/>
      </c>
    </row>
    <row r="1282">
      <c r="A1282" s="19" t="n"/>
      <c r="B1282" s="19" t="n"/>
      <c r="C1282" s="19" t="n"/>
      <c r="D1282" s="19" t="n"/>
      <c r="E1282" s="19" t="n"/>
      <c r="F1282" s="19" t="n"/>
      <c r="G1282" s="19" t="n"/>
      <c r="H1282" s="19" t="n"/>
      <c r="I1282" s="19" t="n"/>
      <c r="J1282" s="19" t="n"/>
      <c r="K1282" s="19" t="n"/>
      <c r="L1282" s="20" t="n"/>
      <c r="M1282" s="20" t="n"/>
      <c r="N1282" s="20" t="n"/>
      <c r="O1282" s="20" t="n"/>
      <c r="P1282" s="19" t="n"/>
      <c r="Q1282" s="19" t="n"/>
      <c r="R1282" s="20" t="n"/>
      <c r="S1282" s="20" t="n"/>
      <c r="T1282" s="19" t="n"/>
      <c r="U1282" s="19" t="n"/>
      <c r="V1282" s="19" t="n"/>
      <c r="W1282" s="19" t="n"/>
      <c r="X1282" s="19" t="n"/>
      <c r="Y1282" s="19" t="n"/>
      <c r="Z1282" s="21">
        <f>IF(AND($A1282="",$B1282=""),"",IF(OR($E1282="",$H1282="",$H1282="Proposed",$H1282="Not Reported"),0,IF(AND($P1282="Y",$Q1282&lt;&gt;"Y"),0,IF(AND($K1282="Point",N($L1282)&lt;=0),0,IF(AND(N($L1282)&lt;=0,N($N1282)&lt;=0,N($R1282)+N($S1282)&lt;=0),0,1)))))</f>
        <v/>
      </c>
      <c r="AA1282" s="21">
        <f>IF(AND($A1282="",$B1282=""),"",IF($E1282="","Site type missing",IF($H1282="","STATUS missing",IF($H1282="Proposed","STATUS = Proposed",IF($H1282="Not Reported","STATUS = Not Reported",IF(AND($P1282="Y",$Q1282&lt;&gt;"Y"),"UNESCO-MAB Biosphere Reserve",IF(AND($K1282="Point",N($L1282)&lt;=0),"Point without REP_AREA",IF(AND(N($L1282)&lt;=0,N($N1282)&lt;=0,N($R1282)+N($S1282)&lt;=0),"No area information",""))))))))</f>
        <v/>
      </c>
      <c r="AB1282" s="22">
        <f>IF(AND($A1282="",$B1282=""),"",IF($K1282="Point",N($L1282),IF(N($N1282)&gt;0,N($N1282),N($L1282))))</f>
        <v/>
      </c>
      <c r="AC1282" s="22">
        <f>IF(AND($A1282="",$B1282=""),"",MIN(AB1282,IF(N($J1282)=0,0,IF(N($J1282)=2,AB1282,IF(AND($K1282&lt;&gt;"Point",N($O1282)&gt;0),N($O1282),N($M1282))))))</f>
        <v/>
      </c>
      <c r="AD1282" s="22">
        <f>IF(AND($A1282="",$B1282=""),"",MAX(0,AB1282-AC1282))</f>
        <v/>
      </c>
      <c r="AE1282" s="21">
        <f>IF(AND($A1282="",$B1282=""),"",IF(OR($R1282&lt;&gt;"",$S1282&lt;&gt;""),1,0))</f>
        <v/>
      </c>
      <c r="AF1282" s="22">
        <f>IF(AND($A1282="",$B1282=""),"",IF(Z1282=1,IF(AE1282=1,N($R1282),AD1282),0))</f>
        <v/>
      </c>
      <c r="AG1282" s="22">
        <f>IF(AND($A1282="",$B1282=""),"",IF(Z1282=1,IF(AE1282=1,N($S1282),AC1282),0))</f>
        <v/>
      </c>
      <c r="AH1282" s="21">
        <f>IF(AND($A1282="",$B1282=""),"",IF(AND(ISNUMBER($I1282),N($I1282)&gt;0),$I1282,0))</f>
        <v/>
      </c>
      <c r="AI1282" s="23">
        <f>IF(AND(NOT(AND($A1282="",$B1282="")),$K1282="Point",N($L1282)&gt;0),SQRT(N($L1282)/PI()),"")</f>
        <v/>
      </c>
      <c r="AJ1282" s="21">
        <f>IF(AND($A1282="",$B1282=""),"",IFERROR(VLOOKUP($G1282,Lists!$D$4:$E$15,2,FALSE),"Not reported"))</f>
        <v/>
      </c>
      <c r="AK1282" s="21">
        <f>IF(AND($A1282="",$B1282=""),"",IF($X1282&lt;&gt;"",$X1282,IF($T1282&lt;&gt;"Y","Not assessed",IF(AND(ISNUMBER($V1282),Setup!$B$6-$V1282&gt;Setup!$B$26),"Assessment outdated",IF(NOT(ISNUMBER($W1282)),"Assessed – no score",IF($W1282&gt;=Setup!$B$24,"High",IF($W1282&gt;=Setup!$B$25,"Moderate","Low")))))))</f>
        <v/>
      </c>
      <c r="AL1282" s="21">
        <f>IF(AND($A1282="",$B1282=""),"",IF(Z1282=0,"",IF(AND(AE1282=1,N($R1282)&gt;AD1282*1.01+0.001),"Net terrestrial &gt; gross; ","")&amp;IF(AND(AE1282=1,N($S1282)&gt;AC1282*1.01+0.001),"Net marine &gt; gross; ","")&amp;IF(AE1282=0,"No net area – gross used, overlaps may be double-counted; ","")&amp;IF(AH1282=0,"STATUS_YR missing – imputed in time series; ","")&amp;IF(AND(ISNUMBER($I1282),N($I1282)&gt;Setup!$B$6),"STATUS_YR after reporting year; ","")&amp;IF(OR($G1282="",$G1282="Not Reported"),"GOV_TYPE not reported; ","")&amp;IF(AND(N($J1282)=1,$K1282="Point",N($M1282)&lt;=0),"Coastal point without REP_M_AREA – land/sea split unknown; ","")&amp;IF(AND(N($J1282)=0,N($S1282)&gt;0),"MARINE=0 but net marine &gt;0; ","")&amp;IF(AND(N($J1282)=2,N($R1282)&gt;0),"MARINE=2 but net terrestrial &gt;0; ","")&amp;IF($K1282="Point","Buffered point – coverage approximate; ","")))</f>
        <v/>
      </c>
    </row>
    <row r="1283">
      <c r="A1283" s="19" t="n"/>
      <c r="B1283" s="19" t="n"/>
      <c r="C1283" s="19" t="n"/>
      <c r="D1283" s="19" t="n"/>
      <c r="E1283" s="19" t="n"/>
      <c r="F1283" s="19" t="n"/>
      <c r="G1283" s="19" t="n"/>
      <c r="H1283" s="19" t="n"/>
      <c r="I1283" s="19" t="n"/>
      <c r="J1283" s="19" t="n"/>
      <c r="K1283" s="19" t="n"/>
      <c r="L1283" s="20" t="n"/>
      <c r="M1283" s="20" t="n"/>
      <c r="N1283" s="20" t="n"/>
      <c r="O1283" s="20" t="n"/>
      <c r="P1283" s="19" t="n"/>
      <c r="Q1283" s="19" t="n"/>
      <c r="R1283" s="20" t="n"/>
      <c r="S1283" s="20" t="n"/>
      <c r="T1283" s="19" t="n"/>
      <c r="U1283" s="19" t="n"/>
      <c r="V1283" s="19" t="n"/>
      <c r="W1283" s="19" t="n"/>
      <c r="X1283" s="19" t="n"/>
      <c r="Y1283" s="19" t="n"/>
      <c r="Z1283" s="21">
        <f>IF(AND($A1283="",$B1283=""),"",IF(OR($E1283="",$H1283="",$H1283="Proposed",$H1283="Not Reported"),0,IF(AND($P1283="Y",$Q1283&lt;&gt;"Y"),0,IF(AND($K1283="Point",N($L1283)&lt;=0),0,IF(AND(N($L1283)&lt;=0,N($N1283)&lt;=0,N($R1283)+N($S1283)&lt;=0),0,1)))))</f>
        <v/>
      </c>
      <c r="AA1283" s="21">
        <f>IF(AND($A1283="",$B1283=""),"",IF($E1283="","Site type missing",IF($H1283="","STATUS missing",IF($H1283="Proposed","STATUS = Proposed",IF($H1283="Not Reported","STATUS = Not Reported",IF(AND($P1283="Y",$Q1283&lt;&gt;"Y"),"UNESCO-MAB Biosphere Reserve",IF(AND($K1283="Point",N($L1283)&lt;=0),"Point without REP_AREA",IF(AND(N($L1283)&lt;=0,N($N1283)&lt;=0,N($R1283)+N($S1283)&lt;=0),"No area information",""))))))))</f>
        <v/>
      </c>
      <c r="AB1283" s="22">
        <f>IF(AND($A1283="",$B1283=""),"",IF($K1283="Point",N($L1283),IF(N($N1283)&gt;0,N($N1283),N($L1283))))</f>
        <v/>
      </c>
      <c r="AC1283" s="22">
        <f>IF(AND($A1283="",$B1283=""),"",MIN(AB1283,IF(N($J1283)=0,0,IF(N($J1283)=2,AB1283,IF(AND($K1283&lt;&gt;"Point",N($O1283)&gt;0),N($O1283),N($M1283))))))</f>
        <v/>
      </c>
      <c r="AD1283" s="22">
        <f>IF(AND($A1283="",$B1283=""),"",MAX(0,AB1283-AC1283))</f>
        <v/>
      </c>
      <c r="AE1283" s="21">
        <f>IF(AND($A1283="",$B1283=""),"",IF(OR($R1283&lt;&gt;"",$S1283&lt;&gt;""),1,0))</f>
        <v/>
      </c>
      <c r="AF1283" s="22">
        <f>IF(AND($A1283="",$B1283=""),"",IF(Z1283=1,IF(AE1283=1,N($R1283),AD1283),0))</f>
        <v/>
      </c>
      <c r="AG1283" s="22">
        <f>IF(AND($A1283="",$B1283=""),"",IF(Z1283=1,IF(AE1283=1,N($S1283),AC1283),0))</f>
        <v/>
      </c>
      <c r="AH1283" s="21">
        <f>IF(AND($A1283="",$B1283=""),"",IF(AND(ISNUMBER($I1283),N($I1283)&gt;0),$I1283,0))</f>
        <v/>
      </c>
      <c r="AI1283" s="23">
        <f>IF(AND(NOT(AND($A1283="",$B1283="")),$K1283="Point",N($L1283)&gt;0),SQRT(N($L1283)/PI()),"")</f>
        <v/>
      </c>
      <c r="AJ1283" s="21">
        <f>IF(AND($A1283="",$B1283=""),"",IFERROR(VLOOKUP($G1283,Lists!$D$4:$E$15,2,FALSE),"Not reported"))</f>
        <v/>
      </c>
      <c r="AK1283" s="21">
        <f>IF(AND($A1283="",$B1283=""),"",IF($X1283&lt;&gt;"",$X1283,IF($T1283&lt;&gt;"Y","Not assessed",IF(AND(ISNUMBER($V1283),Setup!$B$6-$V1283&gt;Setup!$B$26),"Assessment outdated",IF(NOT(ISNUMBER($W1283)),"Assessed – no score",IF($W1283&gt;=Setup!$B$24,"High",IF($W1283&gt;=Setup!$B$25,"Moderate","Low")))))))</f>
        <v/>
      </c>
      <c r="AL1283" s="21">
        <f>IF(AND($A1283="",$B1283=""),"",IF(Z1283=0,"",IF(AND(AE1283=1,N($R1283)&gt;AD1283*1.01+0.001),"Net terrestrial &gt; gross; ","")&amp;IF(AND(AE1283=1,N($S1283)&gt;AC1283*1.01+0.001),"Net marine &gt; gross; ","")&amp;IF(AE1283=0,"No net area – gross used, overlaps may be double-counted; ","")&amp;IF(AH1283=0,"STATUS_YR missing – imputed in time series; ","")&amp;IF(AND(ISNUMBER($I1283),N($I1283)&gt;Setup!$B$6),"STATUS_YR after reporting year; ","")&amp;IF(OR($G1283="",$G1283="Not Reported"),"GOV_TYPE not reported; ","")&amp;IF(AND(N($J1283)=1,$K1283="Point",N($M1283)&lt;=0),"Coastal point without REP_M_AREA – land/sea split unknown; ","")&amp;IF(AND(N($J1283)=0,N($S1283)&gt;0),"MARINE=0 but net marine &gt;0; ","")&amp;IF(AND(N($J1283)=2,N($R1283)&gt;0),"MARINE=2 but net terrestrial &gt;0; ","")&amp;IF($K1283="Point","Buffered point – coverage approximate; ","")))</f>
        <v/>
      </c>
    </row>
    <row r="1284">
      <c r="A1284" s="19" t="n"/>
      <c r="B1284" s="19" t="n"/>
      <c r="C1284" s="19" t="n"/>
      <c r="D1284" s="19" t="n"/>
      <c r="E1284" s="19" t="n"/>
      <c r="F1284" s="19" t="n"/>
      <c r="G1284" s="19" t="n"/>
      <c r="H1284" s="19" t="n"/>
      <c r="I1284" s="19" t="n"/>
      <c r="J1284" s="19" t="n"/>
      <c r="K1284" s="19" t="n"/>
      <c r="L1284" s="20" t="n"/>
      <c r="M1284" s="20" t="n"/>
      <c r="N1284" s="20" t="n"/>
      <c r="O1284" s="20" t="n"/>
      <c r="P1284" s="19" t="n"/>
      <c r="Q1284" s="19" t="n"/>
      <c r="R1284" s="20" t="n"/>
      <c r="S1284" s="20" t="n"/>
      <c r="T1284" s="19" t="n"/>
      <c r="U1284" s="19" t="n"/>
      <c r="V1284" s="19" t="n"/>
      <c r="W1284" s="19" t="n"/>
      <c r="X1284" s="19" t="n"/>
      <c r="Y1284" s="19" t="n"/>
      <c r="Z1284" s="21">
        <f>IF(AND($A1284="",$B1284=""),"",IF(OR($E1284="",$H1284="",$H1284="Proposed",$H1284="Not Reported"),0,IF(AND($P1284="Y",$Q1284&lt;&gt;"Y"),0,IF(AND($K1284="Point",N($L1284)&lt;=0),0,IF(AND(N($L1284)&lt;=0,N($N1284)&lt;=0,N($R1284)+N($S1284)&lt;=0),0,1)))))</f>
        <v/>
      </c>
      <c r="AA1284" s="21">
        <f>IF(AND($A1284="",$B1284=""),"",IF($E1284="","Site type missing",IF($H1284="","STATUS missing",IF($H1284="Proposed","STATUS = Proposed",IF($H1284="Not Reported","STATUS = Not Reported",IF(AND($P1284="Y",$Q1284&lt;&gt;"Y"),"UNESCO-MAB Biosphere Reserve",IF(AND($K1284="Point",N($L1284)&lt;=0),"Point without REP_AREA",IF(AND(N($L1284)&lt;=0,N($N1284)&lt;=0,N($R1284)+N($S1284)&lt;=0),"No area information",""))))))))</f>
        <v/>
      </c>
      <c r="AB1284" s="22">
        <f>IF(AND($A1284="",$B1284=""),"",IF($K1284="Point",N($L1284),IF(N($N1284)&gt;0,N($N1284),N($L1284))))</f>
        <v/>
      </c>
      <c r="AC1284" s="22">
        <f>IF(AND($A1284="",$B1284=""),"",MIN(AB1284,IF(N($J1284)=0,0,IF(N($J1284)=2,AB1284,IF(AND($K1284&lt;&gt;"Point",N($O1284)&gt;0),N($O1284),N($M1284))))))</f>
        <v/>
      </c>
      <c r="AD1284" s="22">
        <f>IF(AND($A1284="",$B1284=""),"",MAX(0,AB1284-AC1284))</f>
        <v/>
      </c>
      <c r="AE1284" s="21">
        <f>IF(AND($A1284="",$B1284=""),"",IF(OR($R1284&lt;&gt;"",$S1284&lt;&gt;""),1,0))</f>
        <v/>
      </c>
      <c r="AF1284" s="22">
        <f>IF(AND($A1284="",$B1284=""),"",IF(Z1284=1,IF(AE1284=1,N($R1284),AD1284),0))</f>
        <v/>
      </c>
      <c r="AG1284" s="22">
        <f>IF(AND($A1284="",$B1284=""),"",IF(Z1284=1,IF(AE1284=1,N($S1284),AC1284),0))</f>
        <v/>
      </c>
      <c r="AH1284" s="21">
        <f>IF(AND($A1284="",$B1284=""),"",IF(AND(ISNUMBER($I1284),N($I1284)&gt;0),$I1284,0))</f>
        <v/>
      </c>
      <c r="AI1284" s="23">
        <f>IF(AND(NOT(AND($A1284="",$B1284="")),$K1284="Point",N($L1284)&gt;0),SQRT(N($L1284)/PI()),"")</f>
        <v/>
      </c>
      <c r="AJ1284" s="21">
        <f>IF(AND($A1284="",$B1284=""),"",IFERROR(VLOOKUP($G1284,Lists!$D$4:$E$15,2,FALSE),"Not reported"))</f>
        <v/>
      </c>
      <c r="AK1284" s="21">
        <f>IF(AND($A1284="",$B1284=""),"",IF($X1284&lt;&gt;"",$X1284,IF($T1284&lt;&gt;"Y","Not assessed",IF(AND(ISNUMBER($V1284),Setup!$B$6-$V1284&gt;Setup!$B$26),"Assessment outdated",IF(NOT(ISNUMBER($W1284)),"Assessed – no score",IF($W1284&gt;=Setup!$B$24,"High",IF($W1284&gt;=Setup!$B$25,"Moderate","Low")))))))</f>
        <v/>
      </c>
      <c r="AL1284" s="21">
        <f>IF(AND($A1284="",$B1284=""),"",IF(Z1284=0,"",IF(AND(AE1284=1,N($R1284)&gt;AD1284*1.01+0.001),"Net terrestrial &gt; gross; ","")&amp;IF(AND(AE1284=1,N($S1284)&gt;AC1284*1.01+0.001),"Net marine &gt; gross; ","")&amp;IF(AE1284=0,"No net area – gross used, overlaps may be double-counted; ","")&amp;IF(AH1284=0,"STATUS_YR missing – imputed in time series; ","")&amp;IF(AND(ISNUMBER($I1284),N($I1284)&gt;Setup!$B$6),"STATUS_YR after reporting year; ","")&amp;IF(OR($G1284="",$G1284="Not Reported"),"GOV_TYPE not reported; ","")&amp;IF(AND(N($J1284)=1,$K1284="Point",N($M1284)&lt;=0),"Coastal point without REP_M_AREA – land/sea split unknown; ","")&amp;IF(AND(N($J1284)=0,N($S1284)&gt;0),"MARINE=0 but net marine &gt;0; ","")&amp;IF(AND(N($J1284)=2,N($R1284)&gt;0),"MARINE=2 but net terrestrial &gt;0; ","")&amp;IF($K1284="Point","Buffered point – coverage approximate; ","")))</f>
        <v/>
      </c>
    </row>
    <row r="1285">
      <c r="A1285" s="19" t="n"/>
      <c r="B1285" s="19" t="n"/>
      <c r="C1285" s="19" t="n"/>
      <c r="D1285" s="19" t="n"/>
      <c r="E1285" s="19" t="n"/>
      <c r="F1285" s="19" t="n"/>
      <c r="G1285" s="19" t="n"/>
      <c r="H1285" s="19" t="n"/>
      <c r="I1285" s="19" t="n"/>
      <c r="J1285" s="19" t="n"/>
      <c r="K1285" s="19" t="n"/>
      <c r="L1285" s="20" t="n"/>
      <c r="M1285" s="20" t="n"/>
      <c r="N1285" s="20" t="n"/>
      <c r="O1285" s="20" t="n"/>
      <c r="P1285" s="19" t="n"/>
      <c r="Q1285" s="19" t="n"/>
      <c r="R1285" s="20" t="n"/>
      <c r="S1285" s="20" t="n"/>
      <c r="T1285" s="19" t="n"/>
      <c r="U1285" s="19" t="n"/>
      <c r="V1285" s="19" t="n"/>
      <c r="W1285" s="19" t="n"/>
      <c r="X1285" s="19" t="n"/>
      <c r="Y1285" s="19" t="n"/>
      <c r="Z1285" s="21">
        <f>IF(AND($A1285="",$B1285=""),"",IF(OR($E1285="",$H1285="",$H1285="Proposed",$H1285="Not Reported"),0,IF(AND($P1285="Y",$Q1285&lt;&gt;"Y"),0,IF(AND($K1285="Point",N($L1285)&lt;=0),0,IF(AND(N($L1285)&lt;=0,N($N1285)&lt;=0,N($R1285)+N($S1285)&lt;=0),0,1)))))</f>
        <v/>
      </c>
      <c r="AA1285" s="21">
        <f>IF(AND($A1285="",$B1285=""),"",IF($E1285="","Site type missing",IF($H1285="","STATUS missing",IF($H1285="Proposed","STATUS = Proposed",IF($H1285="Not Reported","STATUS = Not Reported",IF(AND($P1285="Y",$Q1285&lt;&gt;"Y"),"UNESCO-MAB Biosphere Reserve",IF(AND($K1285="Point",N($L1285)&lt;=0),"Point without REP_AREA",IF(AND(N($L1285)&lt;=0,N($N1285)&lt;=0,N($R1285)+N($S1285)&lt;=0),"No area information",""))))))))</f>
        <v/>
      </c>
      <c r="AB1285" s="22">
        <f>IF(AND($A1285="",$B1285=""),"",IF($K1285="Point",N($L1285),IF(N($N1285)&gt;0,N($N1285),N($L1285))))</f>
        <v/>
      </c>
      <c r="AC1285" s="22">
        <f>IF(AND($A1285="",$B1285=""),"",MIN(AB1285,IF(N($J1285)=0,0,IF(N($J1285)=2,AB1285,IF(AND($K1285&lt;&gt;"Point",N($O1285)&gt;0),N($O1285),N($M1285))))))</f>
        <v/>
      </c>
      <c r="AD1285" s="22">
        <f>IF(AND($A1285="",$B1285=""),"",MAX(0,AB1285-AC1285))</f>
        <v/>
      </c>
      <c r="AE1285" s="21">
        <f>IF(AND($A1285="",$B1285=""),"",IF(OR($R1285&lt;&gt;"",$S1285&lt;&gt;""),1,0))</f>
        <v/>
      </c>
      <c r="AF1285" s="22">
        <f>IF(AND($A1285="",$B1285=""),"",IF(Z1285=1,IF(AE1285=1,N($R1285),AD1285),0))</f>
        <v/>
      </c>
      <c r="AG1285" s="22">
        <f>IF(AND($A1285="",$B1285=""),"",IF(Z1285=1,IF(AE1285=1,N($S1285),AC1285),0))</f>
        <v/>
      </c>
      <c r="AH1285" s="21">
        <f>IF(AND($A1285="",$B1285=""),"",IF(AND(ISNUMBER($I1285),N($I1285)&gt;0),$I1285,0))</f>
        <v/>
      </c>
      <c r="AI1285" s="23">
        <f>IF(AND(NOT(AND($A1285="",$B1285="")),$K1285="Point",N($L1285)&gt;0),SQRT(N($L1285)/PI()),"")</f>
        <v/>
      </c>
      <c r="AJ1285" s="21">
        <f>IF(AND($A1285="",$B1285=""),"",IFERROR(VLOOKUP($G1285,Lists!$D$4:$E$15,2,FALSE),"Not reported"))</f>
        <v/>
      </c>
      <c r="AK1285" s="21">
        <f>IF(AND($A1285="",$B1285=""),"",IF($X1285&lt;&gt;"",$X1285,IF($T1285&lt;&gt;"Y","Not assessed",IF(AND(ISNUMBER($V1285),Setup!$B$6-$V1285&gt;Setup!$B$26),"Assessment outdated",IF(NOT(ISNUMBER($W1285)),"Assessed – no score",IF($W1285&gt;=Setup!$B$24,"High",IF($W1285&gt;=Setup!$B$25,"Moderate","Low")))))))</f>
        <v/>
      </c>
      <c r="AL1285" s="21">
        <f>IF(AND($A1285="",$B1285=""),"",IF(Z1285=0,"",IF(AND(AE1285=1,N($R1285)&gt;AD1285*1.01+0.001),"Net terrestrial &gt; gross; ","")&amp;IF(AND(AE1285=1,N($S1285)&gt;AC1285*1.01+0.001),"Net marine &gt; gross; ","")&amp;IF(AE1285=0,"No net area – gross used, overlaps may be double-counted; ","")&amp;IF(AH1285=0,"STATUS_YR missing – imputed in time series; ","")&amp;IF(AND(ISNUMBER($I1285),N($I1285)&gt;Setup!$B$6),"STATUS_YR after reporting year; ","")&amp;IF(OR($G1285="",$G1285="Not Reported"),"GOV_TYPE not reported; ","")&amp;IF(AND(N($J1285)=1,$K1285="Point",N($M1285)&lt;=0),"Coastal point without REP_M_AREA – land/sea split unknown; ","")&amp;IF(AND(N($J1285)=0,N($S1285)&gt;0),"MARINE=0 but net marine &gt;0; ","")&amp;IF(AND(N($J1285)=2,N($R1285)&gt;0),"MARINE=2 but net terrestrial &gt;0; ","")&amp;IF($K1285="Point","Buffered point – coverage approximate; ","")))</f>
        <v/>
      </c>
    </row>
    <row r="1286">
      <c r="A1286" s="19" t="n"/>
      <c r="B1286" s="19" t="n"/>
      <c r="C1286" s="19" t="n"/>
      <c r="D1286" s="19" t="n"/>
      <c r="E1286" s="19" t="n"/>
      <c r="F1286" s="19" t="n"/>
      <c r="G1286" s="19" t="n"/>
      <c r="H1286" s="19" t="n"/>
      <c r="I1286" s="19" t="n"/>
      <c r="J1286" s="19" t="n"/>
      <c r="K1286" s="19" t="n"/>
      <c r="L1286" s="20" t="n"/>
      <c r="M1286" s="20" t="n"/>
      <c r="N1286" s="20" t="n"/>
      <c r="O1286" s="20" t="n"/>
      <c r="P1286" s="19" t="n"/>
      <c r="Q1286" s="19" t="n"/>
      <c r="R1286" s="20" t="n"/>
      <c r="S1286" s="20" t="n"/>
      <c r="T1286" s="19" t="n"/>
      <c r="U1286" s="19" t="n"/>
      <c r="V1286" s="19" t="n"/>
      <c r="W1286" s="19" t="n"/>
      <c r="X1286" s="19" t="n"/>
      <c r="Y1286" s="19" t="n"/>
      <c r="Z1286" s="21">
        <f>IF(AND($A1286="",$B1286=""),"",IF(OR($E1286="",$H1286="",$H1286="Proposed",$H1286="Not Reported"),0,IF(AND($P1286="Y",$Q1286&lt;&gt;"Y"),0,IF(AND($K1286="Point",N($L1286)&lt;=0),0,IF(AND(N($L1286)&lt;=0,N($N1286)&lt;=0,N($R1286)+N($S1286)&lt;=0),0,1)))))</f>
        <v/>
      </c>
      <c r="AA1286" s="21">
        <f>IF(AND($A1286="",$B1286=""),"",IF($E1286="","Site type missing",IF($H1286="","STATUS missing",IF($H1286="Proposed","STATUS = Proposed",IF($H1286="Not Reported","STATUS = Not Reported",IF(AND($P1286="Y",$Q1286&lt;&gt;"Y"),"UNESCO-MAB Biosphere Reserve",IF(AND($K1286="Point",N($L1286)&lt;=0),"Point without REP_AREA",IF(AND(N($L1286)&lt;=0,N($N1286)&lt;=0,N($R1286)+N($S1286)&lt;=0),"No area information",""))))))))</f>
        <v/>
      </c>
      <c r="AB1286" s="22">
        <f>IF(AND($A1286="",$B1286=""),"",IF($K1286="Point",N($L1286),IF(N($N1286)&gt;0,N($N1286),N($L1286))))</f>
        <v/>
      </c>
      <c r="AC1286" s="22">
        <f>IF(AND($A1286="",$B1286=""),"",MIN(AB1286,IF(N($J1286)=0,0,IF(N($J1286)=2,AB1286,IF(AND($K1286&lt;&gt;"Point",N($O1286)&gt;0),N($O1286),N($M1286))))))</f>
        <v/>
      </c>
      <c r="AD1286" s="22">
        <f>IF(AND($A1286="",$B1286=""),"",MAX(0,AB1286-AC1286))</f>
        <v/>
      </c>
      <c r="AE1286" s="21">
        <f>IF(AND($A1286="",$B1286=""),"",IF(OR($R1286&lt;&gt;"",$S1286&lt;&gt;""),1,0))</f>
        <v/>
      </c>
      <c r="AF1286" s="22">
        <f>IF(AND($A1286="",$B1286=""),"",IF(Z1286=1,IF(AE1286=1,N($R1286),AD1286),0))</f>
        <v/>
      </c>
      <c r="AG1286" s="22">
        <f>IF(AND($A1286="",$B1286=""),"",IF(Z1286=1,IF(AE1286=1,N($S1286),AC1286),0))</f>
        <v/>
      </c>
      <c r="AH1286" s="21">
        <f>IF(AND($A1286="",$B1286=""),"",IF(AND(ISNUMBER($I1286),N($I1286)&gt;0),$I1286,0))</f>
        <v/>
      </c>
      <c r="AI1286" s="23">
        <f>IF(AND(NOT(AND($A1286="",$B1286="")),$K1286="Point",N($L1286)&gt;0),SQRT(N($L1286)/PI()),"")</f>
        <v/>
      </c>
      <c r="AJ1286" s="21">
        <f>IF(AND($A1286="",$B1286=""),"",IFERROR(VLOOKUP($G1286,Lists!$D$4:$E$15,2,FALSE),"Not reported"))</f>
        <v/>
      </c>
      <c r="AK1286" s="21">
        <f>IF(AND($A1286="",$B1286=""),"",IF($X1286&lt;&gt;"",$X1286,IF($T1286&lt;&gt;"Y","Not assessed",IF(AND(ISNUMBER($V1286),Setup!$B$6-$V1286&gt;Setup!$B$26),"Assessment outdated",IF(NOT(ISNUMBER($W1286)),"Assessed – no score",IF($W1286&gt;=Setup!$B$24,"High",IF($W1286&gt;=Setup!$B$25,"Moderate","Low")))))))</f>
        <v/>
      </c>
      <c r="AL1286" s="21">
        <f>IF(AND($A1286="",$B1286=""),"",IF(Z1286=0,"",IF(AND(AE1286=1,N($R1286)&gt;AD1286*1.01+0.001),"Net terrestrial &gt; gross; ","")&amp;IF(AND(AE1286=1,N($S1286)&gt;AC1286*1.01+0.001),"Net marine &gt; gross; ","")&amp;IF(AE1286=0,"No net area – gross used, overlaps may be double-counted; ","")&amp;IF(AH1286=0,"STATUS_YR missing – imputed in time series; ","")&amp;IF(AND(ISNUMBER($I1286),N($I1286)&gt;Setup!$B$6),"STATUS_YR after reporting year; ","")&amp;IF(OR($G1286="",$G1286="Not Reported"),"GOV_TYPE not reported; ","")&amp;IF(AND(N($J1286)=1,$K1286="Point",N($M1286)&lt;=0),"Coastal point without REP_M_AREA – land/sea split unknown; ","")&amp;IF(AND(N($J1286)=0,N($S1286)&gt;0),"MARINE=0 but net marine &gt;0; ","")&amp;IF(AND(N($J1286)=2,N($R1286)&gt;0),"MARINE=2 but net terrestrial &gt;0; ","")&amp;IF($K1286="Point","Buffered point – coverage approximate; ","")))</f>
        <v/>
      </c>
    </row>
    <row r="1287">
      <c r="A1287" s="19" t="n"/>
      <c r="B1287" s="19" t="n"/>
      <c r="C1287" s="19" t="n"/>
      <c r="D1287" s="19" t="n"/>
      <c r="E1287" s="19" t="n"/>
      <c r="F1287" s="19" t="n"/>
      <c r="G1287" s="19" t="n"/>
      <c r="H1287" s="19" t="n"/>
      <c r="I1287" s="19" t="n"/>
      <c r="J1287" s="19" t="n"/>
      <c r="K1287" s="19" t="n"/>
      <c r="L1287" s="20" t="n"/>
      <c r="M1287" s="20" t="n"/>
      <c r="N1287" s="20" t="n"/>
      <c r="O1287" s="20" t="n"/>
      <c r="P1287" s="19" t="n"/>
      <c r="Q1287" s="19" t="n"/>
      <c r="R1287" s="20" t="n"/>
      <c r="S1287" s="20" t="n"/>
      <c r="T1287" s="19" t="n"/>
      <c r="U1287" s="19" t="n"/>
      <c r="V1287" s="19" t="n"/>
      <c r="W1287" s="19" t="n"/>
      <c r="X1287" s="19" t="n"/>
      <c r="Y1287" s="19" t="n"/>
      <c r="Z1287" s="21">
        <f>IF(AND($A1287="",$B1287=""),"",IF(OR($E1287="",$H1287="",$H1287="Proposed",$H1287="Not Reported"),0,IF(AND($P1287="Y",$Q1287&lt;&gt;"Y"),0,IF(AND($K1287="Point",N($L1287)&lt;=0),0,IF(AND(N($L1287)&lt;=0,N($N1287)&lt;=0,N($R1287)+N($S1287)&lt;=0),0,1)))))</f>
        <v/>
      </c>
      <c r="AA1287" s="21">
        <f>IF(AND($A1287="",$B1287=""),"",IF($E1287="","Site type missing",IF($H1287="","STATUS missing",IF($H1287="Proposed","STATUS = Proposed",IF($H1287="Not Reported","STATUS = Not Reported",IF(AND($P1287="Y",$Q1287&lt;&gt;"Y"),"UNESCO-MAB Biosphere Reserve",IF(AND($K1287="Point",N($L1287)&lt;=0),"Point without REP_AREA",IF(AND(N($L1287)&lt;=0,N($N1287)&lt;=0,N($R1287)+N($S1287)&lt;=0),"No area information",""))))))))</f>
        <v/>
      </c>
      <c r="AB1287" s="22">
        <f>IF(AND($A1287="",$B1287=""),"",IF($K1287="Point",N($L1287),IF(N($N1287)&gt;0,N($N1287),N($L1287))))</f>
        <v/>
      </c>
      <c r="AC1287" s="22">
        <f>IF(AND($A1287="",$B1287=""),"",MIN(AB1287,IF(N($J1287)=0,0,IF(N($J1287)=2,AB1287,IF(AND($K1287&lt;&gt;"Point",N($O1287)&gt;0),N($O1287),N($M1287))))))</f>
        <v/>
      </c>
      <c r="AD1287" s="22">
        <f>IF(AND($A1287="",$B1287=""),"",MAX(0,AB1287-AC1287))</f>
        <v/>
      </c>
      <c r="AE1287" s="21">
        <f>IF(AND($A1287="",$B1287=""),"",IF(OR($R1287&lt;&gt;"",$S1287&lt;&gt;""),1,0))</f>
        <v/>
      </c>
      <c r="AF1287" s="22">
        <f>IF(AND($A1287="",$B1287=""),"",IF(Z1287=1,IF(AE1287=1,N($R1287),AD1287),0))</f>
        <v/>
      </c>
      <c r="AG1287" s="22">
        <f>IF(AND($A1287="",$B1287=""),"",IF(Z1287=1,IF(AE1287=1,N($S1287),AC1287),0))</f>
        <v/>
      </c>
      <c r="AH1287" s="21">
        <f>IF(AND($A1287="",$B1287=""),"",IF(AND(ISNUMBER($I1287),N($I1287)&gt;0),$I1287,0))</f>
        <v/>
      </c>
      <c r="AI1287" s="23">
        <f>IF(AND(NOT(AND($A1287="",$B1287="")),$K1287="Point",N($L1287)&gt;0),SQRT(N($L1287)/PI()),"")</f>
        <v/>
      </c>
      <c r="AJ1287" s="21">
        <f>IF(AND($A1287="",$B1287=""),"",IFERROR(VLOOKUP($G1287,Lists!$D$4:$E$15,2,FALSE),"Not reported"))</f>
        <v/>
      </c>
      <c r="AK1287" s="21">
        <f>IF(AND($A1287="",$B1287=""),"",IF($X1287&lt;&gt;"",$X1287,IF($T1287&lt;&gt;"Y","Not assessed",IF(AND(ISNUMBER($V1287),Setup!$B$6-$V1287&gt;Setup!$B$26),"Assessment outdated",IF(NOT(ISNUMBER($W1287)),"Assessed – no score",IF($W1287&gt;=Setup!$B$24,"High",IF($W1287&gt;=Setup!$B$25,"Moderate","Low")))))))</f>
        <v/>
      </c>
      <c r="AL1287" s="21">
        <f>IF(AND($A1287="",$B1287=""),"",IF(Z1287=0,"",IF(AND(AE1287=1,N($R1287)&gt;AD1287*1.01+0.001),"Net terrestrial &gt; gross; ","")&amp;IF(AND(AE1287=1,N($S1287)&gt;AC1287*1.01+0.001),"Net marine &gt; gross; ","")&amp;IF(AE1287=0,"No net area – gross used, overlaps may be double-counted; ","")&amp;IF(AH1287=0,"STATUS_YR missing – imputed in time series; ","")&amp;IF(AND(ISNUMBER($I1287),N($I1287)&gt;Setup!$B$6),"STATUS_YR after reporting year; ","")&amp;IF(OR($G1287="",$G1287="Not Reported"),"GOV_TYPE not reported; ","")&amp;IF(AND(N($J1287)=1,$K1287="Point",N($M1287)&lt;=0),"Coastal point without REP_M_AREA – land/sea split unknown; ","")&amp;IF(AND(N($J1287)=0,N($S1287)&gt;0),"MARINE=0 but net marine &gt;0; ","")&amp;IF(AND(N($J1287)=2,N($R1287)&gt;0),"MARINE=2 but net terrestrial &gt;0; ","")&amp;IF($K1287="Point","Buffered point – coverage approximate; ","")))</f>
        <v/>
      </c>
    </row>
    <row r="1288">
      <c r="A1288" s="19" t="n"/>
      <c r="B1288" s="19" t="n"/>
      <c r="C1288" s="19" t="n"/>
      <c r="D1288" s="19" t="n"/>
      <c r="E1288" s="19" t="n"/>
      <c r="F1288" s="19" t="n"/>
      <c r="G1288" s="19" t="n"/>
      <c r="H1288" s="19" t="n"/>
      <c r="I1288" s="19" t="n"/>
      <c r="J1288" s="19" t="n"/>
      <c r="K1288" s="19" t="n"/>
      <c r="L1288" s="20" t="n"/>
      <c r="M1288" s="20" t="n"/>
      <c r="N1288" s="20" t="n"/>
      <c r="O1288" s="20" t="n"/>
      <c r="P1288" s="19" t="n"/>
      <c r="Q1288" s="19" t="n"/>
      <c r="R1288" s="20" t="n"/>
      <c r="S1288" s="20" t="n"/>
      <c r="T1288" s="19" t="n"/>
      <c r="U1288" s="19" t="n"/>
      <c r="V1288" s="19" t="n"/>
      <c r="W1288" s="19" t="n"/>
      <c r="X1288" s="19" t="n"/>
      <c r="Y1288" s="19" t="n"/>
      <c r="Z1288" s="21">
        <f>IF(AND($A1288="",$B1288=""),"",IF(OR($E1288="",$H1288="",$H1288="Proposed",$H1288="Not Reported"),0,IF(AND($P1288="Y",$Q1288&lt;&gt;"Y"),0,IF(AND($K1288="Point",N($L1288)&lt;=0),0,IF(AND(N($L1288)&lt;=0,N($N1288)&lt;=0,N($R1288)+N($S1288)&lt;=0),0,1)))))</f>
        <v/>
      </c>
      <c r="AA1288" s="21">
        <f>IF(AND($A1288="",$B1288=""),"",IF($E1288="","Site type missing",IF($H1288="","STATUS missing",IF($H1288="Proposed","STATUS = Proposed",IF($H1288="Not Reported","STATUS = Not Reported",IF(AND($P1288="Y",$Q1288&lt;&gt;"Y"),"UNESCO-MAB Biosphere Reserve",IF(AND($K1288="Point",N($L1288)&lt;=0),"Point without REP_AREA",IF(AND(N($L1288)&lt;=0,N($N1288)&lt;=0,N($R1288)+N($S1288)&lt;=0),"No area information",""))))))))</f>
        <v/>
      </c>
      <c r="AB1288" s="22">
        <f>IF(AND($A1288="",$B1288=""),"",IF($K1288="Point",N($L1288),IF(N($N1288)&gt;0,N($N1288),N($L1288))))</f>
        <v/>
      </c>
      <c r="AC1288" s="22">
        <f>IF(AND($A1288="",$B1288=""),"",MIN(AB1288,IF(N($J1288)=0,0,IF(N($J1288)=2,AB1288,IF(AND($K1288&lt;&gt;"Point",N($O1288)&gt;0),N($O1288),N($M1288))))))</f>
        <v/>
      </c>
      <c r="AD1288" s="22">
        <f>IF(AND($A1288="",$B1288=""),"",MAX(0,AB1288-AC1288))</f>
        <v/>
      </c>
      <c r="AE1288" s="21">
        <f>IF(AND($A1288="",$B1288=""),"",IF(OR($R1288&lt;&gt;"",$S1288&lt;&gt;""),1,0))</f>
        <v/>
      </c>
      <c r="AF1288" s="22">
        <f>IF(AND($A1288="",$B1288=""),"",IF(Z1288=1,IF(AE1288=1,N($R1288),AD1288),0))</f>
        <v/>
      </c>
      <c r="AG1288" s="22">
        <f>IF(AND($A1288="",$B1288=""),"",IF(Z1288=1,IF(AE1288=1,N($S1288),AC1288),0))</f>
        <v/>
      </c>
      <c r="AH1288" s="21">
        <f>IF(AND($A1288="",$B1288=""),"",IF(AND(ISNUMBER($I1288),N($I1288)&gt;0),$I1288,0))</f>
        <v/>
      </c>
      <c r="AI1288" s="23">
        <f>IF(AND(NOT(AND($A1288="",$B1288="")),$K1288="Point",N($L1288)&gt;0),SQRT(N($L1288)/PI()),"")</f>
        <v/>
      </c>
      <c r="AJ1288" s="21">
        <f>IF(AND($A1288="",$B1288=""),"",IFERROR(VLOOKUP($G1288,Lists!$D$4:$E$15,2,FALSE),"Not reported"))</f>
        <v/>
      </c>
      <c r="AK1288" s="21">
        <f>IF(AND($A1288="",$B1288=""),"",IF($X1288&lt;&gt;"",$X1288,IF($T1288&lt;&gt;"Y","Not assessed",IF(AND(ISNUMBER($V1288),Setup!$B$6-$V1288&gt;Setup!$B$26),"Assessment outdated",IF(NOT(ISNUMBER($W1288)),"Assessed – no score",IF($W1288&gt;=Setup!$B$24,"High",IF($W1288&gt;=Setup!$B$25,"Moderate","Low")))))))</f>
        <v/>
      </c>
      <c r="AL1288" s="21">
        <f>IF(AND($A1288="",$B1288=""),"",IF(Z1288=0,"",IF(AND(AE1288=1,N($R1288)&gt;AD1288*1.01+0.001),"Net terrestrial &gt; gross; ","")&amp;IF(AND(AE1288=1,N($S1288)&gt;AC1288*1.01+0.001),"Net marine &gt; gross; ","")&amp;IF(AE1288=0,"No net area – gross used, overlaps may be double-counted; ","")&amp;IF(AH1288=0,"STATUS_YR missing – imputed in time series; ","")&amp;IF(AND(ISNUMBER($I1288),N($I1288)&gt;Setup!$B$6),"STATUS_YR after reporting year; ","")&amp;IF(OR($G1288="",$G1288="Not Reported"),"GOV_TYPE not reported; ","")&amp;IF(AND(N($J1288)=1,$K1288="Point",N($M1288)&lt;=0),"Coastal point without REP_M_AREA – land/sea split unknown; ","")&amp;IF(AND(N($J1288)=0,N($S1288)&gt;0),"MARINE=0 but net marine &gt;0; ","")&amp;IF(AND(N($J1288)=2,N($R1288)&gt;0),"MARINE=2 but net terrestrial &gt;0; ","")&amp;IF($K1288="Point","Buffered point – coverage approximate; ","")))</f>
        <v/>
      </c>
    </row>
    <row r="1289">
      <c r="A1289" s="19" t="n"/>
      <c r="B1289" s="19" t="n"/>
      <c r="C1289" s="19" t="n"/>
      <c r="D1289" s="19" t="n"/>
      <c r="E1289" s="19" t="n"/>
      <c r="F1289" s="19" t="n"/>
      <c r="G1289" s="19" t="n"/>
      <c r="H1289" s="19" t="n"/>
      <c r="I1289" s="19" t="n"/>
      <c r="J1289" s="19" t="n"/>
      <c r="K1289" s="19" t="n"/>
      <c r="L1289" s="20" t="n"/>
      <c r="M1289" s="20" t="n"/>
      <c r="N1289" s="20" t="n"/>
      <c r="O1289" s="20" t="n"/>
      <c r="P1289" s="19" t="n"/>
      <c r="Q1289" s="19" t="n"/>
      <c r="R1289" s="20" t="n"/>
      <c r="S1289" s="20" t="n"/>
      <c r="T1289" s="19" t="n"/>
      <c r="U1289" s="19" t="n"/>
      <c r="V1289" s="19" t="n"/>
      <c r="W1289" s="19" t="n"/>
      <c r="X1289" s="19" t="n"/>
      <c r="Y1289" s="19" t="n"/>
      <c r="Z1289" s="21">
        <f>IF(AND($A1289="",$B1289=""),"",IF(OR($E1289="",$H1289="",$H1289="Proposed",$H1289="Not Reported"),0,IF(AND($P1289="Y",$Q1289&lt;&gt;"Y"),0,IF(AND($K1289="Point",N($L1289)&lt;=0),0,IF(AND(N($L1289)&lt;=0,N($N1289)&lt;=0,N($R1289)+N($S1289)&lt;=0),0,1)))))</f>
        <v/>
      </c>
      <c r="AA1289" s="21">
        <f>IF(AND($A1289="",$B1289=""),"",IF($E1289="","Site type missing",IF($H1289="","STATUS missing",IF($H1289="Proposed","STATUS = Proposed",IF($H1289="Not Reported","STATUS = Not Reported",IF(AND($P1289="Y",$Q1289&lt;&gt;"Y"),"UNESCO-MAB Biosphere Reserve",IF(AND($K1289="Point",N($L1289)&lt;=0),"Point without REP_AREA",IF(AND(N($L1289)&lt;=0,N($N1289)&lt;=0,N($R1289)+N($S1289)&lt;=0),"No area information",""))))))))</f>
        <v/>
      </c>
      <c r="AB1289" s="22">
        <f>IF(AND($A1289="",$B1289=""),"",IF($K1289="Point",N($L1289),IF(N($N1289)&gt;0,N($N1289),N($L1289))))</f>
        <v/>
      </c>
      <c r="AC1289" s="22">
        <f>IF(AND($A1289="",$B1289=""),"",MIN(AB1289,IF(N($J1289)=0,0,IF(N($J1289)=2,AB1289,IF(AND($K1289&lt;&gt;"Point",N($O1289)&gt;0),N($O1289),N($M1289))))))</f>
        <v/>
      </c>
      <c r="AD1289" s="22">
        <f>IF(AND($A1289="",$B1289=""),"",MAX(0,AB1289-AC1289))</f>
        <v/>
      </c>
      <c r="AE1289" s="21">
        <f>IF(AND($A1289="",$B1289=""),"",IF(OR($R1289&lt;&gt;"",$S1289&lt;&gt;""),1,0))</f>
        <v/>
      </c>
      <c r="AF1289" s="22">
        <f>IF(AND($A1289="",$B1289=""),"",IF(Z1289=1,IF(AE1289=1,N($R1289),AD1289),0))</f>
        <v/>
      </c>
      <c r="AG1289" s="22">
        <f>IF(AND($A1289="",$B1289=""),"",IF(Z1289=1,IF(AE1289=1,N($S1289),AC1289),0))</f>
        <v/>
      </c>
      <c r="AH1289" s="21">
        <f>IF(AND($A1289="",$B1289=""),"",IF(AND(ISNUMBER($I1289),N($I1289)&gt;0),$I1289,0))</f>
        <v/>
      </c>
      <c r="AI1289" s="23">
        <f>IF(AND(NOT(AND($A1289="",$B1289="")),$K1289="Point",N($L1289)&gt;0),SQRT(N($L1289)/PI()),"")</f>
        <v/>
      </c>
      <c r="AJ1289" s="21">
        <f>IF(AND($A1289="",$B1289=""),"",IFERROR(VLOOKUP($G1289,Lists!$D$4:$E$15,2,FALSE),"Not reported"))</f>
        <v/>
      </c>
      <c r="AK1289" s="21">
        <f>IF(AND($A1289="",$B1289=""),"",IF($X1289&lt;&gt;"",$X1289,IF($T1289&lt;&gt;"Y","Not assessed",IF(AND(ISNUMBER($V1289),Setup!$B$6-$V1289&gt;Setup!$B$26),"Assessment outdated",IF(NOT(ISNUMBER($W1289)),"Assessed – no score",IF($W1289&gt;=Setup!$B$24,"High",IF($W1289&gt;=Setup!$B$25,"Moderate","Low")))))))</f>
        <v/>
      </c>
      <c r="AL1289" s="21">
        <f>IF(AND($A1289="",$B1289=""),"",IF(Z1289=0,"",IF(AND(AE1289=1,N($R1289)&gt;AD1289*1.01+0.001),"Net terrestrial &gt; gross; ","")&amp;IF(AND(AE1289=1,N($S1289)&gt;AC1289*1.01+0.001),"Net marine &gt; gross; ","")&amp;IF(AE1289=0,"No net area – gross used, overlaps may be double-counted; ","")&amp;IF(AH1289=0,"STATUS_YR missing – imputed in time series; ","")&amp;IF(AND(ISNUMBER($I1289),N($I1289)&gt;Setup!$B$6),"STATUS_YR after reporting year; ","")&amp;IF(OR($G1289="",$G1289="Not Reported"),"GOV_TYPE not reported; ","")&amp;IF(AND(N($J1289)=1,$K1289="Point",N($M1289)&lt;=0),"Coastal point without REP_M_AREA – land/sea split unknown; ","")&amp;IF(AND(N($J1289)=0,N($S1289)&gt;0),"MARINE=0 but net marine &gt;0; ","")&amp;IF(AND(N($J1289)=2,N($R1289)&gt;0),"MARINE=2 but net terrestrial &gt;0; ","")&amp;IF($K1289="Point","Buffered point – coverage approximate; ","")))</f>
        <v/>
      </c>
    </row>
    <row r="1290">
      <c r="A1290" s="19" t="n"/>
      <c r="B1290" s="19" t="n"/>
      <c r="C1290" s="19" t="n"/>
      <c r="D1290" s="19" t="n"/>
      <c r="E1290" s="19" t="n"/>
      <c r="F1290" s="19" t="n"/>
      <c r="G1290" s="19" t="n"/>
      <c r="H1290" s="19" t="n"/>
      <c r="I1290" s="19" t="n"/>
      <c r="J1290" s="19" t="n"/>
      <c r="K1290" s="19" t="n"/>
      <c r="L1290" s="20" t="n"/>
      <c r="M1290" s="20" t="n"/>
      <c r="N1290" s="20" t="n"/>
      <c r="O1290" s="20" t="n"/>
      <c r="P1290" s="19" t="n"/>
      <c r="Q1290" s="19" t="n"/>
      <c r="R1290" s="20" t="n"/>
      <c r="S1290" s="20" t="n"/>
      <c r="T1290" s="19" t="n"/>
      <c r="U1290" s="19" t="n"/>
      <c r="V1290" s="19" t="n"/>
      <c r="W1290" s="19" t="n"/>
      <c r="X1290" s="19" t="n"/>
      <c r="Y1290" s="19" t="n"/>
      <c r="Z1290" s="21">
        <f>IF(AND($A1290="",$B1290=""),"",IF(OR($E1290="",$H1290="",$H1290="Proposed",$H1290="Not Reported"),0,IF(AND($P1290="Y",$Q1290&lt;&gt;"Y"),0,IF(AND($K1290="Point",N($L1290)&lt;=0),0,IF(AND(N($L1290)&lt;=0,N($N1290)&lt;=0,N($R1290)+N($S1290)&lt;=0),0,1)))))</f>
        <v/>
      </c>
      <c r="AA1290" s="21">
        <f>IF(AND($A1290="",$B1290=""),"",IF($E1290="","Site type missing",IF($H1290="","STATUS missing",IF($H1290="Proposed","STATUS = Proposed",IF($H1290="Not Reported","STATUS = Not Reported",IF(AND($P1290="Y",$Q1290&lt;&gt;"Y"),"UNESCO-MAB Biosphere Reserve",IF(AND($K1290="Point",N($L1290)&lt;=0),"Point without REP_AREA",IF(AND(N($L1290)&lt;=0,N($N1290)&lt;=0,N($R1290)+N($S1290)&lt;=0),"No area information",""))))))))</f>
        <v/>
      </c>
      <c r="AB1290" s="22">
        <f>IF(AND($A1290="",$B1290=""),"",IF($K1290="Point",N($L1290),IF(N($N1290)&gt;0,N($N1290),N($L1290))))</f>
        <v/>
      </c>
      <c r="AC1290" s="22">
        <f>IF(AND($A1290="",$B1290=""),"",MIN(AB1290,IF(N($J1290)=0,0,IF(N($J1290)=2,AB1290,IF(AND($K1290&lt;&gt;"Point",N($O1290)&gt;0),N($O1290),N($M1290))))))</f>
        <v/>
      </c>
      <c r="AD1290" s="22">
        <f>IF(AND($A1290="",$B1290=""),"",MAX(0,AB1290-AC1290))</f>
        <v/>
      </c>
      <c r="AE1290" s="21">
        <f>IF(AND($A1290="",$B1290=""),"",IF(OR($R1290&lt;&gt;"",$S1290&lt;&gt;""),1,0))</f>
        <v/>
      </c>
      <c r="AF1290" s="22">
        <f>IF(AND($A1290="",$B1290=""),"",IF(Z1290=1,IF(AE1290=1,N($R1290),AD1290),0))</f>
        <v/>
      </c>
      <c r="AG1290" s="22">
        <f>IF(AND($A1290="",$B1290=""),"",IF(Z1290=1,IF(AE1290=1,N($S1290),AC1290),0))</f>
        <v/>
      </c>
      <c r="AH1290" s="21">
        <f>IF(AND($A1290="",$B1290=""),"",IF(AND(ISNUMBER($I1290),N($I1290)&gt;0),$I1290,0))</f>
        <v/>
      </c>
      <c r="AI1290" s="23">
        <f>IF(AND(NOT(AND($A1290="",$B1290="")),$K1290="Point",N($L1290)&gt;0),SQRT(N($L1290)/PI()),"")</f>
        <v/>
      </c>
      <c r="AJ1290" s="21">
        <f>IF(AND($A1290="",$B1290=""),"",IFERROR(VLOOKUP($G1290,Lists!$D$4:$E$15,2,FALSE),"Not reported"))</f>
        <v/>
      </c>
      <c r="AK1290" s="21">
        <f>IF(AND($A1290="",$B1290=""),"",IF($X1290&lt;&gt;"",$X1290,IF($T1290&lt;&gt;"Y","Not assessed",IF(AND(ISNUMBER($V1290),Setup!$B$6-$V1290&gt;Setup!$B$26),"Assessment outdated",IF(NOT(ISNUMBER($W1290)),"Assessed – no score",IF($W1290&gt;=Setup!$B$24,"High",IF($W1290&gt;=Setup!$B$25,"Moderate","Low")))))))</f>
        <v/>
      </c>
      <c r="AL1290" s="21">
        <f>IF(AND($A1290="",$B1290=""),"",IF(Z1290=0,"",IF(AND(AE1290=1,N($R1290)&gt;AD1290*1.01+0.001),"Net terrestrial &gt; gross; ","")&amp;IF(AND(AE1290=1,N($S1290)&gt;AC1290*1.01+0.001),"Net marine &gt; gross; ","")&amp;IF(AE1290=0,"No net area – gross used, overlaps may be double-counted; ","")&amp;IF(AH1290=0,"STATUS_YR missing – imputed in time series; ","")&amp;IF(AND(ISNUMBER($I1290),N($I1290)&gt;Setup!$B$6),"STATUS_YR after reporting year; ","")&amp;IF(OR($G1290="",$G1290="Not Reported"),"GOV_TYPE not reported; ","")&amp;IF(AND(N($J1290)=1,$K1290="Point",N($M1290)&lt;=0),"Coastal point without REP_M_AREA – land/sea split unknown; ","")&amp;IF(AND(N($J1290)=0,N($S1290)&gt;0),"MARINE=0 but net marine &gt;0; ","")&amp;IF(AND(N($J1290)=2,N($R1290)&gt;0),"MARINE=2 but net terrestrial &gt;0; ","")&amp;IF($K1290="Point","Buffered point – coverage approximate; ","")))</f>
        <v/>
      </c>
    </row>
    <row r="1291">
      <c r="A1291" s="19" t="n"/>
      <c r="B1291" s="19" t="n"/>
      <c r="C1291" s="19" t="n"/>
      <c r="D1291" s="19" t="n"/>
      <c r="E1291" s="19" t="n"/>
      <c r="F1291" s="19" t="n"/>
      <c r="G1291" s="19" t="n"/>
      <c r="H1291" s="19" t="n"/>
      <c r="I1291" s="19" t="n"/>
      <c r="J1291" s="19" t="n"/>
      <c r="K1291" s="19" t="n"/>
      <c r="L1291" s="20" t="n"/>
      <c r="M1291" s="20" t="n"/>
      <c r="N1291" s="20" t="n"/>
      <c r="O1291" s="20" t="n"/>
      <c r="P1291" s="19" t="n"/>
      <c r="Q1291" s="19" t="n"/>
      <c r="R1291" s="20" t="n"/>
      <c r="S1291" s="20" t="n"/>
      <c r="T1291" s="19" t="n"/>
      <c r="U1291" s="19" t="n"/>
      <c r="V1291" s="19" t="n"/>
      <c r="W1291" s="19" t="n"/>
      <c r="X1291" s="19" t="n"/>
      <c r="Y1291" s="19" t="n"/>
      <c r="Z1291" s="21">
        <f>IF(AND($A1291="",$B1291=""),"",IF(OR($E1291="",$H1291="",$H1291="Proposed",$H1291="Not Reported"),0,IF(AND($P1291="Y",$Q1291&lt;&gt;"Y"),0,IF(AND($K1291="Point",N($L1291)&lt;=0),0,IF(AND(N($L1291)&lt;=0,N($N1291)&lt;=0,N($R1291)+N($S1291)&lt;=0),0,1)))))</f>
        <v/>
      </c>
      <c r="AA1291" s="21">
        <f>IF(AND($A1291="",$B1291=""),"",IF($E1291="","Site type missing",IF($H1291="","STATUS missing",IF($H1291="Proposed","STATUS = Proposed",IF($H1291="Not Reported","STATUS = Not Reported",IF(AND($P1291="Y",$Q1291&lt;&gt;"Y"),"UNESCO-MAB Biosphere Reserve",IF(AND($K1291="Point",N($L1291)&lt;=0),"Point without REP_AREA",IF(AND(N($L1291)&lt;=0,N($N1291)&lt;=0,N($R1291)+N($S1291)&lt;=0),"No area information",""))))))))</f>
        <v/>
      </c>
      <c r="AB1291" s="22">
        <f>IF(AND($A1291="",$B1291=""),"",IF($K1291="Point",N($L1291),IF(N($N1291)&gt;0,N($N1291),N($L1291))))</f>
        <v/>
      </c>
      <c r="AC1291" s="22">
        <f>IF(AND($A1291="",$B1291=""),"",MIN(AB1291,IF(N($J1291)=0,0,IF(N($J1291)=2,AB1291,IF(AND($K1291&lt;&gt;"Point",N($O1291)&gt;0),N($O1291),N($M1291))))))</f>
        <v/>
      </c>
      <c r="AD1291" s="22">
        <f>IF(AND($A1291="",$B1291=""),"",MAX(0,AB1291-AC1291))</f>
        <v/>
      </c>
      <c r="AE1291" s="21">
        <f>IF(AND($A1291="",$B1291=""),"",IF(OR($R1291&lt;&gt;"",$S1291&lt;&gt;""),1,0))</f>
        <v/>
      </c>
      <c r="AF1291" s="22">
        <f>IF(AND($A1291="",$B1291=""),"",IF(Z1291=1,IF(AE1291=1,N($R1291),AD1291),0))</f>
        <v/>
      </c>
      <c r="AG1291" s="22">
        <f>IF(AND($A1291="",$B1291=""),"",IF(Z1291=1,IF(AE1291=1,N($S1291),AC1291),0))</f>
        <v/>
      </c>
      <c r="AH1291" s="21">
        <f>IF(AND($A1291="",$B1291=""),"",IF(AND(ISNUMBER($I1291),N($I1291)&gt;0),$I1291,0))</f>
        <v/>
      </c>
      <c r="AI1291" s="23">
        <f>IF(AND(NOT(AND($A1291="",$B1291="")),$K1291="Point",N($L1291)&gt;0),SQRT(N($L1291)/PI()),"")</f>
        <v/>
      </c>
      <c r="AJ1291" s="21">
        <f>IF(AND($A1291="",$B1291=""),"",IFERROR(VLOOKUP($G1291,Lists!$D$4:$E$15,2,FALSE),"Not reported"))</f>
        <v/>
      </c>
      <c r="AK1291" s="21">
        <f>IF(AND($A1291="",$B1291=""),"",IF($X1291&lt;&gt;"",$X1291,IF($T1291&lt;&gt;"Y","Not assessed",IF(AND(ISNUMBER($V1291),Setup!$B$6-$V1291&gt;Setup!$B$26),"Assessment outdated",IF(NOT(ISNUMBER($W1291)),"Assessed – no score",IF($W1291&gt;=Setup!$B$24,"High",IF($W1291&gt;=Setup!$B$25,"Moderate","Low")))))))</f>
        <v/>
      </c>
      <c r="AL1291" s="21">
        <f>IF(AND($A1291="",$B1291=""),"",IF(Z1291=0,"",IF(AND(AE1291=1,N($R1291)&gt;AD1291*1.01+0.001),"Net terrestrial &gt; gross; ","")&amp;IF(AND(AE1291=1,N($S1291)&gt;AC1291*1.01+0.001),"Net marine &gt; gross; ","")&amp;IF(AE1291=0,"No net area – gross used, overlaps may be double-counted; ","")&amp;IF(AH1291=0,"STATUS_YR missing – imputed in time series; ","")&amp;IF(AND(ISNUMBER($I1291),N($I1291)&gt;Setup!$B$6),"STATUS_YR after reporting year; ","")&amp;IF(OR($G1291="",$G1291="Not Reported"),"GOV_TYPE not reported; ","")&amp;IF(AND(N($J1291)=1,$K1291="Point",N($M1291)&lt;=0),"Coastal point without REP_M_AREA – land/sea split unknown; ","")&amp;IF(AND(N($J1291)=0,N($S1291)&gt;0),"MARINE=0 but net marine &gt;0; ","")&amp;IF(AND(N($J1291)=2,N($R1291)&gt;0),"MARINE=2 but net terrestrial &gt;0; ","")&amp;IF($K1291="Point","Buffered point – coverage approximate; ","")))</f>
        <v/>
      </c>
    </row>
    <row r="1292">
      <c r="A1292" s="19" t="n"/>
      <c r="B1292" s="19" t="n"/>
      <c r="C1292" s="19" t="n"/>
      <c r="D1292" s="19" t="n"/>
      <c r="E1292" s="19" t="n"/>
      <c r="F1292" s="19" t="n"/>
      <c r="G1292" s="19" t="n"/>
      <c r="H1292" s="19" t="n"/>
      <c r="I1292" s="19" t="n"/>
      <c r="J1292" s="19" t="n"/>
      <c r="K1292" s="19" t="n"/>
      <c r="L1292" s="20" t="n"/>
      <c r="M1292" s="20" t="n"/>
      <c r="N1292" s="20" t="n"/>
      <c r="O1292" s="20" t="n"/>
      <c r="P1292" s="19" t="n"/>
      <c r="Q1292" s="19" t="n"/>
      <c r="R1292" s="20" t="n"/>
      <c r="S1292" s="20" t="n"/>
      <c r="T1292" s="19" t="n"/>
      <c r="U1292" s="19" t="n"/>
      <c r="V1292" s="19" t="n"/>
      <c r="W1292" s="19" t="n"/>
      <c r="X1292" s="19" t="n"/>
      <c r="Y1292" s="19" t="n"/>
      <c r="Z1292" s="21">
        <f>IF(AND($A1292="",$B1292=""),"",IF(OR($E1292="",$H1292="",$H1292="Proposed",$H1292="Not Reported"),0,IF(AND($P1292="Y",$Q1292&lt;&gt;"Y"),0,IF(AND($K1292="Point",N($L1292)&lt;=0),0,IF(AND(N($L1292)&lt;=0,N($N1292)&lt;=0,N($R1292)+N($S1292)&lt;=0),0,1)))))</f>
        <v/>
      </c>
      <c r="AA1292" s="21">
        <f>IF(AND($A1292="",$B1292=""),"",IF($E1292="","Site type missing",IF($H1292="","STATUS missing",IF($H1292="Proposed","STATUS = Proposed",IF($H1292="Not Reported","STATUS = Not Reported",IF(AND($P1292="Y",$Q1292&lt;&gt;"Y"),"UNESCO-MAB Biosphere Reserve",IF(AND($K1292="Point",N($L1292)&lt;=0),"Point without REP_AREA",IF(AND(N($L1292)&lt;=0,N($N1292)&lt;=0,N($R1292)+N($S1292)&lt;=0),"No area information",""))))))))</f>
        <v/>
      </c>
      <c r="AB1292" s="22">
        <f>IF(AND($A1292="",$B1292=""),"",IF($K1292="Point",N($L1292),IF(N($N1292)&gt;0,N($N1292),N($L1292))))</f>
        <v/>
      </c>
      <c r="AC1292" s="22">
        <f>IF(AND($A1292="",$B1292=""),"",MIN(AB1292,IF(N($J1292)=0,0,IF(N($J1292)=2,AB1292,IF(AND($K1292&lt;&gt;"Point",N($O1292)&gt;0),N($O1292),N($M1292))))))</f>
        <v/>
      </c>
      <c r="AD1292" s="22">
        <f>IF(AND($A1292="",$B1292=""),"",MAX(0,AB1292-AC1292))</f>
        <v/>
      </c>
      <c r="AE1292" s="21">
        <f>IF(AND($A1292="",$B1292=""),"",IF(OR($R1292&lt;&gt;"",$S1292&lt;&gt;""),1,0))</f>
        <v/>
      </c>
      <c r="AF1292" s="22">
        <f>IF(AND($A1292="",$B1292=""),"",IF(Z1292=1,IF(AE1292=1,N($R1292),AD1292),0))</f>
        <v/>
      </c>
      <c r="AG1292" s="22">
        <f>IF(AND($A1292="",$B1292=""),"",IF(Z1292=1,IF(AE1292=1,N($S1292),AC1292),0))</f>
        <v/>
      </c>
      <c r="AH1292" s="21">
        <f>IF(AND($A1292="",$B1292=""),"",IF(AND(ISNUMBER($I1292),N($I1292)&gt;0),$I1292,0))</f>
        <v/>
      </c>
      <c r="AI1292" s="23">
        <f>IF(AND(NOT(AND($A1292="",$B1292="")),$K1292="Point",N($L1292)&gt;0),SQRT(N($L1292)/PI()),"")</f>
        <v/>
      </c>
      <c r="AJ1292" s="21">
        <f>IF(AND($A1292="",$B1292=""),"",IFERROR(VLOOKUP($G1292,Lists!$D$4:$E$15,2,FALSE),"Not reported"))</f>
        <v/>
      </c>
      <c r="AK1292" s="21">
        <f>IF(AND($A1292="",$B1292=""),"",IF($X1292&lt;&gt;"",$X1292,IF($T1292&lt;&gt;"Y","Not assessed",IF(AND(ISNUMBER($V1292),Setup!$B$6-$V1292&gt;Setup!$B$26),"Assessment outdated",IF(NOT(ISNUMBER($W1292)),"Assessed – no score",IF($W1292&gt;=Setup!$B$24,"High",IF($W1292&gt;=Setup!$B$25,"Moderate","Low")))))))</f>
        <v/>
      </c>
      <c r="AL1292" s="21">
        <f>IF(AND($A1292="",$B1292=""),"",IF(Z1292=0,"",IF(AND(AE1292=1,N($R1292)&gt;AD1292*1.01+0.001),"Net terrestrial &gt; gross; ","")&amp;IF(AND(AE1292=1,N($S1292)&gt;AC1292*1.01+0.001),"Net marine &gt; gross; ","")&amp;IF(AE1292=0,"No net area – gross used, overlaps may be double-counted; ","")&amp;IF(AH1292=0,"STATUS_YR missing – imputed in time series; ","")&amp;IF(AND(ISNUMBER($I1292),N($I1292)&gt;Setup!$B$6),"STATUS_YR after reporting year; ","")&amp;IF(OR($G1292="",$G1292="Not Reported"),"GOV_TYPE not reported; ","")&amp;IF(AND(N($J1292)=1,$K1292="Point",N($M1292)&lt;=0),"Coastal point without REP_M_AREA – land/sea split unknown; ","")&amp;IF(AND(N($J1292)=0,N($S1292)&gt;0),"MARINE=0 but net marine &gt;0; ","")&amp;IF(AND(N($J1292)=2,N($R1292)&gt;0),"MARINE=2 but net terrestrial &gt;0; ","")&amp;IF($K1292="Point","Buffered point – coverage approximate; ","")))</f>
        <v/>
      </c>
    </row>
    <row r="1293">
      <c r="A1293" s="19" t="n"/>
      <c r="B1293" s="19" t="n"/>
      <c r="C1293" s="19" t="n"/>
      <c r="D1293" s="19" t="n"/>
      <c r="E1293" s="19" t="n"/>
      <c r="F1293" s="19" t="n"/>
      <c r="G1293" s="19" t="n"/>
      <c r="H1293" s="19" t="n"/>
      <c r="I1293" s="19" t="n"/>
      <c r="J1293" s="19" t="n"/>
      <c r="K1293" s="19" t="n"/>
      <c r="L1293" s="20" t="n"/>
      <c r="M1293" s="20" t="n"/>
      <c r="N1293" s="20" t="n"/>
      <c r="O1293" s="20" t="n"/>
      <c r="P1293" s="19" t="n"/>
      <c r="Q1293" s="19" t="n"/>
      <c r="R1293" s="20" t="n"/>
      <c r="S1293" s="20" t="n"/>
      <c r="T1293" s="19" t="n"/>
      <c r="U1293" s="19" t="n"/>
      <c r="V1293" s="19" t="n"/>
      <c r="W1293" s="19" t="n"/>
      <c r="X1293" s="19" t="n"/>
      <c r="Y1293" s="19" t="n"/>
      <c r="Z1293" s="21">
        <f>IF(AND($A1293="",$B1293=""),"",IF(OR($E1293="",$H1293="",$H1293="Proposed",$H1293="Not Reported"),0,IF(AND($P1293="Y",$Q1293&lt;&gt;"Y"),0,IF(AND($K1293="Point",N($L1293)&lt;=0),0,IF(AND(N($L1293)&lt;=0,N($N1293)&lt;=0,N($R1293)+N($S1293)&lt;=0),0,1)))))</f>
        <v/>
      </c>
      <c r="AA1293" s="21">
        <f>IF(AND($A1293="",$B1293=""),"",IF($E1293="","Site type missing",IF($H1293="","STATUS missing",IF($H1293="Proposed","STATUS = Proposed",IF($H1293="Not Reported","STATUS = Not Reported",IF(AND($P1293="Y",$Q1293&lt;&gt;"Y"),"UNESCO-MAB Biosphere Reserve",IF(AND($K1293="Point",N($L1293)&lt;=0),"Point without REP_AREA",IF(AND(N($L1293)&lt;=0,N($N1293)&lt;=0,N($R1293)+N($S1293)&lt;=0),"No area information",""))))))))</f>
        <v/>
      </c>
      <c r="AB1293" s="22">
        <f>IF(AND($A1293="",$B1293=""),"",IF($K1293="Point",N($L1293),IF(N($N1293)&gt;0,N($N1293),N($L1293))))</f>
        <v/>
      </c>
      <c r="AC1293" s="22">
        <f>IF(AND($A1293="",$B1293=""),"",MIN(AB1293,IF(N($J1293)=0,0,IF(N($J1293)=2,AB1293,IF(AND($K1293&lt;&gt;"Point",N($O1293)&gt;0),N($O1293),N($M1293))))))</f>
        <v/>
      </c>
      <c r="AD1293" s="22">
        <f>IF(AND($A1293="",$B1293=""),"",MAX(0,AB1293-AC1293))</f>
        <v/>
      </c>
      <c r="AE1293" s="21">
        <f>IF(AND($A1293="",$B1293=""),"",IF(OR($R1293&lt;&gt;"",$S1293&lt;&gt;""),1,0))</f>
        <v/>
      </c>
      <c r="AF1293" s="22">
        <f>IF(AND($A1293="",$B1293=""),"",IF(Z1293=1,IF(AE1293=1,N($R1293),AD1293),0))</f>
        <v/>
      </c>
      <c r="AG1293" s="22">
        <f>IF(AND($A1293="",$B1293=""),"",IF(Z1293=1,IF(AE1293=1,N($S1293),AC1293),0))</f>
        <v/>
      </c>
      <c r="AH1293" s="21">
        <f>IF(AND($A1293="",$B1293=""),"",IF(AND(ISNUMBER($I1293),N($I1293)&gt;0),$I1293,0))</f>
        <v/>
      </c>
      <c r="AI1293" s="23">
        <f>IF(AND(NOT(AND($A1293="",$B1293="")),$K1293="Point",N($L1293)&gt;0),SQRT(N($L1293)/PI()),"")</f>
        <v/>
      </c>
      <c r="AJ1293" s="21">
        <f>IF(AND($A1293="",$B1293=""),"",IFERROR(VLOOKUP($G1293,Lists!$D$4:$E$15,2,FALSE),"Not reported"))</f>
        <v/>
      </c>
      <c r="AK1293" s="21">
        <f>IF(AND($A1293="",$B1293=""),"",IF($X1293&lt;&gt;"",$X1293,IF($T1293&lt;&gt;"Y","Not assessed",IF(AND(ISNUMBER($V1293),Setup!$B$6-$V1293&gt;Setup!$B$26),"Assessment outdated",IF(NOT(ISNUMBER($W1293)),"Assessed – no score",IF($W1293&gt;=Setup!$B$24,"High",IF($W1293&gt;=Setup!$B$25,"Moderate","Low")))))))</f>
        <v/>
      </c>
      <c r="AL1293" s="21">
        <f>IF(AND($A1293="",$B1293=""),"",IF(Z1293=0,"",IF(AND(AE1293=1,N($R1293)&gt;AD1293*1.01+0.001),"Net terrestrial &gt; gross; ","")&amp;IF(AND(AE1293=1,N($S1293)&gt;AC1293*1.01+0.001),"Net marine &gt; gross; ","")&amp;IF(AE1293=0,"No net area – gross used, overlaps may be double-counted; ","")&amp;IF(AH1293=0,"STATUS_YR missing – imputed in time series; ","")&amp;IF(AND(ISNUMBER($I1293),N($I1293)&gt;Setup!$B$6),"STATUS_YR after reporting year; ","")&amp;IF(OR($G1293="",$G1293="Not Reported"),"GOV_TYPE not reported; ","")&amp;IF(AND(N($J1293)=1,$K1293="Point",N($M1293)&lt;=0),"Coastal point without REP_M_AREA – land/sea split unknown; ","")&amp;IF(AND(N($J1293)=0,N($S1293)&gt;0),"MARINE=0 but net marine &gt;0; ","")&amp;IF(AND(N($J1293)=2,N($R1293)&gt;0),"MARINE=2 but net terrestrial &gt;0; ","")&amp;IF($K1293="Point","Buffered point – coverage approximate; ","")))</f>
        <v/>
      </c>
    </row>
    <row r="1294">
      <c r="A1294" s="19" t="n"/>
      <c r="B1294" s="19" t="n"/>
      <c r="C1294" s="19" t="n"/>
      <c r="D1294" s="19" t="n"/>
      <c r="E1294" s="19" t="n"/>
      <c r="F1294" s="19" t="n"/>
      <c r="G1294" s="19" t="n"/>
      <c r="H1294" s="19" t="n"/>
      <c r="I1294" s="19" t="n"/>
      <c r="J1294" s="19" t="n"/>
      <c r="K1294" s="19" t="n"/>
      <c r="L1294" s="20" t="n"/>
      <c r="M1294" s="20" t="n"/>
      <c r="N1294" s="20" t="n"/>
      <c r="O1294" s="20" t="n"/>
      <c r="P1294" s="19" t="n"/>
      <c r="Q1294" s="19" t="n"/>
      <c r="R1294" s="20" t="n"/>
      <c r="S1294" s="20" t="n"/>
      <c r="T1294" s="19" t="n"/>
      <c r="U1294" s="19" t="n"/>
      <c r="V1294" s="19" t="n"/>
      <c r="W1294" s="19" t="n"/>
      <c r="X1294" s="19" t="n"/>
      <c r="Y1294" s="19" t="n"/>
      <c r="Z1294" s="21">
        <f>IF(AND($A1294="",$B1294=""),"",IF(OR($E1294="",$H1294="",$H1294="Proposed",$H1294="Not Reported"),0,IF(AND($P1294="Y",$Q1294&lt;&gt;"Y"),0,IF(AND($K1294="Point",N($L1294)&lt;=0),0,IF(AND(N($L1294)&lt;=0,N($N1294)&lt;=0,N($R1294)+N($S1294)&lt;=0),0,1)))))</f>
        <v/>
      </c>
      <c r="AA1294" s="21">
        <f>IF(AND($A1294="",$B1294=""),"",IF($E1294="","Site type missing",IF($H1294="","STATUS missing",IF($H1294="Proposed","STATUS = Proposed",IF($H1294="Not Reported","STATUS = Not Reported",IF(AND($P1294="Y",$Q1294&lt;&gt;"Y"),"UNESCO-MAB Biosphere Reserve",IF(AND($K1294="Point",N($L1294)&lt;=0),"Point without REP_AREA",IF(AND(N($L1294)&lt;=0,N($N1294)&lt;=0,N($R1294)+N($S1294)&lt;=0),"No area information",""))))))))</f>
        <v/>
      </c>
      <c r="AB1294" s="22">
        <f>IF(AND($A1294="",$B1294=""),"",IF($K1294="Point",N($L1294),IF(N($N1294)&gt;0,N($N1294),N($L1294))))</f>
        <v/>
      </c>
      <c r="AC1294" s="22">
        <f>IF(AND($A1294="",$B1294=""),"",MIN(AB1294,IF(N($J1294)=0,0,IF(N($J1294)=2,AB1294,IF(AND($K1294&lt;&gt;"Point",N($O1294)&gt;0),N($O1294),N($M1294))))))</f>
        <v/>
      </c>
      <c r="AD1294" s="22">
        <f>IF(AND($A1294="",$B1294=""),"",MAX(0,AB1294-AC1294))</f>
        <v/>
      </c>
      <c r="AE1294" s="21">
        <f>IF(AND($A1294="",$B1294=""),"",IF(OR($R1294&lt;&gt;"",$S1294&lt;&gt;""),1,0))</f>
        <v/>
      </c>
      <c r="AF1294" s="22">
        <f>IF(AND($A1294="",$B1294=""),"",IF(Z1294=1,IF(AE1294=1,N($R1294),AD1294),0))</f>
        <v/>
      </c>
      <c r="AG1294" s="22">
        <f>IF(AND($A1294="",$B1294=""),"",IF(Z1294=1,IF(AE1294=1,N($S1294),AC1294),0))</f>
        <v/>
      </c>
      <c r="AH1294" s="21">
        <f>IF(AND($A1294="",$B1294=""),"",IF(AND(ISNUMBER($I1294),N($I1294)&gt;0),$I1294,0))</f>
        <v/>
      </c>
      <c r="AI1294" s="23">
        <f>IF(AND(NOT(AND($A1294="",$B1294="")),$K1294="Point",N($L1294)&gt;0),SQRT(N($L1294)/PI()),"")</f>
        <v/>
      </c>
      <c r="AJ1294" s="21">
        <f>IF(AND($A1294="",$B1294=""),"",IFERROR(VLOOKUP($G1294,Lists!$D$4:$E$15,2,FALSE),"Not reported"))</f>
        <v/>
      </c>
      <c r="AK1294" s="21">
        <f>IF(AND($A1294="",$B1294=""),"",IF($X1294&lt;&gt;"",$X1294,IF($T1294&lt;&gt;"Y","Not assessed",IF(AND(ISNUMBER($V1294),Setup!$B$6-$V1294&gt;Setup!$B$26),"Assessment outdated",IF(NOT(ISNUMBER($W1294)),"Assessed – no score",IF($W1294&gt;=Setup!$B$24,"High",IF($W1294&gt;=Setup!$B$25,"Moderate","Low")))))))</f>
        <v/>
      </c>
      <c r="AL1294" s="21">
        <f>IF(AND($A1294="",$B1294=""),"",IF(Z1294=0,"",IF(AND(AE1294=1,N($R1294)&gt;AD1294*1.01+0.001),"Net terrestrial &gt; gross; ","")&amp;IF(AND(AE1294=1,N($S1294)&gt;AC1294*1.01+0.001),"Net marine &gt; gross; ","")&amp;IF(AE1294=0,"No net area – gross used, overlaps may be double-counted; ","")&amp;IF(AH1294=0,"STATUS_YR missing – imputed in time series; ","")&amp;IF(AND(ISNUMBER($I1294),N($I1294)&gt;Setup!$B$6),"STATUS_YR after reporting year; ","")&amp;IF(OR($G1294="",$G1294="Not Reported"),"GOV_TYPE not reported; ","")&amp;IF(AND(N($J1294)=1,$K1294="Point",N($M1294)&lt;=0),"Coastal point without REP_M_AREA – land/sea split unknown; ","")&amp;IF(AND(N($J1294)=0,N($S1294)&gt;0),"MARINE=0 but net marine &gt;0; ","")&amp;IF(AND(N($J1294)=2,N($R1294)&gt;0),"MARINE=2 but net terrestrial &gt;0; ","")&amp;IF($K1294="Point","Buffered point – coverage approximate; ","")))</f>
        <v/>
      </c>
    </row>
    <row r="1295">
      <c r="A1295" s="19" t="n"/>
      <c r="B1295" s="19" t="n"/>
      <c r="C1295" s="19" t="n"/>
      <c r="D1295" s="19" t="n"/>
      <c r="E1295" s="19" t="n"/>
      <c r="F1295" s="19" t="n"/>
      <c r="G1295" s="19" t="n"/>
      <c r="H1295" s="19" t="n"/>
      <c r="I1295" s="19" t="n"/>
      <c r="J1295" s="19" t="n"/>
      <c r="K1295" s="19" t="n"/>
      <c r="L1295" s="20" t="n"/>
      <c r="M1295" s="20" t="n"/>
      <c r="N1295" s="20" t="n"/>
      <c r="O1295" s="20" t="n"/>
      <c r="P1295" s="19" t="n"/>
      <c r="Q1295" s="19" t="n"/>
      <c r="R1295" s="20" t="n"/>
      <c r="S1295" s="20" t="n"/>
      <c r="T1295" s="19" t="n"/>
      <c r="U1295" s="19" t="n"/>
      <c r="V1295" s="19" t="n"/>
      <c r="W1295" s="19" t="n"/>
      <c r="X1295" s="19" t="n"/>
      <c r="Y1295" s="19" t="n"/>
      <c r="Z1295" s="21">
        <f>IF(AND($A1295="",$B1295=""),"",IF(OR($E1295="",$H1295="",$H1295="Proposed",$H1295="Not Reported"),0,IF(AND($P1295="Y",$Q1295&lt;&gt;"Y"),0,IF(AND($K1295="Point",N($L1295)&lt;=0),0,IF(AND(N($L1295)&lt;=0,N($N1295)&lt;=0,N($R1295)+N($S1295)&lt;=0),0,1)))))</f>
        <v/>
      </c>
      <c r="AA1295" s="21">
        <f>IF(AND($A1295="",$B1295=""),"",IF($E1295="","Site type missing",IF($H1295="","STATUS missing",IF($H1295="Proposed","STATUS = Proposed",IF($H1295="Not Reported","STATUS = Not Reported",IF(AND($P1295="Y",$Q1295&lt;&gt;"Y"),"UNESCO-MAB Biosphere Reserve",IF(AND($K1295="Point",N($L1295)&lt;=0),"Point without REP_AREA",IF(AND(N($L1295)&lt;=0,N($N1295)&lt;=0,N($R1295)+N($S1295)&lt;=0),"No area information",""))))))))</f>
        <v/>
      </c>
      <c r="AB1295" s="22">
        <f>IF(AND($A1295="",$B1295=""),"",IF($K1295="Point",N($L1295),IF(N($N1295)&gt;0,N($N1295),N($L1295))))</f>
        <v/>
      </c>
      <c r="AC1295" s="22">
        <f>IF(AND($A1295="",$B1295=""),"",MIN(AB1295,IF(N($J1295)=0,0,IF(N($J1295)=2,AB1295,IF(AND($K1295&lt;&gt;"Point",N($O1295)&gt;0),N($O1295),N($M1295))))))</f>
        <v/>
      </c>
      <c r="AD1295" s="22">
        <f>IF(AND($A1295="",$B1295=""),"",MAX(0,AB1295-AC1295))</f>
        <v/>
      </c>
      <c r="AE1295" s="21">
        <f>IF(AND($A1295="",$B1295=""),"",IF(OR($R1295&lt;&gt;"",$S1295&lt;&gt;""),1,0))</f>
        <v/>
      </c>
      <c r="AF1295" s="22">
        <f>IF(AND($A1295="",$B1295=""),"",IF(Z1295=1,IF(AE1295=1,N($R1295),AD1295),0))</f>
        <v/>
      </c>
      <c r="AG1295" s="22">
        <f>IF(AND($A1295="",$B1295=""),"",IF(Z1295=1,IF(AE1295=1,N($S1295),AC1295),0))</f>
        <v/>
      </c>
      <c r="AH1295" s="21">
        <f>IF(AND($A1295="",$B1295=""),"",IF(AND(ISNUMBER($I1295),N($I1295)&gt;0),$I1295,0))</f>
        <v/>
      </c>
      <c r="AI1295" s="23">
        <f>IF(AND(NOT(AND($A1295="",$B1295="")),$K1295="Point",N($L1295)&gt;0),SQRT(N($L1295)/PI()),"")</f>
        <v/>
      </c>
      <c r="AJ1295" s="21">
        <f>IF(AND($A1295="",$B1295=""),"",IFERROR(VLOOKUP($G1295,Lists!$D$4:$E$15,2,FALSE),"Not reported"))</f>
        <v/>
      </c>
      <c r="AK1295" s="21">
        <f>IF(AND($A1295="",$B1295=""),"",IF($X1295&lt;&gt;"",$X1295,IF($T1295&lt;&gt;"Y","Not assessed",IF(AND(ISNUMBER($V1295),Setup!$B$6-$V1295&gt;Setup!$B$26),"Assessment outdated",IF(NOT(ISNUMBER($W1295)),"Assessed – no score",IF($W1295&gt;=Setup!$B$24,"High",IF($W1295&gt;=Setup!$B$25,"Moderate","Low")))))))</f>
        <v/>
      </c>
      <c r="AL1295" s="21">
        <f>IF(AND($A1295="",$B1295=""),"",IF(Z1295=0,"",IF(AND(AE1295=1,N($R1295)&gt;AD1295*1.01+0.001),"Net terrestrial &gt; gross; ","")&amp;IF(AND(AE1295=1,N($S1295)&gt;AC1295*1.01+0.001),"Net marine &gt; gross; ","")&amp;IF(AE1295=0,"No net area – gross used, overlaps may be double-counted; ","")&amp;IF(AH1295=0,"STATUS_YR missing – imputed in time series; ","")&amp;IF(AND(ISNUMBER($I1295),N($I1295)&gt;Setup!$B$6),"STATUS_YR after reporting year; ","")&amp;IF(OR($G1295="",$G1295="Not Reported"),"GOV_TYPE not reported; ","")&amp;IF(AND(N($J1295)=1,$K1295="Point",N($M1295)&lt;=0),"Coastal point without REP_M_AREA – land/sea split unknown; ","")&amp;IF(AND(N($J1295)=0,N($S1295)&gt;0),"MARINE=0 but net marine &gt;0; ","")&amp;IF(AND(N($J1295)=2,N($R1295)&gt;0),"MARINE=2 but net terrestrial &gt;0; ","")&amp;IF($K1295="Point","Buffered point – coverage approximate; ","")))</f>
        <v/>
      </c>
    </row>
    <row r="1296">
      <c r="A1296" s="19" t="n"/>
      <c r="B1296" s="19" t="n"/>
      <c r="C1296" s="19" t="n"/>
      <c r="D1296" s="19" t="n"/>
      <c r="E1296" s="19" t="n"/>
      <c r="F1296" s="19" t="n"/>
      <c r="G1296" s="19" t="n"/>
      <c r="H1296" s="19" t="n"/>
      <c r="I1296" s="19" t="n"/>
      <c r="J1296" s="19" t="n"/>
      <c r="K1296" s="19" t="n"/>
      <c r="L1296" s="20" t="n"/>
      <c r="M1296" s="20" t="n"/>
      <c r="N1296" s="20" t="n"/>
      <c r="O1296" s="20" t="n"/>
      <c r="P1296" s="19" t="n"/>
      <c r="Q1296" s="19" t="n"/>
      <c r="R1296" s="20" t="n"/>
      <c r="S1296" s="20" t="n"/>
      <c r="T1296" s="19" t="n"/>
      <c r="U1296" s="19" t="n"/>
      <c r="V1296" s="19" t="n"/>
      <c r="W1296" s="19" t="n"/>
      <c r="X1296" s="19" t="n"/>
      <c r="Y1296" s="19" t="n"/>
      <c r="Z1296" s="21">
        <f>IF(AND($A1296="",$B1296=""),"",IF(OR($E1296="",$H1296="",$H1296="Proposed",$H1296="Not Reported"),0,IF(AND($P1296="Y",$Q1296&lt;&gt;"Y"),0,IF(AND($K1296="Point",N($L1296)&lt;=0),0,IF(AND(N($L1296)&lt;=0,N($N1296)&lt;=0,N($R1296)+N($S1296)&lt;=0),0,1)))))</f>
        <v/>
      </c>
      <c r="AA1296" s="21">
        <f>IF(AND($A1296="",$B1296=""),"",IF($E1296="","Site type missing",IF($H1296="","STATUS missing",IF($H1296="Proposed","STATUS = Proposed",IF($H1296="Not Reported","STATUS = Not Reported",IF(AND($P1296="Y",$Q1296&lt;&gt;"Y"),"UNESCO-MAB Biosphere Reserve",IF(AND($K1296="Point",N($L1296)&lt;=0),"Point without REP_AREA",IF(AND(N($L1296)&lt;=0,N($N1296)&lt;=0,N($R1296)+N($S1296)&lt;=0),"No area information",""))))))))</f>
        <v/>
      </c>
      <c r="AB1296" s="22">
        <f>IF(AND($A1296="",$B1296=""),"",IF($K1296="Point",N($L1296),IF(N($N1296)&gt;0,N($N1296),N($L1296))))</f>
        <v/>
      </c>
      <c r="AC1296" s="22">
        <f>IF(AND($A1296="",$B1296=""),"",MIN(AB1296,IF(N($J1296)=0,0,IF(N($J1296)=2,AB1296,IF(AND($K1296&lt;&gt;"Point",N($O1296)&gt;0),N($O1296),N($M1296))))))</f>
        <v/>
      </c>
      <c r="AD1296" s="22">
        <f>IF(AND($A1296="",$B1296=""),"",MAX(0,AB1296-AC1296))</f>
        <v/>
      </c>
      <c r="AE1296" s="21">
        <f>IF(AND($A1296="",$B1296=""),"",IF(OR($R1296&lt;&gt;"",$S1296&lt;&gt;""),1,0))</f>
        <v/>
      </c>
      <c r="AF1296" s="22">
        <f>IF(AND($A1296="",$B1296=""),"",IF(Z1296=1,IF(AE1296=1,N($R1296),AD1296),0))</f>
        <v/>
      </c>
      <c r="AG1296" s="22">
        <f>IF(AND($A1296="",$B1296=""),"",IF(Z1296=1,IF(AE1296=1,N($S1296),AC1296),0))</f>
        <v/>
      </c>
      <c r="AH1296" s="21">
        <f>IF(AND($A1296="",$B1296=""),"",IF(AND(ISNUMBER($I1296),N($I1296)&gt;0),$I1296,0))</f>
        <v/>
      </c>
      <c r="AI1296" s="23">
        <f>IF(AND(NOT(AND($A1296="",$B1296="")),$K1296="Point",N($L1296)&gt;0),SQRT(N($L1296)/PI()),"")</f>
        <v/>
      </c>
      <c r="AJ1296" s="21">
        <f>IF(AND($A1296="",$B1296=""),"",IFERROR(VLOOKUP($G1296,Lists!$D$4:$E$15,2,FALSE),"Not reported"))</f>
        <v/>
      </c>
      <c r="AK1296" s="21">
        <f>IF(AND($A1296="",$B1296=""),"",IF($X1296&lt;&gt;"",$X1296,IF($T1296&lt;&gt;"Y","Not assessed",IF(AND(ISNUMBER($V1296),Setup!$B$6-$V1296&gt;Setup!$B$26),"Assessment outdated",IF(NOT(ISNUMBER($W1296)),"Assessed – no score",IF($W1296&gt;=Setup!$B$24,"High",IF($W1296&gt;=Setup!$B$25,"Moderate","Low")))))))</f>
        <v/>
      </c>
      <c r="AL1296" s="21">
        <f>IF(AND($A1296="",$B1296=""),"",IF(Z1296=0,"",IF(AND(AE1296=1,N($R1296)&gt;AD1296*1.01+0.001),"Net terrestrial &gt; gross; ","")&amp;IF(AND(AE1296=1,N($S1296)&gt;AC1296*1.01+0.001),"Net marine &gt; gross; ","")&amp;IF(AE1296=0,"No net area – gross used, overlaps may be double-counted; ","")&amp;IF(AH1296=0,"STATUS_YR missing – imputed in time series; ","")&amp;IF(AND(ISNUMBER($I1296),N($I1296)&gt;Setup!$B$6),"STATUS_YR after reporting year; ","")&amp;IF(OR($G1296="",$G1296="Not Reported"),"GOV_TYPE not reported; ","")&amp;IF(AND(N($J1296)=1,$K1296="Point",N($M1296)&lt;=0),"Coastal point without REP_M_AREA – land/sea split unknown; ","")&amp;IF(AND(N($J1296)=0,N($S1296)&gt;0),"MARINE=0 but net marine &gt;0; ","")&amp;IF(AND(N($J1296)=2,N($R1296)&gt;0),"MARINE=2 but net terrestrial &gt;0; ","")&amp;IF($K1296="Point","Buffered point – coverage approximate; ","")))</f>
        <v/>
      </c>
    </row>
    <row r="1297">
      <c r="A1297" s="19" t="n"/>
      <c r="B1297" s="19" t="n"/>
      <c r="C1297" s="19" t="n"/>
      <c r="D1297" s="19" t="n"/>
      <c r="E1297" s="19" t="n"/>
      <c r="F1297" s="19" t="n"/>
      <c r="G1297" s="19" t="n"/>
      <c r="H1297" s="19" t="n"/>
      <c r="I1297" s="19" t="n"/>
      <c r="J1297" s="19" t="n"/>
      <c r="K1297" s="19" t="n"/>
      <c r="L1297" s="20" t="n"/>
      <c r="M1297" s="20" t="n"/>
      <c r="N1297" s="20" t="n"/>
      <c r="O1297" s="20" t="n"/>
      <c r="P1297" s="19" t="n"/>
      <c r="Q1297" s="19" t="n"/>
      <c r="R1297" s="20" t="n"/>
      <c r="S1297" s="20" t="n"/>
      <c r="T1297" s="19" t="n"/>
      <c r="U1297" s="19" t="n"/>
      <c r="V1297" s="19" t="n"/>
      <c r="W1297" s="19" t="n"/>
      <c r="X1297" s="19" t="n"/>
      <c r="Y1297" s="19" t="n"/>
      <c r="Z1297" s="21">
        <f>IF(AND($A1297="",$B1297=""),"",IF(OR($E1297="",$H1297="",$H1297="Proposed",$H1297="Not Reported"),0,IF(AND($P1297="Y",$Q1297&lt;&gt;"Y"),0,IF(AND($K1297="Point",N($L1297)&lt;=0),0,IF(AND(N($L1297)&lt;=0,N($N1297)&lt;=0,N($R1297)+N($S1297)&lt;=0),0,1)))))</f>
        <v/>
      </c>
      <c r="AA1297" s="21">
        <f>IF(AND($A1297="",$B1297=""),"",IF($E1297="","Site type missing",IF($H1297="","STATUS missing",IF($H1297="Proposed","STATUS = Proposed",IF($H1297="Not Reported","STATUS = Not Reported",IF(AND($P1297="Y",$Q1297&lt;&gt;"Y"),"UNESCO-MAB Biosphere Reserve",IF(AND($K1297="Point",N($L1297)&lt;=0),"Point without REP_AREA",IF(AND(N($L1297)&lt;=0,N($N1297)&lt;=0,N($R1297)+N($S1297)&lt;=0),"No area information",""))))))))</f>
        <v/>
      </c>
      <c r="AB1297" s="22">
        <f>IF(AND($A1297="",$B1297=""),"",IF($K1297="Point",N($L1297),IF(N($N1297)&gt;0,N($N1297),N($L1297))))</f>
        <v/>
      </c>
      <c r="AC1297" s="22">
        <f>IF(AND($A1297="",$B1297=""),"",MIN(AB1297,IF(N($J1297)=0,0,IF(N($J1297)=2,AB1297,IF(AND($K1297&lt;&gt;"Point",N($O1297)&gt;0),N($O1297),N($M1297))))))</f>
        <v/>
      </c>
      <c r="AD1297" s="22">
        <f>IF(AND($A1297="",$B1297=""),"",MAX(0,AB1297-AC1297))</f>
        <v/>
      </c>
      <c r="AE1297" s="21">
        <f>IF(AND($A1297="",$B1297=""),"",IF(OR($R1297&lt;&gt;"",$S1297&lt;&gt;""),1,0))</f>
        <v/>
      </c>
      <c r="AF1297" s="22">
        <f>IF(AND($A1297="",$B1297=""),"",IF(Z1297=1,IF(AE1297=1,N($R1297),AD1297),0))</f>
        <v/>
      </c>
      <c r="AG1297" s="22">
        <f>IF(AND($A1297="",$B1297=""),"",IF(Z1297=1,IF(AE1297=1,N($S1297),AC1297),0))</f>
        <v/>
      </c>
      <c r="AH1297" s="21">
        <f>IF(AND($A1297="",$B1297=""),"",IF(AND(ISNUMBER($I1297),N($I1297)&gt;0),$I1297,0))</f>
        <v/>
      </c>
      <c r="AI1297" s="23">
        <f>IF(AND(NOT(AND($A1297="",$B1297="")),$K1297="Point",N($L1297)&gt;0),SQRT(N($L1297)/PI()),"")</f>
        <v/>
      </c>
      <c r="AJ1297" s="21">
        <f>IF(AND($A1297="",$B1297=""),"",IFERROR(VLOOKUP($G1297,Lists!$D$4:$E$15,2,FALSE),"Not reported"))</f>
        <v/>
      </c>
      <c r="AK1297" s="21">
        <f>IF(AND($A1297="",$B1297=""),"",IF($X1297&lt;&gt;"",$X1297,IF($T1297&lt;&gt;"Y","Not assessed",IF(AND(ISNUMBER($V1297),Setup!$B$6-$V1297&gt;Setup!$B$26),"Assessment outdated",IF(NOT(ISNUMBER($W1297)),"Assessed – no score",IF($W1297&gt;=Setup!$B$24,"High",IF($W1297&gt;=Setup!$B$25,"Moderate","Low")))))))</f>
        <v/>
      </c>
      <c r="AL1297" s="21">
        <f>IF(AND($A1297="",$B1297=""),"",IF(Z1297=0,"",IF(AND(AE1297=1,N($R1297)&gt;AD1297*1.01+0.001),"Net terrestrial &gt; gross; ","")&amp;IF(AND(AE1297=1,N($S1297)&gt;AC1297*1.01+0.001),"Net marine &gt; gross; ","")&amp;IF(AE1297=0,"No net area – gross used, overlaps may be double-counted; ","")&amp;IF(AH1297=0,"STATUS_YR missing – imputed in time series; ","")&amp;IF(AND(ISNUMBER($I1297),N($I1297)&gt;Setup!$B$6),"STATUS_YR after reporting year; ","")&amp;IF(OR($G1297="",$G1297="Not Reported"),"GOV_TYPE not reported; ","")&amp;IF(AND(N($J1297)=1,$K1297="Point",N($M1297)&lt;=0),"Coastal point without REP_M_AREA – land/sea split unknown; ","")&amp;IF(AND(N($J1297)=0,N($S1297)&gt;0),"MARINE=0 but net marine &gt;0; ","")&amp;IF(AND(N($J1297)=2,N($R1297)&gt;0),"MARINE=2 but net terrestrial &gt;0; ","")&amp;IF($K1297="Point","Buffered point – coverage approximate; ","")))</f>
        <v/>
      </c>
    </row>
    <row r="1298">
      <c r="A1298" s="19" t="n"/>
      <c r="B1298" s="19" t="n"/>
      <c r="C1298" s="19" t="n"/>
      <c r="D1298" s="19" t="n"/>
      <c r="E1298" s="19" t="n"/>
      <c r="F1298" s="19" t="n"/>
      <c r="G1298" s="19" t="n"/>
      <c r="H1298" s="19" t="n"/>
      <c r="I1298" s="19" t="n"/>
      <c r="J1298" s="19" t="n"/>
      <c r="K1298" s="19" t="n"/>
      <c r="L1298" s="20" t="n"/>
      <c r="M1298" s="20" t="n"/>
      <c r="N1298" s="20" t="n"/>
      <c r="O1298" s="20" t="n"/>
      <c r="P1298" s="19" t="n"/>
      <c r="Q1298" s="19" t="n"/>
      <c r="R1298" s="20" t="n"/>
      <c r="S1298" s="20" t="n"/>
      <c r="T1298" s="19" t="n"/>
      <c r="U1298" s="19" t="n"/>
      <c r="V1298" s="19" t="n"/>
      <c r="W1298" s="19" t="n"/>
      <c r="X1298" s="19" t="n"/>
      <c r="Y1298" s="19" t="n"/>
      <c r="Z1298" s="21">
        <f>IF(AND($A1298="",$B1298=""),"",IF(OR($E1298="",$H1298="",$H1298="Proposed",$H1298="Not Reported"),0,IF(AND($P1298="Y",$Q1298&lt;&gt;"Y"),0,IF(AND($K1298="Point",N($L1298)&lt;=0),0,IF(AND(N($L1298)&lt;=0,N($N1298)&lt;=0,N($R1298)+N($S1298)&lt;=0),0,1)))))</f>
        <v/>
      </c>
      <c r="AA1298" s="21">
        <f>IF(AND($A1298="",$B1298=""),"",IF($E1298="","Site type missing",IF($H1298="","STATUS missing",IF($H1298="Proposed","STATUS = Proposed",IF($H1298="Not Reported","STATUS = Not Reported",IF(AND($P1298="Y",$Q1298&lt;&gt;"Y"),"UNESCO-MAB Biosphere Reserve",IF(AND($K1298="Point",N($L1298)&lt;=0),"Point without REP_AREA",IF(AND(N($L1298)&lt;=0,N($N1298)&lt;=0,N($R1298)+N($S1298)&lt;=0),"No area information",""))))))))</f>
        <v/>
      </c>
      <c r="AB1298" s="22">
        <f>IF(AND($A1298="",$B1298=""),"",IF($K1298="Point",N($L1298),IF(N($N1298)&gt;0,N($N1298),N($L1298))))</f>
        <v/>
      </c>
      <c r="AC1298" s="22">
        <f>IF(AND($A1298="",$B1298=""),"",MIN(AB1298,IF(N($J1298)=0,0,IF(N($J1298)=2,AB1298,IF(AND($K1298&lt;&gt;"Point",N($O1298)&gt;0),N($O1298),N($M1298))))))</f>
        <v/>
      </c>
      <c r="AD1298" s="22">
        <f>IF(AND($A1298="",$B1298=""),"",MAX(0,AB1298-AC1298))</f>
        <v/>
      </c>
      <c r="AE1298" s="21">
        <f>IF(AND($A1298="",$B1298=""),"",IF(OR($R1298&lt;&gt;"",$S1298&lt;&gt;""),1,0))</f>
        <v/>
      </c>
      <c r="AF1298" s="22">
        <f>IF(AND($A1298="",$B1298=""),"",IF(Z1298=1,IF(AE1298=1,N($R1298),AD1298),0))</f>
        <v/>
      </c>
      <c r="AG1298" s="22">
        <f>IF(AND($A1298="",$B1298=""),"",IF(Z1298=1,IF(AE1298=1,N($S1298),AC1298),0))</f>
        <v/>
      </c>
      <c r="AH1298" s="21">
        <f>IF(AND($A1298="",$B1298=""),"",IF(AND(ISNUMBER($I1298),N($I1298)&gt;0),$I1298,0))</f>
        <v/>
      </c>
      <c r="AI1298" s="23">
        <f>IF(AND(NOT(AND($A1298="",$B1298="")),$K1298="Point",N($L1298)&gt;0),SQRT(N($L1298)/PI()),"")</f>
        <v/>
      </c>
      <c r="AJ1298" s="21">
        <f>IF(AND($A1298="",$B1298=""),"",IFERROR(VLOOKUP($G1298,Lists!$D$4:$E$15,2,FALSE),"Not reported"))</f>
        <v/>
      </c>
      <c r="AK1298" s="21">
        <f>IF(AND($A1298="",$B1298=""),"",IF($X1298&lt;&gt;"",$X1298,IF($T1298&lt;&gt;"Y","Not assessed",IF(AND(ISNUMBER($V1298),Setup!$B$6-$V1298&gt;Setup!$B$26),"Assessment outdated",IF(NOT(ISNUMBER($W1298)),"Assessed – no score",IF($W1298&gt;=Setup!$B$24,"High",IF($W1298&gt;=Setup!$B$25,"Moderate","Low")))))))</f>
        <v/>
      </c>
      <c r="AL1298" s="21">
        <f>IF(AND($A1298="",$B1298=""),"",IF(Z1298=0,"",IF(AND(AE1298=1,N($R1298)&gt;AD1298*1.01+0.001),"Net terrestrial &gt; gross; ","")&amp;IF(AND(AE1298=1,N($S1298)&gt;AC1298*1.01+0.001),"Net marine &gt; gross; ","")&amp;IF(AE1298=0,"No net area – gross used, overlaps may be double-counted; ","")&amp;IF(AH1298=0,"STATUS_YR missing – imputed in time series; ","")&amp;IF(AND(ISNUMBER($I1298),N($I1298)&gt;Setup!$B$6),"STATUS_YR after reporting year; ","")&amp;IF(OR($G1298="",$G1298="Not Reported"),"GOV_TYPE not reported; ","")&amp;IF(AND(N($J1298)=1,$K1298="Point",N($M1298)&lt;=0),"Coastal point without REP_M_AREA – land/sea split unknown; ","")&amp;IF(AND(N($J1298)=0,N($S1298)&gt;0),"MARINE=0 but net marine &gt;0; ","")&amp;IF(AND(N($J1298)=2,N($R1298)&gt;0),"MARINE=2 but net terrestrial &gt;0; ","")&amp;IF($K1298="Point","Buffered point – coverage approximate; ","")))</f>
        <v/>
      </c>
    </row>
    <row r="1299">
      <c r="A1299" s="19" t="n"/>
      <c r="B1299" s="19" t="n"/>
      <c r="C1299" s="19" t="n"/>
      <c r="D1299" s="19" t="n"/>
      <c r="E1299" s="19" t="n"/>
      <c r="F1299" s="19" t="n"/>
      <c r="G1299" s="19" t="n"/>
      <c r="H1299" s="19" t="n"/>
      <c r="I1299" s="19" t="n"/>
      <c r="J1299" s="19" t="n"/>
      <c r="K1299" s="19" t="n"/>
      <c r="L1299" s="20" t="n"/>
      <c r="M1299" s="20" t="n"/>
      <c r="N1299" s="20" t="n"/>
      <c r="O1299" s="20" t="n"/>
      <c r="P1299" s="19" t="n"/>
      <c r="Q1299" s="19" t="n"/>
      <c r="R1299" s="20" t="n"/>
      <c r="S1299" s="20" t="n"/>
      <c r="T1299" s="19" t="n"/>
      <c r="U1299" s="19" t="n"/>
      <c r="V1299" s="19" t="n"/>
      <c r="W1299" s="19" t="n"/>
      <c r="X1299" s="19" t="n"/>
      <c r="Y1299" s="19" t="n"/>
      <c r="Z1299" s="21">
        <f>IF(AND($A1299="",$B1299=""),"",IF(OR($E1299="",$H1299="",$H1299="Proposed",$H1299="Not Reported"),0,IF(AND($P1299="Y",$Q1299&lt;&gt;"Y"),0,IF(AND($K1299="Point",N($L1299)&lt;=0),0,IF(AND(N($L1299)&lt;=0,N($N1299)&lt;=0,N($R1299)+N($S1299)&lt;=0),0,1)))))</f>
        <v/>
      </c>
      <c r="AA1299" s="21">
        <f>IF(AND($A1299="",$B1299=""),"",IF($E1299="","Site type missing",IF($H1299="","STATUS missing",IF($H1299="Proposed","STATUS = Proposed",IF($H1299="Not Reported","STATUS = Not Reported",IF(AND($P1299="Y",$Q1299&lt;&gt;"Y"),"UNESCO-MAB Biosphere Reserve",IF(AND($K1299="Point",N($L1299)&lt;=0),"Point without REP_AREA",IF(AND(N($L1299)&lt;=0,N($N1299)&lt;=0,N($R1299)+N($S1299)&lt;=0),"No area information",""))))))))</f>
        <v/>
      </c>
      <c r="AB1299" s="22">
        <f>IF(AND($A1299="",$B1299=""),"",IF($K1299="Point",N($L1299),IF(N($N1299)&gt;0,N($N1299),N($L1299))))</f>
        <v/>
      </c>
      <c r="AC1299" s="22">
        <f>IF(AND($A1299="",$B1299=""),"",MIN(AB1299,IF(N($J1299)=0,0,IF(N($J1299)=2,AB1299,IF(AND($K1299&lt;&gt;"Point",N($O1299)&gt;0),N($O1299),N($M1299))))))</f>
        <v/>
      </c>
      <c r="AD1299" s="22">
        <f>IF(AND($A1299="",$B1299=""),"",MAX(0,AB1299-AC1299))</f>
        <v/>
      </c>
      <c r="AE1299" s="21">
        <f>IF(AND($A1299="",$B1299=""),"",IF(OR($R1299&lt;&gt;"",$S1299&lt;&gt;""),1,0))</f>
        <v/>
      </c>
      <c r="AF1299" s="22">
        <f>IF(AND($A1299="",$B1299=""),"",IF(Z1299=1,IF(AE1299=1,N($R1299),AD1299),0))</f>
        <v/>
      </c>
      <c r="AG1299" s="22">
        <f>IF(AND($A1299="",$B1299=""),"",IF(Z1299=1,IF(AE1299=1,N($S1299),AC1299),0))</f>
        <v/>
      </c>
      <c r="AH1299" s="21">
        <f>IF(AND($A1299="",$B1299=""),"",IF(AND(ISNUMBER($I1299),N($I1299)&gt;0),$I1299,0))</f>
        <v/>
      </c>
      <c r="AI1299" s="23">
        <f>IF(AND(NOT(AND($A1299="",$B1299="")),$K1299="Point",N($L1299)&gt;0),SQRT(N($L1299)/PI()),"")</f>
        <v/>
      </c>
      <c r="AJ1299" s="21">
        <f>IF(AND($A1299="",$B1299=""),"",IFERROR(VLOOKUP($G1299,Lists!$D$4:$E$15,2,FALSE),"Not reported"))</f>
        <v/>
      </c>
      <c r="AK1299" s="21">
        <f>IF(AND($A1299="",$B1299=""),"",IF($X1299&lt;&gt;"",$X1299,IF($T1299&lt;&gt;"Y","Not assessed",IF(AND(ISNUMBER($V1299),Setup!$B$6-$V1299&gt;Setup!$B$26),"Assessment outdated",IF(NOT(ISNUMBER($W1299)),"Assessed – no score",IF($W1299&gt;=Setup!$B$24,"High",IF($W1299&gt;=Setup!$B$25,"Moderate","Low")))))))</f>
        <v/>
      </c>
      <c r="AL1299" s="21">
        <f>IF(AND($A1299="",$B1299=""),"",IF(Z1299=0,"",IF(AND(AE1299=1,N($R1299)&gt;AD1299*1.01+0.001),"Net terrestrial &gt; gross; ","")&amp;IF(AND(AE1299=1,N($S1299)&gt;AC1299*1.01+0.001),"Net marine &gt; gross; ","")&amp;IF(AE1299=0,"No net area – gross used, overlaps may be double-counted; ","")&amp;IF(AH1299=0,"STATUS_YR missing – imputed in time series; ","")&amp;IF(AND(ISNUMBER($I1299),N($I1299)&gt;Setup!$B$6),"STATUS_YR after reporting year; ","")&amp;IF(OR($G1299="",$G1299="Not Reported"),"GOV_TYPE not reported; ","")&amp;IF(AND(N($J1299)=1,$K1299="Point",N($M1299)&lt;=0),"Coastal point without REP_M_AREA – land/sea split unknown; ","")&amp;IF(AND(N($J1299)=0,N($S1299)&gt;0),"MARINE=0 but net marine &gt;0; ","")&amp;IF(AND(N($J1299)=2,N($R1299)&gt;0),"MARINE=2 but net terrestrial &gt;0; ","")&amp;IF($K1299="Point","Buffered point – coverage approximate; ","")))</f>
        <v/>
      </c>
    </row>
    <row r="1300">
      <c r="A1300" s="19" t="n"/>
      <c r="B1300" s="19" t="n"/>
      <c r="C1300" s="19" t="n"/>
      <c r="D1300" s="19" t="n"/>
      <c r="E1300" s="19" t="n"/>
      <c r="F1300" s="19" t="n"/>
      <c r="G1300" s="19" t="n"/>
      <c r="H1300" s="19" t="n"/>
      <c r="I1300" s="19" t="n"/>
      <c r="J1300" s="19" t="n"/>
      <c r="K1300" s="19" t="n"/>
      <c r="L1300" s="20" t="n"/>
      <c r="M1300" s="20" t="n"/>
      <c r="N1300" s="20" t="n"/>
      <c r="O1300" s="20" t="n"/>
      <c r="P1300" s="19" t="n"/>
      <c r="Q1300" s="19" t="n"/>
      <c r="R1300" s="20" t="n"/>
      <c r="S1300" s="20" t="n"/>
      <c r="T1300" s="19" t="n"/>
      <c r="U1300" s="19" t="n"/>
      <c r="V1300" s="19" t="n"/>
      <c r="W1300" s="19" t="n"/>
      <c r="X1300" s="19" t="n"/>
      <c r="Y1300" s="19" t="n"/>
      <c r="Z1300" s="21">
        <f>IF(AND($A1300="",$B1300=""),"",IF(OR($E1300="",$H1300="",$H1300="Proposed",$H1300="Not Reported"),0,IF(AND($P1300="Y",$Q1300&lt;&gt;"Y"),0,IF(AND($K1300="Point",N($L1300)&lt;=0),0,IF(AND(N($L1300)&lt;=0,N($N1300)&lt;=0,N($R1300)+N($S1300)&lt;=0),0,1)))))</f>
        <v/>
      </c>
      <c r="AA1300" s="21">
        <f>IF(AND($A1300="",$B1300=""),"",IF($E1300="","Site type missing",IF($H1300="","STATUS missing",IF($H1300="Proposed","STATUS = Proposed",IF($H1300="Not Reported","STATUS = Not Reported",IF(AND($P1300="Y",$Q1300&lt;&gt;"Y"),"UNESCO-MAB Biosphere Reserve",IF(AND($K1300="Point",N($L1300)&lt;=0),"Point without REP_AREA",IF(AND(N($L1300)&lt;=0,N($N1300)&lt;=0,N($R1300)+N($S1300)&lt;=0),"No area information",""))))))))</f>
        <v/>
      </c>
      <c r="AB1300" s="22">
        <f>IF(AND($A1300="",$B1300=""),"",IF($K1300="Point",N($L1300),IF(N($N1300)&gt;0,N($N1300),N($L1300))))</f>
        <v/>
      </c>
      <c r="AC1300" s="22">
        <f>IF(AND($A1300="",$B1300=""),"",MIN(AB1300,IF(N($J1300)=0,0,IF(N($J1300)=2,AB1300,IF(AND($K1300&lt;&gt;"Point",N($O1300)&gt;0),N($O1300),N($M1300))))))</f>
        <v/>
      </c>
      <c r="AD1300" s="22">
        <f>IF(AND($A1300="",$B1300=""),"",MAX(0,AB1300-AC1300))</f>
        <v/>
      </c>
      <c r="AE1300" s="21">
        <f>IF(AND($A1300="",$B1300=""),"",IF(OR($R1300&lt;&gt;"",$S1300&lt;&gt;""),1,0))</f>
        <v/>
      </c>
      <c r="AF1300" s="22">
        <f>IF(AND($A1300="",$B1300=""),"",IF(Z1300=1,IF(AE1300=1,N($R1300),AD1300),0))</f>
        <v/>
      </c>
      <c r="AG1300" s="22">
        <f>IF(AND($A1300="",$B1300=""),"",IF(Z1300=1,IF(AE1300=1,N($S1300),AC1300),0))</f>
        <v/>
      </c>
      <c r="AH1300" s="21">
        <f>IF(AND($A1300="",$B1300=""),"",IF(AND(ISNUMBER($I1300),N($I1300)&gt;0),$I1300,0))</f>
        <v/>
      </c>
      <c r="AI1300" s="23">
        <f>IF(AND(NOT(AND($A1300="",$B1300="")),$K1300="Point",N($L1300)&gt;0),SQRT(N($L1300)/PI()),"")</f>
        <v/>
      </c>
      <c r="AJ1300" s="21">
        <f>IF(AND($A1300="",$B1300=""),"",IFERROR(VLOOKUP($G1300,Lists!$D$4:$E$15,2,FALSE),"Not reported"))</f>
        <v/>
      </c>
      <c r="AK1300" s="21">
        <f>IF(AND($A1300="",$B1300=""),"",IF($X1300&lt;&gt;"",$X1300,IF($T1300&lt;&gt;"Y","Not assessed",IF(AND(ISNUMBER($V1300),Setup!$B$6-$V1300&gt;Setup!$B$26),"Assessment outdated",IF(NOT(ISNUMBER($W1300)),"Assessed – no score",IF($W1300&gt;=Setup!$B$24,"High",IF($W1300&gt;=Setup!$B$25,"Moderate","Low")))))))</f>
        <v/>
      </c>
      <c r="AL1300" s="21">
        <f>IF(AND($A1300="",$B1300=""),"",IF(Z1300=0,"",IF(AND(AE1300=1,N($R1300)&gt;AD1300*1.01+0.001),"Net terrestrial &gt; gross; ","")&amp;IF(AND(AE1300=1,N($S1300)&gt;AC1300*1.01+0.001),"Net marine &gt; gross; ","")&amp;IF(AE1300=0,"No net area – gross used, overlaps may be double-counted; ","")&amp;IF(AH1300=0,"STATUS_YR missing – imputed in time series; ","")&amp;IF(AND(ISNUMBER($I1300),N($I1300)&gt;Setup!$B$6),"STATUS_YR after reporting year; ","")&amp;IF(OR($G1300="",$G1300="Not Reported"),"GOV_TYPE not reported; ","")&amp;IF(AND(N($J1300)=1,$K1300="Point",N($M1300)&lt;=0),"Coastal point without REP_M_AREA – land/sea split unknown; ","")&amp;IF(AND(N($J1300)=0,N($S1300)&gt;0),"MARINE=0 but net marine &gt;0; ","")&amp;IF(AND(N($J1300)=2,N($R1300)&gt;0),"MARINE=2 but net terrestrial &gt;0; ","")&amp;IF($K1300="Point","Buffered point – coverage approximate; ","")))</f>
        <v/>
      </c>
    </row>
    <row r="1301">
      <c r="A1301" s="19" t="n"/>
      <c r="B1301" s="19" t="n"/>
      <c r="C1301" s="19" t="n"/>
      <c r="D1301" s="19" t="n"/>
      <c r="E1301" s="19" t="n"/>
      <c r="F1301" s="19" t="n"/>
      <c r="G1301" s="19" t="n"/>
      <c r="H1301" s="19" t="n"/>
      <c r="I1301" s="19" t="n"/>
      <c r="J1301" s="19" t="n"/>
      <c r="K1301" s="19" t="n"/>
      <c r="L1301" s="20" t="n"/>
      <c r="M1301" s="20" t="n"/>
      <c r="N1301" s="20" t="n"/>
      <c r="O1301" s="20" t="n"/>
      <c r="P1301" s="19" t="n"/>
      <c r="Q1301" s="19" t="n"/>
      <c r="R1301" s="20" t="n"/>
      <c r="S1301" s="20" t="n"/>
      <c r="T1301" s="19" t="n"/>
      <c r="U1301" s="19" t="n"/>
      <c r="V1301" s="19" t="n"/>
      <c r="W1301" s="19" t="n"/>
      <c r="X1301" s="19" t="n"/>
      <c r="Y1301" s="19" t="n"/>
      <c r="Z1301" s="21">
        <f>IF(AND($A1301="",$B1301=""),"",IF(OR($E1301="",$H1301="",$H1301="Proposed",$H1301="Not Reported"),0,IF(AND($P1301="Y",$Q1301&lt;&gt;"Y"),0,IF(AND($K1301="Point",N($L1301)&lt;=0),0,IF(AND(N($L1301)&lt;=0,N($N1301)&lt;=0,N($R1301)+N($S1301)&lt;=0),0,1)))))</f>
        <v/>
      </c>
      <c r="AA1301" s="21">
        <f>IF(AND($A1301="",$B1301=""),"",IF($E1301="","Site type missing",IF($H1301="","STATUS missing",IF($H1301="Proposed","STATUS = Proposed",IF($H1301="Not Reported","STATUS = Not Reported",IF(AND($P1301="Y",$Q1301&lt;&gt;"Y"),"UNESCO-MAB Biosphere Reserve",IF(AND($K1301="Point",N($L1301)&lt;=0),"Point without REP_AREA",IF(AND(N($L1301)&lt;=0,N($N1301)&lt;=0,N($R1301)+N($S1301)&lt;=0),"No area information",""))))))))</f>
        <v/>
      </c>
      <c r="AB1301" s="22">
        <f>IF(AND($A1301="",$B1301=""),"",IF($K1301="Point",N($L1301),IF(N($N1301)&gt;0,N($N1301),N($L1301))))</f>
        <v/>
      </c>
      <c r="AC1301" s="22">
        <f>IF(AND($A1301="",$B1301=""),"",MIN(AB1301,IF(N($J1301)=0,0,IF(N($J1301)=2,AB1301,IF(AND($K1301&lt;&gt;"Point",N($O1301)&gt;0),N($O1301),N($M1301))))))</f>
        <v/>
      </c>
      <c r="AD1301" s="22">
        <f>IF(AND($A1301="",$B1301=""),"",MAX(0,AB1301-AC1301))</f>
        <v/>
      </c>
      <c r="AE1301" s="21">
        <f>IF(AND($A1301="",$B1301=""),"",IF(OR($R1301&lt;&gt;"",$S1301&lt;&gt;""),1,0))</f>
        <v/>
      </c>
      <c r="AF1301" s="22">
        <f>IF(AND($A1301="",$B1301=""),"",IF(Z1301=1,IF(AE1301=1,N($R1301),AD1301),0))</f>
        <v/>
      </c>
      <c r="AG1301" s="22">
        <f>IF(AND($A1301="",$B1301=""),"",IF(Z1301=1,IF(AE1301=1,N($S1301),AC1301),0))</f>
        <v/>
      </c>
      <c r="AH1301" s="21">
        <f>IF(AND($A1301="",$B1301=""),"",IF(AND(ISNUMBER($I1301),N($I1301)&gt;0),$I1301,0))</f>
        <v/>
      </c>
      <c r="AI1301" s="23">
        <f>IF(AND(NOT(AND($A1301="",$B1301="")),$K1301="Point",N($L1301)&gt;0),SQRT(N($L1301)/PI()),"")</f>
        <v/>
      </c>
      <c r="AJ1301" s="21">
        <f>IF(AND($A1301="",$B1301=""),"",IFERROR(VLOOKUP($G1301,Lists!$D$4:$E$15,2,FALSE),"Not reported"))</f>
        <v/>
      </c>
      <c r="AK1301" s="21">
        <f>IF(AND($A1301="",$B1301=""),"",IF($X1301&lt;&gt;"",$X1301,IF($T1301&lt;&gt;"Y","Not assessed",IF(AND(ISNUMBER($V1301),Setup!$B$6-$V1301&gt;Setup!$B$26),"Assessment outdated",IF(NOT(ISNUMBER($W1301)),"Assessed – no score",IF($W1301&gt;=Setup!$B$24,"High",IF($W1301&gt;=Setup!$B$25,"Moderate","Low")))))))</f>
        <v/>
      </c>
      <c r="AL1301" s="21">
        <f>IF(AND($A1301="",$B1301=""),"",IF(Z1301=0,"",IF(AND(AE1301=1,N($R1301)&gt;AD1301*1.01+0.001),"Net terrestrial &gt; gross; ","")&amp;IF(AND(AE1301=1,N($S1301)&gt;AC1301*1.01+0.001),"Net marine &gt; gross; ","")&amp;IF(AE1301=0,"No net area – gross used, overlaps may be double-counted; ","")&amp;IF(AH1301=0,"STATUS_YR missing – imputed in time series; ","")&amp;IF(AND(ISNUMBER($I1301),N($I1301)&gt;Setup!$B$6),"STATUS_YR after reporting year; ","")&amp;IF(OR($G1301="",$G1301="Not Reported"),"GOV_TYPE not reported; ","")&amp;IF(AND(N($J1301)=1,$K1301="Point",N($M1301)&lt;=0),"Coastal point without REP_M_AREA – land/sea split unknown; ","")&amp;IF(AND(N($J1301)=0,N($S1301)&gt;0),"MARINE=0 but net marine &gt;0; ","")&amp;IF(AND(N($J1301)=2,N($R1301)&gt;0),"MARINE=2 but net terrestrial &gt;0; ","")&amp;IF($K1301="Point","Buffered point – coverage approximate; ","")))</f>
        <v/>
      </c>
    </row>
    <row r="1302">
      <c r="A1302" s="19" t="n"/>
      <c r="B1302" s="19" t="n"/>
      <c r="C1302" s="19" t="n"/>
      <c r="D1302" s="19" t="n"/>
      <c r="E1302" s="19" t="n"/>
      <c r="F1302" s="19" t="n"/>
      <c r="G1302" s="19" t="n"/>
      <c r="H1302" s="19" t="n"/>
      <c r="I1302" s="19" t="n"/>
      <c r="J1302" s="19" t="n"/>
      <c r="K1302" s="19" t="n"/>
      <c r="L1302" s="20" t="n"/>
      <c r="M1302" s="20" t="n"/>
      <c r="N1302" s="20" t="n"/>
      <c r="O1302" s="20" t="n"/>
      <c r="P1302" s="19" t="n"/>
      <c r="Q1302" s="19" t="n"/>
      <c r="R1302" s="20" t="n"/>
      <c r="S1302" s="20" t="n"/>
      <c r="T1302" s="19" t="n"/>
      <c r="U1302" s="19" t="n"/>
      <c r="V1302" s="19" t="n"/>
      <c r="W1302" s="19" t="n"/>
      <c r="X1302" s="19" t="n"/>
      <c r="Y1302" s="19" t="n"/>
      <c r="Z1302" s="21">
        <f>IF(AND($A1302="",$B1302=""),"",IF(OR($E1302="",$H1302="",$H1302="Proposed",$H1302="Not Reported"),0,IF(AND($P1302="Y",$Q1302&lt;&gt;"Y"),0,IF(AND($K1302="Point",N($L1302)&lt;=0),0,IF(AND(N($L1302)&lt;=0,N($N1302)&lt;=0,N($R1302)+N($S1302)&lt;=0),0,1)))))</f>
        <v/>
      </c>
      <c r="AA1302" s="21">
        <f>IF(AND($A1302="",$B1302=""),"",IF($E1302="","Site type missing",IF($H1302="","STATUS missing",IF($H1302="Proposed","STATUS = Proposed",IF($H1302="Not Reported","STATUS = Not Reported",IF(AND($P1302="Y",$Q1302&lt;&gt;"Y"),"UNESCO-MAB Biosphere Reserve",IF(AND($K1302="Point",N($L1302)&lt;=0),"Point without REP_AREA",IF(AND(N($L1302)&lt;=0,N($N1302)&lt;=0,N($R1302)+N($S1302)&lt;=0),"No area information",""))))))))</f>
        <v/>
      </c>
      <c r="AB1302" s="22">
        <f>IF(AND($A1302="",$B1302=""),"",IF($K1302="Point",N($L1302),IF(N($N1302)&gt;0,N($N1302),N($L1302))))</f>
        <v/>
      </c>
      <c r="AC1302" s="22">
        <f>IF(AND($A1302="",$B1302=""),"",MIN(AB1302,IF(N($J1302)=0,0,IF(N($J1302)=2,AB1302,IF(AND($K1302&lt;&gt;"Point",N($O1302)&gt;0),N($O1302),N($M1302))))))</f>
        <v/>
      </c>
      <c r="AD1302" s="22">
        <f>IF(AND($A1302="",$B1302=""),"",MAX(0,AB1302-AC1302))</f>
        <v/>
      </c>
      <c r="AE1302" s="21">
        <f>IF(AND($A1302="",$B1302=""),"",IF(OR($R1302&lt;&gt;"",$S1302&lt;&gt;""),1,0))</f>
        <v/>
      </c>
      <c r="AF1302" s="22">
        <f>IF(AND($A1302="",$B1302=""),"",IF(Z1302=1,IF(AE1302=1,N($R1302),AD1302),0))</f>
        <v/>
      </c>
      <c r="AG1302" s="22">
        <f>IF(AND($A1302="",$B1302=""),"",IF(Z1302=1,IF(AE1302=1,N($S1302),AC1302),0))</f>
        <v/>
      </c>
      <c r="AH1302" s="21">
        <f>IF(AND($A1302="",$B1302=""),"",IF(AND(ISNUMBER($I1302),N($I1302)&gt;0),$I1302,0))</f>
        <v/>
      </c>
      <c r="AI1302" s="23">
        <f>IF(AND(NOT(AND($A1302="",$B1302="")),$K1302="Point",N($L1302)&gt;0),SQRT(N($L1302)/PI()),"")</f>
        <v/>
      </c>
      <c r="AJ1302" s="21">
        <f>IF(AND($A1302="",$B1302=""),"",IFERROR(VLOOKUP($G1302,Lists!$D$4:$E$15,2,FALSE),"Not reported"))</f>
        <v/>
      </c>
      <c r="AK1302" s="21">
        <f>IF(AND($A1302="",$B1302=""),"",IF($X1302&lt;&gt;"",$X1302,IF($T1302&lt;&gt;"Y","Not assessed",IF(AND(ISNUMBER($V1302),Setup!$B$6-$V1302&gt;Setup!$B$26),"Assessment outdated",IF(NOT(ISNUMBER($W1302)),"Assessed – no score",IF($W1302&gt;=Setup!$B$24,"High",IF($W1302&gt;=Setup!$B$25,"Moderate","Low")))))))</f>
        <v/>
      </c>
      <c r="AL1302" s="21">
        <f>IF(AND($A1302="",$B1302=""),"",IF(Z1302=0,"",IF(AND(AE1302=1,N($R1302)&gt;AD1302*1.01+0.001),"Net terrestrial &gt; gross; ","")&amp;IF(AND(AE1302=1,N($S1302)&gt;AC1302*1.01+0.001),"Net marine &gt; gross; ","")&amp;IF(AE1302=0,"No net area – gross used, overlaps may be double-counted; ","")&amp;IF(AH1302=0,"STATUS_YR missing – imputed in time series; ","")&amp;IF(AND(ISNUMBER($I1302),N($I1302)&gt;Setup!$B$6),"STATUS_YR after reporting year; ","")&amp;IF(OR($G1302="",$G1302="Not Reported"),"GOV_TYPE not reported; ","")&amp;IF(AND(N($J1302)=1,$K1302="Point",N($M1302)&lt;=0),"Coastal point without REP_M_AREA – land/sea split unknown; ","")&amp;IF(AND(N($J1302)=0,N($S1302)&gt;0),"MARINE=0 but net marine &gt;0; ","")&amp;IF(AND(N($J1302)=2,N($R1302)&gt;0),"MARINE=2 but net terrestrial &gt;0; ","")&amp;IF($K1302="Point","Buffered point – coverage approximate; ","")))</f>
        <v/>
      </c>
    </row>
    <row r="1303">
      <c r="A1303" s="19" t="n"/>
      <c r="B1303" s="19" t="n"/>
      <c r="C1303" s="19" t="n"/>
      <c r="D1303" s="19" t="n"/>
      <c r="E1303" s="19" t="n"/>
      <c r="F1303" s="19" t="n"/>
      <c r="G1303" s="19" t="n"/>
      <c r="H1303" s="19" t="n"/>
      <c r="I1303" s="19" t="n"/>
      <c r="J1303" s="19" t="n"/>
      <c r="K1303" s="19" t="n"/>
      <c r="L1303" s="20" t="n"/>
      <c r="M1303" s="20" t="n"/>
      <c r="N1303" s="20" t="n"/>
      <c r="O1303" s="20" t="n"/>
      <c r="P1303" s="19" t="n"/>
      <c r="Q1303" s="19" t="n"/>
      <c r="R1303" s="20" t="n"/>
      <c r="S1303" s="20" t="n"/>
      <c r="T1303" s="19" t="n"/>
      <c r="U1303" s="19" t="n"/>
      <c r="V1303" s="19" t="n"/>
      <c r="W1303" s="19" t="n"/>
      <c r="X1303" s="19" t="n"/>
      <c r="Y1303" s="19" t="n"/>
      <c r="Z1303" s="21">
        <f>IF(AND($A1303="",$B1303=""),"",IF(OR($E1303="",$H1303="",$H1303="Proposed",$H1303="Not Reported"),0,IF(AND($P1303="Y",$Q1303&lt;&gt;"Y"),0,IF(AND($K1303="Point",N($L1303)&lt;=0),0,IF(AND(N($L1303)&lt;=0,N($N1303)&lt;=0,N($R1303)+N($S1303)&lt;=0),0,1)))))</f>
        <v/>
      </c>
      <c r="AA1303" s="21">
        <f>IF(AND($A1303="",$B1303=""),"",IF($E1303="","Site type missing",IF($H1303="","STATUS missing",IF($H1303="Proposed","STATUS = Proposed",IF($H1303="Not Reported","STATUS = Not Reported",IF(AND($P1303="Y",$Q1303&lt;&gt;"Y"),"UNESCO-MAB Biosphere Reserve",IF(AND($K1303="Point",N($L1303)&lt;=0),"Point without REP_AREA",IF(AND(N($L1303)&lt;=0,N($N1303)&lt;=0,N($R1303)+N($S1303)&lt;=0),"No area information",""))))))))</f>
        <v/>
      </c>
      <c r="AB1303" s="22">
        <f>IF(AND($A1303="",$B1303=""),"",IF($K1303="Point",N($L1303),IF(N($N1303)&gt;0,N($N1303),N($L1303))))</f>
        <v/>
      </c>
      <c r="AC1303" s="22">
        <f>IF(AND($A1303="",$B1303=""),"",MIN(AB1303,IF(N($J1303)=0,0,IF(N($J1303)=2,AB1303,IF(AND($K1303&lt;&gt;"Point",N($O1303)&gt;0),N($O1303),N($M1303))))))</f>
        <v/>
      </c>
      <c r="AD1303" s="22">
        <f>IF(AND($A1303="",$B1303=""),"",MAX(0,AB1303-AC1303))</f>
        <v/>
      </c>
      <c r="AE1303" s="21">
        <f>IF(AND($A1303="",$B1303=""),"",IF(OR($R1303&lt;&gt;"",$S1303&lt;&gt;""),1,0))</f>
        <v/>
      </c>
      <c r="AF1303" s="22">
        <f>IF(AND($A1303="",$B1303=""),"",IF(Z1303=1,IF(AE1303=1,N($R1303),AD1303),0))</f>
        <v/>
      </c>
      <c r="AG1303" s="22">
        <f>IF(AND($A1303="",$B1303=""),"",IF(Z1303=1,IF(AE1303=1,N($S1303),AC1303),0))</f>
        <v/>
      </c>
      <c r="AH1303" s="21">
        <f>IF(AND($A1303="",$B1303=""),"",IF(AND(ISNUMBER($I1303),N($I1303)&gt;0),$I1303,0))</f>
        <v/>
      </c>
      <c r="AI1303" s="23">
        <f>IF(AND(NOT(AND($A1303="",$B1303="")),$K1303="Point",N($L1303)&gt;0),SQRT(N($L1303)/PI()),"")</f>
        <v/>
      </c>
      <c r="AJ1303" s="21">
        <f>IF(AND($A1303="",$B1303=""),"",IFERROR(VLOOKUP($G1303,Lists!$D$4:$E$15,2,FALSE),"Not reported"))</f>
        <v/>
      </c>
      <c r="AK1303" s="21">
        <f>IF(AND($A1303="",$B1303=""),"",IF($X1303&lt;&gt;"",$X1303,IF($T1303&lt;&gt;"Y","Not assessed",IF(AND(ISNUMBER($V1303),Setup!$B$6-$V1303&gt;Setup!$B$26),"Assessment outdated",IF(NOT(ISNUMBER($W1303)),"Assessed – no score",IF($W1303&gt;=Setup!$B$24,"High",IF($W1303&gt;=Setup!$B$25,"Moderate","Low")))))))</f>
        <v/>
      </c>
      <c r="AL1303" s="21">
        <f>IF(AND($A1303="",$B1303=""),"",IF(Z1303=0,"",IF(AND(AE1303=1,N($R1303)&gt;AD1303*1.01+0.001),"Net terrestrial &gt; gross; ","")&amp;IF(AND(AE1303=1,N($S1303)&gt;AC1303*1.01+0.001),"Net marine &gt; gross; ","")&amp;IF(AE1303=0,"No net area – gross used, overlaps may be double-counted; ","")&amp;IF(AH1303=0,"STATUS_YR missing – imputed in time series; ","")&amp;IF(AND(ISNUMBER($I1303),N($I1303)&gt;Setup!$B$6),"STATUS_YR after reporting year; ","")&amp;IF(OR($G1303="",$G1303="Not Reported"),"GOV_TYPE not reported; ","")&amp;IF(AND(N($J1303)=1,$K1303="Point",N($M1303)&lt;=0),"Coastal point without REP_M_AREA – land/sea split unknown; ","")&amp;IF(AND(N($J1303)=0,N($S1303)&gt;0),"MARINE=0 but net marine &gt;0; ","")&amp;IF(AND(N($J1303)=2,N($R1303)&gt;0),"MARINE=2 but net terrestrial &gt;0; ","")&amp;IF($K1303="Point","Buffered point – coverage approximate; ","")))</f>
        <v/>
      </c>
    </row>
    <row r="1304">
      <c r="A1304" s="19" t="n"/>
      <c r="B1304" s="19" t="n"/>
      <c r="C1304" s="19" t="n"/>
      <c r="D1304" s="19" t="n"/>
      <c r="E1304" s="19" t="n"/>
      <c r="F1304" s="19" t="n"/>
      <c r="G1304" s="19" t="n"/>
      <c r="H1304" s="19" t="n"/>
      <c r="I1304" s="19" t="n"/>
      <c r="J1304" s="19" t="n"/>
      <c r="K1304" s="19" t="n"/>
      <c r="L1304" s="20" t="n"/>
      <c r="M1304" s="20" t="n"/>
      <c r="N1304" s="20" t="n"/>
      <c r="O1304" s="20" t="n"/>
      <c r="P1304" s="19" t="n"/>
      <c r="Q1304" s="19" t="n"/>
      <c r="R1304" s="20" t="n"/>
      <c r="S1304" s="20" t="n"/>
      <c r="T1304" s="19" t="n"/>
      <c r="U1304" s="19" t="n"/>
      <c r="V1304" s="19" t="n"/>
      <c r="W1304" s="19" t="n"/>
      <c r="X1304" s="19" t="n"/>
      <c r="Y1304" s="19" t="n"/>
      <c r="Z1304" s="21">
        <f>IF(AND($A1304="",$B1304=""),"",IF(OR($E1304="",$H1304="",$H1304="Proposed",$H1304="Not Reported"),0,IF(AND($P1304="Y",$Q1304&lt;&gt;"Y"),0,IF(AND($K1304="Point",N($L1304)&lt;=0),0,IF(AND(N($L1304)&lt;=0,N($N1304)&lt;=0,N($R1304)+N($S1304)&lt;=0),0,1)))))</f>
        <v/>
      </c>
      <c r="AA1304" s="21">
        <f>IF(AND($A1304="",$B1304=""),"",IF($E1304="","Site type missing",IF($H1304="","STATUS missing",IF($H1304="Proposed","STATUS = Proposed",IF($H1304="Not Reported","STATUS = Not Reported",IF(AND($P1304="Y",$Q1304&lt;&gt;"Y"),"UNESCO-MAB Biosphere Reserve",IF(AND($K1304="Point",N($L1304)&lt;=0),"Point without REP_AREA",IF(AND(N($L1304)&lt;=0,N($N1304)&lt;=0,N($R1304)+N($S1304)&lt;=0),"No area information",""))))))))</f>
        <v/>
      </c>
      <c r="AB1304" s="22">
        <f>IF(AND($A1304="",$B1304=""),"",IF($K1304="Point",N($L1304),IF(N($N1304)&gt;0,N($N1304),N($L1304))))</f>
        <v/>
      </c>
      <c r="AC1304" s="22">
        <f>IF(AND($A1304="",$B1304=""),"",MIN(AB1304,IF(N($J1304)=0,0,IF(N($J1304)=2,AB1304,IF(AND($K1304&lt;&gt;"Point",N($O1304)&gt;0),N($O1304),N($M1304))))))</f>
        <v/>
      </c>
      <c r="AD1304" s="22">
        <f>IF(AND($A1304="",$B1304=""),"",MAX(0,AB1304-AC1304))</f>
        <v/>
      </c>
      <c r="AE1304" s="21">
        <f>IF(AND($A1304="",$B1304=""),"",IF(OR($R1304&lt;&gt;"",$S1304&lt;&gt;""),1,0))</f>
        <v/>
      </c>
      <c r="AF1304" s="22">
        <f>IF(AND($A1304="",$B1304=""),"",IF(Z1304=1,IF(AE1304=1,N($R1304),AD1304),0))</f>
        <v/>
      </c>
      <c r="AG1304" s="22">
        <f>IF(AND($A1304="",$B1304=""),"",IF(Z1304=1,IF(AE1304=1,N($S1304),AC1304),0))</f>
        <v/>
      </c>
      <c r="AH1304" s="21">
        <f>IF(AND($A1304="",$B1304=""),"",IF(AND(ISNUMBER($I1304),N($I1304)&gt;0),$I1304,0))</f>
        <v/>
      </c>
      <c r="AI1304" s="23">
        <f>IF(AND(NOT(AND($A1304="",$B1304="")),$K1304="Point",N($L1304)&gt;0),SQRT(N($L1304)/PI()),"")</f>
        <v/>
      </c>
      <c r="AJ1304" s="21">
        <f>IF(AND($A1304="",$B1304=""),"",IFERROR(VLOOKUP($G1304,Lists!$D$4:$E$15,2,FALSE),"Not reported"))</f>
        <v/>
      </c>
      <c r="AK1304" s="21">
        <f>IF(AND($A1304="",$B1304=""),"",IF($X1304&lt;&gt;"",$X1304,IF($T1304&lt;&gt;"Y","Not assessed",IF(AND(ISNUMBER($V1304),Setup!$B$6-$V1304&gt;Setup!$B$26),"Assessment outdated",IF(NOT(ISNUMBER($W1304)),"Assessed – no score",IF($W1304&gt;=Setup!$B$24,"High",IF($W1304&gt;=Setup!$B$25,"Moderate","Low")))))))</f>
        <v/>
      </c>
      <c r="AL1304" s="21">
        <f>IF(AND($A1304="",$B1304=""),"",IF(Z1304=0,"",IF(AND(AE1304=1,N($R1304)&gt;AD1304*1.01+0.001),"Net terrestrial &gt; gross; ","")&amp;IF(AND(AE1304=1,N($S1304)&gt;AC1304*1.01+0.001),"Net marine &gt; gross; ","")&amp;IF(AE1304=0,"No net area – gross used, overlaps may be double-counted; ","")&amp;IF(AH1304=0,"STATUS_YR missing – imputed in time series; ","")&amp;IF(AND(ISNUMBER($I1304),N($I1304)&gt;Setup!$B$6),"STATUS_YR after reporting year; ","")&amp;IF(OR($G1304="",$G1304="Not Reported"),"GOV_TYPE not reported; ","")&amp;IF(AND(N($J1304)=1,$K1304="Point",N($M1304)&lt;=0),"Coastal point without REP_M_AREA – land/sea split unknown; ","")&amp;IF(AND(N($J1304)=0,N($S1304)&gt;0),"MARINE=0 but net marine &gt;0; ","")&amp;IF(AND(N($J1304)=2,N($R1304)&gt;0),"MARINE=2 but net terrestrial &gt;0; ","")&amp;IF($K1304="Point","Buffered point – coverage approximate; ","")))</f>
        <v/>
      </c>
    </row>
    <row r="1305">
      <c r="A1305" s="19" t="n"/>
      <c r="B1305" s="19" t="n"/>
      <c r="C1305" s="19" t="n"/>
      <c r="D1305" s="19" t="n"/>
      <c r="E1305" s="19" t="n"/>
      <c r="F1305" s="19" t="n"/>
      <c r="G1305" s="19" t="n"/>
      <c r="H1305" s="19" t="n"/>
      <c r="I1305" s="19" t="n"/>
      <c r="J1305" s="19" t="n"/>
      <c r="K1305" s="19" t="n"/>
      <c r="L1305" s="20" t="n"/>
      <c r="M1305" s="20" t="n"/>
      <c r="N1305" s="20" t="n"/>
      <c r="O1305" s="20" t="n"/>
      <c r="P1305" s="19" t="n"/>
      <c r="Q1305" s="19" t="n"/>
      <c r="R1305" s="20" t="n"/>
      <c r="S1305" s="20" t="n"/>
      <c r="T1305" s="19" t="n"/>
      <c r="U1305" s="19" t="n"/>
      <c r="V1305" s="19" t="n"/>
      <c r="W1305" s="19" t="n"/>
      <c r="X1305" s="19" t="n"/>
      <c r="Y1305" s="19" t="n"/>
      <c r="Z1305" s="21">
        <f>IF(AND($A1305="",$B1305=""),"",IF(OR($E1305="",$H1305="",$H1305="Proposed",$H1305="Not Reported"),0,IF(AND($P1305="Y",$Q1305&lt;&gt;"Y"),0,IF(AND($K1305="Point",N($L1305)&lt;=0),0,IF(AND(N($L1305)&lt;=0,N($N1305)&lt;=0,N($R1305)+N($S1305)&lt;=0),0,1)))))</f>
        <v/>
      </c>
      <c r="AA1305" s="21">
        <f>IF(AND($A1305="",$B1305=""),"",IF($E1305="","Site type missing",IF($H1305="","STATUS missing",IF($H1305="Proposed","STATUS = Proposed",IF($H1305="Not Reported","STATUS = Not Reported",IF(AND($P1305="Y",$Q1305&lt;&gt;"Y"),"UNESCO-MAB Biosphere Reserve",IF(AND($K1305="Point",N($L1305)&lt;=0),"Point without REP_AREA",IF(AND(N($L1305)&lt;=0,N($N1305)&lt;=0,N($R1305)+N($S1305)&lt;=0),"No area information",""))))))))</f>
        <v/>
      </c>
      <c r="AB1305" s="22">
        <f>IF(AND($A1305="",$B1305=""),"",IF($K1305="Point",N($L1305),IF(N($N1305)&gt;0,N($N1305),N($L1305))))</f>
        <v/>
      </c>
      <c r="AC1305" s="22">
        <f>IF(AND($A1305="",$B1305=""),"",MIN(AB1305,IF(N($J1305)=0,0,IF(N($J1305)=2,AB1305,IF(AND($K1305&lt;&gt;"Point",N($O1305)&gt;0),N($O1305),N($M1305))))))</f>
        <v/>
      </c>
      <c r="AD1305" s="22">
        <f>IF(AND($A1305="",$B1305=""),"",MAX(0,AB1305-AC1305))</f>
        <v/>
      </c>
      <c r="AE1305" s="21">
        <f>IF(AND($A1305="",$B1305=""),"",IF(OR($R1305&lt;&gt;"",$S1305&lt;&gt;""),1,0))</f>
        <v/>
      </c>
      <c r="AF1305" s="22">
        <f>IF(AND($A1305="",$B1305=""),"",IF(Z1305=1,IF(AE1305=1,N($R1305),AD1305),0))</f>
        <v/>
      </c>
      <c r="AG1305" s="22">
        <f>IF(AND($A1305="",$B1305=""),"",IF(Z1305=1,IF(AE1305=1,N($S1305),AC1305),0))</f>
        <v/>
      </c>
      <c r="AH1305" s="21">
        <f>IF(AND($A1305="",$B1305=""),"",IF(AND(ISNUMBER($I1305),N($I1305)&gt;0),$I1305,0))</f>
        <v/>
      </c>
      <c r="AI1305" s="23">
        <f>IF(AND(NOT(AND($A1305="",$B1305="")),$K1305="Point",N($L1305)&gt;0),SQRT(N($L1305)/PI()),"")</f>
        <v/>
      </c>
      <c r="AJ1305" s="21">
        <f>IF(AND($A1305="",$B1305=""),"",IFERROR(VLOOKUP($G1305,Lists!$D$4:$E$15,2,FALSE),"Not reported"))</f>
        <v/>
      </c>
      <c r="AK1305" s="21">
        <f>IF(AND($A1305="",$B1305=""),"",IF($X1305&lt;&gt;"",$X1305,IF($T1305&lt;&gt;"Y","Not assessed",IF(AND(ISNUMBER($V1305),Setup!$B$6-$V1305&gt;Setup!$B$26),"Assessment outdated",IF(NOT(ISNUMBER($W1305)),"Assessed – no score",IF($W1305&gt;=Setup!$B$24,"High",IF($W1305&gt;=Setup!$B$25,"Moderate","Low")))))))</f>
        <v/>
      </c>
      <c r="AL1305" s="21">
        <f>IF(AND($A1305="",$B1305=""),"",IF(Z1305=0,"",IF(AND(AE1305=1,N($R1305)&gt;AD1305*1.01+0.001),"Net terrestrial &gt; gross; ","")&amp;IF(AND(AE1305=1,N($S1305)&gt;AC1305*1.01+0.001),"Net marine &gt; gross; ","")&amp;IF(AE1305=0,"No net area – gross used, overlaps may be double-counted; ","")&amp;IF(AH1305=0,"STATUS_YR missing – imputed in time series; ","")&amp;IF(AND(ISNUMBER($I1305),N($I1305)&gt;Setup!$B$6),"STATUS_YR after reporting year; ","")&amp;IF(OR($G1305="",$G1305="Not Reported"),"GOV_TYPE not reported; ","")&amp;IF(AND(N($J1305)=1,$K1305="Point",N($M1305)&lt;=0),"Coastal point without REP_M_AREA – land/sea split unknown; ","")&amp;IF(AND(N($J1305)=0,N($S1305)&gt;0),"MARINE=0 but net marine &gt;0; ","")&amp;IF(AND(N($J1305)=2,N($R1305)&gt;0),"MARINE=2 but net terrestrial &gt;0; ","")&amp;IF($K1305="Point","Buffered point – coverage approximate; ","")))</f>
        <v/>
      </c>
    </row>
    <row r="1306">
      <c r="A1306" s="19" t="n"/>
      <c r="B1306" s="19" t="n"/>
      <c r="C1306" s="19" t="n"/>
      <c r="D1306" s="19" t="n"/>
      <c r="E1306" s="19" t="n"/>
      <c r="F1306" s="19" t="n"/>
      <c r="G1306" s="19" t="n"/>
      <c r="H1306" s="19" t="n"/>
      <c r="I1306" s="19" t="n"/>
      <c r="J1306" s="19" t="n"/>
      <c r="K1306" s="19" t="n"/>
      <c r="L1306" s="20" t="n"/>
      <c r="M1306" s="20" t="n"/>
      <c r="N1306" s="20" t="n"/>
      <c r="O1306" s="20" t="n"/>
      <c r="P1306" s="19" t="n"/>
      <c r="Q1306" s="19" t="n"/>
      <c r="R1306" s="20" t="n"/>
      <c r="S1306" s="20" t="n"/>
      <c r="T1306" s="19" t="n"/>
      <c r="U1306" s="19" t="n"/>
      <c r="V1306" s="19" t="n"/>
      <c r="W1306" s="19" t="n"/>
      <c r="X1306" s="19" t="n"/>
      <c r="Y1306" s="19" t="n"/>
      <c r="Z1306" s="21">
        <f>IF(AND($A1306="",$B1306=""),"",IF(OR($E1306="",$H1306="",$H1306="Proposed",$H1306="Not Reported"),0,IF(AND($P1306="Y",$Q1306&lt;&gt;"Y"),0,IF(AND($K1306="Point",N($L1306)&lt;=0),0,IF(AND(N($L1306)&lt;=0,N($N1306)&lt;=0,N($R1306)+N($S1306)&lt;=0),0,1)))))</f>
        <v/>
      </c>
      <c r="AA1306" s="21">
        <f>IF(AND($A1306="",$B1306=""),"",IF($E1306="","Site type missing",IF($H1306="","STATUS missing",IF($H1306="Proposed","STATUS = Proposed",IF($H1306="Not Reported","STATUS = Not Reported",IF(AND($P1306="Y",$Q1306&lt;&gt;"Y"),"UNESCO-MAB Biosphere Reserve",IF(AND($K1306="Point",N($L1306)&lt;=0),"Point without REP_AREA",IF(AND(N($L1306)&lt;=0,N($N1306)&lt;=0,N($R1306)+N($S1306)&lt;=0),"No area information",""))))))))</f>
        <v/>
      </c>
      <c r="AB1306" s="22">
        <f>IF(AND($A1306="",$B1306=""),"",IF($K1306="Point",N($L1306),IF(N($N1306)&gt;0,N($N1306),N($L1306))))</f>
        <v/>
      </c>
      <c r="AC1306" s="22">
        <f>IF(AND($A1306="",$B1306=""),"",MIN(AB1306,IF(N($J1306)=0,0,IF(N($J1306)=2,AB1306,IF(AND($K1306&lt;&gt;"Point",N($O1306)&gt;0),N($O1306),N($M1306))))))</f>
        <v/>
      </c>
      <c r="AD1306" s="22">
        <f>IF(AND($A1306="",$B1306=""),"",MAX(0,AB1306-AC1306))</f>
        <v/>
      </c>
      <c r="AE1306" s="21">
        <f>IF(AND($A1306="",$B1306=""),"",IF(OR($R1306&lt;&gt;"",$S1306&lt;&gt;""),1,0))</f>
        <v/>
      </c>
      <c r="AF1306" s="22">
        <f>IF(AND($A1306="",$B1306=""),"",IF(Z1306=1,IF(AE1306=1,N($R1306),AD1306),0))</f>
        <v/>
      </c>
      <c r="AG1306" s="22">
        <f>IF(AND($A1306="",$B1306=""),"",IF(Z1306=1,IF(AE1306=1,N($S1306),AC1306),0))</f>
        <v/>
      </c>
      <c r="AH1306" s="21">
        <f>IF(AND($A1306="",$B1306=""),"",IF(AND(ISNUMBER($I1306),N($I1306)&gt;0),$I1306,0))</f>
        <v/>
      </c>
      <c r="AI1306" s="23">
        <f>IF(AND(NOT(AND($A1306="",$B1306="")),$K1306="Point",N($L1306)&gt;0),SQRT(N($L1306)/PI()),"")</f>
        <v/>
      </c>
      <c r="AJ1306" s="21">
        <f>IF(AND($A1306="",$B1306=""),"",IFERROR(VLOOKUP($G1306,Lists!$D$4:$E$15,2,FALSE),"Not reported"))</f>
        <v/>
      </c>
      <c r="AK1306" s="21">
        <f>IF(AND($A1306="",$B1306=""),"",IF($X1306&lt;&gt;"",$X1306,IF($T1306&lt;&gt;"Y","Not assessed",IF(AND(ISNUMBER($V1306),Setup!$B$6-$V1306&gt;Setup!$B$26),"Assessment outdated",IF(NOT(ISNUMBER($W1306)),"Assessed – no score",IF($W1306&gt;=Setup!$B$24,"High",IF($W1306&gt;=Setup!$B$25,"Moderate","Low")))))))</f>
        <v/>
      </c>
      <c r="AL1306" s="21">
        <f>IF(AND($A1306="",$B1306=""),"",IF(Z1306=0,"",IF(AND(AE1306=1,N($R1306)&gt;AD1306*1.01+0.001),"Net terrestrial &gt; gross; ","")&amp;IF(AND(AE1306=1,N($S1306)&gt;AC1306*1.01+0.001),"Net marine &gt; gross; ","")&amp;IF(AE1306=0,"No net area – gross used, overlaps may be double-counted; ","")&amp;IF(AH1306=0,"STATUS_YR missing – imputed in time series; ","")&amp;IF(AND(ISNUMBER($I1306),N($I1306)&gt;Setup!$B$6),"STATUS_YR after reporting year; ","")&amp;IF(OR($G1306="",$G1306="Not Reported"),"GOV_TYPE not reported; ","")&amp;IF(AND(N($J1306)=1,$K1306="Point",N($M1306)&lt;=0),"Coastal point without REP_M_AREA – land/sea split unknown; ","")&amp;IF(AND(N($J1306)=0,N($S1306)&gt;0),"MARINE=0 but net marine &gt;0; ","")&amp;IF(AND(N($J1306)=2,N($R1306)&gt;0),"MARINE=2 but net terrestrial &gt;0; ","")&amp;IF($K1306="Point","Buffered point – coverage approximate; ","")))</f>
        <v/>
      </c>
    </row>
    <row r="1307">
      <c r="A1307" s="19" t="n"/>
      <c r="B1307" s="19" t="n"/>
      <c r="C1307" s="19" t="n"/>
      <c r="D1307" s="19" t="n"/>
      <c r="E1307" s="19" t="n"/>
      <c r="F1307" s="19" t="n"/>
      <c r="G1307" s="19" t="n"/>
      <c r="H1307" s="19" t="n"/>
      <c r="I1307" s="19" t="n"/>
      <c r="J1307" s="19" t="n"/>
      <c r="K1307" s="19" t="n"/>
      <c r="L1307" s="20" t="n"/>
      <c r="M1307" s="20" t="n"/>
      <c r="N1307" s="20" t="n"/>
      <c r="O1307" s="20" t="n"/>
      <c r="P1307" s="19" t="n"/>
      <c r="Q1307" s="19" t="n"/>
      <c r="R1307" s="20" t="n"/>
      <c r="S1307" s="20" t="n"/>
      <c r="T1307" s="19" t="n"/>
      <c r="U1307" s="19" t="n"/>
      <c r="V1307" s="19" t="n"/>
      <c r="W1307" s="19" t="n"/>
      <c r="X1307" s="19" t="n"/>
      <c r="Y1307" s="19" t="n"/>
      <c r="Z1307" s="21">
        <f>IF(AND($A1307="",$B1307=""),"",IF(OR($E1307="",$H1307="",$H1307="Proposed",$H1307="Not Reported"),0,IF(AND($P1307="Y",$Q1307&lt;&gt;"Y"),0,IF(AND($K1307="Point",N($L1307)&lt;=0),0,IF(AND(N($L1307)&lt;=0,N($N1307)&lt;=0,N($R1307)+N($S1307)&lt;=0),0,1)))))</f>
        <v/>
      </c>
      <c r="AA1307" s="21">
        <f>IF(AND($A1307="",$B1307=""),"",IF($E1307="","Site type missing",IF($H1307="","STATUS missing",IF($H1307="Proposed","STATUS = Proposed",IF($H1307="Not Reported","STATUS = Not Reported",IF(AND($P1307="Y",$Q1307&lt;&gt;"Y"),"UNESCO-MAB Biosphere Reserve",IF(AND($K1307="Point",N($L1307)&lt;=0),"Point without REP_AREA",IF(AND(N($L1307)&lt;=0,N($N1307)&lt;=0,N($R1307)+N($S1307)&lt;=0),"No area information",""))))))))</f>
        <v/>
      </c>
      <c r="AB1307" s="22">
        <f>IF(AND($A1307="",$B1307=""),"",IF($K1307="Point",N($L1307),IF(N($N1307)&gt;0,N($N1307),N($L1307))))</f>
        <v/>
      </c>
      <c r="AC1307" s="22">
        <f>IF(AND($A1307="",$B1307=""),"",MIN(AB1307,IF(N($J1307)=0,0,IF(N($J1307)=2,AB1307,IF(AND($K1307&lt;&gt;"Point",N($O1307)&gt;0),N($O1307),N($M1307))))))</f>
        <v/>
      </c>
      <c r="AD1307" s="22">
        <f>IF(AND($A1307="",$B1307=""),"",MAX(0,AB1307-AC1307))</f>
        <v/>
      </c>
      <c r="AE1307" s="21">
        <f>IF(AND($A1307="",$B1307=""),"",IF(OR($R1307&lt;&gt;"",$S1307&lt;&gt;""),1,0))</f>
        <v/>
      </c>
      <c r="AF1307" s="22">
        <f>IF(AND($A1307="",$B1307=""),"",IF(Z1307=1,IF(AE1307=1,N($R1307),AD1307),0))</f>
        <v/>
      </c>
      <c r="AG1307" s="22">
        <f>IF(AND($A1307="",$B1307=""),"",IF(Z1307=1,IF(AE1307=1,N($S1307),AC1307),0))</f>
        <v/>
      </c>
      <c r="AH1307" s="21">
        <f>IF(AND($A1307="",$B1307=""),"",IF(AND(ISNUMBER($I1307),N($I1307)&gt;0),$I1307,0))</f>
        <v/>
      </c>
      <c r="AI1307" s="23">
        <f>IF(AND(NOT(AND($A1307="",$B1307="")),$K1307="Point",N($L1307)&gt;0),SQRT(N($L1307)/PI()),"")</f>
        <v/>
      </c>
      <c r="AJ1307" s="21">
        <f>IF(AND($A1307="",$B1307=""),"",IFERROR(VLOOKUP($G1307,Lists!$D$4:$E$15,2,FALSE),"Not reported"))</f>
        <v/>
      </c>
      <c r="AK1307" s="21">
        <f>IF(AND($A1307="",$B1307=""),"",IF($X1307&lt;&gt;"",$X1307,IF($T1307&lt;&gt;"Y","Not assessed",IF(AND(ISNUMBER($V1307),Setup!$B$6-$V1307&gt;Setup!$B$26),"Assessment outdated",IF(NOT(ISNUMBER($W1307)),"Assessed – no score",IF($W1307&gt;=Setup!$B$24,"High",IF($W1307&gt;=Setup!$B$25,"Moderate","Low")))))))</f>
        <v/>
      </c>
      <c r="AL1307" s="21">
        <f>IF(AND($A1307="",$B1307=""),"",IF(Z1307=0,"",IF(AND(AE1307=1,N($R1307)&gt;AD1307*1.01+0.001),"Net terrestrial &gt; gross; ","")&amp;IF(AND(AE1307=1,N($S1307)&gt;AC1307*1.01+0.001),"Net marine &gt; gross; ","")&amp;IF(AE1307=0,"No net area – gross used, overlaps may be double-counted; ","")&amp;IF(AH1307=0,"STATUS_YR missing – imputed in time series; ","")&amp;IF(AND(ISNUMBER($I1307),N($I1307)&gt;Setup!$B$6),"STATUS_YR after reporting year; ","")&amp;IF(OR($G1307="",$G1307="Not Reported"),"GOV_TYPE not reported; ","")&amp;IF(AND(N($J1307)=1,$K1307="Point",N($M1307)&lt;=0),"Coastal point without REP_M_AREA – land/sea split unknown; ","")&amp;IF(AND(N($J1307)=0,N($S1307)&gt;0),"MARINE=0 but net marine &gt;0; ","")&amp;IF(AND(N($J1307)=2,N($R1307)&gt;0),"MARINE=2 but net terrestrial &gt;0; ","")&amp;IF($K1307="Point","Buffered point – coverage approximate; ","")))</f>
        <v/>
      </c>
    </row>
    <row r="1308">
      <c r="A1308" s="19" t="n"/>
      <c r="B1308" s="19" t="n"/>
      <c r="C1308" s="19" t="n"/>
      <c r="D1308" s="19" t="n"/>
      <c r="E1308" s="19" t="n"/>
      <c r="F1308" s="19" t="n"/>
      <c r="G1308" s="19" t="n"/>
      <c r="H1308" s="19" t="n"/>
      <c r="I1308" s="19" t="n"/>
      <c r="J1308" s="19" t="n"/>
      <c r="K1308" s="19" t="n"/>
      <c r="L1308" s="20" t="n"/>
      <c r="M1308" s="20" t="n"/>
      <c r="N1308" s="20" t="n"/>
      <c r="O1308" s="20" t="n"/>
      <c r="P1308" s="19" t="n"/>
      <c r="Q1308" s="19" t="n"/>
      <c r="R1308" s="20" t="n"/>
      <c r="S1308" s="20" t="n"/>
      <c r="T1308" s="19" t="n"/>
      <c r="U1308" s="19" t="n"/>
      <c r="V1308" s="19" t="n"/>
      <c r="W1308" s="19" t="n"/>
      <c r="X1308" s="19" t="n"/>
      <c r="Y1308" s="19" t="n"/>
      <c r="Z1308" s="21">
        <f>IF(AND($A1308="",$B1308=""),"",IF(OR($E1308="",$H1308="",$H1308="Proposed",$H1308="Not Reported"),0,IF(AND($P1308="Y",$Q1308&lt;&gt;"Y"),0,IF(AND($K1308="Point",N($L1308)&lt;=0),0,IF(AND(N($L1308)&lt;=0,N($N1308)&lt;=0,N($R1308)+N($S1308)&lt;=0),0,1)))))</f>
        <v/>
      </c>
      <c r="AA1308" s="21">
        <f>IF(AND($A1308="",$B1308=""),"",IF($E1308="","Site type missing",IF($H1308="","STATUS missing",IF($H1308="Proposed","STATUS = Proposed",IF($H1308="Not Reported","STATUS = Not Reported",IF(AND($P1308="Y",$Q1308&lt;&gt;"Y"),"UNESCO-MAB Biosphere Reserve",IF(AND($K1308="Point",N($L1308)&lt;=0),"Point without REP_AREA",IF(AND(N($L1308)&lt;=0,N($N1308)&lt;=0,N($R1308)+N($S1308)&lt;=0),"No area information",""))))))))</f>
        <v/>
      </c>
      <c r="AB1308" s="22">
        <f>IF(AND($A1308="",$B1308=""),"",IF($K1308="Point",N($L1308),IF(N($N1308)&gt;0,N($N1308),N($L1308))))</f>
        <v/>
      </c>
      <c r="AC1308" s="22">
        <f>IF(AND($A1308="",$B1308=""),"",MIN(AB1308,IF(N($J1308)=0,0,IF(N($J1308)=2,AB1308,IF(AND($K1308&lt;&gt;"Point",N($O1308)&gt;0),N($O1308),N($M1308))))))</f>
        <v/>
      </c>
      <c r="AD1308" s="22">
        <f>IF(AND($A1308="",$B1308=""),"",MAX(0,AB1308-AC1308))</f>
        <v/>
      </c>
      <c r="AE1308" s="21">
        <f>IF(AND($A1308="",$B1308=""),"",IF(OR($R1308&lt;&gt;"",$S1308&lt;&gt;""),1,0))</f>
        <v/>
      </c>
      <c r="AF1308" s="22">
        <f>IF(AND($A1308="",$B1308=""),"",IF(Z1308=1,IF(AE1308=1,N($R1308),AD1308),0))</f>
        <v/>
      </c>
      <c r="AG1308" s="22">
        <f>IF(AND($A1308="",$B1308=""),"",IF(Z1308=1,IF(AE1308=1,N($S1308),AC1308),0))</f>
        <v/>
      </c>
      <c r="AH1308" s="21">
        <f>IF(AND($A1308="",$B1308=""),"",IF(AND(ISNUMBER($I1308),N($I1308)&gt;0),$I1308,0))</f>
        <v/>
      </c>
      <c r="AI1308" s="23">
        <f>IF(AND(NOT(AND($A1308="",$B1308="")),$K1308="Point",N($L1308)&gt;0),SQRT(N($L1308)/PI()),"")</f>
        <v/>
      </c>
      <c r="AJ1308" s="21">
        <f>IF(AND($A1308="",$B1308=""),"",IFERROR(VLOOKUP($G1308,Lists!$D$4:$E$15,2,FALSE),"Not reported"))</f>
        <v/>
      </c>
      <c r="AK1308" s="21">
        <f>IF(AND($A1308="",$B1308=""),"",IF($X1308&lt;&gt;"",$X1308,IF($T1308&lt;&gt;"Y","Not assessed",IF(AND(ISNUMBER($V1308),Setup!$B$6-$V1308&gt;Setup!$B$26),"Assessment outdated",IF(NOT(ISNUMBER($W1308)),"Assessed – no score",IF($W1308&gt;=Setup!$B$24,"High",IF($W1308&gt;=Setup!$B$25,"Moderate","Low")))))))</f>
        <v/>
      </c>
      <c r="AL1308" s="21">
        <f>IF(AND($A1308="",$B1308=""),"",IF(Z1308=0,"",IF(AND(AE1308=1,N($R1308)&gt;AD1308*1.01+0.001),"Net terrestrial &gt; gross; ","")&amp;IF(AND(AE1308=1,N($S1308)&gt;AC1308*1.01+0.001),"Net marine &gt; gross; ","")&amp;IF(AE1308=0,"No net area – gross used, overlaps may be double-counted; ","")&amp;IF(AH1308=0,"STATUS_YR missing – imputed in time series; ","")&amp;IF(AND(ISNUMBER($I1308),N($I1308)&gt;Setup!$B$6),"STATUS_YR after reporting year; ","")&amp;IF(OR($G1308="",$G1308="Not Reported"),"GOV_TYPE not reported; ","")&amp;IF(AND(N($J1308)=1,$K1308="Point",N($M1308)&lt;=0),"Coastal point without REP_M_AREA – land/sea split unknown; ","")&amp;IF(AND(N($J1308)=0,N($S1308)&gt;0),"MARINE=0 but net marine &gt;0; ","")&amp;IF(AND(N($J1308)=2,N($R1308)&gt;0),"MARINE=2 but net terrestrial &gt;0; ","")&amp;IF($K1308="Point","Buffered point – coverage approximate; ","")))</f>
        <v/>
      </c>
    </row>
    <row r="1309">
      <c r="A1309" s="19" t="n"/>
      <c r="B1309" s="19" t="n"/>
      <c r="C1309" s="19" t="n"/>
      <c r="D1309" s="19" t="n"/>
      <c r="E1309" s="19" t="n"/>
      <c r="F1309" s="19" t="n"/>
      <c r="G1309" s="19" t="n"/>
      <c r="H1309" s="19" t="n"/>
      <c r="I1309" s="19" t="n"/>
      <c r="J1309" s="19" t="n"/>
      <c r="K1309" s="19" t="n"/>
      <c r="L1309" s="20" t="n"/>
      <c r="M1309" s="20" t="n"/>
      <c r="N1309" s="20" t="n"/>
      <c r="O1309" s="20" t="n"/>
      <c r="P1309" s="19" t="n"/>
      <c r="Q1309" s="19" t="n"/>
      <c r="R1309" s="20" t="n"/>
      <c r="S1309" s="20" t="n"/>
      <c r="T1309" s="19" t="n"/>
      <c r="U1309" s="19" t="n"/>
      <c r="V1309" s="19" t="n"/>
      <c r="W1309" s="19" t="n"/>
      <c r="X1309" s="19" t="n"/>
      <c r="Y1309" s="19" t="n"/>
      <c r="Z1309" s="21">
        <f>IF(AND($A1309="",$B1309=""),"",IF(OR($E1309="",$H1309="",$H1309="Proposed",$H1309="Not Reported"),0,IF(AND($P1309="Y",$Q1309&lt;&gt;"Y"),0,IF(AND($K1309="Point",N($L1309)&lt;=0),0,IF(AND(N($L1309)&lt;=0,N($N1309)&lt;=0,N($R1309)+N($S1309)&lt;=0),0,1)))))</f>
        <v/>
      </c>
      <c r="AA1309" s="21">
        <f>IF(AND($A1309="",$B1309=""),"",IF($E1309="","Site type missing",IF($H1309="","STATUS missing",IF($H1309="Proposed","STATUS = Proposed",IF($H1309="Not Reported","STATUS = Not Reported",IF(AND($P1309="Y",$Q1309&lt;&gt;"Y"),"UNESCO-MAB Biosphere Reserve",IF(AND($K1309="Point",N($L1309)&lt;=0),"Point without REP_AREA",IF(AND(N($L1309)&lt;=0,N($N1309)&lt;=0,N($R1309)+N($S1309)&lt;=0),"No area information",""))))))))</f>
        <v/>
      </c>
      <c r="AB1309" s="22">
        <f>IF(AND($A1309="",$B1309=""),"",IF($K1309="Point",N($L1309),IF(N($N1309)&gt;0,N($N1309),N($L1309))))</f>
        <v/>
      </c>
      <c r="AC1309" s="22">
        <f>IF(AND($A1309="",$B1309=""),"",MIN(AB1309,IF(N($J1309)=0,0,IF(N($J1309)=2,AB1309,IF(AND($K1309&lt;&gt;"Point",N($O1309)&gt;0),N($O1309),N($M1309))))))</f>
        <v/>
      </c>
      <c r="AD1309" s="22">
        <f>IF(AND($A1309="",$B1309=""),"",MAX(0,AB1309-AC1309))</f>
        <v/>
      </c>
      <c r="AE1309" s="21">
        <f>IF(AND($A1309="",$B1309=""),"",IF(OR($R1309&lt;&gt;"",$S1309&lt;&gt;""),1,0))</f>
        <v/>
      </c>
      <c r="AF1309" s="22">
        <f>IF(AND($A1309="",$B1309=""),"",IF(Z1309=1,IF(AE1309=1,N($R1309),AD1309),0))</f>
        <v/>
      </c>
      <c r="AG1309" s="22">
        <f>IF(AND($A1309="",$B1309=""),"",IF(Z1309=1,IF(AE1309=1,N($S1309),AC1309),0))</f>
        <v/>
      </c>
      <c r="AH1309" s="21">
        <f>IF(AND($A1309="",$B1309=""),"",IF(AND(ISNUMBER($I1309),N($I1309)&gt;0),$I1309,0))</f>
        <v/>
      </c>
      <c r="AI1309" s="23">
        <f>IF(AND(NOT(AND($A1309="",$B1309="")),$K1309="Point",N($L1309)&gt;0),SQRT(N($L1309)/PI()),"")</f>
        <v/>
      </c>
      <c r="AJ1309" s="21">
        <f>IF(AND($A1309="",$B1309=""),"",IFERROR(VLOOKUP($G1309,Lists!$D$4:$E$15,2,FALSE),"Not reported"))</f>
        <v/>
      </c>
      <c r="AK1309" s="21">
        <f>IF(AND($A1309="",$B1309=""),"",IF($X1309&lt;&gt;"",$X1309,IF($T1309&lt;&gt;"Y","Not assessed",IF(AND(ISNUMBER($V1309),Setup!$B$6-$V1309&gt;Setup!$B$26),"Assessment outdated",IF(NOT(ISNUMBER($W1309)),"Assessed – no score",IF($W1309&gt;=Setup!$B$24,"High",IF($W1309&gt;=Setup!$B$25,"Moderate","Low")))))))</f>
        <v/>
      </c>
      <c r="AL1309" s="21">
        <f>IF(AND($A1309="",$B1309=""),"",IF(Z1309=0,"",IF(AND(AE1309=1,N($R1309)&gt;AD1309*1.01+0.001),"Net terrestrial &gt; gross; ","")&amp;IF(AND(AE1309=1,N($S1309)&gt;AC1309*1.01+0.001),"Net marine &gt; gross; ","")&amp;IF(AE1309=0,"No net area – gross used, overlaps may be double-counted; ","")&amp;IF(AH1309=0,"STATUS_YR missing – imputed in time series; ","")&amp;IF(AND(ISNUMBER($I1309),N($I1309)&gt;Setup!$B$6),"STATUS_YR after reporting year; ","")&amp;IF(OR($G1309="",$G1309="Not Reported"),"GOV_TYPE not reported; ","")&amp;IF(AND(N($J1309)=1,$K1309="Point",N($M1309)&lt;=0),"Coastal point without REP_M_AREA – land/sea split unknown; ","")&amp;IF(AND(N($J1309)=0,N($S1309)&gt;0),"MARINE=0 but net marine &gt;0; ","")&amp;IF(AND(N($J1309)=2,N($R1309)&gt;0),"MARINE=2 but net terrestrial &gt;0; ","")&amp;IF($K1309="Point","Buffered point – coverage approximate; ","")))</f>
        <v/>
      </c>
    </row>
    <row r="1310">
      <c r="A1310" s="19" t="n"/>
      <c r="B1310" s="19" t="n"/>
      <c r="C1310" s="19" t="n"/>
      <c r="D1310" s="19" t="n"/>
      <c r="E1310" s="19" t="n"/>
      <c r="F1310" s="19" t="n"/>
      <c r="G1310" s="19" t="n"/>
      <c r="H1310" s="19" t="n"/>
      <c r="I1310" s="19" t="n"/>
      <c r="J1310" s="19" t="n"/>
      <c r="K1310" s="19" t="n"/>
      <c r="L1310" s="20" t="n"/>
      <c r="M1310" s="20" t="n"/>
      <c r="N1310" s="20" t="n"/>
      <c r="O1310" s="20" t="n"/>
      <c r="P1310" s="19" t="n"/>
      <c r="Q1310" s="19" t="n"/>
      <c r="R1310" s="20" t="n"/>
      <c r="S1310" s="20" t="n"/>
      <c r="T1310" s="19" t="n"/>
      <c r="U1310" s="19" t="n"/>
      <c r="V1310" s="19" t="n"/>
      <c r="W1310" s="19" t="n"/>
      <c r="X1310" s="19" t="n"/>
      <c r="Y1310" s="19" t="n"/>
      <c r="Z1310" s="21">
        <f>IF(AND($A1310="",$B1310=""),"",IF(OR($E1310="",$H1310="",$H1310="Proposed",$H1310="Not Reported"),0,IF(AND($P1310="Y",$Q1310&lt;&gt;"Y"),0,IF(AND($K1310="Point",N($L1310)&lt;=0),0,IF(AND(N($L1310)&lt;=0,N($N1310)&lt;=0,N($R1310)+N($S1310)&lt;=0),0,1)))))</f>
        <v/>
      </c>
      <c r="AA1310" s="21">
        <f>IF(AND($A1310="",$B1310=""),"",IF($E1310="","Site type missing",IF($H1310="","STATUS missing",IF($H1310="Proposed","STATUS = Proposed",IF($H1310="Not Reported","STATUS = Not Reported",IF(AND($P1310="Y",$Q1310&lt;&gt;"Y"),"UNESCO-MAB Biosphere Reserve",IF(AND($K1310="Point",N($L1310)&lt;=0),"Point without REP_AREA",IF(AND(N($L1310)&lt;=0,N($N1310)&lt;=0,N($R1310)+N($S1310)&lt;=0),"No area information",""))))))))</f>
        <v/>
      </c>
      <c r="AB1310" s="22">
        <f>IF(AND($A1310="",$B1310=""),"",IF($K1310="Point",N($L1310),IF(N($N1310)&gt;0,N($N1310),N($L1310))))</f>
        <v/>
      </c>
      <c r="AC1310" s="22">
        <f>IF(AND($A1310="",$B1310=""),"",MIN(AB1310,IF(N($J1310)=0,0,IF(N($J1310)=2,AB1310,IF(AND($K1310&lt;&gt;"Point",N($O1310)&gt;0),N($O1310),N($M1310))))))</f>
        <v/>
      </c>
      <c r="AD1310" s="22">
        <f>IF(AND($A1310="",$B1310=""),"",MAX(0,AB1310-AC1310))</f>
        <v/>
      </c>
      <c r="AE1310" s="21">
        <f>IF(AND($A1310="",$B1310=""),"",IF(OR($R1310&lt;&gt;"",$S1310&lt;&gt;""),1,0))</f>
        <v/>
      </c>
      <c r="AF1310" s="22">
        <f>IF(AND($A1310="",$B1310=""),"",IF(Z1310=1,IF(AE1310=1,N($R1310),AD1310),0))</f>
        <v/>
      </c>
      <c r="AG1310" s="22">
        <f>IF(AND($A1310="",$B1310=""),"",IF(Z1310=1,IF(AE1310=1,N($S1310),AC1310),0))</f>
        <v/>
      </c>
      <c r="AH1310" s="21">
        <f>IF(AND($A1310="",$B1310=""),"",IF(AND(ISNUMBER($I1310),N($I1310)&gt;0),$I1310,0))</f>
        <v/>
      </c>
      <c r="AI1310" s="23">
        <f>IF(AND(NOT(AND($A1310="",$B1310="")),$K1310="Point",N($L1310)&gt;0),SQRT(N($L1310)/PI()),"")</f>
        <v/>
      </c>
      <c r="AJ1310" s="21">
        <f>IF(AND($A1310="",$B1310=""),"",IFERROR(VLOOKUP($G1310,Lists!$D$4:$E$15,2,FALSE),"Not reported"))</f>
        <v/>
      </c>
      <c r="AK1310" s="21">
        <f>IF(AND($A1310="",$B1310=""),"",IF($X1310&lt;&gt;"",$X1310,IF($T1310&lt;&gt;"Y","Not assessed",IF(AND(ISNUMBER($V1310),Setup!$B$6-$V1310&gt;Setup!$B$26),"Assessment outdated",IF(NOT(ISNUMBER($W1310)),"Assessed – no score",IF($W1310&gt;=Setup!$B$24,"High",IF($W1310&gt;=Setup!$B$25,"Moderate","Low")))))))</f>
        <v/>
      </c>
      <c r="AL1310" s="21">
        <f>IF(AND($A1310="",$B1310=""),"",IF(Z1310=0,"",IF(AND(AE1310=1,N($R1310)&gt;AD1310*1.01+0.001),"Net terrestrial &gt; gross; ","")&amp;IF(AND(AE1310=1,N($S1310)&gt;AC1310*1.01+0.001),"Net marine &gt; gross; ","")&amp;IF(AE1310=0,"No net area – gross used, overlaps may be double-counted; ","")&amp;IF(AH1310=0,"STATUS_YR missing – imputed in time series; ","")&amp;IF(AND(ISNUMBER($I1310),N($I1310)&gt;Setup!$B$6),"STATUS_YR after reporting year; ","")&amp;IF(OR($G1310="",$G1310="Not Reported"),"GOV_TYPE not reported; ","")&amp;IF(AND(N($J1310)=1,$K1310="Point",N($M1310)&lt;=0),"Coastal point without REP_M_AREA – land/sea split unknown; ","")&amp;IF(AND(N($J1310)=0,N($S1310)&gt;0),"MARINE=0 but net marine &gt;0; ","")&amp;IF(AND(N($J1310)=2,N($R1310)&gt;0),"MARINE=2 but net terrestrial &gt;0; ","")&amp;IF($K1310="Point","Buffered point – coverage approximate; ","")))</f>
        <v/>
      </c>
    </row>
    <row r="1311">
      <c r="A1311" s="19" t="n"/>
      <c r="B1311" s="19" t="n"/>
      <c r="C1311" s="19" t="n"/>
      <c r="D1311" s="19" t="n"/>
      <c r="E1311" s="19" t="n"/>
      <c r="F1311" s="19" t="n"/>
      <c r="G1311" s="19" t="n"/>
      <c r="H1311" s="19" t="n"/>
      <c r="I1311" s="19" t="n"/>
      <c r="J1311" s="19" t="n"/>
      <c r="K1311" s="19" t="n"/>
      <c r="L1311" s="20" t="n"/>
      <c r="M1311" s="20" t="n"/>
      <c r="N1311" s="20" t="n"/>
      <c r="O1311" s="20" t="n"/>
      <c r="P1311" s="19" t="n"/>
      <c r="Q1311" s="19" t="n"/>
      <c r="R1311" s="20" t="n"/>
      <c r="S1311" s="20" t="n"/>
      <c r="T1311" s="19" t="n"/>
      <c r="U1311" s="19" t="n"/>
      <c r="V1311" s="19" t="n"/>
      <c r="W1311" s="19" t="n"/>
      <c r="X1311" s="19" t="n"/>
      <c r="Y1311" s="19" t="n"/>
      <c r="Z1311" s="21">
        <f>IF(AND($A1311="",$B1311=""),"",IF(OR($E1311="",$H1311="",$H1311="Proposed",$H1311="Not Reported"),0,IF(AND($P1311="Y",$Q1311&lt;&gt;"Y"),0,IF(AND($K1311="Point",N($L1311)&lt;=0),0,IF(AND(N($L1311)&lt;=0,N($N1311)&lt;=0,N($R1311)+N($S1311)&lt;=0),0,1)))))</f>
        <v/>
      </c>
      <c r="AA1311" s="21">
        <f>IF(AND($A1311="",$B1311=""),"",IF($E1311="","Site type missing",IF($H1311="","STATUS missing",IF($H1311="Proposed","STATUS = Proposed",IF($H1311="Not Reported","STATUS = Not Reported",IF(AND($P1311="Y",$Q1311&lt;&gt;"Y"),"UNESCO-MAB Biosphere Reserve",IF(AND($K1311="Point",N($L1311)&lt;=0),"Point without REP_AREA",IF(AND(N($L1311)&lt;=0,N($N1311)&lt;=0,N($R1311)+N($S1311)&lt;=0),"No area information",""))))))))</f>
        <v/>
      </c>
      <c r="AB1311" s="22">
        <f>IF(AND($A1311="",$B1311=""),"",IF($K1311="Point",N($L1311),IF(N($N1311)&gt;0,N($N1311),N($L1311))))</f>
        <v/>
      </c>
      <c r="AC1311" s="22">
        <f>IF(AND($A1311="",$B1311=""),"",MIN(AB1311,IF(N($J1311)=0,0,IF(N($J1311)=2,AB1311,IF(AND($K1311&lt;&gt;"Point",N($O1311)&gt;0),N($O1311),N($M1311))))))</f>
        <v/>
      </c>
      <c r="AD1311" s="22">
        <f>IF(AND($A1311="",$B1311=""),"",MAX(0,AB1311-AC1311))</f>
        <v/>
      </c>
      <c r="AE1311" s="21">
        <f>IF(AND($A1311="",$B1311=""),"",IF(OR($R1311&lt;&gt;"",$S1311&lt;&gt;""),1,0))</f>
        <v/>
      </c>
      <c r="AF1311" s="22">
        <f>IF(AND($A1311="",$B1311=""),"",IF(Z1311=1,IF(AE1311=1,N($R1311),AD1311),0))</f>
        <v/>
      </c>
      <c r="AG1311" s="22">
        <f>IF(AND($A1311="",$B1311=""),"",IF(Z1311=1,IF(AE1311=1,N($S1311),AC1311),0))</f>
        <v/>
      </c>
      <c r="AH1311" s="21">
        <f>IF(AND($A1311="",$B1311=""),"",IF(AND(ISNUMBER($I1311),N($I1311)&gt;0),$I1311,0))</f>
        <v/>
      </c>
      <c r="AI1311" s="23">
        <f>IF(AND(NOT(AND($A1311="",$B1311="")),$K1311="Point",N($L1311)&gt;0),SQRT(N($L1311)/PI()),"")</f>
        <v/>
      </c>
      <c r="AJ1311" s="21">
        <f>IF(AND($A1311="",$B1311=""),"",IFERROR(VLOOKUP($G1311,Lists!$D$4:$E$15,2,FALSE),"Not reported"))</f>
        <v/>
      </c>
      <c r="AK1311" s="21">
        <f>IF(AND($A1311="",$B1311=""),"",IF($X1311&lt;&gt;"",$X1311,IF($T1311&lt;&gt;"Y","Not assessed",IF(AND(ISNUMBER($V1311),Setup!$B$6-$V1311&gt;Setup!$B$26),"Assessment outdated",IF(NOT(ISNUMBER($W1311)),"Assessed – no score",IF($W1311&gt;=Setup!$B$24,"High",IF($W1311&gt;=Setup!$B$25,"Moderate","Low")))))))</f>
        <v/>
      </c>
      <c r="AL1311" s="21">
        <f>IF(AND($A1311="",$B1311=""),"",IF(Z1311=0,"",IF(AND(AE1311=1,N($R1311)&gt;AD1311*1.01+0.001),"Net terrestrial &gt; gross; ","")&amp;IF(AND(AE1311=1,N($S1311)&gt;AC1311*1.01+0.001),"Net marine &gt; gross; ","")&amp;IF(AE1311=0,"No net area – gross used, overlaps may be double-counted; ","")&amp;IF(AH1311=0,"STATUS_YR missing – imputed in time series; ","")&amp;IF(AND(ISNUMBER($I1311),N($I1311)&gt;Setup!$B$6),"STATUS_YR after reporting year; ","")&amp;IF(OR($G1311="",$G1311="Not Reported"),"GOV_TYPE not reported; ","")&amp;IF(AND(N($J1311)=1,$K1311="Point",N($M1311)&lt;=0),"Coastal point without REP_M_AREA – land/sea split unknown; ","")&amp;IF(AND(N($J1311)=0,N($S1311)&gt;0),"MARINE=0 but net marine &gt;0; ","")&amp;IF(AND(N($J1311)=2,N($R1311)&gt;0),"MARINE=2 but net terrestrial &gt;0; ","")&amp;IF($K1311="Point","Buffered point – coverage approximate; ","")))</f>
        <v/>
      </c>
    </row>
    <row r="1312">
      <c r="A1312" s="19" t="n"/>
      <c r="B1312" s="19" t="n"/>
      <c r="C1312" s="19" t="n"/>
      <c r="D1312" s="19" t="n"/>
      <c r="E1312" s="19" t="n"/>
      <c r="F1312" s="19" t="n"/>
      <c r="G1312" s="19" t="n"/>
      <c r="H1312" s="19" t="n"/>
      <c r="I1312" s="19" t="n"/>
      <c r="J1312" s="19" t="n"/>
      <c r="K1312" s="19" t="n"/>
      <c r="L1312" s="20" t="n"/>
      <c r="M1312" s="20" t="n"/>
      <c r="N1312" s="20" t="n"/>
      <c r="O1312" s="20" t="n"/>
      <c r="P1312" s="19" t="n"/>
      <c r="Q1312" s="19" t="n"/>
      <c r="R1312" s="20" t="n"/>
      <c r="S1312" s="20" t="n"/>
      <c r="T1312" s="19" t="n"/>
      <c r="U1312" s="19" t="n"/>
      <c r="V1312" s="19" t="n"/>
      <c r="W1312" s="19" t="n"/>
      <c r="X1312" s="19" t="n"/>
      <c r="Y1312" s="19" t="n"/>
      <c r="Z1312" s="21">
        <f>IF(AND($A1312="",$B1312=""),"",IF(OR($E1312="",$H1312="",$H1312="Proposed",$H1312="Not Reported"),0,IF(AND($P1312="Y",$Q1312&lt;&gt;"Y"),0,IF(AND($K1312="Point",N($L1312)&lt;=0),0,IF(AND(N($L1312)&lt;=0,N($N1312)&lt;=0,N($R1312)+N($S1312)&lt;=0),0,1)))))</f>
        <v/>
      </c>
      <c r="AA1312" s="21">
        <f>IF(AND($A1312="",$B1312=""),"",IF($E1312="","Site type missing",IF($H1312="","STATUS missing",IF($H1312="Proposed","STATUS = Proposed",IF($H1312="Not Reported","STATUS = Not Reported",IF(AND($P1312="Y",$Q1312&lt;&gt;"Y"),"UNESCO-MAB Biosphere Reserve",IF(AND($K1312="Point",N($L1312)&lt;=0),"Point without REP_AREA",IF(AND(N($L1312)&lt;=0,N($N1312)&lt;=0,N($R1312)+N($S1312)&lt;=0),"No area information",""))))))))</f>
        <v/>
      </c>
      <c r="AB1312" s="22">
        <f>IF(AND($A1312="",$B1312=""),"",IF($K1312="Point",N($L1312),IF(N($N1312)&gt;0,N($N1312),N($L1312))))</f>
        <v/>
      </c>
      <c r="AC1312" s="22">
        <f>IF(AND($A1312="",$B1312=""),"",MIN(AB1312,IF(N($J1312)=0,0,IF(N($J1312)=2,AB1312,IF(AND($K1312&lt;&gt;"Point",N($O1312)&gt;0),N($O1312),N($M1312))))))</f>
        <v/>
      </c>
      <c r="AD1312" s="22">
        <f>IF(AND($A1312="",$B1312=""),"",MAX(0,AB1312-AC1312))</f>
        <v/>
      </c>
      <c r="AE1312" s="21">
        <f>IF(AND($A1312="",$B1312=""),"",IF(OR($R1312&lt;&gt;"",$S1312&lt;&gt;""),1,0))</f>
        <v/>
      </c>
      <c r="AF1312" s="22">
        <f>IF(AND($A1312="",$B1312=""),"",IF(Z1312=1,IF(AE1312=1,N($R1312),AD1312),0))</f>
        <v/>
      </c>
      <c r="AG1312" s="22">
        <f>IF(AND($A1312="",$B1312=""),"",IF(Z1312=1,IF(AE1312=1,N($S1312),AC1312),0))</f>
        <v/>
      </c>
      <c r="AH1312" s="21">
        <f>IF(AND($A1312="",$B1312=""),"",IF(AND(ISNUMBER($I1312),N($I1312)&gt;0),$I1312,0))</f>
        <v/>
      </c>
      <c r="AI1312" s="23">
        <f>IF(AND(NOT(AND($A1312="",$B1312="")),$K1312="Point",N($L1312)&gt;0),SQRT(N($L1312)/PI()),"")</f>
        <v/>
      </c>
      <c r="AJ1312" s="21">
        <f>IF(AND($A1312="",$B1312=""),"",IFERROR(VLOOKUP($G1312,Lists!$D$4:$E$15,2,FALSE),"Not reported"))</f>
        <v/>
      </c>
      <c r="AK1312" s="21">
        <f>IF(AND($A1312="",$B1312=""),"",IF($X1312&lt;&gt;"",$X1312,IF($T1312&lt;&gt;"Y","Not assessed",IF(AND(ISNUMBER($V1312),Setup!$B$6-$V1312&gt;Setup!$B$26),"Assessment outdated",IF(NOT(ISNUMBER($W1312)),"Assessed – no score",IF($W1312&gt;=Setup!$B$24,"High",IF($W1312&gt;=Setup!$B$25,"Moderate","Low")))))))</f>
        <v/>
      </c>
      <c r="AL1312" s="21">
        <f>IF(AND($A1312="",$B1312=""),"",IF(Z1312=0,"",IF(AND(AE1312=1,N($R1312)&gt;AD1312*1.01+0.001),"Net terrestrial &gt; gross; ","")&amp;IF(AND(AE1312=1,N($S1312)&gt;AC1312*1.01+0.001),"Net marine &gt; gross; ","")&amp;IF(AE1312=0,"No net area – gross used, overlaps may be double-counted; ","")&amp;IF(AH1312=0,"STATUS_YR missing – imputed in time series; ","")&amp;IF(AND(ISNUMBER($I1312),N($I1312)&gt;Setup!$B$6),"STATUS_YR after reporting year; ","")&amp;IF(OR($G1312="",$G1312="Not Reported"),"GOV_TYPE not reported; ","")&amp;IF(AND(N($J1312)=1,$K1312="Point",N($M1312)&lt;=0),"Coastal point without REP_M_AREA – land/sea split unknown; ","")&amp;IF(AND(N($J1312)=0,N($S1312)&gt;0),"MARINE=0 but net marine &gt;0; ","")&amp;IF(AND(N($J1312)=2,N($R1312)&gt;0),"MARINE=2 but net terrestrial &gt;0; ","")&amp;IF($K1312="Point","Buffered point – coverage approximate; ","")))</f>
        <v/>
      </c>
    </row>
    <row r="1313">
      <c r="A1313" s="19" t="n"/>
      <c r="B1313" s="19" t="n"/>
      <c r="C1313" s="19" t="n"/>
      <c r="D1313" s="19" t="n"/>
      <c r="E1313" s="19" t="n"/>
      <c r="F1313" s="19" t="n"/>
      <c r="G1313" s="19" t="n"/>
      <c r="H1313" s="19" t="n"/>
      <c r="I1313" s="19" t="n"/>
      <c r="J1313" s="19" t="n"/>
      <c r="K1313" s="19" t="n"/>
      <c r="L1313" s="20" t="n"/>
      <c r="M1313" s="20" t="n"/>
      <c r="N1313" s="20" t="n"/>
      <c r="O1313" s="20" t="n"/>
      <c r="P1313" s="19" t="n"/>
      <c r="Q1313" s="19" t="n"/>
      <c r="R1313" s="20" t="n"/>
      <c r="S1313" s="20" t="n"/>
      <c r="T1313" s="19" t="n"/>
      <c r="U1313" s="19" t="n"/>
      <c r="V1313" s="19" t="n"/>
      <c r="W1313" s="19" t="n"/>
      <c r="X1313" s="19" t="n"/>
      <c r="Y1313" s="19" t="n"/>
      <c r="Z1313" s="21">
        <f>IF(AND($A1313="",$B1313=""),"",IF(OR($E1313="",$H1313="",$H1313="Proposed",$H1313="Not Reported"),0,IF(AND($P1313="Y",$Q1313&lt;&gt;"Y"),0,IF(AND($K1313="Point",N($L1313)&lt;=0),0,IF(AND(N($L1313)&lt;=0,N($N1313)&lt;=0,N($R1313)+N($S1313)&lt;=0),0,1)))))</f>
        <v/>
      </c>
      <c r="AA1313" s="21">
        <f>IF(AND($A1313="",$B1313=""),"",IF($E1313="","Site type missing",IF($H1313="","STATUS missing",IF($H1313="Proposed","STATUS = Proposed",IF($H1313="Not Reported","STATUS = Not Reported",IF(AND($P1313="Y",$Q1313&lt;&gt;"Y"),"UNESCO-MAB Biosphere Reserve",IF(AND($K1313="Point",N($L1313)&lt;=0),"Point without REP_AREA",IF(AND(N($L1313)&lt;=0,N($N1313)&lt;=0,N($R1313)+N($S1313)&lt;=0),"No area information",""))))))))</f>
        <v/>
      </c>
      <c r="AB1313" s="22">
        <f>IF(AND($A1313="",$B1313=""),"",IF($K1313="Point",N($L1313),IF(N($N1313)&gt;0,N($N1313),N($L1313))))</f>
        <v/>
      </c>
      <c r="AC1313" s="22">
        <f>IF(AND($A1313="",$B1313=""),"",MIN(AB1313,IF(N($J1313)=0,0,IF(N($J1313)=2,AB1313,IF(AND($K1313&lt;&gt;"Point",N($O1313)&gt;0),N($O1313),N($M1313))))))</f>
        <v/>
      </c>
      <c r="AD1313" s="22">
        <f>IF(AND($A1313="",$B1313=""),"",MAX(0,AB1313-AC1313))</f>
        <v/>
      </c>
      <c r="AE1313" s="21">
        <f>IF(AND($A1313="",$B1313=""),"",IF(OR($R1313&lt;&gt;"",$S1313&lt;&gt;""),1,0))</f>
        <v/>
      </c>
      <c r="AF1313" s="22">
        <f>IF(AND($A1313="",$B1313=""),"",IF(Z1313=1,IF(AE1313=1,N($R1313),AD1313),0))</f>
        <v/>
      </c>
      <c r="AG1313" s="22">
        <f>IF(AND($A1313="",$B1313=""),"",IF(Z1313=1,IF(AE1313=1,N($S1313),AC1313),0))</f>
        <v/>
      </c>
      <c r="AH1313" s="21">
        <f>IF(AND($A1313="",$B1313=""),"",IF(AND(ISNUMBER($I1313),N($I1313)&gt;0),$I1313,0))</f>
        <v/>
      </c>
      <c r="AI1313" s="23">
        <f>IF(AND(NOT(AND($A1313="",$B1313="")),$K1313="Point",N($L1313)&gt;0),SQRT(N($L1313)/PI()),"")</f>
        <v/>
      </c>
      <c r="AJ1313" s="21">
        <f>IF(AND($A1313="",$B1313=""),"",IFERROR(VLOOKUP($G1313,Lists!$D$4:$E$15,2,FALSE),"Not reported"))</f>
        <v/>
      </c>
      <c r="AK1313" s="21">
        <f>IF(AND($A1313="",$B1313=""),"",IF($X1313&lt;&gt;"",$X1313,IF($T1313&lt;&gt;"Y","Not assessed",IF(AND(ISNUMBER($V1313),Setup!$B$6-$V1313&gt;Setup!$B$26),"Assessment outdated",IF(NOT(ISNUMBER($W1313)),"Assessed – no score",IF($W1313&gt;=Setup!$B$24,"High",IF($W1313&gt;=Setup!$B$25,"Moderate","Low")))))))</f>
        <v/>
      </c>
      <c r="AL1313" s="21">
        <f>IF(AND($A1313="",$B1313=""),"",IF(Z1313=0,"",IF(AND(AE1313=1,N($R1313)&gt;AD1313*1.01+0.001),"Net terrestrial &gt; gross; ","")&amp;IF(AND(AE1313=1,N($S1313)&gt;AC1313*1.01+0.001),"Net marine &gt; gross; ","")&amp;IF(AE1313=0,"No net area – gross used, overlaps may be double-counted; ","")&amp;IF(AH1313=0,"STATUS_YR missing – imputed in time series; ","")&amp;IF(AND(ISNUMBER($I1313),N($I1313)&gt;Setup!$B$6),"STATUS_YR after reporting year; ","")&amp;IF(OR($G1313="",$G1313="Not Reported"),"GOV_TYPE not reported; ","")&amp;IF(AND(N($J1313)=1,$K1313="Point",N($M1313)&lt;=0),"Coastal point without REP_M_AREA – land/sea split unknown; ","")&amp;IF(AND(N($J1313)=0,N($S1313)&gt;0),"MARINE=0 but net marine &gt;0; ","")&amp;IF(AND(N($J1313)=2,N($R1313)&gt;0),"MARINE=2 but net terrestrial &gt;0; ","")&amp;IF($K1313="Point","Buffered point – coverage approximate; ","")))</f>
        <v/>
      </c>
    </row>
    <row r="1314">
      <c r="A1314" s="19" t="n"/>
      <c r="B1314" s="19" t="n"/>
      <c r="C1314" s="19" t="n"/>
      <c r="D1314" s="19" t="n"/>
      <c r="E1314" s="19" t="n"/>
      <c r="F1314" s="19" t="n"/>
      <c r="G1314" s="19" t="n"/>
      <c r="H1314" s="19" t="n"/>
      <c r="I1314" s="19" t="n"/>
      <c r="J1314" s="19" t="n"/>
      <c r="K1314" s="19" t="n"/>
      <c r="L1314" s="20" t="n"/>
      <c r="M1314" s="20" t="n"/>
      <c r="N1314" s="20" t="n"/>
      <c r="O1314" s="20" t="n"/>
      <c r="P1314" s="19" t="n"/>
      <c r="Q1314" s="19" t="n"/>
      <c r="R1314" s="20" t="n"/>
      <c r="S1314" s="20" t="n"/>
      <c r="T1314" s="19" t="n"/>
      <c r="U1314" s="19" t="n"/>
      <c r="V1314" s="19" t="n"/>
      <c r="W1314" s="19" t="n"/>
      <c r="X1314" s="19" t="n"/>
      <c r="Y1314" s="19" t="n"/>
      <c r="Z1314" s="21">
        <f>IF(AND($A1314="",$B1314=""),"",IF(OR($E1314="",$H1314="",$H1314="Proposed",$H1314="Not Reported"),0,IF(AND($P1314="Y",$Q1314&lt;&gt;"Y"),0,IF(AND($K1314="Point",N($L1314)&lt;=0),0,IF(AND(N($L1314)&lt;=0,N($N1314)&lt;=0,N($R1314)+N($S1314)&lt;=0),0,1)))))</f>
        <v/>
      </c>
      <c r="AA1314" s="21">
        <f>IF(AND($A1314="",$B1314=""),"",IF($E1314="","Site type missing",IF($H1314="","STATUS missing",IF($H1314="Proposed","STATUS = Proposed",IF($H1314="Not Reported","STATUS = Not Reported",IF(AND($P1314="Y",$Q1314&lt;&gt;"Y"),"UNESCO-MAB Biosphere Reserve",IF(AND($K1314="Point",N($L1314)&lt;=0),"Point without REP_AREA",IF(AND(N($L1314)&lt;=0,N($N1314)&lt;=0,N($R1314)+N($S1314)&lt;=0),"No area information",""))))))))</f>
        <v/>
      </c>
      <c r="AB1314" s="22">
        <f>IF(AND($A1314="",$B1314=""),"",IF($K1314="Point",N($L1314),IF(N($N1314)&gt;0,N($N1314),N($L1314))))</f>
        <v/>
      </c>
      <c r="AC1314" s="22">
        <f>IF(AND($A1314="",$B1314=""),"",MIN(AB1314,IF(N($J1314)=0,0,IF(N($J1314)=2,AB1314,IF(AND($K1314&lt;&gt;"Point",N($O1314)&gt;0),N($O1314),N($M1314))))))</f>
        <v/>
      </c>
      <c r="AD1314" s="22">
        <f>IF(AND($A1314="",$B1314=""),"",MAX(0,AB1314-AC1314))</f>
        <v/>
      </c>
      <c r="AE1314" s="21">
        <f>IF(AND($A1314="",$B1314=""),"",IF(OR($R1314&lt;&gt;"",$S1314&lt;&gt;""),1,0))</f>
        <v/>
      </c>
      <c r="AF1314" s="22">
        <f>IF(AND($A1314="",$B1314=""),"",IF(Z1314=1,IF(AE1314=1,N($R1314),AD1314),0))</f>
        <v/>
      </c>
      <c r="AG1314" s="22">
        <f>IF(AND($A1314="",$B1314=""),"",IF(Z1314=1,IF(AE1314=1,N($S1314),AC1314),0))</f>
        <v/>
      </c>
      <c r="AH1314" s="21">
        <f>IF(AND($A1314="",$B1314=""),"",IF(AND(ISNUMBER($I1314),N($I1314)&gt;0),$I1314,0))</f>
        <v/>
      </c>
      <c r="AI1314" s="23">
        <f>IF(AND(NOT(AND($A1314="",$B1314="")),$K1314="Point",N($L1314)&gt;0),SQRT(N($L1314)/PI()),"")</f>
        <v/>
      </c>
      <c r="AJ1314" s="21">
        <f>IF(AND($A1314="",$B1314=""),"",IFERROR(VLOOKUP($G1314,Lists!$D$4:$E$15,2,FALSE),"Not reported"))</f>
        <v/>
      </c>
      <c r="AK1314" s="21">
        <f>IF(AND($A1314="",$B1314=""),"",IF($X1314&lt;&gt;"",$X1314,IF($T1314&lt;&gt;"Y","Not assessed",IF(AND(ISNUMBER($V1314),Setup!$B$6-$V1314&gt;Setup!$B$26),"Assessment outdated",IF(NOT(ISNUMBER($W1314)),"Assessed – no score",IF($W1314&gt;=Setup!$B$24,"High",IF($W1314&gt;=Setup!$B$25,"Moderate","Low")))))))</f>
        <v/>
      </c>
      <c r="AL1314" s="21">
        <f>IF(AND($A1314="",$B1314=""),"",IF(Z1314=0,"",IF(AND(AE1314=1,N($R1314)&gt;AD1314*1.01+0.001),"Net terrestrial &gt; gross; ","")&amp;IF(AND(AE1314=1,N($S1314)&gt;AC1314*1.01+0.001),"Net marine &gt; gross; ","")&amp;IF(AE1314=0,"No net area – gross used, overlaps may be double-counted; ","")&amp;IF(AH1314=0,"STATUS_YR missing – imputed in time series; ","")&amp;IF(AND(ISNUMBER($I1314),N($I1314)&gt;Setup!$B$6),"STATUS_YR after reporting year; ","")&amp;IF(OR($G1314="",$G1314="Not Reported"),"GOV_TYPE not reported; ","")&amp;IF(AND(N($J1314)=1,$K1314="Point",N($M1314)&lt;=0),"Coastal point without REP_M_AREA – land/sea split unknown; ","")&amp;IF(AND(N($J1314)=0,N($S1314)&gt;0),"MARINE=0 but net marine &gt;0; ","")&amp;IF(AND(N($J1314)=2,N($R1314)&gt;0),"MARINE=2 but net terrestrial &gt;0; ","")&amp;IF($K1314="Point","Buffered point – coverage approximate; ","")))</f>
        <v/>
      </c>
    </row>
    <row r="1315">
      <c r="A1315" s="19" t="n"/>
      <c r="B1315" s="19" t="n"/>
      <c r="C1315" s="19" t="n"/>
      <c r="D1315" s="19" t="n"/>
      <c r="E1315" s="19" t="n"/>
      <c r="F1315" s="19" t="n"/>
      <c r="G1315" s="19" t="n"/>
      <c r="H1315" s="19" t="n"/>
      <c r="I1315" s="19" t="n"/>
      <c r="J1315" s="19" t="n"/>
      <c r="K1315" s="19" t="n"/>
      <c r="L1315" s="20" t="n"/>
      <c r="M1315" s="20" t="n"/>
      <c r="N1315" s="20" t="n"/>
      <c r="O1315" s="20" t="n"/>
      <c r="P1315" s="19" t="n"/>
      <c r="Q1315" s="19" t="n"/>
      <c r="R1315" s="20" t="n"/>
      <c r="S1315" s="20" t="n"/>
      <c r="T1315" s="19" t="n"/>
      <c r="U1315" s="19" t="n"/>
      <c r="V1315" s="19" t="n"/>
      <c r="W1315" s="19" t="n"/>
      <c r="X1315" s="19" t="n"/>
      <c r="Y1315" s="19" t="n"/>
      <c r="Z1315" s="21">
        <f>IF(AND($A1315="",$B1315=""),"",IF(OR($E1315="",$H1315="",$H1315="Proposed",$H1315="Not Reported"),0,IF(AND($P1315="Y",$Q1315&lt;&gt;"Y"),0,IF(AND($K1315="Point",N($L1315)&lt;=0),0,IF(AND(N($L1315)&lt;=0,N($N1315)&lt;=0,N($R1315)+N($S1315)&lt;=0),0,1)))))</f>
        <v/>
      </c>
      <c r="AA1315" s="21">
        <f>IF(AND($A1315="",$B1315=""),"",IF($E1315="","Site type missing",IF($H1315="","STATUS missing",IF($H1315="Proposed","STATUS = Proposed",IF($H1315="Not Reported","STATUS = Not Reported",IF(AND($P1315="Y",$Q1315&lt;&gt;"Y"),"UNESCO-MAB Biosphere Reserve",IF(AND($K1315="Point",N($L1315)&lt;=0),"Point without REP_AREA",IF(AND(N($L1315)&lt;=0,N($N1315)&lt;=0,N($R1315)+N($S1315)&lt;=0),"No area information",""))))))))</f>
        <v/>
      </c>
      <c r="AB1315" s="22">
        <f>IF(AND($A1315="",$B1315=""),"",IF($K1315="Point",N($L1315),IF(N($N1315)&gt;0,N($N1315),N($L1315))))</f>
        <v/>
      </c>
      <c r="AC1315" s="22">
        <f>IF(AND($A1315="",$B1315=""),"",MIN(AB1315,IF(N($J1315)=0,0,IF(N($J1315)=2,AB1315,IF(AND($K1315&lt;&gt;"Point",N($O1315)&gt;0),N($O1315),N($M1315))))))</f>
        <v/>
      </c>
      <c r="AD1315" s="22">
        <f>IF(AND($A1315="",$B1315=""),"",MAX(0,AB1315-AC1315))</f>
        <v/>
      </c>
      <c r="AE1315" s="21">
        <f>IF(AND($A1315="",$B1315=""),"",IF(OR($R1315&lt;&gt;"",$S1315&lt;&gt;""),1,0))</f>
        <v/>
      </c>
      <c r="AF1315" s="22">
        <f>IF(AND($A1315="",$B1315=""),"",IF(Z1315=1,IF(AE1315=1,N($R1315),AD1315),0))</f>
        <v/>
      </c>
      <c r="AG1315" s="22">
        <f>IF(AND($A1315="",$B1315=""),"",IF(Z1315=1,IF(AE1315=1,N($S1315),AC1315),0))</f>
        <v/>
      </c>
      <c r="AH1315" s="21">
        <f>IF(AND($A1315="",$B1315=""),"",IF(AND(ISNUMBER($I1315),N($I1315)&gt;0),$I1315,0))</f>
        <v/>
      </c>
      <c r="AI1315" s="23">
        <f>IF(AND(NOT(AND($A1315="",$B1315="")),$K1315="Point",N($L1315)&gt;0),SQRT(N($L1315)/PI()),"")</f>
        <v/>
      </c>
      <c r="AJ1315" s="21">
        <f>IF(AND($A1315="",$B1315=""),"",IFERROR(VLOOKUP($G1315,Lists!$D$4:$E$15,2,FALSE),"Not reported"))</f>
        <v/>
      </c>
      <c r="AK1315" s="21">
        <f>IF(AND($A1315="",$B1315=""),"",IF($X1315&lt;&gt;"",$X1315,IF($T1315&lt;&gt;"Y","Not assessed",IF(AND(ISNUMBER($V1315),Setup!$B$6-$V1315&gt;Setup!$B$26),"Assessment outdated",IF(NOT(ISNUMBER($W1315)),"Assessed – no score",IF($W1315&gt;=Setup!$B$24,"High",IF($W1315&gt;=Setup!$B$25,"Moderate","Low")))))))</f>
        <v/>
      </c>
      <c r="AL1315" s="21">
        <f>IF(AND($A1315="",$B1315=""),"",IF(Z1315=0,"",IF(AND(AE1315=1,N($R1315)&gt;AD1315*1.01+0.001),"Net terrestrial &gt; gross; ","")&amp;IF(AND(AE1315=1,N($S1315)&gt;AC1315*1.01+0.001),"Net marine &gt; gross; ","")&amp;IF(AE1315=0,"No net area – gross used, overlaps may be double-counted; ","")&amp;IF(AH1315=0,"STATUS_YR missing – imputed in time series; ","")&amp;IF(AND(ISNUMBER($I1315),N($I1315)&gt;Setup!$B$6),"STATUS_YR after reporting year; ","")&amp;IF(OR($G1315="",$G1315="Not Reported"),"GOV_TYPE not reported; ","")&amp;IF(AND(N($J1315)=1,$K1315="Point",N($M1315)&lt;=0),"Coastal point without REP_M_AREA – land/sea split unknown; ","")&amp;IF(AND(N($J1315)=0,N($S1315)&gt;0),"MARINE=0 but net marine &gt;0; ","")&amp;IF(AND(N($J1315)=2,N($R1315)&gt;0),"MARINE=2 but net terrestrial &gt;0; ","")&amp;IF($K1315="Point","Buffered point – coverage approximate; ","")))</f>
        <v/>
      </c>
    </row>
    <row r="1316">
      <c r="A1316" s="19" t="n"/>
      <c r="B1316" s="19" t="n"/>
      <c r="C1316" s="19" t="n"/>
      <c r="D1316" s="19" t="n"/>
      <c r="E1316" s="19" t="n"/>
      <c r="F1316" s="19" t="n"/>
      <c r="G1316" s="19" t="n"/>
      <c r="H1316" s="19" t="n"/>
      <c r="I1316" s="19" t="n"/>
      <c r="J1316" s="19" t="n"/>
      <c r="K1316" s="19" t="n"/>
      <c r="L1316" s="20" t="n"/>
      <c r="M1316" s="20" t="n"/>
      <c r="N1316" s="20" t="n"/>
      <c r="O1316" s="20" t="n"/>
      <c r="P1316" s="19" t="n"/>
      <c r="Q1316" s="19" t="n"/>
      <c r="R1316" s="20" t="n"/>
      <c r="S1316" s="20" t="n"/>
      <c r="T1316" s="19" t="n"/>
      <c r="U1316" s="19" t="n"/>
      <c r="V1316" s="19" t="n"/>
      <c r="W1316" s="19" t="n"/>
      <c r="X1316" s="19" t="n"/>
      <c r="Y1316" s="19" t="n"/>
      <c r="Z1316" s="21">
        <f>IF(AND($A1316="",$B1316=""),"",IF(OR($E1316="",$H1316="",$H1316="Proposed",$H1316="Not Reported"),0,IF(AND($P1316="Y",$Q1316&lt;&gt;"Y"),0,IF(AND($K1316="Point",N($L1316)&lt;=0),0,IF(AND(N($L1316)&lt;=0,N($N1316)&lt;=0,N($R1316)+N($S1316)&lt;=0),0,1)))))</f>
        <v/>
      </c>
      <c r="AA1316" s="21">
        <f>IF(AND($A1316="",$B1316=""),"",IF($E1316="","Site type missing",IF($H1316="","STATUS missing",IF($H1316="Proposed","STATUS = Proposed",IF($H1316="Not Reported","STATUS = Not Reported",IF(AND($P1316="Y",$Q1316&lt;&gt;"Y"),"UNESCO-MAB Biosphere Reserve",IF(AND($K1316="Point",N($L1316)&lt;=0),"Point without REP_AREA",IF(AND(N($L1316)&lt;=0,N($N1316)&lt;=0,N($R1316)+N($S1316)&lt;=0),"No area information",""))))))))</f>
        <v/>
      </c>
      <c r="AB1316" s="22">
        <f>IF(AND($A1316="",$B1316=""),"",IF($K1316="Point",N($L1316),IF(N($N1316)&gt;0,N($N1316),N($L1316))))</f>
        <v/>
      </c>
      <c r="AC1316" s="22">
        <f>IF(AND($A1316="",$B1316=""),"",MIN(AB1316,IF(N($J1316)=0,0,IF(N($J1316)=2,AB1316,IF(AND($K1316&lt;&gt;"Point",N($O1316)&gt;0),N($O1316),N($M1316))))))</f>
        <v/>
      </c>
      <c r="AD1316" s="22">
        <f>IF(AND($A1316="",$B1316=""),"",MAX(0,AB1316-AC1316))</f>
        <v/>
      </c>
      <c r="AE1316" s="21">
        <f>IF(AND($A1316="",$B1316=""),"",IF(OR($R1316&lt;&gt;"",$S1316&lt;&gt;""),1,0))</f>
        <v/>
      </c>
      <c r="AF1316" s="22">
        <f>IF(AND($A1316="",$B1316=""),"",IF(Z1316=1,IF(AE1316=1,N($R1316),AD1316),0))</f>
        <v/>
      </c>
      <c r="AG1316" s="22">
        <f>IF(AND($A1316="",$B1316=""),"",IF(Z1316=1,IF(AE1316=1,N($S1316),AC1316),0))</f>
        <v/>
      </c>
      <c r="AH1316" s="21">
        <f>IF(AND($A1316="",$B1316=""),"",IF(AND(ISNUMBER($I1316),N($I1316)&gt;0),$I1316,0))</f>
        <v/>
      </c>
      <c r="AI1316" s="23">
        <f>IF(AND(NOT(AND($A1316="",$B1316="")),$K1316="Point",N($L1316)&gt;0),SQRT(N($L1316)/PI()),"")</f>
        <v/>
      </c>
      <c r="AJ1316" s="21">
        <f>IF(AND($A1316="",$B1316=""),"",IFERROR(VLOOKUP($G1316,Lists!$D$4:$E$15,2,FALSE),"Not reported"))</f>
        <v/>
      </c>
      <c r="AK1316" s="21">
        <f>IF(AND($A1316="",$B1316=""),"",IF($X1316&lt;&gt;"",$X1316,IF($T1316&lt;&gt;"Y","Not assessed",IF(AND(ISNUMBER($V1316),Setup!$B$6-$V1316&gt;Setup!$B$26),"Assessment outdated",IF(NOT(ISNUMBER($W1316)),"Assessed – no score",IF($W1316&gt;=Setup!$B$24,"High",IF($W1316&gt;=Setup!$B$25,"Moderate","Low")))))))</f>
        <v/>
      </c>
      <c r="AL1316" s="21">
        <f>IF(AND($A1316="",$B1316=""),"",IF(Z1316=0,"",IF(AND(AE1316=1,N($R1316)&gt;AD1316*1.01+0.001),"Net terrestrial &gt; gross; ","")&amp;IF(AND(AE1316=1,N($S1316)&gt;AC1316*1.01+0.001),"Net marine &gt; gross; ","")&amp;IF(AE1316=0,"No net area – gross used, overlaps may be double-counted; ","")&amp;IF(AH1316=0,"STATUS_YR missing – imputed in time series; ","")&amp;IF(AND(ISNUMBER($I1316),N($I1316)&gt;Setup!$B$6),"STATUS_YR after reporting year; ","")&amp;IF(OR($G1316="",$G1316="Not Reported"),"GOV_TYPE not reported; ","")&amp;IF(AND(N($J1316)=1,$K1316="Point",N($M1316)&lt;=0),"Coastal point without REP_M_AREA – land/sea split unknown; ","")&amp;IF(AND(N($J1316)=0,N($S1316)&gt;0),"MARINE=0 but net marine &gt;0; ","")&amp;IF(AND(N($J1316)=2,N($R1316)&gt;0),"MARINE=2 but net terrestrial &gt;0; ","")&amp;IF($K1316="Point","Buffered point – coverage approximate; ","")))</f>
        <v/>
      </c>
    </row>
    <row r="1317">
      <c r="A1317" s="19" t="n"/>
      <c r="B1317" s="19" t="n"/>
      <c r="C1317" s="19" t="n"/>
      <c r="D1317" s="19" t="n"/>
      <c r="E1317" s="19" t="n"/>
      <c r="F1317" s="19" t="n"/>
      <c r="G1317" s="19" t="n"/>
      <c r="H1317" s="19" t="n"/>
      <c r="I1317" s="19" t="n"/>
      <c r="J1317" s="19" t="n"/>
      <c r="K1317" s="19" t="n"/>
      <c r="L1317" s="20" t="n"/>
      <c r="M1317" s="20" t="n"/>
      <c r="N1317" s="20" t="n"/>
      <c r="O1317" s="20" t="n"/>
      <c r="P1317" s="19" t="n"/>
      <c r="Q1317" s="19" t="n"/>
      <c r="R1317" s="20" t="n"/>
      <c r="S1317" s="20" t="n"/>
      <c r="T1317" s="19" t="n"/>
      <c r="U1317" s="19" t="n"/>
      <c r="V1317" s="19" t="n"/>
      <c r="W1317" s="19" t="n"/>
      <c r="X1317" s="19" t="n"/>
      <c r="Y1317" s="19" t="n"/>
      <c r="Z1317" s="21">
        <f>IF(AND($A1317="",$B1317=""),"",IF(OR($E1317="",$H1317="",$H1317="Proposed",$H1317="Not Reported"),0,IF(AND($P1317="Y",$Q1317&lt;&gt;"Y"),0,IF(AND($K1317="Point",N($L1317)&lt;=0),0,IF(AND(N($L1317)&lt;=0,N($N1317)&lt;=0,N($R1317)+N($S1317)&lt;=0),0,1)))))</f>
        <v/>
      </c>
      <c r="AA1317" s="21">
        <f>IF(AND($A1317="",$B1317=""),"",IF($E1317="","Site type missing",IF($H1317="","STATUS missing",IF($H1317="Proposed","STATUS = Proposed",IF($H1317="Not Reported","STATUS = Not Reported",IF(AND($P1317="Y",$Q1317&lt;&gt;"Y"),"UNESCO-MAB Biosphere Reserve",IF(AND($K1317="Point",N($L1317)&lt;=0),"Point without REP_AREA",IF(AND(N($L1317)&lt;=0,N($N1317)&lt;=0,N($R1317)+N($S1317)&lt;=0),"No area information",""))))))))</f>
        <v/>
      </c>
      <c r="AB1317" s="22">
        <f>IF(AND($A1317="",$B1317=""),"",IF($K1317="Point",N($L1317),IF(N($N1317)&gt;0,N($N1317),N($L1317))))</f>
        <v/>
      </c>
      <c r="AC1317" s="22">
        <f>IF(AND($A1317="",$B1317=""),"",MIN(AB1317,IF(N($J1317)=0,0,IF(N($J1317)=2,AB1317,IF(AND($K1317&lt;&gt;"Point",N($O1317)&gt;0),N($O1317),N($M1317))))))</f>
        <v/>
      </c>
      <c r="AD1317" s="22">
        <f>IF(AND($A1317="",$B1317=""),"",MAX(0,AB1317-AC1317))</f>
        <v/>
      </c>
      <c r="AE1317" s="21">
        <f>IF(AND($A1317="",$B1317=""),"",IF(OR($R1317&lt;&gt;"",$S1317&lt;&gt;""),1,0))</f>
        <v/>
      </c>
      <c r="AF1317" s="22">
        <f>IF(AND($A1317="",$B1317=""),"",IF(Z1317=1,IF(AE1317=1,N($R1317),AD1317),0))</f>
        <v/>
      </c>
      <c r="AG1317" s="22">
        <f>IF(AND($A1317="",$B1317=""),"",IF(Z1317=1,IF(AE1317=1,N($S1317),AC1317),0))</f>
        <v/>
      </c>
      <c r="AH1317" s="21">
        <f>IF(AND($A1317="",$B1317=""),"",IF(AND(ISNUMBER($I1317),N($I1317)&gt;0),$I1317,0))</f>
        <v/>
      </c>
      <c r="AI1317" s="23">
        <f>IF(AND(NOT(AND($A1317="",$B1317="")),$K1317="Point",N($L1317)&gt;0),SQRT(N($L1317)/PI()),"")</f>
        <v/>
      </c>
      <c r="AJ1317" s="21">
        <f>IF(AND($A1317="",$B1317=""),"",IFERROR(VLOOKUP($G1317,Lists!$D$4:$E$15,2,FALSE),"Not reported"))</f>
        <v/>
      </c>
      <c r="AK1317" s="21">
        <f>IF(AND($A1317="",$B1317=""),"",IF($X1317&lt;&gt;"",$X1317,IF($T1317&lt;&gt;"Y","Not assessed",IF(AND(ISNUMBER($V1317),Setup!$B$6-$V1317&gt;Setup!$B$26),"Assessment outdated",IF(NOT(ISNUMBER($W1317)),"Assessed – no score",IF($W1317&gt;=Setup!$B$24,"High",IF($W1317&gt;=Setup!$B$25,"Moderate","Low")))))))</f>
        <v/>
      </c>
      <c r="AL1317" s="21">
        <f>IF(AND($A1317="",$B1317=""),"",IF(Z1317=0,"",IF(AND(AE1317=1,N($R1317)&gt;AD1317*1.01+0.001),"Net terrestrial &gt; gross; ","")&amp;IF(AND(AE1317=1,N($S1317)&gt;AC1317*1.01+0.001),"Net marine &gt; gross; ","")&amp;IF(AE1317=0,"No net area – gross used, overlaps may be double-counted; ","")&amp;IF(AH1317=0,"STATUS_YR missing – imputed in time series; ","")&amp;IF(AND(ISNUMBER($I1317),N($I1317)&gt;Setup!$B$6),"STATUS_YR after reporting year; ","")&amp;IF(OR($G1317="",$G1317="Not Reported"),"GOV_TYPE not reported; ","")&amp;IF(AND(N($J1317)=1,$K1317="Point",N($M1317)&lt;=0),"Coastal point without REP_M_AREA – land/sea split unknown; ","")&amp;IF(AND(N($J1317)=0,N($S1317)&gt;0),"MARINE=0 but net marine &gt;0; ","")&amp;IF(AND(N($J1317)=2,N($R1317)&gt;0),"MARINE=2 but net terrestrial &gt;0; ","")&amp;IF($K1317="Point","Buffered point – coverage approximate; ","")))</f>
        <v/>
      </c>
    </row>
    <row r="1318">
      <c r="A1318" s="19" t="n"/>
      <c r="B1318" s="19" t="n"/>
      <c r="C1318" s="19" t="n"/>
      <c r="D1318" s="19" t="n"/>
      <c r="E1318" s="19" t="n"/>
      <c r="F1318" s="19" t="n"/>
      <c r="G1318" s="19" t="n"/>
      <c r="H1318" s="19" t="n"/>
      <c r="I1318" s="19" t="n"/>
      <c r="J1318" s="19" t="n"/>
      <c r="K1318" s="19" t="n"/>
      <c r="L1318" s="20" t="n"/>
      <c r="M1318" s="20" t="n"/>
      <c r="N1318" s="20" t="n"/>
      <c r="O1318" s="20" t="n"/>
      <c r="P1318" s="19" t="n"/>
      <c r="Q1318" s="19" t="n"/>
      <c r="R1318" s="20" t="n"/>
      <c r="S1318" s="20" t="n"/>
      <c r="T1318" s="19" t="n"/>
      <c r="U1318" s="19" t="n"/>
      <c r="V1318" s="19" t="n"/>
      <c r="W1318" s="19" t="n"/>
      <c r="X1318" s="19" t="n"/>
      <c r="Y1318" s="19" t="n"/>
      <c r="Z1318" s="21">
        <f>IF(AND($A1318="",$B1318=""),"",IF(OR($E1318="",$H1318="",$H1318="Proposed",$H1318="Not Reported"),0,IF(AND($P1318="Y",$Q1318&lt;&gt;"Y"),0,IF(AND($K1318="Point",N($L1318)&lt;=0),0,IF(AND(N($L1318)&lt;=0,N($N1318)&lt;=0,N($R1318)+N($S1318)&lt;=0),0,1)))))</f>
        <v/>
      </c>
      <c r="AA1318" s="21">
        <f>IF(AND($A1318="",$B1318=""),"",IF($E1318="","Site type missing",IF($H1318="","STATUS missing",IF($H1318="Proposed","STATUS = Proposed",IF($H1318="Not Reported","STATUS = Not Reported",IF(AND($P1318="Y",$Q1318&lt;&gt;"Y"),"UNESCO-MAB Biosphere Reserve",IF(AND($K1318="Point",N($L1318)&lt;=0),"Point without REP_AREA",IF(AND(N($L1318)&lt;=0,N($N1318)&lt;=0,N($R1318)+N($S1318)&lt;=0),"No area information",""))))))))</f>
        <v/>
      </c>
      <c r="AB1318" s="22">
        <f>IF(AND($A1318="",$B1318=""),"",IF($K1318="Point",N($L1318),IF(N($N1318)&gt;0,N($N1318),N($L1318))))</f>
        <v/>
      </c>
      <c r="AC1318" s="22">
        <f>IF(AND($A1318="",$B1318=""),"",MIN(AB1318,IF(N($J1318)=0,0,IF(N($J1318)=2,AB1318,IF(AND($K1318&lt;&gt;"Point",N($O1318)&gt;0),N($O1318),N($M1318))))))</f>
        <v/>
      </c>
      <c r="AD1318" s="22">
        <f>IF(AND($A1318="",$B1318=""),"",MAX(0,AB1318-AC1318))</f>
        <v/>
      </c>
      <c r="AE1318" s="21">
        <f>IF(AND($A1318="",$B1318=""),"",IF(OR($R1318&lt;&gt;"",$S1318&lt;&gt;""),1,0))</f>
        <v/>
      </c>
      <c r="AF1318" s="22">
        <f>IF(AND($A1318="",$B1318=""),"",IF(Z1318=1,IF(AE1318=1,N($R1318),AD1318),0))</f>
        <v/>
      </c>
      <c r="AG1318" s="22">
        <f>IF(AND($A1318="",$B1318=""),"",IF(Z1318=1,IF(AE1318=1,N($S1318),AC1318),0))</f>
        <v/>
      </c>
      <c r="AH1318" s="21">
        <f>IF(AND($A1318="",$B1318=""),"",IF(AND(ISNUMBER($I1318),N($I1318)&gt;0),$I1318,0))</f>
        <v/>
      </c>
      <c r="AI1318" s="23">
        <f>IF(AND(NOT(AND($A1318="",$B1318="")),$K1318="Point",N($L1318)&gt;0),SQRT(N($L1318)/PI()),"")</f>
        <v/>
      </c>
      <c r="AJ1318" s="21">
        <f>IF(AND($A1318="",$B1318=""),"",IFERROR(VLOOKUP($G1318,Lists!$D$4:$E$15,2,FALSE),"Not reported"))</f>
        <v/>
      </c>
      <c r="AK1318" s="21">
        <f>IF(AND($A1318="",$B1318=""),"",IF($X1318&lt;&gt;"",$X1318,IF($T1318&lt;&gt;"Y","Not assessed",IF(AND(ISNUMBER($V1318),Setup!$B$6-$V1318&gt;Setup!$B$26),"Assessment outdated",IF(NOT(ISNUMBER($W1318)),"Assessed – no score",IF($W1318&gt;=Setup!$B$24,"High",IF($W1318&gt;=Setup!$B$25,"Moderate","Low")))))))</f>
        <v/>
      </c>
      <c r="AL1318" s="21">
        <f>IF(AND($A1318="",$B1318=""),"",IF(Z1318=0,"",IF(AND(AE1318=1,N($R1318)&gt;AD1318*1.01+0.001),"Net terrestrial &gt; gross; ","")&amp;IF(AND(AE1318=1,N($S1318)&gt;AC1318*1.01+0.001),"Net marine &gt; gross; ","")&amp;IF(AE1318=0,"No net area – gross used, overlaps may be double-counted; ","")&amp;IF(AH1318=0,"STATUS_YR missing – imputed in time series; ","")&amp;IF(AND(ISNUMBER($I1318),N($I1318)&gt;Setup!$B$6),"STATUS_YR after reporting year; ","")&amp;IF(OR($G1318="",$G1318="Not Reported"),"GOV_TYPE not reported; ","")&amp;IF(AND(N($J1318)=1,$K1318="Point",N($M1318)&lt;=0),"Coastal point without REP_M_AREA – land/sea split unknown; ","")&amp;IF(AND(N($J1318)=0,N($S1318)&gt;0),"MARINE=0 but net marine &gt;0; ","")&amp;IF(AND(N($J1318)=2,N($R1318)&gt;0),"MARINE=2 but net terrestrial &gt;0; ","")&amp;IF($K1318="Point","Buffered point – coverage approximate; ","")))</f>
        <v/>
      </c>
    </row>
    <row r="1319">
      <c r="A1319" s="19" t="n"/>
      <c r="B1319" s="19" t="n"/>
      <c r="C1319" s="19" t="n"/>
      <c r="D1319" s="19" t="n"/>
      <c r="E1319" s="19" t="n"/>
      <c r="F1319" s="19" t="n"/>
      <c r="G1319" s="19" t="n"/>
      <c r="H1319" s="19" t="n"/>
      <c r="I1319" s="19" t="n"/>
      <c r="J1319" s="19" t="n"/>
      <c r="K1319" s="19" t="n"/>
      <c r="L1319" s="20" t="n"/>
      <c r="M1319" s="20" t="n"/>
      <c r="N1319" s="20" t="n"/>
      <c r="O1319" s="20" t="n"/>
      <c r="P1319" s="19" t="n"/>
      <c r="Q1319" s="19" t="n"/>
      <c r="R1319" s="20" t="n"/>
      <c r="S1319" s="20" t="n"/>
      <c r="T1319" s="19" t="n"/>
      <c r="U1319" s="19" t="n"/>
      <c r="V1319" s="19" t="n"/>
      <c r="W1319" s="19" t="n"/>
      <c r="X1319" s="19" t="n"/>
      <c r="Y1319" s="19" t="n"/>
      <c r="Z1319" s="21">
        <f>IF(AND($A1319="",$B1319=""),"",IF(OR($E1319="",$H1319="",$H1319="Proposed",$H1319="Not Reported"),0,IF(AND($P1319="Y",$Q1319&lt;&gt;"Y"),0,IF(AND($K1319="Point",N($L1319)&lt;=0),0,IF(AND(N($L1319)&lt;=0,N($N1319)&lt;=0,N($R1319)+N($S1319)&lt;=0),0,1)))))</f>
        <v/>
      </c>
      <c r="AA1319" s="21">
        <f>IF(AND($A1319="",$B1319=""),"",IF($E1319="","Site type missing",IF($H1319="","STATUS missing",IF($H1319="Proposed","STATUS = Proposed",IF($H1319="Not Reported","STATUS = Not Reported",IF(AND($P1319="Y",$Q1319&lt;&gt;"Y"),"UNESCO-MAB Biosphere Reserve",IF(AND($K1319="Point",N($L1319)&lt;=0),"Point without REP_AREA",IF(AND(N($L1319)&lt;=0,N($N1319)&lt;=0,N($R1319)+N($S1319)&lt;=0),"No area information",""))))))))</f>
        <v/>
      </c>
      <c r="AB1319" s="22">
        <f>IF(AND($A1319="",$B1319=""),"",IF($K1319="Point",N($L1319),IF(N($N1319)&gt;0,N($N1319),N($L1319))))</f>
        <v/>
      </c>
      <c r="AC1319" s="22">
        <f>IF(AND($A1319="",$B1319=""),"",MIN(AB1319,IF(N($J1319)=0,0,IF(N($J1319)=2,AB1319,IF(AND($K1319&lt;&gt;"Point",N($O1319)&gt;0),N($O1319),N($M1319))))))</f>
        <v/>
      </c>
      <c r="AD1319" s="22">
        <f>IF(AND($A1319="",$B1319=""),"",MAX(0,AB1319-AC1319))</f>
        <v/>
      </c>
      <c r="AE1319" s="21">
        <f>IF(AND($A1319="",$B1319=""),"",IF(OR($R1319&lt;&gt;"",$S1319&lt;&gt;""),1,0))</f>
        <v/>
      </c>
      <c r="AF1319" s="22">
        <f>IF(AND($A1319="",$B1319=""),"",IF(Z1319=1,IF(AE1319=1,N($R1319),AD1319),0))</f>
        <v/>
      </c>
      <c r="AG1319" s="22">
        <f>IF(AND($A1319="",$B1319=""),"",IF(Z1319=1,IF(AE1319=1,N($S1319),AC1319),0))</f>
        <v/>
      </c>
      <c r="AH1319" s="21">
        <f>IF(AND($A1319="",$B1319=""),"",IF(AND(ISNUMBER($I1319),N($I1319)&gt;0),$I1319,0))</f>
        <v/>
      </c>
      <c r="AI1319" s="23">
        <f>IF(AND(NOT(AND($A1319="",$B1319="")),$K1319="Point",N($L1319)&gt;0),SQRT(N($L1319)/PI()),"")</f>
        <v/>
      </c>
      <c r="AJ1319" s="21">
        <f>IF(AND($A1319="",$B1319=""),"",IFERROR(VLOOKUP($G1319,Lists!$D$4:$E$15,2,FALSE),"Not reported"))</f>
        <v/>
      </c>
      <c r="AK1319" s="21">
        <f>IF(AND($A1319="",$B1319=""),"",IF($X1319&lt;&gt;"",$X1319,IF($T1319&lt;&gt;"Y","Not assessed",IF(AND(ISNUMBER($V1319),Setup!$B$6-$V1319&gt;Setup!$B$26),"Assessment outdated",IF(NOT(ISNUMBER($W1319)),"Assessed – no score",IF($W1319&gt;=Setup!$B$24,"High",IF($W1319&gt;=Setup!$B$25,"Moderate","Low")))))))</f>
        <v/>
      </c>
      <c r="AL1319" s="21">
        <f>IF(AND($A1319="",$B1319=""),"",IF(Z1319=0,"",IF(AND(AE1319=1,N($R1319)&gt;AD1319*1.01+0.001),"Net terrestrial &gt; gross; ","")&amp;IF(AND(AE1319=1,N($S1319)&gt;AC1319*1.01+0.001),"Net marine &gt; gross; ","")&amp;IF(AE1319=0,"No net area – gross used, overlaps may be double-counted; ","")&amp;IF(AH1319=0,"STATUS_YR missing – imputed in time series; ","")&amp;IF(AND(ISNUMBER($I1319),N($I1319)&gt;Setup!$B$6),"STATUS_YR after reporting year; ","")&amp;IF(OR($G1319="",$G1319="Not Reported"),"GOV_TYPE not reported; ","")&amp;IF(AND(N($J1319)=1,$K1319="Point",N($M1319)&lt;=0),"Coastal point without REP_M_AREA – land/sea split unknown; ","")&amp;IF(AND(N($J1319)=0,N($S1319)&gt;0),"MARINE=0 but net marine &gt;0; ","")&amp;IF(AND(N($J1319)=2,N($R1319)&gt;0),"MARINE=2 but net terrestrial &gt;0; ","")&amp;IF($K1319="Point","Buffered point – coverage approximate; ","")))</f>
        <v/>
      </c>
    </row>
    <row r="1320">
      <c r="A1320" s="19" t="n"/>
      <c r="B1320" s="19" t="n"/>
      <c r="C1320" s="19" t="n"/>
      <c r="D1320" s="19" t="n"/>
      <c r="E1320" s="19" t="n"/>
      <c r="F1320" s="19" t="n"/>
      <c r="G1320" s="19" t="n"/>
      <c r="H1320" s="19" t="n"/>
      <c r="I1320" s="19" t="n"/>
      <c r="J1320" s="19" t="n"/>
      <c r="K1320" s="19" t="n"/>
      <c r="L1320" s="20" t="n"/>
      <c r="M1320" s="20" t="n"/>
      <c r="N1320" s="20" t="n"/>
      <c r="O1320" s="20" t="n"/>
      <c r="P1320" s="19" t="n"/>
      <c r="Q1320" s="19" t="n"/>
      <c r="R1320" s="20" t="n"/>
      <c r="S1320" s="20" t="n"/>
      <c r="T1320" s="19" t="n"/>
      <c r="U1320" s="19" t="n"/>
      <c r="V1320" s="19" t="n"/>
      <c r="W1320" s="19" t="n"/>
      <c r="X1320" s="19" t="n"/>
      <c r="Y1320" s="19" t="n"/>
      <c r="Z1320" s="21">
        <f>IF(AND($A1320="",$B1320=""),"",IF(OR($E1320="",$H1320="",$H1320="Proposed",$H1320="Not Reported"),0,IF(AND($P1320="Y",$Q1320&lt;&gt;"Y"),0,IF(AND($K1320="Point",N($L1320)&lt;=0),0,IF(AND(N($L1320)&lt;=0,N($N1320)&lt;=0,N($R1320)+N($S1320)&lt;=0),0,1)))))</f>
        <v/>
      </c>
      <c r="AA1320" s="21">
        <f>IF(AND($A1320="",$B1320=""),"",IF($E1320="","Site type missing",IF($H1320="","STATUS missing",IF($H1320="Proposed","STATUS = Proposed",IF($H1320="Not Reported","STATUS = Not Reported",IF(AND($P1320="Y",$Q1320&lt;&gt;"Y"),"UNESCO-MAB Biosphere Reserve",IF(AND($K1320="Point",N($L1320)&lt;=0),"Point without REP_AREA",IF(AND(N($L1320)&lt;=0,N($N1320)&lt;=0,N($R1320)+N($S1320)&lt;=0),"No area information",""))))))))</f>
        <v/>
      </c>
      <c r="AB1320" s="22">
        <f>IF(AND($A1320="",$B1320=""),"",IF($K1320="Point",N($L1320),IF(N($N1320)&gt;0,N($N1320),N($L1320))))</f>
        <v/>
      </c>
      <c r="AC1320" s="22">
        <f>IF(AND($A1320="",$B1320=""),"",MIN(AB1320,IF(N($J1320)=0,0,IF(N($J1320)=2,AB1320,IF(AND($K1320&lt;&gt;"Point",N($O1320)&gt;0),N($O1320),N($M1320))))))</f>
        <v/>
      </c>
      <c r="AD1320" s="22">
        <f>IF(AND($A1320="",$B1320=""),"",MAX(0,AB1320-AC1320))</f>
        <v/>
      </c>
      <c r="AE1320" s="21">
        <f>IF(AND($A1320="",$B1320=""),"",IF(OR($R1320&lt;&gt;"",$S1320&lt;&gt;""),1,0))</f>
        <v/>
      </c>
      <c r="AF1320" s="22">
        <f>IF(AND($A1320="",$B1320=""),"",IF(Z1320=1,IF(AE1320=1,N($R1320),AD1320),0))</f>
        <v/>
      </c>
      <c r="AG1320" s="22">
        <f>IF(AND($A1320="",$B1320=""),"",IF(Z1320=1,IF(AE1320=1,N($S1320),AC1320),0))</f>
        <v/>
      </c>
      <c r="AH1320" s="21">
        <f>IF(AND($A1320="",$B1320=""),"",IF(AND(ISNUMBER($I1320),N($I1320)&gt;0),$I1320,0))</f>
        <v/>
      </c>
      <c r="AI1320" s="23">
        <f>IF(AND(NOT(AND($A1320="",$B1320="")),$K1320="Point",N($L1320)&gt;0),SQRT(N($L1320)/PI()),"")</f>
        <v/>
      </c>
      <c r="AJ1320" s="21">
        <f>IF(AND($A1320="",$B1320=""),"",IFERROR(VLOOKUP($G1320,Lists!$D$4:$E$15,2,FALSE),"Not reported"))</f>
        <v/>
      </c>
      <c r="AK1320" s="21">
        <f>IF(AND($A1320="",$B1320=""),"",IF($X1320&lt;&gt;"",$X1320,IF($T1320&lt;&gt;"Y","Not assessed",IF(AND(ISNUMBER($V1320),Setup!$B$6-$V1320&gt;Setup!$B$26),"Assessment outdated",IF(NOT(ISNUMBER($W1320)),"Assessed – no score",IF($W1320&gt;=Setup!$B$24,"High",IF($W1320&gt;=Setup!$B$25,"Moderate","Low")))))))</f>
        <v/>
      </c>
      <c r="AL1320" s="21">
        <f>IF(AND($A1320="",$B1320=""),"",IF(Z1320=0,"",IF(AND(AE1320=1,N($R1320)&gt;AD1320*1.01+0.001),"Net terrestrial &gt; gross; ","")&amp;IF(AND(AE1320=1,N($S1320)&gt;AC1320*1.01+0.001),"Net marine &gt; gross; ","")&amp;IF(AE1320=0,"No net area – gross used, overlaps may be double-counted; ","")&amp;IF(AH1320=0,"STATUS_YR missing – imputed in time series; ","")&amp;IF(AND(ISNUMBER($I1320),N($I1320)&gt;Setup!$B$6),"STATUS_YR after reporting year; ","")&amp;IF(OR($G1320="",$G1320="Not Reported"),"GOV_TYPE not reported; ","")&amp;IF(AND(N($J1320)=1,$K1320="Point",N($M1320)&lt;=0),"Coastal point without REP_M_AREA – land/sea split unknown; ","")&amp;IF(AND(N($J1320)=0,N($S1320)&gt;0),"MARINE=0 but net marine &gt;0; ","")&amp;IF(AND(N($J1320)=2,N($R1320)&gt;0),"MARINE=2 but net terrestrial &gt;0; ","")&amp;IF($K1320="Point","Buffered point – coverage approximate; ","")))</f>
        <v/>
      </c>
    </row>
    <row r="1321">
      <c r="A1321" s="19" t="n"/>
      <c r="B1321" s="19" t="n"/>
      <c r="C1321" s="19" t="n"/>
      <c r="D1321" s="19" t="n"/>
      <c r="E1321" s="19" t="n"/>
      <c r="F1321" s="19" t="n"/>
      <c r="G1321" s="19" t="n"/>
      <c r="H1321" s="19" t="n"/>
      <c r="I1321" s="19" t="n"/>
      <c r="J1321" s="19" t="n"/>
      <c r="K1321" s="19" t="n"/>
      <c r="L1321" s="20" t="n"/>
      <c r="M1321" s="20" t="n"/>
      <c r="N1321" s="20" t="n"/>
      <c r="O1321" s="20" t="n"/>
      <c r="P1321" s="19" t="n"/>
      <c r="Q1321" s="19" t="n"/>
      <c r="R1321" s="20" t="n"/>
      <c r="S1321" s="20" t="n"/>
      <c r="T1321" s="19" t="n"/>
      <c r="U1321" s="19" t="n"/>
      <c r="V1321" s="19" t="n"/>
      <c r="W1321" s="19" t="n"/>
      <c r="X1321" s="19" t="n"/>
      <c r="Y1321" s="19" t="n"/>
      <c r="Z1321" s="21">
        <f>IF(AND($A1321="",$B1321=""),"",IF(OR($E1321="",$H1321="",$H1321="Proposed",$H1321="Not Reported"),0,IF(AND($P1321="Y",$Q1321&lt;&gt;"Y"),0,IF(AND($K1321="Point",N($L1321)&lt;=0),0,IF(AND(N($L1321)&lt;=0,N($N1321)&lt;=0,N($R1321)+N($S1321)&lt;=0),0,1)))))</f>
        <v/>
      </c>
      <c r="AA1321" s="21">
        <f>IF(AND($A1321="",$B1321=""),"",IF($E1321="","Site type missing",IF($H1321="","STATUS missing",IF($H1321="Proposed","STATUS = Proposed",IF($H1321="Not Reported","STATUS = Not Reported",IF(AND($P1321="Y",$Q1321&lt;&gt;"Y"),"UNESCO-MAB Biosphere Reserve",IF(AND($K1321="Point",N($L1321)&lt;=0),"Point without REP_AREA",IF(AND(N($L1321)&lt;=0,N($N1321)&lt;=0,N($R1321)+N($S1321)&lt;=0),"No area information",""))))))))</f>
        <v/>
      </c>
      <c r="AB1321" s="22">
        <f>IF(AND($A1321="",$B1321=""),"",IF($K1321="Point",N($L1321),IF(N($N1321)&gt;0,N($N1321),N($L1321))))</f>
        <v/>
      </c>
      <c r="AC1321" s="22">
        <f>IF(AND($A1321="",$B1321=""),"",MIN(AB1321,IF(N($J1321)=0,0,IF(N($J1321)=2,AB1321,IF(AND($K1321&lt;&gt;"Point",N($O1321)&gt;0),N($O1321),N($M1321))))))</f>
        <v/>
      </c>
      <c r="AD1321" s="22">
        <f>IF(AND($A1321="",$B1321=""),"",MAX(0,AB1321-AC1321))</f>
        <v/>
      </c>
      <c r="AE1321" s="21">
        <f>IF(AND($A1321="",$B1321=""),"",IF(OR($R1321&lt;&gt;"",$S1321&lt;&gt;""),1,0))</f>
        <v/>
      </c>
      <c r="AF1321" s="22">
        <f>IF(AND($A1321="",$B1321=""),"",IF(Z1321=1,IF(AE1321=1,N($R1321),AD1321),0))</f>
        <v/>
      </c>
      <c r="AG1321" s="22">
        <f>IF(AND($A1321="",$B1321=""),"",IF(Z1321=1,IF(AE1321=1,N($S1321),AC1321),0))</f>
        <v/>
      </c>
      <c r="AH1321" s="21">
        <f>IF(AND($A1321="",$B1321=""),"",IF(AND(ISNUMBER($I1321),N($I1321)&gt;0),$I1321,0))</f>
        <v/>
      </c>
      <c r="AI1321" s="23">
        <f>IF(AND(NOT(AND($A1321="",$B1321="")),$K1321="Point",N($L1321)&gt;0),SQRT(N($L1321)/PI()),"")</f>
        <v/>
      </c>
      <c r="AJ1321" s="21">
        <f>IF(AND($A1321="",$B1321=""),"",IFERROR(VLOOKUP($G1321,Lists!$D$4:$E$15,2,FALSE),"Not reported"))</f>
        <v/>
      </c>
      <c r="AK1321" s="21">
        <f>IF(AND($A1321="",$B1321=""),"",IF($X1321&lt;&gt;"",$X1321,IF($T1321&lt;&gt;"Y","Not assessed",IF(AND(ISNUMBER($V1321),Setup!$B$6-$V1321&gt;Setup!$B$26),"Assessment outdated",IF(NOT(ISNUMBER($W1321)),"Assessed – no score",IF($W1321&gt;=Setup!$B$24,"High",IF($W1321&gt;=Setup!$B$25,"Moderate","Low")))))))</f>
        <v/>
      </c>
      <c r="AL1321" s="21">
        <f>IF(AND($A1321="",$B1321=""),"",IF(Z1321=0,"",IF(AND(AE1321=1,N($R1321)&gt;AD1321*1.01+0.001),"Net terrestrial &gt; gross; ","")&amp;IF(AND(AE1321=1,N($S1321)&gt;AC1321*1.01+0.001),"Net marine &gt; gross; ","")&amp;IF(AE1321=0,"No net area – gross used, overlaps may be double-counted; ","")&amp;IF(AH1321=0,"STATUS_YR missing – imputed in time series; ","")&amp;IF(AND(ISNUMBER($I1321),N($I1321)&gt;Setup!$B$6),"STATUS_YR after reporting year; ","")&amp;IF(OR($G1321="",$G1321="Not Reported"),"GOV_TYPE not reported; ","")&amp;IF(AND(N($J1321)=1,$K1321="Point",N($M1321)&lt;=0),"Coastal point without REP_M_AREA – land/sea split unknown; ","")&amp;IF(AND(N($J1321)=0,N($S1321)&gt;0),"MARINE=0 but net marine &gt;0; ","")&amp;IF(AND(N($J1321)=2,N($R1321)&gt;0),"MARINE=2 but net terrestrial &gt;0; ","")&amp;IF($K1321="Point","Buffered point – coverage approximate; ","")))</f>
        <v/>
      </c>
    </row>
    <row r="1322">
      <c r="A1322" s="19" t="n"/>
      <c r="B1322" s="19" t="n"/>
      <c r="C1322" s="19" t="n"/>
      <c r="D1322" s="19" t="n"/>
      <c r="E1322" s="19" t="n"/>
      <c r="F1322" s="19" t="n"/>
      <c r="G1322" s="19" t="n"/>
      <c r="H1322" s="19" t="n"/>
      <c r="I1322" s="19" t="n"/>
      <c r="J1322" s="19" t="n"/>
      <c r="K1322" s="19" t="n"/>
      <c r="L1322" s="20" t="n"/>
      <c r="M1322" s="20" t="n"/>
      <c r="N1322" s="20" t="n"/>
      <c r="O1322" s="20" t="n"/>
      <c r="P1322" s="19" t="n"/>
      <c r="Q1322" s="19" t="n"/>
      <c r="R1322" s="20" t="n"/>
      <c r="S1322" s="20" t="n"/>
      <c r="T1322" s="19" t="n"/>
      <c r="U1322" s="19" t="n"/>
      <c r="V1322" s="19" t="n"/>
      <c r="W1322" s="19" t="n"/>
      <c r="X1322" s="19" t="n"/>
      <c r="Y1322" s="19" t="n"/>
      <c r="Z1322" s="21">
        <f>IF(AND($A1322="",$B1322=""),"",IF(OR($E1322="",$H1322="",$H1322="Proposed",$H1322="Not Reported"),0,IF(AND($P1322="Y",$Q1322&lt;&gt;"Y"),0,IF(AND($K1322="Point",N($L1322)&lt;=0),0,IF(AND(N($L1322)&lt;=0,N($N1322)&lt;=0,N($R1322)+N($S1322)&lt;=0),0,1)))))</f>
        <v/>
      </c>
      <c r="AA1322" s="21">
        <f>IF(AND($A1322="",$B1322=""),"",IF($E1322="","Site type missing",IF($H1322="","STATUS missing",IF($H1322="Proposed","STATUS = Proposed",IF($H1322="Not Reported","STATUS = Not Reported",IF(AND($P1322="Y",$Q1322&lt;&gt;"Y"),"UNESCO-MAB Biosphere Reserve",IF(AND($K1322="Point",N($L1322)&lt;=0),"Point without REP_AREA",IF(AND(N($L1322)&lt;=0,N($N1322)&lt;=0,N($R1322)+N($S1322)&lt;=0),"No area information",""))))))))</f>
        <v/>
      </c>
      <c r="AB1322" s="22">
        <f>IF(AND($A1322="",$B1322=""),"",IF($K1322="Point",N($L1322),IF(N($N1322)&gt;0,N($N1322),N($L1322))))</f>
        <v/>
      </c>
      <c r="AC1322" s="22">
        <f>IF(AND($A1322="",$B1322=""),"",MIN(AB1322,IF(N($J1322)=0,0,IF(N($J1322)=2,AB1322,IF(AND($K1322&lt;&gt;"Point",N($O1322)&gt;0),N($O1322),N($M1322))))))</f>
        <v/>
      </c>
      <c r="AD1322" s="22">
        <f>IF(AND($A1322="",$B1322=""),"",MAX(0,AB1322-AC1322))</f>
        <v/>
      </c>
      <c r="AE1322" s="21">
        <f>IF(AND($A1322="",$B1322=""),"",IF(OR($R1322&lt;&gt;"",$S1322&lt;&gt;""),1,0))</f>
        <v/>
      </c>
      <c r="AF1322" s="22">
        <f>IF(AND($A1322="",$B1322=""),"",IF(Z1322=1,IF(AE1322=1,N($R1322),AD1322),0))</f>
        <v/>
      </c>
      <c r="AG1322" s="22">
        <f>IF(AND($A1322="",$B1322=""),"",IF(Z1322=1,IF(AE1322=1,N($S1322),AC1322),0))</f>
        <v/>
      </c>
      <c r="AH1322" s="21">
        <f>IF(AND($A1322="",$B1322=""),"",IF(AND(ISNUMBER($I1322),N($I1322)&gt;0),$I1322,0))</f>
        <v/>
      </c>
      <c r="AI1322" s="23">
        <f>IF(AND(NOT(AND($A1322="",$B1322="")),$K1322="Point",N($L1322)&gt;0),SQRT(N($L1322)/PI()),"")</f>
        <v/>
      </c>
      <c r="AJ1322" s="21">
        <f>IF(AND($A1322="",$B1322=""),"",IFERROR(VLOOKUP($G1322,Lists!$D$4:$E$15,2,FALSE),"Not reported"))</f>
        <v/>
      </c>
      <c r="AK1322" s="21">
        <f>IF(AND($A1322="",$B1322=""),"",IF($X1322&lt;&gt;"",$X1322,IF($T1322&lt;&gt;"Y","Not assessed",IF(AND(ISNUMBER($V1322),Setup!$B$6-$V1322&gt;Setup!$B$26),"Assessment outdated",IF(NOT(ISNUMBER($W1322)),"Assessed – no score",IF($W1322&gt;=Setup!$B$24,"High",IF($W1322&gt;=Setup!$B$25,"Moderate","Low")))))))</f>
        <v/>
      </c>
      <c r="AL1322" s="21">
        <f>IF(AND($A1322="",$B1322=""),"",IF(Z1322=0,"",IF(AND(AE1322=1,N($R1322)&gt;AD1322*1.01+0.001),"Net terrestrial &gt; gross; ","")&amp;IF(AND(AE1322=1,N($S1322)&gt;AC1322*1.01+0.001),"Net marine &gt; gross; ","")&amp;IF(AE1322=0,"No net area – gross used, overlaps may be double-counted; ","")&amp;IF(AH1322=0,"STATUS_YR missing – imputed in time series; ","")&amp;IF(AND(ISNUMBER($I1322),N($I1322)&gt;Setup!$B$6),"STATUS_YR after reporting year; ","")&amp;IF(OR($G1322="",$G1322="Not Reported"),"GOV_TYPE not reported; ","")&amp;IF(AND(N($J1322)=1,$K1322="Point",N($M1322)&lt;=0),"Coastal point without REP_M_AREA – land/sea split unknown; ","")&amp;IF(AND(N($J1322)=0,N($S1322)&gt;0),"MARINE=0 but net marine &gt;0; ","")&amp;IF(AND(N($J1322)=2,N($R1322)&gt;0),"MARINE=2 but net terrestrial &gt;0; ","")&amp;IF($K1322="Point","Buffered point – coverage approximate; ","")))</f>
        <v/>
      </c>
    </row>
    <row r="1323">
      <c r="A1323" s="19" t="n"/>
      <c r="B1323" s="19" t="n"/>
      <c r="C1323" s="19" t="n"/>
      <c r="D1323" s="19" t="n"/>
      <c r="E1323" s="19" t="n"/>
      <c r="F1323" s="19" t="n"/>
      <c r="G1323" s="19" t="n"/>
      <c r="H1323" s="19" t="n"/>
      <c r="I1323" s="19" t="n"/>
      <c r="J1323" s="19" t="n"/>
      <c r="K1323" s="19" t="n"/>
      <c r="L1323" s="20" t="n"/>
      <c r="M1323" s="20" t="n"/>
      <c r="N1323" s="20" t="n"/>
      <c r="O1323" s="20" t="n"/>
      <c r="P1323" s="19" t="n"/>
      <c r="Q1323" s="19" t="n"/>
      <c r="R1323" s="20" t="n"/>
      <c r="S1323" s="20" t="n"/>
      <c r="T1323" s="19" t="n"/>
      <c r="U1323" s="19" t="n"/>
      <c r="V1323" s="19" t="n"/>
      <c r="W1323" s="19" t="n"/>
      <c r="X1323" s="19" t="n"/>
      <c r="Y1323" s="19" t="n"/>
      <c r="Z1323" s="21">
        <f>IF(AND($A1323="",$B1323=""),"",IF(OR($E1323="",$H1323="",$H1323="Proposed",$H1323="Not Reported"),0,IF(AND($P1323="Y",$Q1323&lt;&gt;"Y"),0,IF(AND($K1323="Point",N($L1323)&lt;=0),0,IF(AND(N($L1323)&lt;=0,N($N1323)&lt;=0,N($R1323)+N($S1323)&lt;=0),0,1)))))</f>
        <v/>
      </c>
      <c r="AA1323" s="21">
        <f>IF(AND($A1323="",$B1323=""),"",IF($E1323="","Site type missing",IF($H1323="","STATUS missing",IF($H1323="Proposed","STATUS = Proposed",IF($H1323="Not Reported","STATUS = Not Reported",IF(AND($P1323="Y",$Q1323&lt;&gt;"Y"),"UNESCO-MAB Biosphere Reserve",IF(AND($K1323="Point",N($L1323)&lt;=0),"Point without REP_AREA",IF(AND(N($L1323)&lt;=0,N($N1323)&lt;=0,N($R1323)+N($S1323)&lt;=0),"No area information",""))))))))</f>
        <v/>
      </c>
      <c r="AB1323" s="22">
        <f>IF(AND($A1323="",$B1323=""),"",IF($K1323="Point",N($L1323),IF(N($N1323)&gt;0,N($N1323),N($L1323))))</f>
        <v/>
      </c>
      <c r="AC1323" s="22">
        <f>IF(AND($A1323="",$B1323=""),"",MIN(AB1323,IF(N($J1323)=0,0,IF(N($J1323)=2,AB1323,IF(AND($K1323&lt;&gt;"Point",N($O1323)&gt;0),N($O1323),N($M1323))))))</f>
        <v/>
      </c>
      <c r="AD1323" s="22">
        <f>IF(AND($A1323="",$B1323=""),"",MAX(0,AB1323-AC1323))</f>
        <v/>
      </c>
      <c r="AE1323" s="21">
        <f>IF(AND($A1323="",$B1323=""),"",IF(OR($R1323&lt;&gt;"",$S1323&lt;&gt;""),1,0))</f>
        <v/>
      </c>
      <c r="AF1323" s="22">
        <f>IF(AND($A1323="",$B1323=""),"",IF(Z1323=1,IF(AE1323=1,N($R1323),AD1323),0))</f>
        <v/>
      </c>
      <c r="AG1323" s="22">
        <f>IF(AND($A1323="",$B1323=""),"",IF(Z1323=1,IF(AE1323=1,N($S1323),AC1323),0))</f>
        <v/>
      </c>
      <c r="AH1323" s="21">
        <f>IF(AND($A1323="",$B1323=""),"",IF(AND(ISNUMBER($I1323),N($I1323)&gt;0),$I1323,0))</f>
        <v/>
      </c>
      <c r="AI1323" s="23">
        <f>IF(AND(NOT(AND($A1323="",$B1323="")),$K1323="Point",N($L1323)&gt;0),SQRT(N($L1323)/PI()),"")</f>
        <v/>
      </c>
      <c r="AJ1323" s="21">
        <f>IF(AND($A1323="",$B1323=""),"",IFERROR(VLOOKUP($G1323,Lists!$D$4:$E$15,2,FALSE),"Not reported"))</f>
        <v/>
      </c>
      <c r="AK1323" s="21">
        <f>IF(AND($A1323="",$B1323=""),"",IF($X1323&lt;&gt;"",$X1323,IF($T1323&lt;&gt;"Y","Not assessed",IF(AND(ISNUMBER($V1323),Setup!$B$6-$V1323&gt;Setup!$B$26),"Assessment outdated",IF(NOT(ISNUMBER($W1323)),"Assessed – no score",IF($W1323&gt;=Setup!$B$24,"High",IF($W1323&gt;=Setup!$B$25,"Moderate","Low")))))))</f>
        <v/>
      </c>
      <c r="AL1323" s="21">
        <f>IF(AND($A1323="",$B1323=""),"",IF(Z1323=0,"",IF(AND(AE1323=1,N($R1323)&gt;AD1323*1.01+0.001),"Net terrestrial &gt; gross; ","")&amp;IF(AND(AE1323=1,N($S1323)&gt;AC1323*1.01+0.001),"Net marine &gt; gross; ","")&amp;IF(AE1323=0,"No net area – gross used, overlaps may be double-counted; ","")&amp;IF(AH1323=0,"STATUS_YR missing – imputed in time series; ","")&amp;IF(AND(ISNUMBER($I1323),N($I1323)&gt;Setup!$B$6),"STATUS_YR after reporting year; ","")&amp;IF(OR($G1323="",$G1323="Not Reported"),"GOV_TYPE not reported; ","")&amp;IF(AND(N($J1323)=1,$K1323="Point",N($M1323)&lt;=0),"Coastal point without REP_M_AREA – land/sea split unknown; ","")&amp;IF(AND(N($J1323)=0,N($S1323)&gt;0),"MARINE=0 but net marine &gt;0; ","")&amp;IF(AND(N($J1323)=2,N($R1323)&gt;0),"MARINE=2 but net terrestrial &gt;0; ","")&amp;IF($K1323="Point","Buffered point – coverage approximate; ","")))</f>
        <v/>
      </c>
    </row>
    <row r="1324">
      <c r="A1324" s="19" t="n"/>
      <c r="B1324" s="19" t="n"/>
      <c r="C1324" s="19" t="n"/>
      <c r="D1324" s="19" t="n"/>
      <c r="E1324" s="19" t="n"/>
      <c r="F1324" s="19" t="n"/>
      <c r="G1324" s="19" t="n"/>
      <c r="H1324" s="19" t="n"/>
      <c r="I1324" s="19" t="n"/>
      <c r="J1324" s="19" t="n"/>
      <c r="K1324" s="19" t="n"/>
      <c r="L1324" s="20" t="n"/>
      <c r="M1324" s="20" t="n"/>
      <c r="N1324" s="20" t="n"/>
      <c r="O1324" s="20" t="n"/>
      <c r="P1324" s="19" t="n"/>
      <c r="Q1324" s="19" t="n"/>
      <c r="R1324" s="20" t="n"/>
      <c r="S1324" s="20" t="n"/>
      <c r="T1324" s="19" t="n"/>
      <c r="U1324" s="19" t="n"/>
      <c r="V1324" s="19" t="n"/>
      <c r="W1324" s="19" t="n"/>
      <c r="X1324" s="19" t="n"/>
      <c r="Y1324" s="19" t="n"/>
      <c r="Z1324" s="21">
        <f>IF(AND($A1324="",$B1324=""),"",IF(OR($E1324="",$H1324="",$H1324="Proposed",$H1324="Not Reported"),0,IF(AND($P1324="Y",$Q1324&lt;&gt;"Y"),0,IF(AND($K1324="Point",N($L1324)&lt;=0),0,IF(AND(N($L1324)&lt;=0,N($N1324)&lt;=0,N($R1324)+N($S1324)&lt;=0),0,1)))))</f>
        <v/>
      </c>
      <c r="AA1324" s="21">
        <f>IF(AND($A1324="",$B1324=""),"",IF($E1324="","Site type missing",IF($H1324="","STATUS missing",IF($H1324="Proposed","STATUS = Proposed",IF($H1324="Not Reported","STATUS = Not Reported",IF(AND($P1324="Y",$Q1324&lt;&gt;"Y"),"UNESCO-MAB Biosphere Reserve",IF(AND($K1324="Point",N($L1324)&lt;=0),"Point without REP_AREA",IF(AND(N($L1324)&lt;=0,N($N1324)&lt;=0,N($R1324)+N($S1324)&lt;=0),"No area information",""))))))))</f>
        <v/>
      </c>
      <c r="AB1324" s="22">
        <f>IF(AND($A1324="",$B1324=""),"",IF($K1324="Point",N($L1324),IF(N($N1324)&gt;0,N($N1324),N($L1324))))</f>
        <v/>
      </c>
      <c r="AC1324" s="22">
        <f>IF(AND($A1324="",$B1324=""),"",MIN(AB1324,IF(N($J1324)=0,0,IF(N($J1324)=2,AB1324,IF(AND($K1324&lt;&gt;"Point",N($O1324)&gt;0),N($O1324),N($M1324))))))</f>
        <v/>
      </c>
      <c r="AD1324" s="22">
        <f>IF(AND($A1324="",$B1324=""),"",MAX(0,AB1324-AC1324))</f>
        <v/>
      </c>
      <c r="AE1324" s="21">
        <f>IF(AND($A1324="",$B1324=""),"",IF(OR($R1324&lt;&gt;"",$S1324&lt;&gt;""),1,0))</f>
        <v/>
      </c>
      <c r="AF1324" s="22">
        <f>IF(AND($A1324="",$B1324=""),"",IF(Z1324=1,IF(AE1324=1,N($R1324),AD1324),0))</f>
        <v/>
      </c>
      <c r="AG1324" s="22">
        <f>IF(AND($A1324="",$B1324=""),"",IF(Z1324=1,IF(AE1324=1,N($S1324),AC1324),0))</f>
        <v/>
      </c>
      <c r="AH1324" s="21">
        <f>IF(AND($A1324="",$B1324=""),"",IF(AND(ISNUMBER($I1324),N($I1324)&gt;0),$I1324,0))</f>
        <v/>
      </c>
      <c r="AI1324" s="23">
        <f>IF(AND(NOT(AND($A1324="",$B1324="")),$K1324="Point",N($L1324)&gt;0),SQRT(N($L1324)/PI()),"")</f>
        <v/>
      </c>
      <c r="AJ1324" s="21">
        <f>IF(AND($A1324="",$B1324=""),"",IFERROR(VLOOKUP($G1324,Lists!$D$4:$E$15,2,FALSE),"Not reported"))</f>
        <v/>
      </c>
      <c r="AK1324" s="21">
        <f>IF(AND($A1324="",$B1324=""),"",IF($X1324&lt;&gt;"",$X1324,IF($T1324&lt;&gt;"Y","Not assessed",IF(AND(ISNUMBER($V1324),Setup!$B$6-$V1324&gt;Setup!$B$26),"Assessment outdated",IF(NOT(ISNUMBER($W1324)),"Assessed – no score",IF($W1324&gt;=Setup!$B$24,"High",IF($W1324&gt;=Setup!$B$25,"Moderate","Low")))))))</f>
        <v/>
      </c>
      <c r="AL1324" s="21">
        <f>IF(AND($A1324="",$B1324=""),"",IF(Z1324=0,"",IF(AND(AE1324=1,N($R1324)&gt;AD1324*1.01+0.001),"Net terrestrial &gt; gross; ","")&amp;IF(AND(AE1324=1,N($S1324)&gt;AC1324*1.01+0.001),"Net marine &gt; gross; ","")&amp;IF(AE1324=0,"No net area – gross used, overlaps may be double-counted; ","")&amp;IF(AH1324=0,"STATUS_YR missing – imputed in time series; ","")&amp;IF(AND(ISNUMBER($I1324),N($I1324)&gt;Setup!$B$6),"STATUS_YR after reporting year; ","")&amp;IF(OR($G1324="",$G1324="Not Reported"),"GOV_TYPE not reported; ","")&amp;IF(AND(N($J1324)=1,$K1324="Point",N($M1324)&lt;=0),"Coastal point without REP_M_AREA – land/sea split unknown; ","")&amp;IF(AND(N($J1324)=0,N($S1324)&gt;0),"MARINE=0 but net marine &gt;0; ","")&amp;IF(AND(N($J1324)=2,N($R1324)&gt;0),"MARINE=2 but net terrestrial &gt;0; ","")&amp;IF($K1324="Point","Buffered point – coverage approximate; ","")))</f>
        <v/>
      </c>
    </row>
    <row r="1325">
      <c r="A1325" s="19" t="n"/>
      <c r="B1325" s="19" t="n"/>
      <c r="C1325" s="19" t="n"/>
      <c r="D1325" s="19" t="n"/>
      <c r="E1325" s="19" t="n"/>
      <c r="F1325" s="19" t="n"/>
      <c r="G1325" s="19" t="n"/>
      <c r="H1325" s="19" t="n"/>
      <c r="I1325" s="19" t="n"/>
      <c r="J1325" s="19" t="n"/>
      <c r="K1325" s="19" t="n"/>
      <c r="L1325" s="20" t="n"/>
      <c r="M1325" s="20" t="n"/>
      <c r="N1325" s="20" t="n"/>
      <c r="O1325" s="20" t="n"/>
      <c r="P1325" s="19" t="n"/>
      <c r="Q1325" s="19" t="n"/>
      <c r="R1325" s="20" t="n"/>
      <c r="S1325" s="20" t="n"/>
      <c r="T1325" s="19" t="n"/>
      <c r="U1325" s="19" t="n"/>
      <c r="V1325" s="19" t="n"/>
      <c r="W1325" s="19" t="n"/>
      <c r="X1325" s="19" t="n"/>
      <c r="Y1325" s="19" t="n"/>
      <c r="Z1325" s="21">
        <f>IF(AND($A1325="",$B1325=""),"",IF(OR($E1325="",$H1325="",$H1325="Proposed",$H1325="Not Reported"),0,IF(AND($P1325="Y",$Q1325&lt;&gt;"Y"),0,IF(AND($K1325="Point",N($L1325)&lt;=0),0,IF(AND(N($L1325)&lt;=0,N($N1325)&lt;=0,N($R1325)+N($S1325)&lt;=0),0,1)))))</f>
        <v/>
      </c>
      <c r="AA1325" s="21">
        <f>IF(AND($A1325="",$B1325=""),"",IF($E1325="","Site type missing",IF($H1325="","STATUS missing",IF($H1325="Proposed","STATUS = Proposed",IF($H1325="Not Reported","STATUS = Not Reported",IF(AND($P1325="Y",$Q1325&lt;&gt;"Y"),"UNESCO-MAB Biosphere Reserve",IF(AND($K1325="Point",N($L1325)&lt;=0),"Point without REP_AREA",IF(AND(N($L1325)&lt;=0,N($N1325)&lt;=0,N($R1325)+N($S1325)&lt;=0),"No area information",""))))))))</f>
        <v/>
      </c>
      <c r="AB1325" s="22">
        <f>IF(AND($A1325="",$B1325=""),"",IF($K1325="Point",N($L1325),IF(N($N1325)&gt;0,N($N1325),N($L1325))))</f>
        <v/>
      </c>
      <c r="AC1325" s="22">
        <f>IF(AND($A1325="",$B1325=""),"",MIN(AB1325,IF(N($J1325)=0,0,IF(N($J1325)=2,AB1325,IF(AND($K1325&lt;&gt;"Point",N($O1325)&gt;0),N($O1325),N($M1325))))))</f>
        <v/>
      </c>
      <c r="AD1325" s="22">
        <f>IF(AND($A1325="",$B1325=""),"",MAX(0,AB1325-AC1325))</f>
        <v/>
      </c>
      <c r="AE1325" s="21">
        <f>IF(AND($A1325="",$B1325=""),"",IF(OR($R1325&lt;&gt;"",$S1325&lt;&gt;""),1,0))</f>
        <v/>
      </c>
      <c r="AF1325" s="22">
        <f>IF(AND($A1325="",$B1325=""),"",IF(Z1325=1,IF(AE1325=1,N($R1325),AD1325),0))</f>
        <v/>
      </c>
      <c r="AG1325" s="22">
        <f>IF(AND($A1325="",$B1325=""),"",IF(Z1325=1,IF(AE1325=1,N($S1325),AC1325),0))</f>
        <v/>
      </c>
      <c r="AH1325" s="21">
        <f>IF(AND($A1325="",$B1325=""),"",IF(AND(ISNUMBER($I1325),N($I1325)&gt;0),$I1325,0))</f>
        <v/>
      </c>
      <c r="AI1325" s="23">
        <f>IF(AND(NOT(AND($A1325="",$B1325="")),$K1325="Point",N($L1325)&gt;0),SQRT(N($L1325)/PI()),"")</f>
        <v/>
      </c>
      <c r="AJ1325" s="21">
        <f>IF(AND($A1325="",$B1325=""),"",IFERROR(VLOOKUP($G1325,Lists!$D$4:$E$15,2,FALSE),"Not reported"))</f>
        <v/>
      </c>
      <c r="AK1325" s="21">
        <f>IF(AND($A1325="",$B1325=""),"",IF($X1325&lt;&gt;"",$X1325,IF($T1325&lt;&gt;"Y","Not assessed",IF(AND(ISNUMBER($V1325),Setup!$B$6-$V1325&gt;Setup!$B$26),"Assessment outdated",IF(NOT(ISNUMBER($W1325)),"Assessed – no score",IF($W1325&gt;=Setup!$B$24,"High",IF($W1325&gt;=Setup!$B$25,"Moderate","Low")))))))</f>
        <v/>
      </c>
      <c r="AL1325" s="21">
        <f>IF(AND($A1325="",$B1325=""),"",IF(Z1325=0,"",IF(AND(AE1325=1,N($R1325)&gt;AD1325*1.01+0.001),"Net terrestrial &gt; gross; ","")&amp;IF(AND(AE1325=1,N($S1325)&gt;AC1325*1.01+0.001),"Net marine &gt; gross; ","")&amp;IF(AE1325=0,"No net area – gross used, overlaps may be double-counted; ","")&amp;IF(AH1325=0,"STATUS_YR missing – imputed in time series; ","")&amp;IF(AND(ISNUMBER($I1325),N($I1325)&gt;Setup!$B$6),"STATUS_YR after reporting year; ","")&amp;IF(OR($G1325="",$G1325="Not Reported"),"GOV_TYPE not reported; ","")&amp;IF(AND(N($J1325)=1,$K1325="Point",N($M1325)&lt;=0),"Coastal point without REP_M_AREA – land/sea split unknown; ","")&amp;IF(AND(N($J1325)=0,N($S1325)&gt;0),"MARINE=0 but net marine &gt;0; ","")&amp;IF(AND(N($J1325)=2,N($R1325)&gt;0),"MARINE=2 but net terrestrial &gt;0; ","")&amp;IF($K1325="Point","Buffered point – coverage approximate; ","")))</f>
        <v/>
      </c>
    </row>
    <row r="1326">
      <c r="A1326" s="19" t="n"/>
      <c r="B1326" s="19" t="n"/>
      <c r="C1326" s="19" t="n"/>
      <c r="D1326" s="19" t="n"/>
      <c r="E1326" s="19" t="n"/>
      <c r="F1326" s="19" t="n"/>
      <c r="G1326" s="19" t="n"/>
      <c r="H1326" s="19" t="n"/>
      <c r="I1326" s="19" t="n"/>
      <c r="J1326" s="19" t="n"/>
      <c r="K1326" s="19" t="n"/>
      <c r="L1326" s="20" t="n"/>
      <c r="M1326" s="20" t="n"/>
      <c r="N1326" s="20" t="n"/>
      <c r="O1326" s="20" t="n"/>
      <c r="P1326" s="19" t="n"/>
      <c r="Q1326" s="19" t="n"/>
      <c r="R1326" s="20" t="n"/>
      <c r="S1326" s="20" t="n"/>
      <c r="T1326" s="19" t="n"/>
      <c r="U1326" s="19" t="n"/>
      <c r="V1326" s="19" t="n"/>
      <c r="W1326" s="19" t="n"/>
      <c r="X1326" s="19" t="n"/>
      <c r="Y1326" s="19" t="n"/>
      <c r="Z1326" s="21">
        <f>IF(AND($A1326="",$B1326=""),"",IF(OR($E1326="",$H1326="",$H1326="Proposed",$H1326="Not Reported"),0,IF(AND($P1326="Y",$Q1326&lt;&gt;"Y"),0,IF(AND($K1326="Point",N($L1326)&lt;=0),0,IF(AND(N($L1326)&lt;=0,N($N1326)&lt;=0,N($R1326)+N($S1326)&lt;=0),0,1)))))</f>
        <v/>
      </c>
      <c r="AA1326" s="21">
        <f>IF(AND($A1326="",$B1326=""),"",IF($E1326="","Site type missing",IF($H1326="","STATUS missing",IF($H1326="Proposed","STATUS = Proposed",IF($H1326="Not Reported","STATUS = Not Reported",IF(AND($P1326="Y",$Q1326&lt;&gt;"Y"),"UNESCO-MAB Biosphere Reserve",IF(AND($K1326="Point",N($L1326)&lt;=0),"Point without REP_AREA",IF(AND(N($L1326)&lt;=0,N($N1326)&lt;=0,N($R1326)+N($S1326)&lt;=0),"No area information",""))))))))</f>
        <v/>
      </c>
      <c r="AB1326" s="22">
        <f>IF(AND($A1326="",$B1326=""),"",IF($K1326="Point",N($L1326),IF(N($N1326)&gt;0,N($N1326),N($L1326))))</f>
        <v/>
      </c>
      <c r="AC1326" s="22">
        <f>IF(AND($A1326="",$B1326=""),"",MIN(AB1326,IF(N($J1326)=0,0,IF(N($J1326)=2,AB1326,IF(AND($K1326&lt;&gt;"Point",N($O1326)&gt;0),N($O1326),N($M1326))))))</f>
        <v/>
      </c>
      <c r="AD1326" s="22">
        <f>IF(AND($A1326="",$B1326=""),"",MAX(0,AB1326-AC1326))</f>
        <v/>
      </c>
      <c r="AE1326" s="21">
        <f>IF(AND($A1326="",$B1326=""),"",IF(OR($R1326&lt;&gt;"",$S1326&lt;&gt;""),1,0))</f>
        <v/>
      </c>
      <c r="AF1326" s="22">
        <f>IF(AND($A1326="",$B1326=""),"",IF(Z1326=1,IF(AE1326=1,N($R1326),AD1326),0))</f>
        <v/>
      </c>
      <c r="AG1326" s="22">
        <f>IF(AND($A1326="",$B1326=""),"",IF(Z1326=1,IF(AE1326=1,N($S1326),AC1326),0))</f>
        <v/>
      </c>
      <c r="AH1326" s="21">
        <f>IF(AND($A1326="",$B1326=""),"",IF(AND(ISNUMBER($I1326),N($I1326)&gt;0),$I1326,0))</f>
        <v/>
      </c>
      <c r="AI1326" s="23">
        <f>IF(AND(NOT(AND($A1326="",$B1326="")),$K1326="Point",N($L1326)&gt;0),SQRT(N($L1326)/PI()),"")</f>
        <v/>
      </c>
      <c r="AJ1326" s="21">
        <f>IF(AND($A1326="",$B1326=""),"",IFERROR(VLOOKUP($G1326,Lists!$D$4:$E$15,2,FALSE),"Not reported"))</f>
        <v/>
      </c>
      <c r="AK1326" s="21">
        <f>IF(AND($A1326="",$B1326=""),"",IF($X1326&lt;&gt;"",$X1326,IF($T1326&lt;&gt;"Y","Not assessed",IF(AND(ISNUMBER($V1326),Setup!$B$6-$V1326&gt;Setup!$B$26),"Assessment outdated",IF(NOT(ISNUMBER($W1326)),"Assessed – no score",IF($W1326&gt;=Setup!$B$24,"High",IF($W1326&gt;=Setup!$B$25,"Moderate","Low")))))))</f>
        <v/>
      </c>
      <c r="AL1326" s="21">
        <f>IF(AND($A1326="",$B1326=""),"",IF(Z1326=0,"",IF(AND(AE1326=1,N($R1326)&gt;AD1326*1.01+0.001),"Net terrestrial &gt; gross; ","")&amp;IF(AND(AE1326=1,N($S1326)&gt;AC1326*1.01+0.001),"Net marine &gt; gross; ","")&amp;IF(AE1326=0,"No net area – gross used, overlaps may be double-counted; ","")&amp;IF(AH1326=0,"STATUS_YR missing – imputed in time series; ","")&amp;IF(AND(ISNUMBER($I1326),N($I1326)&gt;Setup!$B$6),"STATUS_YR after reporting year; ","")&amp;IF(OR($G1326="",$G1326="Not Reported"),"GOV_TYPE not reported; ","")&amp;IF(AND(N($J1326)=1,$K1326="Point",N($M1326)&lt;=0),"Coastal point without REP_M_AREA – land/sea split unknown; ","")&amp;IF(AND(N($J1326)=0,N($S1326)&gt;0),"MARINE=0 but net marine &gt;0; ","")&amp;IF(AND(N($J1326)=2,N($R1326)&gt;0),"MARINE=2 but net terrestrial &gt;0; ","")&amp;IF($K1326="Point","Buffered point – coverage approximate; ","")))</f>
        <v/>
      </c>
    </row>
    <row r="1327">
      <c r="A1327" s="19" t="n"/>
      <c r="B1327" s="19" t="n"/>
      <c r="C1327" s="19" t="n"/>
      <c r="D1327" s="19" t="n"/>
      <c r="E1327" s="19" t="n"/>
      <c r="F1327" s="19" t="n"/>
      <c r="G1327" s="19" t="n"/>
      <c r="H1327" s="19" t="n"/>
      <c r="I1327" s="19" t="n"/>
      <c r="J1327" s="19" t="n"/>
      <c r="K1327" s="19" t="n"/>
      <c r="L1327" s="20" t="n"/>
      <c r="M1327" s="20" t="n"/>
      <c r="N1327" s="20" t="n"/>
      <c r="O1327" s="20" t="n"/>
      <c r="P1327" s="19" t="n"/>
      <c r="Q1327" s="19" t="n"/>
      <c r="R1327" s="20" t="n"/>
      <c r="S1327" s="20" t="n"/>
      <c r="T1327" s="19" t="n"/>
      <c r="U1327" s="19" t="n"/>
      <c r="V1327" s="19" t="n"/>
      <c r="W1327" s="19" t="n"/>
      <c r="X1327" s="19" t="n"/>
      <c r="Y1327" s="19" t="n"/>
      <c r="Z1327" s="21">
        <f>IF(AND($A1327="",$B1327=""),"",IF(OR($E1327="",$H1327="",$H1327="Proposed",$H1327="Not Reported"),0,IF(AND($P1327="Y",$Q1327&lt;&gt;"Y"),0,IF(AND($K1327="Point",N($L1327)&lt;=0),0,IF(AND(N($L1327)&lt;=0,N($N1327)&lt;=0,N($R1327)+N($S1327)&lt;=0),0,1)))))</f>
        <v/>
      </c>
      <c r="AA1327" s="21">
        <f>IF(AND($A1327="",$B1327=""),"",IF($E1327="","Site type missing",IF($H1327="","STATUS missing",IF($H1327="Proposed","STATUS = Proposed",IF($H1327="Not Reported","STATUS = Not Reported",IF(AND($P1327="Y",$Q1327&lt;&gt;"Y"),"UNESCO-MAB Biosphere Reserve",IF(AND($K1327="Point",N($L1327)&lt;=0),"Point without REP_AREA",IF(AND(N($L1327)&lt;=0,N($N1327)&lt;=0,N($R1327)+N($S1327)&lt;=0),"No area information",""))))))))</f>
        <v/>
      </c>
      <c r="AB1327" s="22">
        <f>IF(AND($A1327="",$B1327=""),"",IF($K1327="Point",N($L1327),IF(N($N1327)&gt;0,N($N1327),N($L1327))))</f>
        <v/>
      </c>
      <c r="AC1327" s="22">
        <f>IF(AND($A1327="",$B1327=""),"",MIN(AB1327,IF(N($J1327)=0,0,IF(N($J1327)=2,AB1327,IF(AND($K1327&lt;&gt;"Point",N($O1327)&gt;0),N($O1327),N($M1327))))))</f>
        <v/>
      </c>
      <c r="AD1327" s="22">
        <f>IF(AND($A1327="",$B1327=""),"",MAX(0,AB1327-AC1327))</f>
        <v/>
      </c>
      <c r="AE1327" s="21">
        <f>IF(AND($A1327="",$B1327=""),"",IF(OR($R1327&lt;&gt;"",$S1327&lt;&gt;""),1,0))</f>
        <v/>
      </c>
      <c r="AF1327" s="22">
        <f>IF(AND($A1327="",$B1327=""),"",IF(Z1327=1,IF(AE1327=1,N($R1327),AD1327),0))</f>
        <v/>
      </c>
      <c r="AG1327" s="22">
        <f>IF(AND($A1327="",$B1327=""),"",IF(Z1327=1,IF(AE1327=1,N($S1327),AC1327),0))</f>
        <v/>
      </c>
      <c r="AH1327" s="21">
        <f>IF(AND($A1327="",$B1327=""),"",IF(AND(ISNUMBER($I1327),N($I1327)&gt;0),$I1327,0))</f>
        <v/>
      </c>
      <c r="AI1327" s="23">
        <f>IF(AND(NOT(AND($A1327="",$B1327="")),$K1327="Point",N($L1327)&gt;0),SQRT(N($L1327)/PI()),"")</f>
        <v/>
      </c>
      <c r="AJ1327" s="21">
        <f>IF(AND($A1327="",$B1327=""),"",IFERROR(VLOOKUP($G1327,Lists!$D$4:$E$15,2,FALSE),"Not reported"))</f>
        <v/>
      </c>
      <c r="AK1327" s="21">
        <f>IF(AND($A1327="",$B1327=""),"",IF($X1327&lt;&gt;"",$X1327,IF($T1327&lt;&gt;"Y","Not assessed",IF(AND(ISNUMBER($V1327),Setup!$B$6-$V1327&gt;Setup!$B$26),"Assessment outdated",IF(NOT(ISNUMBER($W1327)),"Assessed – no score",IF($W1327&gt;=Setup!$B$24,"High",IF($W1327&gt;=Setup!$B$25,"Moderate","Low")))))))</f>
        <v/>
      </c>
      <c r="AL1327" s="21">
        <f>IF(AND($A1327="",$B1327=""),"",IF(Z1327=0,"",IF(AND(AE1327=1,N($R1327)&gt;AD1327*1.01+0.001),"Net terrestrial &gt; gross; ","")&amp;IF(AND(AE1327=1,N($S1327)&gt;AC1327*1.01+0.001),"Net marine &gt; gross; ","")&amp;IF(AE1327=0,"No net area – gross used, overlaps may be double-counted; ","")&amp;IF(AH1327=0,"STATUS_YR missing – imputed in time series; ","")&amp;IF(AND(ISNUMBER($I1327),N($I1327)&gt;Setup!$B$6),"STATUS_YR after reporting year; ","")&amp;IF(OR($G1327="",$G1327="Not Reported"),"GOV_TYPE not reported; ","")&amp;IF(AND(N($J1327)=1,$K1327="Point",N($M1327)&lt;=0),"Coastal point without REP_M_AREA – land/sea split unknown; ","")&amp;IF(AND(N($J1327)=0,N($S1327)&gt;0),"MARINE=0 but net marine &gt;0; ","")&amp;IF(AND(N($J1327)=2,N($R1327)&gt;0),"MARINE=2 but net terrestrial &gt;0; ","")&amp;IF($K1327="Point","Buffered point – coverage approximate; ","")))</f>
        <v/>
      </c>
    </row>
    <row r="1328">
      <c r="A1328" s="19" t="n"/>
      <c r="B1328" s="19" t="n"/>
      <c r="C1328" s="19" t="n"/>
      <c r="D1328" s="19" t="n"/>
      <c r="E1328" s="19" t="n"/>
      <c r="F1328" s="19" t="n"/>
      <c r="G1328" s="19" t="n"/>
      <c r="H1328" s="19" t="n"/>
      <c r="I1328" s="19" t="n"/>
      <c r="J1328" s="19" t="n"/>
      <c r="K1328" s="19" t="n"/>
      <c r="L1328" s="20" t="n"/>
      <c r="M1328" s="20" t="n"/>
      <c r="N1328" s="20" t="n"/>
      <c r="O1328" s="20" t="n"/>
      <c r="P1328" s="19" t="n"/>
      <c r="Q1328" s="19" t="n"/>
      <c r="R1328" s="20" t="n"/>
      <c r="S1328" s="20" t="n"/>
      <c r="T1328" s="19" t="n"/>
      <c r="U1328" s="19" t="n"/>
      <c r="V1328" s="19" t="n"/>
      <c r="W1328" s="19" t="n"/>
      <c r="X1328" s="19" t="n"/>
      <c r="Y1328" s="19" t="n"/>
      <c r="Z1328" s="21">
        <f>IF(AND($A1328="",$B1328=""),"",IF(OR($E1328="",$H1328="",$H1328="Proposed",$H1328="Not Reported"),0,IF(AND($P1328="Y",$Q1328&lt;&gt;"Y"),0,IF(AND($K1328="Point",N($L1328)&lt;=0),0,IF(AND(N($L1328)&lt;=0,N($N1328)&lt;=0,N($R1328)+N($S1328)&lt;=0),0,1)))))</f>
        <v/>
      </c>
      <c r="AA1328" s="21">
        <f>IF(AND($A1328="",$B1328=""),"",IF($E1328="","Site type missing",IF($H1328="","STATUS missing",IF($H1328="Proposed","STATUS = Proposed",IF($H1328="Not Reported","STATUS = Not Reported",IF(AND($P1328="Y",$Q1328&lt;&gt;"Y"),"UNESCO-MAB Biosphere Reserve",IF(AND($K1328="Point",N($L1328)&lt;=0),"Point without REP_AREA",IF(AND(N($L1328)&lt;=0,N($N1328)&lt;=0,N($R1328)+N($S1328)&lt;=0),"No area information",""))))))))</f>
        <v/>
      </c>
      <c r="AB1328" s="22">
        <f>IF(AND($A1328="",$B1328=""),"",IF($K1328="Point",N($L1328),IF(N($N1328)&gt;0,N($N1328),N($L1328))))</f>
        <v/>
      </c>
      <c r="AC1328" s="22">
        <f>IF(AND($A1328="",$B1328=""),"",MIN(AB1328,IF(N($J1328)=0,0,IF(N($J1328)=2,AB1328,IF(AND($K1328&lt;&gt;"Point",N($O1328)&gt;0),N($O1328),N($M1328))))))</f>
        <v/>
      </c>
      <c r="AD1328" s="22">
        <f>IF(AND($A1328="",$B1328=""),"",MAX(0,AB1328-AC1328))</f>
        <v/>
      </c>
      <c r="AE1328" s="21">
        <f>IF(AND($A1328="",$B1328=""),"",IF(OR($R1328&lt;&gt;"",$S1328&lt;&gt;""),1,0))</f>
        <v/>
      </c>
      <c r="AF1328" s="22">
        <f>IF(AND($A1328="",$B1328=""),"",IF(Z1328=1,IF(AE1328=1,N($R1328),AD1328),0))</f>
        <v/>
      </c>
      <c r="AG1328" s="22">
        <f>IF(AND($A1328="",$B1328=""),"",IF(Z1328=1,IF(AE1328=1,N($S1328),AC1328),0))</f>
        <v/>
      </c>
      <c r="AH1328" s="21">
        <f>IF(AND($A1328="",$B1328=""),"",IF(AND(ISNUMBER($I1328),N($I1328)&gt;0),$I1328,0))</f>
        <v/>
      </c>
      <c r="AI1328" s="23">
        <f>IF(AND(NOT(AND($A1328="",$B1328="")),$K1328="Point",N($L1328)&gt;0),SQRT(N($L1328)/PI()),"")</f>
        <v/>
      </c>
      <c r="AJ1328" s="21">
        <f>IF(AND($A1328="",$B1328=""),"",IFERROR(VLOOKUP($G1328,Lists!$D$4:$E$15,2,FALSE),"Not reported"))</f>
        <v/>
      </c>
      <c r="AK1328" s="21">
        <f>IF(AND($A1328="",$B1328=""),"",IF($X1328&lt;&gt;"",$X1328,IF($T1328&lt;&gt;"Y","Not assessed",IF(AND(ISNUMBER($V1328),Setup!$B$6-$V1328&gt;Setup!$B$26),"Assessment outdated",IF(NOT(ISNUMBER($W1328)),"Assessed – no score",IF($W1328&gt;=Setup!$B$24,"High",IF($W1328&gt;=Setup!$B$25,"Moderate","Low")))))))</f>
        <v/>
      </c>
      <c r="AL1328" s="21">
        <f>IF(AND($A1328="",$B1328=""),"",IF(Z1328=0,"",IF(AND(AE1328=1,N($R1328)&gt;AD1328*1.01+0.001),"Net terrestrial &gt; gross; ","")&amp;IF(AND(AE1328=1,N($S1328)&gt;AC1328*1.01+0.001),"Net marine &gt; gross; ","")&amp;IF(AE1328=0,"No net area – gross used, overlaps may be double-counted; ","")&amp;IF(AH1328=0,"STATUS_YR missing – imputed in time series; ","")&amp;IF(AND(ISNUMBER($I1328),N($I1328)&gt;Setup!$B$6),"STATUS_YR after reporting year; ","")&amp;IF(OR($G1328="",$G1328="Not Reported"),"GOV_TYPE not reported; ","")&amp;IF(AND(N($J1328)=1,$K1328="Point",N($M1328)&lt;=0),"Coastal point without REP_M_AREA – land/sea split unknown; ","")&amp;IF(AND(N($J1328)=0,N($S1328)&gt;0),"MARINE=0 but net marine &gt;0; ","")&amp;IF(AND(N($J1328)=2,N($R1328)&gt;0),"MARINE=2 but net terrestrial &gt;0; ","")&amp;IF($K1328="Point","Buffered point – coverage approximate; ","")))</f>
        <v/>
      </c>
    </row>
    <row r="1329">
      <c r="A1329" s="19" t="n"/>
      <c r="B1329" s="19" t="n"/>
      <c r="C1329" s="19" t="n"/>
      <c r="D1329" s="19" t="n"/>
      <c r="E1329" s="19" t="n"/>
      <c r="F1329" s="19" t="n"/>
      <c r="G1329" s="19" t="n"/>
      <c r="H1329" s="19" t="n"/>
      <c r="I1329" s="19" t="n"/>
      <c r="J1329" s="19" t="n"/>
      <c r="K1329" s="19" t="n"/>
      <c r="L1329" s="20" t="n"/>
      <c r="M1329" s="20" t="n"/>
      <c r="N1329" s="20" t="n"/>
      <c r="O1329" s="20" t="n"/>
      <c r="P1329" s="19" t="n"/>
      <c r="Q1329" s="19" t="n"/>
      <c r="R1329" s="20" t="n"/>
      <c r="S1329" s="20" t="n"/>
      <c r="T1329" s="19" t="n"/>
      <c r="U1329" s="19" t="n"/>
      <c r="V1329" s="19" t="n"/>
      <c r="W1329" s="19" t="n"/>
      <c r="X1329" s="19" t="n"/>
      <c r="Y1329" s="19" t="n"/>
      <c r="Z1329" s="21">
        <f>IF(AND($A1329="",$B1329=""),"",IF(OR($E1329="",$H1329="",$H1329="Proposed",$H1329="Not Reported"),0,IF(AND($P1329="Y",$Q1329&lt;&gt;"Y"),0,IF(AND($K1329="Point",N($L1329)&lt;=0),0,IF(AND(N($L1329)&lt;=0,N($N1329)&lt;=0,N($R1329)+N($S1329)&lt;=0),0,1)))))</f>
        <v/>
      </c>
      <c r="AA1329" s="21">
        <f>IF(AND($A1329="",$B1329=""),"",IF($E1329="","Site type missing",IF($H1329="","STATUS missing",IF($H1329="Proposed","STATUS = Proposed",IF($H1329="Not Reported","STATUS = Not Reported",IF(AND($P1329="Y",$Q1329&lt;&gt;"Y"),"UNESCO-MAB Biosphere Reserve",IF(AND($K1329="Point",N($L1329)&lt;=0),"Point without REP_AREA",IF(AND(N($L1329)&lt;=0,N($N1329)&lt;=0,N($R1329)+N($S1329)&lt;=0),"No area information",""))))))))</f>
        <v/>
      </c>
      <c r="AB1329" s="22">
        <f>IF(AND($A1329="",$B1329=""),"",IF($K1329="Point",N($L1329),IF(N($N1329)&gt;0,N($N1329),N($L1329))))</f>
        <v/>
      </c>
      <c r="AC1329" s="22">
        <f>IF(AND($A1329="",$B1329=""),"",MIN(AB1329,IF(N($J1329)=0,0,IF(N($J1329)=2,AB1329,IF(AND($K1329&lt;&gt;"Point",N($O1329)&gt;0),N($O1329),N($M1329))))))</f>
        <v/>
      </c>
      <c r="AD1329" s="22">
        <f>IF(AND($A1329="",$B1329=""),"",MAX(0,AB1329-AC1329))</f>
        <v/>
      </c>
      <c r="AE1329" s="21">
        <f>IF(AND($A1329="",$B1329=""),"",IF(OR($R1329&lt;&gt;"",$S1329&lt;&gt;""),1,0))</f>
        <v/>
      </c>
      <c r="AF1329" s="22">
        <f>IF(AND($A1329="",$B1329=""),"",IF(Z1329=1,IF(AE1329=1,N($R1329),AD1329),0))</f>
        <v/>
      </c>
      <c r="AG1329" s="22">
        <f>IF(AND($A1329="",$B1329=""),"",IF(Z1329=1,IF(AE1329=1,N($S1329),AC1329),0))</f>
        <v/>
      </c>
      <c r="AH1329" s="21">
        <f>IF(AND($A1329="",$B1329=""),"",IF(AND(ISNUMBER($I1329),N($I1329)&gt;0),$I1329,0))</f>
        <v/>
      </c>
      <c r="AI1329" s="23">
        <f>IF(AND(NOT(AND($A1329="",$B1329="")),$K1329="Point",N($L1329)&gt;0),SQRT(N($L1329)/PI()),"")</f>
        <v/>
      </c>
      <c r="AJ1329" s="21">
        <f>IF(AND($A1329="",$B1329=""),"",IFERROR(VLOOKUP($G1329,Lists!$D$4:$E$15,2,FALSE),"Not reported"))</f>
        <v/>
      </c>
      <c r="AK1329" s="21">
        <f>IF(AND($A1329="",$B1329=""),"",IF($X1329&lt;&gt;"",$X1329,IF($T1329&lt;&gt;"Y","Not assessed",IF(AND(ISNUMBER($V1329),Setup!$B$6-$V1329&gt;Setup!$B$26),"Assessment outdated",IF(NOT(ISNUMBER($W1329)),"Assessed – no score",IF($W1329&gt;=Setup!$B$24,"High",IF($W1329&gt;=Setup!$B$25,"Moderate","Low")))))))</f>
        <v/>
      </c>
      <c r="AL1329" s="21">
        <f>IF(AND($A1329="",$B1329=""),"",IF(Z1329=0,"",IF(AND(AE1329=1,N($R1329)&gt;AD1329*1.01+0.001),"Net terrestrial &gt; gross; ","")&amp;IF(AND(AE1329=1,N($S1329)&gt;AC1329*1.01+0.001),"Net marine &gt; gross; ","")&amp;IF(AE1329=0,"No net area – gross used, overlaps may be double-counted; ","")&amp;IF(AH1329=0,"STATUS_YR missing – imputed in time series; ","")&amp;IF(AND(ISNUMBER($I1329),N($I1329)&gt;Setup!$B$6),"STATUS_YR after reporting year; ","")&amp;IF(OR($G1329="",$G1329="Not Reported"),"GOV_TYPE not reported; ","")&amp;IF(AND(N($J1329)=1,$K1329="Point",N($M1329)&lt;=0),"Coastal point without REP_M_AREA – land/sea split unknown; ","")&amp;IF(AND(N($J1329)=0,N($S1329)&gt;0),"MARINE=0 but net marine &gt;0; ","")&amp;IF(AND(N($J1329)=2,N($R1329)&gt;0),"MARINE=2 but net terrestrial &gt;0; ","")&amp;IF($K1329="Point","Buffered point – coverage approximate; ","")))</f>
        <v/>
      </c>
    </row>
    <row r="1330">
      <c r="A1330" s="19" t="n"/>
      <c r="B1330" s="19" t="n"/>
      <c r="C1330" s="19" t="n"/>
      <c r="D1330" s="19" t="n"/>
      <c r="E1330" s="19" t="n"/>
      <c r="F1330" s="19" t="n"/>
      <c r="G1330" s="19" t="n"/>
      <c r="H1330" s="19" t="n"/>
      <c r="I1330" s="19" t="n"/>
      <c r="J1330" s="19" t="n"/>
      <c r="K1330" s="19" t="n"/>
      <c r="L1330" s="20" t="n"/>
      <c r="M1330" s="20" t="n"/>
      <c r="N1330" s="20" t="n"/>
      <c r="O1330" s="20" t="n"/>
      <c r="P1330" s="19" t="n"/>
      <c r="Q1330" s="19" t="n"/>
      <c r="R1330" s="20" t="n"/>
      <c r="S1330" s="20" t="n"/>
      <c r="T1330" s="19" t="n"/>
      <c r="U1330" s="19" t="n"/>
      <c r="V1330" s="19" t="n"/>
      <c r="W1330" s="19" t="n"/>
      <c r="X1330" s="19" t="n"/>
      <c r="Y1330" s="19" t="n"/>
      <c r="Z1330" s="21">
        <f>IF(AND($A1330="",$B1330=""),"",IF(OR($E1330="",$H1330="",$H1330="Proposed",$H1330="Not Reported"),0,IF(AND($P1330="Y",$Q1330&lt;&gt;"Y"),0,IF(AND($K1330="Point",N($L1330)&lt;=0),0,IF(AND(N($L1330)&lt;=0,N($N1330)&lt;=0,N($R1330)+N($S1330)&lt;=0),0,1)))))</f>
        <v/>
      </c>
      <c r="AA1330" s="21">
        <f>IF(AND($A1330="",$B1330=""),"",IF($E1330="","Site type missing",IF($H1330="","STATUS missing",IF($H1330="Proposed","STATUS = Proposed",IF($H1330="Not Reported","STATUS = Not Reported",IF(AND($P1330="Y",$Q1330&lt;&gt;"Y"),"UNESCO-MAB Biosphere Reserve",IF(AND($K1330="Point",N($L1330)&lt;=0),"Point without REP_AREA",IF(AND(N($L1330)&lt;=0,N($N1330)&lt;=0,N($R1330)+N($S1330)&lt;=0),"No area information",""))))))))</f>
        <v/>
      </c>
      <c r="AB1330" s="22">
        <f>IF(AND($A1330="",$B1330=""),"",IF($K1330="Point",N($L1330),IF(N($N1330)&gt;0,N($N1330),N($L1330))))</f>
        <v/>
      </c>
      <c r="AC1330" s="22">
        <f>IF(AND($A1330="",$B1330=""),"",MIN(AB1330,IF(N($J1330)=0,0,IF(N($J1330)=2,AB1330,IF(AND($K1330&lt;&gt;"Point",N($O1330)&gt;0),N($O1330),N($M1330))))))</f>
        <v/>
      </c>
      <c r="AD1330" s="22">
        <f>IF(AND($A1330="",$B1330=""),"",MAX(0,AB1330-AC1330))</f>
        <v/>
      </c>
      <c r="AE1330" s="21">
        <f>IF(AND($A1330="",$B1330=""),"",IF(OR($R1330&lt;&gt;"",$S1330&lt;&gt;""),1,0))</f>
        <v/>
      </c>
      <c r="AF1330" s="22">
        <f>IF(AND($A1330="",$B1330=""),"",IF(Z1330=1,IF(AE1330=1,N($R1330),AD1330),0))</f>
        <v/>
      </c>
      <c r="AG1330" s="22">
        <f>IF(AND($A1330="",$B1330=""),"",IF(Z1330=1,IF(AE1330=1,N($S1330),AC1330),0))</f>
        <v/>
      </c>
      <c r="AH1330" s="21">
        <f>IF(AND($A1330="",$B1330=""),"",IF(AND(ISNUMBER($I1330),N($I1330)&gt;0),$I1330,0))</f>
        <v/>
      </c>
      <c r="AI1330" s="23">
        <f>IF(AND(NOT(AND($A1330="",$B1330="")),$K1330="Point",N($L1330)&gt;0),SQRT(N($L1330)/PI()),"")</f>
        <v/>
      </c>
      <c r="AJ1330" s="21">
        <f>IF(AND($A1330="",$B1330=""),"",IFERROR(VLOOKUP($G1330,Lists!$D$4:$E$15,2,FALSE),"Not reported"))</f>
        <v/>
      </c>
      <c r="AK1330" s="21">
        <f>IF(AND($A1330="",$B1330=""),"",IF($X1330&lt;&gt;"",$X1330,IF($T1330&lt;&gt;"Y","Not assessed",IF(AND(ISNUMBER($V1330),Setup!$B$6-$V1330&gt;Setup!$B$26),"Assessment outdated",IF(NOT(ISNUMBER($W1330)),"Assessed – no score",IF($W1330&gt;=Setup!$B$24,"High",IF($W1330&gt;=Setup!$B$25,"Moderate","Low")))))))</f>
        <v/>
      </c>
      <c r="AL1330" s="21">
        <f>IF(AND($A1330="",$B1330=""),"",IF(Z1330=0,"",IF(AND(AE1330=1,N($R1330)&gt;AD1330*1.01+0.001),"Net terrestrial &gt; gross; ","")&amp;IF(AND(AE1330=1,N($S1330)&gt;AC1330*1.01+0.001),"Net marine &gt; gross; ","")&amp;IF(AE1330=0,"No net area – gross used, overlaps may be double-counted; ","")&amp;IF(AH1330=0,"STATUS_YR missing – imputed in time series; ","")&amp;IF(AND(ISNUMBER($I1330),N($I1330)&gt;Setup!$B$6),"STATUS_YR after reporting year; ","")&amp;IF(OR($G1330="",$G1330="Not Reported"),"GOV_TYPE not reported; ","")&amp;IF(AND(N($J1330)=1,$K1330="Point",N($M1330)&lt;=0),"Coastal point without REP_M_AREA – land/sea split unknown; ","")&amp;IF(AND(N($J1330)=0,N($S1330)&gt;0),"MARINE=0 but net marine &gt;0; ","")&amp;IF(AND(N($J1330)=2,N($R1330)&gt;0),"MARINE=2 but net terrestrial &gt;0; ","")&amp;IF($K1330="Point","Buffered point – coverage approximate; ","")))</f>
        <v/>
      </c>
    </row>
    <row r="1331">
      <c r="A1331" s="19" t="n"/>
      <c r="B1331" s="19" t="n"/>
      <c r="C1331" s="19" t="n"/>
      <c r="D1331" s="19" t="n"/>
      <c r="E1331" s="19" t="n"/>
      <c r="F1331" s="19" t="n"/>
      <c r="G1331" s="19" t="n"/>
      <c r="H1331" s="19" t="n"/>
      <c r="I1331" s="19" t="n"/>
      <c r="J1331" s="19" t="n"/>
      <c r="K1331" s="19" t="n"/>
      <c r="L1331" s="20" t="n"/>
      <c r="M1331" s="20" t="n"/>
      <c r="N1331" s="20" t="n"/>
      <c r="O1331" s="20" t="n"/>
      <c r="P1331" s="19" t="n"/>
      <c r="Q1331" s="19" t="n"/>
      <c r="R1331" s="20" t="n"/>
      <c r="S1331" s="20" t="n"/>
      <c r="T1331" s="19" t="n"/>
      <c r="U1331" s="19" t="n"/>
      <c r="V1331" s="19" t="n"/>
      <c r="W1331" s="19" t="n"/>
      <c r="X1331" s="19" t="n"/>
      <c r="Y1331" s="19" t="n"/>
      <c r="Z1331" s="21">
        <f>IF(AND($A1331="",$B1331=""),"",IF(OR($E1331="",$H1331="",$H1331="Proposed",$H1331="Not Reported"),0,IF(AND($P1331="Y",$Q1331&lt;&gt;"Y"),0,IF(AND($K1331="Point",N($L1331)&lt;=0),0,IF(AND(N($L1331)&lt;=0,N($N1331)&lt;=0,N($R1331)+N($S1331)&lt;=0),0,1)))))</f>
        <v/>
      </c>
      <c r="AA1331" s="21">
        <f>IF(AND($A1331="",$B1331=""),"",IF($E1331="","Site type missing",IF($H1331="","STATUS missing",IF($H1331="Proposed","STATUS = Proposed",IF($H1331="Not Reported","STATUS = Not Reported",IF(AND($P1331="Y",$Q1331&lt;&gt;"Y"),"UNESCO-MAB Biosphere Reserve",IF(AND($K1331="Point",N($L1331)&lt;=0),"Point without REP_AREA",IF(AND(N($L1331)&lt;=0,N($N1331)&lt;=0,N($R1331)+N($S1331)&lt;=0),"No area information",""))))))))</f>
        <v/>
      </c>
      <c r="AB1331" s="22">
        <f>IF(AND($A1331="",$B1331=""),"",IF($K1331="Point",N($L1331),IF(N($N1331)&gt;0,N($N1331),N($L1331))))</f>
        <v/>
      </c>
      <c r="AC1331" s="22">
        <f>IF(AND($A1331="",$B1331=""),"",MIN(AB1331,IF(N($J1331)=0,0,IF(N($J1331)=2,AB1331,IF(AND($K1331&lt;&gt;"Point",N($O1331)&gt;0),N($O1331),N($M1331))))))</f>
        <v/>
      </c>
      <c r="AD1331" s="22">
        <f>IF(AND($A1331="",$B1331=""),"",MAX(0,AB1331-AC1331))</f>
        <v/>
      </c>
      <c r="AE1331" s="21">
        <f>IF(AND($A1331="",$B1331=""),"",IF(OR($R1331&lt;&gt;"",$S1331&lt;&gt;""),1,0))</f>
        <v/>
      </c>
      <c r="AF1331" s="22">
        <f>IF(AND($A1331="",$B1331=""),"",IF(Z1331=1,IF(AE1331=1,N($R1331),AD1331),0))</f>
        <v/>
      </c>
      <c r="AG1331" s="22">
        <f>IF(AND($A1331="",$B1331=""),"",IF(Z1331=1,IF(AE1331=1,N($S1331),AC1331),0))</f>
        <v/>
      </c>
      <c r="AH1331" s="21">
        <f>IF(AND($A1331="",$B1331=""),"",IF(AND(ISNUMBER($I1331),N($I1331)&gt;0),$I1331,0))</f>
        <v/>
      </c>
      <c r="AI1331" s="23">
        <f>IF(AND(NOT(AND($A1331="",$B1331="")),$K1331="Point",N($L1331)&gt;0),SQRT(N($L1331)/PI()),"")</f>
        <v/>
      </c>
      <c r="AJ1331" s="21">
        <f>IF(AND($A1331="",$B1331=""),"",IFERROR(VLOOKUP($G1331,Lists!$D$4:$E$15,2,FALSE),"Not reported"))</f>
        <v/>
      </c>
      <c r="AK1331" s="21">
        <f>IF(AND($A1331="",$B1331=""),"",IF($X1331&lt;&gt;"",$X1331,IF($T1331&lt;&gt;"Y","Not assessed",IF(AND(ISNUMBER($V1331),Setup!$B$6-$V1331&gt;Setup!$B$26),"Assessment outdated",IF(NOT(ISNUMBER($W1331)),"Assessed – no score",IF($W1331&gt;=Setup!$B$24,"High",IF($W1331&gt;=Setup!$B$25,"Moderate","Low")))))))</f>
        <v/>
      </c>
      <c r="AL1331" s="21">
        <f>IF(AND($A1331="",$B1331=""),"",IF(Z1331=0,"",IF(AND(AE1331=1,N($R1331)&gt;AD1331*1.01+0.001),"Net terrestrial &gt; gross; ","")&amp;IF(AND(AE1331=1,N($S1331)&gt;AC1331*1.01+0.001),"Net marine &gt; gross; ","")&amp;IF(AE1331=0,"No net area – gross used, overlaps may be double-counted; ","")&amp;IF(AH1331=0,"STATUS_YR missing – imputed in time series; ","")&amp;IF(AND(ISNUMBER($I1331),N($I1331)&gt;Setup!$B$6),"STATUS_YR after reporting year; ","")&amp;IF(OR($G1331="",$G1331="Not Reported"),"GOV_TYPE not reported; ","")&amp;IF(AND(N($J1331)=1,$K1331="Point",N($M1331)&lt;=0),"Coastal point without REP_M_AREA – land/sea split unknown; ","")&amp;IF(AND(N($J1331)=0,N($S1331)&gt;0),"MARINE=0 but net marine &gt;0; ","")&amp;IF(AND(N($J1331)=2,N($R1331)&gt;0),"MARINE=2 but net terrestrial &gt;0; ","")&amp;IF($K1331="Point","Buffered point – coverage approximate; ","")))</f>
        <v/>
      </c>
    </row>
    <row r="1332">
      <c r="A1332" s="19" t="n"/>
      <c r="B1332" s="19" t="n"/>
      <c r="C1332" s="19" t="n"/>
      <c r="D1332" s="19" t="n"/>
      <c r="E1332" s="19" t="n"/>
      <c r="F1332" s="19" t="n"/>
      <c r="G1332" s="19" t="n"/>
      <c r="H1332" s="19" t="n"/>
      <c r="I1332" s="19" t="n"/>
      <c r="J1332" s="19" t="n"/>
      <c r="K1332" s="19" t="n"/>
      <c r="L1332" s="20" t="n"/>
      <c r="M1332" s="20" t="n"/>
      <c r="N1332" s="20" t="n"/>
      <c r="O1332" s="20" t="n"/>
      <c r="P1332" s="19" t="n"/>
      <c r="Q1332" s="19" t="n"/>
      <c r="R1332" s="20" t="n"/>
      <c r="S1332" s="20" t="n"/>
      <c r="T1332" s="19" t="n"/>
      <c r="U1332" s="19" t="n"/>
      <c r="V1332" s="19" t="n"/>
      <c r="W1332" s="19" t="n"/>
      <c r="X1332" s="19" t="n"/>
      <c r="Y1332" s="19" t="n"/>
      <c r="Z1332" s="21">
        <f>IF(AND($A1332="",$B1332=""),"",IF(OR($E1332="",$H1332="",$H1332="Proposed",$H1332="Not Reported"),0,IF(AND($P1332="Y",$Q1332&lt;&gt;"Y"),0,IF(AND($K1332="Point",N($L1332)&lt;=0),0,IF(AND(N($L1332)&lt;=0,N($N1332)&lt;=0,N($R1332)+N($S1332)&lt;=0),0,1)))))</f>
        <v/>
      </c>
      <c r="AA1332" s="21">
        <f>IF(AND($A1332="",$B1332=""),"",IF($E1332="","Site type missing",IF($H1332="","STATUS missing",IF($H1332="Proposed","STATUS = Proposed",IF($H1332="Not Reported","STATUS = Not Reported",IF(AND($P1332="Y",$Q1332&lt;&gt;"Y"),"UNESCO-MAB Biosphere Reserve",IF(AND($K1332="Point",N($L1332)&lt;=0),"Point without REP_AREA",IF(AND(N($L1332)&lt;=0,N($N1332)&lt;=0,N($R1332)+N($S1332)&lt;=0),"No area information",""))))))))</f>
        <v/>
      </c>
      <c r="AB1332" s="22">
        <f>IF(AND($A1332="",$B1332=""),"",IF($K1332="Point",N($L1332),IF(N($N1332)&gt;0,N($N1332),N($L1332))))</f>
        <v/>
      </c>
      <c r="AC1332" s="22">
        <f>IF(AND($A1332="",$B1332=""),"",MIN(AB1332,IF(N($J1332)=0,0,IF(N($J1332)=2,AB1332,IF(AND($K1332&lt;&gt;"Point",N($O1332)&gt;0),N($O1332),N($M1332))))))</f>
        <v/>
      </c>
      <c r="AD1332" s="22">
        <f>IF(AND($A1332="",$B1332=""),"",MAX(0,AB1332-AC1332))</f>
        <v/>
      </c>
      <c r="AE1332" s="21">
        <f>IF(AND($A1332="",$B1332=""),"",IF(OR($R1332&lt;&gt;"",$S1332&lt;&gt;""),1,0))</f>
        <v/>
      </c>
      <c r="AF1332" s="22">
        <f>IF(AND($A1332="",$B1332=""),"",IF(Z1332=1,IF(AE1332=1,N($R1332),AD1332),0))</f>
        <v/>
      </c>
      <c r="AG1332" s="22">
        <f>IF(AND($A1332="",$B1332=""),"",IF(Z1332=1,IF(AE1332=1,N($S1332),AC1332),0))</f>
        <v/>
      </c>
      <c r="AH1332" s="21">
        <f>IF(AND($A1332="",$B1332=""),"",IF(AND(ISNUMBER($I1332),N($I1332)&gt;0),$I1332,0))</f>
        <v/>
      </c>
      <c r="AI1332" s="23">
        <f>IF(AND(NOT(AND($A1332="",$B1332="")),$K1332="Point",N($L1332)&gt;0),SQRT(N($L1332)/PI()),"")</f>
        <v/>
      </c>
      <c r="AJ1332" s="21">
        <f>IF(AND($A1332="",$B1332=""),"",IFERROR(VLOOKUP($G1332,Lists!$D$4:$E$15,2,FALSE),"Not reported"))</f>
        <v/>
      </c>
      <c r="AK1332" s="21">
        <f>IF(AND($A1332="",$B1332=""),"",IF($X1332&lt;&gt;"",$X1332,IF($T1332&lt;&gt;"Y","Not assessed",IF(AND(ISNUMBER($V1332),Setup!$B$6-$V1332&gt;Setup!$B$26),"Assessment outdated",IF(NOT(ISNUMBER($W1332)),"Assessed – no score",IF($W1332&gt;=Setup!$B$24,"High",IF($W1332&gt;=Setup!$B$25,"Moderate","Low")))))))</f>
        <v/>
      </c>
      <c r="AL1332" s="21">
        <f>IF(AND($A1332="",$B1332=""),"",IF(Z1332=0,"",IF(AND(AE1332=1,N($R1332)&gt;AD1332*1.01+0.001),"Net terrestrial &gt; gross; ","")&amp;IF(AND(AE1332=1,N($S1332)&gt;AC1332*1.01+0.001),"Net marine &gt; gross; ","")&amp;IF(AE1332=0,"No net area – gross used, overlaps may be double-counted; ","")&amp;IF(AH1332=0,"STATUS_YR missing – imputed in time series; ","")&amp;IF(AND(ISNUMBER($I1332),N($I1332)&gt;Setup!$B$6),"STATUS_YR after reporting year; ","")&amp;IF(OR($G1332="",$G1332="Not Reported"),"GOV_TYPE not reported; ","")&amp;IF(AND(N($J1332)=1,$K1332="Point",N($M1332)&lt;=0),"Coastal point without REP_M_AREA – land/sea split unknown; ","")&amp;IF(AND(N($J1332)=0,N($S1332)&gt;0),"MARINE=0 but net marine &gt;0; ","")&amp;IF(AND(N($J1332)=2,N($R1332)&gt;0),"MARINE=2 but net terrestrial &gt;0; ","")&amp;IF($K1332="Point","Buffered point – coverage approximate; ","")))</f>
        <v/>
      </c>
    </row>
    <row r="1333">
      <c r="A1333" s="19" t="n"/>
      <c r="B1333" s="19" t="n"/>
      <c r="C1333" s="19" t="n"/>
      <c r="D1333" s="19" t="n"/>
      <c r="E1333" s="19" t="n"/>
      <c r="F1333" s="19" t="n"/>
      <c r="G1333" s="19" t="n"/>
      <c r="H1333" s="19" t="n"/>
      <c r="I1333" s="19" t="n"/>
      <c r="J1333" s="19" t="n"/>
      <c r="K1333" s="19" t="n"/>
      <c r="L1333" s="20" t="n"/>
      <c r="M1333" s="20" t="n"/>
      <c r="N1333" s="20" t="n"/>
      <c r="O1333" s="20" t="n"/>
      <c r="P1333" s="19" t="n"/>
      <c r="Q1333" s="19" t="n"/>
      <c r="R1333" s="20" t="n"/>
      <c r="S1333" s="20" t="n"/>
      <c r="T1333" s="19" t="n"/>
      <c r="U1333" s="19" t="n"/>
      <c r="V1333" s="19" t="n"/>
      <c r="W1333" s="19" t="n"/>
      <c r="X1333" s="19" t="n"/>
      <c r="Y1333" s="19" t="n"/>
      <c r="Z1333" s="21">
        <f>IF(AND($A1333="",$B1333=""),"",IF(OR($E1333="",$H1333="",$H1333="Proposed",$H1333="Not Reported"),0,IF(AND($P1333="Y",$Q1333&lt;&gt;"Y"),0,IF(AND($K1333="Point",N($L1333)&lt;=0),0,IF(AND(N($L1333)&lt;=0,N($N1333)&lt;=0,N($R1333)+N($S1333)&lt;=0),0,1)))))</f>
        <v/>
      </c>
      <c r="AA1333" s="21">
        <f>IF(AND($A1333="",$B1333=""),"",IF($E1333="","Site type missing",IF($H1333="","STATUS missing",IF($H1333="Proposed","STATUS = Proposed",IF($H1333="Not Reported","STATUS = Not Reported",IF(AND($P1333="Y",$Q1333&lt;&gt;"Y"),"UNESCO-MAB Biosphere Reserve",IF(AND($K1333="Point",N($L1333)&lt;=0),"Point without REP_AREA",IF(AND(N($L1333)&lt;=0,N($N1333)&lt;=0,N($R1333)+N($S1333)&lt;=0),"No area information",""))))))))</f>
        <v/>
      </c>
      <c r="AB1333" s="22">
        <f>IF(AND($A1333="",$B1333=""),"",IF($K1333="Point",N($L1333),IF(N($N1333)&gt;0,N($N1333),N($L1333))))</f>
        <v/>
      </c>
      <c r="AC1333" s="22">
        <f>IF(AND($A1333="",$B1333=""),"",MIN(AB1333,IF(N($J1333)=0,0,IF(N($J1333)=2,AB1333,IF(AND($K1333&lt;&gt;"Point",N($O1333)&gt;0),N($O1333),N($M1333))))))</f>
        <v/>
      </c>
      <c r="AD1333" s="22">
        <f>IF(AND($A1333="",$B1333=""),"",MAX(0,AB1333-AC1333))</f>
        <v/>
      </c>
      <c r="AE1333" s="21">
        <f>IF(AND($A1333="",$B1333=""),"",IF(OR($R1333&lt;&gt;"",$S1333&lt;&gt;""),1,0))</f>
        <v/>
      </c>
      <c r="AF1333" s="22">
        <f>IF(AND($A1333="",$B1333=""),"",IF(Z1333=1,IF(AE1333=1,N($R1333),AD1333),0))</f>
        <v/>
      </c>
      <c r="AG1333" s="22">
        <f>IF(AND($A1333="",$B1333=""),"",IF(Z1333=1,IF(AE1333=1,N($S1333),AC1333),0))</f>
        <v/>
      </c>
      <c r="AH1333" s="21">
        <f>IF(AND($A1333="",$B1333=""),"",IF(AND(ISNUMBER($I1333),N($I1333)&gt;0),$I1333,0))</f>
        <v/>
      </c>
      <c r="AI1333" s="23">
        <f>IF(AND(NOT(AND($A1333="",$B1333="")),$K1333="Point",N($L1333)&gt;0),SQRT(N($L1333)/PI()),"")</f>
        <v/>
      </c>
      <c r="AJ1333" s="21">
        <f>IF(AND($A1333="",$B1333=""),"",IFERROR(VLOOKUP($G1333,Lists!$D$4:$E$15,2,FALSE),"Not reported"))</f>
        <v/>
      </c>
      <c r="AK1333" s="21">
        <f>IF(AND($A1333="",$B1333=""),"",IF($X1333&lt;&gt;"",$X1333,IF($T1333&lt;&gt;"Y","Not assessed",IF(AND(ISNUMBER($V1333),Setup!$B$6-$V1333&gt;Setup!$B$26),"Assessment outdated",IF(NOT(ISNUMBER($W1333)),"Assessed – no score",IF($W1333&gt;=Setup!$B$24,"High",IF($W1333&gt;=Setup!$B$25,"Moderate","Low")))))))</f>
        <v/>
      </c>
      <c r="AL1333" s="21">
        <f>IF(AND($A1333="",$B1333=""),"",IF(Z1333=0,"",IF(AND(AE1333=1,N($R1333)&gt;AD1333*1.01+0.001),"Net terrestrial &gt; gross; ","")&amp;IF(AND(AE1333=1,N($S1333)&gt;AC1333*1.01+0.001),"Net marine &gt; gross; ","")&amp;IF(AE1333=0,"No net area – gross used, overlaps may be double-counted; ","")&amp;IF(AH1333=0,"STATUS_YR missing – imputed in time series; ","")&amp;IF(AND(ISNUMBER($I1333),N($I1333)&gt;Setup!$B$6),"STATUS_YR after reporting year; ","")&amp;IF(OR($G1333="",$G1333="Not Reported"),"GOV_TYPE not reported; ","")&amp;IF(AND(N($J1333)=1,$K1333="Point",N($M1333)&lt;=0),"Coastal point without REP_M_AREA – land/sea split unknown; ","")&amp;IF(AND(N($J1333)=0,N($S1333)&gt;0),"MARINE=0 but net marine &gt;0; ","")&amp;IF(AND(N($J1333)=2,N($R1333)&gt;0),"MARINE=2 but net terrestrial &gt;0; ","")&amp;IF($K1333="Point","Buffered point – coverage approximate; ","")))</f>
        <v/>
      </c>
    </row>
    <row r="1334">
      <c r="A1334" s="19" t="n"/>
      <c r="B1334" s="19" t="n"/>
      <c r="C1334" s="19" t="n"/>
      <c r="D1334" s="19" t="n"/>
      <c r="E1334" s="19" t="n"/>
      <c r="F1334" s="19" t="n"/>
      <c r="G1334" s="19" t="n"/>
      <c r="H1334" s="19" t="n"/>
      <c r="I1334" s="19" t="n"/>
      <c r="J1334" s="19" t="n"/>
      <c r="K1334" s="19" t="n"/>
      <c r="L1334" s="20" t="n"/>
      <c r="M1334" s="20" t="n"/>
      <c r="N1334" s="20" t="n"/>
      <c r="O1334" s="20" t="n"/>
      <c r="P1334" s="19" t="n"/>
      <c r="Q1334" s="19" t="n"/>
      <c r="R1334" s="20" t="n"/>
      <c r="S1334" s="20" t="n"/>
      <c r="T1334" s="19" t="n"/>
      <c r="U1334" s="19" t="n"/>
      <c r="V1334" s="19" t="n"/>
      <c r="W1334" s="19" t="n"/>
      <c r="X1334" s="19" t="n"/>
      <c r="Y1334" s="19" t="n"/>
      <c r="Z1334" s="21">
        <f>IF(AND($A1334="",$B1334=""),"",IF(OR($E1334="",$H1334="",$H1334="Proposed",$H1334="Not Reported"),0,IF(AND($P1334="Y",$Q1334&lt;&gt;"Y"),0,IF(AND($K1334="Point",N($L1334)&lt;=0),0,IF(AND(N($L1334)&lt;=0,N($N1334)&lt;=0,N($R1334)+N($S1334)&lt;=0),0,1)))))</f>
        <v/>
      </c>
      <c r="AA1334" s="21">
        <f>IF(AND($A1334="",$B1334=""),"",IF($E1334="","Site type missing",IF($H1334="","STATUS missing",IF($H1334="Proposed","STATUS = Proposed",IF($H1334="Not Reported","STATUS = Not Reported",IF(AND($P1334="Y",$Q1334&lt;&gt;"Y"),"UNESCO-MAB Biosphere Reserve",IF(AND($K1334="Point",N($L1334)&lt;=0),"Point without REP_AREA",IF(AND(N($L1334)&lt;=0,N($N1334)&lt;=0,N($R1334)+N($S1334)&lt;=0),"No area information",""))))))))</f>
        <v/>
      </c>
      <c r="AB1334" s="22">
        <f>IF(AND($A1334="",$B1334=""),"",IF($K1334="Point",N($L1334),IF(N($N1334)&gt;0,N($N1334),N($L1334))))</f>
        <v/>
      </c>
      <c r="AC1334" s="22">
        <f>IF(AND($A1334="",$B1334=""),"",MIN(AB1334,IF(N($J1334)=0,0,IF(N($J1334)=2,AB1334,IF(AND($K1334&lt;&gt;"Point",N($O1334)&gt;0),N($O1334),N($M1334))))))</f>
        <v/>
      </c>
      <c r="AD1334" s="22">
        <f>IF(AND($A1334="",$B1334=""),"",MAX(0,AB1334-AC1334))</f>
        <v/>
      </c>
      <c r="AE1334" s="21">
        <f>IF(AND($A1334="",$B1334=""),"",IF(OR($R1334&lt;&gt;"",$S1334&lt;&gt;""),1,0))</f>
        <v/>
      </c>
      <c r="AF1334" s="22">
        <f>IF(AND($A1334="",$B1334=""),"",IF(Z1334=1,IF(AE1334=1,N($R1334),AD1334),0))</f>
        <v/>
      </c>
      <c r="AG1334" s="22">
        <f>IF(AND($A1334="",$B1334=""),"",IF(Z1334=1,IF(AE1334=1,N($S1334),AC1334),0))</f>
        <v/>
      </c>
      <c r="AH1334" s="21">
        <f>IF(AND($A1334="",$B1334=""),"",IF(AND(ISNUMBER($I1334),N($I1334)&gt;0),$I1334,0))</f>
        <v/>
      </c>
      <c r="AI1334" s="23">
        <f>IF(AND(NOT(AND($A1334="",$B1334="")),$K1334="Point",N($L1334)&gt;0),SQRT(N($L1334)/PI()),"")</f>
        <v/>
      </c>
      <c r="AJ1334" s="21">
        <f>IF(AND($A1334="",$B1334=""),"",IFERROR(VLOOKUP($G1334,Lists!$D$4:$E$15,2,FALSE),"Not reported"))</f>
        <v/>
      </c>
      <c r="AK1334" s="21">
        <f>IF(AND($A1334="",$B1334=""),"",IF($X1334&lt;&gt;"",$X1334,IF($T1334&lt;&gt;"Y","Not assessed",IF(AND(ISNUMBER($V1334),Setup!$B$6-$V1334&gt;Setup!$B$26),"Assessment outdated",IF(NOT(ISNUMBER($W1334)),"Assessed – no score",IF($W1334&gt;=Setup!$B$24,"High",IF($W1334&gt;=Setup!$B$25,"Moderate","Low")))))))</f>
        <v/>
      </c>
      <c r="AL1334" s="21">
        <f>IF(AND($A1334="",$B1334=""),"",IF(Z1334=0,"",IF(AND(AE1334=1,N($R1334)&gt;AD1334*1.01+0.001),"Net terrestrial &gt; gross; ","")&amp;IF(AND(AE1334=1,N($S1334)&gt;AC1334*1.01+0.001),"Net marine &gt; gross; ","")&amp;IF(AE1334=0,"No net area – gross used, overlaps may be double-counted; ","")&amp;IF(AH1334=0,"STATUS_YR missing – imputed in time series; ","")&amp;IF(AND(ISNUMBER($I1334),N($I1334)&gt;Setup!$B$6),"STATUS_YR after reporting year; ","")&amp;IF(OR($G1334="",$G1334="Not Reported"),"GOV_TYPE not reported; ","")&amp;IF(AND(N($J1334)=1,$K1334="Point",N($M1334)&lt;=0),"Coastal point without REP_M_AREA – land/sea split unknown; ","")&amp;IF(AND(N($J1334)=0,N($S1334)&gt;0),"MARINE=0 but net marine &gt;0; ","")&amp;IF(AND(N($J1334)=2,N($R1334)&gt;0),"MARINE=2 but net terrestrial &gt;0; ","")&amp;IF($K1334="Point","Buffered point – coverage approximate; ","")))</f>
        <v/>
      </c>
    </row>
    <row r="1335">
      <c r="A1335" s="19" t="n"/>
      <c r="B1335" s="19" t="n"/>
      <c r="C1335" s="19" t="n"/>
      <c r="D1335" s="19" t="n"/>
      <c r="E1335" s="19" t="n"/>
      <c r="F1335" s="19" t="n"/>
      <c r="G1335" s="19" t="n"/>
      <c r="H1335" s="19" t="n"/>
      <c r="I1335" s="19" t="n"/>
      <c r="J1335" s="19" t="n"/>
      <c r="K1335" s="19" t="n"/>
      <c r="L1335" s="20" t="n"/>
      <c r="M1335" s="20" t="n"/>
      <c r="N1335" s="20" t="n"/>
      <c r="O1335" s="20" t="n"/>
      <c r="P1335" s="19" t="n"/>
      <c r="Q1335" s="19" t="n"/>
      <c r="R1335" s="20" t="n"/>
      <c r="S1335" s="20" t="n"/>
      <c r="T1335" s="19" t="n"/>
      <c r="U1335" s="19" t="n"/>
      <c r="V1335" s="19" t="n"/>
      <c r="W1335" s="19" t="n"/>
      <c r="X1335" s="19" t="n"/>
      <c r="Y1335" s="19" t="n"/>
      <c r="Z1335" s="21">
        <f>IF(AND($A1335="",$B1335=""),"",IF(OR($E1335="",$H1335="",$H1335="Proposed",$H1335="Not Reported"),0,IF(AND($P1335="Y",$Q1335&lt;&gt;"Y"),0,IF(AND($K1335="Point",N($L1335)&lt;=0),0,IF(AND(N($L1335)&lt;=0,N($N1335)&lt;=0,N($R1335)+N($S1335)&lt;=0),0,1)))))</f>
        <v/>
      </c>
      <c r="AA1335" s="21">
        <f>IF(AND($A1335="",$B1335=""),"",IF($E1335="","Site type missing",IF($H1335="","STATUS missing",IF($H1335="Proposed","STATUS = Proposed",IF($H1335="Not Reported","STATUS = Not Reported",IF(AND($P1335="Y",$Q1335&lt;&gt;"Y"),"UNESCO-MAB Biosphere Reserve",IF(AND($K1335="Point",N($L1335)&lt;=0),"Point without REP_AREA",IF(AND(N($L1335)&lt;=0,N($N1335)&lt;=0,N($R1335)+N($S1335)&lt;=0),"No area information",""))))))))</f>
        <v/>
      </c>
      <c r="AB1335" s="22">
        <f>IF(AND($A1335="",$B1335=""),"",IF($K1335="Point",N($L1335),IF(N($N1335)&gt;0,N($N1335),N($L1335))))</f>
        <v/>
      </c>
      <c r="AC1335" s="22">
        <f>IF(AND($A1335="",$B1335=""),"",MIN(AB1335,IF(N($J1335)=0,0,IF(N($J1335)=2,AB1335,IF(AND($K1335&lt;&gt;"Point",N($O1335)&gt;0),N($O1335),N($M1335))))))</f>
        <v/>
      </c>
      <c r="AD1335" s="22">
        <f>IF(AND($A1335="",$B1335=""),"",MAX(0,AB1335-AC1335))</f>
        <v/>
      </c>
      <c r="AE1335" s="21">
        <f>IF(AND($A1335="",$B1335=""),"",IF(OR($R1335&lt;&gt;"",$S1335&lt;&gt;""),1,0))</f>
        <v/>
      </c>
      <c r="AF1335" s="22">
        <f>IF(AND($A1335="",$B1335=""),"",IF(Z1335=1,IF(AE1335=1,N($R1335),AD1335),0))</f>
        <v/>
      </c>
      <c r="AG1335" s="22">
        <f>IF(AND($A1335="",$B1335=""),"",IF(Z1335=1,IF(AE1335=1,N($S1335),AC1335),0))</f>
        <v/>
      </c>
      <c r="AH1335" s="21">
        <f>IF(AND($A1335="",$B1335=""),"",IF(AND(ISNUMBER($I1335),N($I1335)&gt;0),$I1335,0))</f>
        <v/>
      </c>
      <c r="AI1335" s="23">
        <f>IF(AND(NOT(AND($A1335="",$B1335="")),$K1335="Point",N($L1335)&gt;0),SQRT(N($L1335)/PI()),"")</f>
        <v/>
      </c>
      <c r="AJ1335" s="21">
        <f>IF(AND($A1335="",$B1335=""),"",IFERROR(VLOOKUP($G1335,Lists!$D$4:$E$15,2,FALSE),"Not reported"))</f>
        <v/>
      </c>
      <c r="AK1335" s="21">
        <f>IF(AND($A1335="",$B1335=""),"",IF($X1335&lt;&gt;"",$X1335,IF($T1335&lt;&gt;"Y","Not assessed",IF(AND(ISNUMBER($V1335),Setup!$B$6-$V1335&gt;Setup!$B$26),"Assessment outdated",IF(NOT(ISNUMBER($W1335)),"Assessed – no score",IF($W1335&gt;=Setup!$B$24,"High",IF($W1335&gt;=Setup!$B$25,"Moderate","Low")))))))</f>
        <v/>
      </c>
      <c r="AL1335" s="21">
        <f>IF(AND($A1335="",$B1335=""),"",IF(Z1335=0,"",IF(AND(AE1335=1,N($R1335)&gt;AD1335*1.01+0.001),"Net terrestrial &gt; gross; ","")&amp;IF(AND(AE1335=1,N($S1335)&gt;AC1335*1.01+0.001),"Net marine &gt; gross; ","")&amp;IF(AE1335=0,"No net area – gross used, overlaps may be double-counted; ","")&amp;IF(AH1335=0,"STATUS_YR missing – imputed in time series; ","")&amp;IF(AND(ISNUMBER($I1335),N($I1335)&gt;Setup!$B$6),"STATUS_YR after reporting year; ","")&amp;IF(OR($G1335="",$G1335="Not Reported"),"GOV_TYPE not reported; ","")&amp;IF(AND(N($J1335)=1,$K1335="Point",N($M1335)&lt;=0),"Coastal point without REP_M_AREA – land/sea split unknown; ","")&amp;IF(AND(N($J1335)=0,N($S1335)&gt;0),"MARINE=0 but net marine &gt;0; ","")&amp;IF(AND(N($J1335)=2,N($R1335)&gt;0),"MARINE=2 but net terrestrial &gt;0; ","")&amp;IF($K1335="Point","Buffered point – coverage approximate; ","")))</f>
        <v/>
      </c>
    </row>
    <row r="1336">
      <c r="A1336" s="19" t="n"/>
      <c r="B1336" s="19" t="n"/>
      <c r="C1336" s="19" t="n"/>
      <c r="D1336" s="19" t="n"/>
      <c r="E1336" s="19" t="n"/>
      <c r="F1336" s="19" t="n"/>
      <c r="G1336" s="19" t="n"/>
      <c r="H1336" s="19" t="n"/>
      <c r="I1336" s="19" t="n"/>
      <c r="J1336" s="19" t="n"/>
      <c r="K1336" s="19" t="n"/>
      <c r="L1336" s="20" t="n"/>
      <c r="M1336" s="20" t="n"/>
      <c r="N1336" s="20" t="n"/>
      <c r="O1336" s="20" t="n"/>
      <c r="P1336" s="19" t="n"/>
      <c r="Q1336" s="19" t="n"/>
      <c r="R1336" s="20" t="n"/>
      <c r="S1336" s="20" t="n"/>
      <c r="T1336" s="19" t="n"/>
      <c r="U1336" s="19" t="n"/>
      <c r="V1336" s="19" t="n"/>
      <c r="W1336" s="19" t="n"/>
      <c r="X1336" s="19" t="n"/>
      <c r="Y1336" s="19" t="n"/>
      <c r="Z1336" s="21">
        <f>IF(AND($A1336="",$B1336=""),"",IF(OR($E1336="",$H1336="",$H1336="Proposed",$H1336="Not Reported"),0,IF(AND($P1336="Y",$Q1336&lt;&gt;"Y"),0,IF(AND($K1336="Point",N($L1336)&lt;=0),0,IF(AND(N($L1336)&lt;=0,N($N1336)&lt;=0,N($R1336)+N($S1336)&lt;=0),0,1)))))</f>
        <v/>
      </c>
      <c r="AA1336" s="21">
        <f>IF(AND($A1336="",$B1336=""),"",IF($E1336="","Site type missing",IF($H1336="","STATUS missing",IF($H1336="Proposed","STATUS = Proposed",IF($H1336="Not Reported","STATUS = Not Reported",IF(AND($P1336="Y",$Q1336&lt;&gt;"Y"),"UNESCO-MAB Biosphere Reserve",IF(AND($K1336="Point",N($L1336)&lt;=0),"Point without REP_AREA",IF(AND(N($L1336)&lt;=0,N($N1336)&lt;=0,N($R1336)+N($S1336)&lt;=0),"No area information",""))))))))</f>
        <v/>
      </c>
      <c r="AB1336" s="22">
        <f>IF(AND($A1336="",$B1336=""),"",IF($K1336="Point",N($L1336),IF(N($N1336)&gt;0,N($N1336),N($L1336))))</f>
        <v/>
      </c>
      <c r="AC1336" s="22">
        <f>IF(AND($A1336="",$B1336=""),"",MIN(AB1336,IF(N($J1336)=0,0,IF(N($J1336)=2,AB1336,IF(AND($K1336&lt;&gt;"Point",N($O1336)&gt;0),N($O1336),N($M1336))))))</f>
        <v/>
      </c>
      <c r="AD1336" s="22">
        <f>IF(AND($A1336="",$B1336=""),"",MAX(0,AB1336-AC1336))</f>
        <v/>
      </c>
      <c r="AE1336" s="21">
        <f>IF(AND($A1336="",$B1336=""),"",IF(OR($R1336&lt;&gt;"",$S1336&lt;&gt;""),1,0))</f>
        <v/>
      </c>
      <c r="AF1336" s="22">
        <f>IF(AND($A1336="",$B1336=""),"",IF(Z1336=1,IF(AE1336=1,N($R1336),AD1336),0))</f>
        <v/>
      </c>
      <c r="AG1336" s="22">
        <f>IF(AND($A1336="",$B1336=""),"",IF(Z1336=1,IF(AE1336=1,N($S1336),AC1336),0))</f>
        <v/>
      </c>
      <c r="AH1336" s="21">
        <f>IF(AND($A1336="",$B1336=""),"",IF(AND(ISNUMBER($I1336),N($I1336)&gt;0),$I1336,0))</f>
        <v/>
      </c>
      <c r="AI1336" s="23">
        <f>IF(AND(NOT(AND($A1336="",$B1336="")),$K1336="Point",N($L1336)&gt;0),SQRT(N($L1336)/PI()),"")</f>
        <v/>
      </c>
      <c r="AJ1336" s="21">
        <f>IF(AND($A1336="",$B1336=""),"",IFERROR(VLOOKUP($G1336,Lists!$D$4:$E$15,2,FALSE),"Not reported"))</f>
        <v/>
      </c>
      <c r="AK1336" s="21">
        <f>IF(AND($A1336="",$B1336=""),"",IF($X1336&lt;&gt;"",$X1336,IF($T1336&lt;&gt;"Y","Not assessed",IF(AND(ISNUMBER($V1336),Setup!$B$6-$V1336&gt;Setup!$B$26),"Assessment outdated",IF(NOT(ISNUMBER($W1336)),"Assessed – no score",IF($W1336&gt;=Setup!$B$24,"High",IF($W1336&gt;=Setup!$B$25,"Moderate","Low")))))))</f>
        <v/>
      </c>
      <c r="AL1336" s="21">
        <f>IF(AND($A1336="",$B1336=""),"",IF(Z1336=0,"",IF(AND(AE1336=1,N($R1336)&gt;AD1336*1.01+0.001),"Net terrestrial &gt; gross; ","")&amp;IF(AND(AE1336=1,N($S1336)&gt;AC1336*1.01+0.001),"Net marine &gt; gross; ","")&amp;IF(AE1336=0,"No net area – gross used, overlaps may be double-counted; ","")&amp;IF(AH1336=0,"STATUS_YR missing – imputed in time series; ","")&amp;IF(AND(ISNUMBER($I1336),N($I1336)&gt;Setup!$B$6),"STATUS_YR after reporting year; ","")&amp;IF(OR($G1336="",$G1336="Not Reported"),"GOV_TYPE not reported; ","")&amp;IF(AND(N($J1336)=1,$K1336="Point",N($M1336)&lt;=0),"Coastal point without REP_M_AREA – land/sea split unknown; ","")&amp;IF(AND(N($J1336)=0,N($S1336)&gt;0),"MARINE=0 but net marine &gt;0; ","")&amp;IF(AND(N($J1336)=2,N($R1336)&gt;0),"MARINE=2 but net terrestrial &gt;0; ","")&amp;IF($K1336="Point","Buffered point – coverage approximate; ","")))</f>
        <v/>
      </c>
    </row>
    <row r="1337">
      <c r="A1337" s="19" t="n"/>
      <c r="B1337" s="19" t="n"/>
      <c r="C1337" s="19" t="n"/>
      <c r="D1337" s="19" t="n"/>
      <c r="E1337" s="19" t="n"/>
      <c r="F1337" s="19" t="n"/>
      <c r="G1337" s="19" t="n"/>
      <c r="H1337" s="19" t="n"/>
      <c r="I1337" s="19" t="n"/>
      <c r="J1337" s="19" t="n"/>
      <c r="K1337" s="19" t="n"/>
      <c r="L1337" s="20" t="n"/>
      <c r="M1337" s="20" t="n"/>
      <c r="N1337" s="20" t="n"/>
      <c r="O1337" s="20" t="n"/>
      <c r="P1337" s="19" t="n"/>
      <c r="Q1337" s="19" t="n"/>
      <c r="R1337" s="20" t="n"/>
      <c r="S1337" s="20" t="n"/>
      <c r="T1337" s="19" t="n"/>
      <c r="U1337" s="19" t="n"/>
      <c r="V1337" s="19" t="n"/>
      <c r="W1337" s="19" t="n"/>
      <c r="X1337" s="19" t="n"/>
      <c r="Y1337" s="19" t="n"/>
      <c r="Z1337" s="21">
        <f>IF(AND($A1337="",$B1337=""),"",IF(OR($E1337="",$H1337="",$H1337="Proposed",$H1337="Not Reported"),0,IF(AND($P1337="Y",$Q1337&lt;&gt;"Y"),0,IF(AND($K1337="Point",N($L1337)&lt;=0),0,IF(AND(N($L1337)&lt;=0,N($N1337)&lt;=0,N($R1337)+N($S1337)&lt;=0),0,1)))))</f>
        <v/>
      </c>
      <c r="AA1337" s="21">
        <f>IF(AND($A1337="",$B1337=""),"",IF($E1337="","Site type missing",IF($H1337="","STATUS missing",IF($H1337="Proposed","STATUS = Proposed",IF($H1337="Not Reported","STATUS = Not Reported",IF(AND($P1337="Y",$Q1337&lt;&gt;"Y"),"UNESCO-MAB Biosphere Reserve",IF(AND($K1337="Point",N($L1337)&lt;=0),"Point without REP_AREA",IF(AND(N($L1337)&lt;=0,N($N1337)&lt;=0,N($R1337)+N($S1337)&lt;=0),"No area information",""))))))))</f>
        <v/>
      </c>
      <c r="AB1337" s="22">
        <f>IF(AND($A1337="",$B1337=""),"",IF($K1337="Point",N($L1337),IF(N($N1337)&gt;0,N($N1337),N($L1337))))</f>
        <v/>
      </c>
      <c r="AC1337" s="22">
        <f>IF(AND($A1337="",$B1337=""),"",MIN(AB1337,IF(N($J1337)=0,0,IF(N($J1337)=2,AB1337,IF(AND($K1337&lt;&gt;"Point",N($O1337)&gt;0),N($O1337),N($M1337))))))</f>
        <v/>
      </c>
      <c r="AD1337" s="22">
        <f>IF(AND($A1337="",$B1337=""),"",MAX(0,AB1337-AC1337))</f>
        <v/>
      </c>
      <c r="AE1337" s="21">
        <f>IF(AND($A1337="",$B1337=""),"",IF(OR($R1337&lt;&gt;"",$S1337&lt;&gt;""),1,0))</f>
        <v/>
      </c>
      <c r="AF1337" s="22">
        <f>IF(AND($A1337="",$B1337=""),"",IF(Z1337=1,IF(AE1337=1,N($R1337),AD1337),0))</f>
        <v/>
      </c>
      <c r="AG1337" s="22">
        <f>IF(AND($A1337="",$B1337=""),"",IF(Z1337=1,IF(AE1337=1,N($S1337),AC1337),0))</f>
        <v/>
      </c>
      <c r="AH1337" s="21">
        <f>IF(AND($A1337="",$B1337=""),"",IF(AND(ISNUMBER($I1337),N($I1337)&gt;0),$I1337,0))</f>
        <v/>
      </c>
      <c r="AI1337" s="23">
        <f>IF(AND(NOT(AND($A1337="",$B1337="")),$K1337="Point",N($L1337)&gt;0),SQRT(N($L1337)/PI()),"")</f>
        <v/>
      </c>
      <c r="AJ1337" s="21">
        <f>IF(AND($A1337="",$B1337=""),"",IFERROR(VLOOKUP($G1337,Lists!$D$4:$E$15,2,FALSE),"Not reported"))</f>
        <v/>
      </c>
      <c r="AK1337" s="21">
        <f>IF(AND($A1337="",$B1337=""),"",IF($X1337&lt;&gt;"",$X1337,IF($T1337&lt;&gt;"Y","Not assessed",IF(AND(ISNUMBER($V1337),Setup!$B$6-$V1337&gt;Setup!$B$26),"Assessment outdated",IF(NOT(ISNUMBER($W1337)),"Assessed – no score",IF($W1337&gt;=Setup!$B$24,"High",IF($W1337&gt;=Setup!$B$25,"Moderate","Low")))))))</f>
        <v/>
      </c>
      <c r="AL1337" s="21">
        <f>IF(AND($A1337="",$B1337=""),"",IF(Z1337=0,"",IF(AND(AE1337=1,N($R1337)&gt;AD1337*1.01+0.001),"Net terrestrial &gt; gross; ","")&amp;IF(AND(AE1337=1,N($S1337)&gt;AC1337*1.01+0.001),"Net marine &gt; gross; ","")&amp;IF(AE1337=0,"No net area – gross used, overlaps may be double-counted; ","")&amp;IF(AH1337=0,"STATUS_YR missing – imputed in time series; ","")&amp;IF(AND(ISNUMBER($I1337),N($I1337)&gt;Setup!$B$6),"STATUS_YR after reporting year; ","")&amp;IF(OR($G1337="",$G1337="Not Reported"),"GOV_TYPE not reported; ","")&amp;IF(AND(N($J1337)=1,$K1337="Point",N($M1337)&lt;=0),"Coastal point without REP_M_AREA – land/sea split unknown; ","")&amp;IF(AND(N($J1337)=0,N($S1337)&gt;0),"MARINE=0 but net marine &gt;0; ","")&amp;IF(AND(N($J1337)=2,N($R1337)&gt;0),"MARINE=2 but net terrestrial &gt;0; ","")&amp;IF($K1337="Point","Buffered point – coverage approximate; ","")))</f>
        <v/>
      </c>
    </row>
    <row r="1338">
      <c r="A1338" s="19" t="n"/>
      <c r="B1338" s="19" t="n"/>
      <c r="C1338" s="19" t="n"/>
      <c r="D1338" s="19" t="n"/>
      <c r="E1338" s="19" t="n"/>
      <c r="F1338" s="19" t="n"/>
      <c r="G1338" s="19" t="n"/>
      <c r="H1338" s="19" t="n"/>
      <c r="I1338" s="19" t="n"/>
      <c r="J1338" s="19" t="n"/>
      <c r="K1338" s="19" t="n"/>
      <c r="L1338" s="20" t="n"/>
      <c r="M1338" s="20" t="n"/>
      <c r="N1338" s="20" t="n"/>
      <c r="O1338" s="20" t="n"/>
      <c r="P1338" s="19" t="n"/>
      <c r="Q1338" s="19" t="n"/>
      <c r="R1338" s="20" t="n"/>
      <c r="S1338" s="20" t="n"/>
      <c r="T1338" s="19" t="n"/>
      <c r="U1338" s="19" t="n"/>
      <c r="V1338" s="19" t="n"/>
      <c r="W1338" s="19" t="n"/>
      <c r="X1338" s="19" t="n"/>
      <c r="Y1338" s="19" t="n"/>
      <c r="Z1338" s="21">
        <f>IF(AND($A1338="",$B1338=""),"",IF(OR($E1338="",$H1338="",$H1338="Proposed",$H1338="Not Reported"),0,IF(AND($P1338="Y",$Q1338&lt;&gt;"Y"),0,IF(AND($K1338="Point",N($L1338)&lt;=0),0,IF(AND(N($L1338)&lt;=0,N($N1338)&lt;=0,N($R1338)+N($S1338)&lt;=0),0,1)))))</f>
        <v/>
      </c>
      <c r="AA1338" s="21">
        <f>IF(AND($A1338="",$B1338=""),"",IF($E1338="","Site type missing",IF($H1338="","STATUS missing",IF($H1338="Proposed","STATUS = Proposed",IF($H1338="Not Reported","STATUS = Not Reported",IF(AND($P1338="Y",$Q1338&lt;&gt;"Y"),"UNESCO-MAB Biosphere Reserve",IF(AND($K1338="Point",N($L1338)&lt;=0),"Point without REP_AREA",IF(AND(N($L1338)&lt;=0,N($N1338)&lt;=0,N($R1338)+N($S1338)&lt;=0),"No area information",""))))))))</f>
        <v/>
      </c>
      <c r="AB1338" s="22">
        <f>IF(AND($A1338="",$B1338=""),"",IF($K1338="Point",N($L1338),IF(N($N1338)&gt;0,N($N1338),N($L1338))))</f>
        <v/>
      </c>
      <c r="AC1338" s="22">
        <f>IF(AND($A1338="",$B1338=""),"",MIN(AB1338,IF(N($J1338)=0,0,IF(N($J1338)=2,AB1338,IF(AND($K1338&lt;&gt;"Point",N($O1338)&gt;0),N($O1338),N($M1338))))))</f>
        <v/>
      </c>
      <c r="AD1338" s="22">
        <f>IF(AND($A1338="",$B1338=""),"",MAX(0,AB1338-AC1338))</f>
        <v/>
      </c>
      <c r="AE1338" s="21">
        <f>IF(AND($A1338="",$B1338=""),"",IF(OR($R1338&lt;&gt;"",$S1338&lt;&gt;""),1,0))</f>
        <v/>
      </c>
      <c r="AF1338" s="22">
        <f>IF(AND($A1338="",$B1338=""),"",IF(Z1338=1,IF(AE1338=1,N($R1338),AD1338),0))</f>
        <v/>
      </c>
      <c r="AG1338" s="22">
        <f>IF(AND($A1338="",$B1338=""),"",IF(Z1338=1,IF(AE1338=1,N($S1338),AC1338),0))</f>
        <v/>
      </c>
      <c r="AH1338" s="21">
        <f>IF(AND($A1338="",$B1338=""),"",IF(AND(ISNUMBER($I1338),N($I1338)&gt;0),$I1338,0))</f>
        <v/>
      </c>
      <c r="AI1338" s="23">
        <f>IF(AND(NOT(AND($A1338="",$B1338="")),$K1338="Point",N($L1338)&gt;0),SQRT(N($L1338)/PI()),"")</f>
        <v/>
      </c>
      <c r="AJ1338" s="21">
        <f>IF(AND($A1338="",$B1338=""),"",IFERROR(VLOOKUP($G1338,Lists!$D$4:$E$15,2,FALSE),"Not reported"))</f>
        <v/>
      </c>
      <c r="AK1338" s="21">
        <f>IF(AND($A1338="",$B1338=""),"",IF($X1338&lt;&gt;"",$X1338,IF($T1338&lt;&gt;"Y","Not assessed",IF(AND(ISNUMBER($V1338),Setup!$B$6-$V1338&gt;Setup!$B$26),"Assessment outdated",IF(NOT(ISNUMBER($W1338)),"Assessed – no score",IF($W1338&gt;=Setup!$B$24,"High",IF($W1338&gt;=Setup!$B$25,"Moderate","Low")))))))</f>
        <v/>
      </c>
      <c r="AL1338" s="21">
        <f>IF(AND($A1338="",$B1338=""),"",IF(Z1338=0,"",IF(AND(AE1338=1,N($R1338)&gt;AD1338*1.01+0.001),"Net terrestrial &gt; gross; ","")&amp;IF(AND(AE1338=1,N($S1338)&gt;AC1338*1.01+0.001),"Net marine &gt; gross; ","")&amp;IF(AE1338=0,"No net area – gross used, overlaps may be double-counted; ","")&amp;IF(AH1338=0,"STATUS_YR missing – imputed in time series; ","")&amp;IF(AND(ISNUMBER($I1338),N($I1338)&gt;Setup!$B$6),"STATUS_YR after reporting year; ","")&amp;IF(OR($G1338="",$G1338="Not Reported"),"GOV_TYPE not reported; ","")&amp;IF(AND(N($J1338)=1,$K1338="Point",N($M1338)&lt;=0),"Coastal point without REP_M_AREA – land/sea split unknown; ","")&amp;IF(AND(N($J1338)=0,N($S1338)&gt;0),"MARINE=0 but net marine &gt;0; ","")&amp;IF(AND(N($J1338)=2,N($R1338)&gt;0),"MARINE=2 but net terrestrial &gt;0; ","")&amp;IF($K1338="Point","Buffered point – coverage approximate; ","")))</f>
        <v/>
      </c>
    </row>
    <row r="1339">
      <c r="A1339" s="19" t="n"/>
      <c r="B1339" s="19" t="n"/>
      <c r="C1339" s="19" t="n"/>
      <c r="D1339" s="19" t="n"/>
      <c r="E1339" s="19" t="n"/>
      <c r="F1339" s="19" t="n"/>
      <c r="G1339" s="19" t="n"/>
      <c r="H1339" s="19" t="n"/>
      <c r="I1339" s="19" t="n"/>
      <c r="J1339" s="19" t="n"/>
      <c r="K1339" s="19" t="n"/>
      <c r="L1339" s="20" t="n"/>
      <c r="M1339" s="20" t="n"/>
      <c r="N1339" s="20" t="n"/>
      <c r="O1339" s="20" t="n"/>
      <c r="P1339" s="19" t="n"/>
      <c r="Q1339" s="19" t="n"/>
      <c r="R1339" s="20" t="n"/>
      <c r="S1339" s="20" t="n"/>
      <c r="T1339" s="19" t="n"/>
      <c r="U1339" s="19" t="n"/>
      <c r="V1339" s="19" t="n"/>
      <c r="W1339" s="19" t="n"/>
      <c r="X1339" s="19" t="n"/>
      <c r="Y1339" s="19" t="n"/>
      <c r="Z1339" s="21">
        <f>IF(AND($A1339="",$B1339=""),"",IF(OR($E1339="",$H1339="",$H1339="Proposed",$H1339="Not Reported"),0,IF(AND($P1339="Y",$Q1339&lt;&gt;"Y"),0,IF(AND($K1339="Point",N($L1339)&lt;=0),0,IF(AND(N($L1339)&lt;=0,N($N1339)&lt;=0,N($R1339)+N($S1339)&lt;=0),0,1)))))</f>
        <v/>
      </c>
      <c r="AA1339" s="21">
        <f>IF(AND($A1339="",$B1339=""),"",IF($E1339="","Site type missing",IF($H1339="","STATUS missing",IF($H1339="Proposed","STATUS = Proposed",IF($H1339="Not Reported","STATUS = Not Reported",IF(AND($P1339="Y",$Q1339&lt;&gt;"Y"),"UNESCO-MAB Biosphere Reserve",IF(AND($K1339="Point",N($L1339)&lt;=0),"Point without REP_AREA",IF(AND(N($L1339)&lt;=0,N($N1339)&lt;=0,N($R1339)+N($S1339)&lt;=0),"No area information",""))))))))</f>
        <v/>
      </c>
      <c r="AB1339" s="22">
        <f>IF(AND($A1339="",$B1339=""),"",IF($K1339="Point",N($L1339),IF(N($N1339)&gt;0,N($N1339),N($L1339))))</f>
        <v/>
      </c>
      <c r="AC1339" s="22">
        <f>IF(AND($A1339="",$B1339=""),"",MIN(AB1339,IF(N($J1339)=0,0,IF(N($J1339)=2,AB1339,IF(AND($K1339&lt;&gt;"Point",N($O1339)&gt;0),N($O1339),N($M1339))))))</f>
        <v/>
      </c>
      <c r="AD1339" s="22">
        <f>IF(AND($A1339="",$B1339=""),"",MAX(0,AB1339-AC1339))</f>
        <v/>
      </c>
      <c r="AE1339" s="21">
        <f>IF(AND($A1339="",$B1339=""),"",IF(OR($R1339&lt;&gt;"",$S1339&lt;&gt;""),1,0))</f>
        <v/>
      </c>
      <c r="AF1339" s="22">
        <f>IF(AND($A1339="",$B1339=""),"",IF(Z1339=1,IF(AE1339=1,N($R1339),AD1339),0))</f>
        <v/>
      </c>
      <c r="AG1339" s="22">
        <f>IF(AND($A1339="",$B1339=""),"",IF(Z1339=1,IF(AE1339=1,N($S1339),AC1339),0))</f>
        <v/>
      </c>
      <c r="AH1339" s="21">
        <f>IF(AND($A1339="",$B1339=""),"",IF(AND(ISNUMBER($I1339),N($I1339)&gt;0),$I1339,0))</f>
        <v/>
      </c>
      <c r="AI1339" s="23">
        <f>IF(AND(NOT(AND($A1339="",$B1339="")),$K1339="Point",N($L1339)&gt;0),SQRT(N($L1339)/PI()),"")</f>
        <v/>
      </c>
      <c r="AJ1339" s="21">
        <f>IF(AND($A1339="",$B1339=""),"",IFERROR(VLOOKUP($G1339,Lists!$D$4:$E$15,2,FALSE),"Not reported"))</f>
        <v/>
      </c>
      <c r="AK1339" s="21">
        <f>IF(AND($A1339="",$B1339=""),"",IF($X1339&lt;&gt;"",$X1339,IF($T1339&lt;&gt;"Y","Not assessed",IF(AND(ISNUMBER($V1339),Setup!$B$6-$V1339&gt;Setup!$B$26),"Assessment outdated",IF(NOT(ISNUMBER($W1339)),"Assessed – no score",IF($W1339&gt;=Setup!$B$24,"High",IF($W1339&gt;=Setup!$B$25,"Moderate","Low")))))))</f>
        <v/>
      </c>
      <c r="AL1339" s="21">
        <f>IF(AND($A1339="",$B1339=""),"",IF(Z1339=0,"",IF(AND(AE1339=1,N($R1339)&gt;AD1339*1.01+0.001),"Net terrestrial &gt; gross; ","")&amp;IF(AND(AE1339=1,N($S1339)&gt;AC1339*1.01+0.001),"Net marine &gt; gross; ","")&amp;IF(AE1339=0,"No net area – gross used, overlaps may be double-counted; ","")&amp;IF(AH1339=0,"STATUS_YR missing – imputed in time series; ","")&amp;IF(AND(ISNUMBER($I1339),N($I1339)&gt;Setup!$B$6),"STATUS_YR after reporting year; ","")&amp;IF(OR($G1339="",$G1339="Not Reported"),"GOV_TYPE not reported; ","")&amp;IF(AND(N($J1339)=1,$K1339="Point",N($M1339)&lt;=0),"Coastal point without REP_M_AREA – land/sea split unknown; ","")&amp;IF(AND(N($J1339)=0,N($S1339)&gt;0),"MARINE=0 but net marine &gt;0; ","")&amp;IF(AND(N($J1339)=2,N($R1339)&gt;0),"MARINE=2 but net terrestrial &gt;0; ","")&amp;IF($K1339="Point","Buffered point – coverage approximate; ","")))</f>
        <v/>
      </c>
    </row>
    <row r="1340">
      <c r="A1340" s="19" t="n"/>
      <c r="B1340" s="19" t="n"/>
      <c r="C1340" s="19" t="n"/>
      <c r="D1340" s="19" t="n"/>
      <c r="E1340" s="19" t="n"/>
      <c r="F1340" s="19" t="n"/>
      <c r="G1340" s="19" t="n"/>
      <c r="H1340" s="19" t="n"/>
      <c r="I1340" s="19" t="n"/>
      <c r="J1340" s="19" t="n"/>
      <c r="K1340" s="19" t="n"/>
      <c r="L1340" s="20" t="n"/>
      <c r="M1340" s="20" t="n"/>
      <c r="N1340" s="20" t="n"/>
      <c r="O1340" s="20" t="n"/>
      <c r="P1340" s="19" t="n"/>
      <c r="Q1340" s="19" t="n"/>
      <c r="R1340" s="20" t="n"/>
      <c r="S1340" s="20" t="n"/>
      <c r="T1340" s="19" t="n"/>
      <c r="U1340" s="19" t="n"/>
      <c r="V1340" s="19" t="n"/>
      <c r="W1340" s="19" t="n"/>
      <c r="X1340" s="19" t="n"/>
      <c r="Y1340" s="19" t="n"/>
      <c r="Z1340" s="21">
        <f>IF(AND($A1340="",$B1340=""),"",IF(OR($E1340="",$H1340="",$H1340="Proposed",$H1340="Not Reported"),0,IF(AND($P1340="Y",$Q1340&lt;&gt;"Y"),0,IF(AND($K1340="Point",N($L1340)&lt;=0),0,IF(AND(N($L1340)&lt;=0,N($N1340)&lt;=0,N($R1340)+N($S1340)&lt;=0),0,1)))))</f>
        <v/>
      </c>
      <c r="AA1340" s="21">
        <f>IF(AND($A1340="",$B1340=""),"",IF($E1340="","Site type missing",IF($H1340="","STATUS missing",IF($H1340="Proposed","STATUS = Proposed",IF($H1340="Not Reported","STATUS = Not Reported",IF(AND($P1340="Y",$Q1340&lt;&gt;"Y"),"UNESCO-MAB Biosphere Reserve",IF(AND($K1340="Point",N($L1340)&lt;=0),"Point without REP_AREA",IF(AND(N($L1340)&lt;=0,N($N1340)&lt;=0,N($R1340)+N($S1340)&lt;=0),"No area information",""))))))))</f>
        <v/>
      </c>
      <c r="AB1340" s="22">
        <f>IF(AND($A1340="",$B1340=""),"",IF($K1340="Point",N($L1340),IF(N($N1340)&gt;0,N($N1340),N($L1340))))</f>
        <v/>
      </c>
      <c r="AC1340" s="22">
        <f>IF(AND($A1340="",$B1340=""),"",MIN(AB1340,IF(N($J1340)=0,0,IF(N($J1340)=2,AB1340,IF(AND($K1340&lt;&gt;"Point",N($O1340)&gt;0),N($O1340),N($M1340))))))</f>
        <v/>
      </c>
      <c r="AD1340" s="22">
        <f>IF(AND($A1340="",$B1340=""),"",MAX(0,AB1340-AC1340))</f>
        <v/>
      </c>
      <c r="AE1340" s="21">
        <f>IF(AND($A1340="",$B1340=""),"",IF(OR($R1340&lt;&gt;"",$S1340&lt;&gt;""),1,0))</f>
        <v/>
      </c>
      <c r="AF1340" s="22">
        <f>IF(AND($A1340="",$B1340=""),"",IF(Z1340=1,IF(AE1340=1,N($R1340),AD1340),0))</f>
        <v/>
      </c>
      <c r="AG1340" s="22">
        <f>IF(AND($A1340="",$B1340=""),"",IF(Z1340=1,IF(AE1340=1,N($S1340),AC1340),0))</f>
        <v/>
      </c>
      <c r="AH1340" s="21">
        <f>IF(AND($A1340="",$B1340=""),"",IF(AND(ISNUMBER($I1340),N($I1340)&gt;0),$I1340,0))</f>
        <v/>
      </c>
      <c r="AI1340" s="23">
        <f>IF(AND(NOT(AND($A1340="",$B1340="")),$K1340="Point",N($L1340)&gt;0),SQRT(N($L1340)/PI()),"")</f>
        <v/>
      </c>
      <c r="AJ1340" s="21">
        <f>IF(AND($A1340="",$B1340=""),"",IFERROR(VLOOKUP($G1340,Lists!$D$4:$E$15,2,FALSE),"Not reported"))</f>
        <v/>
      </c>
      <c r="AK1340" s="21">
        <f>IF(AND($A1340="",$B1340=""),"",IF($X1340&lt;&gt;"",$X1340,IF($T1340&lt;&gt;"Y","Not assessed",IF(AND(ISNUMBER($V1340),Setup!$B$6-$V1340&gt;Setup!$B$26),"Assessment outdated",IF(NOT(ISNUMBER($W1340)),"Assessed – no score",IF($W1340&gt;=Setup!$B$24,"High",IF($W1340&gt;=Setup!$B$25,"Moderate","Low")))))))</f>
        <v/>
      </c>
      <c r="AL1340" s="21">
        <f>IF(AND($A1340="",$B1340=""),"",IF(Z1340=0,"",IF(AND(AE1340=1,N($R1340)&gt;AD1340*1.01+0.001),"Net terrestrial &gt; gross; ","")&amp;IF(AND(AE1340=1,N($S1340)&gt;AC1340*1.01+0.001),"Net marine &gt; gross; ","")&amp;IF(AE1340=0,"No net area – gross used, overlaps may be double-counted; ","")&amp;IF(AH1340=0,"STATUS_YR missing – imputed in time series; ","")&amp;IF(AND(ISNUMBER($I1340),N($I1340)&gt;Setup!$B$6),"STATUS_YR after reporting year; ","")&amp;IF(OR($G1340="",$G1340="Not Reported"),"GOV_TYPE not reported; ","")&amp;IF(AND(N($J1340)=1,$K1340="Point",N($M1340)&lt;=0),"Coastal point without REP_M_AREA – land/sea split unknown; ","")&amp;IF(AND(N($J1340)=0,N($S1340)&gt;0),"MARINE=0 but net marine &gt;0; ","")&amp;IF(AND(N($J1340)=2,N($R1340)&gt;0),"MARINE=2 but net terrestrial &gt;0; ","")&amp;IF($K1340="Point","Buffered point – coverage approximate; ","")))</f>
        <v/>
      </c>
    </row>
    <row r="1341">
      <c r="A1341" s="19" t="n"/>
      <c r="B1341" s="19" t="n"/>
      <c r="C1341" s="19" t="n"/>
      <c r="D1341" s="19" t="n"/>
      <c r="E1341" s="19" t="n"/>
      <c r="F1341" s="19" t="n"/>
      <c r="G1341" s="19" t="n"/>
      <c r="H1341" s="19" t="n"/>
      <c r="I1341" s="19" t="n"/>
      <c r="J1341" s="19" t="n"/>
      <c r="K1341" s="19" t="n"/>
      <c r="L1341" s="20" t="n"/>
      <c r="M1341" s="20" t="n"/>
      <c r="N1341" s="20" t="n"/>
      <c r="O1341" s="20" t="n"/>
      <c r="P1341" s="19" t="n"/>
      <c r="Q1341" s="19" t="n"/>
      <c r="R1341" s="20" t="n"/>
      <c r="S1341" s="20" t="n"/>
      <c r="T1341" s="19" t="n"/>
      <c r="U1341" s="19" t="n"/>
      <c r="V1341" s="19" t="n"/>
      <c r="W1341" s="19" t="n"/>
      <c r="X1341" s="19" t="n"/>
      <c r="Y1341" s="19" t="n"/>
      <c r="Z1341" s="21">
        <f>IF(AND($A1341="",$B1341=""),"",IF(OR($E1341="",$H1341="",$H1341="Proposed",$H1341="Not Reported"),0,IF(AND($P1341="Y",$Q1341&lt;&gt;"Y"),0,IF(AND($K1341="Point",N($L1341)&lt;=0),0,IF(AND(N($L1341)&lt;=0,N($N1341)&lt;=0,N($R1341)+N($S1341)&lt;=0),0,1)))))</f>
        <v/>
      </c>
      <c r="AA1341" s="21">
        <f>IF(AND($A1341="",$B1341=""),"",IF($E1341="","Site type missing",IF($H1341="","STATUS missing",IF($H1341="Proposed","STATUS = Proposed",IF($H1341="Not Reported","STATUS = Not Reported",IF(AND($P1341="Y",$Q1341&lt;&gt;"Y"),"UNESCO-MAB Biosphere Reserve",IF(AND($K1341="Point",N($L1341)&lt;=0),"Point without REP_AREA",IF(AND(N($L1341)&lt;=0,N($N1341)&lt;=0,N($R1341)+N($S1341)&lt;=0),"No area information",""))))))))</f>
        <v/>
      </c>
      <c r="AB1341" s="22">
        <f>IF(AND($A1341="",$B1341=""),"",IF($K1341="Point",N($L1341),IF(N($N1341)&gt;0,N($N1341),N($L1341))))</f>
        <v/>
      </c>
      <c r="AC1341" s="22">
        <f>IF(AND($A1341="",$B1341=""),"",MIN(AB1341,IF(N($J1341)=0,0,IF(N($J1341)=2,AB1341,IF(AND($K1341&lt;&gt;"Point",N($O1341)&gt;0),N($O1341),N($M1341))))))</f>
        <v/>
      </c>
      <c r="AD1341" s="22">
        <f>IF(AND($A1341="",$B1341=""),"",MAX(0,AB1341-AC1341))</f>
        <v/>
      </c>
      <c r="AE1341" s="21">
        <f>IF(AND($A1341="",$B1341=""),"",IF(OR($R1341&lt;&gt;"",$S1341&lt;&gt;""),1,0))</f>
        <v/>
      </c>
      <c r="AF1341" s="22">
        <f>IF(AND($A1341="",$B1341=""),"",IF(Z1341=1,IF(AE1341=1,N($R1341),AD1341),0))</f>
        <v/>
      </c>
      <c r="AG1341" s="22">
        <f>IF(AND($A1341="",$B1341=""),"",IF(Z1341=1,IF(AE1341=1,N($S1341),AC1341),0))</f>
        <v/>
      </c>
      <c r="AH1341" s="21">
        <f>IF(AND($A1341="",$B1341=""),"",IF(AND(ISNUMBER($I1341),N($I1341)&gt;0),$I1341,0))</f>
        <v/>
      </c>
      <c r="AI1341" s="23">
        <f>IF(AND(NOT(AND($A1341="",$B1341="")),$K1341="Point",N($L1341)&gt;0),SQRT(N($L1341)/PI()),"")</f>
        <v/>
      </c>
      <c r="AJ1341" s="21">
        <f>IF(AND($A1341="",$B1341=""),"",IFERROR(VLOOKUP($G1341,Lists!$D$4:$E$15,2,FALSE),"Not reported"))</f>
        <v/>
      </c>
      <c r="AK1341" s="21">
        <f>IF(AND($A1341="",$B1341=""),"",IF($X1341&lt;&gt;"",$X1341,IF($T1341&lt;&gt;"Y","Not assessed",IF(AND(ISNUMBER($V1341),Setup!$B$6-$V1341&gt;Setup!$B$26),"Assessment outdated",IF(NOT(ISNUMBER($W1341)),"Assessed – no score",IF($W1341&gt;=Setup!$B$24,"High",IF($W1341&gt;=Setup!$B$25,"Moderate","Low")))))))</f>
        <v/>
      </c>
      <c r="AL1341" s="21">
        <f>IF(AND($A1341="",$B1341=""),"",IF(Z1341=0,"",IF(AND(AE1341=1,N($R1341)&gt;AD1341*1.01+0.001),"Net terrestrial &gt; gross; ","")&amp;IF(AND(AE1341=1,N($S1341)&gt;AC1341*1.01+0.001),"Net marine &gt; gross; ","")&amp;IF(AE1341=0,"No net area – gross used, overlaps may be double-counted; ","")&amp;IF(AH1341=0,"STATUS_YR missing – imputed in time series; ","")&amp;IF(AND(ISNUMBER($I1341),N($I1341)&gt;Setup!$B$6),"STATUS_YR after reporting year; ","")&amp;IF(OR($G1341="",$G1341="Not Reported"),"GOV_TYPE not reported; ","")&amp;IF(AND(N($J1341)=1,$K1341="Point",N($M1341)&lt;=0),"Coastal point without REP_M_AREA – land/sea split unknown; ","")&amp;IF(AND(N($J1341)=0,N($S1341)&gt;0),"MARINE=0 but net marine &gt;0; ","")&amp;IF(AND(N($J1341)=2,N($R1341)&gt;0),"MARINE=2 but net terrestrial &gt;0; ","")&amp;IF($K1341="Point","Buffered point – coverage approximate; ","")))</f>
        <v/>
      </c>
    </row>
    <row r="1342">
      <c r="A1342" s="19" t="n"/>
      <c r="B1342" s="19" t="n"/>
      <c r="C1342" s="19" t="n"/>
      <c r="D1342" s="19" t="n"/>
      <c r="E1342" s="19" t="n"/>
      <c r="F1342" s="19" t="n"/>
      <c r="G1342" s="19" t="n"/>
      <c r="H1342" s="19" t="n"/>
      <c r="I1342" s="19" t="n"/>
      <c r="J1342" s="19" t="n"/>
      <c r="K1342" s="19" t="n"/>
      <c r="L1342" s="20" t="n"/>
      <c r="M1342" s="20" t="n"/>
      <c r="N1342" s="20" t="n"/>
      <c r="O1342" s="20" t="n"/>
      <c r="P1342" s="19" t="n"/>
      <c r="Q1342" s="19" t="n"/>
      <c r="R1342" s="20" t="n"/>
      <c r="S1342" s="20" t="n"/>
      <c r="T1342" s="19" t="n"/>
      <c r="U1342" s="19" t="n"/>
      <c r="V1342" s="19" t="n"/>
      <c r="W1342" s="19" t="n"/>
      <c r="X1342" s="19" t="n"/>
      <c r="Y1342" s="19" t="n"/>
      <c r="Z1342" s="21">
        <f>IF(AND($A1342="",$B1342=""),"",IF(OR($E1342="",$H1342="",$H1342="Proposed",$H1342="Not Reported"),0,IF(AND($P1342="Y",$Q1342&lt;&gt;"Y"),0,IF(AND($K1342="Point",N($L1342)&lt;=0),0,IF(AND(N($L1342)&lt;=0,N($N1342)&lt;=0,N($R1342)+N($S1342)&lt;=0),0,1)))))</f>
        <v/>
      </c>
      <c r="AA1342" s="21">
        <f>IF(AND($A1342="",$B1342=""),"",IF($E1342="","Site type missing",IF($H1342="","STATUS missing",IF($H1342="Proposed","STATUS = Proposed",IF($H1342="Not Reported","STATUS = Not Reported",IF(AND($P1342="Y",$Q1342&lt;&gt;"Y"),"UNESCO-MAB Biosphere Reserve",IF(AND($K1342="Point",N($L1342)&lt;=0),"Point without REP_AREA",IF(AND(N($L1342)&lt;=0,N($N1342)&lt;=0,N($R1342)+N($S1342)&lt;=0),"No area information",""))))))))</f>
        <v/>
      </c>
      <c r="AB1342" s="22">
        <f>IF(AND($A1342="",$B1342=""),"",IF($K1342="Point",N($L1342),IF(N($N1342)&gt;0,N($N1342),N($L1342))))</f>
        <v/>
      </c>
      <c r="AC1342" s="22">
        <f>IF(AND($A1342="",$B1342=""),"",MIN(AB1342,IF(N($J1342)=0,0,IF(N($J1342)=2,AB1342,IF(AND($K1342&lt;&gt;"Point",N($O1342)&gt;0),N($O1342),N($M1342))))))</f>
        <v/>
      </c>
      <c r="AD1342" s="22">
        <f>IF(AND($A1342="",$B1342=""),"",MAX(0,AB1342-AC1342))</f>
        <v/>
      </c>
      <c r="AE1342" s="21">
        <f>IF(AND($A1342="",$B1342=""),"",IF(OR($R1342&lt;&gt;"",$S1342&lt;&gt;""),1,0))</f>
        <v/>
      </c>
      <c r="AF1342" s="22">
        <f>IF(AND($A1342="",$B1342=""),"",IF(Z1342=1,IF(AE1342=1,N($R1342),AD1342),0))</f>
        <v/>
      </c>
      <c r="AG1342" s="22">
        <f>IF(AND($A1342="",$B1342=""),"",IF(Z1342=1,IF(AE1342=1,N($S1342),AC1342),0))</f>
        <v/>
      </c>
      <c r="AH1342" s="21">
        <f>IF(AND($A1342="",$B1342=""),"",IF(AND(ISNUMBER($I1342),N($I1342)&gt;0),$I1342,0))</f>
        <v/>
      </c>
      <c r="AI1342" s="23">
        <f>IF(AND(NOT(AND($A1342="",$B1342="")),$K1342="Point",N($L1342)&gt;0),SQRT(N($L1342)/PI()),"")</f>
        <v/>
      </c>
      <c r="AJ1342" s="21">
        <f>IF(AND($A1342="",$B1342=""),"",IFERROR(VLOOKUP($G1342,Lists!$D$4:$E$15,2,FALSE),"Not reported"))</f>
        <v/>
      </c>
      <c r="AK1342" s="21">
        <f>IF(AND($A1342="",$B1342=""),"",IF($X1342&lt;&gt;"",$X1342,IF($T1342&lt;&gt;"Y","Not assessed",IF(AND(ISNUMBER($V1342),Setup!$B$6-$V1342&gt;Setup!$B$26),"Assessment outdated",IF(NOT(ISNUMBER($W1342)),"Assessed – no score",IF($W1342&gt;=Setup!$B$24,"High",IF($W1342&gt;=Setup!$B$25,"Moderate","Low")))))))</f>
        <v/>
      </c>
      <c r="AL1342" s="21">
        <f>IF(AND($A1342="",$B1342=""),"",IF(Z1342=0,"",IF(AND(AE1342=1,N($R1342)&gt;AD1342*1.01+0.001),"Net terrestrial &gt; gross; ","")&amp;IF(AND(AE1342=1,N($S1342)&gt;AC1342*1.01+0.001),"Net marine &gt; gross; ","")&amp;IF(AE1342=0,"No net area – gross used, overlaps may be double-counted; ","")&amp;IF(AH1342=0,"STATUS_YR missing – imputed in time series; ","")&amp;IF(AND(ISNUMBER($I1342),N($I1342)&gt;Setup!$B$6),"STATUS_YR after reporting year; ","")&amp;IF(OR($G1342="",$G1342="Not Reported"),"GOV_TYPE not reported; ","")&amp;IF(AND(N($J1342)=1,$K1342="Point",N($M1342)&lt;=0),"Coastal point without REP_M_AREA – land/sea split unknown; ","")&amp;IF(AND(N($J1342)=0,N($S1342)&gt;0),"MARINE=0 but net marine &gt;0; ","")&amp;IF(AND(N($J1342)=2,N($R1342)&gt;0),"MARINE=2 but net terrestrial &gt;0; ","")&amp;IF($K1342="Point","Buffered point – coverage approximate; ","")))</f>
        <v/>
      </c>
    </row>
    <row r="1343">
      <c r="A1343" s="19" t="n"/>
      <c r="B1343" s="19" t="n"/>
      <c r="C1343" s="19" t="n"/>
      <c r="D1343" s="19" t="n"/>
      <c r="E1343" s="19" t="n"/>
      <c r="F1343" s="19" t="n"/>
      <c r="G1343" s="19" t="n"/>
      <c r="H1343" s="19" t="n"/>
      <c r="I1343" s="19" t="n"/>
      <c r="J1343" s="19" t="n"/>
      <c r="K1343" s="19" t="n"/>
      <c r="L1343" s="20" t="n"/>
      <c r="M1343" s="20" t="n"/>
      <c r="N1343" s="20" t="n"/>
      <c r="O1343" s="20" t="n"/>
      <c r="P1343" s="19" t="n"/>
      <c r="Q1343" s="19" t="n"/>
      <c r="R1343" s="20" t="n"/>
      <c r="S1343" s="20" t="n"/>
      <c r="T1343" s="19" t="n"/>
      <c r="U1343" s="19" t="n"/>
      <c r="V1343" s="19" t="n"/>
      <c r="W1343" s="19" t="n"/>
      <c r="X1343" s="19" t="n"/>
      <c r="Y1343" s="19" t="n"/>
      <c r="Z1343" s="21">
        <f>IF(AND($A1343="",$B1343=""),"",IF(OR($E1343="",$H1343="",$H1343="Proposed",$H1343="Not Reported"),0,IF(AND($P1343="Y",$Q1343&lt;&gt;"Y"),0,IF(AND($K1343="Point",N($L1343)&lt;=0),0,IF(AND(N($L1343)&lt;=0,N($N1343)&lt;=0,N($R1343)+N($S1343)&lt;=0),0,1)))))</f>
        <v/>
      </c>
      <c r="AA1343" s="21">
        <f>IF(AND($A1343="",$B1343=""),"",IF($E1343="","Site type missing",IF($H1343="","STATUS missing",IF($H1343="Proposed","STATUS = Proposed",IF($H1343="Not Reported","STATUS = Not Reported",IF(AND($P1343="Y",$Q1343&lt;&gt;"Y"),"UNESCO-MAB Biosphere Reserve",IF(AND($K1343="Point",N($L1343)&lt;=0),"Point without REP_AREA",IF(AND(N($L1343)&lt;=0,N($N1343)&lt;=0,N($R1343)+N($S1343)&lt;=0),"No area information",""))))))))</f>
        <v/>
      </c>
      <c r="AB1343" s="22">
        <f>IF(AND($A1343="",$B1343=""),"",IF($K1343="Point",N($L1343),IF(N($N1343)&gt;0,N($N1343),N($L1343))))</f>
        <v/>
      </c>
      <c r="AC1343" s="22">
        <f>IF(AND($A1343="",$B1343=""),"",MIN(AB1343,IF(N($J1343)=0,0,IF(N($J1343)=2,AB1343,IF(AND($K1343&lt;&gt;"Point",N($O1343)&gt;0),N($O1343),N($M1343))))))</f>
        <v/>
      </c>
      <c r="AD1343" s="22">
        <f>IF(AND($A1343="",$B1343=""),"",MAX(0,AB1343-AC1343))</f>
        <v/>
      </c>
      <c r="AE1343" s="21">
        <f>IF(AND($A1343="",$B1343=""),"",IF(OR($R1343&lt;&gt;"",$S1343&lt;&gt;""),1,0))</f>
        <v/>
      </c>
      <c r="AF1343" s="22">
        <f>IF(AND($A1343="",$B1343=""),"",IF(Z1343=1,IF(AE1343=1,N($R1343),AD1343),0))</f>
        <v/>
      </c>
      <c r="AG1343" s="22">
        <f>IF(AND($A1343="",$B1343=""),"",IF(Z1343=1,IF(AE1343=1,N($S1343),AC1343),0))</f>
        <v/>
      </c>
      <c r="AH1343" s="21">
        <f>IF(AND($A1343="",$B1343=""),"",IF(AND(ISNUMBER($I1343),N($I1343)&gt;0),$I1343,0))</f>
        <v/>
      </c>
      <c r="AI1343" s="23">
        <f>IF(AND(NOT(AND($A1343="",$B1343="")),$K1343="Point",N($L1343)&gt;0),SQRT(N($L1343)/PI()),"")</f>
        <v/>
      </c>
      <c r="AJ1343" s="21">
        <f>IF(AND($A1343="",$B1343=""),"",IFERROR(VLOOKUP($G1343,Lists!$D$4:$E$15,2,FALSE),"Not reported"))</f>
        <v/>
      </c>
      <c r="AK1343" s="21">
        <f>IF(AND($A1343="",$B1343=""),"",IF($X1343&lt;&gt;"",$X1343,IF($T1343&lt;&gt;"Y","Not assessed",IF(AND(ISNUMBER($V1343),Setup!$B$6-$V1343&gt;Setup!$B$26),"Assessment outdated",IF(NOT(ISNUMBER($W1343)),"Assessed – no score",IF($W1343&gt;=Setup!$B$24,"High",IF($W1343&gt;=Setup!$B$25,"Moderate","Low")))))))</f>
        <v/>
      </c>
      <c r="AL1343" s="21">
        <f>IF(AND($A1343="",$B1343=""),"",IF(Z1343=0,"",IF(AND(AE1343=1,N($R1343)&gt;AD1343*1.01+0.001),"Net terrestrial &gt; gross; ","")&amp;IF(AND(AE1343=1,N($S1343)&gt;AC1343*1.01+0.001),"Net marine &gt; gross; ","")&amp;IF(AE1343=0,"No net area – gross used, overlaps may be double-counted; ","")&amp;IF(AH1343=0,"STATUS_YR missing – imputed in time series; ","")&amp;IF(AND(ISNUMBER($I1343),N($I1343)&gt;Setup!$B$6),"STATUS_YR after reporting year; ","")&amp;IF(OR($G1343="",$G1343="Not Reported"),"GOV_TYPE not reported; ","")&amp;IF(AND(N($J1343)=1,$K1343="Point",N($M1343)&lt;=0),"Coastal point without REP_M_AREA – land/sea split unknown; ","")&amp;IF(AND(N($J1343)=0,N($S1343)&gt;0),"MARINE=0 but net marine &gt;0; ","")&amp;IF(AND(N($J1343)=2,N($R1343)&gt;0),"MARINE=2 but net terrestrial &gt;0; ","")&amp;IF($K1343="Point","Buffered point – coverage approximate; ","")))</f>
        <v/>
      </c>
    </row>
    <row r="1344">
      <c r="A1344" s="19" t="n"/>
      <c r="B1344" s="19" t="n"/>
      <c r="C1344" s="19" t="n"/>
      <c r="D1344" s="19" t="n"/>
      <c r="E1344" s="19" t="n"/>
      <c r="F1344" s="19" t="n"/>
      <c r="G1344" s="19" t="n"/>
      <c r="H1344" s="19" t="n"/>
      <c r="I1344" s="19" t="n"/>
      <c r="J1344" s="19" t="n"/>
      <c r="K1344" s="19" t="n"/>
      <c r="L1344" s="20" t="n"/>
      <c r="M1344" s="20" t="n"/>
      <c r="N1344" s="20" t="n"/>
      <c r="O1344" s="20" t="n"/>
      <c r="P1344" s="19" t="n"/>
      <c r="Q1344" s="19" t="n"/>
      <c r="R1344" s="20" t="n"/>
      <c r="S1344" s="20" t="n"/>
      <c r="T1344" s="19" t="n"/>
      <c r="U1344" s="19" t="n"/>
      <c r="V1344" s="19" t="n"/>
      <c r="W1344" s="19" t="n"/>
      <c r="X1344" s="19" t="n"/>
      <c r="Y1344" s="19" t="n"/>
      <c r="Z1344" s="21">
        <f>IF(AND($A1344="",$B1344=""),"",IF(OR($E1344="",$H1344="",$H1344="Proposed",$H1344="Not Reported"),0,IF(AND($P1344="Y",$Q1344&lt;&gt;"Y"),0,IF(AND($K1344="Point",N($L1344)&lt;=0),0,IF(AND(N($L1344)&lt;=0,N($N1344)&lt;=0,N($R1344)+N($S1344)&lt;=0),0,1)))))</f>
        <v/>
      </c>
      <c r="AA1344" s="21">
        <f>IF(AND($A1344="",$B1344=""),"",IF($E1344="","Site type missing",IF($H1344="","STATUS missing",IF($H1344="Proposed","STATUS = Proposed",IF($H1344="Not Reported","STATUS = Not Reported",IF(AND($P1344="Y",$Q1344&lt;&gt;"Y"),"UNESCO-MAB Biosphere Reserve",IF(AND($K1344="Point",N($L1344)&lt;=0),"Point without REP_AREA",IF(AND(N($L1344)&lt;=0,N($N1344)&lt;=0,N($R1344)+N($S1344)&lt;=0),"No area information",""))))))))</f>
        <v/>
      </c>
      <c r="AB1344" s="22">
        <f>IF(AND($A1344="",$B1344=""),"",IF($K1344="Point",N($L1344),IF(N($N1344)&gt;0,N($N1344),N($L1344))))</f>
        <v/>
      </c>
      <c r="AC1344" s="22">
        <f>IF(AND($A1344="",$B1344=""),"",MIN(AB1344,IF(N($J1344)=0,0,IF(N($J1344)=2,AB1344,IF(AND($K1344&lt;&gt;"Point",N($O1344)&gt;0),N($O1344),N($M1344))))))</f>
        <v/>
      </c>
      <c r="AD1344" s="22">
        <f>IF(AND($A1344="",$B1344=""),"",MAX(0,AB1344-AC1344))</f>
        <v/>
      </c>
      <c r="AE1344" s="21">
        <f>IF(AND($A1344="",$B1344=""),"",IF(OR($R1344&lt;&gt;"",$S1344&lt;&gt;""),1,0))</f>
        <v/>
      </c>
      <c r="AF1344" s="22">
        <f>IF(AND($A1344="",$B1344=""),"",IF(Z1344=1,IF(AE1344=1,N($R1344),AD1344),0))</f>
        <v/>
      </c>
      <c r="AG1344" s="22">
        <f>IF(AND($A1344="",$B1344=""),"",IF(Z1344=1,IF(AE1344=1,N($S1344),AC1344),0))</f>
        <v/>
      </c>
      <c r="AH1344" s="21">
        <f>IF(AND($A1344="",$B1344=""),"",IF(AND(ISNUMBER($I1344),N($I1344)&gt;0),$I1344,0))</f>
        <v/>
      </c>
      <c r="AI1344" s="23">
        <f>IF(AND(NOT(AND($A1344="",$B1344="")),$K1344="Point",N($L1344)&gt;0),SQRT(N($L1344)/PI()),"")</f>
        <v/>
      </c>
      <c r="AJ1344" s="21">
        <f>IF(AND($A1344="",$B1344=""),"",IFERROR(VLOOKUP($G1344,Lists!$D$4:$E$15,2,FALSE),"Not reported"))</f>
        <v/>
      </c>
      <c r="AK1344" s="21">
        <f>IF(AND($A1344="",$B1344=""),"",IF($X1344&lt;&gt;"",$X1344,IF($T1344&lt;&gt;"Y","Not assessed",IF(AND(ISNUMBER($V1344),Setup!$B$6-$V1344&gt;Setup!$B$26),"Assessment outdated",IF(NOT(ISNUMBER($W1344)),"Assessed – no score",IF($W1344&gt;=Setup!$B$24,"High",IF($W1344&gt;=Setup!$B$25,"Moderate","Low")))))))</f>
        <v/>
      </c>
      <c r="AL1344" s="21">
        <f>IF(AND($A1344="",$B1344=""),"",IF(Z1344=0,"",IF(AND(AE1344=1,N($R1344)&gt;AD1344*1.01+0.001),"Net terrestrial &gt; gross; ","")&amp;IF(AND(AE1344=1,N($S1344)&gt;AC1344*1.01+0.001),"Net marine &gt; gross; ","")&amp;IF(AE1344=0,"No net area – gross used, overlaps may be double-counted; ","")&amp;IF(AH1344=0,"STATUS_YR missing – imputed in time series; ","")&amp;IF(AND(ISNUMBER($I1344),N($I1344)&gt;Setup!$B$6),"STATUS_YR after reporting year; ","")&amp;IF(OR($G1344="",$G1344="Not Reported"),"GOV_TYPE not reported; ","")&amp;IF(AND(N($J1344)=1,$K1344="Point",N($M1344)&lt;=0),"Coastal point without REP_M_AREA – land/sea split unknown; ","")&amp;IF(AND(N($J1344)=0,N($S1344)&gt;0),"MARINE=0 but net marine &gt;0; ","")&amp;IF(AND(N($J1344)=2,N($R1344)&gt;0),"MARINE=2 but net terrestrial &gt;0; ","")&amp;IF($K1344="Point","Buffered point – coverage approximate; ","")))</f>
        <v/>
      </c>
    </row>
    <row r="1345">
      <c r="A1345" s="19" t="n"/>
      <c r="B1345" s="19" t="n"/>
      <c r="C1345" s="19" t="n"/>
      <c r="D1345" s="19" t="n"/>
      <c r="E1345" s="19" t="n"/>
      <c r="F1345" s="19" t="n"/>
      <c r="G1345" s="19" t="n"/>
      <c r="H1345" s="19" t="n"/>
      <c r="I1345" s="19" t="n"/>
      <c r="J1345" s="19" t="n"/>
      <c r="K1345" s="19" t="n"/>
      <c r="L1345" s="20" t="n"/>
      <c r="M1345" s="20" t="n"/>
      <c r="N1345" s="20" t="n"/>
      <c r="O1345" s="20" t="n"/>
      <c r="P1345" s="19" t="n"/>
      <c r="Q1345" s="19" t="n"/>
      <c r="R1345" s="20" t="n"/>
      <c r="S1345" s="20" t="n"/>
      <c r="T1345" s="19" t="n"/>
      <c r="U1345" s="19" t="n"/>
      <c r="V1345" s="19" t="n"/>
      <c r="W1345" s="19" t="n"/>
      <c r="X1345" s="19" t="n"/>
      <c r="Y1345" s="19" t="n"/>
      <c r="Z1345" s="21">
        <f>IF(AND($A1345="",$B1345=""),"",IF(OR($E1345="",$H1345="",$H1345="Proposed",$H1345="Not Reported"),0,IF(AND($P1345="Y",$Q1345&lt;&gt;"Y"),0,IF(AND($K1345="Point",N($L1345)&lt;=0),0,IF(AND(N($L1345)&lt;=0,N($N1345)&lt;=0,N($R1345)+N($S1345)&lt;=0),0,1)))))</f>
        <v/>
      </c>
      <c r="AA1345" s="21">
        <f>IF(AND($A1345="",$B1345=""),"",IF($E1345="","Site type missing",IF($H1345="","STATUS missing",IF($H1345="Proposed","STATUS = Proposed",IF($H1345="Not Reported","STATUS = Not Reported",IF(AND($P1345="Y",$Q1345&lt;&gt;"Y"),"UNESCO-MAB Biosphere Reserve",IF(AND($K1345="Point",N($L1345)&lt;=0),"Point without REP_AREA",IF(AND(N($L1345)&lt;=0,N($N1345)&lt;=0,N($R1345)+N($S1345)&lt;=0),"No area information",""))))))))</f>
        <v/>
      </c>
      <c r="AB1345" s="22">
        <f>IF(AND($A1345="",$B1345=""),"",IF($K1345="Point",N($L1345),IF(N($N1345)&gt;0,N($N1345),N($L1345))))</f>
        <v/>
      </c>
      <c r="AC1345" s="22">
        <f>IF(AND($A1345="",$B1345=""),"",MIN(AB1345,IF(N($J1345)=0,0,IF(N($J1345)=2,AB1345,IF(AND($K1345&lt;&gt;"Point",N($O1345)&gt;0),N($O1345),N($M1345))))))</f>
        <v/>
      </c>
      <c r="AD1345" s="22">
        <f>IF(AND($A1345="",$B1345=""),"",MAX(0,AB1345-AC1345))</f>
        <v/>
      </c>
      <c r="AE1345" s="21">
        <f>IF(AND($A1345="",$B1345=""),"",IF(OR($R1345&lt;&gt;"",$S1345&lt;&gt;""),1,0))</f>
        <v/>
      </c>
      <c r="AF1345" s="22">
        <f>IF(AND($A1345="",$B1345=""),"",IF(Z1345=1,IF(AE1345=1,N($R1345),AD1345),0))</f>
        <v/>
      </c>
      <c r="AG1345" s="22">
        <f>IF(AND($A1345="",$B1345=""),"",IF(Z1345=1,IF(AE1345=1,N($S1345),AC1345),0))</f>
        <v/>
      </c>
      <c r="AH1345" s="21">
        <f>IF(AND($A1345="",$B1345=""),"",IF(AND(ISNUMBER($I1345),N($I1345)&gt;0),$I1345,0))</f>
        <v/>
      </c>
      <c r="AI1345" s="23">
        <f>IF(AND(NOT(AND($A1345="",$B1345="")),$K1345="Point",N($L1345)&gt;0),SQRT(N($L1345)/PI()),"")</f>
        <v/>
      </c>
      <c r="AJ1345" s="21">
        <f>IF(AND($A1345="",$B1345=""),"",IFERROR(VLOOKUP($G1345,Lists!$D$4:$E$15,2,FALSE),"Not reported"))</f>
        <v/>
      </c>
      <c r="AK1345" s="21">
        <f>IF(AND($A1345="",$B1345=""),"",IF($X1345&lt;&gt;"",$X1345,IF($T1345&lt;&gt;"Y","Not assessed",IF(AND(ISNUMBER($V1345),Setup!$B$6-$V1345&gt;Setup!$B$26),"Assessment outdated",IF(NOT(ISNUMBER($W1345)),"Assessed – no score",IF($W1345&gt;=Setup!$B$24,"High",IF($W1345&gt;=Setup!$B$25,"Moderate","Low")))))))</f>
        <v/>
      </c>
      <c r="AL1345" s="21">
        <f>IF(AND($A1345="",$B1345=""),"",IF(Z1345=0,"",IF(AND(AE1345=1,N($R1345)&gt;AD1345*1.01+0.001),"Net terrestrial &gt; gross; ","")&amp;IF(AND(AE1345=1,N($S1345)&gt;AC1345*1.01+0.001),"Net marine &gt; gross; ","")&amp;IF(AE1345=0,"No net area – gross used, overlaps may be double-counted; ","")&amp;IF(AH1345=0,"STATUS_YR missing – imputed in time series; ","")&amp;IF(AND(ISNUMBER($I1345),N($I1345)&gt;Setup!$B$6),"STATUS_YR after reporting year; ","")&amp;IF(OR($G1345="",$G1345="Not Reported"),"GOV_TYPE not reported; ","")&amp;IF(AND(N($J1345)=1,$K1345="Point",N($M1345)&lt;=0),"Coastal point without REP_M_AREA – land/sea split unknown; ","")&amp;IF(AND(N($J1345)=0,N($S1345)&gt;0),"MARINE=0 but net marine &gt;0; ","")&amp;IF(AND(N($J1345)=2,N($R1345)&gt;0),"MARINE=2 but net terrestrial &gt;0; ","")&amp;IF($K1345="Point","Buffered point – coverage approximate; ","")))</f>
        <v/>
      </c>
    </row>
    <row r="1346">
      <c r="A1346" s="19" t="n"/>
      <c r="B1346" s="19" t="n"/>
      <c r="C1346" s="19" t="n"/>
      <c r="D1346" s="19" t="n"/>
      <c r="E1346" s="19" t="n"/>
      <c r="F1346" s="19" t="n"/>
      <c r="G1346" s="19" t="n"/>
      <c r="H1346" s="19" t="n"/>
      <c r="I1346" s="19" t="n"/>
      <c r="J1346" s="19" t="n"/>
      <c r="K1346" s="19" t="n"/>
      <c r="L1346" s="20" t="n"/>
      <c r="M1346" s="20" t="n"/>
      <c r="N1346" s="20" t="n"/>
      <c r="O1346" s="20" t="n"/>
      <c r="P1346" s="19" t="n"/>
      <c r="Q1346" s="19" t="n"/>
      <c r="R1346" s="20" t="n"/>
      <c r="S1346" s="20" t="n"/>
      <c r="T1346" s="19" t="n"/>
      <c r="U1346" s="19" t="n"/>
      <c r="V1346" s="19" t="n"/>
      <c r="W1346" s="19" t="n"/>
      <c r="X1346" s="19" t="n"/>
      <c r="Y1346" s="19" t="n"/>
      <c r="Z1346" s="21">
        <f>IF(AND($A1346="",$B1346=""),"",IF(OR($E1346="",$H1346="",$H1346="Proposed",$H1346="Not Reported"),0,IF(AND($P1346="Y",$Q1346&lt;&gt;"Y"),0,IF(AND($K1346="Point",N($L1346)&lt;=0),0,IF(AND(N($L1346)&lt;=0,N($N1346)&lt;=0,N($R1346)+N($S1346)&lt;=0),0,1)))))</f>
        <v/>
      </c>
      <c r="AA1346" s="21">
        <f>IF(AND($A1346="",$B1346=""),"",IF($E1346="","Site type missing",IF($H1346="","STATUS missing",IF($H1346="Proposed","STATUS = Proposed",IF($H1346="Not Reported","STATUS = Not Reported",IF(AND($P1346="Y",$Q1346&lt;&gt;"Y"),"UNESCO-MAB Biosphere Reserve",IF(AND($K1346="Point",N($L1346)&lt;=0),"Point without REP_AREA",IF(AND(N($L1346)&lt;=0,N($N1346)&lt;=0,N($R1346)+N($S1346)&lt;=0),"No area information",""))))))))</f>
        <v/>
      </c>
      <c r="AB1346" s="22">
        <f>IF(AND($A1346="",$B1346=""),"",IF($K1346="Point",N($L1346),IF(N($N1346)&gt;0,N($N1346),N($L1346))))</f>
        <v/>
      </c>
      <c r="AC1346" s="22">
        <f>IF(AND($A1346="",$B1346=""),"",MIN(AB1346,IF(N($J1346)=0,0,IF(N($J1346)=2,AB1346,IF(AND($K1346&lt;&gt;"Point",N($O1346)&gt;0),N($O1346),N($M1346))))))</f>
        <v/>
      </c>
      <c r="AD1346" s="22">
        <f>IF(AND($A1346="",$B1346=""),"",MAX(0,AB1346-AC1346))</f>
        <v/>
      </c>
      <c r="AE1346" s="21">
        <f>IF(AND($A1346="",$B1346=""),"",IF(OR($R1346&lt;&gt;"",$S1346&lt;&gt;""),1,0))</f>
        <v/>
      </c>
      <c r="AF1346" s="22">
        <f>IF(AND($A1346="",$B1346=""),"",IF(Z1346=1,IF(AE1346=1,N($R1346),AD1346),0))</f>
        <v/>
      </c>
      <c r="AG1346" s="22">
        <f>IF(AND($A1346="",$B1346=""),"",IF(Z1346=1,IF(AE1346=1,N($S1346),AC1346),0))</f>
        <v/>
      </c>
      <c r="AH1346" s="21">
        <f>IF(AND($A1346="",$B1346=""),"",IF(AND(ISNUMBER($I1346),N($I1346)&gt;0),$I1346,0))</f>
        <v/>
      </c>
      <c r="AI1346" s="23">
        <f>IF(AND(NOT(AND($A1346="",$B1346="")),$K1346="Point",N($L1346)&gt;0),SQRT(N($L1346)/PI()),"")</f>
        <v/>
      </c>
      <c r="AJ1346" s="21">
        <f>IF(AND($A1346="",$B1346=""),"",IFERROR(VLOOKUP($G1346,Lists!$D$4:$E$15,2,FALSE),"Not reported"))</f>
        <v/>
      </c>
      <c r="AK1346" s="21">
        <f>IF(AND($A1346="",$B1346=""),"",IF($X1346&lt;&gt;"",$X1346,IF($T1346&lt;&gt;"Y","Not assessed",IF(AND(ISNUMBER($V1346),Setup!$B$6-$V1346&gt;Setup!$B$26),"Assessment outdated",IF(NOT(ISNUMBER($W1346)),"Assessed – no score",IF($W1346&gt;=Setup!$B$24,"High",IF($W1346&gt;=Setup!$B$25,"Moderate","Low")))))))</f>
        <v/>
      </c>
      <c r="AL1346" s="21">
        <f>IF(AND($A1346="",$B1346=""),"",IF(Z1346=0,"",IF(AND(AE1346=1,N($R1346)&gt;AD1346*1.01+0.001),"Net terrestrial &gt; gross; ","")&amp;IF(AND(AE1346=1,N($S1346)&gt;AC1346*1.01+0.001),"Net marine &gt; gross; ","")&amp;IF(AE1346=0,"No net area – gross used, overlaps may be double-counted; ","")&amp;IF(AH1346=0,"STATUS_YR missing – imputed in time series; ","")&amp;IF(AND(ISNUMBER($I1346),N($I1346)&gt;Setup!$B$6),"STATUS_YR after reporting year; ","")&amp;IF(OR($G1346="",$G1346="Not Reported"),"GOV_TYPE not reported; ","")&amp;IF(AND(N($J1346)=1,$K1346="Point",N($M1346)&lt;=0),"Coastal point without REP_M_AREA – land/sea split unknown; ","")&amp;IF(AND(N($J1346)=0,N($S1346)&gt;0),"MARINE=0 but net marine &gt;0; ","")&amp;IF(AND(N($J1346)=2,N($R1346)&gt;0),"MARINE=2 but net terrestrial &gt;0; ","")&amp;IF($K1346="Point","Buffered point – coverage approximate; ","")))</f>
        <v/>
      </c>
    </row>
    <row r="1347">
      <c r="A1347" s="19" t="n"/>
      <c r="B1347" s="19" t="n"/>
      <c r="C1347" s="19" t="n"/>
      <c r="D1347" s="19" t="n"/>
      <c r="E1347" s="19" t="n"/>
      <c r="F1347" s="19" t="n"/>
      <c r="G1347" s="19" t="n"/>
      <c r="H1347" s="19" t="n"/>
      <c r="I1347" s="19" t="n"/>
      <c r="J1347" s="19" t="n"/>
      <c r="K1347" s="19" t="n"/>
      <c r="L1347" s="20" t="n"/>
      <c r="M1347" s="20" t="n"/>
      <c r="N1347" s="20" t="n"/>
      <c r="O1347" s="20" t="n"/>
      <c r="P1347" s="19" t="n"/>
      <c r="Q1347" s="19" t="n"/>
      <c r="R1347" s="20" t="n"/>
      <c r="S1347" s="20" t="n"/>
      <c r="T1347" s="19" t="n"/>
      <c r="U1347" s="19" t="n"/>
      <c r="V1347" s="19" t="n"/>
      <c r="W1347" s="19" t="n"/>
      <c r="X1347" s="19" t="n"/>
      <c r="Y1347" s="19" t="n"/>
      <c r="Z1347" s="21">
        <f>IF(AND($A1347="",$B1347=""),"",IF(OR($E1347="",$H1347="",$H1347="Proposed",$H1347="Not Reported"),0,IF(AND($P1347="Y",$Q1347&lt;&gt;"Y"),0,IF(AND($K1347="Point",N($L1347)&lt;=0),0,IF(AND(N($L1347)&lt;=0,N($N1347)&lt;=0,N($R1347)+N($S1347)&lt;=0),0,1)))))</f>
        <v/>
      </c>
      <c r="AA1347" s="21">
        <f>IF(AND($A1347="",$B1347=""),"",IF($E1347="","Site type missing",IF($H1347="","STATUS missing",IF($H1347="Proposed","STATUS = Proposed",IF($H1347="Not Reported","STATUS = Not Reported",IF(AND($P1347="Y",$Q1347&lt;&gt;"Y"),"UNESCO-MAB Biosphere Reserve",IF(AND($K1347="Point",N($L1347)&lt;=0),"Point without REP_AREA",IF(AND(N($L1347)&lt;=0,N($N1347)&lt;=0,N($R1347)+N($S1347)&lt;=0),"No area information",""))))))))</f>
        <v/>
      </c>
      <c r="AB1347" s="22">
        <f>IF(AND($A1347="",$B1347=""),"",IF($K1347="Point",N($L1347),IF(N($N1347)&gt;0,N($N1347),N($L1347))))</f>
        <v/>
      </c>
      <c r="AC1347" s="22">
        <f>IF(AND($A1347="",$B1347=""),"",MIN(AB1347,IF(N($J1347)=0,0,IF(N($J1347)=2,AB1347,IF(AND($K1347&lt;&gt;"Point",N($O1347)&gt;0),N($O1347),N($M1347))))))</f>
        <v/>
      </c>
      <c r="AD1347" s="22">
        <f>IF(AND($A1347="",$B1347=""),"",MAX(0,AB1347-AC1347))</f>
        <v/>
      </c>
      <c r="AE1347" s="21">
        <f>IF(AND($A1347="",$B1347=""),"",IF(OR($R1347&lt;&gt;"",$S1347&lt;&gt;""),1,0))</f>
        <v/>
      </c>
      <c r="AF1347" s="22">
        <f>IF(AND($A1347="",$B1347=""),"",IF(Z1347=1,IF(AE1347=1,N($R1347),AD1347),0))</f>
        <v/>
      </c>
      <c r="AG1347" s="22">
        <f>IF(AND($A1347="",$B1347=""),"",IF(Z1347=1,IF(AE1347=1,N($S1347),AC1347),0))</f>
        <v/>
      </c>
      <c r="AH1347" s="21">
        <f>IF(AND($A1347="",$B1347=""),"",IF(AND(ISNUMBER($I1347),N($I1347)&gt;0),$I1347,0))</f>
        <v/>
      </c>
      <c r="AI1347" s="23">
        <f>IF(AND(NOT(AND($A1347="",$B1347="")),$K1347="Point",N($L1347)&gt;0),SQRT(N($L1347)/PI()),"")</f>
        <v/>
      </c>
      <c r="AJ1347" s="21">
        <f>IF(AND($A1347="",$B1347=""),"",IFERROR(VLOOKUP($G1347,Lists!$D$4:$E$15,2,FALSE),"Not reported"))</f>
        <v/>
      </c>
      <c r="AK1347" s="21">
        <f>IF(AND($A1347="",$B1347=""),"",IF($X1347&lt;&gt;"",$X1347,IF($T1347&lt;&gt;"Y","Not assessed",IF(AND(ISNUMBER($V1347),Setup!$B$6-$V1347&gt;Setup!$B$26),"Assessment outdated",IF(NOT(ISNUMBER($W1347)),"Assessed – no score",IF($W1347&gt;=Setup!$B$24,"High",IF($W1347&gt;=Setup!$B$25,"Moderate","Low")))))))</f>
        <v/>
      </c>
      <c r="AL1347" s="21">
        <f>IF(AND($A1347="",$B1347=""),"",IF(Z1347=0,"",IF(AND(AE1347=1,N($R1347)&gt;AD1347*1.01+0.001),"Net terrestrial &gt; gross; ","")&amp;IF(AND(AE1347=1,N($S1347)&gt;AC1347*1.01+0.001),"Net marine &gt; gross; ","")&amp;IF(AE1347=0,"No net area – gross used, overlaps may be double-counted; ","")&amp;IF(AH1347=0,"STATUS_YR missing – imputed in time series; ","")&amp;IF(AND(ISNUMBER($I1347),N($I1347)&gt;Setup!$B$6),"STATUS_YR after reporting year; ","")&amp;IF(OR($G1347="",$G1347="Not Reported"),"GOV_TYPE not reported; ","")&amp;IF(AND(N($J1347)=1,$K1347="Point",N($M1347)&lt;=0),"Coastal point without REP_M_AREA – land/sea split unknown; ","")&amp;IF(AND(N($J1347)=0,N($S1347)&gt;0),"MARINE=0 but net marine &gt;0; ","")&amp;IF(AND(N($J1347)=2,N($R1347)&gt;0),"MARINE=2 but net terrestrial &gt;0; ","")&amp;IF($K1347="Point","Buffered point – coverage approximate; ","")))</f>
        <v/>
      </c>
    </row>
    <row r="1348">
      <c r="A1348" s="19" t="n"/>
      <c r="B1348" s="19" t="n"/>
      <c r="C1348" s="19" t="n"/>
      <c r="D1348" s="19" t="n"/>
      <c r="E1348" s="19" t="n"/>
      <c r="F1348" s="19" t="n"/>
      <c r="G1348" s="19" t="n"/>
      <c r="H1348" s="19" t="n"/>
      <c r="I1348" s="19" t="n"/>
      <c r="J1348" s="19" t="n"/>
      <c r="K1348" s="19" t="n"/>
      <c r="L1348" s="20" t="n"/>
      <c r="M1348" s="20" t="n"/>
      <c r="N1348" s="20" t="n"/>
      <c r="O1348" s="20" t="n"/>
      <c r="P1348" s="19" t="n"/>
      <c r="Q1348" s="19" t="n"/>
      <c r="R1348" s="20" t="n"/>
      <c r="S1348" s="20" t="n"/>
      <c r="T1348" s="19" t="n"/>
      <c r="U1348" s="19" t="n"/>
      <c r="V1348" s="19" t="n"/>
      <c r="W1348" s="19" t="n"/>
      <c r="X1348" s="19" t="n"/>
      <c r="Y1348" s="19" t="n"/>
      <c r="Z1348" s="21">
        <f>IF(AND($A1348="",$B1348=""),"",IF(OR($E1348="",$H1348="",$H1348="Proposed",$H1348="Not Reported"),0,IF(AND($P1348="Y",$Q1348&lt;&gt;"Y"),0,IF(AND($K1348="Point",N($L1348)&lt;=0),0,IF(AND(N($L1348)&lt;=0,N($N1348)&lt;=0,N($R1348)+N($S1348)&lt;=0),0,1)))))</f>
        <v/>
      </c>
      <c r="AA1348" s="21">
        <f>IF(AND($A1348="",$B1348=""),"",IF($E1348="","Site type missing",IF($H1348="","STATUS missing",IF($H1348="Proposed","STATUS = Proposed",IF($H1348="Not Reported","STATUS = Not Reported",IF(AND($P1348="Y",$Q1348&lt;&gt;"Y"),"UNESCO-MAB Biosphere Reserve",IF(AND($K1348="Point",N($L1348)&lt;=0),"Point without REP_AREA",IF(AND(N($L1348)&lt;=0,N($N1348)&lt;=0,N($R1348)+N($S1348)&lt;=0),"No area information",""))))))))</f>
        <v/>
      </c>
      <c r="AB1348" s="22">
        <f>IF(AND($A1348="",$B1348=""),"",IF($K1348="Point",N($L1348),IF(N($N1348)&gt;0,N($N1348),N($L1348))))</f>
        <v/>
      </c>
      <c r="AC1348" s="22">
        <f>IF(AND($A1348="",$B1348=""),"",MIN(AB1348,IF(N($J1348)=0,0,IF(N($J1348)=2,AB1348,IF(AND($K1348&lt;&gt;"Point",N($O1348)&gt;0),N($O1348),N($M1348))))))</f>
        <v/>
      </c>
      <c r="AD1348" s="22">
        <f>IF(AND($A1348="",$B1348=""),"",MAX(0,AB1348-AC1348))</f>
        <v/>
      </c>
      <c r="AE1348" s="21">
        <f>IF(AND($A1348="",$B1348=""),"",IF(OR($R1348&lt;&gt;"",$S1348&lt;&gt;""),1,0))</f>
        <v/>
      </c>
      <c r="AF1348" s="22">
        <f>IF(AND($A1348="",$B1348=""),"",IF(Z1348=1,IF(AE1348=1,N($R1348),AD1348),0))</f>
        <v/>
      </c>
      <c r="AG1348" s="22">
        <f>IF(AND($A1348="",$B1348=""),"",IF(Z1348=1,IF(AE1348=1,N($S1348),AC1348),0))</f>
        <v/>
      </c>
      <c r="AH1348" s="21">
        <f>IF(AND($A1348="",$B1348=""),"",IF(AND(ISNUMBER($I1348),N($I1348)&gt;0),$I1348,0))</f>
        <v/>
      </c>
      <c r="AI1348" s="23">
        <f>IF(AND(NOT(AND($A1348="",$B1348="")),$K1348="Point",N($L1348)&gt;0),SQRT(N($L1348)/PI()),"")</f>
        <v/>
      </c>
      <c r="AJ1348" s="21">
        <f>IF(AND($A1348="",$B1348=""),"",IFERROR(VLOOKUP($G1348,Lists!$D$4:$E$15,2,FALSE),"Not reported"))</f>
        <v/>
      </c>
      <c r="AK1348" s="21">
        <f>IF(AND($A1348="",$B1348=""),"",IF($X1348&lt;&gt;"",$X1348,IF($T1348&lt;&gt;"Y","Not assessed",IF(AND(ISNUMBER($V1348),Setup!$B$6-$V1348&gt;Setup!$B$26),"Assessment outdated",IF(NOT(ISNUMBER($W1348)),"Assessed – no score",IF($W1348&gt;=Setup!$B$24,"High",IF($W1348&gt;=Setup!$B$25,"Moderate","Low")))))))</f>
        <v/>
      </c>
      <c r="AL1348" s="21">
        <f>IF(AND($A1348="",$B1348=""),"",IF(Z1348=0,"",IF(AND(AE1348=1,N($R1348)&gt;AD1348*1.01+0.001),"Net terrestrial &gt; gross; ","")&amp;IF(AND(AE1348=1,N($S1348)&gt;AC1348*1.01+0.001),"Net marine &gt; gross; ","")&amp;IF(AE1348=0,"No net area – gross used, overlaps may be double-counted; ","")&amp;IF(AH1348=0,"STATUS_YR missing – imputed in time series; ","")&amp;IF(AND(ISNUMBER($I1348),N($I1348)&gt;Setup!$B$6),"STATUS_YR after reporting year; ","")&amp;IF(OR($G1348="",$G1348="Not Reported"),"GOV_TYPE not reported; ","")&amp;IF(AND(N($J1348)=1,$K1348="Point",N($M1348)&lt;=0),"Coastal point without REP_M_AREA – land/sea split unknown; ","")&amp;IF(AND(N($J1348)=0,N($S1348)&gt;0),"MARINE=0 but net marine &gt;0; ","")&amp;IF(AND(N($J1348)=2,N($R1348)&gt;0),"MARINE=2 but net terrestrial &gt;0; ","")&amp;IF($K1348="Point","Buffered point – coverage approximate; ","")))</f>
        <v/>
      </c>
    </row>
    <row r="1349">
      <c r="A1349" s="19" t="n"/>
      <c r="B1349" s="19" t="n"/>
      <c r="C1349" s="19" t="n"/>
      <c r="D1349" s="19" t="n"/>
      <c r="E1349" s="19" t="n"/>
      <c r="F1349" s="19" t="n"/>
      <c r="G1349" s="19" t="n"/>
      <c r="H1349" s="19" t="n"/>
      <c r="I1349" s="19" t="n"/>
      <c r="J1349" s="19" t="n"/>
      <c r="K1349" s="19" t="n"/>
      <c r="L1349" s="20" t="n"/>
      <c r="M1349" s="20" t="n"/>
      <c r="N1349" s="20" t="n"/>
      <c r="O1349" s="20" t="n"/>
      <c r="P1349" s="19" t="n"/>
      <c r="Q1349" s="19" t="n"/>
      <c r="R1349" s="20" t="n"/>
      <c r="S1349" s="20" t="n"/>
      <c r="T1349" s="19" t="n"/>
      <c r="U1349" s="19" t="n"/>
      <c r="V1349" s="19" t="n"/>
      <c r="W1349" s="19" t="n"/>
      <c r="X1349" s="19" t="n"/>
      <c r="Y1349" s="19" t="n"/>
      <c r="Z1349" s="21">
        <f>IF(AND($A1349="",$B1349=""),"",IF(OR($E1349="",$H1349="",$H1349="Proposed",$H1349="Not Reported"),0,IF(AND($P1349="Y",$Q1349&lt;&gt;"Y"),0,IF(AND($K1349="Point",N($L1349)&lt;=0),0,IF(AND(N($L1349)&lt;=0,N($N1349)&lt;=0,N($R1349)+N($S1349)&lt;=0),0,1)))))</f>
        <v/>
      </c>
      <c r="AA1349" s="21">
        <f>IF(AND($A1349="",$B1349=""),"",IF($E1349="","Site type missing",IF($H1349="","STATUS missing",IF($H1349="Proposed","STATUS = Proposed",IF($H1349="Not Reported","STATUS = Not Reported",IF(AND($P1349="Y",$Q1349&lt;&gt;"Y"),"UNESCO-MAB Biosphere Reserve",IF(AND($K1349="Point",N($L1349)&lt;=0),"Point without REP_AREA",IF(AND(N($L1349)&lt;=0,N($N1349)&lt;=0,N($R1349)+N($S1349)&lt;=0),"No area information",""))))))))</f>
        <v/>
      </c>
      <c r="AB1349" s="22">
        <f>IF(AND($A1349="",$B1349=""),"",IF($K1349="Point",N($L1349),IF(N($N1349)&gt;0,N($N1349),N($L1349))))</f>
        <v/>
      </c>
      <c r="AC1349" s="22">
        <f>IF(AND($A1349="",$B1349=""),"",MIN(AB1349,IF(N($J1349)=0,0,IF(N($J1349)=2,AB1349,IF(AND($K1349&lt;&gt;"Point",N($O1349)&gt;0),N($O1349),N($M1349))))))</f>
        <v/>
      </c>
      <c r="AD1349" s="22">
        <f>IF(AND($A1349="",$B1349=""),"",MAX(0,AB1349-AC1349))</f>
        <v/>
      </c>
      <c r="AE1349" s="21">
        <f>IF(AND($A1349="",$B1349=""),"",IF(OR($R1349&lt;&gt;"",$S1349&lt;&gt;""),1,0))</f>
        <v/>
      </c>
      <c r="AF1349" s="22">
        <f>IF(AND($A1349="",$B1349=""),"",IF(Z1349=1,IF(AE1349=1,N($R1349),AD1349),0))</f>
        <v/>
      </c>
      <c r="AG1349" s="22">
        <f>IF(AND($A1349="",$B1349=""),"",IF(Z1349=1,IF(AE1349=1,N($S1349),AC1349),0))</f>
        <v/>
      </c>
      <c r="AH1349" s="21">
        <f>IF(AND($A1349="",$B1349=""),"",IF(AND(ISNUMBER($I1349),N($I1349)&gt;0),$I1349,0))</f>
        <v/>
      </c>
      <c r="AI1349" s="23">
        <f>IF(AND(NOT(AND($A1349="",$B1349="")),$K1349="Point",N($L1349)&gt;0),SQRT(N($L1349)/PI()),"")</f>
        <v/>
      </c>
      <c r="AJ1349" s="21">
        <f>IF(AND($A1349="",$B1349=""),"",IFERROR(VLOOKUP($G1349,Lists!$D$4:$E$15,2,FALSE),"Not reported"))</f>
        <v/>
      </c>
      <c r="AK1349" s="21">
        <f>IF(AND($A1349="",$B1349=""),"",IF($X1349&lt;&gt;"",$X1349,IF($T1349&lt;&gt;"Y","Not assessed",IF(AND(ISNUMBER($V1349),Setup!$B$6-$V1349&gt;Setup!$B$26),"Assessment outdated",IF(NOT(ISNUMBER($W1349)),"Assessed – no score",IF($W1349&gt;=Setup!$B$24,"High",IF($W1349&gt;=Setup!$B$25,"Moderate","Low")))))))</f>
        <v/>
      </c>
      <c r="AL1349" s="21">
        <f>IF(AND($A1349="",$B1349=""),"",IF(Z1349=0,"",IF(AND(AE1349=1,N($R1349)&gt;AD1349*1.01+0.001),"Net terrestrial &gt; gross; ","")&amp;IF(AND(AE1349=1,N($S1349)&gt;AC1349*1.01+0.001),"Net marine &gt; gross; ","")&amp;IF(AE1349=0,"No net area – gross used, overlaps may be double-counted; ","")&amp;IF(AH1349=0,"STATUS_YR missing – imputed in time series; ","")&amp;IF(AND(ISNUMBER($I1349),N($I1349)&gt;Setup!$B$6),"STATUS_YR after reporting year; ","")&amp;IF(OR($G1349="",$G1349="Not Reported"),"GOV_TYPE not reported; ","")&amp;IF(AND(N($J1349)=1,$K1349="Point",N($M1349)&lt;=0),"Coastal point without REP_M_AREA – land/sea split unknown; ","")&amp;IF(AND(N($J1349)=0,N($S1349)&gt;0),"MARINE=0 but net marine &gt;0; ","")&amp;IF(AND(N($J1349)=2,N($R1349)&gt;0),"MARINE=2 but net terrestrial &gt;0; ","")&amp;IF($K1349="Point","Buffered point – coverage approximate; ","")))</f>
        <v/>
      </c>
    </row>
    <row r="1350">
      <c r="A1350" s="19" t="n"/>
      <c r="B1350" s="19" t="n"/>
      <c r="C1350" s="19" t="n"/>
      <c r="D1350" s="19" t="n"/>
      <c r="E1350" s="19" t="n"/>
      <c r="F1350" s="19" t="n"/>
      <c r="G1350" s="19" t="n"/>
      <c r="H1350" s="19" t="n"/>
      <c r="I1350" s="19" t="n"/>
      <c r="J1350" s="19" t="n"/>
      <c r="K1350" s="19" t="n"/>
      <c r="L1350" s="20" t="n"/>
      <c r="M1350" s="20" t="n"/>
      <c r="N1350" s="20" t="n"/>
      <c r="O1350" s="20" t="n"/>
      <c r="P1350" s="19" t="n"/>
      <c r="Q1350" s="19" t="n"/>
      <c r="R1350" s="20" t="n"/>
      <c r="S1350" s="20" t="n"/>
      <c r="T1350" s="19" t="n"/>
      <c r="U1350" s="19" t="n"/>
      <c r="V1350" s="19" t="n"/>
      <c r="W1350" s="19" t="n"/>
      <c r="X1350" s="19" t="n"/>
      <c r="Y1350" s="19" t="n"/>
      <c r="Z1350" s="21">
        <f>IF(AND($A1350="",$B1350=""),"",IF(OR($E1350="",$H1350="",$H1350="Proposed",$H1350="Not Reported"),0,IF(AND($P1350="Y",$Q1350&lt;&gt;"Y"),0,IF(AND($K1350="Point",N($L1350)&lt;=0),0,IF(AND(N($L1350)&lt;=0,N($N1350)&lt;=0,N($R1350)+N($S1350)&lt;=0),0,1)))))</f>
        <v/>
      </c>
      <c r="AA1350" s="21">
        <f>IF(AND($A1350="",$B1350=""),"",IF($E1350="","Site type missing",IF($H1350="","STATUS missing",IF($H1350="Proposed","STATUS = Proposed",IF($H1350="Not Reported","STATUS = Not Reported",IF(AND($P1350="Y",$Q1350&lt;&gt;"Y"),"UNESCO-MAB Biosphere Reserve",IF(AND($K1350="Point",N($L1350)&lt;=0),"Point without REP_AREA",IF(AND(N($L1350)&lt;=0,N($N1350)&lt;=0,N($R1350)+N($S1350)&lt;=0),"No area information",""))))))))</f>
        <v/>
      </c>
      <c r="AB1350" s="22">
        <f>IF(AND($A1350="",$B1350=""),"",IF($K1350="Point",N($L1350),IF(N($N1350)&gt;0,N($N1350),N($L1350))))</f>
        <v/>
      </c>
      <c r="AC1350" s="22">
        <f>IF(AND($A1350="",$B1350=""),"",MIN(AB1350,IF(N($J1350)=0,0,IF(N($J1350)=2,AB1350,IF(AND($K1350&lt;&gt;"Point",N($O1350)&gt;0),N($O1350),N($M1350))))))</f>
        <v/>
      </c>
      <c r="AD1350" s="22">
        <f>IF(AND($A1350="",$B1350=""),"",MAX(0,AB1350-AC1350))</f>
        <v/>
      </c>
      <c r="AE1350" s="21">
        <f>IF(AND($A1350="",$B1350=""),"",IF(OR($R1350&lt;&gt;"",$S1350&lt;&gt;""),1,0))</f>
        <v/>
      </c>
      <c r="AF1350" s="22">
        <f>IF(AND($A1350="",$B1350=""),"",IF(Z1350=1,IF(AE1350=1,N($R1350),AD1350),0))</f>
        <v/>
      </c>
      <c r="AG1350" s="22">
        <f>IF(AND($A1350="",$B1350=""),"",IF(Z1350=1,IF(AE1350=1,N($S1350),AC1350),0))</f>
        <v/>
      </c>
      <c r="AH1350" s="21">
        <f>IF(AND($A1350="",$B1350=""),"",IF(AND(ISNUMBER($I1350),N($I1350)&gt;0),$I1350,0))</f>
        <v/>
      </c>
      <c r="AI1350" s="23">
        <f>IF(AND(NOT(AND($A1350="",$B1350="")),$K1350="Point",N($L1350)&gt;0),SQRT(N($L1350)/PI()),"")</f>
        <v/>
      </c>
      <c r="AJ1350" s="21">
        <f>IF(AND($A1350="",$B1350=""),"",IFERROR(VLOOKUP($G1350,Lists!$D$4:$E$15,2,FALSE),"Not reported"))</f>
        <v/>
      </c>
      <c r="AK1350" s="21">
        <f>IF(AND($A1350="",$B1350=""),"",IF($X1350&lt;&gt;"",$X1350,IF($T1350&lt;&gt;"Y","Not assessed",IF(AND(ISNUMBER($V1350),Setup!$B$6-$V1350&gt;Setup!$B$26),"Assessment outdated",IF(NOT(ISNUMBER($W1350)),"Assessed – no score",IF($W1350&gt;=Setup!$B$24,"High",IF($W1350&gt;=Setup!$B$25,"Moderate","Low")))))))</f>
        <v/>
      </c>
      <c r="AL1350" s="21">
        <f>IF(AND($A1350="",$B1350=""),"",IF(Z1350=0,"",IF(AND(AE1350=1,N($R1350)&gt;AD1350*1.01+0.001),"Net terrestrial &gt; gross; ","")&amp;IF(AND(AE1350=1,N($S1350)&gt;AC1350*1.01+0.001),"Net marine &gt; gross; ","")&amp;IF(AE1350=0,"No net area – gross used, overlaps may be double-counted; ","")&amp;IF(AH1350=0,"STATUS_YR missing – imputed in time series; ","")&amp;IF(AND(ISNUMBER($I1350),N($I1350)&gt;Setup!$B$6),"STATUS_YR after reporting year; ","")&amp;IF(OR($G1350="",$G1350="Not Reported"),"GOV_TYPE not reported; ","")&amp;IF(AND(N($J1350)=1,$K1350="Point",N($M1350)&lt;=0),"Coastal point without REP_M_AREA – land/sea split unknown; ","")&amp;IF(AND(N($J1350)=0,N($S1350)&gt;0),"MARINE=0 but net marine &gt;0; ","")&amp;IF(AND(N($J1350)=2,N($R1350)&gt;0),"MARINE=2 but net terrestrial &gt;0; ","")&amp;IF($K1350="Point","Buffered point – coverage approximate; ","")))</f>
        <v/>
      </c>
    </row>
    <row r="1351">
      <c r="A1351" s="19" t="n"/>
      <c r="B1351" s="19" t="n"/>
      <c r="C1351" s="19" t="n"/>
      <c r="D1351" s="19" t="n"/>
      <c r="E1351" s="19" t="n"/>
      <c r="F1351" s="19" t="n"/>
      <c r="G1351" s="19" t="n"/>
      <c r="H1351" s="19" t="n"/>
      <c r="I1351" s="19" t="n"/>
      <c r="J1351" s="19" t="n"/>
      <c r="K1351" s="19" t="n"/>
      <c r="L1351" s="20" t="n"/>
      <c r="M1351" s="20" t="n"/>
      <c r="N1351" s="20" t="n"/>
      <c r="O1351" s="20" t="n"/>
      <c r="P1351" s="19" t="n"/>
      <c r="Q1351" s="19" t="n"/>
      <c r="R1351" s="20" t="n"/>
      <c r="S1351" s="20" t="n"/>
      <c r="T1351" s="19" t="n"/>
      <c r="U1351" s="19" t="n"/>
      <c r="V1351" s="19" t="n"/>
      <c r="W1351" s="19" t="n"/>
      <c r="X1351" s="19" t="n"/>
      <c r="Y1351" s="19" t="n"/>
      <c r="Z1351" s="21">
        <f>IF(AND($A1351="",$B1351=""),"",IF(OR($E1351="",$H1351="",$H1351="Proposed",$H1351="Not Reported"),0,IF(AND($P1351="Y",$Q1351&lt;&gt;"Y"),0,IF(AND($K1351="Point",N($L1351)&lt;=0),0,IF(AND(N($L1351)&lt;=0,N($N1351)&lt;=0,N($R1351)+N($S1351)&lt;=0),0,1)))))</f>
        <v/>
      </c>
      <c r="AA1351" s="21">
        <f>IF(AND($A1351="",$B1351=""),"",IF($E1351="","Site type missing",IF($H1351="","STATUS missing",IF($H1351="Proposed","STATUS = Proposed",IF($H1351="Not Reported","STATUS = Not Reported",IF(AND($P1351="Y",$Q1351&lt;&gt;"Y"),"UNESCO-MAB Biosphere Reserve",IF(AND($K1351="Point",N($L1351)&lt;=0),"Point without REP_AREA",IF(AND(N($L1351)&lt;=0,N($N1351)&lt;=0,N($R1351)+N($S1351)&lt;=0),"No area information",""))))))))</f>
        <v/>
      </c>
      <c r="AB1351" s="22">
        <f>IF(AND($A1351="",$B1351=""),"",IF($K1351="Point",N($L1351),IF(N($N1351)&gt;0,N($N1351),N($L1351))))</f>
        <v/>
      </c>
      <c r="AC1351" s="22">
        <f>IF(AND($A1351="",$B1351=""),"",MIN(AB1351,IF(N($J1351)=0,0,IF(N($J1351)=2,AB1351,IF(AND($K1351&lt;&gt;"Point",N($O1351)&gt;0),N($O1351),N($M1351))))))</f>
        <v/>
      </c>
      <c r="AD1351" s="22">
        <f>IF(AND($A1351="",$B1351=""),"",MAX(0,AB1351-AC1351))</f>
        <v/>
      </c>
      <c r="AE1351" s="21">
        <f>IF(AND($A1351="",$B1351=""),"",IF(OR($R1351&lt;&gt;"",$S1351&lt;&gt;""),1,0))</f>
        <v/>
      </c>
      <c r="AF1351" s="22">
        <f>IF(AND($A1351="",$B1351=""),"",IF(Z1351=1,IF(AE1351=1,N($R1351),AD1351),0))</f>
        <v/>
      </c>
      <c r="AG1351" s="22">
        <f>IF(AND($A1351="",$B1351=""),"",IF(Z1351=1,IF(AE1351=1,N($S1351),AC1351),0))</f>
        <v/>
      </c>
      <c r="AH1351" s="21">
        <f>IF(AND($A1351="",$B1351=""),"",IF(AND(ISNUMBER($I1351),N($I1351)&gt;0),$I1351,0))</f>
        <v/>
      </c>
      <c r="AI1351" s="23">
        <f>IF(AND(NOT(AND($A1351="",$B1351="")),$K1351="Point",N($L1351)&gt;0),SQRT(N($L1351)/PI()),"")</f>
        <v/>
      </c>
      <c r="AJ1351" s="21">
        <f>IF(AND($A1351="",$B1351=""),"",IFERROR(VLOOKUP($G1351,Lists!$D$4:$E$15,2,FALSE),"Not reported"))</f>
        <v/>
      </c>
      <c r="AK1351" s="21">
        <f>IF(AND($A1351="",$B1351=""),"",IF($X1351&lt;&gt;"",$X1351,IF($T1351&lt;&gt;"Y","Not assessed",IF(AND(ISNUMBER($V1351),Setup!$B$6-$V1351&gt;Setup!$B$26),"Assessment outdated",IF(NOT(ISNUMBER($W1351)),"Assessed – no score",IF($W1351&gt;=Setup!$B$24,"High",IF($W1351&gt;=Setup!$B$25,"Moderate","Low")))))))</f>
        <v/>
      </c>
      <c r="AL1351" s="21">
        <f>IF(AND($A1351="",$B1351=""),"",IF(Z1351=0,"",IF(AND(AE1351=1,N($R1351)&gt;AD1351*1.01+0.001),"Net terrestrial &gt; gross; ","")&amp;IF(AND(AE1351=1,N($S1351)&gt;AC1351*1.01+0.001),"Net marine &gt; gross; ","")&amp;IF(AE1351=0,"No net area – gross used, overlaps may be double-counted; ","")&amp;IF(AH1351=0,"STATUS_YR missing – imputed in time series; ","")&amp;IF(AND(ISNUMBER($I1351),N($I1351)&gt;Setup!$B$6),"STATUS_YR after reporting year; ","")&amp;IF(OR($G1351="",$G1351="Not Reported"),"GOV_TYPE not reported; ","")&amp;IF(AND(N($J1351)=1,$K1351="Point",N($M1351)&lt;=0),"Coastal point without REP_M_AREA – land/sea split unknown; ","")&amp;IF(AND(N($J1351)=0,N($S1351)&gt;0),"MARINE=0 but net marine &gt;0; ","")&amp;IF(AND(N($J1351)=2,N($R1351)&gt;0),"MARINE=2 but net terrestrial &gt;0; ","")&amp;IF($K1351="Point","Buffered point – coverage approximate; ","")))</f>
        <v/>
      </c>
    </row>
    <row r="1352">
      <c r="A1352" s="19" t="n"/>
      <c r="B1352" s="19" t="n"/>
      <c r="C1352" s="19" t="n"/>
      <c r="D1352" s="19" t="n"/>
      <c r="E1352" s="19" t="n"/>
      <c r="F1352" s="19" t="n"/>
      <c r="G1352" s="19" t="n"/>
      <c r="H1352" s="19" t="n"/>
      <c r="I1352" s="19" t="n"/>
      <c r="J1352" s="19" t="n"/>
      <c r="K1352" s="19" t="n"/>
      <c r="L1352" s="20" t="n"/>
      <c r="M1352" s="20" t="n"/>
      <c r="N1352" s="20" t="n"/>
      <c r="O1352" s="20" t="n"/>
      <c r="P1352" s="19" t="n"/>
      <c r="Q1352" s="19" t="n"/>
      <c r="R1352" s="20" t="n"/>
      <c r="S1352" s="20" t="n"/>
      <c r="T1352" s="19" t="n"/>
      <c r="U1352" s="19" t="n"/>
      <c r="V1352" s="19" t="n"/>
      <c r="W1352" s="19" t="n"/>
      <c r="X1352" s="19" t="n"/>
      <c r="Y1352" s="19" t="n"/>
      <c r="Z1352" s="21">
        <f>IF(AND($A1352="",$B1352=""),"",IF(OR($E1352="",$H1352="",$H1352="Proposed",$H1352="Not Reported"),0,IF(AND($P1352="Y",$Q1352&lt;&gt;"Y"),0,IF(AND($K1352="Point",N($L1352)&lt;=0),0,IF(AND(N($L1352)&lt;=0,N($N1352)&lt;=0,N($R1352)+N($S1352)&lt;=0),0,1)))))</f>
        <v/>
      </c>
      <c r="AA1352" s="21">
        <f>IF(AND($A1352="",$B1352=""),"",IF($E1352="","Site type missing",IF($H1352="","STATUS missing",IF($H1352="Proposed","STATUS = Proposed",IF($H1352="Not Reported","STATUS = Not Reported",IF(AND($P1352="Y",$Q1352&lt;&gt;"Y"),"UNESCO-MAB Biosphere Reserve",IF(AND($K1352="Point",N($L1352)&lt;=0),"Point without REP_AREA",IF(AND(N($L1352)&lt;=0,N($N1352)&lt;=0,N($R1352)+N($S1352)&lt;=0),"No area information",""))))))))</f>
        <v/>
      </c>
      <c r="AB1352" s="22">
        <f>IF(AND($A1352="",$B1352=""),"",IF($K1352="Point",N($L1352),IF(N($N1352)&gt;0,N($N1352),N($L1352))))</f>
        <v/>
      </c>
      <c r="AC1352" s="22">
        <f>IF(AND($A1352="",$B1352=""),"",MIN(AB1352,IF(N($J1352)=0,0,IF(N($J1352)=2,AB1352,IF(AND($K1352&lt;&gt;"Point",N($O1352)&gt;0),N($O1352),N($M1352))))))</f>
        <v/>
      </c>
      <c r="AD1352" s="22">
        <f>IF(AND($A1352="",$B1352=""),"",MAX(0,AB1352-AC1352))</f>
        <v/>
      </c>
      <c r="AE1352" s="21">
        <f>IF(AND($A1352="",$B1352=""),"",IF(OR($R1352&lt;&gt;"",$S1352&lt;&gt;""),1,0))</f>
        <v/>
      </c>
      <c r="AF1352" s="22">
        <f>IF(AND($A1352="",$B1352=""),"",IF(Z1352=1,IF(AE1352=1,N($R1352),AD1352),0))</f>
        <v/>
      </c>
      <c r="AG1352" s="22">
        <f>IF(AND($A1352="",$B1352=""),"",IF(Z1352=1,IF(AE1352=1,N($S1352),AC1352),0))</f>
        <v/>
      </c>
      <c r="AH1352" s="21">
        <f>IF(AND($A1352="",$B1352=""),"",IF(AND(ISNUMBER($I1352),N($I1352)&gt;0),$I1352,0))</f>
        <v/>
      </c>
      <c r="AI1352" s="23">
        <f>IF(AND(NOT(AND($A1352="",$B1352="")),$K1352="Point",N($L1352)&gt;0),SQRT(N($L1352)/PI()),"")</f>
        <v/>
      </c>
      <c r="AJ1352" s="21">
        <f>IF(AND($A1352="",$B1352=""),"",IFERROR(VLOOKUP($G1352,Lists!$D$4:$E$15,2,FALSE),"Not reported"))</f>
        <v/>
      </c>
      <c r="AK1352" s="21">
        <f>IF(AND($A1352="",$B1352=""),"",IF($X1352&lt;&gt;"",$X1352,IF($T1352&lt;&gt;"Y","Not assessed",IF(AND(ISNUMBER($V1352),Setup!$B$6-$V1352&gt;Setup!$B$26),"Assessment outdated",IF(NOT(ISNUMBER($W1352)),"Assessed – no score",IF($W1352&gt;=Setup!$B$24,"High",IF($W1352&gt;=Setup!$B$25,"Moderate","Low")))))))</f>
        <v/>
      </c>
      <c r="AL1352" s="21">
        <f>IF(AND($A1352="",$B1352=""),"",IF(Z1352=0,"",IF(AND(AE1352=1,N($R1352)&gt;AD1352*1.01+0.001),"Net terrestrial &gt; gross; ","")&amp;IF(AND(AE1352=1,N($S1352)&gt;AC1352*1.01+0.001),"Net marine &gt; gross; ","")&amp;IF(AE1352=0,"No net area – gross used, overlaps may be double-counted; ","")&amp;IF(AH1352=0,"STATUS_YR missing – imputed in time series; ","")&amp;IF(AND(ISNUMBER($I1352),N($I1352)&gt;Setup!$B$6),"STATUS_YR after reporting year; ","")&amp;IF(OR($G1352="",$G1352="Not Reported"),"GOV_TYPE not reported; ","")&amp;IF(AND(N($J1352)=1,$K1352="Point",N($M1352)&lt;=0),"Coastal point without REP_M_AREA – land/sea split unknown; ","")&amp;IF(AND(N($J1352)=0,N($S1352)&gt;0),"MARINE=0 but net marine &gt;0; ","")&amp;IF(AND(N($J1352)=2,N($R1352)&gt;0),"MARINE=2 but net terrestrial &gt;0; ","")&amp;IF($K1352="Point","Buffered point – coverage approximate; ","")))</f>
        <v/>
      </c>
    </row>
    <row r="1353">
      <c r="A1353" s="19" t="n"/>
      <c r="B1353" s="19" t="n"/>
      <c r="C1353" s="19" t="n"/>
      <c r="D1353" s="19" t="n"/>
      <c r="E1353" s="19" t="n"/>
      <c r="F1353" s="19" t="n"/>
      <c r="G1353" s="19" t="n"/>
      <c r="H1353" s="19" t="n"/>
      <c r="I1353" s="19" t="n"/>
      <c r="J1353" s="19" t="n"/>
      <c r="K1353" s="19" t="n"/>
      <c r="L1353" s="20" t="n"/>
      <c r="M1353" s="20" t="n"/>
      <c r="N1353" s="20" t="n"/>
      <c r="O1353" s="20" t="n"/>
      <c r="P1353" s="19" t="n"/>
      <c r="Q1353" s="19" t="n"/>
      <c r="R1353" s="20" t="n"/>
      <c r="S1353" s="20" t="n"/>
      <c r="T1353" s="19" t="n"/>
      <c r="U1353" s="19" t="n"/>
      <c r="V1353" s="19" t="n"/>
      <c r="W1353" s="19" t="n"/>
      <c r="X1353" s="19" t="n"/>
      <c r="Y1353" s="19" t="n"/>
      <c r="Z1353" s="21">
        <f>IF(AND($A1353="",$B1353=""),"",IF(OR($E1353="",$H1353="",$H1353="Proposed",$H1353="Not Reported"),0,IF(AND($P1353="Y",$Q1353&lt;&gt;"Y"),0,IF(AND($K1353="Point",N($L1353)&lt;=0),0,IF(AND(N($L1353)&lt;=0,N($N1353)&lt;=0,N($R1353)+N($S1353)&lt;=0),0,1)))))</f>
        <v/>
      </c>
      <c r="AA1353" s="21">
        <f>IF(AND($A1353="",$B1353=""),"",IF($E1353="","Site type missing",IF($H1353="","STATUS missing",IF($H1353="Proposed","STATUS = Proposed",IF($H1353="Not Reported","STATUS = Not Reported",IF(AND($P1353="Y",$Q1353&lt;&gt;"Y"),"UNESCO-MAB Biosphere Reserve",IF(AND($K1353="Point",N($L1353)&lt;=0),"Point without REP_AREA",IF(AND(N($L1353)&lt;=0,N($N1353)&lt;=0,N($R1353)+N($S1353)&lt;=0),"No area information",""))))))))</f>
        <v/>
      </c>
      <c r="AB1353" s="22">
        <f>IF(AND($A1353="",$B1353=""),"",IF($K1353="Point",N($L1353),IF(N($N1353)&gt;0,N($N1353),N($L1353))))</f>
        <v/>
      </c>
      <c r="AC1353" s="22">
        <f>IF(AND($A1353="",$B1353=""),"",MIN(AB1353,IF(N($J1353)=0,0,IF(N($J1353)=2,AB1353,IF(AND($K1353&lt;&gt;"Point",N($O1353)&gt;0),N($O1353),N($M1353))))))</f>
        <v/>
      </c>
      <c r="AD1353" s="22">
        <f>IF(AND($A1353="",$B1353=""),"",MAX(0,AB1353-AC1353))</f>
        <v/>
      </c>
      <c r="AE1353" s="21">
        <f>IF(AND($A1353="",$B1353=""),"",IF(OR($R1353&lt;&gt;"",$S1353&lt;&gt;""),1,0))</f>
        <v/>
      </c>
      <c r="AF1353" s="22">
        <f>IF(AND($A1353="",$B1353=""),"",IF(Z1353=1,IF(AE1353=1,N($R1353),AD1353),0))</f>
        <v/>
      </c>
      <c r="AG1353" s="22">
        <f>IF(AND($A1353="",$B1353=""),"",IF(Z1353=1,IF(AE1353=1,N($S1353),AC1353),0))</f>
        <v/>
      </c>
      <c r="AH1353" s="21">
        <f>IF(AND($A1353="",$B1353=""),"",IF(AND(ISNUMBER($I1353),N($I1353)&gt;0),$I1353,0))</f>
        <v/>
      </c>
      <c r="AI1353" s="23">
        <f>IF(AND(NOT(AND($A1353="",$B1353="")),$K1353="Point",N($L1353)&gt;0),SQRT(N($L1353)/PI()),"")</f>
        <v/>
      </c>
      <c r="AJ1353" s="21">
        <f>IF(AND($A1353="",$B1353=""),"",IFERROR(VLOOKUP($G1353,Lists!$D$4:$E$15,2,FALSE),"Not reported"))</f>
        <v/>
      </c>
      <c r="AK1353" s="21">
        <f>IF(AND($A1353="",$B1353=""),"",IF($X1353&lt;&gt;"",$X1353,IF($T1353&lt;&gt;"Y","Not assessed",IF(AND(ISNUMBER($V1353),Setup!$B$6-$V1353&gt;Setup!$B$26),"Assessment outdated",IF(NOT(ISNUMBER($W1353)),"Assessed – no score",IF($W1353&gt;=Setup!$B$24,"High",IF($W1353&gt;=Setup!$B$25,"Moderate","Low")))))))</f>
        <v/>
      </c>
      <c r="AL1353" s="21">
        <f>IF(AND($A1353="",$B1353=""),"",IF(Z1353=0,"",IF(AND(AE1353=1,N($R1353)&gt;AD1353*1.01+0.001),"Net terrestrial &gt; gross; ","")&amp;IF(AND(AE1353=1,N($S1353)&gt;AC1353*1.01+0.001),"Net marine &gt; gross; ","")&amp;IF(AE1353=0,"No net area – gross used, overlaps may be double-counted; ","")&amp;IF(AH1353=0,"STATUS_YR missing – imputed in time series; ","")&amp;IF(AND(ISNUMBER($I1353),N($I1353)&gt;Setup!$B$6),"STATUS_YR after reporting year; ","")&amp;IF(OR($G1353="",$G1353="Not Reported"),"GOV_TYPE not reported; ","")&amp;IF(AND(N($J1353)=1,$K1353="Point",N($M1353)&lt;=0),"Coastal point without REP_M_AREA – land/sea split unknown; ","")&amp;IF(AND(N($J1353)=0,N($S1353)&gt;0),"MARINE=0 but net marine &gt;0; ","")&amp;IF(AND(N($J1353)=2,N($R1353)&gt;0),"MARINE=2 but net terrestrial &gt;0; ","")&amp;IF($K1353="Point","Buffered point – coverage approximate; ","")))</f>
        <v/>
      </c>
    </row>
    <row r="1354">
      <c r="A1354" s="19" t="n"/>
      <c r="B1354" s="19" t="n"/>
      <c r="C1354" s="19" t="n"/>
      <c r="D1354" s="19" t="n"/>
      <c r="E1354" s="19" t="n"/>
      <c r="F1354" s="19" t="n"/>
      <c r="G1354" s="19" t="n"/>
      <c r="H1354" s="19" t="n"/>
      <c r="I1354" s="19" t="n"/>
      <c r="J1354" s="19" t="n"/>
      <c r="K1354" s="19" t="n"/>
      <c r="L1354" s="20" t="n"/>
      <c r="M1354" s="20" t="n"/>
      <c r="N1354" s="20" t="n"/>
      <c r="O1354" s="20" t="n"/>
      <c r="P1354" s="19" t="n"/>
      <c r="Q1354" s="19" t="n"/>
      <c r="R1354" s="20" t="n"/>
      <c r="S1354" s="20" t="n"/>
      <c r="T1354" s="19" t="n"/>
      <c r="U1354" s="19" t="n"/>
      <c r="V1354" s="19" t="n"/>
      <c r="W1354" s="19" t="n"/>
      <c r="X1354" s="19" t="n"/>
      <c r="Y1354" s="19" t="n"/>
      <c r="Z1354" s="21">
        <f>IF(AND($A1354="",$B1354=""),"",IF(OR($E1354="",$H1354="",$H1354="Proposed",$H1354="Not Reported"),0,IF(AND($P1354="Y",$Q1354&lt;&gt;"Y"),0,IF(AND($K1354="Point",N($L1354)&lt;=0),0,IF(AND(N($L1354)&lt;=0,N($N1354)&lt;=0,N($R1354)+N($S1354)&lt;=0),0,1)))))</f>
        <v/>
      </c>
      <c r="AA1354" s="21">
        <f>IF(AND($A1354="",$B1354=""),"",IF($E1354="","Site type missing",IF($H1354="","STATUS missing",IF($H1354="Proposed","STATUS = Proposed",IF($H1354="Not Reported","STATUS = Not Reported",IF(AND($P1354="Y",$Q1354&lt;&gt;"Y"),"UNESCO-MAB Biosphere Reserve",IF(AND($K1354="Point",N($L1354)&lt;=0),"Point without REP_AREA",IF(AND(N($L1354)&lt;=0,N($N1354)&lt;=0,N($R1354)+N($S1354)&lt;=0),"No area information",""))))))))</f>
        <v/>
      </c>
      <c r="AB1354" s="22">
        <f>IF(AND($A1354="",$B1354=""),"",IF($K1354="Point",N($L1354),IF(N($N1354)&gt;0,N($N1354),N($L1354))))</f>
        <v/>
      </c>
      <c r="AC1354" s="22">
        <f>IF(AND($A1354="",$B1354=""),"",MIN(AB1354,IF(N($J1354)=0,0,IF(N($J1354)=2,AB1354,IF(AND($K1354&lt;&gt;"Point",N($O1354)&gt;0),N($O1354),N($M1354))))))</f>
        <v/>
      </c>
      <c r="AD1354" s="22">
        <f>IF(AND($A1354="",$B1354=""),"",MAX(0,AB1354-AC1354))</f>
        <v/>
      </c>
      <c r="AE1354" s="21">
        <f>IF(AND($A1354="",$B1354=""),"",IF(OR($R1354&lt;&gt;"",$S1354&lt;&gt;""),1,0))</f>
        <v/>
      </c>
      <c r="AF1354" s="22">
        <f>IF(AND($A1354="",$B1354=""),"",IF(Z1354=1,IF(AE1354=1,N($R1354),AD1354),0))</f>
        <v/>
      </c>
      <c r="AG1354" s="22">
        <f>IF(AND($A1354="",$B1354=""),"",IF(Z1354=1,IF(AE1354=1,N($S1354),AC1354),0))</f>
        <v/>
      </c>
      <c r="AH1354" s="21">
        <f>IF(AND($A1354="",$B1354=""),"",IF(AND(ISNUMBER($I1354),N($I1354)&gt;0),$I1354,0))</f>
        <v/>
      </c>
      <c r="AI1354" s="23">
        <f>IF(AND(NOT(AND($A1354="",$B1354="")),$K1354="Point",N($L1354)&gt;0),SQRT(N($L1354)/PI()),"")</f>
        <v/>
      </c>
      <c r="AJ1354" s="21">
        <f>IF(AND($A1354="",$B1354=""),"",IFERROR(VLOOKUP($G1354,Lists!$D$4:$E$15,2,FALSE),"Not reported"))</f>
        <v/>
      </c>
      <c r="AK1354" s="21">
        <f>IF(AND($A1354="",$B1354=""),"",IF($X1354&lt;&gt;"",$X1354,IF($T1354&lt;&gt;"Y","Not assessed",IF(AND(ISNUMBER($V1354),Setup!$B$6-$V1354&gt;Setup!$B$26),"Assessment outdated",IF(NOT(ISNUMBER($W1354)),"Assessed – no score",IF($W1354&gt;=Setup!$B$24,"High",IF($W1354&gt;=Setup!$B$25,"Moderate","Low")))))))</f>
        <v/>
      </c>
      <c r="AL1354" s="21">
        <f>IF(AND($A1354="",$B1354=""),"",IF(Z1354=0,"",IF(AND(AE1354=1,N($R1354)&gt;AD1354*1.01+0.001),"Net terrestrial &gt; gross; ","")&amp;IF(AND(AE1354=1,N($S1354)&gt;AC1354*1.01+0.001),"Net marine &gt; gross; ","")&amp;IF(AE1354=0,"No net area – gross used, overlaps may be double-counted; ","")&amp;IF(AH1354=0,"STATUS_YR missing – imputed in time series; ","")&amp;IF(AND(ISNUMBER($I1354),N($I1354)&gt;Setup!$B$6),"STATUS_YR after reporting year; ","")&amp;IF(OR($G1354="",$G1354="Not Reported"),"GOV_TYPE not reported; ","")&amp;IF(AND(N($J1354)=1,$K1354="Point",N($M1354)&lt;=0),"Coastal point without REP_M_AREA – land/sea split unknown; ","")&amp;IF(AND(N($J1354)=0,N($S1354)&gt;0),"MARINE=0 but net marine &gt;0; ","")&amp;IF(AND(N($J1354)=2,N($R1354)&gt;0),"MARINE=2 but net terrestrial &gt;0; ","")&amp;IF($K1354="Point","Buffered point – coverage approximate; ","")))</f>
        <v/>
      </c>
    </row>
    <row r="1355">
      <c r="A1355" s="19" t="n"/>
      <c r="B1355" s="19" t="n"/>
      <c r="C1355" s="19" t="n"/>
      <c r="D1355" s="19" t="n"/>
      <c r="E1355" s="19" t="n"/>
      <c r="F1355" s="19" t="n"/>
      <c r="G1355" s="19" t="n"/>
      <c r="H1355" s="19" t="n"/>
      <c r="I1355" s="19" t="n"/>
      <c r="J1355" s="19" t="n"/>
      <c r="K1355" s="19" t="n"/>
      <c r="L1355" s="20" t="n"/>
      <c r="M1355" s="20" t="n"/>
      <c r="N1355" s="20" t="n"/>
      <c r="O1355" s="20" t="n"/>
      <c r="P1355" s="19" t="n"/>
      <c r="Q1355" s="19" t="n"/>
      <c r="R1355" s="20" t="n"/>
      <c r="S1355" s="20" t="n"/>
      <c r="T1355" s="19" t="n"/>
      <c r="U1355" s="19" t="n"/>
      <c r="V1355" s="19" t="n"/>
      <c r="W1355" s="19" t="n"/>
      <c r="X1355" s="19" t="n"/>
      <c r="Y1355" s="19" t="n"/>
      <c r="Z1355" s="21">
        <f>IF(AND($A1355="",$B1355=""),"",IF(OR($E1355="",$H1355="",$H1355="Proposed",$H1355="Not Reported"),0,IF(AND($P1355="Y",$Q1355&lt;&gt;"Y"),0,IF(AND($K1355="Point",N($L1355)&lt;=0),0,IF(AND(N($L1355)&lt;=0,N($N1355)&lt;=0,N($R1355)+N($S1355)&lt;=0),0,1)))))</f>
        <v/>
      </c>
      <c r="AA1355" s="21">
        <f>IF(AND($A1355="",$B1355=""),"",IF($E1355="","Site type missing",IF($H1355="","STATUS missing",IF($H1355="Proposed","STATUS = Proposed",IF($H1355="Not Reported","STATUS = Not Reported",IF(AND($P1355="Y",$Q1355&lt;&gt;"Y"),"UNESCO-MAB Biosphere Reserve",IF(AND($K1355="Point",N($L1355)&lt;=0),"Point without REP_AREA",IF(AND(N($L1355)&lt;=0,N($N1355)&lt;=0,N($R1355)+N($S1355)&lt;=0),"No area information",""))))))))</f>
        <v/>
      </c>
      <c r="AB1355" s="22">
        <f>IF(AND($A1355="",$B1355=""),"",IF($K1355="Point",N($L1355),IF(N($N1355)&gt;0,N($N1355),N($L1355))))</f>
        <v/>
      </c>
      <c r="AC1355" s="22">
        <f>IF(AND($A1355="",$B1355=""),"",MIN(AB1355,IF(N($J1355)=0,0,IF(N($J1355)=2,AB1355,IF(AND($K1355&lt;&gt;"Point",N($O1355)&gt;0),N($O1355),N($M1355))))))</f>
        <v/>
      </c>
      <c r="AD1355" s="22">
        <f>IF(AND($A1355="",$B1355=""),"",MAX(0,AB1355-AC1355))</f>
        <v/>
      </c>
      <c r="AE1355" s="21">
        <f>IF(AND($A1355="",$B1355=""),"",IF(OR($R1355&lt;&gt;"",$S1355&lt;&gt;""),1,0))</f>
        <v/>
      </c>
      <c r="AF1355" s="22">
        <f>IF(AND($A1355="",$B1355=""),"",IF(Z1355=1,IF(AE1355=1,N($R1355),AD1355),0))</f>
        <v/>
      </c>
      <c r="AG1355" s="22">
        <f>IF(AND($A1355="",$B1355=""),"",IF(Z1355=1,IF(AE1355=1,N($S1355),AC1355),0))</f>
        <v/>
      </c>
      <c r="AH1355" s="21">
        <f>IF(AND($A1355="",$B1355=""),"",IF(AND(ISNUMBER($I1355),N($I1355)&gt;0),$I1355,0))</f>
        <v/>
      </c>
      <c r="AI1355" s="23">
        <f>IF(AND(NOT(AND($A1355="",$B1355="")),$K1355="Point",N($L1355)&gt;0),SQRT(N($L1355)/PI()),"")</f>
        <v/>
      </c>
      <c r="AJ1355" s="21">
        <f>IF(AND($A1355="",$B1355=""),"",IFERROR(VLOOKUP($G1355,Lists!$D$4:$E$15,2,FALSE),"Not reported"))</f>
        <v/>
      </c>
      <c r="AK1355" s="21">
        <f>IF(AND($A1355="",$B1355=""),"",IF($X1355&lt;&gt;"",$X1355,IF($T1355&lt;&gt;"Y","Not assessed",IF(AND(ISNUMBER($V1355),Setup!$B$6-$V1355&gt;Setup!$B$26),"Assessment outdated",IF(NOT(ISNUMBER($W1355)),"Assessed – no score",IF($W1355&gt;=Setup!$B$24,"High",IF($W1355&gt;=Setup!$B$25,"Moderate","Low")))))))</f>
        <v/>
      </c>
      <c r="AL1355" s="21">
        <f>IF(AND($A1355="",$B1355=""),"",IF(Z1355=0,"",IF(AND(AE1355=1,N($R1355)&gt;AD1355*1.01+0.001),"Net terrestrial &gt; gross; ","")&amp;IF(AND(AE1355=1,N($S1355)&gt;AC1355*1.01+0.001),"Net marine &gt; gross; ","")&amp;IF(AE1355=0,"No net area – gross used, overlaps may be double-counted; ","")&amp;IF(AH1355=0,"STATUS_YR missing – imputed in time series; ","")&amp;IF(AND(ISNUMBER($I1355),N($I1355)&gt;Setup!$B$6),"STATUS_YR after reporting year; ","")&amp;IF(OR($G1355="",$G1355="Not Reported"),"GOV_TYPE not reported; ","")&amp;IF(AND(N($J1355)=1,$K1355="Point",N($M1355)&lt;=0),"Coastal point without REP_M_AREA – land/sea split unknown; ","")&amp;IF(AND(N($J1355)=0,N($S1355)&gt;0),"MARINE=0 but net marine &gt;0; ","")&amp;IF(AND(N($J1355)=2,N($R1355)&gt;0),"MARINE=2 but net terrestrial &gt;0; ","")&amp;IF($K1355="Point","Buffered point – coverage approximate; ","")))</f>
        <v/>
      </c>
    </row>
    <row r="1356">
      <c r="A1356" s="19" t="n"/>
      <c r="B1356" s="19" t="n"/>
      <c r="C1356" s="19" t="n"/>
      <c r="D1356" s="19" t="n"/>
      <c r="E1356" s="19" t="n"/>
      <c r="F1356" s="19" t="n"/>
      <c r="G1356" s="19" t="n"/>
      <c r="H1356" s="19" t="n"/>
      <c r="I1356" s="19" t="n"/>
      <c r="J1356" s="19" t="n"/>
      <c r="K1356" s="19" t="n"/>
      <c r="L1356" s="20" t="n"/>
      <c r="M1356" s="20" t="n"/>
      <c r="N1356" s="20" t="n"/>
      <c r="O1356" s="20" t="n"/>
      <c r="P1356" s="19" t="n"/>
      <c r="Q1356" s="19" t="n"/>
      <c r="R1356" s="20" t="n"/>
      <c r="S1356" s="20" t="n"/>
      <c r="T1356" s="19" t="n"/>
      <c r="U1356" s="19" t="n"/>
      <c r="V1356" s="19" t="n"/>
      <c r="W1356" s="19" t="n"/>
      <c r="X1356" s="19" t="n"/>
      <c r="Y1356" s="19" t="n"/>
      <c r="Z1356" s="21">
        <f>IF(AND($A1356="",$B1356=""),"",IF(OR($E1356="",$H1356="",$H1356="Proposed",$H1356="Not Reported"),0,IF(AND($P1356="Y",$Q1356&lt;&gt;"Y"),0,IF(AND($K1356="Point",N($L1356)&lt;=0),0,IF(AND(N($L1356)&lt;=0,N($N1356)&lt;=0,N($R1356)+N($S1356)&lt;=0),0,1)))))</f>
        <v/>
      </c>
      <c r="AA1356" s="21">
        <f>IF(AND($A1356="",$B1356=""),"",IF($E1356="","Site type missing",IF($H1356="","STATUS missing",IF($H1356="Proposed","STATUS = Proposed",IF($H1356="Not Reported","STATUS = Not Reported",IF(AND($P1356="Y",$Q1356&lt;&gt;"Y"),"UNESCO-MAB Biosphere Reserve",IF(AND($K1356="Point",N($L1356)&lt;=0),"Point without REP_AREA",IF(AND(N($L1356)&lt;=0,N($N1356)&lt;=0,N($R1356)+N($S1356)&lt;=0),"No area information",""))))))))</f>
        <v/>
      </c>
      <c r="AB1356" s="22">
        <f>IF(AND($A1356="",$B1356=""),"",IF($K1356="Point",N($L1356),IF(N($N1356)&gt;0,N($N1356),N($L1356))))</f>
        <v/>
      </c>
      <c r="AC1356" s="22">
        <f>IF(AND($A1356="",$B1356=""),"",MIN(AB1356,IF(N($J1356)=0,0,IF(N($J1356)=2,AB1356,IF(AND($K1356&lt;&gt;"Point",N($O1356)&gt;0),N($O1356),N($M1356))))))</f>
        <v/>
      </c>
      <c r="AD1356" s="22">
        <f>IF(AND($A1356="",$B1356=""),"",MAX(0,AB1356-AC1356))</f>
        <v/>
      </c>
      <c r="AE1356" s="21">
        <f>IF(AND($A1356="",$B1356=""),"",IF(OR($R1356&lt;&gt;"",$S1356&lt;&gt;""),1,0))</f>
        <v/>
      </c>
      <c r="AF1356" s="22">
        <f>IF(AND($A1356="",$B1356=""),"",IF(Z1356=1,IF(AE1356=1,N($R1356),AD1356),0))</f>
        <v/>
      </c>
      <c r="AG1356" s="22">
        <f>IF(AND($A1356="",$B1356=""),"",IF(Z1356=1,IF(AE1356=1,N($S1356),AC1356),0))</f>
        <v/>
      </c>
      <c r="AH1356" s="21">
        <f>IF(AND($A1356="",$B1356=""),"",IF(AND(ISNUMBER($I1356),N($I1356)&gt;0),$I1356,0))</f>
        <v/>
      </c>
      <c r="AI1356" s="23">
        <f>IF(AND(NOT(AND($A1356="",$B1356="")),$K1356="Point",N($L1356)&gt;0),SQRT(N($L1356)/PI()),"")</f>
        <v/>
      </c>
      <c r="AJ1356" s="21">
        <f>IF(AND($A1356="",$B1356=""),"",IFERROR(VLOOKUP($G1356,Lists!$D$4:$E$15,2,FALSE),"Not reported"))</f>
        <v/>
      </c>
      <c r="AK1356" s="21">
        <f>IF(AND($A1356="",$B1356=""),"",IF($X1356&lt;&gt;"",$X1356,IF($T1356&lt;&gt;"Y","Not assessed",IF(AND(ISNUMBER($V1356),Setup!$B$6-$V1356&gt;Setup!$B$26),"Assessment outdated",IF(NOT(ISNUMBER($W1356)),"Assessed – no score",IF($W1356&gt;=Setup!$B$24,"High",IF($W1356&gt;=Setup!$B$25,"Moderate","Low")))))))</f>
        <v/>
      </c>
      <c r="AL1356" s="21">
        <f>IF(AND($A1356="",$B1356=""),"",IF(Z1356=0,"",IF(AND(AE1356=1,N($R1356)&gt;AD1356*1.01+0.001),"Net terrestrial &gt; gross; ","")&amp;IF(AND(AE1356=1,N($S1356)&gt;AC1356*1.01+0.001),"Net marine &gt; gross; ","")&amp;IF(AE1356=0,"No net area – gross used, overlaps may be double-counted; ","")&amp;IF(AH1356=0,"STATUS_YR missing – imputed in time series; ","")&amp;IF(AND(ISNUMBER($I1356),N($I1356)&gt;Setup!$B$6),"STATUS_YR after reporting year; ","")&amp;IF(OR($G1356="",$G1356="Not Reported"),"GOV_TYPE not reported; ","")&amp;IF(AND(N($J1356)=1,$K1356="Point",N($M1356)&lt;=0),"Coastal point without REP_M_AREA – land/sea split unknown; ","")&amp;IF(AND(N($J1356)=0,N($S1356)&gt;0),"MARINE=0 but net marine &gt;0; ","")&amp;IF(AND(N($J1356)=2,N($R1356)&gt;0),"MARINE=2 but net terrestrial &gt;0; ","")&amp;IF($K1356="Point","Buffered point – coverage approximate; ","")))</f>
        <v/>
      </c>
    </row>
    <row r="1357">
      <c r="A1357" s="19" t="n"/>
      <c r="B1357" s="19" t="n"/>
      <c r="C1357" s="19" t="n"/>
      <c r="D1357" s="19" t="n"/>
      <c r="E1357" s="19" t="n"/>
      <c r="F1357" s="19" t="n"/>
      <c r="G1357" s="19" t="n"/>
      <c r="H1357" s="19" t="n"/>
      <c r="I1357" s="19" t="n"/>
      <c r="J1357" s="19" t="n"/>
      <c r="K1357" s="19" t="n"/>
      <c r="L1357" s="20" t="n"/>
      <c r="M1357" s="20" t="n"/>
      <c r="N1357" s="20" t="n"/>
      <c r="O1357" s="20" t="n"/>
      <c r="P1357" s="19" t="n"/>
      <c r="Q1357" s="19" t="n"/>
      <c r="R1357" s="20" t="n"/>
      <c r="S1357" s="20" t="n"/>
      <c r="T1357" s="19" t="n"/>
      <c r="U1357" s="19" t="n"/>
      <c r="V1357" s="19" t="n"/>
      <c r="W1357" s="19" t="n"/>
      <c r="X1357" s="19" t="n"/>
      <c r="Y1357" s="19" t="n"/>
      <c r="Z1357" s="21">
        <f>IF(AND($A1357="",$B1357=""),"",IF(OR($E1357="",$H1357="",$H1357="Proposed",$H1357="Not Reported"),0,IF(AND($P1357="Y",$Q1357&lt;&gt;"Y"),0,IF(AND($K1357="Point",N($L1357)&lt;=0),0,IF(AND(N($L1357)&lt;=0,N($N1357)&lt;=0,N($R1357)+N($S1357)&lt;=0),0,1)))))</f>
        <v/>
      </c>
      <c r="AA1357" s="21">
        <f>IF(AND($A1357="",$B1357=""),"",IF($E1357="","Site type missing",IF($H1357="","STATUS missing",IF($H1357="Proposed","STATUS = Proposed",IF($H1357="Not Reported","STATUS = Not Reported",IF(AND($P1357="Y",$Q1357&lt;&gt;"Y"),"UNESCO-MAB Biosphere Reserve",IF(AND($K1357="Point",N($L1357)&lt;=0),"Point without REP_AREA",IF(AND(N($L1357)&lt;=0,N($N1357)&lt;=0,N($R1357)+N($S1357)&lt;=0),"No area information",""))))))))</f>
        <v/>
      </c>
      <c r="AB1357" s="22">
        <f>IF(AND($A1357="",$B1357=""),"",IF($K1357="Point",N($L1357),IF(N($N1357)&gt;0,N($N1357),N($L1357))))</f>
        <v/>
      </c>
      <c r="AC1357" s="22">
        <f>IF(AND($A1357="",$B1357=""),"",MIN(AB1357,IF(N($J1357)=0,0,IF(N($J1357)=2,AB1357,IF(AND($K1357&lt;&gt;"Point",N($O1357)&gt;0),N($O1357),N($M1357))))))</f>
        <v/>
      </c>
      <c r="AD1357" s="22">
        <f>IF(AND($A1357="",$B1357=""),"",MAX(0,AB1357-AC1357))</f>
        <v/>
      </c>
      <c r="AE1357" s="21">
        <f>IF(AND($A1357="",$B1357=""),"",IF(OR($R1357&lt;&gt;"",$S1357&lt;&gt;""),1,0))</f>
        <v/>
      </c>
      <c r="AF1357" s="22">
        <f>IF(AND($A1357="",$B1357=""),"",IF(Z1357=1,IF(AE1357=1,N($R1357),AD1357),0))</f>
        <v/>
      </c>
      <c r="AG1357" s="22">
        <f>IF(AND($A1357="",$B1357=""),"",IF(Z1357=1,IF(AE1357=1,N($S1357),AC1357),0))</f>
        <v/>
      </c>
      <c r="AH1357" s="21">
        <f>IF(AND($A1357="",$B1357=""),"",IF(AND(ISNUMBER($I1357),N($I1357)&gt;0),$I1357,0))</f>
        <v/>
      </c>
      <c r="AI1357" s="23">
        <f>IF(AND(NOT(AND($A1357="",$B1357="")),$K1357="Point",N($L1357)&gt;0),SQRT(N($L1357)/PI()),"")</f>
        <v/>
      </c>
      <c r="AJ1357" s="21">
        <f>IF(AND($A1357="",$B1357=""),"",IFERROR(VLOOKUP($G1357,Lists!$D$4:$E$15,2,FALSE),"Not reported"))</f>
        <v/>
      </c>
      <c r="AK1357" s="21">
        <f>IF(AND($A1357="",$B1357=""),"",IF($X1357&lt;&gt;"",$X1357,IF($T1357&lt;&gt;"Y","Not assessed",IF(AND(ISNUMBER($V1357),Setup!$B$6-$V1357&gt;Setup!$B$26),"Assessment outdated",IF(NOT(ISNUMBER($W1357)),"Assessed – no score",IF($W1357&gt;=Setup!$B$24,"High",IF($W1357&gt;=Setup!$B$25,"Moderate","Low")))))))</f>
        <v/>
      </c>
      <c r="AL1357" s="21">
        <f>IF(AND($A1357="",$B1357=""),"",IF(Z1357=0,"",IF(AND(AE1357=1,N($R1357)&gt;AD1357*1.01+0.001),"Net terrestrial &gt; gross; ","")&amp;IF(AND(AE1357=1,N($S1357)&gt;AC1357*1.01+0.001),"Net marine &gt; gross; ","")&amp;IF(AE1357=0,"No net area – gross used, overlaps may be double-counted; ","")&amp;IF(AH1357=0,"STATUS_YR missing – imputed in time series; ","")&amp;IF(AND(ISNUMBER($I1357),N($I1357)&gt;Setup!$B$6),"STATUS_YR after reporting year; ","")&amp;IF(OR($G1357="",$G1357="Not Reported"),"GOV_TYPE not reported; ","")&amp;IF(AND(N($J1357)=1,$K1357="Point",N($M1357)&lt;=0),"Coastal point without REP_M_AREA – land/sea split unknown; ","")&amp;IF(AND(N($J1357)=0,N($S1357)&gt;0),"MARINE=0 but net marine &gt;0; ","")&amp;IF(AND(N($J1357)=2,N($R1357)&gt;0),"MARINE=2 but net terrestrial &gt;0; ","")&amp;IF($K1357="Point","Buffered point – coverage approximate; ","")))</f>
        <v/>
      </c>
    </row>
    <row r="1358">
      <c r="A1358" s="19" t="n"/>
      <c r="B1358" s="19" t="n"/>
      <c r="C1358" s="19" t="n"/>
      <c r="D1358" s="19" t="n"/>
      <c r="E1358" s="19" t="n"/>
      <c r="F1358" s="19" t="n"/>
      <c r="G1358" s="19" t="n"/>
      <c r="H1358" s="19" t="n"/>
      <c r="I1358" s="19" t="n"/>
      <c r="J1358" s="19" t="n"/>
      <c r="K1358" s="19" t="n"/>
      <c r="L1358" s="20" t="n"/>
      <c r="M1358" s="20" t="n"/>
      <c r="N1358" s="20" t="n"/>
      <c r="O1358" s="20" t="n"/>
      <c r="P1358" s="19" t="n"/>
      <c r="Q1358" s="19" t="n"/>
      <c r="R1358" s="20" t="n"/>
      <c r="S1358" s="20" t="n"/>
      <c r="T1358" s="19" t="n"/>
      <c r="U1358" s="19" t="n"/>
      <c r="V1358" s="19" t="n"/>
      <c r="W1358" s="19" t="n"/>
      <c r="X1358" s="19" t="n"/>
      <c r="Y1358" s="19" t="n"/>
      <c r="Z1358" s="21">
        <f>IF(AND($A1358="",$B1358=""),"",IF(OR($E1358="",$H1358="",$H1358="Proposed",$H1358="Not Reported"),0,IF(AND($P1358="Y",$Q1358&lt;&gt;"Y"),0,IF(AND($K1358="Point",N($L1358)&lt;=0),0,IF(AND(N($L1358)&lt;=0,N($N1358)&lt;=0,N($R1358)+N($S1358)&lt;=0),0,1)))))</f>
        <v/>
      </c>
      <c r="AA1358" s="21">
        <f>IF(AND($A1358="",$B1358=""),"",IF($E1358="","Site type missing",IF($H1358="","STATUS missing",IF($H1358="Proposed","STATUS = Proposed",IF($H1358="Not Reported","STATUS = Not Reported",IF(AND($P1358="Y",$Q1358&lt;&gt;"Y"),"UNESCO-MAB Biosphere Reserve",IF(AND($K1358="Point",N($L1358)&lt;=0),"Point without REP_AREA",IF(AND(N($L1358)&lt;=0,N($N1358)&lt;=0,N($R1358)+N($S1358)&lt;=0),"No area information",""))))))))</f>
        <v/>
      </c>
      <c r="AB1358" s="22">
        <f>IF(AND($A1358="",$B1358=""),"",IF($K1358="Point",N($L1358),IF(N($N1358)&gt;0,N($N1358),N($L1358))))</f>
        <v/>
      </c>
      <c r="AC1358" s="22">
        <f>IF(AND($A1358="",$B1358=""),"",MIN(AB1358,IF(N($J1358)=0,0,IF(N($J1358)=2,AB1358,IF(AND($K1358&lt;&gt;"Point",N($O1358)&gt;0),N($O1358),N($M1358))))))</f>
        <v/>
      </c>
      <c r="AD1358" s="22">
        <f>IF(AND($A1358="",$B1358=""),"",MAX(0,AB1358-AC1358))</f>
        <v/>
      </c>
      <c r="AE1358" s="21">
        <f>IF(AND($A1358="",$B1358=""),"",IF(OR($R1358&lt;&gt;"",$S1358&lt;&gt;""),1,0))</f>
        <v/>
      </c>
      <c r="AF1358" s="22">
        <f>IF(AND($A1358="",$B1358=""),"",IF(Z1358=1,IF(AE1358=1,N($R1358),AD1358),0))</f>
        <v/>
      </c>
      <c r="AG1358" s="22">
        <f>IF(AND($A1358="",$B1358=""),"",IF(Z1358=1,IF(AE1358=1,N($S1358),AC1358),0))</f>
        <v/>
      </c>
      <c r="AH1358" s="21">
        <f>IF(AND($A1358="",$B1358=""),"",IF(AND(ISNUMBER($I1358),N($I1358)&gt;0),$I1358,0))</f>
        <v/>
      </c>
      <c r="AI1358" s="23">
        <f>IF(AND(NOT(AND($A1358="",$B1358="")),$K1358="Point",N($L1358)&gt;0),SQRT(N($L1358)/PI()),"")</f>
        <v/>
      </c>
      <c r="AJ1358" s="21">
        <f>IF(AND($A1358="",$B1358=""),"",IFERROR(VLOOKUP($G1358,Lists!$D$4:$E$15,2,FALSE),"Not reported"))</f>
        <v/>
      </c>
      <c r="AK1358" s="21">
        <f>IF(AND($A1358="",$B1358=""),"",IF($X1358&lt;&gt;"",$X1358,IF($T1358&lt;&gt;"Y","Not assessed",IF(AND(ISNUMBER($V1358),Setup!$B$6-$V1358&gt;Setup!$B$26),"Assessment outdated",IF(NOT(ISNUMBER($W1358)),"Assessed – no score",IF($W1358&gt;=Setup!$B$24,"High",IF($W1358&gt;=Setup!$B$25,"Moderate","Low")))))))</f>
        <v/>
      </c>
      <c r="AL1358" s="21">
        <f>IF(AND($A1358="",$B1358=""),"",IF(Z1358=0,"",IF(AND(AE1358=1,N($R1358)&gt;AD1358*1.01+0.001),"Net terrestrial &gt; gross; ","")&amp;IF(AND(AE1358=1,N($S1358)&gt;AC1358*1.01+0.001),"Net marine &gt; gross; ","")&amp;IF(AE1358=0,"No net area – gross used, overlaps may be double-counted; ","")&amp;IF(AH1358=0,"STATUS_YR missing – imputed in time series; ","")&amp;IF(AND(ISNUMBER($I1358),N($I1358)&gt;Setup!$B$6),"STATUS_YR after reporting year; ","")&amp;IF(OR($G1358="",$G1358="Not Reported"),"GOV_TYPE not reported; ","")&amp;IF(AND(N($J1358)=1,$K1358="Point",N($M1358)&lt;=0),"Coastal point without REP_M_AREA – land/sea split unknown; ","")&amp;IF(AND(N($J1358)=0,N($S1358)&gt;0),"MARINE=0 but net marine &gt;0; ","")&amp;IF(AND(N($J1358)=2,N($R1358)&gt;0),"MARINE=2 but net terrestrial &gt;0; ","")&amp;IF($K1358="Point","Buffered point – coverage approximate; ","")))</f>
        <v/>
      </c>
    </row>
    <row r="1359">
      <c r="A1359" s="19" t="n"/>
      <c r="B1359" s="19" t="n"/>
      <c r="C1359" s="19" t="n"/>
      <c r="D1359" s="19" t="n"/>
      <c r="E1359" s="19" t="n"/>
      <c r="F1359" s="19" t="n"/>
      <c r="G1359" s="19" t="n"/>
      <c r="H1359" s="19" t="n"/>
      <c r="I1359" s="19" t="n"/>
      <c r="J1359" s="19" t="n"/>
      <c r="K1359" s="19" t="n"/>
      <c r="L1359" s="20" t="n"/>
      <c r="M1359" s="20" t="n"/>
      <c r="N1359" s="20" t="n"/>
      <c r="O1359" s="20" t="n"/>
      <c r="P1359" s="19" t="n"/>
      <c r="Q1359" s="19" t="n"/>
      <c r="R1359" s="20" t="n"/>
      <c r="S1359" s="20" t="n"/>
      <c r="T1359" s="19" t="n"/>
      <c r="U1359" s="19" t="n"/>
      <c r="V1359" s="19" t="n"/>
      <c r="W1359" s="19" t="n"/>
      <c r="X1359" s="19" t="n"/>
      <c r="Y1359" s="19" t="n"/>
      <c r="Z1359" s="21">
        <f>IF(AND($A1359="",$B1359=""),"",IF(OR($E1359="",$H1359="",$H1359="Proposed",$H1359="Not Reported"),0,IF(AND($P1359="Y",$Q1359&lt;&gt;"Y"),0,IF(AND($K1359="Point",N($L1359)&lt;=0),0,IF(AND(N($L1359)&lt;=0,N($N1359)&lt;=0,N($R1359)+N($S1359)&lt;=0),0,1)))))</f>
        <v/>
      </c>
      <c r="AA1359" s="21">
        <f>IF(AND($A1359="",$B1359=""),"",IF($E1359="","Site type missing",IF($H1359="","STATUS missing",IF($H1359="Proposed","STATUS = Proposed",IF($H1359="Not Reported","STATUS = Not Reported",IF(AND($P1359="Y",$Q1359&lt;&gt;"Y"),"UNESCO-MAB Biosphere Reserve",IF(AND($K1359="Point",N($L1359)&lt;=0),"Point without REP_AREA",IF(AND(N($L1359)&lt;=0,N($N1359)&lt;=0,N($R1359)+N($S1359)&lt;=0),"No area information",""))))))))</f>
        <v/>
      </c>
      <c r="AB1359" s="22">
        <f>IF(AND($A1359="",$B1359=""),"",IF($K1359="Point",N($L1359),IF(N($N1359)&gt;0,N($N1359),N($L1359))))</f>
        <v/>
      </c>
      <c r="AC1359" s="22">
        <f>IF(AND($A1359="",$B1359=""),"",MIN(AB1359,IF(N($J1359)=0,0,IF(N($J1359)=2,AB1359,IF(AND($K1359&lt;&gt;"Point",N($O1359)&gt;0),N($O1359),N($M1359))))))</f>
        <v/>
      </c>
      <c r="AD1359" s="22">
        <f>IF(AND($A1359="",$B1359=""),"",MAX(0,AB1359-AC1359))</f>
        <v/>
      </c>
      <c r="AE1359" s="21">
        <f>IF(AND($A1359="",$B1359=""),"",IF(OR($R1359&lt;&gt;"",$S1359&lt;&gt;""),1,0))</f>
        <v/>
      </c>
      <c r="AF1359" s="22">
        <f>IF(AND($A1359="",$B1359=""),"",IF(Z1359=1,IF(AE1359=1,N($R1359),AD1359),0))</f>
        <v/>
      </c>
      <c r="AG1359" s="22">
        <f>IF(AND($A1359="",$B1359=""),"",IF(Z1359=1,IF(AE1359=1,N($S1359),AC1359),0))</f>
        <v/>
      </c>
      <c r="AH1359" s="21">
        <f>IF(AND($A1359="",$B1359=""),"",IF(AND(ISNUMBER($I1359),N($I1359)&gt;0),$I1359,0))</f>
        <v/>
      </c>
      <c r="AI1359" s="23">
        <f>IF(AND(NOT(AND($A1359="",$B1359="")),$K1359="Point",N($L1359)&gt;0),SQRT(N($L1359)/PI()),"")</f>
        <v/>
      </c>
      <c r="AJ1359" s="21">
        <f>IF(AND($A1359="",$B1359=""),"",IFERROR(VLOOKUP($G1359,Lists!$D$4:$E$15,2,FALSE),"Not reported"))</f>
        <v/>
      </c>
      <c r="AK1359" s="21">
        <f>IF(AND($A1359="",$B1359=""),"",IF($X1359&lt;&gt;"",$X1359,IF($T1359&lt;&gt;"Y","Not assessed",IF(AND(ISNUMBER($V1359),Setup!$B$6-$V1359&gt;Setup!$B$26),"Assessment outdated",IF(NOT(ISNUMBER($W1359)),"Assessed – no score",IF($W1359&gt;=Setup!$B$24,"High",IF($W1359&gt;=Setup!$B$25,"Moderate","Low")))))))</f>
        <v/>
      </c>
      <c r="AL1359" s="21">
        <f>IF(AND($A1359="",$B1359=""),"",IF(Z1359=0,"",IF(AND(AE1359=1,N($R1359)&gt;AD1359*1.01+0.001),"Net terrestrial &gt; gross; ","")&amp;IF(AND(AE1359=1,N($S1359)&gt;AC1359*1.01+0.001),"Net marine &gt; gross; ","")&amp;IF(AE1359=0,"No net area – gross used, overlaps may be double-counted; ","")&amp;IF(AH1359=0,"STATUS_YR missing – imputed in time series; ","")&amp;IF(AND(ISNUMBER($I1359),N($I1359)&gt;Setup!$B$6),"STATUS_YR after reporting year; ","")&amp;IF(OR($G1359="",$G1359="Not Reported"),"GOV_TYPE not reported; ","")&amp;IF(AND(N($J1359)=1,$K1359="Point",N($M1359)&lt;=0),"Coastal point without REP_M_AREA – land/sea split unknown; ","")&amp;IF(AND(N($J1359)=0,N($S1359)&gt;0),"MARINE=0 but net marine &gt;0; ","")&amp;IF(AND(N($J1359)=2,N($R1359)&gt;0),"MARINE=2 but net terrestrial &gt;0; ","")&amp;IF($K1359="Point","Buffered point – coverage approximate; ","")))</f>
        <v/>
      </c>
    </row>
    <row r="1360">
      <c r="A1360" s="19" t="n"/>
      <c r="B1360" s="19" t="n"/>
      <c r="C1360" s="19" t="n"/>
      <c r="D1360" s="19" t="n"/>
      <c r="E1360" s="19" t="n"/>
      <c r="F1360" s="19" t="n"/>
      <c r="G1360" s="19" t="n"/>
      <c r="H1360" s="19" t="n"/>
      <c r="I1360" s="19" t="n"/>
      <c r="J1360" s="19" t="n"/>
      <c r="K1360" s="19" t="n"/>
      <c r="L1360" s="20" t="n"/>
      <c r="M1360" s="20" t="n"/>
      <c r="N1360" s="20" t="n"/>
      <c r="O1360" s="20" t="n"/>
      <c r="P1360" s="19" t="n"/>
      <c r="Q1360" s="19" t="n"/>
      <c r="R1360" s="20" t="n"/>
      <c r="S1360" s="20" t="n"/>
      <c r="T1360" s="19" t="n"/>
      <c r="U1360" s="19" t="n"/>
      <c r="V1360" s="19" t="n"/>
      <c r="W1360" s="19" t="n"/>
      <c r="X1360" s="19" t="n"/>
      <c r="Y1360" s="19" t="n"/>
      <c r="Z1360" s="21">
        <f>IF(AND($A1360="",$B1360=""),"",IF(OR($E1360="",$H1360="",$H1360="Proposed",$H1360="Not Reported"),0,IF(AND($P1360="Y",$Q1360&lt;&gt;"Y"),0,IF(AND($K1360="Point",N($L1360)&lt;=0),0,IF(AND(N($L1360)&lt;=0,N($N1360)&lt;=0,N($R1360)+N($S1360)&lt;=0),0,1)))))</f>
        <v/>
      </c>
      <c r="AA1360" s="21">
        <f>IF(AND($A1360="",$B1360=""),"",IF($E1360="","Site type missing",IF($H1360="","STATUS missing",IF($H1360="Proposed","STATUS = Proposed",IF($H1360="Not Reported","STATUS = Not Reported",IF(AND($P1360="Y",$Q1360&lt;&gt;"Y"),"UNESCO-MAB Biosphere Reserve",IF(AND($K1360="Point",N($L1360)&lt;=0),"Point without REP_AREA",IF(AND(N($L1360)&lt;=0,N($N1360)&lt;=0,N($R1360)+N($S1360)&lt;=0),"No area information",""))))))))</f>
        <v/>
      </c>
      <c r="AB1360" s="22">
        <f>IF(AND($A1360="",$B1360=""),"",IF($K1360="Point",N($L1360),IF(N($N1360)&gt;0,N($N1360),N($L1360))))</f>
        <v/>
      </c>
      <c r="AC1360" s="22">
        <f>IF(AND($A1360="",$B1360=""),"",MIN(AB1360,IF(N($J1360)=0,0,IF(N($J1360)=2,AB1360,IF(AND($K1360&lt;&gt;"Point",N($O1360)&gt;0),N($O1360),N($M1360))))))</f>
        <v/>
      </c>
      <c r="AD1360" s="22">
        <f>IF(AND($A1360="",$B1360=""),"",MAX(0,AB1360-AC1360))</f>
        <v/>
      </c>
      <c r="AE1360" s="21">
        <f>IF(AND($A1360="",$B1360=""),"",IF(OR($R1360&lt;&gt;"",$S1360&lt;&gt;""),1,0))</f>
        <v/>
      </c>
      <c r="AF1360" s="22">
        <f>IF(AND($A1360="",$B1360=""),"",IF(Z1360=1,IF(AE1360=1,N($R1360),AD1360),0))</f>
        <v/>
      </c>
      <c r="AG1360" s="22">
        <f>IF(AND($A1360="",$B1360=""),"",IF(Z1360=1,IF(AE1360=1,N($S1360),AC1360),0))</f>
        <v/>
      </c>
      <c r="AH1360" s="21">
        <f>IF(AND($A1360="",$B1360=""),"",IF(AND(ISNUMBER($I1360),N($I1360)&gt;0),$I1360,0))</f>
        <v/>
      </c>
      <c r="AI1360" s="23">
        <f>IF(AND(NOT(AND($A1360="",$B1360="")),$K1360="Point",N($L1360)&gt;0),SQRT(N($L1360)/PI()),"")</f>
        <v/>
      </c>
      <c r="AJ1360" s="21">
        <f>IF(AND($A1360="",$B1360=""),"",IFERROR(VLOOKUP($G1360,Lists!$D$4:$E$15,2,FALSE),"Not reported"))</f>
        <v/>
      </c>
      <c r="AK1360" s="21">
        <f>IF(AND($A1360="",$B1360=""),"",IF($X1360&lt;&gt;"",$X1360,IF($T1360&lt;&gt;"Y","Not assessed",IF(AND(ISNUMBER($V1360),Setup!$B$6-$V1360&gt;Setup!$B$26),"Assessment outdated",IF(NOT(ISNUMBER($W1360)),"Assessed – no score",IF($W1360&gt;=Setup!$B$24,"High",IF($W1360&gt;=Setup!$B$25,"Moderate","Low")))))))</f>
        <v/>
      </c>
      <c r="AL1360" s="21">
        <f>IF(AND($A1360="",$B1360=""),"",IF(Z1360=0,"",IF(AND(AE1360=1,N($R1360)&gt;AD1360*1.01+0.001),"Net terrestrial &gt; gross; ","")&amp;IF(AND(AE1360=1,N($S1360)&gt;AC1360*1.01+0.001),"Net marine &gt; gross; ","")&amp;IF(AE1360=0,"No net area – gross used, overlaps may be double-counted; ","")&amp;IF(AH1360=0,"STATUS_YR missing – imputed in time series; ","")&amp;IF(AND(ISNUMBER($I1360),N($I1360)&gt;Setup!$B$6),"STATUS_YR after reporting year; ","")&amp;IF(OR($G1360="",$G1360="Not Reported"),"GOV_TYPE not reported; ","")&amp;IF(AND(N($J1360)=1,$K1360="Point",N($M1360)&lt;=0),"Coastal point without REP_M_AREA – land/sea split unknown; ","")&amp;IF(AND(N($J1360)=0,N($S1360)&gt;0),"MARINE=0 but net marine &gt;0; ","")&amp;IF(AND(N($J1360)=2,N($R1360)&gt;0),"MARINE=2 but net terrestrial &gt;0; ","")&amp;IF($K1360="Point","Buffered point – coverage approximate; ","")))</f>
        <v/>
      </c>
    </row>
    <row r="1361">
      <c r="A1361" s="19" t="n"/>
      <c r="B1361" s="19" t="n"/>
      <c r="C1361" s="19" t="n"/>
      <c r="D1361" s="19" t="n"/>
      <c r="E1361" s="19" t="n"/>
      <c r="F1361" s="19" t="n"/>
      <c r="G1361" s="19" t="n"/>
      <c r="H1361" s="19" t="n"/>
      <c r="I1361" s="19" t="n"/>
      <c r="J1361" s="19" t="n"/>
      <c r="K1361" s="19" t="n"/>
      <c r="L1361" s="20" t="n"/>
      <c r="M1361" s="20" t="n"/>
      <c r="N1361" s="20" t="n"/>
      <c r="O1361" s="20" t="n"/>
      <c r="P1361" s="19" t="n"/>
      <c r="Q1361" s="19" t="n"/>
      <c r="R1361" s="20" t="n"/>
      <c r="S1361" s="20" t="n"/>
      <c r="T1361" s="19" t="n"/>
      <c r="U1361" s="19" t="n"/>
      <c r="V1361" s="19" t="n"/>
      <c r="W1361" s="19" t="n"/>
      <c r="X1361" s="19" t="n"/>
      <c r="Y1361" s="19" t="n"/>
      <c r="Z1361" s="21">
        <f>IF(AND($A1361="",$B1361=""),"",IF(OR($E1361="",$H1361="",$H1361="Proposed",$H1361="Not Reported"),0,IF(AND($P1361="Y",$Q1361&lt;&gt;"Y"),0,IF(AND($K1361="Point",N($L1361)&lt;=0),0,IF(AND(N($L1361)&lt;=0,N($N1361)&lt;=0,N($R1361)+N($S1361)&lt;=0),0,1)))))</f>
        <v/>
      </c>
      <c r="AA1361" s="21">
        <f>IF(AND($A1361="",$B1361=""),"",IF($E1361="","Site type missing",IF($H1361="","STATUS missing",IF($H1361="Proposed","STATUS = Proposed",IF($H1361="Not Reported","STATUS = Not Reported",IF(AND($P1361="Y",$Q1361&lt;&gt;"Y"),"UNESCO-MAB Biosphere Reserve",IF(AND($K1361="Point",N($L1361)&lt;=0),"Point without REP_AREA",IF(AND(N($L1361)&lt;=0,N($N1361)&lt;=0,N($R1361)+N($S1361)&lt;=0),"No area information",""))))))))</f>
        <v/>
      </c>
      <c r="AB1361" s="22">
        <f>IF(AND($A1361="",$B1361=""),"",IF($K1361="Point",N($L1361),IF(N($N1361)&gt;0,N($N1361),N($L1361))))</f>
        <v/>
      </c>
      <c r="AC1361" s="22">
        <f>IF(AND($A1361="",$B1361=""),"",MIN(AB1361,IF(N($J1361)=0,0,IF(N($J1361)=2,AB1361,IF(AND($K1361&lt;&gt;"Point",N($O1361)&gt;0),N($O1361),N($M1361))))))</f>
        <v/>
      </c>
      <c r="AD1361" s="22">
        <f>IF(AND($A1361="",$B1361=""),"",MAX(0,AB1361-AC1361))</f>
        <v/>
      </c>
      <c r="AE1361" s="21">
        <f>IF(AND($A1361="",$B1361=""),"",IF(OR($R1361&lt;&gt;"",$S1361&lt;&gt;""),1,0))</f>
        <v/>
      </c>
      <c r="AF1361" s="22">
        <f>IF(AND($A1361="",$B1361=""),"",IF(Z1361=1,IF(AE1361=1,N($R1361),AD1361),0))</f>
        <v/>
      </c>
      <c r="AG1361" s="22">
        <f>IF(AND($A1361="",$B1361=""),"",IF(Z1361=1,IF(AE1361=1,N($S1361),AC1361),0))</f>
        <v/>
      </c>
      <c r="AH1361" s="21">
        <f>IF(AND($A1361="",$B1361=""),"",IF(AND(ISNUMBER($I1361),N($I1361)&gt;0),$I1361,0))</f>
        <v/>
      </c>
      <c r="AI1361" s="23">
        <f>IF(AND(NOT(AND($A1361="",$B1361="")),$K1361="Point",N($L1361)&gt;0),SQRT(N($L1361)/PI()),"")</f>
        <v/>
      </c>
      <c r="AJ1361" s="21">
        <f>IF(AND($A1361="",$B1361=""),"",IFERROR(VLOOKUP($G1361,Lists!$D$4:$E$15,2,FALSE),"Not reported"))</f>
        <v/>
      </c>
      <c r="AK1361" s="21">
        <f>IF(AND($A1361="",$B1361=""),"",IF($X1361&lt;&gt;"",$X1361,IF($T1361&lt;&gt;"Y","Not assessed",IF(AND(ISNUMBER($V1361),Setup!$B$6-$V1361&gt;Setup!$B$26),"Assessment outdated",IF(NOT(ISNUMBER($W1361)),"Assessed – no score",IF($W1361&gt;=Setup!$B$24,"High",IF($W1361&gt;=Setup!$B$25,"Moderate","Low")))))))</f>
        <v/>
      </c>
      <c r="AL1361" s="21">
        <f>IF(AND($A1361="",$B1361=""),"",IF(Z1361=0,"",IF(AND(AE1361=1,N($R1361)&gt;AD1361*1.01+0.001),"Net terrestrial &gt; gross; ","")&amp;IF(AND(AE1361=1,N($S1361)&gt;AC1361*1.01+0.001),"Net marine &gt; gross; ","")&amp;IF(AE1361=0,"No net area – gross used, overlaps may be double-counted; ","")&amp;IF(AH1361=0,"STATUS_YR missing – imputed in time series; ","")&amp;IF(AND(ISNUMBER($I1361),N($I1361)&gt;Setup!$B$6),"STATUS_YR after reporting year; ","")&amp;IF(OR($G1361="",$G1361="Not Reported"),"GOV_TYPE not reported; ","")&amp;IF(AND(N($J1361)=1,$K1361="Point",N($M1361)&lt;=0),"Coastal point without REP_M_AREA – land/sea split unknown; ","")&amp;IF(AND(N($J1361)=0,N($S1361)&gt;0),"MARINE=0 but net marine &gt;0; ","")&amp;IF(AND(N($J1361)=2,N($R1361)&gt;0),"MARINE=2 but net terrestrial &gt;0; ","")&amp;IF($K1361="Point","Buffered point – coverage approximate; ","")))</f>
        <v/>
      </c>
    </row>
    <row r="1362">
      <c r="A1362" s="19" t="n"/>
      <c r="B1362" s="19" t="n"/>
      <c r="C1362" s="19" t="n"/>
      <c r="D1362" s="19" t="n"/>
      <c r="E1362" s="19" t="n"/>
      <c r="F1362" s="19" t="n"/>
      <c r="G1362" s="19" t="n"/>
      <c r="H1362" s="19" t="n"/>
      <c r="I1362" s="19" t="n"/>
      <c r="J1362" s="19" t="n"/>
      <c r="K1362" s="19" t="n"/>
      <c r="L1362" s="20" t="n"/>
      <c r="M1362" s="20" t="n"/>
      <c r="N1362" s="20" t="n"/>
      <c r="O1362" s="20" t="n"/>
      <c r="P1362" s="19" t="n"/>
      <c r="Q1362" s="19" t="n"/>
      <c r="R1362" s="20" t="n"/>
      <c r="S1362" s="20" t="n"/>
      <c r="T1362" s="19" t="n"/>
      <c r="U1362" s="19" t="n"/>
      <c r="V1362" s="19" t="n"/>
      <c r="W1362" s="19" t="n"/>
      <c r="X1362" s="19" t="n"/>
      <c r="Y1362" s="19" t="n"/>
      <c r="Z1362" s="21">
        <f>IF(AND($A1362="",$B1362=""),"",IF(OR($E1362="",$H1362="",$H1362="Proposed",$H1362="Not Reported"),0,IF(AND($P1362="Y",$Q1362&lt;&gt;"Y"),0,IF(AND($K1362="Point",N($L1362)&lt;=0),0,IF(AND(N($L1362)&lt;=0,N($N1362)&lt;=0,N($R1362)+N($S1362)&lt;=0),0,1)))))</f>
        <v/>
      </c>
      <c r="AA1362" s="21">
        <f>IF(AND($A1362="",$B1362=""),"",IF($E1362="","Site type missing",IF($H1362="","STATUS missing",IF($H1362="Proposed","STATUS = Proposed",IF($H1362="Not Reported","STATUS = Not Reported",IF(AND($P1362="Y",$Q1362&lt;&gt;"Y"),"UNESCO-MAB Biosphere Reserve",IF(AND($K1362="Point",N($L1362)&lt;=0),"Point without REP_AREA",IF(AND(N($L1362)&lt;=0,N($N1362)&lt;=0,N($R1362)+N($S1362)&lt;=0),"No area information",""))))))))</f>
        <v/>
      </c>
      <c r="AB1362" s="22">
        <f>IF(AND($A1362="",$B1362=""),"",IF($K1362="Point",N($L1362),IF(N($N1362)&gt;0,N($N1362),N($L1362))))</f>
        <v/>
      </c>
      <c r="AC1362" s="22">
        <f>IF(AND($A1362="",$B1362=""),"",MIN(AB1362,IF(N($J1362)=0,0,IF(N($J1362)=2,AB1362,IF(AND($K1362&lt;&gt;"Point",N($O1362)&gt;0),N($O1362),N($M1362))))))</f>
        <v/>
      </c>
      <c r="AD1362" s="22">
        <f>IF(AND($A1362="",$B1362=""),"",MAX(0,AB1362-AC1362))</f>
        <v/>
      </c>
      <c r="AE1362" s="21">
        <f>IF(AND($A1362="",$B1362=""),"",IF(OR($R1362&lt;&gt;"",$S1362&lt;&gt;""),1,0))</f>
        <v/>
      </c>
      <c r="AF1362" s="22">
        <f>IF(AND($A1362="",$B1362=""),"",IF(Z1362=1,IF(AE1362=1,N($R1362),AD1362),0))</f>
        <v/>
      </c>
      <c r="AG1362" s="22">
        <f>IF(AND($A1362="",$B1362=""),"",IF(Z1362=1,IF(AE1362=1,N($S1362),AC1362),0))</f>
        <v/>
      </c>
      <c r="AH1362" s="21">
        <f>IF(AND($A1362="",$B1362=""),"",IF(AND(ISNUMBER($I1362),N($I1362)&gt;0),$I1362,0))</f>
        <v/>
      </c>
      <c r="AI1362" s="23">
        <f>IF(AND(NOT(AND($A1362="",$B1362="")),$K1362="Point",N($L1362)&gt;0),SQRT(N($L1362)/PI()),"")</f>
        <v/>
      </c>
      <c r="AJ1362" s="21">
        <f>IF(AND($A1362="",$B1362=""),"",IFERROR(VLOOKUP($G1362,Lists!$D$4:$E$15,2,FALSE),"Not reported"))</f>
        <v/>
      </c>
      <c r="AK1362" s="21">
        <f>IF(AND($A1362="",$B1362=""),"",IF($X1362&lt;&gt;"",$X1362,IF($T1362&lt;&gt;"Y","Not assessed",IF(AND(ISNUMBER($V1362),Setup!$B$6-$V1362&gt;Setup!$B$26),"Assessment outdated",IF(NOT(ISNUMBER($W1362)),"Assessed – no score",IF($W1362&gt;=Setup!$B$24,"High",IF($W1362&gt;=Setup!$B$25,"Moderate","Low")))))))</f>
        <v/>
      </c>
      <c r="AL1362" s="21">
        <f>IF(AND($A1362="",$B1362=""),"",IF(Z1362=0,"",IF(AND(AE1362=1,N($R1362)&gt;AD1362*1.01+0.001),"Net terrestrial &gt; gross; ","")&amp;IF(AND(AE1362=1,N($S1362)&gt;AC1362*1.01+0.001),"Net marine &gt; gross; ","")&amp;IF(AE1362=0,"No net area – gross used, overlaps may be double-counted; ","")&amp;IF(AH1362=0,"STATUS_YR missing – imputed in time series; ","")&amp;IF(AND(ISNUMBER($I1362),N($I1362)&gt;Setup!$B$6),"STATUS_YR after reporting year; ","")&amp;IF(OR($G1362="",$G1362="Not Reported"),"GOV_TYPE not reported; ","")&amp;IF(AND(N($J1362)=1,$K1362="Point",N($M1362)&lt;=0),"Coastal point without REP_M_AREA – land/sea split unknown; ","")&amp;IF(AND(N($J1362)=0,N($S1362)&gt;0),"MARINE=0 but net marine &gt;0; ","")&amp;IF(AND(N($J1362)=2,N($R1362)&gt;0),"MARINE=2 but net terrestrial &gt;0; ","")&amp;IF($K1362="Point","Buffered point – coverage approximate; ","")))</f>
        <v/>
      </c>
    </row>
    <row r="1363">
      <c r="A1363" s="19" t="n"/>
      <c r="B1363" s="19" t="n"/>
      <c r="C1363" s="19" t="n"/>
      <c r="D1363" s="19" t="n"/>
      <c r="E1363" s="19" t="n"/>
      <c r="F1363" s="19" t="n"/>
      <c r="G1363" s="19" t="n"/>
      <c r="H1363" s="19" t="n"/>
      <c r="I1363" s="19" t="n"/>
      <c r="J1363" s="19" t="n"/>
      <c r="K1363" s="19" t="n"/>
      <c r="L1363" s="20" t="n"/>
      <c r="M1363" s="20" t="n"/>
      <c r="N1363" s="20" t="n"/>
      <c r="O1363" s="20" t="n"/>
      <c r="P1363" s="19" t="n"/>
      <c r="Q1363" s="19" t="n"/>
      <c r="R1363" s="20" t="n"/>
      <c r="S1363" s="20" t="n"/>
      <c r="T1363" s="19" t="n"/>
      <c r="U1363" s="19" t="n"/>
      <c r="V1363" s="19" t="n"/>
      <c r="W1363" s="19" t="n"/>
      <c r="X1363" s="19" t="n"/>
      <c r="Y1363" s="19" t="n"/>
      <c r="Z1363" s="21">
        <f>IF(AND($A1363="",$B1363=""),"",IF(OR($E1363="",$H1363="",$H1363="Proposed",$H1363="Not Reported"),0,IF(AND($P1363="Y",$Q1363&lt;&gt;"Y"),0,IF(AND($K1363="Point",N($L1363)&lt;=0),0,IF(AND(N($L1363)&lt;=0,N($N1363)&lt;=0,N($R1363)+N($S1363)&lt;=0),0,1)))))</f>
        <v/>
      </c>
      <c r="AA1363" s="21">
        <f>IF(AND($A1363="",$B1363=""),"",IF($E1363="","Site type missing",IF($H1363="","STATUS missing",IF($H1363="Proposed","STATUS = Proposed",IF($H1363="Not Reported","STATUS = Not Reported",IF(AND($P1363="Y",$Q1363&lt;&gt;"Y"),"UNESCO-MAB Biosphere Reserve",IF(AND($K1363="Point",N($L1363)&lt;=0),"Point without REP_AREA",IF(AND(N($L1363)&lt;=0,N($N1363)&lt;=0,N($R1363)+N($S1363)&lt;=0),"No area information",""))))))))</f>
        <v/>
      </c>
      <c r="AB1363" s="22">
        <f>IF(AND($A1363="",$B1363=""),"",IF($K1363="Point",N($L1363),IF(N($N1363)&gt;0,N($N1363),N($L1363))))</f>
        <v/>
      </c>
      <c r="AC1363" s="22">
        <f>IF(AND($A1363="",$B1363=""),"",MIN(AB1363,IF(N($J1363)=0,0,IF(N($J1363)=2,AB1363,IF(AND($K1363&lt;&gt;"Point",N($O1363)&gt;0),N($O1363),N($M1363))))))</f>
        <v/>
      </c>
      <c r="AD1363" s="22">
        <f>IF(AND($A1363="",$B1363=""),"",MAX(0,AB1363-AC1363))</f>
        <v/>
      </c>
      <c r="AE1363" s="21">
        <f>IF(AND($A1363="",$B1363=""),"",IF(OR($R1363&lt;&gt;"",$S1363&lt;&gt;""),1,0))</f>
        <v/>
      </c>
      <c r="AF1363" s="22">
        <f>IF(AND($A1363="",$B1363=""),"",IF(Z1363=1,IF(AE1363=1,N($R1363),AD1363),0))</f>
        <v/>
      </c>
      <c r="AG1363" s="22">
        <f>IF(AND($A1363="",$B1363=""),"",IF(Z1363=1,IF(AE1363=1,N($S1363),AC1363),0))</f>
        <v/>
      </c>
      <c r="AH1363" s="21">
        <f>IF(AND($A1363="",$B1363=""),"",IF(AND(ISNUMBER($I1363),N($I1363)&gt;0),$I1363,0))</f>
        <v/>
      </c>
      <c r="AI1363" s="23">
        <f>IF(AND(NOT(AND($A1363="",$B1363="")),$K1363="Point",N($L1363)&gt;0),SQRT(N($L1363)/PI()),"")</f>
        <v/>
      </c>
      <c r="AJ1363" s="21">
        <f>IF(AND($A1363="",$B1363=""),"",IFERROR(VLOOKUP($G1363,Lists!$D$4:$E$15,2,FALSE),"Not reported"))</f>
        <v/>
      </c>
      <c r="AK1363" s="21">
        <f>IF(AND($A1363="",$B1363=""),"",IF($X1363&lt;&gt;"",$X1363,IF($T1363&lt;&gt;"Y","Not assessed",IF(AND(ISNUMBER($V1363),Setup!$B$6-$V1363&gt;Setup!$B$26),"Assessment outdated",IF(NOT(ISNUMBER($W1363)),"Assessed – no score",IF($W1363&gt;=Setup!$B$24,"High",IF($W1363&gt;=Setup!$B$25,"Moderate","Low")))))))</f>
        <v/>
      </c>
      <c r="AL1363" s="21">
        <f>IF(AND($A1363="",$B1363=""),"",IF(Z1363=0,"",IF(AND(AE1363=1,N($R1363)&gt;AD1363*1.01+0.001),"Net terrestrial &gt; gross; ","")&amp;IF(AND(AE1363=1,N($S1363)&gt;AC1363*1.01+0.001),"Net marine &gt; gross; ","")&amp;IF(AE1363=0,"No net area – gross used, overlaps may be double-counted; ","")&amp;IF(AH1363=0,"STATUS_YR missing – imputed in time series; ","")&amp;IF(AND(ISNUMBER($I1363),N($I1363)&gt;Setup!$B$6),"STATUS_YR after reporting year; ","")&amp;IF(OR($G1363="",$G1363="Not Reported"),"GOV_TYPE not reported; ","")&amp;IF(AND(N($J1363)=1,$K1363="Point",N($M1363)&lt;=0),"Coastal point without REP_M_AREA – land/sea split unknown; ","")&amp;IF(AND(N($J1363)=0,N($S1363)&gt;0),"MARINE=0 but net marine &gt;0; ","")&amp;IF(AND(N($J1363)=2,N($R1363)&gt;0),"MARINE=2 but net terrestrial &gt;0; ","")&amp;IF($K1363="Point","Buffered point – coverage approximate; ","")))</f>
        <v/>
      </c>
    </row>
    <row r="1364">
      <c r="A1364" s="19" t="n"/>
      <c r="B1364" s="19" t="n"/>
      <c r="C1364" s="19" t="n"/>
      <c r="D1364" s="19" t="n"/>
      <c r="E1364" s="19" t="n"/>
      <c r="F1364" s="19" t="n"/>
      <c r="G1364" s="19" t="n"/>
      <c r="H1364" s="19" t="n"/>
      <c r="I1364" s="19" t="n"/>
      <c r="J1364" s="19" t="n"/>
      <c r="K1364" s="19" t="n"/>
      <c r="L1364" s="20" t="n"/>
      <c r="M1364" s="20" t="n"/>
      <c r="N1364" s="20" t="n"/>
      <c r="O1364" s="20" t="n"/>
      <c r="P1364" s="19" t="n"/>
      <c r="Q1364" s="19" t="n"/>
      <c r="R1364" s="20" t="n"/>
      <c r="S1364" s="20" t="n"/>
      <c r="T1364" s="19" t="n"/>
      <c r="U1364" s="19" t="n"/>
      <c r="V1364" s="19" t="n"/>
      <c r="W1364" s="19" t="n"/>
      <c r="X1364" s="19" t="n"/>
      <c r="Y1364" s="19" t="n"/>
      <c r="Z1364" s="21">
        <f>IF(AND($A1364="",$B1364=""),"",IF(OR($E1364="",$H1364="",$H1364="Proposed",$H1364="Not Reported"),0,IF(AND($P1364="Y",$Q1364&lt;&gt;"Y"),0,IF(AND($K1364="Point",N($L1364)&lt;=0),0,IF(AND(N($L1364)&lt;=0,N($N1364)&lt;=0,N($R1364)+N($S1364)&lt;=0),0,1)))))</f>
        <v/>
      </c>
      <c r="AA1364" s="21">
        <f>IF(AND($A1364="",$B1364=""),"",IF($E1364="","Site type missing",IF($H1364="","STATUS missing",IF($H1364="Proposed","STATUS = Proposed",IF($H1364="Not Reported","STATUS = Not Reported",IF(AND($P1364="Y",$Q1364&lt;&gt;"Y"),"UNESCO-MAB Biosphere Reserve",IF(AND($K1364="Point",N($L1364)&lt;=0),"Point without REP_AREA",IF(AND(N($L1364)&lt;=0,N($N1364)&lt;=0,N($R1364)+N($S1364)&lt;=0),"No area information",""))))))))</f>
        <v/>
      </c>
      <c r="AB1364" s="22">
        <f>IF(AND($A1364="",$B1364=""),"",IF($K1364="Point",N($L1364),IF(N($N1364)&gt;0,N($N1364),N($L1364))))</f>
        <v/>
      </c>
      <c r="AC1364" s="22">
        <f>IF(AND($A1364="",$B1364=""),"",MIN(AB1364,IF(N($J1364)=0,0,IF(N($J1364)=2,AB1364,IF(AND($K1364&lt;&gt;"Point",N($O1364)&gt;0),N($O1364),N($M1364))))))</f>
        <v/>
      </c>
      <c r="AD1364" s="22">
        <f>IF(AND($A1364="",$B1364=""),"",MAX(0,AB1364-AC1364))</f>
        <v/>
      </c>
      <c r="AE1364" s="21">
        <f>IF(AND($A1364="",$B1364=""),"",IF(OR($R1364&lt;&gt;"",$S1364&lt;&gt;""),1,0))</f>
        <v/>
      </c>
      <c r="AF1364" s="22">
        <f>IF(AND($A1364="",$B1364=""),"",IF(Z1364=1,IF(AE1364=1,N($R1364),AD1364),0))</f>
        <v/>
      </c>
      <c r="AG1364" s="22">
        <f>IF(AND($A1364="",$B1364=""),"",IF(Z1364=1,IF(AE1364=1,N($S1364),AC1364),0))</f>
        <v/>
      </c>
      <c r="AH1364" s="21">
        <f>IF(AND($A1364="",$B1364=""),"",IF(AND(ISNUMBER($I1364),N($I1364)&gt;0),$I1364,0))</f>
        <v/>
      </c>
      <c r="AI1364" s="23">
        <f>IF(AND(NOT(AND($A1364="",$B1364="")),$K1364="Point",N($L1364)&gt;0),SQRT(N($L1364)/PI()),"")</f>
        <v/>
      </c>
      <c r="AJ1364" s="21">
        <f>IF(AND($A1364="",$B1364=""),"",IFERROR(VLOOKUP($G1364,Lists!$D$4:$E$15,2,FALSE),"Not reported"))</f>
        <v/>
      </c>
      <c r="AK1364" s="21">
        <f>IF(AND($A1364="",$B1364=""),"",IF($X1364&lt;&gt;"",$X1364,IF($T1364&lt;&gt;"Y","Not assessed",IF(AND(ISNUMBER($V1364),Setup!$B$6-$V1364&gt;Setup!$B$26),"Assessment outdated",IF(NOT(ISNUMBER($W1364)),"Assessed – no score",IF($W1364&gt;=Setup!$B$24,"High",IF($W1364&gt;=Setup!$B$25,"Moderate","Low")))))))</f>
        <v/>
      </c>
      <c r="AL1364" s="21">
        <f>IF(AND($A1364="",$B1364=""),"",IF(Z1364=0,"",IF(AND(AE1364=1,N($R1364)&gt;AD1364*1.01+0.001),"Net terrestrial &gt; gross; ","")&amp;IF(AND(AE1364=1,N($S1364)&gt;AC1364*1.01+0.001),"Net marine &gt; gross; ","")&amp;IF(AE1364=0,"No net area – gross used, overlaps may be double-counted; ","")&amp;IF(AH1364=0,"STATUS_YR missing – imputed in time series; ","")&amp;IF(AND(ISNUMBER($I1364),N($I1364)&gt;Setup!$B$6),"STATUS_YR after reporting year; ","")&amp;IF(OR($G1364="",$G1364="Not Reported"),"GOV_TYPE not reported; ","")&amp;IF(AND(N($J1364)=1,$K1364="Point",N($M1364)&lt;=0),"Coastal point without REP_M_AREA – land/sea split unknown; ","")&amp;IF(AND(N($J1364)=0,N($S1364)&gt;0),"MARINE=0 but net marine &gt;0; ","")&amp;IF(AND(N($J1364)=2,N($R1364)&gt;0),"MARINE=2 but net terrestrial &gt;0; ","")&amp;IF($K1364="Point","Buffered point – coverage approximate; ","")))</f>
        <v/>
      </c>
    </row>
    <row r="1365">
      <c r="A1365" s="19" t="n"/>
      <c r="B1365" s="19" t="n"/>
      <c r="C1365" s="19" t="n"/>
      <c r="D1365" s="19" t="n"/>
      <c r="E1365" s="19" t="n"/>
      <c r="F1365" s="19" t="n"/>
      <c r="G1365" s="19" t="n"/>
      <c r="H1365" s="19" t="n"/>
      <c r="I1365" s="19" t="n"/>
      <c r="J1365" s="19" t="n"/>
      <c r="K1365" s="19" t="n"/>
      <c r="L1365" s="20" t="n"/>
      <c r="M1365" s="20" t="n"/>
      <c r="N1365" s="20" t="n"/>
      <c r="O1365" s="20" t="n"/>
      <c r="P1365" s="19" t="n"/>
      <c r="Q1365" s="19" t="n"/>
      <c r="R1365" s="20" t="n"/>
      <c r="S1365" s="20" t="n"/>
      <c r="T1365" s="19" t="n"/>
      <c r="U1365" s="19" t="n"/>
      <c r="V1365" s="19" t="n"/>
      <c r="W1365" s="19" t="n"/>
      <c r="X1365" s="19" t="n"/>
      <c r="Y1365" s="19" t="n"/>
      <c r="Z1365" s="21">
        <f>IF(AND($A1365="",$B1365=""),"",IF(OR($E1365="",$H1365="",$H1365="Proposed",$H1365="Not Reported"),0,IF(AND($P1365="Y",$Q1365&lt;&gt;"Y"),0,IF(AND($K1365="Point",N($L1365)&lt;=0),0,IF(AND(N($L1365)&lt;=0,N($N1365)&lt;=0,N($R1365)+N($S1365)&lt;=0),0,1)))))</f>
        <v/>
      </c>
      <c r="AA1365" s="21">
        <f>IF(AND($A1365="",$B1365=""),"",IF($E1365="","Site type missing",IF($H1365="","STATUS missing",IF($H1365="Proposed","STATUS = Proposed",IF($H1365="Not Reported","STATUS = Not Reported",IF(AND($P1365="Y",$Q1365&lt;&gt;"Y"),"UNESCO-MAB Biosphere Reserve",IF(AND($K1365="Point",N($L1365)&lt;=0),"Point without REP_AREA",IF(AND(N($L1365)&lt;=0,N($N1365)&lt;=0,N($R1365)+N($S1365)&lt;=0),"No area information",""))))))))</f>
        <v/>
      </c>
      <c r="AB1365" s="22">
        <f>IF(AND($A1365="",$B1365=""),"",IF($K1365="Point",N($L1365),IF(N($N1365)&gt;0,N($N1365),N($L1365))))</f>
        <v/>
      </c>
      <c r="AC1365" s="22">
        <f>IF(AND($A1365="",$B1365=""),"",MIN(AB1365,IF(N($J1365)=0,0,IF(N($J1365)=2,AB1365,IF(AND($K1365&lt;&gt;"Point",N($O1365)&gt;0),N($O1365),N($M1365))))))</f>
        <v/>
      </c>
      <c r="AD1365" s="22">
        <f>IF(AND($A1365="",$B1365=""),"",MAX(0,AB1365-AC1365))</f>
        <v/>
      </c>
      <c r="AE1365" s="21">
        <f>IF(AND($A1365="",$B1365=""),"",IF(OR($R1365&lt;&gt;"",$S1365&lt;&gt;""),1,0))</f>
        <v/>
      </c>
      <c r="AF1365" s="22">
        <f>IF(AND($A1365="",$B1365=""),"",IF(Z1365=1,IF(AE1365=1,N($R1365),AD1365),0))</f>
        <v/>
      </c>
      <c r="AG1365" s="22">
        <f>IF(AND($A1365="",$B1365=""),"",IF(Z1365=1,IF(AE1365=1,N($S1365),AC1365),0))</f>
        <v/>
      </c>
      <c r="AH1365" s="21">
        <f>IF(AND($A1365="",$B1365=""),"",IF(AND(ISNUMBER($I1365),N($I1365)&gt;0),$I1365,0))</f>
        <v/>
      </c>
      <c r="AI1365" s="23">
        <f>IF(AND(NOT(AND($A1365="",$B1365="")),$K1365="Point",N($L1365)&gt;0),SQRT(N($L1365)/PI()),"")</f>
        <v/>
      </c>
      <c r="AJ1365" s="21">
        <f>IF(AND($A1365="",$B1365=""),"",IFERROR(VLOOKUP($G1365,Lists!$D$4:$E$15,2,FALSE),"Not reported"))</f>
        <v/>
      </c>
      <c r="AK1365" s="21">
        <f>IF(AND($A1365="",$B1365=""),"",IF($X1365&lt;&gt;"",$X1365,IF($T1365&lt;&gt;"Y","Not assessed",IF(AND(ISNUMBER($V1365),Setup!$B$6-$V1365&gt;Setup!$B$26),"Assessment outdated",IF(NOT(ISNUMBER($W1365)),"Assessed – no score",IF($W1365&gt;=Setup!$B$24,"High",IF($W1365&gt;=Setup!$B$25,"Moderate","Low")))))))</f>
        <v/>
      </c>
      <c r="AL1365" s="21">
        <f>IF(AND($A1365="",$B1365=""),"",IF(Z1365=0,"",IF(AND(AE1365=1,N($R1365)&gt;AD1365*1.01+0.001),"Net terrestrial &gt; gross; ","")&amp;IF(AND(AE1365=1,N($S1365)&gt;AC1365*1.01+0.001),"Net marine &gt; gross; ","")&amp;IF(AE1365=0,"No net area – gross used, overlaps may be double-counted; ","")&amp;IF(AH1365=0,"STATUS_YR missing – imputed in time series; ","")&amp;IF(AND(ISNUMBER($I1365),N($I1365)&gt;Setup!$B$6),"STATUS_YR after reporting year; ","")&amp;IF(OR($G1365="",$G1365="Not Reported"),"GOV_TYPE not reported; ","")&amp;IF(AND(N($J1365)=1,$K1365="Point",N($M1365)&lt;=0),"Coastal point without REP_M_AREA – land/sea split unknown; ","")&amp;IF(AND(N($J1365)=0,N($S1365)&gt;0),"MARINE=0 but net marine &gt;0; ","")&amp;IF(AND(N($J1365)=2,N($R1365)&gt;0),"MARINE=2 but net terrestrial &gt;0; ","")&amp;IF($K1365="Point","Buffered point – coverage approximate; ","")))</f>
        <v/>
      </c>
    </row>
    <row r="1366">
      <c r="A1366" s="19" t="n"/>
      <c r="B1366" s="19" t="n"/>
      <c r="C1366" s="19" t="n"/>
      <c r="D1366" s="19" t="n"/>
      <c r="E1366" s="19" t="n"/>
      <c r="F1366" s="19" t="n"/>
      <c r="G1366" s="19" t="n"/>
      <c r="H1366" s="19" t="n"/>
      <c r="I1366" s="19" t="n"/>
      <c r="J1366" s="19" t="n"/>
      <c r="K1366" s="19" t="n"/>
      <c r="L1366" s="20" t="n"/>
      <c r="M1366" s="20" t="n"/>
      <c r="N1366" s="20" t="n"/>
      <c r="O1366" s="20" t="n"/>
      <c r="P1366" s="19" t="n"/>
      <c r="Q1366" s="19" t="n"/>
      <c r="R1366" s="20" t="n"/>
      <c r="S1366" s="20" t="n"/>
      <c r="T1366" s="19" t="n"/>
      <c r="U1366" s="19" t="n"/>
      <c r="V1366" s="19" t="n"/>
      <c r="W1366" s="19" t="n"/>
      <c r="X1366" s="19" t="n"/>
      <c r="Y1366" s="19" t="n"/>
      <c r="Z1366" s="21">
        <f>IF(AND($A1366="",$B1366=""),"",IF(OR($E1366="",$H1366="",$H1366="Proposed",$H1366="Not Reported"),0,IF(AND($P1366="Y",$Q1366&lt;&gt;"Y"),0,IF(AND($K1366="Point",N($L1366)&lt;=0),0,IF(AND(N($L1366)&lt;=0,N($N1366)&lt;=0,N($R1366)+N($S1366)&lt;=0),0,1)))))</f>
        <v/>
      </c>
      <c r="AA1366" s="21">
        <f>IF(AND($A1366="",$B1366=""),"",IF($E1366="","Site type missing",IF($H1366="","STATUS missing",IF($H1366="Proposed","STATUS = Proposed",IF($H1366="Not Reported","STATUS = Not Reported",IF(AND($P1366="Y",$Q1366&lt;&gt;"Y"),"UNESCO-MAB Biosphere Reserve",IF(AND($K1366="Point",N($L1366)&lt;=0),"Point without REP_AREA",IF(AND(N($L1366)&lt;=0,N($N1366)&lt;=0,N($R1366)+N($S1366)&lt;=0),"No area information",""))))))))</f>
        <v/>
      </c>
      <c r="AB1366" s="22">
        <f>IF(AND($A1366="",$B1366=""),"",IF($K1366="Point",N($L1366),IF(N($N1366)&gt;0,N($N1366),N($L1366))))</f>
        <v/>
      </c>
      <c r="AC1366" s="22">
        <f>IF(AND($A1366="",$B1366=""),"",MIN(AB1366,IF(N($J1366)=0,0,IF(N($J1366)=2,AB1366,IF(AND($K1366&lt;&gt;"Point",N($O1366)&gt;0),N($O1366),N($M1366))))))</f>
        <v/>
      </c>
      <c r="AD1366" s="22">
        <f>IF(AND($A1366="",$B1366=""),"",MAX(0,AB1366-AC1366))</f>
        <v/>
      </c>
      <c r="AE1366" s="21">
        <f>IF(AND($A1366="",$B1366=""),"",IF(OR($R1366&lt;&gt;"",$S1366&lt;&gt;""),1,0))</f>
        <v/>
      </c>
      <c r="AF1366" s="22">
        <f>IF(AND($A1366="",$B1366=""),"",IF(Z1366=1,IF(AE1366=1,N($R1366),AD1366),0))</f>
        <v/>
      </c>
      <c r="AG1366" s="22">
        <f>IF(AND($A1366="",$B1366=""),"",IF(Z1366=1,IF(AE1366=1,N($S1366),AC1366),0))</f>
        <v/>
      </c>
      <c r="AH1366" s="21">
        <f>IF(AND($A1366="",$B1366=""),"",IF(AND(ISNUMBER($I1366),N($I1366)&gt;0),$I1366,0))</f>
        <v/>
      </c>
      <c r="AI1366" s="23">
        <f>IF(AND(NOT(AND($A1366="",$B1366="")),$K1366="Point",N($L1366)&gt;0),SQRT(N($L1366)/PI()),"")</f>
        <v/>
      </c>
      <c r="AJ1366" s="21">
        <f>IF(AND($A1366="",$B1366=""),"",IFERROR(VLOOKUP($G1366,Lists!$D$4:$E$15,2,FALSE),"Not reported"))</f>
        <v/>
      </c>
      <c r="AK1366" s="21">
        <f>IF(AND($A1366="",$B1366=""),"",IF($X1366&lt;&gt;"",$X1366,IF($T1366&lt;&gt;"Y","Not assessed",IF(AND(ISNUMBER($V1366),Setup!$B$6-$V1366&gt;Setup!$B$26),"Assessment outdated",IF(NOT(ISNUMBER($W1366)),"Assessed – no score",IF($W1366&gt;=Setup!$B$24,"High",IF($W1366&gt;=Setup!$B$25,"Moderate","Low")))))))</f>
        <v/>
      </c>
      <c r="AL1366" s="21">
        <f>IF(AND($A1366="",$B1366=""),"",IF(Z1366=0,"",IF(AND(AE1366=1,N($R1366)&gt;AD1366*1.01+0.001),"Net terrestrial &gt; gross; ","")&amp;IF(AND(AE1366=1,N($S1366)&gt;AC1366*1.01+0.001),"Net marine &gt; gross; ","")&amp;IF(AE1366=0,"No net area – gross used, overlaps may be double-counted; ","")&amp;IF(AH1366=0,"STATUS_YR missing – imputed in time series; ","")&amp;IF(AND(ISNUMBER($I1366),N($I1366)&gt;Setup!$B$6),"STATUS_YR after reporting year; ","")&amp;IF(OR($G1366="",$G1366="Not Reported"),"GOV_TYPE not reported; ","")&amp;IF(AND(N($J1366)=1,$K1366="Point",N($M1366)&lt;=0),"Coastal point without REP_M_AREA – land/sea split unknown; ","")&amp;IF(AND(N($J1366)=0,N($S1366)&gt;0),"MARINE=0 but net marine &gt;0; ","")&amp;IF(AND(N($J1366)=2,N($R1366)&gt;0),"MARINE=2 but net terrestrial &gt;0; ","")&amp;IF($K1366="Point","Buffered point – coverage approximate; ","")))</f>
        <v/>
      </c>
    </row>
    <row r="1367">
      <c r="A1367" s="19" t="n"/>
      <c r="B1367" s="19" t="n"/>
      <c r="C1367" s="19" t="n"/>
      <c r="D1367" s="19" t="n"/>
      <c r="E1367" s="19" t="n"/>
      <c r="F1367" s="19" t="n"/>
      <c r="G1367" s="19" t="n"/>
      <c r="H1367" s="19" t="n"/>
      <c r="I1367" s="19" t="n"/>
      <c r="J1367" s="19" t="n"/>
      <c r="K1367" s="19" t="n"/>
      <c r="L1367" s="20" t="n"/>
      <c r="M1367" s="20" t="n"/>
      <c r="N1367" s="20" t="n"/>
      <c r="O1367" s="20" t="n"/>
      <c r="P1367" s="19" t="n"/>
      <c r="Q1367" s="19" t="n"/>
      <c r="R1367" s="20" t="n"/>
      <c r="S1367" s="20" t="n"/>
      <c r="T1367" s="19" t="n"/>
      <c r="U1367" s="19" t="n"/>
      <c r="V1367" s="19" t="n"/>
      <c r="W1367" s="19" t="n"/>
      <c r="X1367" s="19" t="n"/>
      <c r="Y1367" s="19" t="n"/>
      <c r="Z1367" s="21">
        <f>IF(AND($A1367="",$B1367=""),"",IF(OR($E1367="",$H1367="",$H1367="Proposed",$H1367="Not Reported"),0,IF(AND($P1367="Y",$Q1367&lt;&gt;"Y"),0,IF(AND($K1367="Point",N($L1367)&lt;=0),0,IF(AND(N($L1367)&lt;=0,N($N1367)&lt;=0,N($R1367)+N($S1367)&lt;=0),0,1)))))</f>
        <v/>
      </c>
      <c r="AA1367" s="21">
        <f>IF(AND($A1367="",$B1367=""),"",IF($E1367="","Site type missing",IF($H1367="","STATUS missing",IF($H1367="Proposed","STATUS = Proposed",IF($H1367="Not Reported","STATUS = Not Reported",IF(AND($P1367="Y",$Q1367&lt;&gt;"Y"),"UNESCO-MAB Biosphere Reserve",IF(AND($K1367="Point",N($L1367)&lt;=0),"Point without REP_AREA",IF(AND(N($L1367)&lt;=0,N($N1367)&lt;=0,N($R1367)+N($S1367)&lt;=0),"No area information",""))))))))</f>
        <v/>
      </c>
      <c r="AB1367" s="22">
        <f>IF(AND($A1367="",$B1367=""),"",IF($K1367="Point",N($L1367),IF(N($N1367)&gt;0,N($N1367),N($L1367))))</f>
        <v/>
      </c>
      <c r="AC1367" s="22">
        <f>IF(AND($A1367="",$B1367=""),"",MIN(AB1367,IF(N($J1367)=0,0,IF(N($J1367)=2,AB1367,IF(AND($K1367&lt;&gt;"Point",N($O1367)&gt;0),N($O1367),N($M1367))))))</f>
        <v/>
      </c>
      <c r="AD1367" s="22">
        <f>IF(AND($A1367="",$B1367=""),"",MAX(0,AB1367-AC1367))</f>
        <v/>
      </c>
      <c r="AE1367" s="21">
        <f>IF(AND($A1367="",$B1367=""),"",IF(OR($R1367&lt;&gt;"",$S1367&lt;&gt;""),1,0))</f>
        <v/>
      </c>
      <c r="AF1367" s="22">
        <f>IF(AND($A1367="",$B1367=""),"",IF(Z1367=1,IF(AE1367=1,N($R1367),AD1367),0))</f>
        <v/>
      </c>
      <c r="AG1367" s="22">
        <f>IF(AND($A1367="",$B1367=""),"",IF(Z1367=1,IF(AE1367=1,N($S1367),AC1367),0))</f>
        <v/>
      </c>
      <c r="AH1367" s="21">
        <f>IF(AND($A1367="",$B1367=""),"",IF(AND(ISNUMBER($I1367),N($I1367)&gt;0),$I1367,0))</f>
        <v/>
      </c>
      <c r="AI1367" s="23">
        <f>IF(AND(NOT(AND($A1367="",$B1367="")),$K1367="Point",N($L1367)&gt;0),SQRT(N($L1367)/PI()),"")</f>
        <v/>
      </c>
      <c r="AJ1367" s="21">
        <f>IF(AND($A1367="",$B1367=""),"",IFERROR(VLOOKUP($G1367,Lists!$D$4:$E$15,2,FALSE),"Not reported"))</f>
        <v/>
      </c>
      <c r="AK1367" s="21">
        <f>IF(AND($A1367="",$B1367=""),"",IF($X1367&lt;&gt;"",$X1367,IF($T1367&lt;&gt;"Y","Not assessed",IF(AND(ISNUMBER($V1367),Setup!$B$6-$V1367&gt;Setup!$B$26),"Assessment outdated",IF(NOT(ISNUMBER($W1367)),"Assessed – no score",IF($W1367&gt;=Setup!$B$24,"High",IF($W1367&gt;=Setup!$B$25,"Moderate","Low")))))))</f>
        <v/>
      </c>
      <c r="AL1367" s="21">
        <f>IF(AND($A1367="",$B1367=""),"",IF(Z1367=0,"",IF(AND(AE1367=1,N($R1367)&gt;AD1367*1.01+0.001),"Net terrestrial &gt; gross; ","")&amp;IF(AND(AE1367=1,N($S1367)&gt;AC1367*1.01+0.001),"Net marine &gt; gross; ","")&amp;IF(AE1367=0,"No net area – gross used, overlaps may be double-counted; ","")&amp;IF(AH1367=0,"STATUS_YR missing – imputed in time series; ","")&amp;IF(AND(ISNUMBER($I1367),N($I1367)&gt;Setup!$B$6),"STATUS_YR after reporting year; ","")&amp;IF(OR($G1367="",$G1367="Not Reported"),"GOV_TYPE not reported; ","")&amp;IF(AND(N($J1367)=1,$K1367="Point",N($M1367)&lt;=0),"Coastal point without REP_M_AREA – land/sea split unknown; ","")&amp;IF(AND(N($J1367)=0,N($S1367)&gt;0),"MARINE=0 but net marine &gt;0; ","")&amp;IF(AND(N($J1367)=2,N($R1367)&gt;0),"MARINE=2 but net terrestrial &gt;0; ","")&amp;IF($K1367="Point","Buffered point – coverage approximate; ","")))</f>
        <v/>
      </c>
    </row>
    <row r="1368">
      <c r="A1368" s="19" t="n"/>
      <c r="B1368" s="19" t="n"/>
      <c r="C1368" s="19" t="n"/>
      <c r="D1368" s="19" t="n"/>
      <c r="E1368" s="19" t="n"/>
      <c r="F1368" s="19" t="n"/>
      <c r="G1368" s="19" t="n"/>
      <c r="H1368" s="19" t="n"/>
      <c r="I1368" s="19" t="n"/>
      <c r="J1368" s="19" t="n"/>
      <c r="K1368" s="19" t="n"/>
      <c r="L1368" s="20" t="n"/>
      <c r="M1368" s="20" t="n"/>
      <c r="N1368" s="20" t="n"/>
      <c r="O1368" s="20" t="n"/>
      <c r="P1368" s="19" t="n"/>
      <c r="Q1368" s="19" t="n"/>
      <c r="R1368" s="20" t="n"/>
      <c r="S1368" s="20" t="n"/>
      <c r="T1368" s="19" t="n"/>
      <c r="U1368" s="19" t="n"/>
      <c r="V1368" s="19" t="n"/>
      <c r="W1368" s="19" t="n"/>
      <c r="X1368" s="19" t="n"/>
      <c r="Y1368" s="19" t="n"/>
      <c r="Z1368" s="21">
        <f>IF(AND($A1368="",$B1368=""),"",IF(OR($E1368="",$H1368="",$H1368="Proposed",$H1368="Not Reported"),0,IF(AND($P1368="Y",$Q1368&lt;&gt;"Y"),0,IF(AND($K1368="Point",N($L1368)&lt;=0),0,IF(AND(N($L1368)&lt;=0,N($N1368)&lt;=0,N($R1368)+N($S1368)&lt;=0),0,1)))))</f>
        <v/>
      </c>
      <c r="AA1368" s="21">
        <f>IF(AND($A1368="",$B1368=""),"",IF($E1368="","Site type missing",IF($H1368="","STATUS missing",IF($H1368="Proposed","STATUS = Proposed",IF($H1368="Not Reported","STATUS = Not Reported",IF(AND($P1368="Y",$Q1368&lt;&gt;"Y"),"UNESCO-MAB Biosphere Reserve",IF(AND($K1368="Point",N($L1368)&lt;=0),"Point without REP_AREA",IF(AND(N($L1368)&lt;=0,N($N1368)&lt;=0,N($R1368)+N($S1368)&lt;=0),"No area information",""))))))))</f>
        <v/>
      </c>
      <c r="AB1368" s="22">
        <f>IF(AND($A1368="",$B1368=""),"",IF($K1368="Point",N($L1368),IF(N($N1368)&gt;0,N($N1368),N($L1368))))</f>
        <v/>
      </c>
      <c r="AC1368" s="22">
        <f>IF(AND($A1368="",$B1368=""),"",MIN(AB1368,IF(N($J1368)=0,0,IF(N($J1368)=2,AB1368,IF(AND($K1368&lt;&gt;"Point",N($O1368)&gt;0),N($O1368),N($M1368))))))</f>
        <v/>
      </c>
      <c r="AD1368" s="22">
        <f>IF(AND($A1368="",$B1368=""),"",MAX(0,AB1368-AC1368))</f>
        <v/>
      </c>
      <c r="AE1368" s="21">
        <f>IF(AND($A1368="",$B1368=""),"",IF(OR($R1368&lt;&gt;"",$S1368&lt;&gt;""),1,0))</f>
        <v/>
      </c>
      <c r="AF1368" s="22">
        <f>IF(AND($A1368="",$B1368=""),"",IF(Z1368=1,IF(AE1368=1,N($R1368),AD1368),0))</f>
        <v/>
      </c>
      <c r="AG1368" s="22">
        <f>IF(AND($A1368="",$B1368=""),"",IF(Z1368=1,IF(AE1368=1,N($S1368),AC1368),0))</f>
        <v/>
      </c>
      <c r="AH1368" s="21">
        <f>IF(AND($A1368="",$B1368=""),"",IF(AND(ISNUMBER($I1368),N($I1368)&gt;0),$I1368,0))</f>
        <v/>
      </c>
      <c r="AI1368" s="23">
        <f>IF(AND(NOT(AND($A1368="",$B1368="")),$K1368="Point",N($L1368)&gt;0),SQRT(N($L1368)/PI()),"")</f>
        <v/>
      </c>
      <c r="AJ1368" s="21">
        <f>IF(AND($A1368="",$B1368=""),"",IFERROR(VLOOKUP($G1368,Lists!$D$4:$E$15,2,FALSE),"Not reported"))</f>
        <v/>
      </c>
      <c r="AK1368" s="21">
        <f>IF(AND($A1368="",$B1368=""),"",IF($X1368&lt;&gt;"",$X1368,IF($T1368&lt;&gt;"Y","Not assessed",IF(AND(ISNUMBER($V1368),Setup!$B$6-$V1368&gt;Setup!$B$26),"Assessment outdated",IF(NOT(ISNUMBER($W1368)),"Assessed – no score",IF($W1368&gt;=Setup!$B$24,"High",IF($W1368&gt;=Setup!$B$25,"Moderate","Low")))))))</f>
        <v/>
      </c>
      <c r="AL1368" s="21">
        <f>IF(AND($A1368="",$B1368=""),"",IF(Z1368=0,"",IF(AND(AE1368=1,N($R1368)&gt;AD1368*1.01+0.001),"Net terrestrial &gt; gross; ","")&amp;IF(AND(AE1368=1,N($S1368)&gt;AC1368*1.01+0.001),"Net marine &gt; gross; ","")&amp;IF(AE1368=0,"No net area – gross used, overlaps may be double-counted; ","")&amp;IF(AH1368=0,"STATUS_YR missing – imputed in time series; ","")&amp;IF(AND(ISNUMBER($I1368),N($I1368)&gt;Setup!$B$6),"STATUS_YR after reporting year; ","")&amp;IF(OR($G1368="",$G1368="Not Reported"),"GOV_TYPE not reported; ","")&amp;IF(AND(N($J1368)=1,$K1368="Point",N($M1368)&lt;=0),"Coastal point without REP_M_AREA – land/sea split unknown; ","")&amp;IF(AND(N($J1368)=0,N($S1368)&gt;0),"MARINE=0 but net marine &gt;0; ","")&amp;IF(AND(N($J1368)=2,N($R1368)&gt;0),"MARINE=2 but net terrestrial &gt;0; ","")&amp;IF($K1368="Point","Buffered point – coverage approximate; ","")))</f>
        <v/>
      </c>
    </row>
    <row r="1369">
      <c r="A1369" s="19" t="n"/>
      <c r="B1369" s="19" t="n"/>
      <c r="C1369" s="19" t="n"/>
      <c r="D1369" s="19" t="n"/>
      <c r="E1369" s="19" t="n"/>
      <c r="F1369" s="19" t="n"/>
      <c r="G1369" s="19" t="n"/>
      <c r="H1369" s="19" t="n"/>
      <c r="I1369" s="19" t="n"/>
      <c r="J1369" s="19" t="n"/>
      <c r="K1369" s="19" t="n"/>
      <c r="L1369" s="20" t="n"/>
      <c r="M1369" s="20" t="n"/>
      <c r="N1369" s="20" t="n"/>
      <c r="O1369" s="20" t="n"/>
      <c r="P1369" s="19" t="n"/>
      <c r="Q1369" s="19" t="n"/>
      <c r="R1369" s="20" t="n"/>
      <c r="S1369" s="20" t="n"/>
      <c r="T1369" s="19" t="n"/>
      <c r="U1369" s="19" t="n"/>
      <c r="V1369" s="19" t="n"/>
      <c r="W1369" s="19" t="n"/>
      <c r="X1369" s="19" t="n"/>
      <c r="Y1369" s="19" t="n"/>
      <c r="Z1369" s="21">
        <f>IF(AND($A1369="",$B1369=""),"",IF(OR($E1369="",$H1369="",$H1369="Proposed",$H1369="Not Reported"),0,IF(AND($P1369="Y",$Q1369&lt;&gt;"Y"),0,IF(AND($K1369="Point",N($L1369)&lt;=0),0,IF(AND(N($L1369)&lt;=0,N($N1369)&lt;=0,N($R1369)+N($S1369)&lt;=0),0,1)))))</f>
        <v/>
      </c>
      <c r="AA1369" s="21">
        <f>IF(AND($A1369="",$B1369=""),"",IF($E1369="","Site type missing",IF($H1369="","STATUS missing",IF($H1369="Proposed","STATUS = Proposed",IF($H1369="Not Reported","STATUS = Not Reported",IF(AND($P1369="Y",$Q1369&lt;&gt;"Y"),"UNESCO-MAB Biosphere Reserve",IF(AND($K1369="Point",N($L1369)&lt;=0),"Point without REP_AREA",IF(AND(N($L1369)&lt;=0,N($N1369)&lt;=0,N($R1369)+N($S1369)&lt;=0),"No area information",""))))))))</f>
        <v/>
      </c>
      <c r="AB1369" s="22">
        <f>IF(AND($A1369="",$B1369=""),"",IF($K1369="Point",N($L1369),IF(N($N1369)&gt;0,N($N1369),N($L1369))))</f>
        <v/>
      </c>
      <c r="AC1369" s="22">
        <f>IF(AND($A1369="",$B1369=""),"",MIN(AB1369,IF(N($J1369)=0,0,IF(N($J1369)=2,AB1369,IF(AND($K1369&lt;&gt;"Point",N($O1369)&gt;0),N($O1369),N($M1369))))))</f>
        <v/>
      </c>
      <c r="AD1369" s="22">
        <f>IF(AND($A1369="",$B1369=""),"",MAX(0,AB1369-AC1369))</f>
        <v/>
      </c>
      <c r="AE1369" s="21">
        <f>IF(AND($A1369="",$B1369=""),"",IF(OR($R1369&lt;&gt;"",$S1369&lt;&gt;""),1,0))</f>
        <v/>
      </c>
      <c r="AF1369" s="22">
        <f>IF(AND($A1369="",$B1369=""),"",IF(Z1369=1,IF(AE1369=1,N($R1369),AD1369),0))</f>
        <v/>
      </c>
      <c r="AG1369" s="22">
        <f>IF(AND($A1369="",$B1369=""),"",IF(Z1369=1,IF(AE1369=1,N($S1369),AC1369),0))</f>
        <v/>
      </c>
      <c r="AH1369" s="21">
        <f>IF(AND($A1369="",$B1369=""),"",IF(AND(ISNUMBER($I1369),N($I1369)&gt;0),$I1369,0))</f>
        <v/>
      </c>
      <c r="AI1369" s="23">
        <f>IF(AND(NOT(AND($A1369="",$B1369="")),$K1369="Point",N($L1369)&gt;0),SQRT(N($L1369)/PI()),"")</f>
        <v/>
      </c>
      <c r="AJ1369" s="21">
        <f>IF(AND($A1369="",$B1369=""),"",IFERROR(VLOOKUP($G1369,Lists!$D$4:$E$15,2,FALSE),"Not reported"))</f>
        <v/>
      </c>
      <c r="AK1369" s="21">
        <f>IF(AND($A1369="",$B1369=""),"",IF($X1369&lt;&gt;"",$X1369,IF($T1369&lt;&gt;"Y","Not assessed",IF(AND(ISNUMBER($V1369),Setup!$B$6-$V1369&gt;Setup!$B$26),"Assessment outdated",IF(NOT(ISNUMBER($W1369)),"Assessed – no score",IF($W1369&gt;=Setup!$B$24,"High",IF($W1369&gt;=Setup!$B$25,"Moderate","Low")))))))</f>
        <v/>
      </c>
      <c r="AL1369" s="21">
        <f>IF(AND($A1369="",$B1369=""),"",IF(Z1369=0,"",IF(AND(AE1369=1,N($R1369)&gt;AD1369*1.01+0.001),"Net terrestrial &gt; gross; ","")&amp;IF(AND(AE1369=1,N($S1369)&gt;AC1369*1.01+0.001),"Net marine &gt; gross; ","")&amp;IF(AE1369=0,"No net area – gross used, overlaps may be double-counted; ","")&amp;IF(AH1369=0,"STATUS_YR missing – imputed in time series; ","")&amp;IF(AND(ISNUMBER($I1369),N($I1369)&gt;Setup!$B$6),"STATUS_YR after reporting year; ","")&amp;IF(OR($G1369="",$G1369="Not Reported"),"GOV_TYPE not reported; ","")&amp;IF(AND(N($J1369)=1,$K1369="Point",N($M1369)&lt;=0),"Coastal point without REP_M_AREA – land/sea split unknown; ","")&amp;IF(AND(N($J1369)=0,N($S1369)&gt;0),"MARINE=0 but net marine &gt;0; ","")&amp;IF(AND(N($J1369)=2,N($R1369)&gt;0),"MARINE=2 but net terrestrial &gt;0; ","")&amp;IF($K1369="Point","Buffered point – coverage approximate; ","")))</f>
        <v/>
      </c>
    </row>
    <row r="1370">
      <c r="A1370" s="19" t="n"/>
      <c r="B1370" s="19" t="n"/>
      <c r="C1370" s="19" t="n"/>
      <c r="D1370" s="19" t="n"/>
      <c r="E1370" s="19" t="n"/>
      <c r="F1370" s="19" t="n"/>
      <c r="G1370" s="19" t="n"/>
      <c r="H1370" s="19" t="n"/>
      <c r="I1370" s="19" t="n"/>
      <c r="J1370" s="19" t="n"/>
      <c r="K1370" s="19" t="n"/>
      <c r="L1370" s="20" t="n"/>
      <c r="M1370" s="20" t="n"/>
      <c r="N1370" s="20" t="n"/>
      <c r="O1370" s="20" t="n"/>
      <c r="P1370" s="19" t="n"/>
      <c r="Q1370" s="19" t="n"/>
      <c r="R1370" s="20" t="n"/>
      <c r="S1370" s="20" t="n"/>
      <c r="T1370" s="19" t="n"/>
      <c r="U1370" s="19" t="n"/>
      <c r="V1370" s="19" t="n"/>
      <c r="W1370" s="19" t="n"/>
      <c r="X1370" s="19" t="n"/>
      <c r="Y1370" s="19" t="n"/>
      <c r="Z1370" s="21">
        <f>IF(AND($A1370="",$B1370=""),"",IF(OR($E1370="",$H1370="",$H1370="Proposed",$H1370="Not Reported"),0,IF(AND($P1370="Y",$Q1370&lt;&gt;"Y"),0,IF(AND($K1370="Point",N($L1370)&lt;=0),0,IF(AND(N($L1370)&lt;=0,N($N1370)&lt;=0,N($R1370)+N($S1370)&lt;=0),0,1)))))</f>
        <v/>
      </c>
      <c r="AA1370" s="21">
        <f>IF(AND($A1370="",$B1370=""),"",IF($E1370="","Site type missing",IF($H1370="","STATUS missing",IF($H1370="Proposed","STATUS = Proposed",IF($H1370="Not Reported","STATUS = Not Reported",IF(AND($P1370="Y",$Q1370&lt;&gt;"Y"),"UNESCO-MAB Biosphere Reserve",IF(AND($K1370="Point",N($L1370)&lt;=0),"Point without REP_AREA",IF(AND(N($L1370)&lt;=0,N($N1370)&lt;=0,N($R1370)+N($S1370)&lt;=0),"No area information",""))))))))</f>
        <v/>
      </c>
      <c r="AB1370" s="22">
        <f>IF(AND($A1370="",$B1370=""),"",IF($K1370="Point",N($L1370),IF(N($N1370)&gt;0,N($N1370),N($L1370))))</f>
        <v/>
      </c>
      <c r="AC1370" s="22">
        <f>IF(AND($A1370="",$B1370=""),"",MIN(AB1370,IF(N($J1370)=0,0,IF(N($J1370)=2,AB1370,IF(AND($K1370&lt;&gt;"Point",N($O1370)&gt;0),N($O1370),N($M1370))))))</f>
        <v/>
      </c>
      <c r="AD1370" s="22">
        <f>IF(AND($A1370="",$B1370=""),"",MAX(0,AB1370-AC1370))</f>
        <v/>
      </c>
      <c r="AE1370" s="21">
        <f>IF(AND($A1370="",$B1370=""),"",IF(OR($R1370&lt;&gt;"",$S1370&lt;&gt;""),1,0))</f>
        <v/>
      </c>
      <c r="AF1370" s="22">
        <f>IF(AND($A1370="",$B1370=""),"",IF(Z1370=1,IF(AE1370=1,N($R1370),AD1370),0))</f>
        <v/>
      </c>
      <c r="AG1370" s="22">
        <f>IF(AND($A1370="",$B1370=""),"",IF(Z1370=1,IF(AE1370=1,N($S1370),AC1370),0))</f>
        <v/>
      </c>
      <c r="AH1370" s="21">
        <f>IF(AND($A1370="",$B1370=""),"",IF(AND(ISNUMBER($I1370),N($I1370)&gt;0),$I1370,0))</f>
        <v/>
      </c>
      <c r="AI1370" s="23">
        <f>IF(AND(NOT(AND($A1370="",$B1370="")),$K1370="Point",N($L1370)&gt;0),SQRT(N($L1370)/PI()),"")</f>
        <v/>
      </c>
      <c r="AJ1370" s="21">
        <f>IF(AND($A1370="",$B1370=""),"",IFERROR(VLOOKUP($G1370,Lists!$D$4:$E$15,2,FALSE),"Not reported"))</f>
        <v/>
      </c>
      <c r="AK1370" s="21">
        <f>IF(AND($A1370="",$B1370=""),"",IF($X1370&lt;&gt;"",$X1370,IF($T1370&lt;&gt;"Y","Not assessed",IF(AND(ISNUMBER($V1370),Setup!$B$6-$V1370&gt;Setup!$B$26),"Assessment outdated",IF(NOT(ISNUMBER($W1370)),"Assessed – no score",IF($W1370&gt;=Setup!$B$24,"High",IF($W1370&gt;=Setup!$B$25,"Moderate","Low")))))))</f>
        <v/>
      </c>
      <c r="AL1370" s="21">
        <f>IF(AND($A1370="",$B1370=""),"",IF(Z1370=0,"",IF(AND(AE1370=1,N($R1370)&gt;AD1370*1.01+0.001),"Net terrestrial &gt; gross; ","")&amp;IF(AND(AE1370=1,N($S1370)&gt;AC1370*1.01+0.001),"Net marine &gt; gross; ","")&amp;IF(AE1370=0,"No net area – gross used, overlaps may be double-counted; ","")&amp;IF(AH1370=0,"STATUS_YR missing – imputed in time series; ","")&amp;IF(AND(ISNUMBER($I1370),N($I1370)&gt;Setup!$B$6),"STATUS_YR after reporting year; ","")&amp;IF(OR($G1370="",$G1370="Not Reported"),"GOV_TYPE not reported; ","")&amp;IF(AND(N($J1370)=1,$K1370="Point",N($M1370)&lt;=0),"Coastal point without REP_M_AREA – land/sea split unknown; ","")&amp;IF(AND(N($J1370)=0,N($S1370)&gt;0),"MARINE=0 but net marine &gt;0; ","")&amp;IF(AND(N($J1370)=2,N($R1370)&gt;0),"MARINE=2 but net terrestrial &gt;0; ","")&amp;IF($K1370="Point","Buffered point – coverage approximate; ","")))</f>
        <v/>
      </c>
    </row>
    <row r="1371">
      <c r="A1371" s="19" t="n"/>
      <c r="B1371" s="19" t="n"/>
      <c r="C1371" s="19" t="n"/>
      <c r="D1371" s="19" t="n"/>
      <c r="E1371" s="19" t="n"/>
      <c r="F1371" s="19" t="n"/>
      <c r="G1371" s="19" t="n"/>
      <c r="H1371" s="19" t="n"/>
      <c r="I1371" s="19" t="n"/>
      <c r="J1371" s="19" t="n"/>
      <c r="K1371" s="19" t="n"/>
      <c r="L1371" s="20" t="n"/>
      <c r="M1371" s="20" t="n"/>
      <c r="N1371" s="20" t="n"/>
      <c r="O1371" s="20" t="n"/>
      <c r="P1371" s="19" t="n"/>
      <c r="Q1371" s="19" t="n"/>
      <c r="R1371" s="20" t="n"/>
      <c r="S1371" s="20" t="n"/>
      <c r="T1371" s="19" t="n"/>
      <c r="U1371" s="19" t="n"/>
      <c r="V1371" s="19" t="n"/>
      <c r="W1371" s="19" t="n"/>
      <c r="X1371" s="19" t="n"/>
      <c r="Y1371" s="19" t="n"/>
      <c r="Z1371" s="21">
        <f>IF(AND($A1371="",$B1371=""),"",IF(OR($E1371="",$H1371="",$H1371="Proposed",$H1371="Not Reported"),0,IF(AND($P1371="Y",$Q1371&lt;&gt;"Y"),0,IF(AND($K1371="Point",N($L1371)&lt;=0),0,IF(AND(N($L1371)&lt;=0,N($N1371)&lt;=0,N($R1371)+N($S1371)&lt;=0),0,1)))))</f>
        <v/>
      </c>
      <c r="AA1371" s="21">
        <f>IF(AND($A1371="",$B1371=""),"",IF($E1371="","Site type missing",IF($H1371="","STATUS missing",IF($H1371="Proposed","STATUS = Proposed",IF($H1371="Not Reported","STATUS = Not Reported",IF(AND($P1371="Y",$Q1371&lt;&gt;"Y"),"UNESCO-MAB Biosphere Reserve",IF(AND($K1371="Point",N($L1371)&lt;=0),"Point without REP_AREA",IF(AND(N($L1371)&lt;=0,N($N1371)&lt;=0,N($R1371)+N($S1371)&lt;=0),"No area information",""))))))))</f>
        <v/>
      </c>
      <c r="AB1371" s="22">
        <f>IF(AND($A1371="",$B1371=""),"",IF($K1371="Point",N($L1371),IF(N($N1371)&gt;0,N($N1371),N($L1371))))</f>
        <v/>
      </c>
      <c r="AC1371" s="22">
        <f>IF(AND($A1371="",$B1371=""),"",MIN(AB1371,IF(N($J1371)=0,0,IF(N($J1371)=2,AB1371,IF(AND($K1371&lt;&gt;"Point",N($O1371)&gt;0),N($O1371),N($M1371))))))</f>
        <v/>
      </c>
      <c r="AD1371" s="22">
        <f>IF(AND($A1371="",$B1371=""),"",MAX(0,AB1371-AC1371))</f>
        <v/>
      </c>
      <c r="AE1371" s="21">
        <f>IF(AND($A1371="",$B1371=""),"",IF(OR($R1371&lt;&gt;"",$S1371&lt;&gt;""),1,0))</f>
        <v/>
      </c>
      <c r="AF1371" s="22">
        <f>IF(AND($A1371="",$B1371=""),"",IF(Z1371=1,IF(AE1371=1,N($R1371),AD1371),0))</f>
        <v/>
      </c>
      <c r="AG1371" s="22">
        <f>IF(AND($A1371="",$B1371=""),"",IF(Z1371=1,IF(AE1371=1,N($S1371),AC1371),0))</f>
        <v/>
      </c>
      <c r="AH1371" s="21">
        <f>IF(AND($A1371="",$B1371=""),"",IF(AND(ISNUMBER($I1371),N($I1371)&gt;0),$I1371,0))</f>
        <v/>
      </c>
      <c r="AI1371" s="23">
        <f>IF(AND(NOT(AND($A1371="",$B1371="")),$K1371="Point",N($L1371)&gt;0),SQRT(N($L1371)/PI()),"")</f>
        <v/>
      </c>
      <c r="AJ1371" s="21">
        <f>IF(AND($A1371="",$B1371=""),"",IFERROR(VLOOKUP($G1371,Lists!$D$4:$E$15,2,FALSE),"Not reported"))</f>
        <v/>
      </c>
      <c r="AK1371" s="21">
        <f>IF(AND($A1371="",$B1371=""),"",IF($X1371&lt;&gt;"",$X1371,IF($T1371&lt;&gt;"Y","Not assessed",IF(AND(ISNUMBER($V1371),Setup!$B$6-$V1371&gt;Setup!$B$26),"Assessment outdated",IF(NOT(ISNUMBER($W1371)),"Assessed – no score",IF($W1371&gt;=Setup!$B$24,"High",IF($W1371&gt;=Setup!$B$25,"Moderate","Low")))))))</f>
        <v/>
      </c>
      <c r="AL1371" s="21">
        <f>IF(AND($A1371="",$B1371=""),"",IF(Z1371=0,"",IF(AND(AE1371=1,N($R1371)&gt;AD1371*1.01+0.001),"Net terrestrial &gt; gross; ","")&amp;IF(AND(AE1371=1,N($S1371)&gt;AC1371*1.01+0.001),"Net marine &gt; gross; ","")&amp;IF(AE1371=0,"No net area – gross used, overlaps may be double-counted; ","")&amp;IF(AH1371=0,"STATUS_YR missing – imputed in time series; ","")&amp;IF(AND(ISNUMBER($I1371),N($I1371)&gt;Setup!$B$6),"STATUS_YR after reporting year; ","")&amp;IF(OR($G1371="",$G1371="Not Reported"),"GOV_TYPE not reported; ","")&amp;IF(AND(N($J1371)=1,$K1371="Point",N($M1371)&lt;=0),"Coastal point without REP_M_AREA – land/sea split unknown; ","")&amp;IF(AND(N($J1371)=0,N($S1371)&gt;0),"MARINE=0 but net marine &gt;0; ","")&amp;IF(AND(N($J1371)=2,N($R1371)&gt;0),"MARINE=2 but net terrestrial &gt;0; ","")&amp;IF($K1371="Point","Buffered point – coverage approximate; ","")))</f>
        <v/>
      </c>
    </row>
    <row r="1372">
      <c r="A1372" s="19" t="n"/>
      <c r="B1372" s="19" t="n"/>
      <c r="C1372" s="19" t="n"/>
      <c r="D1372" s="19" t="n"/>
      <c r="E1372" s="19" t="n"/>
      <c r="F1372" s="19" t="n"/>
      <c r="G1372" s="19" t="n"/>
      <c r="H1372" s="19" t="n"/>
      <c r="I1372" s="19" t="n"/>
      <c r="J1372" s="19" t="n"/>
      <c r="K1372" s="19" t="n"/>
      <c r="L1372" s="20" t="n"/>
      <c r="M1372" s="20" t="n"/>
      <c r="N1372" s="20" t="n"/>
      <c r="O1372" s="20" t="n"/>
      <c r="P1372" s="19" t="n"/>
      <c r="Q1372" s="19" t="n"/>
      <c r="R1372" s="20" t="n"/>
      <c r="S1372" s="20" t="n"/>
      <c r="T1372" s="19" t="n"/>
      <c r="U1372" s="19" t="n"/>
      <c r="V1372" s="19" t="n"/>
      <c r="W1372" s="19" t="n"/>
      <c r="X1372" s="19" t="n"/>
      <c r="Y1372" s="19" t="n"/>
      <c r="Z1372" s="21">
        <f>IF(AND($A1372="",$B1372=""),"",IF(OR($E1372="",$H1372="",$H1372="Proposed",$H1372="Not Reported"),0,IF(AND($P1372="Y",$Q1372&lt;&gt;"Y"),0,IF(AND($K1372="Point",N($L1372)&lt;=0),0,IF(AND(N($L1372)&lt;=0,N($N1372)&lt;=0,N($R1372)+N($S1372)&lt;=0),0,1)))))</f>
        <v/>
      </c>
      <c r="AA1372" s="21">
        <f>IF(AND($A1372="",$B1372=""),"",IF($E1372="","Site type missing",IF($H1372="","STATUS missing",IF($H1372="Proposed","STATUS = Proposed",IF($H1372="Not Reported","STATUS = Not Reported",IF(AND($P1372="Y",$Q1372&lt;&gt;"Y"),"UNESCO-MAB Biosphere Reserve",IF(AND($K1372="Point",N($L1372)&lt;=0),"Point without REP_AREA",IF(AND(N($L1372)&lt;=0,N($N1372)&lt;=0,N($R1372)+N($S1372)&lt;=0),"No area information",""))))))))</f>
        <v/>
      </c>
      <c r="AB1372" s="22">
        <f>IF(AND($A1372="",$B1372=""),"",IF($K1372="Point",N($L1372),IF(N($N1372)&gt;0,N($N1372),N($L1372))))</f>
        <v/>
      </c>
      <c r="AC1372" s="22">
        <f>IF(AND($A1372="",$B1372=""),"",MIN(AB1372,IF(N($J1372)=0,0,IF(N($J1372)=2,AB1372,IF(AND($K1372&lt;&gt;"Point",N($O1372)&gt;0),N($O1372),N($M1372))))))</f>
        <v/>
      </c>
      <c r="AD1372" s="22">
        <f>IF(AND($A1372="",$B1372=""),"",MAX(0,AB1372-AC1372))</f>
        <v/>
      </c>
      <c r="AE1372" s="21">
        <f>IF(AND($A1372="",$B1372=""),"",IF(OR($R1372&lt;&gt;"",$S1372&lt;&gt;""),1,0))</f>
        <v/>
      </c>
      <c r="AF1372" s="22">
        <f>IF(AND($A1372="",$B1372=""),"",IF(Z1372=1,IF(AE1372=1,N($R1372),AD1372),0))</f>
        <v/>
      </c>
      <c r="AG1372" s="22">
        <f>IF(AND($A1372="",$B1372=""),"",IF(Z1372=1,IF(AE1372=1,N($S1372),AC1372),0))</f>
        <v/>
      </c>
      <c r="AH1372" s="21">
        <f>IF(AND($A1372="",$B1372=""),"",IF(AND(ISNUMBER($I1372),N($I1372)&gt;0),$I1372,0))</f>
        <v/>
      </c>
      <c r="AI1372" s="23">
        <f>IF(AND(NOT(AND($A1372="",$B1372="")),$K1372="Point",N($L1372)&gt;0),SQRT(N($L1372)/PI()),"")</f>
        <v/>
      </c>
      <c r="AJ1372" s="21">
        <f>IF(AND($A1372="",$B1372=""),"",IFERROR(VLOOKUP($G1372,Lists!$D$4:$E$15,2,FALSE),"Not reported"))</f>
        <v/>
      </c>
      <c r="AK1372" s="21">
        <f>IF(AND($A1372="",$B1372=""),"",IF($X1372&lt;&gt;"",$X1372,IF($T1372&lt;&gt;"Y","Not assessed",IF(AND(ISNUMBER($V1372),Setup!$B$6-$V1372&gt;Setup!$B$26),"Assessment outdated",IF(NOT(ISNUMBER($W1372)),"Assessed – no score",IF($W1372&gt;=Setup!$B$24,"High",IF($W1372&gt;=Setup!$B$25,"Moderate","Low")))))))</f>
        <v/>
      </c>
      <c r="AL1372" s="21">
        <f>IF(AND($A1372="",$B1372=""),"",IF(Z1372=0,"",IF(AND(AE1372=1,N($R1372)&gt;AD1372*1.01+0.001),"Net terrestrial &gt; gross; ","")&amp;IF(AND(AE1372=1,N($S1372)&gt;AC1372*1.01+0.001),"Net marine &gt; gross; ","")&amp;IF(AE1372=0,"No net area – gross used, overlaps may be double-counted; ","")&amp;IF(AH1372=0,"STATUS_YR missing – imputed in time series; ","")&amp;IF(AND(ISNUMBER($I1372),N($I1372)&gt;Setup!$B$6),"STATUS_YR after reporting year; ","")&amp;IF(OR($G1372="",$G1372="Not Reported"),"GOV_TYPE not reported; ","")&amp;IF(AND(N($J1372)=1,$K1372="Point",N($M1372)&lt;=0),"Coastal point without REP_M_AREA – land/sea split unknown; ","")&amp;IF(AND(N($J1372)=0,N($S1372)&gt;0),"MARINE=0 but net marine &gt;0; ","")&amp;IF(AND(N($J1372)=2,N($R1372)&gt;0),"MARINE=2 but net terrestrial &gt;0; ","")&amp;IF($K1372="Point","Buffered point – coverage approximate; ","")))</f>
        <v/>
      </c>
    </row>
    <row r="1373">
      <c r="A1373" s="19" t="n"/>
      <c r="B1373" s="19" t="n"/>
      <c r="C1373" s="19" t="n"/>
      <c r="D1373" s="19" t="n"/>
      <c r="E1373" s="19" t="n"/>
      <c r="F1373" s="19" t="n"/>
      <c r="G1373" s="19" t="n"/>
      <c r="H1373" s="19" t="n"/>
      <c r="I1373" s="19" t="n"/>
      <c r="J1373" s="19" t="n"/>
      <c r="K1373" s="19" t="n"/>
      <c r="L1373" s="20" t="n"/>
      <c r="M1373" s="20" t="n"/>
      <c r="N1373" s="20" t="n"/>
      <c r="O1373" s="20" t="n"/>
      <c r="P1373" s="19" t="n"/>
      <c r="Q1373" s="19" t="n"/>
      <c r="R1373" s="20" t="n"/>
      <c r="S1373" s="20" t="n"/>
      <c r="T1373" s="19" t="n"/>
      <c r="U1373" s="19" t="n"/>
      <c r="V1373" s="19" t="n"/>
      <c r="W1373" s="19" t="n"/>
      <c r="X1373" s="19" t="n"/>
      <c r="Y1373" s="19" t="n"/>
      <c r="Z1373" s="21">
        <f>IF(AND($A1373="",$B1373=""),"",IF(OR($E1373="",$H1373="",$H1373="Proposed",$H1373="Not Reported"),0,IF(AND($P1373="Y",$Q1373&lt;&gt;"Y"),0,IF(AND($K1373="Point",N($L1373)&lt;=0),0,IF(AND(N($L1373)&lt;=0,N($N1373)&lt;=0,N($R1373)+N($S1373)&lt;=0),0,1)))))</f>
        <v/>
      </c>
      <c r="AA1373" s="21">
        <f>IF(AND($A1373="",$B1373=""),"",IF($E1373="","Site type missing",IF($H1373="","STATUS missing",IF($H1373="Proposed","STATUS = Proposed",IF($H1373="Not Reported","STATUS = Not Reported",IF(AND($P1373="Y",$Q1373&lt;&gt;"Y"),"UNESCO-MAB Biosphere Reserve",IF(AND($K1373="Point",N($L1373)&lt;=0),"Point without REP_AREA",IF(AND(N($L1373)&lt;=0,N($N1373)&lt;=0,N($R1373)+N($S1373)&lt;=0),"No area information",""))))))))</f>
        <v/>
      </c>
      <c r="AB1373" s="22">
        <f>IF(AND($A1373="",$B1373=""),"",IF($K1373="Point",N($L1373),IF(N($N1373)&gt;0,N($N1373),N($L1373))))</f>
        <v/>
      </c>
      <c r="AC1373" s="22">
        <f>IF(AND($A1373="",$B1373=""),"",MIN(AB1373,IF(N($J1373)=0,0,IF(N($J1373)=2,AB1373,IF(AND($K1373&lt;&gt;"Point",N($O1373)&gt;0),N($O1373),N($M1373))))))</f>
        <v/>
      </c>
      <c r="AD1373" s="22">
        <f>IF(AND($A1373="",$B1373=""),"",MAX(0,AB1373-AC1373))</f>
        <v/>
      </c>
      <c r="AE1373" s="21">
        <f>IF(AND($A1373="",$B1373=""),"",IF(OR($R1373&lt;&gt;"",$S1373&lt;&gt;""),1,0))</f>
        <v/>
      </c>
      <c r="AF1373" s="22">
        <f>IF(AND($A1373="",$B1373=""),"",IF(Z1373=1,IF(AE1373=1,N($R1373),AD1373),0))</f>
        <v/>
      </c>
      <c r="AG1373" s="22">
        <f>IF(AND($A1373="",$B1373=""),"",IF(Z1373=1,IF(AE1373=1,N($S1373),AC1373),0))</f>
        <v/>
      </c>
      <c r="AH1373" s="21">
        <f>IF(AND($A1373="",$B1373=""),"",IF(AND(ISNUMBER($I1373),N($I1373)&gt;0),$I1373,0))</f>
        <v/>
      </c>
      <c r="AI1373" s="23">
        <f>IF(AND(NOT(AND($A1373="",$B1373="")),$K1373="Point",N($L1373)&gt;0),SQRT(N($L1373)/PI()),"")</f>
        <v/>
      </c>
      <c r="AJ1373" s="21">
        <f>IF(AND($A1373="",$B1373=""),"",IFERROR(VLOOKUP($G1373,Lists!$D$4:$E$15,2,FALSE),"Not reported"))</f>
        <v/>
      </c>
      <c r="AK1373" s="21">
        <f>IF(AND($A1373="",$B1373=""),"",IF($X1373&lt;&gt;"",$X1373,IF($T1373&lt;&gt;"Y","Not assessed",IF(AND(ISNUMBER($V1373),Setup!$B$6-$V1373&gt;Setup!$B$26),"Assessment outdated",IF(NOT(ISNUMBER($W1373)),"Assessed – no score",IF($W1373&gt;=Setup!$B$24,"High",IF($W1373&gt;=Setup!$B$25,"Moderate","Low")))))))</f>
        <v/>
      </c>
      <c r="AL1373" s="21">
        <f>IF(AND($A1373="",$B1373=""),"",IF(Z1373=0,"",IF(AND(AE1373=1,N($R1373)&gt;AD1373*1.01+0.001),"Net terrestrial &gt; gross; ","")&amp;IF(AND(AE1373=1,N($S1373)&gt;AC1373*1.01+0.001),"Net marine &gt; gross; ","")&amp;IF(AE1373=0,"No net area – gross used, overlaps may be double-counted; ","")&amp;IF(AH1373=0,"STATUS_YR missing – imputed in time series; ","")&amp;IF(AND(ISNUMBER($I1373),N($I1373)&gt;Setup!$B$6),"STATUS_YR after reporting year; ","")&amp;IF(OR($G1373="",$G1373="Not Reported"),"GOV_TYPE not reported; ","")&amp;IF(AND(N($J1373)=1,$K1373="Point",N($M1373)&lt;=0),"Coastal point without REP_M_AREA – land/sea split unknown; ","")&amp;IF(AND(N($J1373)=0,N($S1373)&gt;0),"MARINE=0 but net marine &gt;0; ","")&amp;IF(AND(N($J1373)=2,N($R1373)&gt;0),"MARINE=2 but net terrestrial &gt;0; ","")&amp;IF($K1373="Point","Buffered point – coverage approximate; ","")))</f>
        <v/>
      </c>
    </row>
    <row r="1374">
      <c r="A1374" s="19" t="n"/>
      <c r="B1374" s="19" t="n"/>
      <c r="C1374" s="19" t="n"/>
      <c r="D1374" s="19" t="n"/>
      <c r="E1374" s="19" t="n"/>
      <c r="F1374" s="19" t="n"/>
      <c r="G1374" s="19" t="n"/>
      <c r="H1374" s="19" t="n"/>
      <c r="I1374" s="19" t="n"/>
      <c r="J1374" s="19" t="n"/>
      <c r="K1374" s="19" t="n"/>
      <c r="L1374" s="20" t="n"/>
      <c r="M1374" s="20" t="n"/>
      <c r="N1374" s="20" t="n"/>
      <c r="O1374" s="20" t="n"/>
      <c r="P1374" s="19" t="n"/>
      <c r="Q1374" s="19" t="n"/>
      <c r="R1374" s="20" t="n"/>
      <c r="S1374" s="20" t="n"/>
      <c r="T1374" s="19" t="n"/>
      <c r="U1374" s="19" t="n"/>
      <c r="V1374" s="19" t="n"/>
      <c r="W1374" s="19" t="n"/>
      <c r="X1374" s="19" t="n"/>
      <c r="Y1374" s="19" t="n"/>
      <c r="Z1374" s="21">
        <f>IF(AND($A1374="",$B1374=""),"",IF(OR($E1374="",$H1374="",$H1374="Proposed",$H1374="Not Reported"),0,IF(AND($P1374="Y",$Q1374&lt;&gt;"Y"),0,IF(AND($K1374="Point",N($L1374)&lt;=0),0,IF(AND(N($L1374)&lt;=0,N($N1374)&lt;=0,N($R1374)+N($S1374)&lt;=0),0,1)))))</f>
        <v/>
      </c>
      <c r="AA1374" s="21">
        <f>IF(AND($A1374="",$B1374=""),"",IF($E1374="","Site type missing",IF($H1374="","STATUS missing",IF($H1374="Proposed","STATUS = Proposed",IF($H1374="Not Reported","STATUS = Not Reported",IF(AND($P1374="Y",$Q1374&lt;&gt;"Y"),"UNESCO-MAB Biosphere Reserve",IF(AND($K1374="Point",N($L1374)&lt;=0),"Point without REP_AREA",IF(AND(N($L1374)&lt;=0,N($N1374)&lt;=0,N($R1374)+N($S1374)&lt;=0),"No area information",""))))))))</f>
        <v/>
      </c>
      <c r="AB1374" s="22">
        <f>IF(AND($A1374="",$B1374=""),"",IF($K1374="Point",N($L1374),IF(N($N1374)&gt;0,N($N1374),N($L1374))))</f>
        <v/>
      </c>
      <c r="AC1374" s="22">
        <f>IF(AND($A1374="",$B1374=""),"",MIN(AB1374,IF(N($J1374)=0,0,IF(N($J1374)=2,AB1374,IF(AND($K1374&lt;&gt;"Point",N($O1374)&gt;0),N($O1374),N($M1374))))))</f>
        <v/>
      </c>
      <c r="AD1374" s="22">
        <f>IF(AND($A1374="",$B1374=""),"",MAX(0,AB1374-AC1374))</f>
        <v/>
      </c>
      <c r="AE1374" s="21">
        <f>IF(AND($A1374="",$B1374=""),"",IF(OR($R1374&lt;&gt;"",$S1374&lt;&gt;""),1,0))</f>
        <v/>
      </c>
      <c r="AF1374" s="22">
        <f>IF(AND($A1374="",$B1374=""),"",IF(Z1374=1,IF(AE1374=1,N($R1374),AD1374),0))</f>
        <v/>
      </c>
      <c r="AG1374" s="22">
        <f>IF(AND($A1374="",$B1374=""),"",IF(Z1374=1,IF(AE1374=1,N($S1374),AC1374),0))</f>
        <v/>
      </c>
      <c r="AH1374" s="21">
        <f>IF(AND($A1374="",$B1374=""),"",IF(AND(ISNUMBER($I1374),N($I1374)&gt;0),$I1374,0))</f>
        <v/>
      </c>
      <c r="AI1374" s="23">
        <f>IF(AND(NOT(AND($A1374="",$B1374="")),$K1374="Point",N($L1374)&gt;0),SQRT(N($L1374)/PI()),"")</f>
        <v/>
      </c>
      <c r="AJ1374" s="21">
        <f>IF(AND($A1374="",$B1374=""),"",IFERROR(VLOOKUP($G1374,Lists!$D$4:$E$15,2,FALSE),"Not reported"))</f>
        <v/>
      </c>
      <c r="AK1374" s="21">
        <f>IF(AND($A1374="",$B1374=""),"",IF($X1374&lt;&gt;"",$X1374,IF($T1374&lt;&gt;"Y","Not assessed",IF(AND(ISNUMBER($V1374),Setup!$B$6-$V1374&gt;Setup!$B$26),"Assessment outdated",IF(NOT(ISNUMBER($W1374)),"Assessed – no score",IF($W1374&gt;=Setup!$B$24,"High",IF($W1374&gt;=Setup!$B$25,"Moderate","Low")))))))</f>
        <v/>
      </c>
      <c r="AL1374" s="21">
        <f>IF(AND($A1374="",$B1374=""),"",IF(Z1374=0,"",IF(AND(AE1374=1,N($R1374)&gt;AD1374*1.01+0.001),"Net terrestrial &gt; gross; ","")&amp;IF(AND(AE1374=1,N($S1374)&gt;AC1374*1.01+0.001),"Net marine &gt; gross; ","")&amp;IF(AE1374=0,"No net area – gross used, overlaps may be double-counted; ","")&amp;IF(AH1374=0,"STATUS_YR missing – imputed in time series; ","")&amp;IF(AND(ISNUMBER($I1374),N($I1374)&gt;Setup!$B$6),"STATUS_YR after reporting year; ","")&amp;IF(OR($G1374="",$G1374="Not Reported"),"GOV_TYPE not reported; ","")&amp;IF(AND(N($J1374)=1,$K1374="Point",N($M1374)&lt;=0),"Coastal point without REP_M_AREA – land/sea split unknown; ","")&amp;IF(AND(N($J1374)=0,N($S1374)&gt;0),"MARINE=0 but net marine &gt;0; ","")&amp;IF(AND(N($J1374)=2,N($R1374)&gt;0),"MARINE=2 but net terrestrial &gt;0; ","")&amp;IF($K1374="Point","Buffered point – coverage approximate; ","")))</f>
        <v/>
      </c>
    </row>
    <row r="1375">
      <c r="A1375" s="19" t="n"/>
      <c r="B1375" s="19" t="n"/>
      <c r="C1375" s="19" t="n"/>
      <c r="D1375" s="19" t="n"/>
      <c r="E1375" s="19" t="n"/>
      <c r="F1375" s="19" t="n"/>
      <c r="G1375" s="19" t="n"/>
      <c r="H1375" s="19" t="n"/>
      <c r="I1375" s="19" t="n"/>
      <c r="J1375" s="19" t="n"/>
      <c r="K1375" s="19" t="n"/>
      <c r="L1375" s="20" t="n"/>
      <c r="M1375" s="20" t="n"/>
      <c r="N1375" s="20" t="n"/>
      <c r="O1375" s="20" t="n"/>
      <c r="P1375" s="19" t="n"/>
      <c r="Q1375" s="19" t="n"/>
      <c r="R1375" s="20" t="n"/>
      <c r="S1375" s="20" t="n"/>
      <c r="T1375" s="19" t="n"/>
      <c r="U1375" s="19" t="n"/>
      <c r="V1375" s="19" t="n"/>
      <c r="W1375" s="19" t="n"/>
      <c r="X1375" s="19" t="n"/>
      <c r="Y1375" s="19" t="n"/>
      <c r="Z1375" s="21">
        <f>IF(AND($A1375="",$B1375=""),"",IF(OR($E1375="",$H1375="",$H1375="Proposed",$H1375="Not Reported"),0,IF(AND($P1375="Y",$Q1375&lt;&gt;"Y"),0,IF(AND($K1375="Point",N($L1375)&lt;=0),0,IF(AND(N($L1375)&lt;=0,N($N1375)&lt;=0,N($R1375)+N($S1375)&lt;=0),0,1)))))</f>
        <v/>
      </c>
      <c r="AA1375" s="21">
        <f>IF(AND($A1375="",$B1375=""),"",IF($E1375="","Site type missing",IF($H1375="","STATUS missing",IF($H1375="Proposed","STATUS = Proposed",IF($H1375="Not Reported","STATUS = Not Reported",IF(AND($P1375="Y",$Q1375&lt;&gt;"Y"),"UNESCO-MAB Biosphere Reserve",IF(AND($K1375="Point",N($L1375)&lt;=0),"Point without REP_AREA",IF(AND(N($L1375)&lt;=0,N($N1375)&lt;=0,N($R1375)+N($S1375)&lt;=0),"No area information",""))))))))</f>
        <v/>
      </c>
      <c r="AB1375" s="22">
        <f>IF(AND($A1375="",$B1375=""),"",IF($K1375="Point",N($L1375),IF(N($N1375)&gt;0,N($N1375),N($L1375))))</f>
        <v/>
      </c>
      <c r="AC1375" s="22">
        <f>IF(AND($A1375="",$B1375=""),"",MIN(AB1375,IF(N($J1375)=0,0,IF(N($J1375)=2,AB1375,IF(AND($K1375&lt;&gt;"Point",N($O1375)&gt;0),N($O1375),N($M1375))))))</f>
        <v/>
      </c>
      <c r="AD1375" s="22">
        <f>IF(AND($A1375="",$B1375=""),"",MAX(0,AB1375-AC1375))</f>
        <v/>
      </c>
      <c r="AE1375" s="21">
        <f>IF(AND($A1375="",$B1375=""),"",IF(OR($R1375&lt;&gt;"",$S1375&lt;&gt;""),1,0))</f>
        <v/>
      </c>
      <c r="AF1375" s="22">
        <f>IF(AND($A1375="",$B1375=""),"",IF(Z1375=1,IF(AE1375=1,N($R1375),AD1375),0))</f>
        <v/>
      </c>
      <c r="AG1375" s="22">
        <f>IF(AND($A1375="",$B1375=""),"",IF(Z1375=1,IF(AE1375=1,N($S1375),AC1375),0))</f>
        <v/>
      </c>
      <c r="AH1375" s="21">
        <f>IF(AND($A1375="",$B1375=""),"",IF(AND(ISNUMBER($I1375),N($I1375)&gt;0),$I1375,0))</f>
        <v/>
      </c>
      <c r="AI1375" s="23">
        <f>IF(AND(NOT(AND($A1375="",$B1375="")),$K1375="Point",N($L1375)&gt;0),SQRT(N($L1375)/PI()),"")</f>
        <v/>
      </c>
      <c r="AJ1375" s="21">
        <f>IF(AND($A1375="",$B1375=""),"",IFERROR(VLOOKUP($G1375,Lists!$D$4:$E$15,2,FALSE),"Not reported"))</f>
        <v/>
      </c>
      <c r="AK1375" s="21">
        <f>IF(AND($A1375="",$B1375=""),"",IF($X1375&lt;&gt;"",$X1375,IF($T1375&lt;&gt;"Y","Not assessed",IF(AND(ISNUMBER($V1375),Setup!$B$6-$V1375&gt;Setup!$B$26),"Assessment outdated",IF(NOT(ISNUMBER($W1375)),"Assessed – no score",IF($W1375&gt;=Setup!$B$24,"High",IF($W1375&gt;=Setup!$B$25,"Moderate","Low")))))))</f>
        <v/>
      </c>
      <c r="AL1375" s="21">
        <f>IF(AND($A1375="",$B1375=""),"",IF(Z1375=0,"",IF(AND(AE1375=1,N($R1375)&gt;AD1375*1.01+0.001),"Net terrestrial &gt; gross; ","")&amp;IF(AND(AE1375=1,N($S1375)&gt;AC1375*1.01+0.001),"Net marine &gt; gross; ","")&amp;IF(AE1375=0,"No net area – gross used, overlaps may be double-counted; ","")&amp;IF(AH1375=0,"STATUS_YR missing – imputed in time series; ","")&amp;IF(AND(ISNUMBER($I1375),N($I1375)&gt;Setup!$B$6),"STATUS_YR after reporting year; ","")&amp;IF(OR($G1375="",$G1375="Not Reported"),"GOV_TYPE not reported; ","")&amp;IF(AND(N($J1375)=1,$K1375="Point",N($M1375)&lt;=0),"Coastal point without REP_M_AREA – land/sea split unknown; ","")&amp;IF(AND(N($J1375)=0,N($S1375)&gt;0),"MARINE=0 but net marine &gt;0; ","")&amp;IF(AND(N($J1375)=2,N($R1375)&gt;0),"MARINE=2 but net terrestrial &gt;0; ","")&amp;IF($K1375="Point","Buffered point – coverage approximate; ","")))</f>
        <v/>
      </c>
    </row>
    <row r="1376">
      <c r="A1376" s="19" t="n"/>
      <c r="B1376" s="19" t="n"/>
      <c r="C1376" s="19" t="n"/>
      <c r="D1376" s="19" t="n"/>
      <c r="E1376" s="19" t="n"/>
      <c r="F1376" s="19" t="n"/>
      <c r="G1376" s="19" t="n"/>
      <c r="H1376" s="19" t="n"/>
      <c r="I1376" s="19" t="n"/>
      <c r="J1376" s="19" t="n"/>
      <c r="K1376" s="19" t="n"/>
      <c r="L1376" s="20" t="n"/>
      <c r="M1376" s="20" t="n"/>
      <c r="N1376" s="20" t="n"/>
      <c r="O1376" s="20" t="n"/>
      <c r="P1376" s="19" t="n"/>
      <c r="Q1376" s="19" t="n"/>
      <c r="R1376" s="20" t="n"/>
      <c r="S1376" s="20" t="n"/>
      <c r="T1376" s="19" t="n"/>
      <c r="U1376" s="19" t="n"/>
      <c r="V1376" s="19" t="n"/>
      <c r="W1376" s="19" t="n"/>
      <c r="X1376" s="19" t="n"/>
      <c r="Y1376" s="19" t="n"/>
      <c r="Z1376" s="21">
        <f>IF(AND($A1376="",$B1376=""),"",IF(OR($E1376="",$H1376="",$H1376="Proposed",$H1376="Not Reported"),0,IF(AND($P1376="Y",$Q1376&lt;&gt;"Y"),0,IF(AND($K1376="Point",N($L1376)&lt;=0),0,IF(AND(N($L1376)&lt;=0,N($N1376)&lt;=0,N($R1376)+N($S1376)&lt;=0),0,1)))))</f>
        <v/>
      </c>
      <c r="AA1376" s="21">
        <f>IF(AND($A1376="",$B1376=""),"",IF($E1376="","Site type missing",IF($H1376="","STATUS missing",IF($H1376="Proposed","STATUS = Proposed",IF($H1376="Not Reported","STATUS = Not Reported",IF(AND($P1376="Y",$Q1376&lt;&gt;"Y"),"UNESCO-MAB Biosphere Reserve",IF(AND($K1376="Point",N($L1376)&lt;=0),"Point without REP_AREA",IF(AND(N($L1376)&lt;=0,N($N1376)&lt;=0,N($R1376)+N($S1376)&lt;=0),"No area information",""))))))))</f>
        <v/>
      </c>
      <c r="AB1376" s="22">
        <f>IF(AND($A1376="",$B1376=""),"",IF($K1376="Point",N($L1376),IF(N($N1376)&gt;0,N($N1376),N($L1376))))</f>
        <v/>
      </c>
      <c r="AC1376" s="22">
        <f>IF(AND($A1376="",$B1376=""),"",MIN(AB1376,IF(N($J1376)=0,0,IF(N($J1376)=2,AB1376,IF(AND($K1376&lt;&gt;"Point",N($O1376)&gt;0),N($O1376),N($M1376))))))</f>
        <v/>
      </c>
      <c r="AD1376" s="22">
        <f>IF(AND($A1376="",$B1376=""),"",MAX(0,AB1376-AC1376))</f>
        <v/>
      </c>
      <c r="AE1376" s="21">
        <f>IF(AND($A1376="",$B1376=""),"",IF(OR($R1376&lt;&gt;"",$S1376&lt;&gt;""),1,0))</f>
        <v/>
      </c>
      <c r="AF1376" s="22">
        <f>IF(AND($A1376="",$B1376=""),"",IF(Z1376=1,IF(AE1376=1,N($R1376),AD1376),0))</f>
        <v/>
      </c>
      <c r="AG1376" s="22">
        <f>IF(AND($A1376="",$B1376=""),"",IF(Z1376=1,IF(AE1376=1,N($S1376),AC1376),0))</f>
        <v/>
      </c>
      <c r="AH1376" s="21">
        <f>IF(AND($A1376="",$B1376=""),"",IF(AND(ISNUMBER($I1376),N($I1376)&gt;0),$I1376,0))</f>
        <v/>
      </c>
      <c r="AI1376" s="23">
        <f>IF(AND(NOT(AND($A1376="",$B1376="")),$K1376="Point",N($L1376)&gt;0),SQRT(N($L1376)/PI()),"")</f>
        <v/>
      </c>
      <c r="AJ1376" s="21">
        <f>IF(AND($A1376="",$B1376=""),"",IFERROR(VLOOKUP($G1376,Lists!$D$4:$E$15,2,FALSE),"Not reported"))</f>
        <v/>
      </c>
      <c r="AK1376" s="21">
        <f>IF(AND($A1376="",$B1376=""),"",IF($X1376&lt;&gt;"",$X1376,IF($T1376&lt;&gt;"Y","Not assessed",IF(AND(ISNUMBER($V1376),Setup!$B$6-$V1376&gt;Setup!$B$26),"Assessment outdated",IF(NOT(ISNUMBER($W1376)),"Assessed – no score",IF($W1376&gt;=Setup!$B$24,"High",IF($W1376&gt;=Setup!$B$25,"Moderate","Low")))))))</f>
        <v/>
      </c>
      <c r="AL1376" s="21">
        <f>IF(AND($A1376="",$B1376=""),"",IF(Z1376=0,"",IF(AND(AE1376=1,N($R1376)&gt;AD1376*1.01+0.001),"Net terrestrial &gt; gross; ","")&amp;IF(AND(AE1376=1,N($S1376)&gt;AC1376*1.01+0.001),"Net marine &gt; gross; ","")&amp;IF(AE1376=0,"No net area – gross used, overlaps may be double-counted; ","")&amp;IF(AH1376=0,"STATUS_YR missing – imputed in time series; ","")&amp;IF(AND(ISNUMBER($I1376),N($I1376)&gt;Setup!$B$6),"STATUS_YR after reporting year; ","")&amp;IF(OR($G1376="",$G1376="Not Reported"),"GOV_TYPE not reported; ","")&amp;IF(AND(N($J1376)=1,$K1376="Point",N($M1376)&lt;=0),"Coastal point without REP_M_AREA – land/sea split unknown; ","")&amp;IF(AND(N($J1376)=0,N($S1376)&gt;0),"MARINE=0 but net marine &gt;0; ","")&amp;IF(AND(N($J1376)=2,N($R1376)&gt;0),"MARINE=2 but net terrestrial &gt;0; ","")&amp;IF($K1376="Point","Buffered point – coverage approximate; ","")))</f>
        <v/>
      </c>
    </row>
    <row r="1377">
      <c r="A1377" s="19" t="n"/>
      <c r="B1377" s="19" t="n"/>
      <c r="C1377" s="19" t="n"/>
      <c r="D1377" s="19" t="n"/>
      <c r="E1377" s="19" t="n"/>
      <c r="F1377" s="19" t="n"/>
      <c r="G1377" s="19" t="n"/>
      <c r="H1377" s="19" t="n"/>
      <c r="I1377" s="19" t="n"/>
      <c r="J1377" s="19" t="n"/>
      <c r="K1377" s="19" t="n"/>
      <c r="L1377" s="20" t="n"/>
      <c r="M1377" s="20" t="n"/>
      <c r="N1377" s="20" t="n"/>
      <c r="O1377" s="20" t="n"/>
      <c r="P1377" s="19" t="n"/>
      <c r="Q1377" s="19" t="n"/>
      <c r="R1377" s="20" t="n"/>
      <c r="S1377" s="20" t="n"/>
      <c r="T1377" s="19" t="n"/>
      <c r="U1377" s="19" t="n"/>
      <c r="V1377" s="19" t="n"/>
      <c r="W1377" s="19" t="n"/>
      <c r="X1377" s="19" t="n"/>
      <c r="Y1377" s="19" t="n"/>
      <c r="Z1377" s="21">
        <f>IF(AND($A1377="",$B1377=""),"",IF(OR($E1377="",$H1377="",$H1377="Proposed",$H1377="Not Reported"),0,IF(AND($P1377="Y",$Q1377&lt;&gt;"Y"),0,IF(AND($K1377="Point",N($L1377)&lt;=0),0,IF(AND(N($L1377)&lt;=0,N($N1377)&lt;=0,N($R1377)+N($S1377)&lt;=0),0,1)))))</f>
        <v/>
      </c>
      <c r="AA1377" s="21">
        <f>IF(AND($A1377="",$B1377=""),"",IF($E1377="","Site type missing",IF($H1377="","STATUS missing",IF($H1377="Proposed","STATUS = Proposed",IF($H1377="Not Reported","STATUS = Not Reported",IF(AND($P1377="Y",$Q1377&lt;&gt;"Y"),"UNESCO-MAB Biosphere Reserve",IF(AND($K1377="Point",N($L1377)&lt;=0),"Point without REP_AREA",IF(AND(N($L1377)&lt;=0,N($N1377)&lt;=0,N($R1377)+N($S1377)&lt;=0),"No area information",""))))))))</f>
        <v/>
      </c>
      <c r="AB1377" s="22">
        <f>IF(AND($A1377="",$B1377=""),"",IF($K1377="Point",N($L1377),IF(N($N1377)&gt;0,N($N1377),N($L1377))))</f>
        <v/>
      </c>
      <c r="AC1377" s="22">
        <f>IF(AND($A1377="",$B1377=""),"",MIN(AB1377,IF(N($J1377)=0,0,IF(N($J1377)=2,AB1377,IF(AND($K1377&lt;&gt;"Point",N($O1377)&gt;0),N($O1377),N($M1377))))))</f>
        <v/>
      </c>
      <c r="AD1377" s="22">
        <f>IF(AND($A1377="",$B1377=""),"",MAX(0,AB1377-AC1377))</f>
        <v/>
      </c>
      <c r="AE1377" s="21">
        <f>IF(AND($A1377="",$B1377=""),"",IF(OR($R1377&lt;&gt;"",$S1377&lt;&gt;""),1,0))</f>
        <v/>
      </c>
      <c r="AF1377" s="22">
        <f>IF(AND($A1377="",$B1377=""),"",IF(Z1377=1,IF(AE1377=1,N($R1377),AD1377),0))</f>
        <v/>
      </c>
      <c r="AG1377" s="22">
        <f>IF(AND($A1377="",$B1377=""),"",IF(Z1377=1,IF(AE1377=1,N($S1377),AC1377),0))</f>
        <v/>
      </c>
      <c r="AH1377" s="21">
        <f>IF(AND($A1377="",$B1377=""),"",IF(AND(ISNUMBER($I1377),N($I1377)&gt;0),$I1377,0))</f>
        <v/>
      </c>
      <c r="AI1377" s="23">
        <f>IF(AND(NOT(AND($A1377="",$B1377="")),$K1377="Point",N($L1377)&gt;0),SQRT(N($L1377)/PI()),"")</f>
        <v/>
      </c>
      <c r="AJ1377" s="21">
        <f>IF(AND($A1377="",$B1377=""),"",IFERROR(VLOOKUP($G1377,Lists!$D$4:$E$15,2,FALSE),"Not reported"))</f>
        <v/>
      </c>
      <c r="AK1377" s="21">
        <f>IF(AND($A1377="",$B1377=""),"",IF($X1377&lt;&gt;"",$X1377,IF($T1377&lt;&gt;"Y","Not assessed",IF(AND(ISNUMBER($V1377),Setup!$B$6-$V1377&gt;Setup!$B$26),"Assessment outdated",IF(NOT(ISNUMBER($W1377)),"Assessed – no score",IF($W1377&gt;=Setup!$B$24,"High",IF($W1377&gt;=Setup!$B$25,"Moderate","Low")))))))</f>
        <v/>
      </c>
      <c r="AL1377" s="21">
        <f>IF(AND($A1377="",$B1377=""),"",IF(Z1377=0,"",IF(AND(AE1377=1,N($R1377)&gt;AD1377*1.01+0.001),"Net terrestrial &gt; gross; ","")&amp;IF(AND(AE1377=1,N($S1377)&gt;AC1377*1.01+0.001),"Net marine &gt; gross; ","")&amp;IF(AE1377=0,"No net area – gross used, overlaps may be double-counted; ","")&amp;IF(AH1377=0,"STATUS_YR missing – imputed in time series; ","")&amp;IF(AND(ISNUMBER($I1377),N($I1377)&gt;Setup!$B$6),"STATUS_YR after reporting year; ","")&amp;IF(OR($G1377="",$G1377="Not Reported"),"GOV_TYPE not reported; ","")&amp;IF(AND(N($J1377)=1,$K1377="Point",N($M1377)&lt;=0),"Coastal point without REP_M_AREA – land/sea split unknown; ","")&amp;IF(AND(N($J1377)=0,N($S1377)&gt;0),"MARINE=0 but net marine &gt;0; ","")&amp;IF(AND(N($J1377)=2,N($R1377)&gt;0),"MARINE=2 but net terrestrial &gt;0; ","")&amp;IF($K1377="Point","Buffered point – coverage approximate; ","")))</f>
        <v/>
      </c>
    </row>
    <row r="1378">
      <c r="A1378" s="19" t="n"/>
      <c r="B1378" s="19" t="n"/>
      <c r="C1378" s="19" t="n"/>
      <c r="D1378" s="19" t="n"/>
      <c r="E1378" s="19" t="n"/>
      <c r="F1378" s="19" t="n"/>
      <c r="G1378" s="19" t="n"/>
      <c r="H1378" s="19" t="n"/>
      <c r="I1378" s="19" t="n"/>
      <c r="J1378" s="19" t="n"/>
      <c r="K1378" s="19" t="n"/>
      <c r="L1378" s="20" t="n"/>
      <c r="M1378" s="20" t="n"/>
      <c r="N1378" s="20" t="n"/>
      <c r="O1378" s="20" t="n"/>
      <c r="P1378" s="19" t="n"/>
      <c r="Q1378" s="19" t="n"/>
      <c r="R1378" s="20" t="n"/>
      <c r="S1378" s="20" t="n"/>
      <c r="T1378" s="19" t="n"/>
      <c r="U1378" s="19" t="n"/>
      <c r="V1378" s="19" t="n"/>
      <c r="W1378" s="19" t="n"/>
      <c r="X1378" s="19" t="n"/>
      <c r="Y1378" s="19" t="n"/>
      <c r="Z1378" s="21">
        <f>IF(AND($A1378="",$B1378=""),"",IF(OR($E1378="",$H1378="",$H1378="Proposed",$H1378="Not Reported"),0,IF(AND($P1378="Y",$Q1378&lt;&gt;"Y"),0,IF(AND($K1378="Point",N($L1378)&lt;=0),0,IF(AND(N($L1378)&lt;=0,N($N1378)&lt;=0,N($R1378)+N($S1378)&lt;=0),0,1)))))</f>
        <v/>
      </c>
      <c r="AA1378" s="21">
        <f>IF(AND($A1378="",$B1378=""),"",IF($E1378="","Site type missing",IF($H1378="","STATUS missing",IF($H1378="Proposed","STATUS = Proposed",IF($H1378="Not Reported","STATUS = Not Reported",IF(AND($P1378="Y",$Q1378&lt;&gt;"Y"),"UNESCO-MAB Biosphere Reserve",IF(AND($K1378="Point",N($L1378)&lt;=0),"Point without REP_AREA",IF(AND(N($L1378)&lt;=0,N($N1378)&lt;=0,N($R1378)+N($S1378)&lt;=0),"No area information",""))))))))</f>
        <v/>
      </c>
      <c r="AB1378" s="22">
        <f>IF(AND($A1378="",$B1378=""),"",IF($K1378="Point",N($L1378),IF(N($N1378)&gt;0,N($N1378),N($L1378))))</f>
        <v/>
      </c>
      <c r="AC1378" s="22">
        <f>IF(AND($A1378="",$B1378=""),"",MIN(AB1378,IF(N($J1378)=0,0,IF(N($J1378)=2,AB1378,IF(AND($K1378&lt;&gt;"Point",N($O1378)&gt;0),N($O1378),N($M1378))))))</f>
        <v/>
      </c>
      <c r="AD1378" s="22">
        <f>IF(AND($A1378="",$B1378=""),"",MAX(0,AB1378-AC1378))</f>
        <v/>
      </c>
      <c r="AE1378" s="21">
        <f>IF(AND($A1378="",$B1378=""),"",IF(OR($R1378&lt;&gt;"",$S1378&lt;&gt;""),1,0))</f>
        <v/>
      </c>
      <c r="AF1378" s="22">
        <f>IF(AND($A1378="",$B1378=""),"",IF(Z1378=1,IF(AE1378=1,N($R1378),AD1378),0))</f>
        <v/>
      </c>
      <c r="AG1378" s="22">
        <f>IF(AND($A1378="",$B1378=""),"",IF(Z1378=1,IF(AE1378=1,N($S1378),AC1378),0))</f>
        <v/>
      </c>
      <c r="AH1378" s="21">
        <f>IF(AND($A1378="",$B1378=""),"",IF(AND(ISNUMBER($I1378),N($I1378)&gt;0),$I1378,0))</f>
        <v/>
      </c>
      <c r="AI1378" s="23">
        <f>IF(AND(NOT(AND($A1378="",$B1378="")),$K1378="Point",N($L1378)&gt;0),SQRT(N($L1378)/PI()),"")</f>
        <v/>
      </c>
      <c r="AJ1378" s="21">
        <f>IF(AND($A1378="",$B1378=""),"",IFERROR(VLOOKUP($G1378,Lists!$D$4:$E$15,2,FALSE),"Not reported"))</f>
        <v/>
      </c>
      <c r="AK1378" s="21">
        <f>IF(AND($A1378="",$B1378=""),"",IF($X1378&lt;&gt;"",$X1378,IF($T1378&lt;&gt;"Y","Not assessed",IF(AND(ISNUMBER($V1378),Setup!$B$6-$V1378&gt;Setup!$B$26),"Assessment outdated",IF(NOT(ISNUMBER($W1378)),"Assessed – no score",IF($W1378&gt;=Setup!$B$24,"High",IF($W1378&gt;=Setup!$B$25,"Moderate","Low")))))))</f>
        <v/>
      </c>
      <c r="AL1378" s="21">
        <f>IF(AND($A1378="",$B1378=""),"",IF(Z1378=0,"",IF(AND(AE1378=1,N($R1378)&gt;AD1378*1.01+0.001),"Net terrestrial &gt; gross; ","")&amp;IF(AND(AE1378=1,N($S1378)&gt;AC1378*1.01+0.001),"Net marine &gt; gross; ","")&amp;IF(AE1378=0,"No net area – gross used, overlaps may be double-counted; ","")&amp;IF(AH1378=0,"STATUS_YR missing – imputed in time series; ","")&amp;IF(AND(ISNUMBER($I1378),N($I1378)&gt;Setup!$B$6),"STATUS_YR after reporting year; ","")&amp;IF(OR($G1378="",$G1378="Not Reported"),"GOV_TYPE not reported; ","")&amp;IF(AND(N($J1378)=1,$K1378="Point",N($M1378)&lt;=0),"Coastal point without REP_M_AREA – land/sea split unknown; ","")&amp;IF(AND(N($J1378)=0,N($S1378)&gt;0),"MARINE=0 but net marine &gt;0; ","")&amp;IF(AND(N($J1378)=2,N($R1378)&gt;0),"MARINE=2 but net terrestrial &gt;0; ","")&amp;IF($K1378="Point","Buffered point – coverage approximate; ","")))</f>
        <v/>
      </c>
    </row>
    <row r="1379">
      <c r="A1379" s="19" t="n"/>
      <c r="B1379" s="19" t="n"/>
      <c r="C1379" s="19" t="n"/>
      <c r="D1379" s="19" t="n"/>
      <c r="E1379" s="19" t="n"/>
      <c r="F1379" s="19" t="n"/>
      <c r="G1379" s="19" t="n"/>
      <c r="H1379" s="19" t="n"/>
      <c r="I1379" s="19" t="n"/>
      <c r="J1379" s="19" t="n"/>
      <c r="K1379" s="19" t="n"/>
      <c r="L1379" s="20" t="n"/>
      <c r="M1379" s="20" t="n"/>
      <c r="N1379" s="20" t="n"/>
      <c r="O1379" s="20" t="n"/>
      <c r="P1379" s="19" t="n"/>
      <c r="Q1379" s="19" t="n"/>
      <c r="R1379" s="20" t="n"/>
      <c r="S1379" s="20" t="n"/>
      <c r="T1379" s="19" t="n"/>
      <c r="U1379" s="19" t="n"/>
      <c r="V1379" s="19" t="n"/>
      <c r="W1379" s="19" t="n"/>
      <c r="X1379" s="19" t="n"/>
      <c r="Y1379" s="19" t="n"/>
      <c r="Z1379" s="21">
        <f>IF(AND($A1379="",$B1379=""),"",IF(OR($E1379="",$H1379="",$H1379="Proposed",$H1379="Not Reported"),0,IF(AND($P1379="Y",$Q1379&lt;&gt;"Y"),0,IF(AND($K1379="Point",N($L1379)&lt;=0),0,IF(AND(N($L1379)&lt;=0,N($N1379)&lt;=0,N($R1379)+N($S1379)&lt;=0),0,1)))))</f>
        <v/>
      </c>
      <c r="AA1379" s="21">
        <f>IF(AND($A1379="",$B1379=""),"",IF($E1379="","Site type missing",IF($H1379="","STATUS missing",IF($H1379="Proposed","STATUS = Proposed",IF($H1379="Not Reported","STATUS = Not Reported",IF(AND($P1379="Y",$Q1379&lt;&gt;"Y"),"UNESCO-MAB Biosphere Reserve",IF(AND($K1379="Point",N($L1379)&lt;=0),"Point without REP_AREA",IF(AND(N($L1379)&lt;=0,N($N1379)&lt;=0,N($R1379)+N($S1379)&lt;=0),"No area information",""))))))))</f>
        <v/>
      </c>
      <c r="AB1379" s="22">
        <f>IF(AND($A1379="",$B1379=""),"",IF($K1379="Point",N($L1379),IF(N($N1379)&gt;0,N($N1379),N($L1379))))</f>
        <v/>
      </c>
      <c r="AC1379" s="22">
        <f>IF(AND($A1379="",$B1379=""),"",MIN(AB1379,IF(N($J1379)=0,0,IF(N($J1379)=2,AB1379,IF(AND($K1379&lt;&gt;"Point",N($O1379)&gt;0),N($O1379),N($M1379))))))</f>
        <v/>
      </c>
      <c r="AD1379" s="22">
        <f>IF(AND($A1379="",$B1379=""),"",MAX(0,AB1379-AC1379))</f>
        <v/>
      </c>
      <c r="AE1379" s="21">
        <f>IF(AND($A1379="",$B1379=""),"",IF(OR($R1379&lt;&gt;"",$S1379&lt;&gt;""),1,0))</f>
        <v/>
      </c>
      <c r="AF1379" s="22">
        <f>IF(AND($A1379="",$B1379=""),"",IF(Z1379=1,IF(AE1379=1,N($R1379),AD1379),0))</f>
        <v/>
      </c>
      <c r="AG1379" s="22">
        <f>IF(AND($A1379="",$B1379=""),"",IF(Z1379=1,IF(AE1379=1,N($S1379),AC1379),0))</f>
        <v/>
      </c>
      <c r="AH1379" s="21">
        <f>IF(AND($A1379="",$B1379=""),"",IF(AND(ISNUMBER($I1379),N($I1379)&gt;0),$I1379,0))</f>
        <v/>
      </c>
      <c r="AI1379" s="23">
        <f>IF(AND(NOT(AND($A1379="",$B1379="")),$K1379="Point",N($L1379)&gt;0),SQRT(N($L1379)/PI()),"")</f>
        <v/>
      </c>
      <c r="AJ1379" s="21">
        <f>IF(AND($A1379="",$B1379=""),"",IFERROR(VLOOKUP($G1379,Lists!$D$4:$E$15,2,FALSE),"Not reported"))</f>
        <v/>
      </c>
      <c r="AK1379" s="21">
        <f>IF(AND($A1379="",$B1379=""),"",IF($X1379&lt;&gt;"",$X1379,IF($T1379&lt;&gt;"Y","Not assessed",IF(AND(ISNUMBER($V1379),Setup!$B$6-$V1379&gt;Setup!$B$26),"Assessment outdated",IF(NOT(ISNUMBER($W1379)),"Assessed – no score",IF($W1379&gt;=Setup!$B$24,"High",IF($W1379&gt;=Setup!$B$25,"Moderate","Low")))))))</f>
        <v/>
      </c>
      <c r="AL1379" s="21">
        <f>IF(AND($A1379="",$B1379=""),"",IF(Z1379=0,"",IF(AND(AE1379=1,N($R1379)&gt;AD1379*1.01+0.001),"Net terrestrial &gt; gross; ","")&amp;IF(AND(AE1379=1,N($S1379)&gt;AC1379*1.01+0.001),"Net marine &gt; gross; ","")&amp;IF(AE1379=0,"No net area – gross used, overlaps may be double-counted; ","")&amp;IF(AH1379=0,"STATUS_YR missing – imputed in time series; ","")&amp;IF(AND(ISNUMBER($I1379),N($I1379)&gt;Setup!$B$6),"STATUS_YR after reporting year; ","")&amp;IF(OR($G1379="",$G1379="Not Reported"),"GOV_TYPE not reported; ","")&amp;IF(AND(N($J1379)=1,$K1379="Point",N($M1379)&lt;=0),"Coastal point without REP_M_AREA – land/sea split unknown; ","")&amp;IF(AND(N($J1379)=0,N($S1379)&gt;0),"MARINE=0 but net marine &gt;0; ","")&amp;IF(AND(N($J1379)=2,N($R1379)&gt;0),"MARINE=2 but net terrestrial &gt;0; ","")&amp;IF($K1379="Point","Buffered point – coverage approximate; ","")))</f>
        <v/>
      </c>
    </row>
    <row r="1380">
      <c r="A1380" s="19" t="n"/>
      <c r="B1380" s="19" t="n"/>
      <c r="C1380" s="19" t="n"/>
      <c r="D1380" s="19" t="n"/>
      <c r="E1380" s="19" t="n"/>
      <c r="F1380" s="19" t="n"/>
      <c r="G1380" s="19" t="n"/>
      <c r="H1380" s="19" t="n"/>
      <c r="I1380" s="19" t="n"/>
      <c r="J1380" s="19" t="n"/>
      <c r="K1380" s="19" t="n"/>
      <c r="L1380" s="20" t="n"/>
      <c r="M1380" s="20" t="n"/>
      <c r="N1380" s="20" t="n"/>
      <c r="O1380" s="20" t="n"/>
      <c r="P1380" s="19" t="n"/>
      <c r="Q1380" s="19" t="n"/>
      <c r="R1380" s="20" t="n"/>
      <c r="S1380" s="20" t="n"/>
      <c r="T1380" s="19" t="n"/>
      <c r="U1380" s="19" t="n"/>
      <c r="V1380" s="19" t="n"/>
      <c r="W1380" s="19" t="n"/>
      <c r="X1380" s="19" t="n"/>
      <c r="Y1380" s="19" t="n"/>
      <c r="Z1380" s="21">
        <f>IF(AND($A1380="",$B1380=""),"",IF(OR($E1380="",$H1380="",$H1380="Proposed",$H1380="Not Reported"),0,IF(AND($P1380="Y",$Q1380&lt;&gt;"Y"),0,IF(AND($K1380="Point",N($L1380)&lt;=0),0,IF(AND(N($L1380)&lt;=0,N($N1380)&lt;=0,N($R1380)+N($S1380)&lt;=0),0,1)))))</f>
        <v/>
      </c>
      <c r="AA1380" s="21">
        <f>IF(AND($A1380="",$B1380=""),"",IF($E1380="","Site type missing",IF($H1380="","STATUS missing",IF($H1380="Proposed","STATUS = Proposed",IF($H1380="Not Reported","STATUS = Not Reported",IF(AND($P1380="Y",$Q1380&lt;&gt;"Y"),"UNESCO-MAB Biosphere Reserve",IF(AND($K1380="Point",N($L1380)&lt;=0),"Point without REP_AREA",IF(AND(N($L1380)&lt;=0,N($N1380)&lt;=0,N($R1380)+N($S1380)&lt;=0),"No area information",""))))))))</f>
        <v/>
      </c>
      <c r="AB1380" s="22">
        <f>IF(AND($A1380="",$B1380=""),"",IF($K1380="Point",N($L1380),IF(N($N1380)&gt;0,N($N1380),N($L1380))))</f>
        <v/>
      </c>
      <c r="AC1380" s="22">
        <f>IF(AND($A1380="",$B1380=""),"",MIN(AB1380,IF(N($J1380)=0,0,IF(N($J1380)=2,AB1380,IF(AND($K1380&lt;&gt;"Point",N($O1380)&gt;0),N($O1380),N($M1380))))))</f>
        <v/>
      </c>
      <c r="AD1380" s="22">
        <f>IF(AND($A1380="",$B1380=""),"",MAX(0,AB1380-AC1380))</f>
        <v/>
      </c>
      <c r="AE1380" s="21">
        <f>IF(AND($A1380="",$B1380=""),"",IF(OR($R1380&lt;&gt;"",$S1380&lt;&gt;""),1,0))</f>
        <v/>
      </c>
      <c r="AF1380" s="22">
        <f>IF(AND($A1380="",$B1380=""),"",IF(Z1380=1,IF(AE1380=1,N($R1380),AD1380),0))</f>
        <v/>
      </c>
      <c r="AG1380" s="22">
        <f>IF(AND($A1380="",$B1380=""),"",IF(Z1380=1,IF(AE1380=1,N($S1380),AC1380),0))</f>
        <v/>
      </c>
      <c r="AH1380" s="21">
        <f>IF(AND($A1380="",$B1380=""),"",IF(AND(ISNUMBER($I1380),N($I1380)&gt;0),$I1380,0))</f>
        <v/>
      </c>
      <c r="AI1380" s="23">
        <f>IF(AND(NOT(AND($A1380="",$B1380="")),$K1380="Point",N($L1380)&gt;0),SQRT(N($L1380)/PI()),"")</f>
        <v/>
      </c>
      <c r="AJ1380" s="21">
        <f>IF(AND($A1380="",$B1380=""),"",IFERROR(VLOOKUP($G1380,Lists!$D$4:$E$15,2,FALSE),"Not reported"))</f>
        <v/>
      </c>
      <c r="AK1380" s="21">
        <f>IF(AND($A1380="",$B1380=""),"",IF($X1380&lt;&gt;"",$X1380,IF($T1380&lt;&gt;"Y","Not assessed",IF(AND(ISNUMBER($V1380),Setup!$B$6-$V1380&gt;Setup!$B$26),"Assessment outdated",IF(NOT(ISNUMBER($W1380)),"Assessed – no score",IF($W1380&gt;=Setup!$B$24,"High",IF($W1380&gt;=Setup!$B$25,"Moderate","Low")))))))</f>
        <v/>
      </c>
      <c r="AL1380" s="21">
        <f>IF(AND($A1380="",$B1380=""),"",IF(Z1380=0,"",IF(AND(AE1380=1,N($R1380)&gt;AD1380*1.01+0.001),"Net terrestrial &gt; gross; ","")&amp;IF(AND(AE1380=1,N($S1380)&gt;AC1380*1.01+0.001),"Net marine &gt; gross; ","")&amp;IF(AE1380=0,"No net area – gross used, overlaps may be double-counted; ","")&amp;IF(AH1380=0,"STATUS_YR missing – imputed in time series; ","")&amp;IF(AND(ISNUMBER($I1380),N($I1380)&gt;Setup!$B$6),"STATUS_YR after reporting year; ","")&amp;IF(OR($G1380="",$G1380="Not Reported"),"GOV_TYPE not reported; ","")&amp;IF(AND(N($J1380)=1,$K1380="Point",N($M1380)&lt;=0),"Coastal point without REP_M_AREA – land/sea split unknown; ","")&amp;IF(AND(N($J1380)=0,N($S1380)&gt;0),"MARINE=0 but net marine &gt;0; ","")&amp;IF(AND(N($J1380)=2,N($R1380)&gt;0),"MARINE=2 but net terrestrial &gt;0; ","")&amp;IF($K1380="Point","Buffered point – coverage approximate; ","")))</f>
        <v/>
      </c>
    </row>
    <row r="1381">
      <c r="A1381" s="19" t="n"/>
      <c r="B1381" s="19" t="n"/>
      <c r="C1381" s="19" t="n"/>
      <c r="D1381" s="19" t="n"/>
      <c r="E1381" s="19" t="n"/>
      <c r="F1381" s="19" t="n"/>
      <c r="G1381" s="19" t="n"/>
      <c r="H1381" s="19" t="n"/>
      <c r="I1381" s="19" t="n"/>
      <c r="J1381" s="19" t="n"/>
      <c r="K1381" s="19" t="n"/>
      <c r="L1381" s="20" t="n"/>
      <c r="M1381" s="20" t="n"/>
      <c r="N1381" s="20" t="n"/>
      <c r="O1381" s="20" t="n"/>
      <c r="P1381" s="19" t="n"/>
      <c r="Q1381" s="19" t="n"/>
      <c r="R1381" s="20" t="n"/>
      <c r="S1381" s="20" t="n"/>
      <c r="T1381" s="19" t="n"/>
      <c r="U1381" s="19" t="n"/>
      <c r="V1381" s="19" t="n"/>
      <c r="W1381" s="19" t="n"/>
      <c r="X1381" s="19" t="n"/>
      <c r="Y1381" s="19" t="n"/>
      <c r="Z1381" s="21">
        <f>IF(AND($A1381="",$B1381=""),"",IF(OR($E1381="",$H1381="",$H1381="Proposed",$H1381="Not Reported"),0,IF(AND($P1381="Y",$Q1381&lt;&gt;"Y"),0,IF(AND($K1381="Point",N($L1381)&lt;=0),0,IF(AND(N($L1381)&lt;=0,N($N1381)&lt;=0,N($R1381)+N($S1381)&lt;=0),0,1)))))</f>
        <v/>
      </c>
      <c r="AA1381" s="21">
        <f>IF(AND($A1381="",$B1381=""),"",IF($E1381="","Site type missing",IF($H1381="","STATUS missing",IF($H1381="Proposed","STATUS = Proposed",IF($H1381="Not Reported","STATUS = Not Reported",IF(AND($P1381="Y",$Q1381&lt;&gt;"Y"),"UNESCO-MAB Biosphere Reserve",IF(AND($K1381="Point",N($L1381)&lt;=0),"Point without REP_AREA",IF(AND(N($L1381)&lt;=0,N($N1381)&lt;=0,N($R1381)+N($S1381)&lt;=0),"No area information",""))))))))</f>
        <v/>
      </c>
      <c r="AB1381" s="22">
        <f>IF(AND($A1381="",$B1381=""),"",IF($K1381="Point",N($L1381),IF(N($N1381)&gt;0,N($N1381),N($L1381))))</f>
        <v/>
      </c>
      <c r="AC1381" s="22">
        <f>IF(AND($A1381="",$B1381=""),"",MIN(AB1381,IF(N($J1381)=0,0,IF(N($J1381)=2,AB1381,IF(AND($K1381&lt;&gt;"Point",N($O1381)&gt;0),N($O1381),N($M1381))))))</f>
        <v/>
      </c>
      <c r="AD1381" s="22">
        <f>IF(AND($A1381="",$B1381=""),"",MAX(0,AB1381-AC1381))</f>
        <v/>
      </c>
      <c r="AE1381" s="21">
        <f>IF(AND($A1381="",$B1381=""),"",IF(OR($R1381&lt;&gt;"",$S1381&lt;&gt;""),1,0))</f>
        <v/>
      </c>
      <c r="AF1381" s="22">
        <f>IF(AND($A1381="",$B1381=""),"",IF(Z1381=1,IF(AE1381=1,N($R1381),AD1381),0))</f>
        <v/>
      </c>
      <c r="AG1381" s="22">
        <f>IF(AND($A1381="",$B1381=""),"",IF(Z1381=1,IF(AE1381=1,N($S1381),AC1381),0))</f>
        <v/>
      </c>
      <c r="AH1381" s="21">
        <f>IF(AND($A1381="",$B1381=""),"",IF(AND(ISNUMBER($I1381),N($I1381)&gt;0),$I1381,0))</f>
        <v/>
      </c>
      <c r="AI1381" s="23">
        <f>IF(AND(NOT(AND($A1381="",$B1381="")),$K1381="Point",N($L1381)&gt;0),SQRT(N($L1381)/PI()),"")</f>
        <v/>
      </c>
      <c r="AJ1381" s="21">
        <f>IF(AND($A1381="",$B1381=""),"",IFERROR(VLOOKUP($G1381,Lists!$D$4:$E$15,2,FALSE),"Not reported"))</f>
        <v/>
      </c>
      <c r="AK1381" s="21">
        <f>IF(AND($A1381="",$B1381=""),"",IF($X1381&lt;&gt;"",$X1381,IF($T1381&lt;&gt;"Y","Not assessed",IF(AND(ISNUMBER($V1381),Setup!$B$6-$V1381&gt;Setup!$B$26),"Assessment outdated",IF(NOT(ISNUMBER($W1381)),"Assessed – no score",IF($W1381&gt;=Setup!$B$24,"High",IF($W1381&gt;=Setup!$B$25,"Moderate","Low")))))))</f>
        <v/>
      </c>
      <c r="AL1381" s="21">
        <f>IF(AND($A1381="",$B1381=""),"",IF(Z1381=0,"",IF(AND(AE1381=1,N($R1381)&gt;AD1381*1.01+0.001),"Net terrestrial &gt; gross; ","")&amp;IF(AND(AE1381=1,N($S1381)&gt;AC1381*1.01+0.001),"Net marine &gt; gross; ","")&amp;IF(AE1381=0,"No net area – gross used, overlaps may be double-counted; ","")&amp;IF(AH1381=0,"STATUS_YR missing – imputed in time series; ","")&amp;IF(AND(ISNUMBER($I1381),N($I1381)&gt;Setup!$B$6),"STATUS_YR after reporting year; ","")&amp;IF(OR($G1381="",$G1381="Not Reported"),"GOV_TYPE not reported; ","")&amp;IF(AND(N($J1381)=1,$K1381="Point",N($M1381)&lt;=0),"Coastal point without REP_M_AREA – land/sea split unknown; ","")&amp;IF(AND(N($J1381)=0,N($S1381)&gt;0),"MARINE=0 but net marine &gt;0; ","")&amp;IF(AND(N($J1381)=2,N($R1381)&gt;0),"MARINE=2 but net terrestrial &gt;0; ","")&amp;IF($K1381="Point","Buffered point – coverage approximate; ","")))</f>
        <v/>
      </c>
    </row>
    <row r="1382">
      <c r="A1382" s="19" t="n"/>
      <c r="B1382" s="19" t="n"/>
      <c r="C1382" s="19" t="n"/>
      <c r="D1382" s="19" t="n"/>
      <c r="E1382" s="19" t="n"/>
      <c r="F1382" s="19" t="n"/>
      <c r="G1382" s="19" t="n"/>
      <c r="H1382" s="19" t="n"/>
      <c r="I1382" s="19" t="n"/>
      <c r="J1382" s="19" t="n"/>
      <c r="K1382" s="19" t="n"/>
      <c r="L1382" s="20" t="n"/>
      <c r="M1382" s="20" t="n"/>
      <c r="N1382" s="20" t="n"/>
      <c r="O1382" s="20" t="n"/>
      <c r="P1382" s="19" t="n"/>
      <c r="Q1382" s="19" t="n"/>
      <c r="R1382" s="20" t="n"/>
      <c r="S1382" s="20" t="n"/>
      <c r="T1382" s="19" t="n"/>
      <c r="U1382" s="19" t="n"/>
      <c r="V1382" s="19" t="n"/>
      <c r="W1382" s="19" t="n"/>
      <c r="X1382" s="19" t="n"/>
      <c r="Y1382" s="19" t="n"/>
      <c r="Z1382" s="21">
        <f>IF(AND($A1382="",$B1382=""),"",IF(OR($E1382="",$H1382="",$H1382="Proposed",$H1382="Not Reported"),0,IF(AND($P1382="Y",$Q1382&lt;&gt;"Y"),0,IF(AND($K1382="Point",N($L1382)&lt;=0),0,IF(AND(N($L1382)&lt;=0,N($N1382)&lt;=0,N($R1382)+N($S1382)&lt;=0),0,1)))))</f>
        <v/>
      </c>
      <c r="AA1382" s="21">
        <f>IF(AND($A1382="",$B1382=""),"",IF($E1382="","Site type missing",IF($H1382="","STATUS missing",IF($H1382="Proposed","STATUS = Proposed",IF($H1382="Not Reported","STATUS = Not Reported",IF(AND($P1382="Y",$Q1382&lt;&gt;"Y"),"UNESCO-MAB Biosphere Reserve",IF(AND($K1382="Point",N($L1382)&lt;=0),"Point without REP_AREA",IF(AND(N($L1382)&lt;=0,N($N1382)&lt;=0,N($R1382)+N($S1382)&lt;=0),"No area information",""))))))))</f>
        <v/>
      </c>
      <c r="AB1382" s="22">
        <f>IF(AND($A1382="",$B1382=""),"",IF($K1382="Point",N($L1382),IF(N($N1382)&gt;0,N($N1382),N($L1382))))</f>
        <v/>
      </c>
      <c r="AC1382" s="22">
        <f>IF(AND($A1382="",$B1382=""),"",MIN(AB1382,IF(N($J1382)=0,0,IF(N($J1382)=2,AB1382,IF(AND($K1382&lt;&gt;"Point",N($O1382)&gt;0),N($O1382),N($M1382))))))</f>
        <v/>
      </c>
      <c r="AD1382" s="22">
        <f>IF(AND($A1382="",$B1382=""),"",MAX(0,AB1382-AC1382))</f>
        <v/>
      </c>
      <c r="AE1382" s="21">
        <f>IF(AND($A1382="",$B1382=""),"",IF(OR($R1382&lt;&gt;"",$S1382&lt;&gt;""),1,0))</f>
        <v/>
      </c>
      <c r="AF1382" s="22">
        <f>IF(AND($A1382="",$B1382=""),"",IF(Z1382=1,IF(AE1382=1,N($R1382),AD1382),0))</f>
        <v/>
      </c>
      <c r="AG1382" s="22">
        <f>IF(AND($A1382="",$B1382=""),"",IF(Z1382=1,IF(AE1382=1,N($S1382),AC1382),0))</f>
        <v/>
      </c>
      <c r="AH1382" s="21">
        <f>IF(AND($A1382="",$B1382=""),"",IF(AND(ISNUMBER($I1382),N($I1382)&gt;0),$I1382,0))</f>
        <v/>
      </c>
      <c r="AI1382" s="23">
        <f>IF(AND(NOT(AND($A1382="",$B1382="")),$K1382="Point",N($L1382)&gt;0),SQRT(N($L1382)/PI()),"")</f>
        <v/>
      </c>
      <c r="AJ1382" s="21">
        <f>IF(AND($A1382="",$B1382=""),"",IFERROR(VLOOKUP($G1382,Lists!$D$4:$E$15,2,FALSE),"Not reported"))</f>
        <v/>
      </c>
      <c r="AK1382" s="21">
        <f>IF(AND($A1382="",$B1382=""),"",IF($X1382&lt;&gt;"",$X1382,IF($T1382&lt;&gt;"Y","Not assessed",IF(AND(ISNUMBER($V1382),Setup!$B$6-$V1382&gt;Setup!$B$26),"Assessment outdated",IF(NOT(ISNUMBER($W1382)),"Assessed – no score",IF($W1382&gt;=Setup!$B$24,"High",IF($W1382&gt;=Setup!$B$25,"Moderate","Low")))))))</f>
        <v/>
      </c>
      <c r="AL1382" s="21">
        <f>IF(AND($A1382="",$B1382=""),"",IF(Z1382=0,"",IF(AND(AE1382=1,N($R1382)&gt;AD1382*1.01+0.001),"Net terrestrial &gt; gross; ","")&amp;IF(AND(AE1382=1,N($S1382)&gt;AC1382*1.01+0.001),"Net marine &gt; gross; ","")&amp;IF(AE1382=0,"No net area – gross used, overlaps may be double-counted; ","")&amp;IF(AH1382=0,"STATUS_YR missing – imputed in time series; ","")&amp;IF(AND(ISNUMBER($I1382),N($I1382)&gt;Setup!$B$6),"STATUS_YR after reporting year; ","")&amp;IF(OR($G1382="",$G1382="Not Reported"),"GOV_TYPE not reported; ","")&amp;IF(AND(N($J1382)=1,$K1382="Point",N($M1382)&lt;=0),"Coastal point without REP_M_AREA – land/sea split unknown; ","")&amp;IF(AND(N($J1382)=0,N($S1382)&gt;0),"MARINE=0 but net marine &gt;0; ","")&amp;IF(AND(N($J1382)=2,N($R1382)&gt;0),"MARINE=2 but net terrestrial &gt;0; ","")&amp;IF($K1382="Point","Buffered point – coverage approximate; ","")))</f>
        <v/>
      </c>
    </row>
    <row r="1383">
      <c r="A1383" s="19" t="n"/>
      <c r="B1383" s="19" t="n"/>
      <c r="C1383" s="19" t="n"/>
      <c r="D1383" s="19" t="n"/>
      <c r="E1383" s="19" t="n"/>
      <c r="F1383" s="19" t="n"/>
      <c r="G1383" s="19" t="n"/>
      <c r="H1383" s="19" t="n"/>
      <c r="I1383" s="19" t="n"/>
      <c r="J1383" s="19" t="n"/>
      <c r="K1383" s="19" t="n"/>
      <c r="L1383" s="20" t="n"/>
      <c r="M1383" s="20" t="n"/>
      <c r="N1383" s="20" t="n"/>
      <c r="O1383" s="20" t="n"/>
      <c r="P1383" s="19" t="n"/>
      <c r="Q1383" s="19" t="n"/>
      <c r="R1383" s="20" t="n"/>
      <c r="S1383" s="20" t="n"/>
      <c r="T1383" s="19" t="n"/>
      <c r="U1383" s="19" t="n"/>
      <c r="V1383" s="19" t="n"/>
      <c r="W1383" s="19" t="n"/>
      <c r="X1383" s="19" t="n"/>
      <c r="Y1383" s="19" t="n"/>
      <c r="Z1383" s="21">
        <f>IF(AND($A1383="",$B1383=""),"",IF(OR($E1383="",$H1383="",$H1383="Proposed",$H1383="Not Reported"),0,IF(AND($P1383="Y",$Q1383&lt;&gt;"Y"),0,IF(AND($K1383="Point",N($L1383)&lt;=0),0,IF(AND(N($L1383)&lt;=0,N($N1383)&lt;=0,N($R1383)+N($S1383)&lt;=0),0,1)))))</f>
        <v/>
      </c>
      <c r="AA1383" s="21">
        <f>IF(AND($A1383="",$B1383=""),"",IF($E1383="","Site type missing",IF($H1383="","STATUS missing",IF($H1383="Proposed","STATUS = Proposed",IF($H1383="Not Reported","STATUS = Not Reported",IF(AND($P1383="Y",$Q1383&lt;&gt;"Y"),"UNESCO-MAB Biosphere Reserve",IF(AND($K1383="Point",N($L1383)&lt;=0),"Point without REP_AREA",IF(AND(N($L1383)&lt;=0,N($N1383)&lt;=0,N($R1383)+N($S1383)&lt;=0),"No area information",""))))))))</f>
        <v/>
      </c>
      <c r="AB1383" s="22">
        <f>IF(AND($A1383="",$B1383=""),"",IF($K1383="Point",N($L1383),IF(N($N1383)&gt;0,N($N1383),N($L1383))))</f>
        <v/>
      </c>
      <c r="AC1383" s="22">
        <f>IF(AND($A1383="",$B1383=""),"",MIN(AB1383,IF(N($J1383)=0,0,IF(N($J1383)=2,AB1383,IF(AND($K1383&lt;&gt;"Point",N($O1383)&gt;0),N($O1383),N($M1383))))))</f>
        <v/>
      </c>
      <c r="AD1383" s="22">
        <f>IF(AND($A1383="",$B1383=""),"",MAX(0,AB1383-AC1383))</f>
        <v/>
      </c>
      <c r="AE1383" s="21">
        <f>IF(AND($A1383="",$B1383=""),"",IF(OR($R1383&lt;&gt;"",$S1383&lt;&gt;""),1,0))</f>
        <v/>
      </c>
      <c r="AF1383" s="22">
        <f>IF(AND($A1383="",$B1383=""),"",IF(Z1383=1,IF(AE1383=1,N($R1383),AD1383),0))</f>
        <v/>
      </c>
      <c r="AG1383" s="22">
        <f>IF(AND($A1383="",$B1383=""),"",IF(Z1383=1,IF(AE1383=1,N($S1383),AC1383),0))</f>
        <v/>
      </c>
      <c r="AH1383" s="21">
        <f>IF(AND($A1383="",$B1383=""),"",IF(AND(ISNUMBER($I1383),N($I1383)&gt;0),$I1383,0))</f>
        <v/>
      </c>
      <c r="AI1383" s="23">
        <f>IF(AND(NOT(AND($A1383="",$B1383="")),$K1383="Point",N($L1383)&gt;0),SQRT(N($L1383)/PI()),"")</f>
        <v/>
      </c>
      <c r="AJ1383" s="21">
        <f>IF(AND($A1383="",$B1383=""),"",IFERROR(VLOOKUP($G1383,Lists!$D$4:$E$15,2,FALSE),"Not reported"))</f>
        <v/>
      </c>
      <c r="AK1383" s="21">
        <f>IF(AND($A1383="",$B1383=""),"",IF($X1383&lt;&gt;"",$X1383,IF($T1383&lt;&gt;"Y","Not assessed",IF(AND(ISNUMBER($V1383),Setup!$B$6-$V1383&gt;Setup!$B$26),"Assessment outdated",IF(NOT(ISNUMBER($W1383)),"Assessed – no score",IF($W1383&gt;=Setup!$B$24,"High",IF($W1383&gt;=Setup!$B$25,"Moderate","Low")))))))</f>
        <v/>
      </c>
      <c r="AL1383" s="21">
        <f>IF(AND($A1383="",$B1383=""),"",IF(Z1383=0,"",IF(AND(AE1383=1,N($R1383)&gt;AD1383*1.01+0.001),"Net terrestrial &gt; gross; ","")&amp;IF(AND(AE1383=1,N($S1383)&gt;AC1383*1.01+0.001),"Net marine &gt; gross; ","")&amp;IF(AE1383=0,"No net area – gross used, overlaps may be double-counted; ","")&amp;IF(AH1383=0,"STATUS_YR missing – imputed in time series; ","")&amp;IF(AND(ISNUMBER($I1383),N($I1383)&gt;Setup!$B$6),"STATUS_YR after reporting year; ","")&amp;IF(OR($G1383="",$G1383="Not Reported"),"GOV_TYPE not reported; ","")&amp;IF(AND(N($J1383)=1,$K1383="Point",N($M1383)&lt;=0),"Coastal point without REP_M_AREA – land/sea split unknown; ","")&amp;IF(AND(N($J1383)=0,N($S1383)&gt;0),"MARINE=0 but net marine &gt;0; ","")&amp;IF(AND(N($J1383)=2,N($R1383)&gt;0),"MARINE=2 but net terrestrial &gt;0; ","")&amp;IF($K1383="Point","Buffered point – coverage approximate; ","")))</f>
        <v/>
      </c>
    </row>
    <row r="1384">
      <c r="A1384" s="19" t="n"/>
      <c r="B1384" s="19" t="n"/>
      <c r="C1384" s="19" t="n"/>
      <c r="D1384" s="19" t="n"/>
      <c r="E1384" s="19" t="n"/>
      <c r="F1384" s="19" t="n"/>
      <c r="G1384" s="19" t="n"/>
      <c r="H1384" s="19" t="n"/>
      <c r="I1384" s="19" t="n"/>
      <c r="J1384" s="19" t="n"/>
      <c r="K1384" s="19" t="n"/>
      <c r="L1384" s="20" t="n"/>
      <c r="M1384" s="20" t="n"/>
      <c r="N1384" s="20" t="n"/>
      <c r="O1384" s="20" t="n"/>
      <c r="P1384" s="19" t="n"/>
      <c r="Q1384" s="19" t="n"/>
      <c r="R1384" s="20" t="n"/>
      <c r="S1384" s="20" t="n"/>
      <c r="T1384" s="19" t="n"/>
      <c r="U1384" s="19" t="n"/>
      <c r="V1384" s="19" t="n"/>
      <c r="W1384" s="19" t="n"/>
      <c r="X1384" s="19" t="n"/>
      <c r="Y1384" s="19" t="n"/>
      <c r="Z1384" s="21">
        <f>IF(AND($A1384="",$B1384=""),"",IF(OR($E1384="",$H1384="",$H1384="Proposed",$H1384="Not Reported"),0,IF(AND($P1384="Y",$Q1384&lt;&gt;"Y"),0,IF(AND($K1384="Point",N($L1384)&lt;=0),0,IF(AND(N($L1384)&lt;=0,N($N1384)&lt;=0,N($R1384)+N($S1384)&lt;=0),0,1)))))</f>
        <v/>
      </c>
      <c r="AA1384" s="21">
        <f>IF(AND($A1384="",$B1384=""),"",IF($E1384="","Site type missing",IF($H1384="","STATUS missing",IF($H1384="Proposed","STATUS = Proposed",IF($H1384="Not Reported","STATUS = Not Reported",IF(AND($P1384="Y",$Q1384&lt;&gt;"Y"),"UNESCO-MAB Biosphere Reserve",IF(AND($K1384="Point",N($L1384)&lt;=0),"Point without REP_AREA",IF(AND(N($L1384)&lt;=0,N($N1384)&lt;=0,N($R1384)+N($S1384)&lt;=0),"No area information",""))))))))</f>
        <v/>
      </c>
      <c r="AB1384" s="22">
        <f>IF(AND($A1384="",$B1384=""),"",IF($K1384="Point",N($L1384),IF(N($N1384)&gt;0,N($N1384),N($L1384))))</f>
        <v/>
      </c>
      <c r="AC1384" s="22">
        <f>IF(AND($A1384="",$B1384=""),"",MIN(AB1384,IF(N($J1384)=0,0,IF(N($J1384)=2,AB1384,IF(AND($K1384&lt;&gt;"Point",N($O1384)&gt;0),N($O1384),N($M1384))))))</f>
        <v/>
      </c>
      <c r="AD1384" s="22">
        <f>IF(AND($A1384="",$B1384=""),"",MAX(0,AB1384-AC1384))</f>
        <v/>
      </c>
      <c r="AE1384" s="21">
        <f>IF(AND($A1384="",$B1384=""),"",IF(OR($R1384&lt;&gt;"",$S1384&lt;&gt;""),1,0))</f>
        <v/>
      </c>
      <c r="AF1384" s="22">
        <f>IF(AND($A1384="",$B1384=""),"",IF(Z1384=1,IF(AE1384=1,N($R1384),AD1384),0))</f>
        <v/>
      </c>
      <c r="AG1384" s="22">
        <f>IF(AND($A1384="",$B1384=""),"",IF(Z1384=1,IF(AE1384=1,N($S1384),AC1384),0))</f>
        <v/>
      </c>
      <c r="AH1384" s="21">
        <f>IF(AND($A1384="",$B1384=""),"",IF(AND(ISNUMBER($I1384),N($I1384)&gt;0),$I1384,0))</f>
        <v/>
      </c>
      <c r="AI1384" s="23">
        <f>IF(AND(NOT(AND($A1384="",$B1384="")),$K1384="Point",N($L1384)&gt;0),SQRT(N($L1384)/PI()),"")</f>
        <v/>
      </c>
      <c r="AJ1384" s="21">
        <f>IF(AND($A1384="",$B1384=""),"",IFERROR(VLOOKUP($G1384,Lists!$D$4:$E$15,2,FALSE),"Not reported"))</f>
        <v/>
      </c>
      <c r="AK1384" s="21">
        <f>IF(AND($A1384="",$B1384=""),"",IF($X1384&lt;&gt;"",$X1384,IF($T1384&lt;&gt;"Y","Not assessed",IF(AND(ISNUMBER($V1384),Setup!$B$6-$V1384&gt;Setup!$B$26),"Assessment outdated",IF(NOT(ISNUMBER($W1384)),"Assessed – no score",IF($W1384&gt;=Setup!$B$24,"High",IF($W1384&gt;=Setup!$B$25,"Moderate","Low")))))))</f>
        <v/>
      </c>
      <c r="AL1384" s="21">
        <f>IF(AND($A1384="",$B1384=""),"",IF(Z1384=0,"",IF(AND(AE1384=1,N($R1384)&gt;AD1384*1.01+0.001),"Net terrestrial &gt; gross; ","")&amp;IF(AND(AE1384=1,N($S1384)&gt;AC1384*1.01+0.001),"Net marine &gt; gross; ","")&amp;IF(AE1384=0,"No net area – gross used, overlaps may be double-counted; ","")&amp;IF(AH1384=0,"STATUS_YR missing – imputed in time series; ","")&amp;IF(AND(ISNUMBER($I1384),N($I1384)&gt;Setup!$B$6),"STATUS_YR after reporting year; ","")&amp;IF(OR($G1384="",$G1384="Not Reported"),"GOV_TYPE not reported; ","")&amp;IF(AND(N($J1384)=1,$K1384="Point",N($M1384)&lt;=0),"Coastal point without REP_M_AREA – land/sea split unknown; ","")&amp;IF(AND(N($J1384)=0,N($S1384)&gt;0),"MARINE=0 but net marine &gt;0; ","")&amp;IF(AND(N($J1384)=2,N($R1384)&gt;0),"MARINE=2 but net terrestrial &gt;0; ","")&amp;IF($K1384="Point","Buffered point – coverage approximate; ","")))</f>
        <v/>
      </c>
    </row>
    <row r="1385">
      <c r="A1385" s="19" t="n"/>
      <c r="B1385" s="19" t="n"/>
      <c r="C1385" s="19" t="n"/>
      <c r="D1385" s="19" t="n"/>
      <c r="E1385" s="19" t="n"/>
      <c r="F1385" s="19" t="n"/>
      <c r="G1385" s="19" t="n"/>
      <c r="H1385" s="19" t="n"/>
      <c r="I1385" s="19" t="n"/>
      <c r="J1385" s="19" t="n"/>
      <c r="K1385" s="19" t="n"/>
      <c r="L1385" s="20" t="n"/>
      <c r="M1385" s="20" t="n"/>
      <c r="N1385" s="20" t="n"/>
      <c r="O1385" s="20" t="n"/>
      <c r="P1385" s="19" t="n"/>
      <c r="Q1385" s="19" t="n"/>
      <c r="R1385" s="20" t="n"/>
      <c r="S1385" s="20" t="n"/>
      <c r="T1385" s="19" t="n"/>
      <c r="U1385" s="19" t="n"/>
      <c r="V1385" s="19" t="n"/>
      <c r="W1385" s="19" t="n"/>
      <c r="X1385" s="19" t="n"/>
      <c r="Y1385" s="19" t="n"/>
      <c r="Z1385" s="21">
        <f>IF(AND($A1385="",$B1385=""),"",IF(OR($E1385="",$H1385="",$H1385="Proposed",$H1385="Not Reported"),0,IF(AND($P1385="Y",$Q1385&lt;&gt;"Y"),0,IF(AND($K1385="Point",N($L1385)&lt;=0),0,IF(AND(N($L1385)&lt;=0,N($N1385)&lt;=0,N($R1385)+N($S1385)&lt;=0),0,1)))))</f>
        <v/>
      </c>
      <c r="AA1385" s="21">
        <f>IF(AND($A1385="",$B1385=""),"",IF($E1385="","Site type missing",IF($H1385="","STATUS missing",IF($H1385="Proposed","STATUS = Proposed",IF($H1385="Not Reported","STATUS = Not Reported",IF(AND($P1385="Y",$Q1385&lt;&gt;"Y"),"UNESCO-MAB Biosphere Reserve",IF(AND($K1385="Point",N($L1385)&lt;=0),"Point without REP_AREA",IF(AND(N($L1385)&lt;=0,N($N1385)&lt;=0,N($R1385)+N($S1385)&lt;=0),"No area information",""))))))))</f>
        <v/>
      </c>
      <c r="AB1385" s="22">
        <f>IF(AND($A1385="",$B1385=""),"",IF($K1385="Point",N($L1385),IF(N($N1385)&gt;0,N($N1385),N($L1385))))</f>
        <v/>
      </c>
      <c r="AC1385" s="22">
        <f>IF(AND($A1385="",$B1385=""),"",MIN(AB1385,IF(N($J1385)=0,0,IF(N($J1385)=2,AB1385,IF(AND($K1385&lt;&gt;"Point",N($O1385)&gt;0),N($O1385),N($M1385))))))</f>
        <v/>
      </c>
      <c r="AD1385" s="22">
        <f>IF(AND($A1385="",$B1385=""),"",MAX(0,AB1385-AC1385))</f>
        <v/>
      </c>
      <c r="AE1385" s="21">
        <f>IF(AND($A1385="",$B1385=""),"",IF(OR($R1385&lt;&gt;"",$S1385&lt;&gt;""),1,0))</f>
        <v/>
      </c>
      <c r="AF1385" s="22">
        <f>IF(AND($A1385="",$B1385=""),"",IF(Z1385=1,IF(AE1385=1,N($R1385),AD1385),0))</f>
        <v/>
      </c>
      <c r="AG1385" s="22">
        <f>IF(AND($A1385="",$B1385=""),"",IF(Z1385=1,IF(AE1385=1,N($S1385),AC1385),0))</f>
        <v/>
      </c>
      <c r="AH1385" s="21">
        <f>IF(AND($A1385="",$B1385=""),"",IF(AND(ISNUMBER($I1385),N($I1385)&gt;0),$I1385,0))</f>
        <v/>
      </c>
      <c r="AI1385" s="23">
        <f>IF(AND(NOT(AND($A1385="",$B1385="")),$K1385="Point",N($L1385)&gt;0),SQRT(N($L1385)/PI()),"")</f>
        <v/>
      </c>
      <c r="AJ1385" s="21">
        <f>IF(AND($A1385="",$B1385=""),"",IFERROR(VLOOKUP($G1385,Lists!$D$4:$E$15,2,FALSE),"Not reported"))</f>
        <v/>
      </c>
      <c r="AK1385" s="21">
        <f>IF(AND($A1385="",$B1385=""),"",IF($X1385&lt;&gt;"",$X1385,IF($T1385&lt;&gt;"Y","Not assessed",IF(AND(ISNUMBER($V1385),Setup!$B$6-$V1385&gt;Setup!$B$26),"Assessment outdated",IF(NOT(ISNUMBER($W1385)),"Assessed – no score",IF($W1385&gt;=Setup!$B$24,"High",IF($W1385&gt;=Setup!$B$25,"Moderate","Low")))))))</f>
        <v/>
      </c>
      <c r="AL1385" s="21">
        <f>IF(AND($A1385="",$B1385=""),"",IF(Z1385=0,"",IF(AND(AE1385=1,N($R1385)&gt;AD1385*1.01+0.001),"Net terrestrial &gt; gross; ","")&amp;IF(AND(AE1385=1,N($S1385)&gt;AC1385*1.01+0.001),"Net marine &gt; gross; ","")&amp;IF(AE1385=0,"No net area – gross used, overlaps may be double-counted; ","")&amp;IF(AH1385=0,"STATUS_YR missing – imputed in time series; ","")&amp;IF(AND(ISNUMBER($I1385),N($I1385)&gt;Setup!$B$6),"STATUS_YR after reporting year; ","")&amp;IF(OR($G1385="",$G1385="Not Reported"),"GOV_TYPE not reported; ","")&amp;IF(AND(N($J1385)=1,$K1385="Point",N($M1385)&lt;=0),"Coastal point without REP_M_AREA – land/sea split unknown; ","")&amp;IF(AND(N($J1385)=0,N($S1385)&gt;0),"MARINE=0 but net marine &gt;0; ","")&amp;IF(AND(N($J1385)=2,N($R1385)&gt;0),"MARINE=2 but net terrestrial &gt;0; ","")&amp;IF($K1385="Point","Buffered point – coverage approximate; ","")))</f>
        <v/>
      </c>
    </row>
    <row r="1386">
      <c r="A1386" s="19" t="n"/>
      <c r="B1386" s="19" t="n"/>
      <c r="C1386" s="19" t="n"/>
      <c r="D1386" s="19" t="n"/>
      <c r="E1386" s="19" t="n"/>
      <c r="F1386" s="19" t="n"/>
      <c r="G1386" s="19" t="n"/>
      <c r="H1386" s="19" t="n"/>
      <c r="I1386" s="19" t="n"/>
      <c r="J1386" s="19" t="n"/>
      <c r="K1386" s="19" t="n"/>
      <c r="L1386" s="20" t="n"/>
      <c r="M1386" s="20" t="n"/>
      <c r="N1386" s="20" t="n"/>
      <c r="O1386" s="20" t="n"/>
      <c r="P1386" s="19" t="n"/>
      <c r="Q1386" s="19" t="n"/>
      <c r="R1386" s="20" t="n"/>
      <c r="S1386" s="20" t="n"/>
      <c r="T1386" s="19" t="n"/>
      <c r="U1386" s="19" t="n"/>
      <c r="V1386" s="19" t="n"/>
      <c r="W1386" s="19" t="n"/>
      <c r="X1386" s="19" t="n"/>
      <c r="Y1386" s="19" t="n"/>
      <c r="Z1386" s="21">
        <f>IF(AND($A1386="",$B1386=""),"",IF(OR($E1386="",$H1386="",$H1386="Proposed",$H1386="Not Reported"),0,IF(AND($P1386="Y",$Q1386&lt;&gt;"Y"),0,IF(AND($K1386="Point",N($L1386)&lt;=0),0,IF(AND(N($L1386)&lt;=0,N($N1386)&lt;=0,N($R1386)+N($S1386)&lt;=0),0,1)))))</f>
        <v/>
      </c>
      <c r="AA1386" s="21">
        <f>IF(AND($A1386="",$B1386=""),"",IF($E1386="","Site type missing",IF($H1386="","STATUS missing",IF($H1386="Proposed","STATUS = Proposed",IF($H1386="Not Reported","STATUS = Not Reported",IF(AND($P1386="Y",$Q1386&lt;&gt;"Y"),"UNESCO-MAB Biosphere Reserve",IF(AND($K1386="Point",N($L1386)&lt;=0),"Point without REP_AREA",IF(AND(N($L1386)&lt;=0,N($N1386)&lt;=0,N($R1386)+N($S1386)&lt;=0),"No area information",""))))))))</f>
        <v/>
      </c>
      <c r="AB1386" s="22">
        <f>IF(AND($A1386="",$B1386=""),"",IF($K1386="Point",N($L1386),IF(N($N1386)&gt;0,N($N1386),N($L1386))))</f>
        <v/>
      </c>
      <c r="AC1386" s="22">
        <f>IF(AND($A1386="",$B1386=""),"",MIN(AB1386,IF(N($J1386)=0,0,IF(N($J1386)=2,AB1386,IF(AND($K1386&lt;&gt;"Point",N($O1386)&gt;0),N($O1386),N($M1386))))))</f>
        <v/>
      </c>
      <c r="AD1386" s="22">
        <f>IF(AND($A1386="",$B1386=""),"",MAX(0,AB1386-AC1386))</f>
        <v/>
      </c>
      <c r="AE1386" s="21">
        <f>IF(AND($A1386="",$B1386=""),"",IF(OR($R1386&lt;&gt;"",$S1386&lt;&gt;""),1,0))</f>
        <v/>
      </c>
      <c r="AF1386" s="22">
        <f>IF(AND($A1386="",$B1386=""),"",IF(Z1386=1,IF(AE1386=1,N($R1386),AD1386),0))</f>
        <v/>
      </c>
      <c r="AG1386" s="22">
        <f>IF(AND($A1386="",$B1386=""),"",IF(Z1386=1,IF(AE1386=1,N($S1386),AC1386),0))</f>
        <v/>
      </c>
      <c r="AH1386" s="21">
        <f>IF(AND($A1386="",$B1386=""),"",IF(AND(ISNUMBER($I1386),N($I1386)&gt;0),$I1386,0))</f>
        <v/>
      </c>
      <c r="AI1386" s="23">
        <f>IF(AND(NOT(AND($A1386="",$B1386="")),$K1386="Point",N($L1386)&gt;0),SQRT(N($L1386)/PI()),"")</f>
        <v/>
      </c>
      <c r="AJ1386" s="21">
        <f>IF(AND($A1386="",$B1386=""),"",IFERROR(VLOOKUP($G1386,Lists!$D$4:$E$15,2,FALSE),"Not reported"))</f>
        <v/>
      </c>
      <c r="AK1386" s="21">
        <f>IF(AND($A1386="",$B1386=""),"",IF($X1386&lt;&gt;"",$X1386,IF($T1386&lt;&gt;"Y","Not assessed",IF(AND(ISNUMBER($V1386),Setup!$B$6-$V1386&gt;Setup!$B$26),"Assessment outdated",IF(NOT(ISNUMBER($W1386)),"Assessed – no score",IF($W1386&gt;=Setup!$B$24,"High",IF($W1386&gt;=Setup!$B$25,"Moderate","Low")))))))</f>
        <v/>
      </c>
      <c r="AL1386" s="21">
        <f>IF(AND($A1386="",$B1386=""),"",IF(Z1386=0,"",IF(AND(AE1386=1,N($R1386)&gt;AD1386*1.01+0.001),"Net terrestrial &gt; gross; ","")&amp;IF(AND(AE1386=1,N($S1386)&gt;AC1386*1.01+0.001),"Net marine &gt; gross; ","")&amp;IF(AE1386=0,"No net area – gross used, overlaps may be double-counted; ","")&amp;IF(AH1386=0,"STATUS_YR missing – imputed in time series; ","")&amp;IF(AND(ISNUMBER($I1386),N($I1386)&gt;Setup!$B$6),"STATUS_YR after reporting year; ","")&amp;IF(OR($G1386="",$G1386="Not Reported"),"GOV_TYPE not reported; ","")&amp;IF(AND(N($J1386)=1,$K1386="Point",N($M1386)&lt;=0),"Coastal point without REP_M_AREA – land/sea split unknown; ","")&amp;IF(AND(N($J1386)=0,N($S1386)&gt;0),"MARINE=0 but net marine &gt;0; ","")&amp;IF(AND(N($J1386)=2,N($R1386)&gt;0),"MARINE=2 but net terrestrial &gt;0; ","")&amp;IF($K1386="Point","Buffered point – coverage approximate; ","")))</f>
        <v/>
      </c>
    </row>
    <row r="1387">
      <c r="A1387" s="19" t="n"/>
      <c r="B1387" s="19" t="n"/>
      <c r="C1387" s="19" t="n"/>
      <c r="D1387" s="19" t="n"/>
      <c r="E1387" s="19" t="n"/>
      <c r="F1387" s="19" t="n"/>
      <c r="G1387" s="19" t="n"/>
      <c r="H1387" s="19" t="n"/>
      <c r="I1387" s="19" t="n"/>
      <c r="J1387" s="19" t="n"/>
      <c r="K1387" s="19" t="n"/>
      <c r="L1387" s="20" t="n"/>
      <c r="M1387" s="20" t="n"/>
      <c r="N1387" s="20" t="n"/>
      <c r="O1387" s="20" t="n"/>
      <c r="P1387" s="19" t="n"/>
      <c r="Q1387" s="19" t="n"/>
      <c r="R1387" s="20" t="n"/>
      <c r="S1387" s="20" t="n"/>
      <c r="T1387" s="19" t="n"/>
      <c r="U1387" s="19" t="n"/>
      <c r="V1387" s="19" t="n"/>
      <c r="W1387" s="19" t="n"/>
      <c r="X1387" s="19" t="n"/>
      <c r="Y1387" s="19" t="n"/>
      <c r="Z1387" s="21">
        <f>IF(AND($A1387="",$B1387=""),"",IF(OR($E1387="",$H1387="",$H1387="Proposed",$H1387="Not Reported"),0,IF(AND($P1387="Y",$Q1387&lt;&gt;"Y"),0,IF(AND($K1387="Point",N($L1387)&lt;=0),0,IF(AND(N($L1387)&lt;=0,N($N1387)&lt;=0,N($R1387)+N($S1387)&lt;=0),0,1)))))</f>
        <v/>
      </c>
      <c r="AA1387" s="21">
        <f>IF(AND($A1387="",$B1387=""),"",IF($E1387="","Site type missing",IF($H1387="","STATUS missing",IF($H1387="Proposed","STATUS = Proposed",IF($H1387="Not Reported","STATUS = Not Reported",IF(AND($P1387="Y",$Q1387&lt;&gt;"Y"),"UNESCO-MAB Biosphere Reserve",IF(AND($K1387="Point",N($L1387)&lt;=0),"Point without REP_AREA",IF(AND(N($L1387)&lt;=0,N($N1387)&lt;=0,N($R1387)+N($S1387)&lt;=0),"No area information",""))))))))</f>
        <v/>
      </c>
      <c r="AB1387" s="22">
        <f>IF(AND($A1387="",$B1387=""),"",IF($K1387="Point",N($L1387),IF(N($N1387)&gt;0,N($N1387),N($L1387))))</f>
        <v/>
      </c>
      <c r="AC1387" s="22">
        <f>IF(AND($A1387="",$B1387=""),"",MIN(AB1387,IF(N($J1387)=0,0,IF(N($J1387)=2,AB1387,IF(AND($K1387&lt;&gt;"Point",N($O1387)&gt;0),N($O1387),N($M1387))))))</f>
        <v/>
      </c>
      <c r="AD1387" s="22">
        <f>IF(AND($A1387="",$B1387=""),"",MAX(0,AB1387-AC1387))</f>
        <v/>
      </c>
      <c r="AE1387" s="21">
        <f>IF(AND($A1387="",$B1387=""),"",IF(OR($R1387&lt;&gt;"",$S1387&lt;&gt;""),1,0))</f>
        <v/>
      </c>
      <c r="AF1387" s="22">
        <f>IF(AND($A1387="",$B1387=""),"",IF(Z1387=1,IF(AE1387=1,N($R1387),AD1387),0))</f>
        <v/>
      </c>
      <c r="AG1387" s="22">
        <f>IF(AND($A1387="",$B1387=""),"",IF(Z1387=1,IF(AE1387=1,N($S1387),AC1387),0))</f>
        <v/>
      </c>
      <c r="AH1387" s="21">
        <f>IF(AND($A1387="",$B1387=""),"",IF(AND(ISNUMBER($I1387),N($I1387)&gt;0),$I1387,0))</f>
        <v/>
      </c>
      <c r="AI1387" s="23">
        <f>IF(AND(NOT(AND($A1387="",$B1387="")),$K1387="Point",N($L1387)&gt;0),SQRT(N($L1387)/PI()),"")</f>
        <v/>
      </c>
      <c r="AJ1387" s="21">
        <f>IF(AND($A1387="",$B1387=""),"",IFERROR(VLOOKUP($G1387,Lists!$D$4:$E$15,2,FALSE),"Not reported"))</f>
        <v/>
      </c>
      <c r="AK1387" s="21">
        <f>IF(AND($A1387="",$B1387=""),"",IF($X1387&lt;&gt;"",$X1387,IF($T1387&lt;&gt;"Y","Not assessed",IF(AND(ISNUMBER($V1387),Setup!$B$6-$V1387&gt;Setup!$B$26),"Assessment outdated",IF(NOT(ISNUMBER($W1387)),"Assessed – no score",IF($W1387&gt;=Setup!$B$24,"High",IF($W1387&gt;=Setup!$B$25,"Moderate","Low")))))))</f>
        <v/>
      </c>
      <c r="AL1387" s="21">
        <f>IF(AND($A1387="",$B1387=""),"",IF(Z1387=0,"",IF(AND(AE1387=1,N($R1387)&gt;AD1387*1.01+0.001),"Net terrestrial &gt; gross; ","")&amp;IF(AND(AE1387=1,N($S1387)&gt;AC1387*1.01+0.001),"Net marine &gt; gross; ","")&amp;IF(AE1387=0,"No net area – gross used, overlaps may be double-counted; ","")&amp;IF(AH1387=0,"STATUS_YR missing – imputed in time series; ","")&amp;IF(AND(ISNUMBER($I1387),N($I1387)&gt;Setup!$B$6),"STATUS_YR after reporting year; ","")&amp;IF(OR($G1387="",$G1387="Not Reported"),"GOV_TYPE not reported; ","")&amp;IF(AND(N($J1387)=1,$K1387="Point",N($M1387)&lt;=0),"Coastal point without REP_M_AREA – land/sea split unknown; ","")&amp;IF(AND(N($J1387)=0,N($S1387)&gt;0),"MARINE=0 but net marine &gt;0; ","")&amp;IF(AND(N($J1387)=2,N($R1387)&gt;0),"MARINE=2 but net terrestrial &gt;0; ","")&amp;IF($K1387="Point","Buffered point – coverage approximate; ","")))</f>
        <v/>
      </c>
    </row>
    <row r="1388">
      <c r="A1388" s="19" t="n"/>
      <c r="B1388" s="19" t="n"/>
      <c r="C1388" s="19" t="n"/>
      <c r="D1388" s="19" t="n"/>
      <c r="E1388" s="19" t="n"/>
      <c r="F1388" s="19" t="n"/>
      <c r="G1388" s="19" t="n"/>
      <c r="H1388" s="19" t="n"/>
      <c r="I1388" s="19" t="n"/>
      <c r="J1388" s="19" t="n"/>
      <c r="K1388" s="19" t="n"/>
      <c r="L1388" s="20" t="n"/>
      <c r="M1388" s="20" t="n"/>
      <c r="N1388" s="20" t="n"/>
      <c r="O1388" s="20" t="n"/>
      <c r="P1388" s="19" t="n"/>
      <c r="Q1388" s="19" t="n"/>
      <c r="R1388" s="20" t="n"/>
      <c r="S1388" s="20" t="n"/>
      <c r="T1388" s="19" t="n"/>
      <c r="U1388" s="19" t="n"/>
      <c r="V1388" s="19" t="n"/>
      <c r="W1388" s="19" t="n"/>
      <c r="X1388" s="19" t="n"/>
      <c r="Y1388" s="19" t="n"/>
      <c r="Z1388" s="21">
        <f>IF(AND($A1388="",$B1388=""),"",IF(OR($E1388="",$H1388="",$H1388="Proposed",$H1388="Not Reported"),0,IF(AND($P1388="Y",$Q1388&lt;&gt;"Y"),0,IF(AND($K1388="Point",N($L1388)&lt;=0),0,IF(AND(N($L1388)&lt;=0,N($N1388)&lt;=0,N($R1388)+N($S1388)&lt;=0),0,1)))))</f>
        <v/>
      </c>
      <c r="AA1388" s="21">
        <f>IF(AND($A1388="",$B1388=""),"",IF($E1388="","Site type missing",IF($H1388="","STATUS missing",IF($H1388="Proposed","STATUS = Proposed",IF($H1388="Not Reported","STATUS = Not Reported",IF(AND($P1388="Y",$Q1388&lt;&gt;"Y"),"UNESCO-MAB Biosphere Reserve",IF(AND($K1388="Point",N($L1388)&lt;=0),"Point without REP_AREA",IF(AND(N($L1388)&lt;=0,N($N1388)&lt;=0,N($R1388)+N($S1388)&lt;=0),"No area information",""))))))))</f>
        <v/>
      </c>
      <c r="AB1388" s="22">
        <f>IF(AND($A1388="",$B1388=""),"",IF($K1388="Point",N($L1388),IF(N($N1388)&gt;0,N($N1388),N($L1388))))</f>
        <v/>
      </c>
      <c r="AC1388" s="22">
        <f>IF(AND($A1388="",$B1388=""),"",MIN(AB1388,IF(N($J1388)=0,0,IF(N($J1388)=2,AB1388,IF(AND($K1388&lt;&gt;"Point",N($O1388)&gt;0),N($O1388),N($M1388))))))</f>
        <v/>
      </c>
      <c r="AD1388" s="22">
        <f>IF(AND($A1388="",$B1388=""),"",MAX(0,AB1388-AC1388))</f>
        <v/>
      </c>
      <c r="AE1388" s="21">
        <f>IF(AND($A1388="",$B1388=""),"",IF(OR($R1388&lt;&gt;"",$S1388&lt;&gt;""),1,0))</f>
        <v/>
      </c>
      <c r="AF1388" s="22">
        <f>IF(AND($A1388="",$B1388=""),"",IF(Z1388=1,IF(AE1388=1,N($R1388),AD1388),0))</f>
        <v/>
      </c>
      <c r="AG1388" s="22">
        <f>IF(AND($A1388="",$B1388=""),"",IF(Z1388=1,IF(AE1388=1,N($S1388),AC1388),0))</f>
        <v/>
      </c>
      <c r="AH1388" s="21">
        <f>IF(AND($A1388="",$B1388=""),"",IF(AND(ISNUMBER($I1388),N($I1388)&gt;0),$I1388,0))</f>
        <v/>
      </c>
      <c r="AI1388" s="23">
        <f>IF(AND(NOT(AND($A1388="",$B1388="")),$K1388="Point",N($L1388)&gt;0),SQRT(N($L1388)/PI()),"")</f>
        <v/>
      </c>
      <c r="AJ1388" s="21">
        <f>IF(AND($A1388="",$B1388=""),"",IFERROR(VLOOKUP($G1388,Lists!$D$4:$E$15,2,FALSE),"Not reported"))</f>
        <v/>
      </c>
      <c r="AK1388" s="21">
        <f>IF(AND($A1388="",$B1388=""),"",IF($X1388&lt;&gt;"",$X1388,IF($T1388&lt;&gt;"Y","Not assessed",IF(AND(ISNUMBER($V1388),Setup!$B$6-$V1388&gt;Setup!$B$26),"Assessment outdated",IF(NOT(ISNUMBER($W1388)),"Assessed – no score",IF($W1388&gt;=Setup!$B$24,"High",IF($W1388&gt;=Setup!$B$25,"Moderate","Low")))))))</f>
        <v/>
      </c>
      <c r="AL1388" s="21">
        <f>IF(AND($A1388="",$B1388=""),"",IF(Z1388=0,"",IF(AND(AE1388=1,N($R1388)&gt;AD1388*1.01+0.001),"Net terrestrial &gt; gross; ","")&amp;IF(AND(AE1388=1,N($S1388)&gt;AC1388*1.01+0.001),"Net marine &gt; gross; ","")&amp;IF(AE1388=0,"No net area – gross used, overlaps may be double-counted; ","")&amp;IF(AH1388=0,"STATUS_YR missing – imputed in time series; ","")&amp;IF(AND(ISNUMBER($I1388),N($I1388)&gt;Setup!$B$6),"STATUS_YR after reporting year; ","")&amp;IF(OR($G1388="",$G1388="Not Reported"),"GOV_TYPE not reported; ","")&amp;IF(AND(N($J1388)=1,$K1388="Point",N($M1388)&lt;=0),"Coastal point without REP_M_AREA – land/sea split unknown; ","")&amp;IF(AND(N($J1388)=0,N($S1388)&gt;0),"MARINE=0 but net marine &gt;0; ","")&amp;IF(AND(N($J1388)=2,N($R1388)&gt;0),"MARINE=2 but net terrestrial &gt;0; ","")&amp;IF($K1388="Point","Buffered point – coverage approximate; ","")))</f>
        <v/>
      </c>
    </row>
    <row r="1389">
      <c r="A1389" s="19" t="n"/>
      <c r="B1389" s="19" t="n"/>
      <c r="C1389" s="19" t="n"/>
      <c r="D1389" s="19" t="n"/>
      <c r="E1389" s="19" t="n"/>
      <c r="F1389" s="19" t="n"/>
      <c r="G1389" s="19" t="n"/>
      <c r="H1389" s="19" t="n"/>
      <c r="I1389" s="19" t="n"/>
      <c r="J1389" s="19" t="n"/>
      <c r="K1389" s="19" t="n"/>
      <c r="L1389" s="20" t="n"/>
      <c r="M1389" s="20" t="n"/>
      <c r="N1389" s="20" t="n"/>
      <c r="O1389" s="20" t="n"/>
      <c r="P1389" s="19" t="n"/>
      <c r="Q1389" s="19" t="n"/>
      <c r="R1389" s="20" t="n"/>
      <c r="S1389" s="20" t="n"/>
      <c r="T1389" s="19" t="n"/>
      <c r="U1389" s="19" t="n"/>
      <c r="V1389" s="19" t="n"/>
      <c r="W1389" s="19" t="n"/>
      <c r="X1389" s="19" t="n"/>
      <c r="Y1389" s="19" t="n"/>
      <c r="Z1389" s="21">
        <f>IF(AND($A1389="",$B1389=""),"",IF(OR($E1389="",$H1389="",$H1389="Proposed",$H1389="Not Reported"),0,IF(AND($P1389="Y",$Q1389&lt;&gt;"Y"),0,IF(AND($K1389="Point",N($L1389)&lt;=0),0,IF(AND(N($L1389)&lt;=0,N($N1389)&lt;=0,N($R1389)+N($S1389)&lt;=0),0,1)))))</f>
        <v/>
      </c>
      <c r="AA1389" s="21">
        <f>IF(AND($A1389="",$B1389=""),"",IF($E1389="","Site type missing",IF($H1389="","STATUS missing",IF($H1389="Proposed","STATUS = Proposed",IF($H1389="Not Reported","STATUS = Not Reported",IF(AND($P1389="Y",$Q1389&lt;&gt;"Y"),"UNESCO-MAB Biosphere Reserve",IF(AND($K1389="Point",N($L1389)&lt;=0),"Point without REP_AREA",IF(AND(N($L1389)&lt;=0,N($N1389)&lt;=0,N($R1389)+N($S1389)&lt;=0),"No area information",""))))))))</f>
        <v/>
      </c>
      <c r="AB1389" s="22">
        <f>IF(AND($A1389="",$B1389=""),"",IF($K1389="Point",N($L1389),IF(N($N1389)&gt;0,N($N1389),N($L1389))))</f>
        <v/>
      </c>
      <c r="AC1389" s="22">
        <f>IF(AND($A1389="",$B1389=""),"",MIN(AB1389,IF(N($J1389)=0,0,IF(N($J1389)=2,AB1389,IF(AND($K1389&lt;&gt;"Point",N($O1389)&gt;0),N($O1389),N($M1389))))))</f>
        <v/>
      </c>
      <c r="AD1389" s="22">
        <f>IF(AND($A1389="",$B1389=""),"",MAX(0,AB1389-AC1389))</f>
        <v/>
      </c>
      <c r="AE1389" s="21">
        <f>IF(AND($A1389="",$B1389=""),"",IF(OR($R1389&lt;&gt;"",$S1389&lt;&gt;""),1,0))</f>
        <v/>
      </c>
      <c r="AF1389" s="22">
        <f>IF(AND($A1389="",$B1389=""),"",IF(Z1389=1,IF(AE1389=1,N($R1389),AD1389),0))</f>
        <v/>
      </c>
      <c r="AG1389" s="22">
        <f>IF(AND($A1389="",$B1389=""),"",IF(Z1389=1,IF(AE1389=1,N($S1389),AC1389),0))</f>
        <v/>
      </c>
      <c r="AH1389" s="21">
        <f>IF(AND($A1389="",$B1389=""),"",IF(AND(ISNUMBER($I1389),N($I1389)&gt;0),$I1389,0))</f>
        <v/>
      </c>
      <c r="AI1389" s="23">
        <f>IF(AND(NOT(AND($A1389="",$B1389="")),$K1389="Point",N($L1389)&gt;0),SQRT(N($L1389)/PI()),"")</f>
        <v/>
      </c>
      <c r="AJ1389" s="21">
        <f>IF(AND($A1389="",$B1389=""),"",IFERROR(VLOOKUP($G1389,Lists!$D$4:$E$15,2,FALSE),"Not reported"))</f>
        <v/>
      </c>
      <c r="AK1389" s="21">
        <f>IF(AND($A1389="",$B1389=""),"",IF($X1389&lt;&gt;"",$X1389,IF($T1389&lt;&gt;"Y","Not assessed",IF(AND(ISNUMBER($V1389),Setup!$B$6-$V1389&gt;Setup!$B$26),"Assessment outdated",IF(NOT(ISNUMBER($W1389)),"Assessed – no score",IF($W1389&gt;=Setup!$B$24,"High",IF($W1389&gt;=Setup!$B$25,"Moderate","Low")))))))</f>
        <v/>
      </c>
      <c r="AL1389" s="21">
        <f>IF(AND($A1389="",$B1389=""),"",IF(Z1389=0,"",IF(AND(AE1389=1,N($R1389)&gt;AD1389*1.01+0.001),"Net terrestrial &gt; gross; ","")&amp;IF(AND(AE1389=1,N($S1389)&gt;AC1389*1.01+0.001),"Net marine &gt; gross; ","")&amp;IF(AE1389=0,"No net area – gross used, overlaps may be double-counted; ","")&amp;IF(AH1389=0,"STATUS_YR missing – imputed in time series; ","")&amp;IF(AND(ISNUMBER($I1389),N($I1389)&gt;Setup!$B$6),"STATUS_YR after reporting year; ","")&amp;IF(OR($G1389="",$G1389="Not Reported"),"GOV_TYPE not reported; ","")&amp;IF(AND(N($J1389)=1,$K1389="Point",N($M1389)&lt;=0),"Coastal point without REP_M_AREA – land/sea split unknown; ","")&amp;IF(AND(N($J1389)=0,N($S1389)&gt;0),"MARINE=0 but net marine &gt;0; ","")&amp;IF(AND(N($J1389)=2,N($R1389)&gt;0),"MARINE=2 but net terrestrial &gt;0; ","")&amp;IF($K1389="Point","Buffered point – coverage approximate; ","")))</f>
        <v/>
      </c>
    </row>
    <row r="1390">
      <c r="A1390" s="19" t="n"/>
      <c r="B1390" s="19" t="n"/>
      <c r="C1390" s="19" t="n"/>
      <c r="D1390" s="19" t="n"/>
      <c r="E1390" s="19" t="n"/>
      <c r="F1390" s="19" t="n"/>
      <c r="G1390" s="19" t="n"/>
      <c r="H1390" s="19" t="n"/>
      <c r="I1390" s="19" t="n"/>
      <c r="J1390" s="19" t="n"/>
      <c r="K1390" s="19" t="n"/>
      <c r="L1390" s="20" t="n"/>
      <c r="M1390" s="20" t="n"/>
      <c r="N1390" s="20" t="n"/>
      <c r="O1390" s="20" t="n"/>
      <c r="P1390" s="19" t="n"/>
      <c r="Q1390" s="19" t="n"/>
      <c r="R1390" s="20" t="n"/>
      <c r="S1390" s="20" t="n"/>
      <c r="T1390" s="19" t="n"/>
      <c r="U1390" s="19" t="n"/>
      <c r="V1390" s="19" t="n"/>
      <c r="W1390" s="19" t="n"/>
      <c r="X1390" s="19" t="n"/>
      <c r="Y1390" s="19" t="n"/>
      <c r="Z1390" s="21">
        <f>IF(AND($A1390="",$B1390=""),"",IF(OR($E1390="",$H1390="",$H1390="Proposed",$H1390="Not Reported"),0,IF(AND($P1390="Y",$Q1390&lt;&gt;"Y"),0,IF(AND($K1390="Point",N($L1390)&lt;=0),0,IF(AND(N($L1390)&lt;=0,N($N1390)&lt;=0,N($R1390)+N($S1390)&lt;=0),0,1)))))</f>
        <v/>
      </c>
      <c r="AA1390" s="21">
        <f>IF(AND($A1390="",$B1390=""),"",IF($E1390="","Site type missing",IF($H1390="","STATUS missing",IF($H1390="Proposed","STATUS = Proposed",IF($H1390="Not Reported","STATUS = Not Reported",IF(AND($P1390="Y",$Q1390&lt;&gt;"Y"),"UNESCO-MAB Biosphere Reserve",IF(AND($K1390="Point",N($L1390)&lt;=0),"Point without REP_AREA",IF(AND(N($L1390)&lt;=0,N($N1390)&lt;=0,N($R1390)+N($S1390)&lt;=0),"No area information",""))))))))</f>
        <v/>
      </c>
      <c r="AB1390" s="22">
        <f>IF(AND($A1390="",$B1390=""),"",IF($K1390="Point",N($L1390),IF(N($N1390)&gt;0,N($N1390),N($L1390))))</f>
        <v/>
      </c>
      <c r="AC1390" s="22">
        <f>IF(AND($A1390="",$B1390=""),"",MIN(AB1390,IF(N($J1390)=0,0,IF(N($J1390)=2,AB1390,IF(AND($K1390&lt;&gt;"Point",N($O1390)&gt;0),N($O1390),N($M1390))))))</f>
        <v/>
      </c>
      <c r="AD1390" s="22">
        <f>IF(AND($A1390="",$B1390=""),"",MAX(0,AB1390-AC1390))</f>
        <v/>
      </c>
      <c r="AE1390" s="21">
        <f>IF(AND($A1390="",$B1390=""),"",IF(OR($R1390&lt;&gt;"",$S1390&lt;&gt;""),1,0))</f>
        <v/>
      </c>
      <c r="AF1390" s="22">
        <f>IF(AND($A1390="",$B1390=""),"",IF(Z1390=1,IF(AE1390=1,N($R1390),AD1390),0))</f>
        <v/>
      </c>
      <c r="AG1390" s="22">
        <f>IF(AND($A1390="",$B1390=""),"",IF(Z1390=1,IF(AE1390=1,N($S1390),AC1390),0))</f>
        <v/>
      </c>
      <c r="AH1390" s="21">
        <f>IF(AND($A1390="",$B1390=""),"",IF(AND(ISNUMBER($I1390),N($I1390)&gt;0),$I1390,0))</f>
        <v/>
      </c>
      <c r="AI1390" s="23">
        <f>IF(AND(NOT(AND($A1390="",$B1390="")),$K1390="Point",N($L1390)&gt;0),SQRT(N($L1390)/PI()),"")</f>
        <v/>
      </c>
      <c r="AJ1390" s="21">
        <f>IF(AND($A1390="",$B1390=""),"",IFERROR(VLOOKUP($G1390,Lists!$D$4:$E$15,2,FALSE),"Not reported"))</f>
        <v/>
      </c>
      <c r="AK1390" s="21">
        <f>IF(AND($A1390="",$B1390=""),"",IF($X1390&lt;&gt;"",$X1390,IF($T1390&lt;&gt;"Y","Not assessed",IF(AND(ISNUMBER($V1390),Setup!$B$6-$V1390&gt;Setup!$B$26),"Assessment outdated",IF(NOT(ISNUMBER($W1390)),"Assessed – no score",IF($W1390&gt;=Setup!$B$24,"High",IF($W1390&gt;=Setup!$B$25,"Moderate","Low")))))))</f>
        <v/>
      </c>
      <c r="AL1390" s="21">
        <f>IF(AND($A1390="",$B1390=""),"",IF(Z1390=0,"",IF(AND(AE1390=1,N($R1390)&gt;AD1390*1.01+0.001),"Net terrestrial &gt; gross; ","")&amp;IF(AND(AE1390=1,N($S1390)&gt;AC1390*1.01+0.001),"Net marine &gt; gross; ","")&amp;IF(AE1390=0,"No net area – gross used, overlaps may be double-counted; ","")&amp;IF(AH1390=0,"STATUS_YR missing – imputed in time series; ","")&amp;IF(AND(ISNUMBER($I1390),N($I1390)&gt;Setup!$B$6),"STATUS_YR after reporting year; ","")&amp;IF(OR($G1390="",$G1390="Not Reported"),"GOV_TYPE not reported; ","")&amp;IF(AND(N($J1390)=1,$K1390="Point",N($M1390)&lt;=0),"Coastal point without REP_M_AREA – land/sea split unknown; ","")&amp;IF(AND(N($J1390)=0,N($S1390)&gt;0),"MARINE=0 but net marine &gt;0; ","")&amp;IF(AND(N($J1390)=2,N($R1390)&gt;0),"MARINE=2 but net terrestrial &gt;0; ","")&amp;IF($K1390="Point","Buffered point – coverage approximate; ","")))</f>
        <v/>
      </c>
    </row>
    <row r="1391">
      <c r="A1391" s="19" t="n"/>
      <c r="B1391" s="19" t="n"/>
      <c r="C1391" s="19" t="n"/>
      <c r="D1391" s="19" t="n"/>
      <c r="E1391" s="19" t="n"/>
      <c r="F1391" s="19" t="n"/>
      <c r="G1391" s="19" t="n"/>
      <c r="H1391" s="19" t="n"/>
      <c r="I1391" s="19" t="n"/>
      <c r="J1391" s="19" t="n"/>
      <c r="K1391" s="19" t="n"/>
      <c r="L1391" s="20" t="n"/>
      <c r="M1391" s="20" t="n"/>
      <c r="N1391" s="20" t="n"/>
      <c r="O1391" s="20" t="n"/>
      <c r="P1391" s="19" t="n"/>
      <c r="Q1391" s="19" t="n"/>
      <c r="R1391" s="20" t="n"/>
      <c r="S1391" s="20" t="n"/>
      <c r="T1391" s="19" t="n"/>
      <c r="U1391" s="19" t="n"/>
      <c r="V1391" s="19" t="n"/>
      <c r="W1391" s="19" t="n"/>
      <c r="X1391" s="19" t="n"/>
      <c r="Y1391" s="19" t="n"/>
      <c r="Z1391" s="21">
        <f>IF(AND($A1391="",$B1391=""),"",IF(OR($E1391="",$H1391="",$H1391="Proposed",$H1391="Not Reported"),0,IF(AND($P1391="Y",$Q1391&lt;&gt;"Y"),0,IF(AND($K1391="Point",N($L1391)&lt;=0),0,IF(AND(N($L1391)&lt;=0,N($N1391)&lt;=0,N($R1391)+N($S1391)&lt;=0),0,1)))))</f>
        <v/>
      </c>
      <c r="AA1391" s="21">
        <f>IF(AND($A1391="",$B1391=""),"",IF($E1391="","Site type missing",IF($H1391="","STATUS missing",IF($H1391="Proposed","STATUS = Proposed",IF($H1391="Not Reported","STATUS = Not Reported",IF(AND($P1391="Y",$Q1391&lt;&gt;"Y"),"UNESCO-MAB Biosphere Reserve",IF(AND($K1391="Point",N($L1391)&lt;=0),"Point without REP_AREA",IF(AND(N($L1391)&lt;=0,N($N1391)&lt;=0,N($R1391)+N($S1391)&lt;=0),"No area information",""))))))))</f>
        <v/>
      </c>
      <c r="AB1391" s="22">
        <f>IF(AND($A1391="",$B1391=""),"",IF($K1391="Point",N($L1391),IF(N($N1391)&gt;0,N($N1391),N($L1391))))</f>
        <v/>
      </c>
      <c r="AC1391" s="22">
        <f>IF(AND($A1391="",$B1391=""),"",MIN(AB1391,IF(N($J1391)=0,0,IF(N($J1391)=2,AB1391,IF(AND($K1391&lt;&gt;"Point",N($O1391)&gt;0),N($O1391),N($M1391))))))</f>
        <v/>
      </c>
      <c r="AD1391" s="22">
        <f>IF(AND($A1391="",$B1391=""),"",MAX(0,AB1391-AC1391))</f>
        <v/>
      </c>
      <c r="AE1391" s="21">
        <f>IF(AND($A1391="",$B1391=""),"",IF(OR($R1391&lt;&gt;"",$S1391&lt;&gt;""),1,0))</f>
        <v/>
      </c>
      <c r="AF1391" s="22">
        <f>IF(AND($A1391="",$B1391=""),"",IF(Z1391=1,IF(AE1391=1,N($R1391),AD1391),0))</f>
        <v/>
      </c>
      <c r="AG1391" s="22">
        <f>IF(AND($A1391="",$B1391=""),"",IF(Z1391=1,IF(AE1391=1,N($S1391),AC1391),0))</f>
        <v/>
      </c>
      <c r="AH1391" s="21">
        <f>IF(AND($A1391="",$B1391=""),"",IF(AND(ISNUMBER($I1391),N($I1391)&gt;0),$I1391,0))</f>
        <v/>
      </c>
      <c r="AI1391" s="23">
        <f>IF(AND(NOT(AND($A1391="",$B1391="")),$K1391="Point",N($L1391)&gt;0),SQRT(N($L1391)/PI()),"")</f>
        <v/>
      </c>
      <c r="AJ1391" s="21">
        <f>IF(AND($A1391="",$B1391=""),"",IFERROR(VLOOKUP($G1391,Lists!$D$4:$E$15,2,FALSE),"Not reported"))</f>
        <v/>
      </c>
      <c r="AK1391" s="21">
        <f>IF(AND($A1391="",$B1391=""),"",IF($X1391&lt;&gt;"",$X1391,IF($T1391&lt;&gt;"Y","Not assessed",IF(AND(ISNUMBER($V1391),Setup!$B$6-$V1391&gt;Setup!$B$26),"Assessment outdated",IF(NOT(ISNUMBER($W1391)),"Assessed – no score",IF($W1391&gt;=Setup!$B$24,"High",IF($W1391&gt;=Setup!$B$25,"Moderate","Low")))))))</f>
        <v/>
      </c>
      <c r="AL1391" s="21">
        <f>IF(AND($A1391="",$B1391=""),"",IF(Z1391=0,"",IF(AND(AE1391=1,N($R1391)&gt;AD1391*1.01+0.001),"Net terrestrial &gt; gross; ","")&amp;IF(AND(AE1391=1,N($S1391)&gt;AC1391*1.01+0.001),"Net marine &gt; gross; ","")&amp;IF(AE1391=0,"No net area – gross used, overlaps may be double-counted; ","")&amp;IF(AH1391=0,"STATUS_YR missing – imputed in time series; ","")&amp;IF(AND(ISNUMBER($I1391),N($I1391)&gt;Setup!$B$6),"STATUS_YR after reporting year; ","")&amp;IF(OR($G1391="",$G1391="Not Reported"),"GOV_TYPE not reported; ","")&amp;IF(AND(N($J1391)=1,$K1391="Point",N($M1391)&lt;=0),"Coastal point without REP_M_AREA – land/sea split unknown; ","")&amp;IF(AND(N($J1391)=0,N($S1391)&gt;0),"MARINE=0 but net marine &gt;0; ","")&amp;IF(AND(N($J1391)=2,N($R1391)&gt;0),"MARINE=2 but net terrestrial &gt;0; ","")&amp;IF($K1391="Point","Buffered point – coverage approximate; ","")))</f>
        <v/>
      </c>
    </row>
    <row r="1392">
      <c r="A1392" s="19" t="n"/>
      <c r="B1392" s="19" t="n"/>
      <c r="C1392" s="19" t="n"/>
      <c r="D1392" s="19" t="n"/>
      <c r="E1392" s="19" t="n"/>
      <c r="F1392" s="19" t="n"/>
      <c r="G1392" s="19" t="n"/>
      <c r="H1392" s="19" t="n"/>
      <c r="I1392" s="19" t="n"/>
      <c r="J1392" s="19" t="n"/>
      <c r="K1392" s="19" t="n"/>
      <c r="L1392" s="20" t="n"/>
      <c r="M1392" s="20" t="n"/>
      <c r="N1392" s="20" t="n"/>
      <c r="O1392" s="20" t="n"/>
      <c r="P1392" s="19" t="n"/>
      <c r="Q1392" s="19" t="n"/>
      <c r="R1392" s="20" t="n"/>
      <c r="S1392" s="20" t="n"/>
      <c r="T1392" s="19" t="n"/>
      <c r="U1392" s="19" t="n"/>
      <c r="V1392" s="19" t="n"/>
      <c r="W1392" s="19" t="n"/>
      <c r="X1392" s="19" t="n"/>
      <c r="Y1392" s="19" t="n"/>
      <c r="Z1392" s="21">
        <f>IF(AND($A1392="",$B1392=""),"",IF(OR($E1392="",$H1392="",$H1392="Proposed",$H1392="Not Reported"),0,IF(AND($P1392="Y",$Q1392&lt;&gt;"Y"),0,IF(AND($K1392="Point",N($L1392)&lt;=0),0,IF(AND(N($L1392)&lt;=0,N($N1392)&lt;=0,N($R1392)+N($S1392)&lt;=0),0,1)))))</f>
        <v/>
      </c>
      <c r="AA1392" s="21">
        <f>IF(AND($A1392="",$B1392=""),"",IF($E1392="","Site type missing",IF($H1392="","STATUS missing",IF($H1392="Proposed","STATUS = Proposed",IF($H1392="Not Reported","STATUS = Not Reported",IF(AND($P1392="Y",$Q1392&lt;&gt;"Y"),"UNESCO-MAB Biosphere Reserve",IF(AND($K1392="Point",N($L1392)&lt;=0),"Point without REP_AREA",IF(AND(N($L1392)&lt;=0,N($N1392)&lt;=0,N($R1392)+N($S1392)&lt;=0),"No area information",""))))))))</f>
        <v/>
      </c>
      <c r="AB1392" s="22">
        <f>IF(AND($A1392="",$B1392=""),"",IF($K1392="Point",N($L1392),IF(N($N1392)&gt;0,N($N1392),N($L1392))))</f>
        <v/>
      </c>
      <c r="AC1392" s="22">
        <f>IF(AND($A1392="",$B1392=""),"",MIN(AB1392,IF(N($J1392)=0,0,IF(N($J1392)=2,AB1392,IF(AND($K1392&lt;&gt;"Point",N($O1392)&gt;0),N($O1392),N($M1392))))))</f>
        <v/>
      </c>
      <c r="AD1392" s="22">
        <f>IF(AND($A1392="",$B1392=""),"",MAX(0,AB1392-AC1392))</f>
        <v/>
      </c>
      <c r="AE1392" s="21">
        <f>IF(AND($A1392="",$B1392=""),"",IF(OR($R1392&lt;&gt;"",$S1392&lt;&gt;""),1,0))</f>
        <v/>
      </c>
      <c r="AF1392" s="22">
        <f>IF(AND($A1392="",$B1392=""),"",IF(Z1392=1,IF(AE1392=1,N($R1392),AD1392),0))</f>
        <v/>
      </c>
      <c r="AG1392" s="22">
        <f>IF(AND($A1392="",$B1392=""),"",IF(Z1392=1,IF(AE1392=1,N($S1392),AC1392),0))</f>
        <v/>
      </c>
      <c r="AH1392" s="21">
        <f>IF(AND($A1392="",$B1392=""),"",IF(AND(ISNUMBER($I1392),N($I1392)&gt;0),$I1392,0))</f>
        <v/>
      </c>
      <c r="AI1392" s="23">
        <f>IF(AND(NOT(AND($A1392="",$B1392="")),$K1392="Point",N($L1392)&gt;0),SQRT(N($L1392)/PI()),"")</f>
        <v/>
      </c>
      <c r="AJ1392" s="21">
        <f>IF(AND($A1392="",$B1392=""),"",IFERROR(VLOOKUP($G1392,Lists!$D$4:$E$15,2,FALSE),"Not reported"))</f>
        <v/>
      </c>
      <c r="AK1392" s="21">
        <f>IF(AND($A1392="",$B1392=""),"",IF($X1392&lt;&gt;"",$X1392,IF($T1392&lt;&gt;"Y","Not assessed",IF(AND(ISNUMBER($V1392),Setup!$B$6-$V1392&gt;Setup!$B$26),"Assessment outdated",IF(NOT(ISNUMBER($W1392)),"Assessed – no score",IF($W1392&gt;=Setup!$B$24,"High",IF($W1392&gt;=Setup!$B$25,"Moderate","Low")))))))</f>
        <v/>
      </c>
      <c r="AL1392" s="21">
        <f>IF(AND($A1392="",$B1392=""),"",IF(Z1392=0,"",IF(AND(AE1392=1,N($R1392)&gt;AD1392*1.01+0.001),"Net terrestrial &gt; gross; ","")&amp;IF(AND(AE1392=1,N($S1392)&gt;AC1392*1.01+0.001),"Net marine &gt; gross; ","")&amp;IF(AE1392=0,"No net area – gross used, overlaps may be double-counted; ","")&amp;IF(AH1392=0,"STATUS_YR missing – imputed in time series; ","")&amp;IF(AND(ISNUMBER($I1392),N($I1392)&gt;Setup!$B$6),"STATUS_YR after reporting year; ","")&amp;IF(OR($G1392="",$G1392="Not Reported"),"GOV_TYPE not reported; ","")&amp;IF(AND(N($J1392)=1,$K1392="Point",N($M1392)&lt;=0),"Coastal point without REP_M_AREA – land/sea split unknown; ","")&amp;IF(AND(N($J1392)=0,N($S1392)&gt;0),"MARINE=0 but net marine &gt;0; ","")&amp;IF(AND(N($J1392)=2,N($R1392)&gt;0),"MARINE=2 but net terrestrial &gt;0; ","")&amp;IF($K1392="Point","Buffered point – coverage approximate; ","")))</f>
        <v/>
      </c>
    </row>
    <row r="1393">
      <c r="A1393" s="19" t="n"/>
      <c r="B1393" s="19" t="n"/>
      <c r="C1393" s="19" t="n"/>
      <c r="D1393" s="19" t="n"/>
      <c r="E1393" s="19" t="n"/>
      <c r="F1393" s="19" t="n"/>
      <c r="G1393" s="19" t="n"/>
      <c r="H1393" s="19" t="n"/>
      <c r="I1393" s="19" t="n"/>
      <c r="J1393" s="19" t="n"/>
      <c r="K1393" s="19" t="n"/>
      <c r="L1393" s="20" t="n"/>
      <c r="M1393" s="20" t="n"/>
      <c r="N1393" s="20" t="n"/>
      <c r="O1393" s="20" t="n"/>
      <c r="P1393" s="19" t="n"/>
      <c r="Q1393" s="19" t="n"/>
      <c r="R1393" s="20" t="n"/>
      <c r="S1393" s="20" t="n"/>
      <c r="T1393" s="19" t="n"/>
      <c r="U1393" s="19" t="n"/>
      <c r="V1393" s="19" t="n"/>
      <c r="W1393" s="19" t="n"/>
      <c r="X1393" s="19" t="n"/>
      <c r="Y1393" s="19" t="n"/>
      <c r="Z1393" s="21">
        <f>IF(AND($A1393="",$B1393=""),"",IF(OR($E1393="",$H1393="",$H1393="Proposed",$H1393="Not Reported"),0,IF(AND($P1393="Y",$Q1393&lt;&gt;"Y"),0,IF(AND($K1393="Point",N($L1393)&lt;=0),0,IF(AND(N($L1393)&lt;=0,N($N1393)&lt;=0,N($R1393)+N($S1393)&lt;=0),0,1)))))</f>
        <v/>
      </c>
      <c r="AA1393" s="21">
        <f>IF(AND($A1393="",$B1393=""),"",IF($E1393="","Site type missing",IF($H1393="","STATUS missing",IF($H1393="Proposed","STATUS = Proposed",IF($H1393="Not Reported","STATUS = Not Reported",IF(AND($P1393="Y",$Q1393&lt;&gt;"Y"),"UNESCO-MAB Biosphere Reserve",IF(AND($K1393="Point",N($L1393)&lt;=0),"Point without REP_AREA",IF(AND(N($L1393)&lt;=0,N($N1393)&lt;=0,N($R1393)+N($S1393)&lt;=0),"No area information",""))))))))</f>
        <v/>
      </c>
      <c r="AB1393" s="22">
        <f>IF(AND($A1393="",$B1393=""),"",IF($K1393="Point",N($L1393),IF(N($N1393)&gt;0,N($N1393),N($L1393))))</f>
        <v/>
      </c>
      <c r="AC1393" s="22">
        <f>IF(AND($A1393="",$B1393=""),"",MIN(AB1393,IF(N($J1393)=0,0,IF(N($J1393)=2,AB1393,IF(AND($K1393&lt;&gt;"Point",N($O1393)&gt;0),N($O1393),N($M1393))))))</f>
        <v/>
      </c>
      <c r="AD1393" s="22">
        <f>IF(AND($A1393="",$B1393=""),"",MAX(0,AB1393-AC1393))</f>
        <v/>
      </c>
      <c r="AE1393" s="21">
        <f>IF(AND($A1393="",$B1393=""),"",IF(OR($R1393&lt;&gt;"",$S1393&lt;&gt;""),1,0))</f>
        <v/>
      </c>
      <c r="AF1393" s="22">
        <f>IF(AND($A1393="",$B1393=""),"",IF(Z1393=1,IF(AE1393=1,N($R1393),AD1393),0))</f>
        <v/>
      </c>
      <c r="AG1393" s="22">
        <f>IF(AND($A1393="",$B1393=""),"",IF(Z1393=1,IF(AE1393=1,N($S1393),AC1393),0))</f>
        <v/>
      </c>
      <c r="AH1393" s="21">
        <f>IF(AND($A1393="",$B1393=""),"",IF(AND(ISNUMBER($I1393),N($I1393)&gt;0),$I1393,0))</f>
        <v/>
      </c>
      <c r="AI1393" s="23">
        <f>IF(AND(NOT(AND($A1393="",$B1393="")),$K1393="Point",N($L1393)&gt;0),SQRT(N($L1393)/PI()),"")</f>
        <v/>
      </c>
      <c r="AJ1393" s="21">
        <f>IF(AND($A1393="",$B1393=""),"",IFERROR(VLOOKUP($G1393,Lists!$D$4:$E$15,2,FALSE),"Not reported"))</f>
        <v/>
      </c>
      <c r="AK1393" s="21">
        <f>IF(AND($A1393="",$B1393=""),"",IF($X1393&lt;&gt;"",$X1393,IF($T1393&lt;&gt;"Y","Not assessed",IF(AND(ISNUMBER($V1393),Setup!$B$6-$V1393&gt;Setup!$B$26),"Assessment outdated",IF(NOT(ISNUMBER($W1393)),"Assessed – no score",IF($W1393&gt;=Setup!$B$24,"High",IF($W1393&gt;=Setup!$B$25,"Moderate","Low")))))))</f>
        <v/>
      </c>
      <c r="AL1393" s="21">
        <f>IF(AND($A1393="",$B1393=""),"",IF(Z1393=0,"",IF(AND(AE1393=1,N($R1393)&gt;AD1393*1.01+0.001),"Net terrestrial &gt; gross; ","")&amp;IF(AND(AE1393=1,N($S1393)&gt;AC1393*1.01+0.001),"Net marine &gt; gross; ","")&amp;IF(AE1393=0,"No net area – gross used, overlaps may be double-counted; ","")&amp;IF(AH1393=0,"STATUS_YR missing – imputed in time series; ","")&amp;IF(AND(ISNUMBER($I1393),N($I1393)&gt;Setup!$B$6),"STATUS_YR after reporting year; ","")&amp;IF(OR($G1393="",$G1393="Not Reported"),"GOV_TYPE not reported; ","")&amp;IF(AND(N($J1393)=1,$K1393="Point",N($M1393)&lt;=0),"Coastal point without REP_M_AREA – land/sea split unknown; ","")&amp;IF(AND(N($J1393)=0,N($S1393)&gt;0),"MARINE=0 but net marine &gt;0; ","")&amp;IF(AND(N($J1393)=2,N($R1393)&gt;0),"MARINE=2 but net terrestrial &gt;0; ","")&amp;IF($K1393="Point","Buffered point – coverage approximate; ","")))</f>
        <v/>
      </c>
    </row>
    <row r="1394">
      <c r="A1394" s="19" t="n"/>
      <c r="B1394" s="19" t="n"/>
      <c r="C1394" s="19" t="n"/>
      <c r="D1394" s="19" t="n"/>
      <c r="E1394" s="19" t="n"/>
      <c r="F1394" s="19" t="n"/>
      <c r="G1394" s="19" t="n"/>
      <c r="H1394" s="19" t="n"/>
      <c r="I1394" s="19" t="n"/>
      <c r="J1394" s="19" t="n"/>
      <c r="K1394" s="19" t="n"/>
      <c r="L1394" s="20" t="n"/>
      <c r="M1394" s="20" t="n"/>
      <c r="N1394" s="20" t="n"/>
      <c r="O1394" s="20" t="n"/>
      <c r="P1394" s="19" t="n"/>
      <c r="Q1394" s="19" t="n"/>
      <c r="R1394" s="20" t="n"/>
      <c r="S1394" s="20" t="n"/>
      <c r="T1394" s="19" t="n"/>
      <c r="U1394" s="19" t="n"/>
      <c r="V1394" s="19" t="n"/>
      <c r="W1394" s="19" t="n"/>
      <c r="X1394" s="19" t="n"/>
      <c r="Y1394" s="19" t="n"/>
      <c r="Z1394" s="21">
        <f>IF(AND($A1394="",$B1394=""),"",IF(OR($E1394="",$H1394="",$H1394="Proposed",$H1394="Not Reported"),0,IF(AND($P1394="Y",$Q1394&lt;&gt;"Y"),0,IF(AND($K1394="Point",N($L1394)&lt;=0),0,IF(AND(N($L1394)&lt;=0,N($N1394)&lt;=0,N($R1394)+N($S1394)&lt;=0),0,1)))))</f>
        <v/>
      </c>
      <c r="AA1394" s="21">
        <f>IF(AND($A1394="",$B1394=""),"",IF($E1394="","Site type missing",IF($H1394="","STATUS missing",IF($H1394="Proposed","STATUS = Proposed",IF($H1394="Not Reported","STATUS = Not Reported",IF(AND($P1394="Y",$Q1394&lt;&gt;"Y"),"UNESCO-MAB Biosphere Reserve",IF(AND($K1394="Point",N($L1394)&lt;=0),"Point without REP_AREA",IF(AND(N($L1394)&lt;=0,N($N1394)&lt;=0,N($R1394)+N($S1394)&lt;=0),"No area information",""))))))))</f>
        <v/>
      </c>
      <c r="AB1394" s="22">
        <f>IF(AND($A1394="",$B1394=""),"",IF($K1394="Point",N($L1394),IF(N($N1394)&gt;0,N($N1394),N($L1394))))</f>
        <v/>
      </c>
      <c r="AC1394" s="22">
        <f>IF(AND($A1394="",$B1394=""),"",MIN(AB1394,IF(N($J1394)=0,0,IF(N($J1394)=2,AB1394,IF(AND($K1394&lt;&gt;"Point",N($O1394)&gt;0),N($O1394),N($M1394))))))</f>
        <v/>
      </c>
      <c r="AD1394" s="22">
        <f>IF(AND($A1394="",$B1394=""),"",MAX(0,AB1394-AC1394))</f>
        <v/>
      </c>
      <c r="AE1394" s="21">
        <f>IF(AND($A1394="",$B1394=""),"",IF(OR($R1394&lt;&gt;"",$S1394&lt;&gt;""),1,0))</f>
        <v/>
      </c>
      <c r="AF1394" s="22">
        <f>IF(AND($A1394="",$B1394=""),"",IF(Z1394=1,IF(AE1394=1,N($R1394),AD1394),0))</f>
        <v/>
      </c>
      <c r="AG1394" s="22">
        <f>IF(AND($A1394="",$B1394=""),"",IF(Z1394=1,IF(AE1394=1,N($S1394),AC1394),0))</f>
        <v/>
      </c>
      <c r="AH1394" s="21">
        <f>IF(AND($A1394="",$B1394=""),"",IF(AND(ISNUMBER($I1394),N($I1394)&gt;0),$I1394,0))</f>
        <v/>
      </c>
      <c r="AI1394" s="23">
        <f>IF(AND(NOT(AND($A1394="",$B1394="")),$K1394="Point",N($L1394)&gt;0),SQRT(N($L1394)/PI()),"")</f>
        <v/>
      </c>
      <c r="AJ1394" s="21">
        <f>IF(AND($A1394="",$B1394=""),"",IFERROR(VLOOKUP($G1394,Lists!$D$4:$E$15,2,FALSE),"Not reported"))</f>
        <v/>
      </c>
      <c r="AK1394" s="21">
        <f>IF(AND($A1394="",$B1394=""),"",IF($X1394&lt;&gt;"",$X1394,IF($T1394&lt;&gt;"Y","Not assessed",IF(AND(ISNUMBER($V1394),Setup!$B$6-$V1394&gt;Setup!$B$26),"Assessment outdated",IF(NOT(ISNUMBER($W1394)),"Assessed – no score",IF($W1394&gt;=Setup!$B$24,"High",IF($W1394&gt;=Setup!$B$25,"Moderate","Low")))))))</f>
        <v/>
      </c>
      <c r="AL1394" s="21">
        <f>IF(AND($A1394="",$B1394=""),"",IF(Z1394=0,"",IF(AND(AE1394=1,N($R1394)&gt;AD1394*1.01+0.001),"Net terrestrial &gt; gross; ","")&amp;IF(AND(AE1394=1,N($S1394)&gt;AC1394*1.01+0.001),"Net marine &gt; gross; ","")&amp;IF(AE1394=0,"No net area – gross used, overlaps may be double-counted; ","")&amp;IF(AH1394=0,"STATUS_YR missing – imputed in time series; ","")&amp;IF(AND(ISNUMBER($I1394),N($I1394)&gt;Setup!$B$6),"STATUS_YR after reporting year; ","")&amp;IF(OR($G1394="",$G1394="Not Reported"),"GOV_TYPE not reported; ","")&amp;IF(AND(N($J1394)=1,$K1394="Point",N($M1394)&lt;=0),"Coastal point without REP_M_AREA – land/sea split unknown; ","")&amp;IF(AND(N($J1394)=0,N($S1394)&gt;0),"MARINE=0 but net marine &gt;0; ","")&amp;IF(AND(N($J1394)=2,N($R1394)&gt;0),"MARINE=2 but net terrestrial &gt;0; ","")&amp;IF($K1394="Point","Buffered point – coverage approximate; ","")))</f>
        <v/>
      </c>
    </row>
    <row r="1395">
      <c r="A1395" s="19" t="n"/>
      <c r="B1395" s="19" t="n"/>
      <c r="C1395" s="19" t="n"/>
      <c r="D1395" s="19" t="n"/>
      <c r="E1395" s="19" t="n"/>
      <c r="F1395" s="19" t="n"/>
      <c r="G1395" s="19" t="n"/>
      <c r="H1395" s="19" t="n"/>
      <c r="I1395" s="19" t="n"/>
      <c r="J1395" s="19" t="n"/>
      <c r="K1395" s="19" t="n"/>
      <c r="L1395" s="20" t="n"/>
      <c r="M1395" s="20" t="n"/>
      <c r="N1395" s="20" t="n"/>
      <c r="O1395" s="20" t="n"/>
      <c r="P1395" s="19" t="n"/>
      <c r="Q1395" s="19" t="n"/>
      <c r="R1395" s="20" t="n"/>
      <c r="S1395" s="20" t="n"/>
      <c r="T1395" s="19" t="n"/>
      <c r="U1395" s="19" t="n"/>
      <c r="V1395" s="19" t="n"/>
      <c r="W1395" s="19" t="n"/>
      <c r="X1395" s="19" t="n"/>
      <c r="Y1395" s="19" t="n"/>
      <c r="Z1395" s="21">
        <f>IF(AND($A1395="",$B1395=""),"",IF(OR($E1395="",$H1395="",$H1395="Proposed",$H1395="Not Reported"),0,IF(AND($P1395="Y",$Q1395&lt;&gt;"Y"),0,IF(AND($K1395="Point",N($L1395)&lt;=0),0,IF(AND(N($L1395)&lt;=0,N($N1395)&lt;=0,N($R1395)+N($S1395)&lt;=0),0,1)))))</f>
        <v/>
      </c>
      <c r="AA1395" s="21">
        <f>IF(AND($A1395="",$B1395=""),"",IF($E1395="","Site type missing",IF($H1395="","STATUS missing",IF($H1395="Proposed","STATUS = Proposed",IF($H1395="Not Reported","STATUS = Not Reported",IF(AND($P1395="Y",$Q1395&lt;&gt;"Y"),"UNESCO-MAB Biosphere Reserve",IF(AND($K1395="Point",N($L1395)&lt;=0),"Point without REP_AREA",IF(AND(N($L1395)&lt;=0,N($N1395)&lt;=0,N($R1395)+N($S1395)&lt;=0),"No area information",""))))))))</f>
        <v/>
      </c>
      <c r="AB1395" s="22">
        <f>IF(AND($A1395="",$B1395=""),"",IF($K1395="Point",N($L1395),IF(N($N1395)&gt;0,N($N1395),N($L1395))))</f>
        <v/>
      </c>
      <c r="AC1395" s="22">
        <f>IF(AND($A1395="",$B1395=""),"",MIN(AB1395,IF(N($J1395)=0,0,IF(N($J1395)=2,AB1395,IF(AND($K1395&lt;&gt;"Point",N($O1395)&gt;0),N($O1395),N($M1395))))))</f>
        <v/>
      </c>
      <c r="AD1395" s="22">
        <f>IF(AND($A1395="",$B1395=""),"",MAX(0,AB1395-AC1395))</f>
        <v/>
      </c>
      <c r="AE1395" s="21">
        <f>IF(AND($A1395="",$B1395=""),"",IF(OR($R1395&lt;&gt;"",$S1395&lt;&gt;""),1,0))</f>
        <v/>
      </c>
      <c r="AF1395" s="22">
        <f>IF(AND($A1395="",$B1395=""),"",IF(Z1395=1,IF(AE1395=1,N($R1395),AD1395),0))</f>
        <v/>
      </c>
      <c r="AG1395" s="22">
        <f>IF(AND($A1395="",$B1395=""),"",IF(Z1395=1,IF(AE1395=1,N($S1395),AC1395),0))</f>
        <v/>
      </c>
      <c r="AH1395" s="21">
        <f>IF(AND($A1395="",$B1395=""),"",IF(AND(ISNUMBER($I1395),N($I1395)&gt;0),$I1395,0))</f>
        <v/>
      </c>
      <c r="AI1395" s="23">
        <f>IF(AND(NOT(AND($A1395="",$B1395="")),$K1395="Point",N($L1395)&gt;0),SQRT(N($L1395)/PI()),"")</f>
        <v/>
      </c>
      <c r="AJ1395" s="21">
        <f>IF(AND($A1395="",$B1395=""),"",IFERROR(VLOOKUP($G1395,Lists!$D$4:$E$15,2,FALSE),"Not reported"))</f>
        <v/>
      </c>
      <c r="AK1395" s="21">
        <f>IF(AND($A1395="",$B1395=""),"",IF($X1395&lt;&gt;"",$X1395,IF($T1395&lt;&gt;"Y","Not assessed",IF(AND(ISNUMBER($V1395),Setup!$B$6-$V1395&gt;Setup!$B$26),"Assessment outdated",IF(NOT(ISNUMBER($W1395)),"Assessed – no score",IF($W1395&gt;=Setup!$B$24,"High",IF($W1395&gt;=Setup!$B$25,"Moderate","Low")))))))</f>
        <v/>
      </c>
      <c r="AL1395" s="21">
        <f>IF(AND($A1395="",$B1395=""),"",IF(Z1395=0,"",IF(AND(AE1395=1,N($R1395)&gt;AD1395*1.01+0.001),"Net terrestrial &gt; gross; ","")&amp;IF(AND(AE1395=1,N($S1395)&gt;AC1395*1.01+0.001),"Net marine &gt; gross; ","")&amp;IF(AE1395=0,"No net area – gross used, overlaps may be double-counted; ","")&amp;IF(AH1395=0,"STATUS_YR missing – imputed in time series; ","")&amp;IF(AND(ISNUMBER($I1395),N($I1395)&gt;Setup!$B$6),"STATUS_YR after reporting year; ","")&amp;IF(OR($G1395="",$G1395="Not Reported"),"GOV_TYPE not reported; ","")&amp;IF(AND(N($J1395)=1,$K1395="Point",N($M1395)&lt;=0),"Coastal point without REP_M_AREA – land/sea split unknown; ","")&amp;IF(AND(N($J1395)=0,N($S1395)&gt;0),"MARINE=0 but net marine &gt;0; ","")&amp;IF(AND(N($J1395)=2,N($R1395)&gt;0),"MARINE=2 but net terrestrial &gt;0; ","")&amp;IF($K1395="Point","Buffered point – coverage approximate; ","")))</f>
        <v/>
      </c>
    </row>
    <row r="1396">
      <c r="A1396" s="19" t="n"/>
      <c r="B1396" s="19" t="n"/>
      <c r="C1396" s="19" t="n"/>
      <c r="D1396" s="19" t="n"/>
      <c r="E1396" s="19" t="n"/>
      <c r="F1396" s="19" t="n"/>
      <c r="G1396" s="19" t="n"/>
      <c r="H1396" s="19" t="n"/>
      <c r="I1396" s="19" t="n"/>
      <c r="J1396" s="19" t="n"/>
      <c r="K1396" s="19" t="n"/>
      <c r="L1396" s="20" t="n"/>
      <c r="M1396" s="20" t="n"/>
      <c r="N1396" s="20" t="n"/>
      <c r="O1396" s="20" t="n"/>
      <c r="P1396" s="19" t="n"/>
      <c r="Q1396" s="19" t="n"/>
      <c r="R1396" s="20" t="n"/>
      <c r="S1396" s="20" t="n"/>
      <c r="T1396" s="19" t="n"/>
      <c r="U1396" s="19" t="n"/>
      <c r="V1396" s="19" t="n"/>
      <c r="W1396" s="19" t="n"/>
      <c r="X1396" s="19" t="n"/>
      <c r="Y1396" s="19" t="n"/>
      <c r="Z1396" s="21">
        <f>IF(AND($A1396="",$B1396=""),"",IF(OR($E1396="",$H1396="",$H1396="Proposed",$H1396="Not Reported"),0,IF(AND($P1396="Y",$Q1396&lt;&gt;"Y"),0,IF(AND($K1396="Point",N($L1396)&lt;=0),0,IF(AND(N($L1396)&lt;=0,N($N1396)&lt;=0,N($R1396)+N($S1396)&lt;=0),0,1)))))</f>
        <v/>
      </c>
      <c r="AA1396" s="21">
        <f>IF(AND($A1396="",$B1396=""),"",IF($E1396="","Site type missing",IF($H1396="","STATUS missing",IF($H1396="Proposed","STATUS = Proposed",IF($H1396="Not Reported","STATUS = Not Reported",IF(AND($P1396="Y",$Q1396&lt;&gt;"Y"),"UNESCO-MAB Biosphere Reserve",IF(AND($K1396="Point",N($L1396)&lt;=0),"Point without REP_AREA",IF(AND(N($L1396)&lt;=0,N($N1396)&lt;=0,N($R1396)+N($S1396)&lt;=0),"No area information",""))))))))</f>
        <v/>
      </c>
      <c r="AB1396" s="22">
        <f>IF(AND($A1396="",$B1396=""),"",IF($K1396="Point",N($L1396),IF(N($N1396)&gt;0,N($N1396),N($L1396))))</f>
        <v/>
      </c>
      <c r="AC1396" s="22">
        <f>IF(AND($A1396="",$B1396=""),"",MIN(AB1396,IF(N($J1396)=0,0,IF(N($J1396)=2,AB1396,IF(AND($K1396&lt;&gt;"Point",N($O1396)&gt;0),N($O1396),N($M1396))))))</f>
        <v/>
      </c>
      <c r="AD1396" s="22">
        <f>IF(AND($A1396="",$B1396=""),"",MAX(0,AB1396-AC1396))</f>
        <v/>
      </c>
      <c r="AE1396" s="21">
        <f>IF(AND($A1396="",$B1396=""),"",IF(OR($R1396&lt;&gt;"",$S1396&lt;&gt;""),1,0))</f>
        <v/>
      </c>
      <c r="AF1396" s="22">
        <f>IF(AND($A1396="",$B1396=""),"",IF(Z1396=1,IF(AE1396=1,N($R1396),AD1396),0))</f>
        <v/>
      </c>
      <c r="AG1396" s="22">
        <f>IF(AND($A1396="",$B1396=""),"",IF(Z1396=1,IF(AE1396=1,N($S1396),AC1396),0))</f>
        <v/>
      </c>
      <c r="AH1396" s="21">
        <f>IF(AND($A1396="",$B1396=""),"",IF(AND(ISNUMBER($I1396),N($I1396)&gt;0),$I1396,0))</f>
        <v/>
      </c>
      <c r="AI1396" s="23">
        <f>IF(AND(NOT(AND($A1396="",$B1396="")),$K1396="Point",N($L1396)&gt;0),SQRT(N($L1396)/PI()),"")</f>
        <v/>
      </c>
      <c r="AJ1396" s="21">
        <f>IF(AND($A1396="",$B1396=""),"",IFERROR(VLOOKUP($G1396,Lists!$D$4:$E$15,2,FALSE),"Not reported"))</f>
        <v/>
      </c>
      <c r="AK1396" s="21">
        <f>IF(AND($A1396="",$B1396=""),"",IF($X1396&lt;&gt;"",$X1396,IF($T1396&lt;&gt;"Y","Not assessed",IF(AND(ISNUMBER($V1396),Setup!$B$6-$V1396&gt;Setup!$B$26),"Assessment outdated",IF(NOT(ISNUMBER($W1396)),"Assessed – no score",IF($W1396&gt;=Setup!$B$24,"High",IF($W1396&gt;=Setup!$B$25,"Moderate","Low")))))))</f>
        <v/>
      </c>
      <c r="AL1396" s="21">
        <f>IF(AND($A1396="",$B1396=""),"",IF(Z1396=0,"",IF(AND(AE1396=1,N($R1396)&gt;AD1396*1.01+0.001),"Net terrestrial &gt; gross; ","")&amp;IF(AND(AE1396=1,N($S1396)&gt;AC1396*1.01+0.001),"Net marine &gt; gross; ","")&amp;IF(AE1396=0,"No net area – gross used, overlaps may be double-counted; ","")&amp;IF(AH1396=0,"STATUS_YR missing – imputed in time series; ","")&amp;IF(AND(ISNUMBER($I1396),N($I1396)&gt;Setup!$B$6),"STATUS_YR after reporting year; ","")&amp;IF(OR($G1396="",$G1396="Not Reported"),"GOV_TYPE not reported; ","")&amp;IF(AND(N($J1396)=1,$K1396="Point",N($M1396)&lt;=0),"Coastal point without REP_M_AREA – land/sea split unknown; ","")&amp;IF(AND(N($J1396)=0,N($S1396)&gt;0),"MARINE=0 but net marine &gt;0; ","")&amp;IF(AND(N($J1396)=2,N($R1396)&gt;0),"MARINE=2 but net terrestrial &gt;0; ","")&amp;IF($K1396="Point","Buffered point – coverage approximate; ","")))</f>
        <v/>
      </c>
    </row>
    <row r="1397">
      <c r="A1397" s="19" t="n"/>
      <c r="B1397" s="19" t="n"/>
      <c r="C1397" s="19" t="n"/>
      <c r="D1397" s="19" t="n"/>
      <c r="E1397" s="19" t="n"/>
      <c r="F1397" s="19" t="n"/>
      <c r="G1397" s="19" t="n"/>
      <c r="H1397" s="19" t="n"/>
      <c r="I1397" s="19" t="n"/>
      <c r="J1397" s="19" t="n"/>
      <c r="K1397" s="19" t="n"/>
      <c r="L1397" s="20" t="n"/>
      <c r="M1397" s="20" t="n"/>
      <c r="N1397" s="20" t="n"/>
      <c r="O1397" s="20" t="n"/>
      <c r="P1397" s="19" t="n"/>
      <c r="Q1397" s="19" t="n"/>
      <c r="R1397" s="20" t="n"/>
      <c r="S1397" s="20" t="n"/>
      <c r="T1397" s="19" t="n"/>
      <c r="U1397" s="19" t="n"/>
      <c r="V1397" s="19" t="n"/>
      <c r="W1397" s="19" t="n"/>
      <c r="X1397" s="19" t="n"/>
      <c r="Y1397" s="19" t="n"/>
      <c r="Z1397" s="21">
        <f>IF(AND($A1397="",$B1397=""),"",IF(OR($E1397="",$H1397="",$H1397="Proposed",$H1397="Not Reported"),0,IF(AND($P1397="Y",$Q1397&lt;&gt;"Y"),0,IF(AND($K1397="Point",N($L1397)&lt;=0),0,IF(AND(N($L1397)&lt;=0,N($N1397)&lt;=0,N($R1397)+N($S1397)&lt;=0),0,1)))))</f>
        <v/>
      </c>
      <c r="AA1397" s="21">
        <f>IF(AND($A1397="",$B1397=""),"",IF($E1397="","Site type missing",IF($H1397="","STATUS missing",IF($H1397="Proposed","STATUS = Proposed",IF($H1397="Not Reported","STATUS = Not Reported",IF(AND($P1397="Y",$Q1397&lt;&gt;"Y"),"UNESCO-MAB Biosphere Reserve",IF(AND($K1397="Point",N($L1397)&lt;=0),"Point without REP_AREA",IF(AND(N($L1397)&lt;=0,N($N1397)&lt;=0,N($R1397)+N($S1397)&lt;=0),"No area information",""))))))))</f>
        <v/>
      </c>
      <c r="AB1397" s="22">
        <f>IF(AND($A1397="",$B1397=""),"",IF($K1397="Point",N($L1397),IF(N($N1397)&gt;0,N($N1397),N($L1397))))</f>
        <v/>
      </c>
      <c r="AC1397" s="22">
        <f>IF(AND($A1397="",$B1397=""),"",MIN(AB1397,IF(N($J1397)=0,0,IF(N($J1397)=2,AB1397,IF(AND($K1397&lt;&gt;"Point",N($O1397)&gt;0),N($O1397),N($M1397))))))</f>
        <v/>
      </c>
      <c r="AD1397" s="22">
        <f>IF(AND($A1397="",$B1397=""),"",MAX(0,AB1397-AC1397))</f>
        <v/>
      </c>
      <c r="AE1397" s="21">
        <f>IF(AND($A1397="",$B1397=""),"",IF(OR($R1397&lt;&gt;"",$S1397&lt;&gt;""),1,0))</f>
        <v/>
      </c>
      <c r="AF1397" s="22">
        <f>IF(AND($A1397="",$B1397=""),"",IF(Z1397=1,IF(AE1397=1,N($R1397),AD1397),0))</f>
        <v/>
      </c>
      <c r="AG1397" s="22">
        <f>IF(AND($A1397="",$B1397=""),"",IF(Z1397=1,IF(AE1397=1,N($S1397),AC1397),0))</f>
        <v/>
      </c>
      <c r="AH1397" s="21">
        <f>IF(AND($A1397="",$B1397=""),"",IF(AND(ISNUMBER($I1397),N($I1397)&gt;0),$I1397,0))</f>
        <v/>
      </c>
      <c r="AI1397" s="23">
        <f>IF(AND(NOT(AND($A1397="",$B1397="")),$K1397="Point",N($L1397)&gt;0),SQRT(N($L1397)/PI()),"")</f>
        <v/>
      </c>
      <c r="AJ1397" s="21">
        <f>IF(AND($A1397="",$B1397=""),"",IFERROR(VLOOKUP($G1397,Lists!$D$4:$E$15,2,FALSE),"Not reported"))</f>
        <v/>
      </c>
      <c r="AK1397" s="21">
        <f>IF(AND($A1397="",$B1397=""),"",IF($X1397&lt;&gt;"",$X1397,IF($T1397&lt;&gt;"Y","Not assessed",IF(AND(ISNUMBER($V1397),Setup!$B$6-$V1397&gt;Setup!$B$26),"Assessment outdated",IF(NOT(ISNUMBER($W1397)),"Assessed – no score",IF($W1397&gt;=Setup!$B$24,"High",IF($W1397&gt;=Setup!$B$25,"Moderate","Low")))))))</f>
        <v/>
      </c>
      <c r="AL1397" s="21">
        <f>IF(AND($A1397="",$B1397=""),"",IF(Z1397=0,"",IF(AND(AE1397=1,N($R1397)&gt;AD1397*1.01+0.001),"Net terrestrial &gt; gross; ","")&amp;IF(AND(AE1397=1,N($S1397)&gt;AC1397*1.01+0.001),"Net marine &gt; gross; ","")&amp;IF(AE1397=0,"No net area – gross used, overlaps may be double-counted; ","")&amp;IF(AH1397=0,"STATUS_YR missing – imputed in time series; ","")&amp;IF(AND(ISNUMBER($I1397),N($I1397)&gt;Setup!$B$6),"STATUS_YR after reporting year; ","")&amp;IF(OR($G1397="",$G1397="Not Reported"),"GOV_TYPE not reported; ","")&amp;IF(AND(N($J1397)=1,$K1397="Point",N($M1397)&lt;=0),"Coastal point without REP_M_AREA – land/sea split unknown; ","")&amp;IF(AND(N($J1397)=0,N($S1397)&gt;0),"MARINE=0 but net marine &gt;0; ","")&amp;IF(AND(N($J1397)=2,N($R1397)&gt;0),"MARINE=2 but net terrestrial &gt;0; ","")&amp;IF($K1397="Point","Buffered point – coverage approximate; ","")))</f>
        <v/>
      </c>
    </row>
    <row r="1398">
      <c r="A1398" s="19" t="n"/>
      <c r="B1398" s="19" t="n"/>
      <c r="C1398" s="19" t="n"/>
      <c r="D1398" s="19" t="n"/>
      <c r="E1398" s="19" t="n"/>
      <c r="F1398" s="19" t="n"/>
      <c r="G1398" s="19" t="n"/>
      <c r="H1398" s="19" t="n"/>
      <c r="I1398" s="19" t="n"/>
      <c r="J1398" s="19" t="n"/>
      <c r="K1398" s="19" t="n"/>
      <c r="L1398" s="20" t="n"/>
      <c r="M1398" s="20" t="n"/>
      <c r="N1398" s="20" t="n"/>
      <c r="O1398" s="20" t="n"/>
      <c r="P1398" s="19" t="n"/>
      <c r="Q1398" s="19" t="n"/>
      <c r="R1398" s="20" t="n"/>
      <c r="S1398" s="20" t="n"/>
      <c r="T1398" s="19" t="n"/>
      <c r="U1398" s="19" t="n"/>
      <c r="V1398" s="19" t="n"/>
      <c r="W1398" s="19" t="n"/>
      <c r="X1398" s="19" t="n"/>
      <c r="Y1398" s="19" t="n"/>
      <c r="Z1398" s="21">
        <f>IF(AND($A1398="",$B1398=""),"",IF(OR($E1398="",$H1398="",$H1398="Proposed",$H1398="Not Reported"),0,IF(AND($P1398="Y",$Q1398&lt;&gt;"Y"),0,IF(AND($K1398="Point",N($L1398)&lt;=0),0,IF(AND(N($L1398)&lt;=0,N($N1398)&lt;=0,N($R1398)+N($S1398)&lt;=0),0,1)))))</f>
        <v/>
      </c>
      <c r="AA1398" s="21">
        <f>IF(AND($A1398="",$B1398=""),"",IF($E1398="","Site type missing",IF($H1398="","STATUS missing",IF($H1398="Proposed","STATUS = Proposed",IF($H1398="Not Reported","STATUS = Not Reported",IF(AND($P1398="Y",$Q1398&lt;&gt;"Y"),"UNESCO-MAB Biosphere Reserve",IF(AND($K1398="Point",N($L1398)&lt;=0),"Point without REP_AREA",IF(AND(N($L1398)&lt;=0,N($N1398)&lt;=0,N($R1398)+N($S1398)&lt;=0),"No area information",""))))))))</f>
        <v/>
      </c>
      <c r="AB1398" s="22">
        <f>IF(AND($A1398="",$B1398=""),"",IF($K1398="Point",N($L1398),IF(N($N1398)&gt;0,N($N1398),N($L1398))))</f>
        <v/>
      </c>
      <c r="AC1398" s="22">
        <f>IF(AND($A1398="",$B1398=""),"",MIN(AB1398,IF(N($J1398)=0,0,IF(N($J1398)=2,AB1398,IF(AND($K1398&lt;&gt;"Point",N($O1398)&gt;0),N($O1398),N($M1398))))))</f>
        <v/>
      </c>
      <c r="AD1398" s="22">
        <f>IF(AND($A1398="",$B1398=""),"",MAX(0,AB1398-AC1398))</f>
        <v/>
      </c>
      <c r="AE1398" s="21">
        <f>IF(AND($A1398="",$B1398=""),"",IF(OR($R1398&lt;&gt;"",$S1398&lt;&gt;""),1,0))</f>
        <v/>
      </c>
      <c r="AF1398" s="22">
        <f>IF(AND($A1398="",$B1398=""),"",IF(Z1398=1,IF(AE1398=1,N($R1398),AD1398),0))</f>
        <v/>
      </c>
      <c r="AG1398" s="22">
        <f>IF(AND($A1398="",$B1398=""),"",IF(Z1398=1,IF(AE1398=1,N($S1398),AC1398),0))</f>
        <v/>
      </c>
      <c r="AH1398" s="21">
        <f>IF(AND($A1398="",$B1398=""),"",IF(AND(ISNUMBER($I1398),N($I1398)&gt;0),$I1398,0))</f>
        <v/>
      </c>
      <c r="AI1398" s="23">
        <f>IF(AND(NOT(AND($A1398="",$B1398="")),$K1398="Point",N($L1398)&gt;0),SQRT(N($L1398)/PI()),"")</f>
        <v/>
      </c>
      <c r="AJ1398" s="21">
        <f>IF(AND($A1398="",$B1398=""),"",IFERROR(VLOOKUP($G1398,Lists!$D$4:$E$15,2,FALSE),"Not reported"))</f>
        <v/>
      </c>
      <c r="AK1398" s="21">
        <f>IF(AND($A1398="",$B1398=""),"",IF($X1398&lt;&gt;"",$X1398,IF($T1398&lt;&gt;"Y","Not assessed",IF(AND(ISNUMBER($V1398),Setup!$B$6-$V1398&gt;Setup!$B$26),"Assessment outdated",IF(NOT(ISNUMBER($W1398)),"Assessed – no score",IF($W1398&gt;=Setup!$B$24,"High",IF($W1398&gt;=Setup!$B$25,"Moderate","Low")))))))</f>
        <v/>
      </c>
      <c r="AL1398" s="21">
        <f>IF(AND($A1398="",$B1398=""),"",IF(Z1398=0,"",IF(AND(AE1398=1,N($R1398)&gt;AD1398*1.01+0.001),"Net terrestrial &gt; gross; ","")&amp;IF(AND(AE1398=1,N($S1398)&gt;AC1398*1.01+0.001),"Net marine &gt; gross; ","")&amp;IF(AE1398=0,"No net area – gross used, overlaps may be double-counted; ","")&amp;IF(AH1398=0,"STATUS_YR missing – imputed in time series; ","")&amp;IF(AND(ISNUMBER($I1398),N($I1398)&gt;Setup!$B$6),"STATUS_YR after reporting year; ","")&amp;IF(OR($G1398="",$G1398="Not Reported"),"GOV_TYPE not reported; ","")&amp;IF(AND(N($J1398)=1,$K1398="Point",N($M1398)&lt;=0),"Coastal point without REP_M_AREA – land/sea split unknown; ","")&amp;IF(AND(N($J1398)=0,N($S1398)&gt;0),"MARINE=0 but net marine &gt;0; ","")&amp;IF(AND(N($J1398)=2,N($R1398)&gt;0),"MARINE=2 but net terrestrial &gt;0; ","")&amp;IF($K1398="Point","Buffered point – coverage approximate; ","")))</f>
        <v/>
      </c>
    </row>
    <row r="1399">
      <c r="A1399" s="19" t="n"/>
      <c r="B1399" s="19" t="n"/>
      <c r="C1399" s="19" t="n"/>
      <c r="D1399" s="19" t="n"/>
      <c r="E1399" s="19" t="n"/>
      <c r="F1399" s="19" t="n"/>
      <c r="G1399" s="19" t="n"/>
      <c r="H1399" s="19" t="n"/>
      <c r="I1399" s="19" t="n"/>
      <c r="J1399" s="19" t="n"/>
      <c r="K1399" s="19" t="n"/>
      <c r="L1399" s="20" t="n"/>
      <c r="M1399" s="20" t="n"/>
      <c r="N1399" s="20" t="n"/>
      <c r="O1399" s="20" t="n"/>
      <c r="P1399" s="19" t="n"/>
      <c r="Q1399" s="19" t="n"/>
      <c r="R1399" s="20" t="n"/>
      <c r="S1399" s="20" t="n"/>
      <c r="T1399" s="19" t="n"/>
      <c r="U1399" s="19" t="n"/>
      <c r="V1399" s="19" t="n"/>
      <c r="W1399" s="19" t="n"/>
      <c r="X1399" s="19" t="n"/>
      <c r="Y1399" s="19" t="n"/>
      <c r="Z1399" s="21">
        <f>IF(AND($A1399="",$B1399=""),"",IF(OR($E1399="",$H1399="",$H1399="Proposed",$H1399="Not Reported"),0,IF(AND($P1399="Y",$Q1399&lt;&gt;"Y"),0,IF(AND($K1399="Point",N($L1399)&lt;=0),0,IF(AND(N($L1399)&lt;=0,N($N1399)&lt;=0,N($R1399)+N($S1399)&lt;=0),0,1)))))</f>
        <v/>
      </c>
      <c r="AA1399" s="21">
        <f>IF(AND($A1399="",$B1399=""),"",IF($E1399="","Site type missing",IF($H1399="","STATUS missing",IF($H1399="Proposed","STATUS = Proposed",IF($H1399="Not Reported","STATUS = Not Reported",IF(AND($P1399="Y",$Q1399&lt;&gt;"Y"),"UNESCO-MAB Biosphere Reserve",IF(AND($K1399="Point",N($L1399)&lt;=0),"Point without REP_AREA",IF(AND(N($L1399)&lt;=0,N($N1399)&lt;=0,N($R1399)+N($S1399)&lt;=0),"No area information",""))))))))</f>
        <v/>
      </c>
      <c r="AB1399" s="22">
        <f>IF(AND($A1399="",$B1399=""),"",IF($K1399="Point",N($L1399),IF(N($N1399)&gt;0,N($N1399),N($L1399))))</f>
        <v/>
      </c>
      <c r="AC1399" s="22">
        <f>IF(AND($A1399="",$B1399=""),"",MIN(AB1399,IF(N($J1399)=0,0,IF(N($J1399)=2,AB1399,IF(AND($K1399&lt;&gt;"Point",N($O1399)&gt;0),N($O1399),N($M1399))))))</f>
        <v/>
      </c>
      <c r="AD1399" s="22">
        <f>IF(AND($A1399="",$B1399=""),"",MAX(0,AB1399-AC1399))</f>
        <v/>
      </c>
      <c r="AE1399" s="21">
        <f>IF(AND($A1399="",$B1399=""),"",IF(OR($R1399&lt;&gt;"",$S1399&lt;&gt;""),1,0))</f>
        <v/>
      </c>
      <c r="AF1399" s="22">
        <f>IF(AND($A1399="",$B1399=""),"",IF(Z1399=1,IF(AE1399=1,N($R1399),AD1399),0))</f>
        <v/>
      </c>
      <c r="AG1399" s="22">
        <f>IF(AND($A1399="",$B1399=""),"",IF(Z1399=1,IF(AE1399=1,N($S1399),AC1399),0))</f>
        <v/>
      </c>
      <c r="AH1399" s="21">
        <f>IF(AND($A1399="",$B1399=""),"",IF(AND(ISNUMBER($I1399),N($I1399)&gt;0),$I1399,0))</f>
        <v/>
      </c>
      <c r="AI1399" s="23">
        <f>IF(AND(NOT(AND($A1399="",$B1399="")),$K1399="Point",N($L1399)&gt;0),SQRT(N($L1399)/PI()),"")</f>
        <v/>
      </c>
      <c r="AJ1399" s="21">
        <f>IF(AND($A1399="",$B1399=""),"",IFERROR(VLOOKUP($G1399,Lists!$D$4:$E$15,2,FALSE),"Not reported"))</f>
        <v/>
      </c>
      <c r="AK1399" s="21">
        <f>IF(AND($A1399="",$B1399=""),"",IF($X1399&lt;&gt;"",$X1399,IF($T1399&lt;&gt;"Y","Not assessed",IF(AND(ISNUMBER($V1399),Setup!$B$6-$V1399&gt;Setup!$B$26),"Assessment outdated",IF(NOT(ISNUMBER($W1399)),"Assessed – no score",IF($W1399&gt;=Setup!$B$24,"High",IF($W1399&gt;=Setup!$B$25,"Moderate","Low")))))))</f>
        <v/>
      </c>
      <c r="AL1399" s="21">
        <f>IF(AND($A1399="",$B1399=""),"",IF(Z1399=0,"",IF(AND(AE1399=1,N($R1399)&gt;AD1399*1.01+0.001),"Net terrestrial &gt; gross; ","")&amp;IF(AND(AE1399=1,N($S1399)&gt;AC1399*1.01+0.001),"Net marine &gt; gross; ","")&amp;IF(AE1399=0,"No net area – gross used, overlaps may be double-counted; ","")&amp;IF(AH1399=0,"STATUS_YR missing – imputed in time series; ","")&amp;IF(AND(ISNUMBER($I1399),N($I1399)&gt;Setup!$B$6),"STATUS_YR after reporting year; ","")&amp;IF(OR($G1399="",$G1399="Not Reported"),"GOV_TYPE not reported; ","")&amp;IF(AND(N($J1399)=1,$K1399="Point",N($M1399)&lt;=0),"Coastal point without REP_M_AREA – land/sea split unknown; ","")&amp;IF(AND(N($J1399)=0,N($S1399)&gt;0),"MARINE=0 but net marine &gt;0; ","")&amp;IF(AND(N($J1399)=2,N($R1399)&gt;0),"MARINE=2 but net terrestrial &gt;0; ","")&amp;IF($K1399="Point","Buffered point – coverage approximate; ","")))</f>
        <v/>
      </c>
    </row>
    <row r="1400">
      <c r="A1400" s="19" t="n"/>
      <c r="B1400" s="19" t="n"/>
      <c r="C1400" s="19" t="n"/>
      <c r="D1400" s="19" t="n"/>
      <c r="E1400" s="19" t="n"/>
      <c r="F1400" s="19" t="n"/>
      <c r="G1400" s="19" t="n"/>
      <c r="H1400" s="19" t="n"/>
      <c r="I1400" s="19" t="n"/>
      <c r="J1400" s="19" t="n"/>
      <c r="K1400" s="19" t="n"/>
      <c r="L1400" s="20" t="n"/>
      <c r="M1400" s="20" t="n"/>
      <c r="N1400" s="20" t="n"/>
      <c r="O1400" s="20" t="n"/>
      <c r="P1400" s="19" t="n"/>
      <c r="Q1400" s="19" t="n"/>
      <c r="R1400" s="20" t="n"/>
      <c r="S1400" s="20" t="n"/>
      <c r="T1400" s="19" t="n"/>
      <c r="U1400" s="19" t="n"/>
      <c r="V1400" s="19" t="n"/>
      <c r="W1400" s="19" t="n"/>
      <c r="X1400" s="19" t="n"/>
      <c r="Y1400" s="19" t="n"/>
      <c r="Z1400" s="21">
        <f>IF(AND($A1400="",$B1400=""),"",IF(OR($E1400="",$H1400="",$H1400="Proposed",$H1400="Not Reported"),0,IF(AND($P1400="Y",$Q1400&lt;&gt;"Y"),0,IF(AND($K1400="Point",N($L1400)&lt;=0),0,IF(AND(N($L1400)&lt;=0,N($N1400)&lt;=0,N($R1400)+N($S1400)&lt;=0),0,1)))))</f>
        <v/>
      </c>
      <c r="AA1400" s="21">
        <f>IF(AND($A1400="",$B1400=""),"",IF($E1400="","Site type missing",IF($H1400="","STATUS missing",IF($H1400="Proposed","STATUS = Proposed",IF($H1400="Not Reported","STATUS = Not Reported",IF(AND($P1400="Y",$Q1400&lt;&gt;"Y"),"UNESCO-MAB Biosphere Reserve",IF(AND($K1400="Point",N($L1400)&lt;=0),"Point without REP_AREA",IF(AND(N($L1400)&lt;=0,N($N1400)&lt;=0,N($R1400)+N($S1400)&lt;=0),"No area information",""))))))))</f>
        <v/>
      </c>
      <c r="AB1400" s="22">
        <f>IF(AND($A1400="",$B1400=""),"",IF($K1400="Point",N($L1400),IF(N($N1400)&gt;0,N($N1400),N($L1400))))</f>
        <v/>
      </c>
      <c r="AC1400" s="22">
        <f>IF(AND($A1400="",$B1400=""),"",MIN(AB1400,IF(N($J1400)=0,0,IF(N($J1400)=2,AB1400,IF(AND($K1400&lt;&gt;"Point",N($O1400)&gt;0),N($O1400),N($M1400))))))</f>
        <v/>
      </c>
      <c r="AD1400" s="22">
        <f>IF(AND($A1400="",$B1400=""),"",MAX(0,AB1400-AC1400))</f>
        <v/>
      </c>
      <c r="AE1400" s="21">
        <f>IF(AND($A1400="",$B1400=""),"",IF(OR($R1400&lt;&gt;"",$S1400&lt;&gt;""),1,0))</f>
        <v/>
      </c>
      <c r="AF1400" s="22">
        <f>IF(AND($A1400="",$B1400=""),"",IF(Z1400=1,IF(AE1400=1,N($R1400),AD1400),0))</f>
        <v/>
      </c>
      <c r="AG1400" s="22">
        <f>IF(AND($A1400="",$B1400=""),"",IF(Z1400=1,IF(AE1400=1,N($S1400),AC1400),0))</f>
        <v/>
      </c>
      <c r="AH1400" s="21">
        <f>IF(AND($A1400="",$B1400=""),"",IF(AND(ISNUMBER($I1400),N($I1400)&gt;0),$I1400,0))</f>
        <v/>
      </c>
      <c r="AI1400" s="23">
        <f>IF(AND(NOT(AND($A1400="",$B1400="")),$K1400="Point",N($L1400)&gt;0),SQRT(N($L1400)/PI()),"")</f>
        <v/>
      </c>
      <c r="AJ1400" s="21">
        <f>IF(AND($A1400="",$B1400=""),"",IFERROR(VLOOKUP($G1400,Lists!$D$4:$E$15,2,FALSE),"Not reported"))</f>
        <v/>
      </c>
      <c r="AK1400" s="21">
        <f>IF(AND($A1400="",$B1400=""),"",IF($X1400&lt;&gt;"",$X1400,IF($T1400&lt;&gt;"Y","Not assessed",IF(AND(ISNUMBER($V1400),Setup!$B$6-$V1400&gt;Setup!$B$26),"Assessment outdated",IF(NOT(ISNUMBER($W1400)),"Assessed – no score",IF($W1400&gt;=Setup!$B$24,"High",IF($W1400&gt;=Setup!$B$25,"Moderate","Low")))))))</f>
        <v/>
      </c>
      <c r="AL1400" s="21">
        <f>IF(AND($A1400="",$B1400=""),"",IF(Z1400=0,"",IF(AND(AE1400=1,N($R1400)&gt;AD1400*1.01+0.001),"Net terrestrial &gt; gross; ","")&amp;IF(AND(AE1400=1,N($S1400)&gt;AC1400*1.01+0.001),"Net marine &gt; gross; ","")&amp;IF(AE1400=0,"No net area – gross used, overlaps may be double-counted; ","")&amp;IF(AH1400=0,"STATUS_YR missing – imputed in time series; ","")&amp;IF(AND(ISNUMBER($I1400),N($I1400)&gt;Setup!$B$6),"STATUS_YR after reporting year; ","")&amp;IF(OR($G1400="",$G1400="Not Reported"),"GOV_TYPE not reported; ","")&amp;IF(AND(N($J1400)=1,$K1400="Point",N($M1400)&lt;=0),"Coastal point without REP_M_AREA – land/sea split unknown; ","")&amp;IF(AND(N($J1400)=0,N($S1400)&gt;0),"MARINE=0 but net marine &gt;0; ","")&amp;IF(AND(N($J1400)=2,N($R1400)&gt;0),"MARINE=2 but net terrestrial &gt;0; ","")&amp;IF($K1400="Point","Buffered point – coverage approximate; ","")))</f>
        <v/>
      </c>
    </row>
    <row r="1401">
      <c r="A1401" s="19" t="n"/>
      <c r="B1401" s="19" t="n"/>
      <c r="C1401" s="19" t="n"/>
      <c r="D1401" s="19" t="n"/>
      <c r="E1401" s="19" t="n"/>
      <c r="F1401" s="19" t="n"/>
      <c r="G1401" s="19" t="n"/>
      <c r="H1401" s="19" t="n"/>
      <c r="I1401" s="19" t="n"/>
      <c r="J1401" s="19" t="n"/>
      <c r="K1401" s="19" t="n"/>
      <c r="L1401" s="20" t="n"/>
      <c r="M1401" s="20" t="n"/>
      <c r="N1401" s="20" t="n"/>
      <c r="O1401" s="20" t="n"/>
      <c r="P1401" s="19" t="n"/>
      <c r="Q1401" s="19" t="n"/>
      <c r="R1401" s="20" t="n"/>
      <c r="S1401" s="20" t="n"/>
      <c r="T1401" s="19" t="n"/>
      <c r="U1401" s="19" t="n"/>
      <c r="V1401" s="19" t="n"/>
      <c r="W1401" s="19" t="n"/>
      <c r="X1401" s="19" t="n"/>
      <c r="Y1401" s="19" t="n"/>
      <c r="Z1401" s="21">
        <f>IF(AND($A1401="",$B1401=""),"",IF(OR($E1401="",$H1401="",$H1401="Proposed",$H1401="Not Reported"),0,IF(AND($P1401="Y",$Q1401&lt;&gt;"Y"),0,IF(AND($K1401="Point",N($L1401)&lt;=0),0,IF(AND(N($L1401)&lt;=0,N($N1401)&lt;=0,N($R1401)+N($S1401)&lt;=0),0,1)))))</f>
        <v/>
      </c>
      <c r="AA1401" s="21">
        <f>IF(AND($A1401="",$B1401=""),"",IF($E1401="","Site type missing",IF($H1401="","STATUS missing",IF($H1401="Proposed","STATUS = Proposed",IF($H1401="Not Reported","STATUS = Not Reported",IF(AND($P1401="Y",$Q1401&lt;&gt;"Y"),"UNESCO-MAB Biosphere Reserve",IF(AND($K1401="Point",N($L1401)&lt;=0),"Point without REP_AREA",IF(AND(N($L1401)&lt;=0,N($N1401)&lt;=0,N($R1401)+N($S1401)&lt;=0),"No area information",""))))))))</f>
        <v/>
      </c>
      <c r="AB1401" s="22">
        <f>IF(AND($A1401="",$B1401=""),"",IF($K1401="Point",N($L1401),IF(N($N1401)&gt;0,N($N1401),N($L1401))))</f>
        <v/>
      </c>
      <c r="AC1401" s="22">
        <f>IF(AND($A1401="",$B1401=""),"",MIN(AB1401,IF(N($J1401)=0,0,IF(N($J1401)=2,AB1401,IF(AND($K1401&lt;&gt;"Point",N($O1401)&gt;0),N($O1401),N($M1401))))))</f>
        <v/>
      </c>
      <c r="AD1401" s="22">
        <f>IF(AND($A1401="",$B1401=""),"",MAX(0,AB1401-AC1401))</f>
        <v/>
      </c>
      <c r="AE1401" s="21">
        <f>IF(AND($A1401="",$B1401=""),"",IF(OR($R1401&lt;&gt;"",$S1401&lt;&gt;""),1,0))</f>
        <v/>
      </c>
      <c r="AF1401" s="22">
        <f>IF(AND($A1401="",$B1401=""),"",IF(Z1401=1,IF(AE1401=1,N($R1401),AD1401),0))</f>
        <v/>
      </c>
      <c r="AG1401" s="22">
        <f>IF(AND($A1401="",$B1401=""),"",IF(Z1401=1,IF(AE1401=1,N($S1401),AC1401),0))</f>
        <v/>
      </c>
      <c r="AH1401" s="21">
        <f>IF(AND($A1401="",$B1401=""),"",IF(AND(ISNUMBER($I1401),N($I1401)&gt;0),$I1401,0))</f>
        <v/>
      </c>
      <c r="AI1401" s="23">
        <f>IF(AND(NOT(AND($A1401="",$B1401="")),$K1401="Point",N($L1401)&gt;0),SQRT(N($L1401)/PI()),"")</f>
        <v/>
      </c>
      <c r="AJ1401" s="21">
        <f>IF(AND($A1401="",$B1401=""),"",IFERROR(VLOOKUP($G1401,Lists!$D$4:$E$15,2,FALSE),"Not reported"))</f>
        <v/>
      </c>
      <c r="AK1401" s="21">
        <f>IF(AND($A1401="",$B1401=""),"",IF($X1401&lt;&gt;"",$X1401,IF($T1401&lt;&gt;"Y","Not assessed",IF(AND(ISNUMBER($V1401),Setup!$B$6-$V1401&gt;Setup!$B$26),"Assessment outdated",IF(NOT(ISNUMBER($W1401)),"Assessed – no score",IF($W1401&gt;=Setup!$B$24,"High",IF($W1401&gt;=Setup!$B$25,"Moderate","Low")))))))</f>
        <v/>
      </c>
      <c r="AL1401" s="21">
        <f>IF(AND($A1401="",$B1401=""),"",IF(Z1401=0,"",IF(AND(AE1401=1,N($R1401)&gt;AD1401*1.01+0.001),"Net terrestrial &gt; gross; ","")&amp;IF(AND(AE1401=1,N($S1401)&gt;AC1401*1.01+0.001),"Net marine &gt; gross; ","")&amp;IF(AE1401=0,"No net area – gross used, overlaps may be double-counted; ","")&amp;IF(AH1401=0,"STATUS_YR missing – imputed in time series; ","")&amp;IF(AND(ISNUMBER($I1401),N($I1401)&gt;Setup!$B$6),"STATUS_YR after reporting year; ","")&amp;IF(OR($G1401="",$G1401="Not Reported"),"GOV_TYPE not reported; ","")&amp;IF(AND(N($J1401)=1,$K1401="Point",N($M1401)&lt;=0),"Coastal point without REP_M_AREA – land/sea split unknown; ","")&amp;IF(AND(N($J1401)=0,N($S1401)&gt;0),"MARINE=0 but net marine &gt;0; ","")&amp;IF(AND(N($J1401)=2,N($R1401)&gt;0),"MARINE=2 but net terrestrial &gt;0; ","")&amp;IF($K1401="Point","Buffered point – coverage approximate; ","")))</f>
        <v/>
      </c>
    </row>
    <row r="1402">
      <c r="A1402" s="19" t="n"/>
      <c r="B1402" s="19" t="n"/>
      <c r="C1402" s="19" t="n"/>
      <c r="D1402" s="19" t="n"/>
      <c r="E1402" s="19" t="n"/>
      <c r="F1402" s="19" t="n"/>
      <c r="G1402" s="19" t="n"/>
      <c r="H1402" s="19" t="n"/>
      <c r="I1402" s="19" t="n"/>
      <c r="J1402" s="19" t="n"/>
      <c r="K1402" s="19" t="n"/>
      <c r="L1402" s="20" t="n"/>
      <c r="M1402" s="20" t="n"/>
      <c r="N1402" s="20" t="n"/>
      <c r="O1402" s="20" t="n"/>
      <c r="P1402" s="19" t="n"/>
      <c r="Q1402" s="19" t="n"/>
      <c r="R1402" s="20" t="n"/>
      <c r="S1402" s="20" t="n"/>
      <c r="T1402" s="19" t="n"/>
      <c r="U1402" s="19" t="n"/>
      <c r="V1402" s="19" t="n"/>
      <c r="W1402" s="19" t="n"/>
      <c r="X1402" s="19" t="n"/>
      <c r="Y1402" s="19" t="n"/>
      <c r="Z1402" s="21">
        <f>IF(AND($A1402="",$B1402=""),"",IF(OR($E1402="",$H1402="",$H1402="Proposed",$H1402="Not Reported"),0,IF(AND($P1402="Y",$Q1402&lt;&gt;"Y"),0,IF(AND($K1402="Point",N($L1402)&lt;=0),0,IF(AND(N($L1402)&lt;=0,N($N1402)&lt;=0,N($R1402)+N($S1402)&lt;=0),0,1)))))</f>
        <v/>
      </c>
      <c r="AA1402" s="21">
        <f>IF(AND($A1402="",$B1402=""),"",IF($E1402="","Site type missing",IF($H1402="","STATUS missing",IF($H1402="Proposed","STATUS = Proposed",IF($H1402="Not Reported","STATUS = Not Reported",IF(AND($P1402="Y",$Q1402&lt;&gt;"Y"),"UNESCO-MAB Biosphere Reserve",IF(AND($K1402="Point",N($L1402)&lt;=0),"Point without REP_AREA",IF(AND(N($L1402)&lt;=0,N($N1402)&lt;=0,N($R1402)+N($S1402)&lt;=0),"No area information",""))))))))</f>
        <v/>
      </c>
      <c r="AB1402" s="22">
        <f>IF(AND($A1402="",$B1402=""),"",IF($K1402="Point",N($L1402),IF(N($N1402)&gt;0,N($N1402),N($L1402))))</f>
        <v/>
      </c>
      <c r="AC1402" s="22">
        <f>IF(AND($A1402="",$B1402=""),"",MIN(AB1402,IF(N($J1402)=0,0,IF(N($J1402)=2,AB1402,IF(AND($K1402&lt;&gt;"Point",N($O1402)&gt;0),N($O1402),N($M1402))))))</f>
        <v/>
      </c>
      <c r="AD1402" s="22">
        <f>IF(AND($A1402="",$B1402=""),"",MAX(0,AB1402-AC1402))</f>
        <v/>
      </c>
      <c r="AE1402" s="21">
        <f>IF(AND($A1402="",$B1402=""),"",IF(OR($R1402&lt;&gt;"",$S1402&lt;&gt;""),1,0))</f>
        <v/>
      </c>
      <c r="AF1402" s="22">
        <f>IF(AND($A1402="",$B1402=""),"",IF(Z1402=1,IF(AE1402=1,N($R1402),AD1402),0))</f>
        <v/>
      </c>
      <c r="AG1402" s="22">
        <f>IF(AND($A1402="",$B1402=""),"",IF(Z1402=1,IF(AE1402=1,N($S1402),AC1402),0))</f>
        <v/>
      </c>
      <c r="AH1402" s="21">
        <f>IF(AND($A1402="",$B1402=""),"",IF(AND(ISNUMBER($I1402),N($I1402)&gt;0),$I1402,0))</f>
        <v/>
      </c>
      <c r="AI1402" s="23">
        <f>IF(AND(NOT(AND($A1402="",$B1402="")),$K1402="Point",N($L1402)&gt;0),SQRT(N($L1402)/PI()),"")</f>
        <v/>
      </c>
      <c r="AJ1402" s="21">
        <f>IF(AND($A1402="",$B1402=""),"",IFERROR(VLOOKUP($G1402,Lists!$D$4:$E$15,2,FALSE),"Not reported"))</f>
        <v/>
      </c>
      <c r="AK1402" s="21">
        <f>IF(AND($A1402="",$B1402=""),"",IF($X1402&lt;&gt;"",$X1402,IF($T1402&lt;&gt;"Y","Not assessed",IF(AND(ISNUMBER($V1402),Setup!$B$6-$V1402&gt;Setup!$B$26),"Assessment outdated",IF(NOT(ISNUMBER($W1402)),"Assessed – no score",IF($W1402&gt;=Setup!$B$24,"High",IF($W1402&gt;=Setup!$B$25,"Moderate","Low")))))))</f>
        <v/>
      </c>
      <c r="AL1402" s="21">
        <f>IF(AND($A1402="",$B1402=""),"",IF(Z1402=0,"",IF(AND(AE1402=1,N($R1402)&gt;AD1402*1.01+0.001),"Net terrestrial &gt; gross; ","")&amp;IF(AND(AE1402=1,N($S1402)&gt;AC1402*1.01+0.001),"Net marine &gt; gross; ","")&amp;IF(AE1402=0,"No net area – gross used, overlaps may be double-counted; ","")&amp;IF(AH1402=0,"STATUS_YR missing – imputed in time series; ","")&amp;IF(AND(ISNUMBER($I1402),N($I1402)&gt;Setup!$B$6),"STATUS_YR after reporting year; ","")&amp;IF(OR($G1402="",$G1402="Not Reported"),"GOV_TYPE not reported; ","")&amp;IF(AND(N($J1402)=1,$K1402="Point",N($M1402)&lt;=0),"Coastal point without REP_M_AREA – land/sea split unknown; ","")&amp;IF(AND(N($J1402)=0,N($S1402)&gt;0),"MARINE=0 but net marine &gt;0; ","")&amp;IF(AND(N($J1402)=2,N($R1402)&gt;0),"MARINE=2 but net terrestrial &gt;0; ","")&amp;IF($K1402="Point","Buffered point – coverage approximate; ","")))</f>
        <v/>
      </c>
    </row>
    <row r="1403">
      <c r="A1403" s="19" t="n"/>
      <c r="B1403" s="19" t="n"/>
      <c r="C1403" s="19" t="n"/>
      <c r="D1403" s="19" t="n"/>
      <c r="E1403" s="19" t="n"/>
      <c r="F1403" s="19" t="n"/>
      <c r="G1403" s="19" t="n"/>
      <c r="H1403" s="19" t="n"/>
      <c r="I1403" s="19" t="n"/>
      <c r="J1403" s="19" t="n"/>
      <c r="K1403" s="19" t="n"/>
      <c r="L1403" s="20" t="n"/>
      <c r="M1403" s="20" t="n"/>
      <c r="N1403" s="20" t="n"/>
      <c r="O1403" s="20" t="n"/>
      <c r="P1403" s="19" t="n"/>
      <c r="Q1403" s="19" t="n"/>
      <c r="R1403" s="20" t="n"/>
      <c r="S1403" s="20" t="n"/>
      <c r="T1403" s="19" t="n"/>
      <c r="U1403" s="19" t="n"/>
      <c r="V1403" s="19" t="n"/>
      <c r="W1403" s="19" t="n"/>
      <c r="X1403" s="19" t="n"/>
      <c r="Y1403" s="19" t="n"/>
      <c r="Z1403" s="21">
        <f>IF(AND($A1403="",$B1403=""),"",IF(OR($E1403="",$H1403="",$H1403="Proposed",$H1403="Not Reported"),0,IF(AND($P1403="Y",$Q1403&lt;&gt;"Y"),0,IF(AND($K1403="Point",N($L1403)&lt;=0),0,IF(AND(N($L1403)&lt;=0,N($N1403)&lt;=0,N($R1403)+N($S1403)&lt;=0),0,1)))))</f>
        <v/>
      </c>
      <c r="AA1403" s="21">
        <f>IF(AND($A1403="",$B1403=""),"",IF($E1403="","Site type missing",IF($H1403="","STATUS missing",IF($H1403="Proposed","STATUS = Proposed",IF($H1403="Not Reported","STATUS = Not Reported",IF(AND($P1403="Y",$Q1403&lt;&gt;"Y"),"UNESCO-MAB Biosphere Reserve",IF(AND($K1403="Point",N($L1403)&lt;=0),"Point without REP_AREA",IF(AND(N($L1403)&lt;=0,N($N1403)&lt;=0,N($R1403)+N($S1403)&lt;=0),"No area information",""))))))))</f>
        <v/>
      </c>
      <c r="AB1403" s="22">
        <f>IF(AND($A1403="",$B1403=""),"",IF($K1403="Point",N($L1403),IF(N($N1403)&gt;0,N($N1403),N($L1403))))</f>
        <v/>
      </c>
      <c r="AC1403" s="22">
        <f>IF(AND($A1403="",$B1403=""),"",MIN(AB1403,IF(N($J1403)=0,0,IF(N($J1403)=2,AB1403,IF(AND($K1403&lt;&gt;"Point",N($O1403)&gt;0),N($O1403),N($M1403))))))</f>
        <v/>
      </c>
      <c r="AD1403" s="22">
        <f>IF(AND($A1403="",$B1403=""),"",MAX(0,AB1403-AC1403))</f>
        <v/>
      </c>
      <c r="AE1403" s="21">
        <f>IF(AND($A1403="",$B1403=""),"",IF(OR($R1403&lt;&gt;"",$S1403&lt;&gt;""),1,0))</f>
        <v/>
      </c>
      <c r="AF1403" s="22">
        <f>IF(AND($A1403="",$B1403=""),"",IF(Z1403=1,IF(AE1403=1,N($R1403),AD1403),0))</f>
        <v/>
      </c>
      <c r="AG1403" s="22">
        <f>IF(AND($A1403="",$B1403=""),"",IF(Z1403=1,IF(AE1403=1,N($S1403),AC1403),0))</f>
        <v/>
      </c>
      <c r="AH1403" s="21">
        <f>IF(AND($A1403="",$B1403=""),"",IF(AND(ISNUMBER($I1403),N($I1403)&gt;0),$I1403,0))</f>
        <v/>
      </c>
      <c r="AI1403" s="23">
        <f>IF(AND(NOT(AND($A1403="",$B1403="")),$K1403="Point",N($L1403)&gt;0),SQRT(N($L1403)/PI()),"")</f>
        <v/>
      </c>
      <c r="AJ1403" s="21">
        <f>IF(AND($A1403="",$B1403=""),"",IFERROR(VLOOKUP($G1403,Lists!$D$4:$E$15,2,FALSE),"Not reported"))</f>
        <v/>
      </c>
      <c r="AK1403" s="21">
        <f>IF(AND($A1403="",$B1403=""),"",IF($X1403&lt;&gt;"",$X1403,IF($T1403&lt;&gt;"Y","Not assessed",IF(AND(ISNUMBER($V1403),Setup!$B$6-$V1403&gt;Setup!$B$26),"Assessment outdated",IF(NOT(ISNUMBER($W1403)),"Assessed – no score",IF($W1403&gt;=Setup!$B$24,"High",IF($W1403&gt;=Setup!$B$25,"Moderate","Low")))))))</f>
        <v/>
      </c>
      <c r="AL1403" s="21">
        <f>IF(AND($A1403="",$B1403=""),"",IF(Z1403=0,"",IF(AND(AE1403=1,N($R1403)&gt;AD1403*1.01+0.001),"Net terrestrial &gt; gross; ","")&amp;IF(AND(AE1403=1,N($S1403)&gt;AC1403*1.01+0.001),"Net marine &gt; gross; ","")&amp;IF(AE1403=0,"No net area – gross used, overlaps may be double-counted; ","")&amp;IF(AH1403=0,"STATUS_YR missing – imputed in time series; ","")&amp;IF(AND(ISNUMBER($I1403),N($I1403)&gt;Setup!$B$6),"STATUS_YR after reporting year; ","")&amp;IF(OR($G1403="",$G1403="Not Reported"),"GOV_TYPE not reported; ","")&amp;IF(AND(N($J1403)=1,$K1403="Point",N($M1403)&lt;=0),"Coastal point without REP_M_AREA – land/sea split unknown; ","")&amp;IF(AND(N($J1403)=0,N($S1403)&gt;0),"MARINE=0 but net marine &gt;0; ","")&amp;IF(AND(N($J1403)=2,N($R1403)&gt;0),"MARINE=2 but net terrestrial &gt;0; ","")&amp;IF($K1403="Point","Buffered point – coverage approximate; ","")))</f>
        <v/>
      </c>
    </row>
    <row r="1404">
      <c r="A1404" s="19" t="n"/>
      <c r="B1404" s="19" t="n"/>
      <c r="C1404" s="19" t="n"/>
      <c r="D1404" s="19" t="n"/>
      <c r="E1404" s="19" t="n"/>
      <c r="F1404" s="19" t="n"/>
      <c r="G1404" s="19" t="n"/>
      <c r="H1404" s="19" t="n"/>
      <c r="I1404" s="19" t="n"/>
      <c r="J1404" s="19" t="n"/>
      <c r="K1404" s="19" t="n"/>
      <c r="L1404" s="20" t="n"/>
      <c r="M1404" s="20" t="n"/>
      <c r="N1404" s="20" t="n"/>
      <c r="O1404" s="20" t="n"/>
      <c r="P1404" s="19" t="n"/>
      <c r="Q1404" s="19" t="n"/>
      <c r="R1404" s="20" t="n"/>
      <c r="S1404" s="20" t="n"/>
      <c r="T1404" s="19" t="n"/>
      <c r="U1404" s="19" t="n"/>
      <c r="V1404" s="19" t="n"/>
      <c r="W1404" s="19" t="n"/>
      <c r="X1404" s="19" t="n"/>
      <c r="Y1404" s="19" t="n"/>
      <c r="Z1404" s="21">
        <f>IF(AND($A1404="",$B1404=""),"",IF(OR($E1404="",$H1404="",$H1404="Proposed",$H1404="Not Reported"),0,IF(AND($P1404="Y",$Q1404&lt;&gt;"Y"),0,IF(AND($K1404="Point",N($L1404)&lt;=0),0,IF(AND(N($L1404)&lt;=0,N($N1404)&lt;=0,N($R1404)+N($S1404)&lt;=0),0,1)))))</f>
        <v/>
      </c>
      <c r="AA1404" s="21">
        <f>IF(AND($A1404="",$B1404=""),"",IF($E1404="","Site type missing",IF($H1404="","STATUS missing",IF($H1404="Proposed","STATUS = Proposed",IF($H1404="Not Reported","STATUS = Not Reported",IF(AND($P1404="Y",$Q1404&lt;&gt;"Y"),"UNESCO-MAB Biosphere Reserve",IF(AND($K1404="Point",N($L1404)&lt;=0),"Point without REP_AREA",IF(AND(N($L1404)&lt;=0,N($N1404)&lt;=0,N($R1404)+N($S1404)&lt;=0),"No area information",""))))))))</f>
        <v/>
      </c>
      <c r="AB1404" s="22">
        <f>IF(AND($A1404="",$B1404=""),"",IF($K1404="Point",N($L1404),IF(N($N1404)&gt;0,N($N1404),N($L1404))))</f>
        <v/>
      </c>
      <c r="AC1404" s="22">
        <f>IF(AND($A1404="",$B1404=""),"",MIN(AB1404,IF(N($J1404)=0,0,IF(N($J1404)=2,AB1404,IF(AND($K1404&lt;&gt;"Point",N($O1404)&gt;0),N($O1404),N($M1404))))))</f>
        <v/>
      </c>
      <c r="AD1404" s="22">
        <f>IF(AND($A1404="",$B1404=""),"",MAX(0,AB1404-AC1404))</f>
        <v/>
      </c>
      <c r="AE1404" s="21">
        <f>IF(AND($A1404="",$B1404=""),"",IF(OR($R1404&lt;&gt;"",$S1404&lt;&gt;""),1,0))</f>
        <v/>
      </c>
      <c r="AF1404" s="22">
        <f>IF(AND($A1404="",$B1404=""),"",IF(Z1404=1,IF(AE1404=1,N($R1404),AD1404),0))</f>
        <v/>
      </c>
      <c r="AG1404" s="22">
        <f>IF(AND($A1404="",$B1404=""),"",IF(Z1404=1,IF(AE1404=1,N($S1404),AC1404),0))</f>
        <v/>
      </c>
      <c r="AH1404" s="21">
        <f>IF(AND($A1404="",$B1404=""),"",IF(AND(ISNUMBER($I1404),N($I1404)&gt;0),$I1404,0))</f>
        <v/>
      </c>
      <c r="AI1404" s="23">
        <f>IF(AND(NOT(AND($A1404="",$B1404="")),$K1404="Point",N($L1404)&gt;0),SQRT(N($L1404)/PI()),"")</f>
        <v/>
      </c>
      <c r="AJ1404" s="21">
        <f>IF(AND($A1404="",$B1404=""),"",IFERROR(VLOOKUP($G1404,Lists!$D$4:$E$15,2,FALSE),"Not reported"))</f>
        <v/>
      </c>
      <c r="AK1404" s="21">
        <f>IF(AND($A1404="",$B1404=""),"",IF($X1404&lt;&gt;"",$X1404,IF($T1404&lt;&gt;"Y","Not assessed",IF(AND(ISNUMBER($V1404),Setup!$B$6-$V1404&gt;Setup!$B$26),"Assessment outdated",IF(NOT(ISNUMBER($W1404)),"Assessed – no score",IF($W1404&gt;=Setup!$B$24,"High",IF($W1404&gt;=Setup!$B$25,"Moderate","Low")))))))</f>
        <v/>
      </c>
      <c r="AL1404" s="21">
        <f>IF(AND($A1404="",$B1404=""),"",IF(Z1404=0,"",IF(AND(AE1404=1,N($R1404)&gt;AD1404*1.01+0.001),"Net terrestrial &gt; gross; ","")&amp;IF(AND(AE1404=1,N($S1404)&gt;AC1404*1.01+0.001),"Net marine &gt; gross; ","")&amp;IF(AE1404=0,"No net area – gross used, overlaps may be double-counted; ","")&amp;IF(AH1404=0,"STATUS_YR missing – imputed in time series; ","")&amp;IF(AND(ISNUMBER($I1404),N($I1404)&gt;Setup!$B$6),"STATUS_YR after reporting year; ","")&amp;IF(OR($G1404="",$G1404="Not Reported"),"GOV_TYPE not reported; ","")&amp;IF(AND(N($J1404)=1,$K1404="Point",N($M1404)&lt;=0),"Coastal point without REP_M_AREA – land/sea split unknown; ","")&amp;IF(AND(N($J1404)=0,N($S1404)&gt;0),"MARINE=0 but net marine &gt;0; ","")&amp;IF(AND(N($J1404)=2,N($R1404)&gt;0),"MARINE=2 but net terrestrial &gt;0; ","")&amp;IF($K1404="Point","Buffered point – coverage approximate; ","")))</f>
        <v/>
      </c>
    </row>
    <row r="1405">
      <c r="A1405" s="19" t="n"/>
      <c r="B1405" s="19" t="n"/>
      <c r="C1405" s="19" t="n"/>
      <c r="D1405" s="19" t="n"/>
      <c r="E1405" s="19" t="n"/>
      <c r="F1405" s="19" t="n"/>
      <c r="G1405" s="19" t="n"/>
      <c r="H1405" s="19" t="n"/>
      <c r="I1405" s="19" t="n"/>
      <c r="J1405" s="19" t="n"/>
      <c r="K1405" s="19" t="n"/>
      <c r="L1405" s="20" t="n"/>
      <c r="M1405" s="20" t="n"/>
      <c r="N1405" s="20" t="n"/>
      <c r="O1405" s="20" t="n"/>
      <c r="P1405" s="19" t="n"/>
      <c r="Q1405" s="19" t="n"/>
      <c r="R1405" s="20" t="n"/>
      <c r="S1405" s="20" t="n"/>
      <c r="T1405" s="19" t="n"/>
      <c r="U1405" s="19" t="n"/>
      <c r="V1405" s="19" t="n"/>
      <c r="W1405" s="19" t="n"/>
      <c r="X1405" s="19" t="n"/>
      <c r="Y1405" s="19" t="n"/>
      <c r="Z1405" s="21">
        <f>IF(AND($A1405="",$B1405=""),"",IF(OR($E1405="",$H1405="",$H1405="Proposed",$H1405="Not Reported"),0,IF(AND($P1405="Y",$Q1405&lt;&gt;"Y"),0,IF(AND($K1405="Point",N($L1405)&lt;=0),0,IF(AND(N($L1405)&lt;=0,N($N1405)&lt;=0,N($R1405)+N($S1405)&lt;=0),0,1)))))</f>
        <v/>
      </c>
      <c r="AA1405" s="21">
        <f>IF(AND($A1405="",$B1405=""),"",IF($E1405="","Site type missing",IF($H1405="","STATUS missing",IF($H1405="Proposed","STATUS = Proposed",IF($H1405="Not Reported","STATUS = Not Reported",IF(AND($P1405="Y",$Q1405&lt;&gt;"Y"),"UNESCO-MAB Biosphere Reserve",IF(AND($K1405="Point",N($L1405)&lt;=0),"Point without REP_AREA",IF(AND(N($L1405)&lt;=0,N($N1405)&lt;=0,N($R1405)+N($S1405)&lt;=0),"No area information",""))))))))</f>
        <v/>
      </c>
      <c r="AB1405" s="22">
        <f>IF(AND($A1405="",$B1405=""),"",IF($K1405="Point",N($L1405),IF(N($N1405)&gt;0,N($N1405),N($L1405))))</f>
        <v/>
      </c>
      <c r="AC1405" s="22">
        <f>IF(AND($A1405="",$B1405=""),"",MIN(AB1405,IF(N($J1405)=0,0,IF(N($J1405)=2,AB1405,IF(AND($K1405&lt;&gt;"Point",N($O1405)&gt;0),N($O1405),N($M1405))))))</f>
        <v/>
      </c>
      <c r="AD1405" s="22">
        <f>IF(AND($A1405="",$B1405=""),"",MAX(0,AB1405-AC1405))</f>
        <v/>
      </c>
      <c r="AE1405" s="21">
        <f>IF(AND($A1405="",$B1405=""),"",IF(OR($R1405&lt;&gt;"",$S1405&lt;&gt;""),1,0))</f>
        <v/>
      </c>
      <c r="AF1405" s="22">
        <f>IF(AND($A1405="",$B1405=""),"",IF(Z1405=1,IF(AE1405=1,N($R1405),AD1405),0))</f>
        <v/>
      </c>
      <c r="AG1405" s="22">
        <f>IF(AND($A1405="",$B1405=""),"",IF(Z1405=1,IF(AE1405=1,N($S1405),AC1405),0))</f>
        <v/>
      </c>
      <c r="AH1405" s="21">
        <f>IF(AND($A1405="",$B1405=""),"",IF(AND(ISNUMBER($I1405),N($I1405)&gt;0),$I1405,0))</f>
        <v/>
      </c>
      <c r="AI1405" s="23">
        <f>IF(AND(NOT(AND($A1405="",$B1405="")),$K1405="Point",N($L1405)&gt;0),SQRT(N($L1405)/PI()),"")</f>
        <v/>
      </c>
      <c r="AJ1405" s="21">
        <f>IF(AND($A1405="",$B1405=""),"",IFERROR(VLOOKUP($G1405,Lists!$D$4:$E$15,2,FALSE),"Not reported"))</f>
        <v/>
      </c>
      <c r="AK1405" s="21">
        <f>IF(AND($A1405="",$B1405=""),"",IF($X1405&lt;&gt;"",$X1405,IF($T1405&lt;&gt;"Y","Not assessed",IF(AND(ISNUMBER($V1405),Setup!$B$6-$V1405&gt;Setup!$B$26),"Assessment outdated",IF(NOT(ISNUMBER($W1405)),"Assessed – no score",IF($W1405&gt;=Setup!$B$24,"High",IF($W1405&gt;=Setup!$B$25,"Moderate","Low")))))))</f>
        <v/>
      </c>
      <c r="AL1405" s="21">
        <f>IF(AND($A1405="",$B1405=""),"",IF(Z1405=0,"",IF(AND(AE1405=1,N($R1405)&gt;AD1405*1.01+0.001),"Net terrestrial &gt; gross; ","")&amp;IF(AND(AE1405=1,N($S1405)&gt;AC1405*1.01+0.001),"Net marine &gt; gross; ","")&amp;IF(AE1405=0,"No net area – gross used, overlaps may be double-counted; ","")&amp;IF(AH1405=0,"STATUS_YR missing – imputed in time series; ","")&amp;IF(AND(ISNUMBER($I1405),N($I1405)&gt;Setup!$B$6),"STATUS_YR after reporting year; ","")&amp;IF(OR($G1405="",$G1405="Not Reported"),"GOV_TYPE not reported; ","")&amp;IF(AND(N($J1405)=1,$K1405="Point",N($M1405)&lt;=0),"Coastal point without REP_M_AREA – land/sea split unknown; ","")&amp;IF(AND(N($J1405)=0,N($S1405)&gt;0),"MARINE=0 but net marine &gt;0; ","")&amp;IF(AND(N($J1405)=2,N($R1405)&gt;0),"MARINE=2 but net terrestrial &gt;0; ","")&amp;IF($K1405="Point","Buffered point – coverage approximate; ","")))</f>
        <v/>
      </c>
    </row>
    <row r="1406">
      <c r="A1406" s="19" t="n"/>
      <c r="B1406" s="19" t="n"/>
      <c r="C1406" s="19" t="n"/>
      <c r="D1406" s="19" t="n"/>
      <c r="E1406" s="19" t="n"/>
      <c r="F1406" s="19" t="n"/>
      <c r="G1406" s="19" t="n"/>
      <c r="H1406" s="19" t="n"/>
      <c r="I1406" s="19" t="n"/>
      <c r="J1406" s="19" t="n"/>
      <c r="K1406" s="19" t="n"/>
      <c r="L1406" s="20" t="n"/>
      <c r="M1406" s="20" t="n"/>
      <c r="N1406" s="20" t="n"/>
      <c r="O1406" s="20" t="n"/>
      <c r="P1406" s="19" t="n"/>
      <c r="Q1406" s="19" t="n"/>
      <c r="R1406" s="20" t="n"/>
      <c r="S1406" s="20" t="n"/>
      <c r="T1406" s="19" t="n"/>
      <c r="U1406" s="19" t="n"/>
      <c r="V1406" s="19" t="n"/>
      <c r="W1406" s="19" t="n"/>
      <c r="X1406" s="19" t="n"/>
      <c r="Y1406" s="19" t="n"/>
      <c r="Z1406" s="21">
        <f>IF(AND($A1406="",$B1406=""),"",IF(OR($E1406="",$H1406="",$H1406="Proposed",$H1406="Not Reported"),0,IF(AND($P1406="Y",$Q1406&lt;&gt;"Y"),0,IF(AND($K1406="Point",N($L1406)&lt;=0),0,IF(AND(N($L1406)&lt;=0,N($N1406)&lt;=0,N($R1406)+N($S1406)&lt;=0),0,1)))))</f>
        <v/>
      </c>
      <c r="AA1406" s="21">
        <f>IF(AND($A1406="",$B1406=""),"",IF($E1406="","Site type missing",IF($H1406="","STATUS missing",IF($H1406="Proposed","STATUS = Proposed",IF($H1406="Not Reported","STATUS = Not Reported",IF(AND($P1406="Y",$Q1406&lt;&gt;"Y"),"UNESCO-MAB Biosphere Reserve",IF(AND($K1406="Point",N($L1406)&lt;=0),"Point without REP_AREA",IF(AND(N($L1406)&lt;=0,N($N1406)&lt;=0,N($R1406)+N($S1406)&lt;=0),"No area information",""))))))))</f>
        <v/>
      </c>
      <c r="AB1406" s="22">
        <f>IF(AND($A1406="",$B1406=""),"",IF($K1406="Point",N($L1406),IF(N($N1406)&gt;0,N($N1406),N($L1406))))</f>
        <v/>
      </c>
      <c r="AC1406" s="22">
        <f>IF(AND($A1406="",$B1406=""),"",MIN(AB1406,IF(N($J1406)=0,0,IF(N($J1406)=2,AB1406,IF(AND($K1406&lt;&gt;"Point",N($O1406)&gt;0),N($O1406),N($M1406))))))</f>
        <v/>
      </c>
      <c r="AD1406" s="22">
        <f>IF(AND($A1406="",$B1406=""),"",MAX(0,AB1406-AC1406))</f>
        <v/>
      </c>
      <c r="AE1406" s="21">
        <f>IF(AND($A1406="",$B1406=""),"",IF(OR($R1406&lt;&gt;"",$S1406&lt;&gt;""),1,0))</f>
        <v/>
      </c>
      <c r="AF1406" s="22">
        <f>IF(AND($A1406="",$B1406=""),"",IF(Z1406=1,IF(AE1406=1,N($R1406),AD1406),0))</f>
        <v/>
      </c>
      <c r="AG1406" s="22">
        <f>IF(AND($A1406="",$B1406=""),"",IF(Z1406=1,IF(AE1406=1,N($S1406),AC1406),0))</f>
        <v/>
      </c>
      <c r="AH1406" s="21">
        <f>IF(AND($A1406="",$B1406=""),"",IF(AND(ISNUMBER($I1406),N($I1406)&gt;0),$I1406,0))</f>
        <v/>
      </c>
      <c r="AI1406" s="23">
        <f>IF(AND(NOT(AND($A1406="",$B1406="")),$K1406="Point",N($L1406)&gt;0),SQRT(N($L1406)/PI()),"")</f>
        <v/>
      </c>
      <c r="AJ1406" s="21">
        <f>IF(AND($A1406="",$B1406=""),"",IFERROR(VLOOKUP($G1406,Lists!$D$4:$E$15,2,FALSE),"Not reported"))</f>
        <v/>
      </c>
      <c r="AK1406" s="21">
        <f>IF(AND($A1406="",$B1406=""),"",IF($X1406&lt;&gt;"",$X1406,IF($T1406&lt;&gt;"Y","Not assessed",IF(AND(ISNUMBER($V1406),Setup!$B$6-$V1406&gt;Setup!$B$26),"Assessment outdated",IF(NOT(ISNUMBER($W1406)),"Assessed – no score",IF($W1406&gt;=Setup!$B$24,"High",IF($W1406&gt;=Setup!$B$25,"Moderate","Low")))))))</f>
        <v/>
      </c>
      <c r="AL1406" s="21">
        <f>IF(AND($A1406="",$B1406=""),"",IF(Z1406=0,"",IF(AND(AE1406=1,N($R1406)&gt;AD1406*1.01+0.001),"Net terrestrial &gt; gross; ","")&amp;IF(AND(AE1406=1,N($S1406)&gt;AC1406*1.01+0.001),"Net marine &gt; gross; ","")&amp;IF(AE1406=0,"No net area – gross used, overlaps may be double-counted; ","")&amp;IF(AH1406=0,"STATUS_YR missing – imputed in time series; ","")&amp;IF(AND(ISNUMBER($I1406),N($I1406)&gt;Setup!$B$6),"STATUS_YR after reporting year; ","")&amp;IF(OR($G1406="",$G1406="Not Reported"),"GOV_TYPE not reported; ","")&amp;IF(AND(N($J1406)=1,$K1406="Point",N($M1406)&lt;=0),"Coastal point without REP_M_AREA – land/sea split unknown; ","")&amp;IF(AND(N($J1406)=0,N($S1406)&gt;0),"MARINE=0 but net marine &gt;0; ","")&amp;IF(AND(N($J1406)=2,N($R1406)&gt;0),"MARINE=2 but net terrestrial &gt;0; ","")&amp;IF($K1406="Point","Buffered point – coverage approximate; ","")))</f>
        <v/>
      </c>
    </row>
    <row r="1407">
      <c r="A1407" s="19" t="n"/>
      <c r="B1407" s="19" t="n"/>
      <c r="C1407" s="19" t="n"/>
      <c r="D1407" s="19" t="n"/>
      <c r="E1407" s="19" t="n"/>
      <c r="F1407" s="19" t="n"/>
      <c r="G1407" s="19" t="n"/>
      <c r="H1407" s="19" t="n"/>
      <c r="I1407" s="19" t="n"/>
      <c r="J1407" s="19" t="n"/>
      <c r="K1407" s="19" t="n"/>
      <c r="L1407" s="20" t="n"/>
      <c r="M1407" s="20" t="n"/>
      <c r="N1407" s="20" t="n"/>
      <c r="O1407" s="20" t="n"/>
      <c r="P1407" s="19" t="n"/>
      <c r="Q1407" s="19" t="n"/>
      <c r="R1407" s="20" t="n"/>
      <c r="S1407" s="20" t="n"/>
      <c r="T1407" s="19" t="n"/>
      <c r="U1407" s="19" t="n"/>
      <c r="V1407" s="19" t="n"/>
      <c r="W1407" s="19" t="n"/>
      <c r="X1407" s="19" t="n"/>
      <c r="Y1407" s="19" t="n"/>
      <c r="Z1407" s="21">
        <f>IF(AND($A1407="",$B1407=""),"",IF(OR($E1407="",$H1407="",$H1407="Proposed",$H1407="Not Reported"),0,IF(AND($P1407="Y",$Q1407&lt;&gt;"Y"),0,IF(AND($K1407="Point",N($L1407)&lt;=0),0,IF(AND(N($L1407)&lt;=0,N($N1407)&lt;=0,N($R1407)+N($S1407)&lt;=0),0,1)))))</f>
        <v/>
      </c>
      <c r="AA1407" s="21">
        <f>IF(AND($A1407="",$B1407=""),"",IF($E1407="","Site type missing",IF($H1407="","STATUS missing",IF($H1407="Proposed","STATUS = Proposed",IF($H1407="Not Reported","STATUS = Not Reported",IF(AND($P1407="Y",$Q1407&lt;&gt;"Y"),"UNESCO-MAB Biosphere Reserve",IF(AND($K1407="Point",N($L1407)&lt;=0),"Point without REP_AREA",IF(AND(N($L1407)&lt;=0,N($N1407)&lt;=0,N($R1407)+N($S1407)&lt;=0),"No area information",""))))))))</f>
        <v/>
      </c>
      <c r="AB1407" s="22">
        <f>IF(AND($A1407="",$B1407=""),"",IF($K1407="Point",N($L1407),IF(N($N1407)&gt;0,N($N1407),N($L1407))))</f>
        <v/>
      </c>
      <c r="AC1407" s="22">
        <f>IF(AND($A1407="",$B1407=""),"",MIN(AB1407,IF(N($J1407)=0,0,IF(N($J1407)=2,AB1407,IF(AND($K1407&lt;&gt;"Point",N($O1407)&gt;0),N($O1407),N($M1407))))))</f>
        <v/>
      </c>
      <c r="AD1407" s="22">
        <f>IF(AND($A1407="",$B1407=""),"",MAX(0,AB1407-AC1407))</f>
        <v/>
      </c>
      <c r="AE1407" s="21">
        <f>IF(AND($A1407="",$B1407=""),"",IF(OR($R1407&lt;&gt;"",$S1407&lt;&gt;""),1,0))</f>
        <v/>
      </c>
      <c r="AF1407" s="22">
        <f>IF(AND($A1407="",$B1407=""),"",IF(Z1407=1,IF(AE1407=1,N($R1407),AD1407),0))</f>
        <v/>
      </c>
      <c r="AG1407" s="22">
        <f>IF(AND($A1407="",$B1407=""),"",IF(Z1407=1,IF(AE1407=1,N($S1407),AC1407),0))</f>
        <v/>
      </c>
      <c r="AH1407" s="21">
        <f>IF(AND($A1407="",$B1407=""),"",IF(AND(ISNUMBER($I1407),N($I1407)&gt;0),$I1407,0))</f>
        <v/>
      </c>
      <c r="AI1407" s="23">
        <f>IF(AND(NOT(AND($A1407="",$B1407="")),$K1407="Point",N($L1407)&gt;0),SQRT(N($L1407)/PI()),"")</f>
        <v/>
      </c>
      <c r="AJ1407" s="21">
        <f>IF(AND($A1407="",$B1407=""),"",IFERROR(VLOOKUP($G1407,Lists!$D$4:$E$15,2,FALSE),"Not reported"))</f>
        <v/>
      </c>
      <c r="AK1407" s="21">
        <f>IF(AND($A1407="",$B1407=""),"",IF($X1407&lt;&gt;"",$X1407,IF($T1407&lt;&gt;"Y","Not assessed",IF(AND(ISNUMBER($V1407),Setup!$B$6-$V1407&gt;Setup!$B$26),"Assessment outdated",IF(NOT(ISNUMBER($W1407)),"Assessed – no score",IF($W1407&gt;=Setup!$B$24,"High",IF($W1407&gt;=Setup!$B$25,"Moderate","Low")))))))</f>
        <v/>
      </c>
      <c r="AL1407" s="21">
        <f>IF(AND($A1407="",$B1407=""),"",IF(Z1407=0,"",IF(AND(AE1407=1,N($R1407)&gt;AD1407*1.01+0.001),"Net terrestrial &gt; gross; ","")&amp;IF(AND(AE1407=1,N($S1407)&gt;AC1407*1.01+0.001),"Net marine &gt; gross; ","")&amp;IF(AE1407=0,"No net area – gross used, overlaps may be double-counted; ","")&amp;IF(AH1407=0,"STATUS_YR missing – imputed in time series; ","")&amp;IF(AND(ISNUMBER($I1407),N($I1407)&gt;Setup!$B$6),"STATUS_YR after reporting year; ","")&amp;IF(OR($G1407="",$G1407="Not Reported"),"GOV_TYPE not reported; ","")&amp;IF(AND(N($J1407)=1,$K1407="Point",N($M1407)&lt;=0),"Coastal point without REP_M_AREA – land/sea split unknown; ","")&amp;IF(AND(N($J1407)=0,N($S1407)&gt;0),"MARINE=0 but net marine &gt;0; ","")&amp;IF(AND(N($J1407)=2,N($R1407)&gt;0),"MARINE=2 but net terrestrial &gt;0; ","")&amp;IF($K1407="Point","Buffered point – coverage approximate; ","")))</f>
        <v/>
      </c>
    </row>
    <row r="1408">
      <c r="A1408" s="19" t="n"/>
      <c r="B1408" s="19" t="n"/>
      <c r="C1408" s="19" t="n"/>
      <c r="D1408" s="19" t="n"/>
      <c r="E1408" s="19" t="n"/>
      <c r="F1408" s="19" t="n"/>
      <c r="G1408" s="19" t="n"/>
      <c r="H1408" s="19" t="n"/>
      <c r="I1408" s="19" t="n"/>
      <c r="J1408" s="19" t="n"/>
      <c r="K1408" s="19" t="n"/>
      <c r="L1408" s="20" t="n"/>
      <c r="M1408" s="20" t="n"/>
      <c r="N1408" s="20" t="n"/>
      <c r="O1408" s="20" t="n"/>
      <c r="P1408" s="19" t="n"/>
      <c r="Q1408" s="19" t="n"/>
      <c r="R1408" s="20" t="n"/>
      <c r="S1408" s="20" t="n"/>
      <c r="T1408" s="19" t="n"/>
      <c r="U1408" s="19" t="n"/>
      <c r="V1408" s="19" t="n"/>
      <c r="W1408" s="19" t="n"/>
      <c r="X1408" s="19" t="n"/>
      <c r="Y1408" s="19" t="n"/>
      <c r="Z1408" s="21">
        <f>IF(AND($A1408="",$B1408=""),"",IF(OR($E1408="",$H1408="",$H1408="Proposed",$H1408="Not Reported"),0,IF(AND($P1408="Y",$Q1408&lt;&gt;"Y"),0,IF(AND($K1408="Point",N($L1408)&lt;=0),0,IF(AND(N($L1408)&lt;=0,N($N1408)&lt;=0,N($R1408)+N($S1408)&lt;=0),0,1)))))</f>
        <v/>
      </c>
      <c r="AA1408" s="21">
        <f>IF(AND($A1408="",$B1408=""),"",IF($E1408="","Site type missing",IF($H1408="","STATUS missing",IF($H1408="Proposed","STATUS = Proposed",IF($H1408="Not Reported","STATUS = Not Reported",IF(AND($P1408="Y",$Q1408&lt;&gt;"Y"),"UNESCO-MAB Biosphere Reserve",IF(AND($K1408="Point",N($L1408)&lt;=0),"Point without REP_AREA",IF(AND(N($L1408)&lt;=0,N($N1408)&lt;=0,N($R1408)+N($S1408)&lt;=0),"No area information",""))))))))</f>
        <v/>
      </c>
      <c r="AB1408" s="22">
        <f>IF(AND($A1408="",$B1408=""),"",IF($K1408="Point",N($L1408),IF(N($N1408)&gt;0,N($N1408),N($L1408))))</f>
        <v/>
      </c>
      <c r="AC1408" s="22">
        <f>IF(AND($A1408="",$B1408=""),"",MIN(AB1408,IF(N($J1408)=0,0,IF(N($J1408)=2,AB1408,IF(AND($K1408&lt;&gt;"Point",N($O1408)&gt;0),N($O1408),N($M1408))))))</f>
        <v/>
      </c>
      <c r="AD1408" s="22">
        <f>IF(AND($A1408="",$B1408=""),"",MAX(0,AB1408-AC1408))</f>
        <v/>
      </c>
      <c r="AE1408" s="21">
        <f>IF(AND($A1408="",$B1408=""),"",IF(OR($R1408&lt;&gt;"",$S1408&lt;&gt;""),1,0))</f>
        <v/>
      </c>
      <c r="AF1408" s="22">
        <f>IF(AND($A1408="",$B1408=""),"",IF(Z1408=1,IF(AE1408=1,N($R1408),AD1408),0))</f>
        <v/>
      </c>
      <c r="AG1408" s="22">
        <f>IF(AND($A1408="",$B1408=""),"",IF(Z1408=1,IF(AE1408=1,N($S1408),AC1408),0))</f>
        <v/>
      </c>
      <c r="AH1408" s="21">
        <f>IF(AND($A1408="",$B1408=""),"",IF(AND(ISNUMBER($I1408),N($I1408)&gt;0),$I1408,0))</f>
        <v/>
      </c>
      <c r="AI1408" s="23">
        <f>IF(AND(NOT(AND($A1408="",$B1408="")),$K1408="Point",N($L1408)&gt;0),SQRT(N($L1408)/PI()),"")</f>
        <v/>
      </c>
      <c r="AJ1408" s="21">
        <f>IF(AND($A1408="",$B1408=""),"",IFERROR(VLOOKUP($G1408,Lists!$D$4:$E$15,2,FALSE),"Not reported"))</f>
        <v/>
      </c>
      <c r="AK1408" s="21">
        <f>IF(AND($A1408="",$B1408=""),"",IF($X1408&lt;&gt;"",$X1408,IF($T1408&lt;&gt;"Y","Not assessed",IF(AND(ISNUMBER($V1408),Setup!$B$6-$V1408&gt;Setup!$B$26),"Assessment outdated",IF(NOT(ISNUMBER($W1408)),"Assessed – no score",IF($W1408&gt;=Setup!$B$24,"High",IF($W1408&gt;=Setup!$B$25,"Moderate","Low")))))))</f>
        <v/>
      </c>
      <c r="AL1408" s="21">
        <f>IF(AND($A1408="",$B1408=""),"",IF(Z1408=0,"",IF(AND(AE1408=1,N($R1408)&gt;AD1408*1.01+0.001),"Net terrestrial &gt; gross; ","")&amp;IF(AND(AE1408=1,N($S1408)&gt;AC1408*1.01+0.001),"Net marine &gt; gross; ","")&amp;IF(AE1408=0,"No net area – gross used, overlaps may be double-counted; ","")&amp;IF(AH1408=0,"STATUS_YR missing – imputed in time series; ","")&amp;IF(AND(ISNUMBER($I1408),N($I1408)&gt;Setup!$B$6),"STATUS_YR after reporting year; ","")&amp;IF(OR($G1408="",$G1408="Not Reported"),"GOV_TYPE not reported; ","")&amp;IF(AND(N($J1408)=1,$K1408="Point",N($M1408)&lt;=0),"Coastal point without REP_M_AREA – land/sea split unknown; ","")&amp;IF(AND(N($J1408)=0,N($S1408)&gt;0),"MARINE=0 but net marine &gt;0; ","")&amp;IF(AND(N($J1408)=2,N($R1408)&gt;0),"MARINE=2 but net terrestrial &gt;0; ","")&amp;IF($K1408="Point","Buffered point – coverage approximate; ","")))</f>
        <v/>
      </c>
    </row>
    <row r="1409">
      <c r="A1409" s="19" t="n"/>
      <c r="B1409" s="19" t="n"/>
      <c r="C1409" s="19" t="n"/>
      <c r="D1409" s="19" t="n"/>
      <c r="E1409" s="19" t="n"/>
      <c r="F1409" s="19" t="n"/>
      <c r="G1409" s="19" t="n"/>
      <c r="H1409" s="19" t="n"/>
      <c r="I1409" s="19" t="n"/>
      <c r="J1409" s="19" t="n"/>
      <c r="K1409" s="19" t="n"/>
      <c r="L1409" s="20" t="n"/>
      <c r="M1409" s="20" t="n"/>
      <c r="N1409" s="20" t="n"/>
      <c r="O1409" s="20" t="n"/>
      <c r="P1409" s="19" t="n"/>
      <c r="Q1409" s="19" t="n"/>
      <c r="R1409" s="20" t="n"/>
      <c r="S1409" s="20" t="n"/>
      <c r="T1409" s="19" t="n"/>
      <c r="U1409" s="19" t="n"/>
      <c r="V1409" s="19" t="n"/>
      <c r="W1409" s="19" t="n"/>
      <c r="X1409" s="19" t="n"/>
      <c r="Y1409" s="19" t="n"/>
      <c r="Z1409" s="21">
        <f>IF(AND($A1409="",$B1409=""),"",IF(OR($E1409="",$H1409="",$H1409="Proposed",$H1409="Not Reported"),0,IF(AND($P1409="Y",$Q1409&lt;&gt;"Y"),0,IF(AND($K1409="Point",N($L1409)&lt;=0),0,IF(AND(N($L1409)&lt;=0,N($N1409)&lt;=0,N($R1409)+N($S1409)&lt;=0),0,1)))))</f>
        <v/>
      </c>
      <c r="AA1409" s="21">
        <f>IF(AND($A1409="",$B1409=""),"",IF($E1409="","Site type missing",IF($H1409="","STATUS missing",IF($H1409="Proposed","STATUS = Proposed",IF($H1409="Not Reported","STATUS = Not Reported",IF(AND($P1409="Y",$Q1409&lt;&gt;"Y"),"UNESCO-MAB Biosphere Reserve",IF(AND($K1409="Point",N($L1409)&lt;=0),"Point without REP_AREA",IF(AND(N($L1409)&lt;=0,N($N1409)&lt;=0,N($R1409)+N($S1409)&lt;=0),"No area information",""))))))))</f>
        <v/>
      </c>
      <c r="AB1409" s="22">
        <f>IF(AND($A1409="",$B1409=""),"",IF($K1409="Point",N($L1409),IF(N($N1409)&gt;0,N($N1409),N($L1409))))</f>
        <v/>
      </c>
      <c r="AC1409" s="22">
        <f>IF(AND($A1409="",$B1409=""),"",MIN(AB1409,IF(N($J1409)=0,0,IF(N($J1409)=2,AB1409,IF(AND($K1409&lt;&gt;"Point",N($O1409)&gt;0),N($O1409),N($M1409))))))</f>
        <v/>
      </c>
      <c r="AD1409" s="22">
        <f>IF(AND($A1409="",$B1409=""),"",MAX(0,AB1409-AC1409))</f>
        <v/>
      </c>
      <c r="AE1409" s="21">
        <f>IF(AND($A1409="",$B1409=""),"",IF(OR($R1409&lt;&gt;"",$S1409&lt;&gt;""),1,0))</f>
        <v/>
      </c>
      <c r="AF1409" s="22">
        <f>IF(AND($A1409="",$B1409=""),"",IF(Z1409=1,IF(AE1409=1,N($R1409),AD1409),0))</f>
        <v/>
      </c>
      <c r="AG1409" s="22">
        <f>IF(AND($A1409="",$B1409=""),"",IF(Z1409=1,IF(AE1409=1,N($S1409),AC1409),0))</f>
        <v/>
      </c>
      <c r="AH1409" s="21">
        <f>IF(AND($A1409="",$B1409=""),"",IF(AND(ISNUMBER($I1409),N($I1409)&gt;0),$I1409,0))</f>
        <v/>
      </c>
      <c r="AI1409" s="23">
        <f>IF(AND(NOT(AND($A1409="",$B1409="")),$K1409="Point",N($L1409)&gt;0),SQRT(N($L1409)/PI()),"")</f>
        <v/>
      </c>
      <c r="AJ1409" s="21">
        <f>IF(AND($A1409="",$B1409=""),"",IFERROR(VLOOKUP($G1409,Lists!$D$4:$E$15,2,FALSE),"Not reported"))</f>
        <v/>
      </c>
      <c r="AK1409" s="21">
        <f>IF(AND($A1409="",$B1409=""),"",IF($X1409&lt;&gt;"",$X1409,IF($T1409&lt;&gt;"Y","Not assessed",IF(AND(ISNUMBER($V1409),Setup!$B$6-$V1409&gt;Setup!$B$26),"Assessment outdated",IF(NOT(ISNUMBER($W1409)),"Assessed – no score",IF($W1409&gt;=Setup!$B$24,"High",IF($W1409&gt;=Setup!$B$25,"Moderate","Low")))))))</f>
        <v/>
      </c>
      <c r="AL1409" s="21">
        <f>IF(AND($A1409="",$B1409=""),"",IF(Z1409=0,"",IF(AND(AE1409=1,N($R1409)&gt;AD1409*1.01+0.001),"Net terrestrial &gt; gross; ","")&amp;IF(AND(AE1409=1,N($S1409)&gt;AC1409*1.01+0.001),"Net marine &gt; gross; ","")&amp;IF(AE1409=0,"No net area – gross used, overlaps may be double-counted; ","")&amp;IF(AH1409=0,"STATUS_YR missing – imputed in time series; ","")&amp;IF(AND(ISNUMBER($I1409),N($I1409)&gt;Setup!$B$6),"STATUS_YR after reporting year; ","")&amp;IF(OR($G1409="",$G1409="Not Reported"),"GOV_TYPE not reported; ","")&amp;IF(AND(N($J1409)=1,$K1409="Point",N($M1409)&lt;=0),"Coastal point without REP_M_AREA – land/sea split unknown; ","")&amp;IF(AND(N($J1409)=0,N($S1409)&gt;0),"MARINE=0 but net marine &gt;0; ","")&amp;IF(AND(N($J1409)=2,N($R1409)&gt;0),"MARINE=2 but net terrestrial &gt;0; ","")&amp;IF($K1409="Point","Buffered point – coverage approximate; ","")))</f>
        <v/>
      </c>
    </row>
    <row r="1410">
      <c r="A1410" s="19" t="n"/>
      <c r="B1410" s="19" t="n"/>
      <c r="C1410" s="19" t="n"/>
      <c r="D1410" s="19" t="n"/>
      <c r="E1410" s="19" t="n"/>
      <c r="F1410" s="19" t="n"/>
      <c r="G1410" s="19" t="n"/>
      <c r="H1410" s="19" t="n"/>
      <c r="I1410" s="19" t="n"/>
      <c r="J1410" s="19" t="n"/>
      <c r="K1410" s="19" t="n"/>
      <c r="L1410" s="20" t="n"/>
      <c r="M1410" s="20" t="n"/>
      <c r="N1410" s="20" t="n"/>
      <c r="O1410" s="20" t="n"/>
      <c r="P1410" s="19" t="n"/>
      <c r="Q1410" s="19" t="n"/>
      <c r="R1410" s="20" t="n"/>
      <c r="S1410" s="20" t="n"/>
      <c r="T1410" s="19" t="n"/>
      <c r="U1410" s="19" t="n"/>
      <c r="V1410" s="19" t="n"/>
      <c r="W1410" s="19" t="n"/>
      <c r="X1410" s="19" t="n"/>
      <c r="Y1410" s="19" t="n"/>
      <c r="Z1410" s="21">
        <f>IF(AND($A1410="",$B1410=""),"",IF(OR($E1410="",$H1410="",$H1410="Proposed",$H1410="Not Reported"),0,IF(AND($P1410="Y",$Q1410&lt;&gt;"Y"),0,IF(AND($K1410="Point",N($L1410)&lt;=0),0,IF(AND(N($L1410)&lt;=0,N($N1410)&lt;=0,N($R1410)+N($S1410)&lt;=0),0,1)))))</f>
        <v/>
      </c>
      <c r="AA1410" s="21">
        <f>IF(AND($A1410="",$B1410=""),"",IF($E1410="","Site type missing",IF($H1410="","STATUS missing",IF($H1410="Proposed","STATUS = Proposed",IF($H1410="Not Reported","STATUS = Not Reported",IF(AND($P1410="Y",$Q1410&lt;&gt;"Y"),"UNESCO-MAB Biosphere Reserve",IF(AND($K1410="Point",N($L1410)&lt;=0),"Point without REP_AREA",IF(AND(N($L1410)&lt;=0,N($N1410)&lt;=0,N($R1410)+N($S1410)&lt;=0),"No area information",""))))))))</f>
        <v/>
      </c>
      <c r="AB1410" s="22">
        <f>IF(AND($A1410="",$B1410=""),"",IF($K1410="Point",N($L1410),IF(N($N1410)&gt;0,N($N1410),N($L1410))))</f>
        <v/>
      </c>
      <c r="AC1410" s="22">
        <f>IF(AND($A1410="",$B1410=""),"",MIN(AB1410,IF(N($J1410)=0,0,IF(N($J1410)=2,AB1410,IF(AND($K1410&lt;&gt;"Point",N($O1410)&gt;0),N($O1410),N($M1410))))))</f>
        <v/>
      </c>
      <c r="AD1410" s="22">
        <f>IF(AND($A1410="",$B1410=""),"",MAX(0,AB1410-AC1410))</f>
        <v/>
      </c>
      <c r="AE1410" s="21">
        <f>IF(AND($A1410="",$B1410=""),"",IF(OR($R1410&lt;&gt;"",$S1410&lt;&gt;""),1,0))</f>
        <v/>
      </c>
      <c r="AF1410" s="22">
        <f>IF(AND($A1410="",$B1410=""),"",IF(Z1410=1,IF(AE1410=1,N($R1410),AD1410),0))</f>
        <v/>
      </c>
      <c r="AG1410" s="22">
        <f>IF(AND($A1410="",$B1410=""),"",IF(Z1410=1,IF(AE1410=1,N($S1410),AC1410),0))</f>
        <v/>
      </c>
      <c r="AH1410" s="21">
        <f>IF(AND($A1410="",$B1410=""),"",IF(AND(ISNUMBER($I1410),N($I1410)&gt;0),$I1410,0))</f>
        <v/>
      </c>
      <c r="AI1410" s="23">
        <f>IF(AND(NOT(AND($A1410="",$B1410="")),$K1410="Point",N($L1410)&gt;0),SQRT(N($L1410)/PI()),"")</f>
        <v/>
      </c>
      <c r="AJ1410" s="21">
        <f>IF(AND($A1410="",$B1410=""),"",IFERROR(VLOOKUP($G1410,Lists!$D$4:$E$15,2,FALSE),"Not reported"))</f>
        <v/>
      </c>
      <c r="AK1410" s="21">
        <f>IF(AND($A1410="",$B1410=""),"",IF($X1410&lt;&gt;"",$X1410,IF($T1410&lt;&gt;"Y","Not assessed",IF(AND(ISNUMBER($V1410),Setup!$B$6-$V1410&gt;Setup!$B$26),"Assessment outdated",IF(NOT(ISNUMBER($W1410)),"Assessed – no score",IF($W1410&gt;=Setup!$B$24,"High",IF($W1410&gt;=Setup!$B$25,"Moderate","Low")))))))</f>
        <v/>
      </c>
      <c r="AL1410" s="21">
        <f>IF(AND($A1410="",$B1410=""),"",IF(Z1410=0,"",IF(AND(AE1410=1,N($R1410)&gt;AD1410*1.01+0.001),"Net terrestrial &gt; gross; ","")&amp;IF(AND(AE1410=1,N($S1410)&gt;AC1410*1.01+0.001),"Net marine &gt; gross; ","")&amp;IF(AE1410=0,"No net area – gross used, overlaps may be double-counted; ","")&amp;IF(AH1410=0,"STATUS_YR missing – imputed in time series; ","")&amp;IF(AND(ISNUMBER($I1410),N($I1410)&gt;Setup!$B$6),"STATUS_YR after reporting year; ","")&amp;IF(OR($G1410="",$G1410="Not Reported"),"GOV_TYPE not reported; ","")&amp;IF(AND(N($J1410)=1,$K1410="Point",N($M1410)&lt;=0),"Coastal point without REP_M_AREA – land/sea split unknown; ","")&amp;IF(AND(N($J1410)=0,N($S1410)&gt;0),"MARINE=0 but net marine &gt;0; ","")&amp;IF(AND(N($J1410)=2,N($R1410)&gt;0),"MARINE=2 but net terrestrial &gt;0; ","")&amp;IF($K1410="Point","Buffered point – coverage approximate; ","")))</f>
        <v/>
      </c>
    </row>
    <row r="1411">
      <c r="A1411" s="19" t="n"/>
      <c r="B1411" s="19" t="n"/>
      <c r="C1411" s="19" t="n"/>
      <c r="D1411" s="19" t="n"/>
      <c r="E1411" s="19" t="n"/>
      <c r="F1411" s="19" t="n"/>
      <c r="G1411" s="19" t="n"/>
      <c r="H1411" s="19" t="n"/>
      <c r="I1411" s="19" t="n"/>
      <c r="J1411" s="19" t="n"/>
      <c r="K1411" s="19" t="n"/>
      <c r="L1411" s="20" t="n"/>
      <c r="M1411" s="20" t="n"/>
      <c r="N1411" s="20" t="n"/>
      <c r="O1411" s="20" t="n"/>
      <c r="P1411" s="19" t="n"/>
      <c r="Q1411" s="19" t="n"/>
      <c r="R1411" s="20" t="n"/>
      <c r="S1411" s="20" t="n"/>
      <c r="T1411" s="19" t="n"/>
      <c r="U1411" s="19" t="n"/>
      <c r="V1411" s="19" t="n"/>
      <c r="W1411" s="19" t="n"/>
      <c r="X1411" s="19" t="n"/>
      <c r="Y1411" s="19" t="n"/>
      <c r="Z1411" s="21">
        <f>IF(AND($A1411="",$B1411=""),"",IF(OR($E1411="",$H1411="",$H1411="Proposed",$H1411="Not Reported"),0,IF(AND($P1411="Y",$Q1411&lt;&gt;"Y"),0,IF(AND($K1411="Point",N($L1411)&lt;=0),0,IF(AND(N($L1411)&lt;=0,N($N1411)&lt;=0,N($R1411)+N($S1411)&lt;=0),0,1)))))</f>
        <v/>
      </c>
      <c r="AA1411" s="21">
        <f>IF(AND($A1411="",$B1411=""),"",IF($E1411="","Site type missing",IF($H1411="","STATUS missing",IF($H1411="Proposed","STATUS = Proposed",IF($H1411="Not Reported","STATUS = Not Reported",IF(AND($P1411="Y",$Q1411&lt;&gt;"Y"),"UNESCO-MAB Biosphere Reserve",IF(AND($K1411="Point",N($L1411)&lt;=0),"Point without REP_AREA",IF(AND(N($L1411)&lt;=0,N($N1411)&lt;=0,N($R1411)+N($S1411)&lt;=0),"No area information",""))))))))</f>
        <v/>
      </c>
      <c r="AB1411" s="22">
        <f>IF(AND($A1411="",$B1411=""),"",IF($K1411="Point",N($L1411),IF(N($N1411)&gt;0,N($N1411),N($L1411))))</f>
        <v/>
      </c>
      <c r="AC1411" s="22">
        <f>IF(AND($A1411="",$B1411=""),"",MIN(AB1411,IF(N($J1411)=0,0,IF(N($J1411)=2,AB1411,IF(AND($K1411&lt;&gt;"Point",N($O1411)&gt;0),N($O1411),N($M1411))))))</f>
        <v/>
      </c>
      <c r="AD1411" s="22">
        <f>IF(AND($A1411="",$B1411=""),"",MAX(0,AB1411-AC1411))</f>
        <v/>
      </c>
      <c r="AE1411" s="21">
        <f>IF(AND($A1411="",$B1411=""),"",IF(OR($R1411&lt;&gt;"",$S1411&lt;&gt;""),1,0))</f>
        <v/>
      </c>
      <c r="AF1411" s="22">
        <f>IF(AND($A1411="",$B1411=""),"",IF(Z1411=1,IF(AE1411=1,N($R1411),AD1411),0))</f>
        <v/>
      </c>
      <c r="AG1411" s="22">
        <f>IF(AND($A1411="",$B1411=""),"",IF(Z1411=1,IF(AE1411=1,N($S1411),AC1411),0))</f>
        <v/>
      </c>
      <c r="AH1411" s="21">
        <f>IF(AND($A1411="",$B1411=""),"",IF(AND(ISNUMBER($I1411),N($I1411)&gt;0),$I1411,0))</f>
        <v/>
      </c>
      <c r="AI1411" s="23">
        <f>IF(AND(NOT(AND($A1411="",$B1411="")),$K1411="Point",N($L1411)&gt;0),SQRT(N($L1411)/PI()),"")</f>
        <v/>
      </c>
      <c r="AJ1411" s="21">
        <f>IF(AND($A1411="",$B1411=""),"",IFERROR(VLOOKUP($G1411,Lists!$D$4:$E$15,2,FALSE),"Not reported"))</f>
        <v/>
      </c>
      <c r="AK1411" s="21">
        <f>IF(AND($A1411="",$B1411=""),"",IF($X1411&lt;&gt;"",$X1411,IF($T1411&lt;&gt;"Y","Not assessed",IF(AND(ISNUMBER($V1411),Setup!$B$6-$V1411&gt;Setup!$B$26),"Assessment outdated",IF(NOT(ISNUMBER($W1411)),"Assessed – no score",IF($W1411&gt;=Setup!$B$24,"High",IF($W1411&gt;=Setup!$B$25,"Moderate","Low")))))))</f>
        <v/>
      </c>
      <c r="AL1411" s="21">
        <f>IF(AND($A1411="",$B1411=""),"",IF(Z1411=0,"",IF(AND(AE1411=1,N($R1411)&gt;AD1411*1.01+0.001),"Net terrestrial &gt; gross; ","")&amp;IF(AND(AE1411=1,N($S1411)&gt;AC1411*1.01+0.001),"Net marine &gt; gross; ","")&amp;IF(AE1411=0,"No net area – gross used, overlaps may be double-counted; ","")&amp;IF(AH1411=0,"STATUS_YR missing – imputed in time series; ","")&amp;IF(AND(ISNUMBER($I1411),N($I1411)&gt;Setup!$B$6),"STATUS_YR after reporting year; ","")&amp;IF(OR($G1411="",$G1411="Not Reported"),"GOV_TYPE not reported; ","")&amp;IF(AND(N($J1411)=1,$K1411="Point",N($M1411)&lt;=0),"Coastal point without REP_M_AREA – land/sea split unknown; ","")&amp;IF(AND(N($J1411)=0,N($S1411)&gt;0),"MARINE=0 but net marine &gt;0; ","")&amp;IF(AND(N($J1411)=2,N($R1411)&gt;0),"MARINE=2 but net terrestrial &gt;0; ","")&amp;IF($K1411="Point","Buffered point – coverage approximate; ","")))</f>
        <v/>
      </c>
    </row>
    <row r="1412">
      <c r="A1412" s="19" t="n"/>
      <c r="B1412" s="19" t="n"/>
      <c r="C1412" s="19" t="n"/>
      <c r="D1412" s="19" t="n"/>
      <c r="E1412" s="19" t="n"/>
      <c r="F1412" s="19" t="n"/>
      <c r="G1412" s="19" t="n"/>
      <c r="H1412" s="19" t="n"/>
      <c r="I1412" s="19" t="n"/>
      <c r="J1412" s="19" t="n"/>
      <c r="K1412" s="19" t="n"/>
      <c r="L1412" s="20" t="n"/>
      <c r="M1412" s="20" t="n"/>
      <c r="N1412" s="20" t="n"/>
      <c r="O1412" s="20" t="n"/>
      <c r="P1412" s="19" t="n"/>
      <c r="Q1412" s="19" t="n"/>
      <c r="R1412" s="20" t="n"/>
      <c r="S1412" s="20" t="n"/>
      <c r="T1412" s="19" t="n"/>
      <c r="U1412" s="19" t="n"/>
      <c r="V1412" s="19" t="n"/>
      <c r="W1412" s="19" t="n"/>
      <c r="X1412" s="19" t="n"/>
      <c r="Y1412" s="19" t="n"/>
      <c r="Z1412" s="21">
        <f>IF(AND($A1412="",$B1412=""),"",IF(OR($E1412="",$H1412="",$H1412="Proposed",$H1412="Not Reported"),0,IF(AND($P1412="Y",$Q1412&lt;&gt;"Y"),0,IF(AND($K1412="Point",N($L1412)&lt;=0),0,IF(AND(N($L1412)&lt;=0,N($N1412)&lt;=0,N($R1412)+N($S1412)&lt;=0),0,1)))))</f>
        <v/>
      </c>
      <c r="AA1412" s="21">
        <f>IF(AND($A1412="",$B1412=""),"",IF($E1412="","Site type missing",IF($H1412="","STATUS missing",IF($H1412="Proposed","STATUS = Proposed",IF($H1412="Not Reported","STATUS = Not Reported",IF(AND($P1412="Y",$Q1412&lt;&gt;"Y"),"UNESCO-MAB Biosphere Reserve",IF(AND($K1412="Point",N($L1412)&lt;=0),"Point without REP_AREA",IF(AND(N($L1412)&lt;=0,N($N1412)&lt;=0,N($R1412)+N($S1412)&lt;=0),"No area information",""))))))))</f>
        <v/>
      </c>
      <c r="AB1412" s="22">
        <f>IF(AND($A1412="",$B1412=""),"",IF($K1412="Point",N($L1412),IF(N($N1412)&gt;0,N($N1412),N($L1412))))</f>
        <v/>
      </c>
      <c r="AC1412" s="22">
        <f>IF(AND($A1412="",$B1412=""),"",MIN(AB1412,IF(N($J1412)=0,0,IF(N($J1412)=2,AB1412,IF(AND($K1412&lt;&gt;"Point",N($O1412)&gt;0),N($O1412),N($M1412))))))</f>
        <v/>
      </c>
      <c r="AD1412" s="22">
        <f>IF(AND($A1412="",$B1412=""),"",MAX(0,AB1412-AC1412))</f>
        <v/>
      </c>
      <c r="AE1412" s="21">
        <f>IF(AND($A1412="",$B1412=""),"",IF(OR($R1412&lt;&gt;"",$S1412&lt;&gt;""),1,0))</f>
        <v/>
      </c>
      <c r="AF1412" s="22">
        <f>IF(AND($A1412="",$B1412=""),"",IF(Z1412=1,IF(AE1412=1,N($R1412),AD1412),0))</f>
        <v/>
      </c>
      <c r="AG1412" s="22">
        <f>IF(AND($A1412="",$B1412=""),"",IF(Z1412=1,IF(AE1412=1,N($S1412),AC1412),0))</f>
        <v/>
      </c>
      <c r="AH1412" s="21">
        <f>IF(AND($A1412="",$B1412=""),"",IF(AND(ISNUMBER($I1412),N($I1412)&gt;0),$I1412,0))</f>
        <v/>
      </c>
      <c r="AI1412" s="23">
        <f>IF(AND(NOT(AND($A1412="",$B1412="")),$K1412="Point",N($L1412)&gt;0),SQRT(N($L1412)/PI()),"")</f>
        <v/>
      </c>
      <c r="AJ1412" s="21">
        <f>IF(AND($A1412="",$B1412=""),"",IFERROR(VLOOKUP($G1412,Lists!$D$4:$E$15,2,FALSE),"Not reported"))</f>
        <v/>
      </c>
      <c r="AK1412" s="21">
        <f>IF(AND($A1412="",$B1412=""),"",IF($X1412&lt;&gt;"",$X1412,IF($T1412&lt;&gt;"Y","Not assessed",IF(AND(ISNUMBER($V1412),Setup!$B$6-$V1412&gt;Setup!$B$26),"Assessment outdated",IF(NOT(ISNUMBER($W1412)),"Assessed – no score",IF($W1412&gt;=Setup!$B$24,"High",IF($W1412&gt;=Setup!$B$25,"Moderate","Low")))))))</f>
        <v/>
      </c>
      <c r="AL1412" s="21">
        <f>IF(AND($A1412="",$B1412=""),"",IF(Z1412=0,"",IF(AND(AE1412=1,N($R1412)&gt;AD1412*1.01+0.001),"Net terrestrial &gt; gross; ","")&amp;IF(AND(AE1412=1,N($S1412)&gt;AC1412*1.01+0.001),"Net marine &gt; gross; ","")&amp;IF(AE1412=0,"No net area – gross used, overlaps may be double-counted; ","")&amp;IF(AH1412=0,"STATUS_YR missing – imputed in time series; ","")&amp;IF(AND(ISNUMBER($I1412),N($I1412)&gt;Setup!$B$6),"STATUS_YR after reporting year; ","")&amp;IF(OR($G1412="",$G1412="Not Reported"),"GOV_TYPE not reported; ","")&amp;IF(AND(N($J1412)=1,$K1412="Point",N($M1412)&lt;=0),"Coastal point without REP_M_AREA – land/sea split unknown; ","")&amp;IF(AND(N($J1412)=0,N($S1412)&gt;0),"MARINE=0 but net marine &gt;0; ","")&amp;IF(AND(N($J1412)=2,N($R1412)&gt;0),"MARINE=2 but net terrestrial &gt;0; ","")&amp;IF($K1412="Point","Buffered point – coverage approximate; ","")))</f>
        <v/>
      </c>
    </row>
    <row r="1413">
      <c r="A1413" s="19" t="n"/>
      <c r="B1413" s="19" t="n"/>
      <c r="C1413" s="19" t="n"/>
      <c r="D1413" s="19" t="n"/>
      <c r="E1413" s="19" t="n"/>
      <c r="F1413" s="19" t="n"/>
      <c r="G1413" s="19" t="n"/>
      <c r="H1413" s="19" t="n"/>
      <c r="I1413" s="19" t="n"/>
      <c r="J1413" s="19" t="n"/>
      <c r="K1413" s="19" t="n"/>
      <c r="L1413" s="20" t="n"/>
      <c r="M1413" s="20" t="n"/>
      <c r="N1413" s="20" t="n"/>
      <c r="O1413" s="20" t="n"/>
      <c r="P1413" s="19" t="n"/>
      <c r="Q1413" s="19" t="n"/>
      <c r="R1413" s="20" t="n"/>
      <c r="S1413" s="20" t="n"/>
      <c r="T1413" s="19" t="n"/>
      <c r="U1413" s="19" t="n"/>
      <c r="V1413" s="19" t="n"/>
      <c r="W1413" s="19" t="n"/>
      <c r="X1413" s="19" t="n"/>
      <c r="Y1413" s="19" t="n"/>
      <c r="Z1413" s="21">
        <f>IF(AND($A1413="",$B1413=""),"",IF(OR($E1413="",$H1413="",$H1413="Proposed",$H1413="Not Reported"),0,IF(AND($P1413="Y",$Q1413&lt;&gt;"Y"),0,IF(AND($K1413="Point",N($L1413)&lt;=0),0,IF(AND(N($L1413)&lt;=0,N($N1413)&lt;=0,N($R1413)+N($S1413)&lt;=0),0,1)))))</f>
        <v/>
      </c>
      <c r="AA1413" s="21">
        <f>IF(AND($A1413="",$B1413=""),"",IF($E1413="","Site type missing",IF($H1413="","STATUS missing",IF($H1413="Proposed","STATUS = Proposed",IF($H1413="Not Reported","STATUS = Not Reported",IF(AND($P1413="Y",$Q1413&lt;&gt;"Y"),"UNESCO-MAB Biosphere Reserve",IF(AND($K1413="Point",N($L1413)&lt;=0),"Point without REP_AREA",IF(AND(N($L1413)&lt;=0,N($N1413)&lt;=0,N($R1413)+N($S1413)&lt;=0),"No area information",""))))))))</f>
        <v/>
      </c>
      <c r="AB1413" s="22">
        <f>IF(AND($A1413="",$B1413=""),"",IF($K1413="Point",N($L1413),IF(N($N1413)&gt;0,N($N1413),N($L1413))))</f>
        <v/>
      </c>
      <c r="AC1413" s="22">
        <f>IF(AND($A1413="",$B1413=""),"",MIN(AB1413,IF(N($J1413)=0,0,IF(N($J1413)=2,AB1413,IF(AND($K1413&lt;&gt;"Point",N($O1413)&gt;0),N($O1413),N($M1413))))))</f>
        <v/>
      </c>
      <c r="AD1413" s="22">
        <f>IF(AND($A1413="",$B1413=""),"",MAX(0,AB1413-AC1413))</f>
        <v/>
      </c>
      <c r="AE1413" s="21">
        <f>IF(AND($A1413="",$B1413=""),"",IF(OR($R1413&lt;&gt;"",$S1413&lt;&gt;""),1,0))</f>
        <v/>
      </c>
      <c r="AF1413" s="22">
        <f>IF(AND($A1413="",$B1413=""),"",IF(Z1413=1,IF(AE1413=1,N($R1413),AD1413),0))</f>
        <v/>
      </c>
      <c r="AG1413" s="22">
        <f>IF(AND($A1413="",$B1413=""),"",IF(Z1413=1,IF(AE1413=1,N($S1413),AC1413),0))</f>
        <v/>
      </c>
      <c r="AH1413" s="21">
        <f>IF(AND($A1413="",$B1413=""),"",IF(AND(ISNUMBER($I1413),N($I1413)&gt;0),$I1413,0))</f>
        <v/>
      </c>
      <c r="AI1413" s="23">
        <f>IF(AND(NOT(AND($A1413="",$B1413="")),$K1413="Point",N($L1413)&gt;0),SQRT(N($L1413)/PI()),"")</f>
        <v/>
      </c>
      <c r="AJ1413" s="21">
        <f>IF(AND($A1413="",$B1413=""),"",IFERROR(VLOOKUP($G1413,Lists!$D$4:$E$15,2,FALSE),"Not reported"))</f>
        <v/>
      </c>
      <c r="AK1413" s="21">
        <f>IF(AND($A1413="",$B1413=""),"",IF($X1413&lt;&gt;"",$X1413,IF($T1413&lt;&gt;"Y","Not assessed",IF(AND(ISNUMBER($V1413),Setup!$B$6-$V1413&gt;Setup!$B$26),"Assessment outdated",IF(NOT(ISNUMBER($W1413)),"Assessed – no score",IF($W1413&gt;=Setup!$B$24,"High",IF($W1413&gt;=Setup!$B$25,"Moderate","Low")))))))</f>
        <v/>
      </c>
      <c r="AL1413" s="21">
        <f>IF(AND($A1413="",$B1413=""),"",IF(Z1413=0,"",IF(AND(AE1413=1,N($R1413)&gt;AD1413*1.01+0.001),"Net terrestrial &gt; gross; ","")&amp;IF(AND(AE1413=1,N($S1413)&gt;AC1413*1.01+0.001),"Net marine &gt; gross; ","")&amp;IF(AE1413=0,"No net area – gross used, overlaps may be double-counted; ","")&amp;IF(AH1413=0,"STATUS_YR missing – imputed in time series; ","")&amp;IF(AND(ISNUMBER($I1413),N($I1413)&gt;Setup!$B$6),"STATUS_YR after reporting year; ","")&amp;IF(OR($G1413="",$G1413="Not Reported"),"GOV_TYPE not reported; ","")&amp;IF(AND(N($J1413)=1,$K1413="Point",N($M1413)&lt;=0),"Coastal point without REP_M_AREA – land/sea split unknown; ","")&amp;IF(AND(N($J1413)=0,N($S1413)&gt;0),"MARINE=0 but net marine &gt;0; ","")&amp;IF(AND(N($J1413)=2,N($R1413)&gt;0),"MARINE=2 but net terrestrial &gt;0; ","")&amp;IF($K1413="Point","Buffered point – coverage approximate; ","")))</f>
        <v/>
      </c>
    </row>
    <row r="1414">
      <c r="A1414" s="19" t="n"/>
      <c r="B1414" s="19" t="n"/>
      <c r="C1414" s="19" t="n"/>
      <c r="D1414" s="19" t="n"/>
      <c r="E1414" s="19" t="n"/>
      <c r="F1414" s="19" t="n"/>
      <c r="G1414" s="19" t="n"/>
      <c r="H1414" s="19" t="n"/>
      <c r="I1414" s="19" t="n"/>
      <c r="J1414" s="19" t="n"/>
      <c r="K1414" s="19" t="n"/>
      <c r="L1414" s="20" t="n"/>
      <c r="M1414" s="20" t="n"/>
      <c r="N1414" s="20" t="n"/>
      <c r="O1414" s="20" t="n"/>
      <c r="P1414" s="19" t="n"/>
      <c r="Q1414" s="19" t="n"/>
      <c r="R1414" s="20" t="n"/>
      <c r="S1414" s="20" t="n"/>
      <c r="T1414" s="19" t="n"/>
      <c r="U1414" s="19" t="n"/>
      <c r="V1414" s="19" t="n"/>
      <c r="W1414" s="19" t="n"/>
      <c r="X1414" s="19" t="n"/>
      <c r="Y1414" s="19" t="n"/>
      <c r="Z1414" s="21">
        <f>IF(AND($A1414="",$B1414=""),"",IF(OR($E1414="",$H1414="",$H1414="Proposed",$H1414="Not Reported"),0,IF(AND($P1414="Y",$Q1414&lt;&gt;"Y"),0,IF(AND($K1414="Point",N($L1414)&lt;=0),0,IF(AND(N($L1414)&lt;=0,N($N1414)&lt;=0,N($R1414)+N($S1414)&lt;=0),0,1)))))</f>
        <v/>
      </c>
      <c r="AA1414" s="21">
        <f>IF(AND($A1414="",$B1414=""),"",IF($E1414="","Site type missing",IF($H1414="","STATUS missing",IF($H1414="Proposed","STATUS = Proposed",IF($H1414="Not Reported","STATUS = Not Reported",IF(AND($P1414="Y",$Q1414&lt;&gt;"Y"),"UNESCO-MAB Biosphere Reserve",IF(AND($K1414="Point",N($L1414)&lt;=0),"Point without REP_AREA",IF(AND(N($L1414)&lt;=0,N($N1414)&lt;=0,N($R1414)+N($S1414)&lt;=0),"No area information",""))))))))</f>
        <v/>
      </c>
      <c r="AB1414" s="22">
        <f>IF(AND($A1414="",$B1414=""),"",IF($K1414="Point",N($L1414),IF(N($N1414)&gt;0,N($N1414),N($L1414))))</f>
        <v/>
      </c>
      <c r="AC1414" s="22">
        <f>IF(AND($A1414="",$B1414=""),"",MIN(AB1414,IF(N($J1414)=0,0,IF(N($J1414)=2,AB1414,IF(AND($K1414&lt;&gt;"Point",N($O1414)&gt;0),N($O1414),N($M1414))))))</f>
        <v/>
      </c>
      <c r="AD1414" s="22">
        <f>IF(AND($A1414="",$B1414=""),"",MAX(0,AB1414-AC1414))</f>
        <v/>
      </c>
      <c r="AE1414" s="21">
        <f>IF(AND($A1414="",$B1414=""),"",IF(OR($R1414&lt;&gt;"",$S1414&lt;&gt;""),1,0))</f>
        <v/>
      </c>
      <c r="AF1414" s="22">
        <f>IF(AND($A1414="",$B1414=""),"",IF(Z1414=1,IF(AE1414=1,N($R1414),AD1414),0))</f>
        <v/>
      </c>
      <c r="AG1414" s="22">
        <f>IF(AND($A1414="",$B1414=""),"",IF(Z1414=1,IF(AE1414=1,N($S1414),AC1414),0))</f>
        <v/>
      </c>
      <c r="AH1414" s="21">
        <f>IF(AND($A1414="",$B1414=""),"",IF(AND(ISNUMBER($I1414),N($I1414)&gt;0),$I1414,0))</f>
        <v/>
      </c>
      <c r="AI1414" s="23">
        <f>IF(AND(NOT(AND($A1414="",$B1414="")),$K1414="Point",N($L1414)&gt;0),SQRT(N($L1414)/PI()),"")</f>
        <v/>
      </c>
      <c r="AJ1414" s="21">
        <f>IF(AND($A1414="",$B1414=""),"",IFERROR(VLOOKUP($G1414,Lists!$D$4:$E$15,2,FALSE),"Not reported"))</f>
        <v/>
      </c>
      <c r="AK1414" s="21">
        <f>IF(AND($A1414="",$B1414=""),"",IF($X1414&lt;&gt;"",$X1414,IF($T1414&lt;&gt;"Y","Not assessed",IF(AND(ISNUMBER($V1414),Setup!$B$6-$V1414&gt;Setup!$B$26),"Assessment outdated",IF(NOT(ISNUMBER($W1414)),"Assessed – no score",IF($W1414&gt;=Setup!$B$24,"High",IF($W1414&gt;=Setup!$B$25,"Moderate","Low")))))))</f>
        <v/>
      </c>
      <c r="AL1414" s="21">
        <f>IF(AND($A1414="",$B1414=""),"",IF(Z1414=0,"",IF(AND(AE1414=1,N($R1414)&gt;AD1414*1.01+0.001),"Net terrestrial &gt; gross; ","")&amp;IF(AND(AE1414=1,N($S1414)&gt;AC1414*1.01+0.001),"Net marine &gt; gross; ","")&amp;IF(AE1414=0,"No net area – gross used, overlaps may be double-counted; ","")&amp;IF(AH1414=0,"STATUS_YR missing – imputed in time series; ","")&amp;IF(AND(ISNUMBER($I1414),N($I1414)&gt;Setup!$B$6),"STATUS_YR after reporting year; ","")&amp;IF(OR($G1414="",$G1414="Not Reported"),"GOV_TYPE not reported; ","")&amp;IF(AND(N($J1414)=1,$K1414="Point",N($M1414)&lt;=0),"Coastal point without REP_M_AREA – land/sea split unknown; ","")&amp;IF(AND(N($J1414)=0,N($S1414)&gt;0),"MARINE=0 but net marine &gt;0; ","")&amp;IF(AND(N($J1414)=2,N($R1414)&gt;0),"MARINE=2 but net terrestrial &gt;0; ","")&amp;IF($K1414="Point","Buffered point – coverage approximate; ","")))</f>
        <v/>
      </c>
    </row>
    <row r="1415">
      <c r="A1415" s="19" t="n"/>
      <c r="B1415" s="19" t="n"/>
      <c r="C1415" s="19" t="n"/>
      <c r="D1415" s="19" t="n"/>
      <c r="E1415" s="19" t="n"/>
      <c r="F1415" s="19" t="n"/>
      <c r="G1415" s="19" t="n"/>
      <c r="H1415" s="19" t="n"/>
      <c r="I1415" s="19" t="n"/>
      <c r="J1415" s="19" t="n"/>
      <c r="K1415" s="19" t="n"/>
      <c r="L1415" s="20" t="n"/>
      <c r="M1415" s="20" t="n"/>
      <c r="N1415" s="20" t="n"/>
      <c r="O1415" s="20" t="n"/>
      <c r="P1415" s="19" t="n"/>
      <c r="Q1415" s="19" t="n"/>
      <c r="R1415" s="20" t="n"/>
      <c r="S1415" s="20" t="n"/>
      <c r="T1415" s="19" t="n"/>
      <c r="U1415" s="19" t="n"/>
      <c r="V1415" s="19" t="n"/>
      <c r="W1415" s="19" t="n"/>
      <c r="X1415" s="19" t="n"/>
      <c r="Y1415" s="19" t="n"/>
      <c r="Z1415" s="21">
        <f>IF(AND($A1415="",$B1415=""),"",IF(OR($E1415="",$H1415="",$H1415="Proposed",$H1415="Not Reported"),0,IF(AND($P1415="Y",$Q1415&lt;&gt;"Y"),0,IF(AND($K1415="Point",N($L1415)&lt;=0),0,IF(AND(N($L1415)&lt;=0,N($N1415)&lt;=0,N($R1415)+N($S1415)&lt;=0),0,1)))))</f>
        <v/>
      </c>
      <c r="AA1415" s="21">
        <f>IF(AND($A1415="",$B1415=""),"",IF($E1415="","Site type missing",IF($H1415="","STATUS missing",IF($H1415="Proposed","STATUS = Proposed",IF($H1415="Not Reported","STATUS = Not Reported",IF(AND($P1415="Y",$Q1415&lt;&gt;"Y"),"UNESCO-MAB Biosphere Reserve",IF(AND($K1415="Point",N($L1415)&lt;=0),"Point without REP_AREA",IF(AND(N($L1415)&lt;=0,N($N1415)&lt;=0,N($R1415)+N($S1415)&lt;=0),"No area information",""))))))))</f>
        <v/>
      </c>
      <c r="AB1415" s="22">
        <f>IF(AND($A1415="",$B1415=""),"",IF($K1415="Point",N($L1415),IF(N($N1415)&gt;0,N($N1415),N($L1415))))</f>
        <v/>
      </c>
      <c r="AC1415" s="22">
        <f>IF(AND($A1415="",$B1415=""),"",MIN(AB1415,IF(N($J1415)=0,0,IF(N($J1415)=2,AB1415,IF(AND($K1415&lt;&gt;"Point",N($O1415)&gt;0),N($O1415),N($M1415))))))</f>
        <v/>
      </c>
      <c r="AD1415" s="22">
        <f>IF(AND($A1415="",$B1415=""),"",MAX(0,AB1415-AC1415))</f>
        <v/>
      </c>
      <c r="AE1415" s="21">
        <f>IF(AND($A1415="",$B1415=""),"",IF(OR($R1415&lt;&gt;"",$S1415&lt;&gt;""),1,0))</f>
        <v/>
      </c>
      <c r="AF1415" s="22">
        <f>IF(AND($A1415="",$B1415=""),"",IF(Z1415=1,IF(AE1415=1,N($R1415),AD1415),0))</f>
        <v/>
      </c>
      <c r="AG1415" s="22">
        <f>IF(AND($A1415="",$B1415=""),"",IF(Z1415=1,IF(AE1415=1,N($S1415),AC1415),0))</f>
        <v/>
      </c>
      <c r="AH1415" s="21">
        <f>IF(AND($A1415="",$B1415=""),"",IF(AND(ISNUMBER($I1415),N($I1415)&gt;0),$I1415,0))</f>
        <v/>
      </c>
      <c r="AI1415" s="23">
        <f>IF(AND(NOT(AND($A1415="",$B1415="")),$K1415="Point",N($L1415)&gt;0),SQRT(N($L1415)/PI()),"")</f>
        <v/>
      </c>
      <c r="AJ1415" s="21">
        <f>IF(AND($A1415="",$B1415=""),"",IFERROR(VLOOKUP($G1415,Lists!$D$4:$E$15,2,FALSE),"Not reported"))</f>
        <v/>
      </c>
      <c r="AK1415" s="21">
        <f>IF(AND($A1415="",$B1415=""),"",IF($X1415&lt;&gt;"",$X1415,IF($T1415&lt;&gt;"Y","Not assessed",IF(AND(ISNUMBER($V1415),Setup!$B$6-$V1415&gt;Setup!$B$26),"Assessment outdated",IF(NOT(ISNUMBER($W1415)),"Assessed – no score",IF($W1415&gt;=Setup!$B$24,"High",IF($W1415&gt;=Setup!$B$25,"Moderate","Low")))))))</f>
        <v/>
      </c>
      <c r="AL1415" s="21">
        <f>IF(AND($A1415="",$B1415=""),"",IF(Z1415=0,"",IF(AND(AE1415=1,N($R1415)&gt;AD1415*1.01+0.001),"Net terrestrial &gt; gross; ","")&amp;IF(AND(AE1415=1,N($S1415)&gt;AC1415*1.01+0.001),"Net marine &gt; gross; ","")&amp;IF(AE1415=0,"No net area – gross used, overlaps may be double-counted; ","")&amp;IF(AH1415=0,"STATUS_YR missing – imputed in time series; ","")&amp;IF(AND(ISNUMBER($I1415),N($I1415)&gt;Setup!$B$6),"STATUS_YR after reporting year; ","")&amp;IF(OR($G1415="",$G1415="Not Reported"),"GOV_TYPE not reported; ","")&amp;IF(AND(N($J1415)=1,$K1415="Point",N($M1415)&lt;=0),"Coastal point without REP_M_AREA – land/sea split unknown; ","")&amp;IF(AND(N($J1415)=0,N($S1415)&gt;0),"MARINE=0 but net marine &gt;0; ","")&amp;IF(AND(N($J1415)=2,N($R1415)&gt;0),"MARINE=2 but net terrestrial &gt;0; ","")&amp;IF($K1415="Point","Buffered point – coverage approximate; ","")))</f>
        <v/>
      </c>
    </row>
    <row r="1416">
      <c r="A1416" s="19" t="n"/>
      <c r="B1416" s="19" t="n"/>
      <c r="C1416" s="19" t="n"/>
      <c r="D1416" s="19" t="n"/>
      <c r="E1416" s="19" t="n"/>
      <c r="F1416" s="19" t="n"/>
      <c r="G1416" s="19" t="n"/>
      <c r="H1416" s="19" t="n"/>
      <c r="I1416" s="19" t="n"/>
      <c r="J1416" s="19" t="n"/>
      <c r="K1416" s="19" t="n"/>
      <c r="L1416" s="20" t="n"/>
      <c r="M1416" s="20" t="n"/>
      <c r="N1416" s="20" t="n"/>
      <c r="O1416" s="20" t="n"/>
      <c r="P1416" s="19" t="n"/>
      <c r="Q1416" s="19" t="n"/>
      <c r="R1416" s="20" t="n"/>
      <c r="S1416" s="20" t="n"/>
      <c r="T1416" s="19" t="n"/>
      <c r="U1416" s="19" t="n"/>
      <c r="V1416" s="19" t="n"/>
      <c r="W1416" s="19" t="n"/>
      <c r="X1416" s="19" t="n"/>
      <c r="Y1416" s="19" t="n"/>
      <c r="Z1416" s="21">
        <f>IF(AND($A1416="",$B1416=""),"",IF(OR($E1416="",$H1416="",$H1416="Proposed",$H1416="Not Reported"),0,IF(AND($P1416="Y",$Q1416&lt;&gt;"Y"),0,IF(AND($K1416="Point",N($L1416)&lt;=0),0,IF(AND(N($L1416)&lt;=0,N($N1416)&lt;=0,N($R1416)+N($S1416)&lt;=0),0,1)))))</f>
        <v/>
      </c>
      <c r="AA1416" s="21">
        <f>IF(AND($A1416="",$B1416=""),"",IF($E1416="","Site type missing",IF($H1416="","STATUS missing",IF($H1416="Proposed","STATUS = Proposed",IF($H1416="Not Reported","STATUS = Not Reported",IF(AND($P1416="Y",$Q1416&lt;&gt;"Y"),"UNESCO-MAB Biosphere Reserve",IF(AND($K1416="Point",N($L1416)&lt;=0),"Point without REP_AREA",IF(AND(N($L1416)&lt;=0,N($N1416)&lt;=0,N($R1416)+N($S1416)&lt;=0),"No area information",""))))))))</f>
        <v/>
      </c>
      <c r="AB1416" s="22">
        <f>IF(AND($A1416="",$B1416=""),"",IF($K1416="Point",N($L1416),IF(N($N1416)&gt;0,N($N1416),N($L1416))))</f>
        <v/>
      </c>
      <c r="AC1416" s="22">
        <f>IF(AND($A1416="",$B1416=""),"",MIN(AB1416,IF(N($J1416)=0,0,IF(N($J1416)=2,AB1416,IF(AND($K1416&lt;&gt;"Point",N($O1416)&gt;0),N($O1416),N($M1416))))))</f>
        <v/>
      </c>
      <c r="AD1416" s="22">
        <f>IF(AND($A1416="",$B1416=""),"",MAX(0,AB1416-AC1416))</f>
        <v/>
      </c>
      <c r="AE1416" s="21">
        <f>IF(AND($A1416="",$B1416=""),"",IF(OR($R1416&lt;&gt;"",$S1416&lt;&gt;""),1,0))</f>
        <v/>
      </c>
      <c r="AF1416" s="22">
        <f>IF(AND($A1416="",$B1416=""),"",IF(Z1416=1,IF(AE1416=1,N($R1416),AD1416),0))</f>
        <v/>
      </c>
      <c r="AG1416" s="22">
        <f>IF(AND($A1416="",$B1416=""),"",IF(Z1416=1,IF(AE1416=1,N($S1416),AC1416),0))</f>
        <v/>
      </c>
      <c r="AH1416" s="21">
        <f>IF(AND($A1416="",$B1416=""),"",IF(AND(ISNUMBER($I1416),N($I1416)&gt;0),$I1416,0))</f>
        <v/>
      </c>
      <c r="AI1416" s="23">
        <f>IF(AND(NOT(AND($A1416="",$B1416="")),$K1416="Point",N($L1416)&gt;0),SQRT(N($L1416)/PI()),"")</f>
        <v/>
      </c>
      <c r="AJ1416" s="21">
        <f>IF(AND($A1416="",$B1416=""),"",IFERROR(VLOOKUP($G1416,Lists!$D$4:$E$15,2,FALSE),"Not reported"))</f>
        <v/>
      </c>
      <c r="AK1416" s="21">
        <f>IF(AND($A1416="",$B1416=""),"",IF($X1416&lt;&gt;"",$X1416,IF($T1416&lt;&gt;"Y","Not assessed",IF(AND(ISNUMBER($V1416),Setup!$B$6-$V1416&gt;Setup!$B$26),"Assessment outdated",IF(NOT(ISNUMBER($W1416)),"Assessed – no score",IF($W1416&gt;=Setup!$B$24,"High",IF($W1416&gt;=Setup!$B$25,"Moderate","Low")))))))</f>
        <v/>
      </c>
      <c r="AL1416" s="21">
        <f>IF(AND($A1416="",$B1416=""),"",IF(Z1416=0,"",IF(AND(AE1416=1,N($R1416)&gt;AD1416*1.01+0.001),"Net terrestrial &gt; gross; ","")&amp;IF(AND(AE1416=1,N($S1416)&gt;AC1416*1.01+0.001),"Net marine &gt; gross; ","")&amp;IF(AE1416=0,"No net area – gross used, overlaps may be double-counted; ","")&amp;IF(AH1416=0,"STATUS_YR missing – imputed in time series; ","")&amp;IF(AND(ISNUMBER($I1416),N($I1416)&gt;Setup!$B$6),"STATUS_YR after reporting year; ","")&amp;IF(OR($G1416="",$G1416="Not Reported"),"GOV_TYPE not reported; ","")&amp;IF(AND(N($J1416)=1,$K1416="Point",N($M1416)&lt;=0),"Coastal point without REP_M_AREA – land/sea split unknown; ","")&amp;IF(AND(N($J1416)=0,N($S1416)&gt;0),"MARINE=0 but net marine &gt;0; ","")&amp;IF(AND(N($J1416)=2,N($R1416)&gt;0),"MARINE=2 but net terrestrial &gt;0; ","")&amp;IF($K1416="Point","Buffered point – coverage approximate; ","")))</f>
        <v/>
      </c>
    </row>
    <row r="1417">
      <c r="A1417" s="19" t="n"/>
      <c r="B1417" s="19" t="n"/>
      <c r="C1417" s="19" t="n"/>
      <c r="D1417" s="19" t="n"/>
      <c r="E1417" s="19" t="n"/>
      <c r="F1417" s="19" t="n"/>
      <c r="G1417" s="19" t="n"/>
      <c r="H1417" s="19" t="n"/>
      <c r="I1417" s="19" t="n"/>
      <c r="J1417" s="19" t="n"/>
      <c r="K1417" s="19" t="n"/>
      <c r="L1417" s="20" t="n"/>
      <c r="M1417" s="20" t="n"/>
      <c r="N1417" s="20" t="n"/>
      <c r="O1417" s="20" t="n"/>
      <c r="P1417" s="19" t="n"/>
      <c r="Q1417" s="19" t="n"/>
      <c r="R1417" s="20" t="n"/>
      <c r="S1417" s="20" t="n"/>
      <c r="T1417" s="19" t="n"/>
      <c r="U1417" s="19" t="n"/>
      <c r="V1417" s="19" t="n"/>
      <c r="W1417" s="19" t="n"/>
      <c r="X1417" s="19" t="n"/>
      <c r="Y1417" s="19" t="n"/>
      <c r="Z1417" s="21">
        <f>IF(AND($A1417="",$B1417=""),"",IF(OR($E1417="",$H1417="",$H1417="Proposed",$H1417="Not Reported"),0,IF(AND($P1417="Y",$Q1417&lt;&gt;"Y"),0,IF(AND($K1417="Point",N($L1417)&lt;=0),0,IF(AND(N($L1417)&lt;=0,N($N1417)&lt;=0,N($R1417)+N($S1417)&lt;=0),0,1)))))</f>
        <v/>
      </c>
      <c r="AA1417" s="21">
        <f>IF(AND($A1417="",$B1417=""),"",IF($E1417="","Site type missing",IF($H1417="","STATUS missing",IF($H1417="Proposed","STATUS = Proposed",IF($H1417="Not Reported","STATUS = Not Reported",IF(AND($P1417="Y",$Q1417&lt;&gt;"Y"),"UNESCO-MAB Biosphere Reserve",IF(AND($K1417="Point",N($L1417)&lt;=0),"Point without REP_AREA",IF(AND(N($L1417)&lt;=0,N($N1417)&lt;=0,N($R1417)+N($S1417)&lt;=0),"No area information",""))))))))</f>
        <v/>
      </c>
      <c r="AB1417" s="22">
        <f>IF(AND($A1417="",$B1417=""),"",IF($K1417="Point",N($L1417),IF(N($N1417)&gt;0,N($N1417),N($L1417))))</f>
        <v/>
      </c>
      <c r="AC1417" s="22">
        <f>IF(AND($A1417="",$B1417=""),"",MIN(AB1417,IF(N($J1417)=0,0,IF(N($J1417)=2,AB1417,IF(AND($K1417&lt;&gt;"Point",N($O1417)&gt;0),N($O1417),N($M1417))))))</f>
        <v/>
      </c>
      <c r="AD1417" s="22">
        <f>IF(AND($A1417="",$B1417=""),"",MAX(0,AB1417-AC1417))</f>
        <v/>
      </c>
      <c r="AE1417" s="21">
        <f>IF(AND($A1417="",$B1417=""),"",IF(OR($R1417&lt;&gt;"",$S1417&lt;&gt;""),1,0))</f>
        <v/>
      </c>
      <c r="AF1417" s="22">
        <f>IF(AND($A1417="",$B1417=""),"",IF(Z1417=1,IF(AE1417=1,N($R1417),AD1417),0))</f>
        <v/>
      </c>
      <c r="AG1417" s="22">
        <f>IF(AND($A1417="",$B1417=""),"",IF(Z1417=1,IF(AE1417=1,N($S1417),AC1417),0))</f>
        <v/>
      </c>
      <c r="AH1417" s="21">
        <f>IF(AND($A1417="",$B1417=""),"",IF(AND(ISNUMBER($I1417),N($I1417)&gt;0),$I1417,0))</f>
        <v/>
      </c>
      <c r="AI1417" s="23">
        <f>IF(AND(NOT(AND($A1417="",$B1417="")),$K1417="Point",N($L1417)&gt;0),SQRT(N($L1417)/PI()),"")</f>
        <v/>
      </c>
      <c r="AJ1417" s="21">
        <f>IF(AND($A1417="",$B1417=""),"",IFERROR(VLOOKUP($G1417,Lists!$D$4:$E$15,2,FALSE),"Not reported"))</f>
        <v/>
      </c>
      <c r="AK1417" s="21">
        <f>IF(AND($A1417="",$B1417=""),"",IF($X1417&lt;&gt;"",$X1417,IF($T1417&lt;&gt;"Y","Not assessed",IF(AND(ISNUMBER($V1417),Setup!$B$6-$V1417&gt;Setup!$B$26),"Assessment outdated",IF(NOT(ISNUMBER($W1417)),"Assessed – no score",IF($W1417&gt;=Setup!$B$24,"High",IF($W1417&gt;=Setup!$B$25,"Moderate","Low")))))))</f>
        <v/>
      </c>
      <c r="AL1417" s="21">
        <f>IF(AND($A1417="",$B1417=""),"",IF(Z1417=0,"",IF(AND(AE1417=1,N($R1417)&gt;AD1417*1.01+0.001),"Net terrestrial &gt; gross; ","")&amp;IF(AND(AE1417=1,N($S1417)&gt;AC1417*1.01+0.001),"Net marine &gt; gross; ","")&amp;IF(AE1417=0,"No net area – gross used, overlaps may be double-counted; ","")&amp;IF(AH1417=0,"STATUS_YR missing – imputed in time series; ","")&amp;IF(AND(ISNUMBER($I1417),N($I1417)&gt;Setup!$B$6),"STATUS_YR after reporting year; ","")&amp;IF(OR($G1417="",$G1417="Not Reported"),"GOV_TYPE not reported; ","")&amp;IF(AND(N($J1417)=1,$K1417="Point",N($M1417)&lt;=0),"Coastal point without REP_M_AREA – land/sea split unknown; ","")&amp;IF(AND(N($J1417)=0,N($S1417)&gt;0),"MARINE=0 but net marine &gt;0; ","")&amp;IF(AND(N($J1417)=2,N($R1417)&gt;0),"MARINE=2 but net terrestrial &gt;0; ","")&amp;IF($K1417="Point","Buffered point – coverage approximate; ","")))</f>
        <v/>
      </c>
    </row>
    <row r="1418">
      <c r="A1418" s="19" t="n"/>
      <c r="B1418" s="19" t="n"/>
      <c r="C1418" s="19" t="n"/>
      <c r="D1418" s="19" t="n"/>
      <c r="E1418" s="19" t="n"/>
      <c r="F1418" s="19" t="n"/>
      <c r="G1418" s="19" t="n"/>
      <c r="H1418" s="19" t="n"/>
      <c r="I1418" s="19" t="n"/>
      <c r="J1418" s="19" t="n"/>
      <c r="K1418" s="19" t="n"/>
      <c r="L1418" s="20" t="n"/>
      <c r="M1418" s="20" t="n"/>
      <c r="N1418" s="20" t="n"/>
      <c r="O1418" s="20" t="n"/>
      <c r="P1418" s="19" t="n"/>
      <c r="Q1418" s="19" t="n"/>
      <c r="R1418" s="20" t="n"/>
      <c r="S1418" s="20" t="n"/>
      <c r="T1418" s="19" t="n"/>
      <c r="U1418" s="19" t="n"/>
      <c r="V1418" s="19" t="n"/>
      <c r="W1418" s="19" t="n"/>
      <c r="X1418" s="19" t="n"/>
      <c r="Y1418" s="19" t="n"/>
      <c r="Z1418" s="21">
        <f>IF(AND($A1418="",$B1418=""),"",IF(OR($E1418="",$H1418="",$H1418="Proposed",$H1418="Not Reported"),0,IF(AND($P1418="Y",$Q1418&lt;&gt;"Y"),0,IF(AND($K1418="Point",N($L1418)&lt;=0),0,IF(AND(N($L1418)&lt;=0,N($N1418)&lt;=0,N($R1418)+N($S1418)&lt;=0),0,1)))))</f>
        <v/>
      </c>
      <c r="AA1418" s="21">
        <f>IF(AND($A1418="",$B1418=""),"",IF($E1418="","Site type missing",IF($H1418="","STATUS missing",IF($H1418="Proposed","STATUS = Proposed",IF($H1418="Not Reported","STATUS = Not Reported",IF(AND($P1418="Y",$Q1418&lt;&gt;"Y"),"UNESCO-MAB Biosphere Reserve",IF(AND($K1418="Point",N($L1418)&lt;=0),"Point without REP_AREA",IF(AND(N($L1418)&lt;=0,N($N1418)&lt;=0,N($R1418)+N($S1418)&lt;=0),"No area information",""))))))))</f>
        <v/>
      </c>
      <c r="AB1418" s="22">
        <f>IF(AND($A1418="",$B1418=""),"",IF($K1418="Point",N($L1418),IF(N($N1418)&gt;0,N($N1418),N($L1418))))</f>
        <v/>
      </c>
      <c r="AC1418" s="22">
        <f>IF(AND($A1418="",$B1418=""),"",MIN(AB1418,IF(N($J1418)=0,0,IF(N($J1418)=2,AB1418,IF(AND($K1418&lt;&gt;"Point",N($O1418)&gt;0),N($O1418),N($M1418))))))</f>
        <v/>
      </c>
      <c r="AD1418" s="22">
        <f>IF(AND($A1418="",$B1418=""),"",MAX(0,AB1418-AC1418))</f>
        <v/>
      </c>
      <c r="AE1418" s="21">
        <f>IF(AND($A1418="",$B1418=""),"",IF(OR($R1418&lt;&gt;"",$S1418&lt;&gt;""),1,0))</f>
        <v/>
      </c>
      <c r="AF1418" s="22">
        <f>IF(AND($A1418="",$B1418=""),"",IF(Z1418=1,IF(AE1418=1,N($R1418),AD1418),0))</f>
        <v/>
      </c>
      <c r="AG1418" s="22">
        <f>IF(AND($A1418="",$B1418=""),"",IF(Z1418=1,IF(AE1418=1,N($S1418),AC1418),0))</f>
        <v/>
      </c>
      <c r="AH1418" s="21">
        <f>IF(AND($A1418="",$B1418=""),"",IF(AND(ISNUMBER($I1418),N($I1418)&gt;0),$I1418,0))</f>
        <v/>
      </c>
      <c r="AI1418" s="23">
        <f>IF(AND(NOT(AND($A1418="",$B1418="")),$K1418="Point",N($L1418)&gt;0),SQRT(N($L1418)/PI()),"")</f>
        <v/>
      </c>
      <c r="AJ1418" s="21">
        <f>IF(AND($A1418="",$B1418=""),"",IFERROR(VLOOKUP($G1418,Lists!$D$4:$E$15,2,FALSE),"Not reported"))</f>
        <v/>
      </c>
      <c r="AK1418" s="21">
        <f>IF(AND($A1418="",$B1418=""),"",IF($X1418&lt;&gt;"",$X1418,IF($T1418&lt;&gt;"Y","Not assessed",IF(AND(ISNUMBER($V1418),Setup!$B$6-$V1418&gt;Setup!$B$26),"Assessment outdated",IF(NOT(ISNUMBER($W1418)),"Assessed – no score",IF($W1418&gt;=Setup!$B$24,"High",IF($W1418&gt;=Setup!$B$25,"Moderate","Low")))))))</f>
        <v/>
      </c>
      <c r="AL1418" s="21">
        <f>IF(AND($A1418="",$B1418=""),"",IF(Z1418=0,"",IF(AND(AE1418=1,N($R1418)&gt;AD1418*1.01+0.001),"Net terrestrial &gt; gross; ","")&amp;IF(AND(AE1418=1,N($S1418)&gt;AC1418*1.01+0.001),"Net marine &gt; gross; ","")&amp;IF(AE1418=0,"No net area – gross used, overlaps may be double-counted; ","")&amp;IF(AH1418=0,"STATUS_YR missing – imputed in time series; ","")&amp;IF(AND(ISNUMBER($I1418),N($I1418)&gt;Setup!$B$6),"STATUS_YR after reporting year; ","")&amp;IF(OR($G1418="",$G1418="Not Reported"),"GOV_TYPE not reported; ","")&amp;IF(AND(N($J1418)=1,$K1418="Point",N($M1418)&lt;=0),"Coastal point without REP_M_AREA – land/sea split unknown; ","")&amp;IF(AND(N($J1418)=0,N($S1418)&gt;0),"MARINE=0 but net marine &gt;0; ","")&amp;IF(AND(N($J1418)=2,N($R1418)&gt;0),"MARINE=2 but net terrestrial &gt;0; ","")&amp;IF($K1418="Point","Buffered point – coverage approximate; ","")))</f>
        <v/>
      </c>
    </row>
    <row r="1419">
      <c r="A1419" s="19" t="n"/>
      <c r="B1419" s="19" t="n"/>
      <c r="C1419" s="19" t="n"/>
      <c r="D1419" s="19" t="n"/>
      <c r="E1419" s="19" t="n"/>
      <c r="F1419" s="19" t="n"/>
      <c r="G1419" s="19" t="n"/>
      <c r="H1419" s="19" t="n"/>
      <c r="I1419" s="19" t="n"/>
      <c r="J1419" s="19" t="n"/>
      <c r="K1419" s="19" t="n"/>
      <c r="L1419" s="20" t="n"/>
      <c r="M1419" s="20" t="n"/>
      <c r="N1419" s="20" t="n"/>
      <c r="O1419" s="20" t="n"/>
      <c r="P1419" s="19" t="n"/>
      <c r="Q1419" s="19" t="n"/>
      <c r="R1419" s="20" t="n"/>
      <c r="S1419" s="20" t="n"/>
      <c r="T1419" s="19" t="n"/>
      <c r="U1419" s="19" t="n"/>
      <c r="V1419" s="19" t="n"/>
      <c r="W1419" s="19" t="n"/>
      <c r="X1419" s="19" t="n"/>
      <c r="Y1419" s="19" t="n"/>
      <c r="Z1419" s="21">
        <f>IF(AND($A1419="",$B1419=""),"",IF(OR($E1419="",$H1419="",$H1419="Proposed",$H1419="Not Reported"),0,IF(AND($P1419="Y",$Q1419&lt;&gt;"Y"),0,IF(AND($K1419="Point",N($L1419)&lt;=0),0,IF(AND(N($L1419)&lt;=0,N($N1419)&lt;=0,N($R1419)+N($S1419)&lt;=0),0,1)))))</f>
        <v/>
      </c>
      <c r="AA1419" s="21">
        <f>IF(AND($A1419="",$B1419=""),"",IF($E1419="","Site type missing",IF($H1419="","STATUS missing",IF($H1419="Proposed","STATUS = Proposed",IF($H1419="Not Reported","STATUS = Not Reported",IF(AND($P1419="Y",$Q1419&lt;&gt;"Y"),"UNESCO-MAB Biosphere Reserve",IF(AND($K1419="Point",N($L1419)&lt;=0),"Point without REP_AREA",IF(AND(N($L1419)&lt;=0,N($N1419)&lt;=0,N($R1419)+N($S1419)&lt;=0),"No area information",""))))))))</f>
        <v/>
      </c>
      <c r="AB1419" s="22">
        <f>IF(AND($A1419="",$B1419=""),"",IF($K1419="Point",N($L1419),IF(N($N1419)&gt;0,N($N1419),N($L1419))))</f>
        <v/>
      </c>
      <c r="AC1419" s="22">
        <f>IF(AND($A1419="",$B1419=""),"",MIN(AB1419,IF(N($J1419)=0,0,IF(N($J1419)=2,AB1419,IF(AND($K1419&lt;&gt;"Point",N($O1419)&gt;0),N($O1419),N($M1419))))))</f>
        <v/>
      </c>
      <c r="AD1419" s="22">
        <f>IF(AND($A1419="",$B1419=""),"",MAX(0,AB1419-AC1419))</f>
        <v/>
      </c>
      <c r="AE1419" s="21">
        <f>IF(AND($A1419="",$B1419=""),"",IF(OR($R1419&lt;&gt;"",$S1419&lt;&gt;""),1,0))</f>
        <v/>
      </c>
      <c r="AF1419" s="22">
        <f>IF(AND($A1419="",$B1419=""),"",IF(Z1419=1,IF(AE1419=1,N($R1419),AD1419),0))</f>
        <v/>
      </c>
      <c r="AG1419" s="22">
        <f>IF(AND($A1419="",$B1419=""),"",IF(Z1419=1,IF(AE1419=1,N($S1419),AC1419),0))</f>
        <v/>
      </c>
      <c r="AH1419" s="21">
        <f>IF(AND($A1419="",$B1419=""),"",IF(AND(ISNUMBER($I1419),N($I1419)&gt;0),$I1419,0))</f>
        <v/>
      </c>
      <c r="AI1419" s="23">
        <f>IF(AND(NOT(AND($A1419="",$B1419="")),$K1419="Point",N($L1419)&gt;0),SQRT(N($L1419)/PI()),"")</f>
        <v/>
      </c>
      <c r="AJ1419" s="21">
        <f>IF(AND($A1419="",$B1419=""),"",IFERROR(VLOOKUP($G1419,Lists!$D$4:$E$15,2,FALSE),"Not reported"))</f>
        <v/>
      </c>
      <c r="AK1419" s="21">
        <f>IF(AND($A1419="",$B1419=""),"",IF($X1419&lt;&gt;"",$X1419,IF($T1419&lt;&gt;"Y","Not assessed",IF(AND(ISNUMBER($V1419),Setup!$B$6-$V1419&gt;Setup!$B$26),"Assessment outdated",IF(NOT(ISNUMBER($W1419)),"Assessed – no score",IF($W1419&gt;=Setup!$B$24,"High",IF($W1419&gt;=Setup!$B$25,"Moderate","Low")))))))</f>
        <v/>
      </c>
      <c r="AL1419" s="21">
        <f>IF(AND($A1419="",$B1419=""),"",IF(Z1419=0,"",IF(AND(AE1419=1,N($R1419)&gt;AD1419*1.01+0.001),"Net terrestrial &gt; gross; ","")&amp;IF(AND(AE1419=1,N($S1419)&gt;AC1419*1.01+0.001),"Net marine &gt; gross; ","")&amp;IF(AE1419=0,"No net area – gross used, overlaps may be double-counted; ","")&amp;IF(AH1419=0,"STATUS_YR missing – imputed in time series; ","")&amp;IF(AND(ISNUMBER($I1419),N($I1419)&gt;Setup!$B$6),"STATUS_YR after reporting year; ","")&amp;IF(OR($G1419="",$G1419="Not Reported"),"GOV_TYPE not reported; ","")&amp;IF(AND(N($J1419)=1,$K1419="Point",N($M1419)&lt;=0),"Coastal point without REP_M_AREA – land/sea split unknown; ","")&amp;IF(AND(N($J1419)=0,N($S1419)&gt;0),"MARINE=0 but net marine &gt;0; ","")&amp;IF(AND(N($J1419)=2,N($R1419)&gt;0),"MARINE=2 but net terrestrial &gt;0; ","")&amp;IF($K1419="Point","Buffered point – coverage approximate; ","")))</f>
        <v/>
      </c>
    </row>
    <row r="1420">
      <c r="A1420" s="19" t="n"/>
      <c r="B1420" s="19" t="n"/>
      <c r="C1420" s="19" t="n"/>
      <c r="D1420" s="19" t="n"/>
      <c r="E1420" s="19" t="n"/>
      <c r="F1420" s="19" t="n"/>
      <c r="G1420" s="19" t="n"/>
      <c r="H1420" s="19" t="n"/>
      <c r="I1420" s="19" t="n"/>
      <c r="J1420" s="19" t="n"/>
      <c r="K1420" s="19" t="n"/>
      <c r="L1420" s="20" t="n"/>
      <c r="M1420" s="20" t="n"/>
      <c r="N1420" s="20" t="n"/>
      <c r="O1420" s="20" t="n"/>
      <c r="P1420" s="19" t="n"/>
      <c r="Q1420" s="19" t="n"/>
      <c r="R1420" s="20" t="n"/>
      <c r="S1420" s="20" t="n"/>
      <c r="T1420" s="19" t="n"/>
      <c r="U1420" s="19" t="n"/>
      <c r="V1420" s="19" t="n"/>
      <c r="W1420" s="19" t="n"/>
      <c r="X1420" s="19" t="n"/>
      <c r="Y1420" s="19" t="n"/>
      <c r="Z1420" s="21">
        <f>IF(AND($A1420="",$B1420=""),"",IF(OR($E1420="",$H1420="",$H1420="Proposed",$H1420="Not Reported"),0,IF(AND($P1420="Y",$Q1420&lt;&gt;"Y"),0,IF(AND($K1420="Point",N($L1420)&lt;=0),0,IF(AND(N($L1420)&lt;=0,N($N1420)&lt;=0,N($R1420)+N($S1420)&lt;=0),0,1)))))</f>
        <v/>
      </c>
      <c r="AA1420" s="21">
        <f>IF(AND($A1420="",$B1420=""),"",IF($E1420="","Site type missing",IF($H1420="","STATUS missing",IF($H1420="Proposed","STATUS = Proposed",IF($H1420="Not Reported","STATUS = Not Reported",IF(AND($P1420="Y",$Q1420&lt;&gt;"Y"),"UNESCO-MAB Biosphere Reserve",IF(AND($K1420="Point",N($L1420)&lt;=0),"Point without REP_AREA",IF(AND(N($L1420)&lt;=0,N($N1420)&lt;=0,N($R1420)+N($S1420)&lt;=0),"No area information",""))))))))</f>
        <v/>
      </c>
      <c r="AB1420" s="22">
        <f>IF(AND($A1420="",$B1420=""),"",IF($K1420="Point",N($L1420),IF(N($N1420)&gt;0,N($N1420),N($L1420))))</f>
        <v/>
      </c>
      <c r="AC1420" s="22">
        <f>IF(AND($A1420="",$B1420=""),"",MIN(AB1420,IF(N($J1420)=0,0,IF(N($J1420)=2,AB1420,IF(AND($K1420&lt;&gt;"Point",N($O1420)&gt;0),N($O1420),N($M1420))))))</f>
        <v/>
      </c>
      <c r="AD1420" s="22">
        <f>IF(AND($A1420="",$B1420=""),"",MAX(0,AB1420-AC1420))</f>
        <v/>
      </c>
      <c r="AE1420" s="21">
        <f>IF(AND($A1420="",$B1420=""),"",IF(OR($R1420&lt;&gt;"",$S1420&lt;&gt;""),1,0))</f>
        <v/>
      </c>
      <c r="AF1420" s="22">
        <f>IF(AND($A1420="",$B1420=""),"",IF(Z1420=1,IF(AE1420=1,N($R1420),AD1420),0))</f>
        <v/>
      </c>
      <c r="AG1420" s="22">
        <f>IF(AND($A1420="",$B1420=""),"",IF(Z1420=1,IF(AE1420=1,N($S1420),AC1420),0))</f>
        <v/>
      </c>
      <c r="AH1420" s="21">
        <f>IF(AND($A1420="",$B1420=""),"",IF(AND(ISNUMBER($I1420),N($I1420)&gt;0),$I1420,0))</f>
        <v/>
      </c>
      <c r="AI1420" s="23">
        <f>IF(AND(NOT(AND($A1420="",$B1420="")),$K1420="Point",N($L1420)&gt;0),SQRT(N($L1420)/PI()),"")</f>
        <v/>
      </c>
      <c r="AJ1420" s="21">
        <f>IF(AND($A1420="",$B1420=""),"",IFERROR(VLOOKUP($G1420,Lists!$D$4:$E$15,2,FALSE),"Not reported"))</f>
        <v/>
      </c>
      <c r="AK1420" s="21">
        <f>IF(AND($A1420="",$B1420=""),"",IF($X1420&lt;&gt;"",$X1420,IF($T1420&lt;&gt;"Y","Not assessed",IF(AND(ISNUMBER($V1420),Setup!$B$6-$V1420&gt;Setup!$B$26),"Assessment outdated",IF(NOT(ISNUMBER($W1420)),"Assessed – no score",IF($W1420&gt;=Setup!$B$24,"High",IF($W1420&gt;=Setup!$B$25,"Moderate","Low")))))))</f>
        <v/>
      </c>
      <c r="AL1420" s="21">
        <f>IF(AND($A1420="",$B1420=""),"",IF(Z1420=0,"",IF(AND(AE1420=1,N($R1420)&gt;AD1420*1.01+0.001),"Net terrestrial &gt; gross; ","")&amp;IF(AND(AE1420=1,N($S1420)&gt;AC1420*1.01+0.001),"Net marine &gt; gross; ","")&amp;IF(AE1420=0,"No net area – gross used, overlaps may be double-counted; ","")&amp;IF(AH1420=0,"STATUS_YR missing – imputed in time series; ","")&amp;IF(AND(ISNUMBER($I1420),N($I1420)&gt;Setup!$B$6),"STATUS_YR after reporting year; ","")&amp;IF(OR($G1420="",$G1420="Not Reported"),"GOV_TYPE not reported; ","")&amp;IF(AND(N($J1420)=1,$K1420="Point",N($M1420)&lt;=0),"Coastal point without REP_M_AREA – land/sea split unknown; ","")&amp;IF(AND(N($J1420)=0,N($S1420)&gt;0),"MARINE=0 but net marine &gt;0; ","")&amp;IF(AND(N($J1420)=2,N($R1420)&gt;0),"MARINE=2 but net terrestrial &gt;0; ","")&amp;IF($K1420="Point","Buffered point – coverage approximate; ","")))</f>
        <v/>
      </c>
    </row>
    <row r="1421">
      <c r="A1421" s="19" t="n"/>
      <c r="B1421" s="19" t="n"/>
      <c r="C1421" s="19" t="n"/>
      <c r="D1421" s="19" t="n"/>
      <c r="E1421" s="19" t="n"/>
      <c r="F1421" s="19" t="n"/>
      <c r="G1421" s="19" t="n"/>
      <c r="H1421" s="19" t="n"/>
      <c r="I1421" s="19" t="n"/>
      <c r="J1421" s="19" t="n"/>
      <c r="K1421" s="19" t="n"/>
      <c r="L1421" s="20" t="n"/>
      <c r="M1421" s="20" t="n"/>
      <c r="N1421" s="20" t="n"/>
      <c r="O1421" s="20" t="n"/>
      <c r="P1421" s="19" t="n"/>
      <c r="Q1421" s="19" t="n"/>
      <c r="R1421" s="20" t="n"/>
      <c r="S1421" s="20" t="n"/>
      <c r="T1421" s="19" t="n"/>
      <c r="U1421" s="19" t="n"/>
      <c r="V1421" s="19" t="n"/>
      <c r="W1421" s="19" t="n"/>
      <c r="X1421" s="19" t="n"/>
      <c r="Y1421" s="19" t="n"/>
      <c r="Z1421" s="21">
        <f>IF(AND($A1421="",$B1421=""),"",IF(OR($E1421="",$H1421="",$H1421="Proposed",$H1421="Not Reported"),0,IF(AND($P1421="Y",$Q1421&lt;&gt;"Y"),0,IF(AND($K1421="Point",N($L1421)&lt;=0),0,IF(AND(N($L1421)&lt;=0,N($N1421)&lt;=0,N($R1421)+N($S1421)&lt;=0),0,1)))))</f>
        <v/>
      </c>
      <c r="AA1421" s="21">
        <f>IF(AND($A1421="",$B1421=""),"",IF($E1421="","Site type missing",IF($H1421="","STATUS missing",IF($H1421="Proposed","STATUS = Proposed",IF($H1421="Not Reported","STATUS = Not Reported",IF(AND($P1421="Y",$Q1421&lt;&gt;"Y"),"UNESCO-MAB Biosphere Reserve",IF(AND($K1421="Point",N($L1421)&lt;=0),"Point without REP_AREA",IF(AND(N($L1421)&lt;=0,N($N1421)&lt;=0,N($R1421)+N($S1421)&lt;=0),"No area information",""))))))))</f>
        <v/>
      </c>
      <c r="AB1421" s="22">
        <f>IF(AND($A1421="",$B1421=""),"",IF($K1421="Point",N($L1421),IF(N($N1421)&gt;0,N($N1421),N($L1421))))</f>
        <v/>
      </c>
      <c r="AC1421" s="22">
        <f>IF(AND($A1421="",$B1421=""),"",MIN(AB1421,IF(N($J1421)=0,0,IF(N($J1421)=2,AB1421,IF(AND($K1421&lt;&gt;"Point",N($O1421)&gt;0),N($O1421),N($M1421))))))</f>
        <v/>
      </c>
      <c r="AD1421" s="22">
        <f>IF(AND($A1421="",$B1421=""),"",MAX(0,AB1421-AC1421))</f>
        <v/>
      </c>
      <c r="AE1421" s="21">
        <f>IF(AND($A1421="",$B1421=""),"",IF(OR($R1421&lt;&gt;"",$S1421&lt;&gt;""),1,0))</f>
        <v/>
      </c>
      <c r="AF1421" s="22">
        <f>IF(AND($A1421="",$B1421=""),"",IF(Z1421=1,IF(AE1421=1,N($R1421),AD1421),0))</f>
        <v/>
      </c>
      <c r="AG1421" s="22">
        <f>IF(AND($A1421="",$B1421=""),"",IF(Z1421=1,IF(AE1421=1,N($S1421),AC1421),0))</f>
        <v/>
      </c>
      <c r="AH1421" s="21">
        <f>IF(AND($A1421="",$B1421=""),"",IF(AND(ISNUMBER($I1421),N($I1421)&gt;0),$I1421,0))</f>
        <v/>
      </c>
      <c r="AI1421" s="23">
        <f>IF(AND(NOT(AND($A1421="",$B1421="")),$K1421="Point",N($L1421)&gt;0),SQRT(N($L1421)/PI()),"")</f>
        <v/>
      </c>
      <c r="AJ1421" s="21">
        <f>IF(AND($A1421="",$B1421=""),"",IFERROR(VLOOKUP($G1421,Lists!$D$4:$E$15,2,FALSE),"Not reported"))</f>
        <v/>
      </c>
      <c r="AK1421" s="21">
        <f>IF(AND($A1421="",$B1421=""),"",IF($X1421&lt;&gt;"",$X1421,IF($T1421&lt;&gt;"Y","Not assessed",IF(AND(ISNUMBER($V1421),Setup!$B$6-$V1421&gt;Setup!$B$26),"Assessment outdated",IF(NOT(ISNUMBER($W1421)),"Assessed – no score",IF($W1421&gt;=Setup!$B$24,"High",IF($W1421&gt;=Setup!$B$25,"Moderate","Low")))))))</f>
        <v/>
      </c>
      <c r="AL1421" s="21">
        <f>IF(AND($A1421="",$B1421=""),"",IF(Z1421=0,"",IF(AND(AE1421=1,N($R1421)&gt;AD1421*1.01+0.001),"Net terrestrial &gt; gross; ","")&amp;IF(AND(AE1421=1,N($S1421)&gt;AC1421*1.01+0.001),"Net marine &gt; gross; ","")&amp;IF(AE1421=0,"No net area – gross used, overlaps may be double-counted; ","")&amp;IF(AH1421=0,"STATUS_YR missing – imputed in time series; ","")&amp;IF(AND(ISNUMBER($I1421),N($I1421)&gt;Setup!$B$6),"STATUS_YR after reporting year; ","")&amp;IF(OR($G1421="",$G1421="Not Reported"),"GOV_TYPE not reported; ","")&amp;IF(AND(N($J1421)=1,$K1421="Point",N($M1421)&lt;=0),"Coastal point without REP_M_AREA – land/sea split unknown; ","")&amp;IF(AND(N($J1421)=0,N($S1421)&gt;0),"MARINE=0 but net marine &gt;0; ","")&amp;IF(AND(N($J1421)=2,N($R1421)&gt;0),"MARINE=2 but net terrestrial &gt;0; ","")&amp;IF($K1421="Point","Buffered point – coverage approximate; ","")))</f>
        <v/>
      </c>
    </row>
    <row r="1422">
      <c r="A1422" s="19" t="n"/>
      <c r="B1422" s="19" t="n"/>
      <c r="C1422" s="19" t="n"/>
      <c r="D1422" s="19" t="n"/>
      <c r="E1422" s="19" t="n"/>
      <c r="F1422" s="19" t="n"/>
      <c r="G1422" s="19" t="n"/>
      <c r="H1422" s="19" t="n"/>
      <c r="I1422" s="19" t="n"/>
      <c r="J1422" s="19" t="n"/>
      <c r="K1422" s="19" t="n"/>
      <c r="L1422" s="20" t="n"/>
      <c r="M1422" s="20" t="n"/>
      <c r="N1422" s="20" t="n"/>
      <c r="O1422" s="20" t="n"/>
      <c r="P1422" s="19" t="n"/>
      <c r="Q1422" s="19" t="n"/>
      <c r="R1422" s="20" t="n"/>
      <c r="S1422" s="20" t="n"/>
      <c r="T1422" s="19" t="n"/>
      <c r="U1422" s="19" t="n"/>
      <c r="V1422" s="19" t="n"/>
      <c r="W1422" s="19" t="n"/>
      <c r="X1422" s="19" t="n"/>
      <c r="Y1422" s="19" t="n"/>
      <c r="Z1422" s="21">
        <f>IF(AND($A1422="",$B1422=""),"",IF(OR($E1422="",$H1422="",$H1422="Proposed",$H1422="Not Reported"),0,IF(AND($P1422="Y",$Q1422&lt;&gt;"Y"),0,IF(AND($K1422="Point",N($L1422)&lt;=0),0,IF(AND(N($L1422)&lt;=0,N($N1422)&lt;=0,N($R1422)+N($S1422)&lt;=0),0,1)))))</f>
        <v/>
      </c>
      <c r="AA1422" s="21">
        <f>IF(AND($A1422="",$B1422=""),"",IF($E1422="","Site type missing",IF($H1422="","STATUS missing",IF($H1422="Proposed","STATUS = Proposed",IF($H1422="Not Reported","STATUS = Not Reported",IF(AND($P1422="Y",$Q1422&lt;&gt;"Y"),"UNESCO-MAB Biosphere Reserve",IF(AND($K1422="Point",N($L1422)&lt;=0),"Point without REP_AREA",IF(AND(N($L1422)&lt;=0,N($N1422)&lt;=0,N($R1422)+N($S1422)&lt;=0),"No area information",""))))))))</f>
        <v/>
      </c>
      <c r="AB1422" s="22">
        <f>IF(AND($A1422="",$B1422=""),"",IF($K1422="Point",N($L1422),IF(N($N1422)&gt;0,N($N1422),N($L1422))))</f>
        <v/>
      </c>
      <c r="AC1422" s="22">
        <f>IF(AND($A1422="",$B1422=""),"",MIN(AB1422,IF(N($J1422)=0,0,IF(N($J1422)=2,AB1422,IF(AND($K1422&lt;&gt;"Point",N($O1422)&gt;0),N($O1422),N($M1422))))))</f>
        <v/>
      </c>
      <c r="AD1422" s="22">
        <f>IF(AND($A1422="",$B1422=""),"",MAX(0,AB1422-AC1422))</f>
        <v/>
      </c>
      <c r="AE1422" s="21">
        <f>IF(AND($A1422="",$B1422=""),"",IF(OR($R1422&lt;&gt;"",$S1422&lt;&gt;""),1,0))</f>
        <v/>
      </c>
      <c r="AF1422" s="22">
        <f>IF(AND($A1422="",$B1422=""),"",IF(Z1422=1,IF(AE1422=1,N($R1422),AD1422),0))</f>
        <v/>
      </c>
      <c r="AG1422" s="22">
        <f>IF(AND($A1422="",$B1422=""),"",IF(Z1422=1,IF(AE1422=1,N($S1422),AC1422),0))</f>
        <v/>
      </c>
      <c r="AH1422" s="21">
        <f>IF(AND($A1422="",$B1422=""),"",IF(AND(ISNUMBER($I1422),N($I1422)&gt;0),$I1422,0))</f>
        <v/>
      </c>
      <c r="AI1422" s="23">
        <f>IF(AND(NOT(AND($A1422="",$B1422="")),$K1422="Point",N($L1422)&gt;0),SQRT(N($L1422)/PI()),"")</f>
        <v/>
      </c>
      <c r="AJ1422" s="21">
        <f>IF(AND($A1422="",$B1422=""),"",IFERROR(VLOOKUP($G1422,Lists!$D$4:$E$15,2,FALSE),"Not reported"))</f>
        <v/>
      </c>
      <c r="AK1422" s="21">
        <f>IF(AND($A1422="",$B1422=""),"",IF($X1422&lt;&gt;"",$X1422,IF($T1422&lt;&gt;"Y","Not assessed",IF(AND(ISNUMBER($V1422),Setup!$B$6-$V1422&gt;Setup!$B$26),"Assessment outdated",IF(NOT(ISNUMBER($W1422)),"Assessed – no score",IF($W1422&gt;=Setup!$B$24,"High",IF($W1422&gt;=Setup!$B$25,"Moderate","Low")))))))</f>
        <v/>
      </c>
      <c r="AL1422" s="21">
        <f>IF(AND($A1422="",$B1422=""),"",IF(Z1422=0,"",IF(AND(AE1422=1,N($R1422)&gt;AD1422*1.01+0.001),"Net terrestrial &gt; gross; ","")&amp;IF(AND(AE1422=1,N($S1422)&gt;AC1422*1.01+0.001),"Net marine &gt; gross; ","")&amp;IF(AE1422=0,"No net area – gross used, overlaps may be double-counted; ","")&amp;IF(AH1422=0,"STATUS_YR missing – imputed in time series; ","")&amp;IF(AND(ISNUMBER($I1422),N($I1422)&gt;Setup!$B$6),"STATUS_YR after reporting year; ","")&amp;IF(OR($G1422="",$G1422="Not Reported"),"GOV_TYPE not reported; ","")&amp;IF(AND(N($J1422)=1,$K1422="Point",N($M1422)&lt;=0),"Coastal point without REP_M_AREA – land/sea split unknown; ","")&amp;IF(AND(N($J1422)=0,N($S1422)&gt;0),"MARINE=0 but net marine &gt;0; ","")&amp;IF(AND(N($J1422)=2,N($R1422)&gt;0),"MARINE=2 but net terrestrial &gt;0; ","")&amp;IF($K1422="Point","Buffered point – coverage approximate; ","")))</f>
        <v/>
      </c>
    </row>
    <row r="1423">
      <c r="A1423" s="19" t="n"/>
      <c r="B1423" s="19" t="n"/>
      <c r="C1423" s="19" t="n"/>
      <c r="D1423" s="19" t="n"/>
      <c r="E1423" s="19" t="n"/>
      <c r="F1423" s="19" t="n"/>
      <c r="G1423" s="19" t="n"/>
      <c r="H1423" s="19" t="n"/>
      <c r="I1423" s="19" t="n"/>
      <c r="J1423" s="19" t="n"/>
      <c r="K1423" s="19" t="n"/>
      <c r="L1423" s="20" t="n"/>
      <c r="M1423" s="20" t="n"/>
      <c r="N1423" s="20" t="n"/>
      <c r="O1423" s="20" t="n"/>
      <c r="P1423" s="19" t="n"/>
      <c r="Q1423" s="19" t="n"/>
      <c r="R1423" s="20" t="n"/>
      <c r="S1423" s="20" t="n"/>
      <c r="T1423" s="19" t="n"/>
      <c r="U1423" s="19" t="n"/>
      <c r="V1423" s="19" t="n"/>
      <c r="W1423" s="19" t="n"/>
      <c r="X1423" s="19" t="n"/>
      <c r="Y1423" s="19" t="n"/>
      <c r="Z1423" s="21">
        <f>IF(AND($A1423="",$B1423=""),"",IF(OR($E1423="",$H1423="",$H1423="Proposed",$H1423="Not Reported"),0,IF(AND($P1423="Y",$Q1423&lt;&gt;"Y"),0,IF(AND($K1423="Point",N($L1423)&lt;=0),0,IF(AND(N($L1423)&lt;=0,N($N1423)&lt;=0,N($R1423)+N($S1423)&lt;=0),0,1)))))</f>
        <v/>
      </c>
      <c r="AA1423" s="21">
        <f>IF(AND($A1423="",$B1423=""),"",IF($E1423="","Site type missing",IF($H1423="","STATUS missing",IF($H1423="Proposed","STATUS = Proposed",IF($H1423="Not Reported","STATUS = Not Reported",IF(AND($P1423="Y",$Q1423&lt;&gt;"Y"),"UNESCO-MAB Biosphere Reserve",IF(AND($K1423="Point",N($L1423)&lt;=0),"Point without REP_AREA",IF(AND(N($L1423)&lt;=0,N($N1423)&lt;=0,N($R1423)+N($S1423)&lt;=0),"No area information",""))))))))</f>
        <v/>
      </c>
      <c r="AB1423" s="22">
        <f>IF(AND($A1423="",$B1423=""),"",IF($K1423="Point",N($L1423),IF(N($N1423)&gt;0,N($N1423),N($L1423))))</f>
        <v/>
      </c>
      <c r="AC1423" s="22">
        <f>IF(AND($A1423="",$B1423=""),"",MIN(AB1423,IF(N($J1423)=0,0,IF(N($J1423)=2,AB1423,IF(AND($K1423&lt;&gt;"Point",N($O1423)&gt;0),N($O1423),N($M1423))))))</f>
        <v/>
      </c>
      <c r="AD1423" s="22">
        <f>IF(AND($A1423="",$B1423=""),"",MAX(0,AB1423-AC1423))</f>
        <v/>
      </c>
      <c r="AE1423" s="21">
        <f>IF(AND($A1423="",$B1423=""),"",IF(OR($R1423&lt;&gt;"",$S1423&lt;&gt;""),1,0))</f>
        <v/>
      </c>
      <c r="AF1423" s="22">
        <f>IF(AND($A1423="",$B1423=""),"",IF(Z1423=1,IF(AE1423=1,N($R1423),AD1423),0))</f>
        <v/>
      </c>
      <c r="AG1423" s="22">
        <f>IF(AND($A1423="",$B1423=""),"",IF(Z1423=1,IF(AE1423=1,N($S1423),AC1423),0))</f>
        <v/>
      </c>
      <c r="AH1423" s="21">
        <f>IF(AND($A1423="",$B1423=""),"",IF(AND(ISNUMBER($I1423),N($I1423)&gt;0),$I1423,0))</f>
        <v/>
      </c>
      <c r="AI1423" s="23">
        <f>IF(AND(NOT(AND($A1423="",$B1423="")),$K1423="Point",N($L1423)&gt;0),SQRT(N($L1423)/PI()),"")</f>
        <v/>
      </c>
      <c r="AJ1423" s="21">
        <f>IF(AND($A1423="",$B1423=""),"",IFERROR(VLOOKUP($G1423,Lists!$D$4:$E$15,2,FALSE),"Not reported"))</f>
        <v/>
      </c>
      <c r="AK1423" s="21">
        <f>IF(AND($A1423="",$B1423=""),"",IF($X1423&lt;&gt;"",$X1423,IF($T1423&lt;&gt;"Y","Not assessed",IF(AND(ISNUMBER($V1423),Setup!$B$6-$V1423&gt;Setup!$B$26),"Assessment outdated",IF(NOT(ISNUMBER($W1423)),"Assessed – no score",IF($W1423&gt;=Setup!$B$24,"High",IF($W1423&gt;=Setup!$B$25,"Moderate","Low")))))))</f>
        <v/>
      </c>
      <c r="AL1423" s="21">
        <f>IF(AND($A1423="",$B1423=""),"",IF(Z1423=0,"",IF(AND(AE1423=1,N($R1423)&gt;AD1423*1.01+0.001),"Net terrestrial &gt; gross; ","")&amp;IF(AND(AE1423=1,N($S1423)&gt;AC1423*1.01+0.001),"Net marine &gt; gross; ","")&amp;IF(AE1423=0,"No net area – gross used, overlaps may be double-counted; ","")&amp;IF(AH1423=0,"STATUS_YR missing – imputed in time series; ","")&amp;IF(AND(ISNUMBER($I1423),N($I1423)&gt;Setup!$B$6),"STATUS_YR after reporting year; ","")&amp;IF(OR($G1423="",$G1423="Not Reported"),"GOV_TYPE not reported; ","")&amp;IF(AND(N($J1423)=1,$K1423="Point",N($M1423)&lt;=0),"Coastal point without REP_M_AREA – land/sea split unknown; ","")&amp;IF(AND(N($J1423)=0,N($S1423)&gt;0),"MARINE=0 but net marine &gt;0; ","")&amp;IF(AND(N($J1423)=2,N($R1423)&gt;0),"MARINE=2 but net terrestrial &gt;0; ","")&amp;IF($K1423="Point","Buffered point – coverage approximate; ","")))</f>
        <v/>
      </c>
    </row>
    <row r="1424">
      <c r="A1424" s="19" t="n"/>
      <c r="B1424" s="19" t="n"/>
      <c r="C1424" s="19" t="n"/>
      <c r="D1424" s="19" t="n"/>
      <c r="E1424" s="19" t="n"/>
      <c r="F1424" s="19" t="n"/>
      <c r="G1424" s="19" t="n"/>
      <c r="H1424" s="19" t="n"/>
      <c r="I1424" s="19" t="n"/>
      <c r="J1424" s="19" t="n"/>
      <c r="K1424" s="19" t="n"/>
      <c r="L1424" s="20" t="n"/>
      <c r="M1424" s="20" t="n"/>
      <c r="N1424" s="20" t="n"/>
      <c r="O1424" s="20" t="n"/>
      <c r="P1424" s="19" t="n"/>
      <c r="Q1424" s="19" t="n"/>
      <c r="R1424" s="20" t="n"/>
      <c r="S1424" s="20" t="n"/>
      <c r="T1424" s="19" t="n"/>
      <c r="U1424" s="19" t="n"/>
      <c r="V1424" s="19" t="n"/>
      <c r="W1424" s="19" t="n"/>
      <c r="X1424" s="19" t="n"/>
      <c r="Y1424" s="19" t="n"/>
      <c r="Z1424" s="21">
        <f>IF(AND($A1424="",$B1424=""),"",IF(OR($E1424="",$H1424="",$H1424="Proposed",$H1424="Not Reported"),0,IF(AND($P1424="Y",$Q1424&lt;&gt;"Y"),0,IF(AND($K1424="Point",N($L1424)&lt;=0),0,IF(AND(N($L1424)&lt;=0,N($N1424)&lt;=0,N($R1424)+N($S1424)&lt;=0),0,1)))))</f>
        <v/>
      </c>
      <c r="AA1424" s="21">
        <f>IF(AND($A1424="",$B1424=""),"",IF($E1424="","Site type missing",IF($H1424="","STATUS missing",IF($H1424="Proposed","STATUS = Proposed",IF($H1424="Not Reported","STATUS = Not Reported",IF(AND($P1424="Y",$Q1424&lt;&gt;"Y"),"UNESCO-MAB Biosphere Reserve",IF(AND($K1424="Point",N($L1424)&lt;=0),"Point without REP_AREA",IF(AND(N($L1424)&lt;=0,N($N1424)&lt;=0,N($R1424)+N($S1424)&lt;=0),"No area information",""))))))))</f>
        <v/>
      </c>
      <c r="AB1424" s="22">
        <f>IF(AND($A1424="",$B1424=""),"",IF($K1424="Point",N($L1424),IF(N($N1424)&gt;0,N($N1424),N($L1424))))</f>
        <v/>
      </c>
      <c r="AC1424" s="22">
        <f>IF(AND($A1424="",$B1424=""),"",MIN(AB1424,IF(N($J1424)=0,0,IF(N($J1424)=2,AB1424,IF(AND($K1424&lt;&gt;"Point",N($O1424)&gt;0),N($O1424),N($M1424))))))</f>
        <v/>
      </c>
      <c r="AD1424" s="22">
        <f>IF(AND($A1424="",$B1424=""),"",MAX(0,AB1424-AC1424))</f>
        <v/>
      </c>
      <c r="AE1424" s="21">
        <f>IF(AND($A1424="",$B1424=""),"",IF(OR($R1424&lt;&gt;"",$S1424&lt;&gt;""),1,0))</f>
        <v/>
      </c>
      <c r="AF1424" s="22">
        <f>IF(AND($A1424="",$B1424=""),"",IF(Z1424=1,IF(AE1424=1,N($R1424),AD1424),0))</f>
        <v/>
      </c>
      <c r="AG1424" s="22">
        <f>IF(AND($A1424="",$B1424=""),"",IF(Z1424=1,IF(AE1424=1,N($S1424),AC1424),0))</f>
        <v/>
      </c>
      <c r="AH1424" s="21">
        <f>IF(AND($A1424="",$B1424=""),"",IF(AND(ISNUMBER($I1424),N($I1424)&gt;0),$I1424,0))</f>
        <v/>
      </c>
      <c r="AI1424" s="23">
        <f>IF(AND(NOT(AND($A1424="",$B1424="")),$K1424="Point",N($L1424)&gt;0),SQRT(N($L1424)/PI()),"")</f>
        <v/>
      </c>
      <c r="AJ1424" s="21">
        <f>IF(AND($A1424="",$B1424=""),"",IFERROR(VLOOKUP($G1424,Lists!$D$4:$E$15,2,FALSE),"Not reported"))</f>
        <v/>
      </c>
      <c r="AK1424" s="21">
        <f>IF(AND($A1424="",$B1424=""),"",IF($X1424&lt;&gt;"",$X1424,IF($T1424&lt;&gt;"Y","Not assessed",IF(AND(ISNUMBER($V1424),Setup!$B$6-$V1424&gt;Setup!$B$26),"Assessment outdated",IF(NOT(ISNUMBER($W1424)),"Assessed – no score",IF($W1424&gt;=Setup!$B$24,"High",IF($W1424&gt;=Setup!$B$25,"Moderate","Low")))))))</f>
        <v/>
      </c>
      <c r="AL1424" s="21">
        <f>IF(AND($A1424="",$B1424=""),"",IF(Z1424=0,"",IF(AND(AE1424=1,N($R1424)&gt;AD1424*1.01+0.001),"Net terrestrial &gt; gross; ","")&amp;IF(AND(AE1424=1,N($S1424)&gt;AC1424*1.01+0.001),"Net marine &gt; gross; ","")&amp;IF(AE1424=0,"No net area – gross used, overlaps may be double-counted; ","")&amp;IF(AH1424=0,"STATUS_YR missing – imputed in time series; ","")&amp;IF(AND(ISNUMBER($I1424),N($I1424)&gt;Setup!$B$6),"STATUS_YR after reporting year; ","")&amp;IF(OR($G1424="",$G1424="Not Reported"),"GOV_TYPE not reported; ","")&amp;IF(AND(N($J1424)=1,$K1424="Point",N($M1424)&lt;=0),"Coastal point without REP_M_AREA – land/sea split unknown; ","")&amp;IF(AND(N($J1424)=0,N($S1424)&gt;0),"MARINE=0 but net marine &gt;0; ","")&amp;IF(AND(N($J1424)=2,N($R1424)&gt;0),"MARINE=2 but net terrestrial &gt;0; ","")&amp;IF($K1424="Point","Buffered point – coverage approximate; ","")))</f>
        <v/>
      </c>
    </row>
    <row r="1425">
      <c r="A1425" s="19" t="n"/>
      <c r="B1425" s="19" t="n"/>
      <c r="C1425" s="19" t="n"/>
      <c r="D1425" s="19" t="n"/>
      <c r="E1425" s="19" t="n"/>
      <c r="F1425" s="19" t="n"/>
      <c r="G1425" s="19" t="n"/>
      <c r="H1425" s="19" t="n"/>
      <c r="I1425" s="19" t="n"/>
      <c r="J1425" s="19" t="n"/>
      <c r="K1425" s="19" t="n"/>
      <c r="L1425" s="20" t="n"/>
      <c r="M1425" s="20" t="n"/>
      <c r="N1425" s="20" t="n"/>
      <c r="O1425" s="20" t="n"/>
      <c r="P1425" s="19" t="n"/>
      <c r="Q1425" s="19" t="n"/>
      <c r="R1425" s="20" t="n"/>
      <c r="S1425" s="20" t="n"/>
      <c r="T1425" s="19" t="n"/>
      <c r="U1425" s="19" t="n"/>
      <c r="V1425" s="19" t="n"/>
      <c r="W1425" s="19" t="n"/>
      <c r="X1425" s="19" t="n"/>
      <c r="Y1425" s="19" t="n"/>
      <c r="Z1425" s="21">
        <f>IF(AND($A1425="",$B1425=""),"",IF(OR($E1425="",$H1425="",$H1425="Proposed",$H1425="Not Reported"),0,IF(AND($P1425="Y",$Q1425&lt;&gt;"Y"),0,IF(AND($K1425="Point",N($L1425)&lt;=0),0,IF(AND(N($L1425)&lt;=0,N($N1425)&lt;=0,N($R1425)+N($S1425)&lt;=0),0,1)))))</f>
        <v/>
      </c>
      <c r="AA1425" s="21">
        <f>IF(AND($A1425="",$B1425=""),"",IF($E1425="","Site type missing",IF($H1425="","STATUS missing",IF($H1425="Proposed","STATUS = Proposed",IF($H1425="Not Reported","STATUS = Not Reported",IF(AND($P1425="Y",$Q1425&lt;&gt;"Y"),"UNESCO-MAB Biosphere Reserve",IF(AND($K1425="Point",N($L1425)&lt;=0),"Point without REP_AREA",IF(AND(N($L1425)&lt;=0,N($N1425)&lt;=0,N($R1425)+N($S1425)&lt;=0),"No area information",""))))))))</f>
        <v/>
      </c>
      <c r="AB1425" s="22">
        <f>IF(AND($A1425="",$B1425=""),"",IF($K1425="Point",N($L1425),IF(N($N1425)&gt;0,N($N1425),N($L1425))))</f>
        <v/>
      </c>
      <c r="AC1425" s="22">
        <f>IF(AND($A1425="",$B1425=""),"",MIN(AB1425,IF(N($J1425)=0,0,IF(N($J1425)=2,AB1425,IF(AND($K1425&lt;&gt;"Point",N($O1425)&gt;0),N($O1425),N($M1425))))))</f>
        <v/>
      </c>
      <c r="AD1425" s="22">
        <f>IF(AND($A1425="",$B1425=""),"",MAX(0,AB1425-AC1425))</f>
        <v/>
      </c>
      <c r="AE1425" s="21">
        <f>IF(AND($A1425="",$B1425=""),"",IF(OR($R1425&lt;&gt;"",$S1425&lt;&gt;""),1,0))</f>
        <v/>
      </c>
      <c r="AF1425" s="22">
        <f>IF(AND($A1425="",$B1425=""),"",IF(Z1425=1,IF(AE1425=1,N($R1425),AD1425),0))</f>
        <v/>
      </c>
      <c r="AG1425" s="22">
        <f>IF(AND($A1425="",$B1425=""),"",IF(Z1425=1,IF(AE1425=1,N($S1425),AC1425),0))</f>
        <v/>
      </c>
      <c r="AH1425" s="21">
        <f>IF(AND($A1425="",$B1425=""),"",IF(AND(ISNUMBER($I1425),N($I1425)&gt;0),$I1425,0))</f>
        <v/>
      </c>
      <c r="AI1425" s="23">
        <f>IF(AND(NOT(AND($A1425="",$B1425="")),$K1425="Point",N($L1425)&gt;0),SQRT(N($L1425)/PI()),"")</f>
        <v/>
      </c>
      <c r="AJ1425" s="21">
        <f>IF(AND($A1425="",$B1425=""),"",IFERROR(VLOOKUP($G1425,Lists!$D$4:$E$15,2,FALSE),"Not reported"))</f>
        <v/>
      </c>
      <c r="AK1425" s="21">
        <f>IF(AND($A1425="",$B1425=""),"",IF($X1425&lt;&gt;"",$X1425,IF($T1425&lt;&gt;"Y","Not assessed",IF(AND(ISNUMBER($V1425),Setup!$B$6-$V1425&gt;Setup!$B$26),"Assessment outdated",IF(NOT(ISNUMBER($W1425)),"Assessed – no score",IF($W1425&gt;=Setup!$B$24,"High",IF($W1425&gt;=Setup!$B$25,"Moderate","Low")))))))</f>
        <v/>
      </c>
      <c r="AL1425" s="21">
        <f>IF(AND($A1425="",$B1425=""),"",IF(Z1425=0,"",IF(AND(AE1425=1,N($R1425)&gt;AD1425*1.01+0.001),"Net terrestrial &gt; gross; ","")&amp;IF(AND(AE1425=1,N($S1425)&gt;AC1425*1.01+0.001),"Net marine &gt; gross; ","")&amp;IF(AE1425=0,"No net area – gross used, overlaps may be double-counted; ","")&amp;IF(AH1425=0,"STATUS_YR missing – imputed in time series; ","")&amp;IF(AND(ISNUMBER($I1425),N($I1425)&gt;Setup!$B$6),"STATUS_YR after reporting year; ","")&amp;IF(OR($G1425="",$G1425="Not Reported"),"GOV_TYPE not reported; ","")&amp;IF(AND(N($J1425)=1,$K1425="Point",N($M1425)&lt;=0),"Coastal point without REP_M_AREA – land/sea split unknown; ","")&amp;IF(AND(N($J1425)=0,N($S1425)&gt;0),"MARINE=0 but net marine &gt;0; ","")&amp;IF(AND(N($J1425)=2,N($R1425)&gt;0),"MARINE=2 but net terrestrial &gt;0; ","")&amp;IF($K1425="Point","Buffered point – coverage approximate; ","")))</f>
        <v/>
      </c>
    </row>
    <row r="1426">
      <c r="A1426" s="19" t="n"/>
      <c r="B1426" s="19" t="n"/>
      <c r="C1426" s="19" t="n"/>
      <c r="D1426" s="19" t="n"/>
      <c r="E1426" s="19" t="n"/>
      <c r="F1426" s="19" t="n"/>
      <c r="G1426" s="19" t="n"/>
      <c r="H1426" s="19" t="n"/>
      <c r="I1426" s="19" t="n"/>
      <c r="J1426" s="19" t="n"/>
      <c r="K1426" s="19" t="n"/>
      <c r="L1426" s="20" t="n"/>
      <c r="M1426" s="20" t="n"/>
      <c r="N1426" s="20" t="n"/>
      <c r="O1426" s="20" t="n"/>
      <c r="P1426" s="19" t="n"/>
      <c r="Q1426" s="19" t="n"/>
      <c r="R1426" s="20" t="n"/>
      <c r="S1426" s="20" t="n"/>
      <c r="T1426" s="19" t="n"/>
      <c r="U1426" s="19" t="n"/>
      <c r="V1426" s="19" t="n"/>
      <c r="W1426" s="19" t="n"/>
      <c r="X1426" s="19" t="n"/>
      <c r="Y1426" s="19" t="n"/>
      <c r="Z1426" s="21">
        <f>IF(AND($A1426="",$B1426=""),"",IF(OR($E1426="",$H1426="",$H1426="Proposed",$H1426="Not Reported"),0,IF(AND($P1426="Y",$Q1426&lt;&gt;"Y"),0,IF(AND($K1426="Point",N($L1426)&lt;=0),0,IF(AND(N($L1426)&lt;=0,N($N1426)&lt;=0,N($R1426)+N($S1426)&lt;=0),0,1)))))</f>
        <v/>
      </c>
      <c r="AA1426" s="21">
        <f>IF(AND($A1426="",$B1426=""),"",IF($E1426="","Site type missing",IF($H1426="","STATUS missing",IF($H1426="Proposed","STATUS = Proposed",IF($H1426="Not Reported","STATUS = Not Reported",IF(AND($P1426="Y",$Q1426&lt;&gt;"Y"),"UNESCO-MAB Biosphere Reserve",IF(AND($K1426="Point",N($L1426)&lt;=0),"Point without REP_AREA",IF(AND(N($L1426)&lt;=0,N($N1426)&lt;=0,N($R1426)+N($S1426)&lt;=0),"No area information",""))))))))</f>
        <v/>
      </c>
      <c r="AB1426" s="22">
        <f>IF(AND($A1426="",$B1426=""),"",IF($K1426="Point",N($L1426),IF(N($N1426)&gt;0,N($N1426),N($L1426))))</f>
        <v/>
      </c>
      <c r="AC1426" s="22">
        <f>IF(AND($A1426="",$B1426=""),"",MIN(AB1426,IF(N($J1426)=0,0,IF(N($J1426)=2,AB1426,IF(AND($K1426&lt;&gt;"Point",N($O1426)&gt;0),N($O1426),N($M1426))))))</f>
        <v/>
      </c>
      <c r="AD1426" s="22">
        <f>IF(AND($A1426="",$B1426=""),"",MAX(0,AB1426-AC1426))</f>
        <v/>
      </c>
      <c r="AE1426" s="21">
        <f>IF(AND($A1426="",$B1426=""),"",IF(OR($R1426&lt;&gt;"",$S1426&lt;&gt;""),1,0))</f>
        <v/>
      </c>
      <c r="AF1426" s="22">
        <f>IF(AND($A1426="",$B1426=""),"",IF(Z1426=1,IF(AE1426=1,N($R1426),AD1426),0))</f>
        <v/>
      </c>
      <c r="AG1426" s="22">
        <f>IF(AND($A1426="",$B1426=""),"",IF(Z1426=1,IF(AE1426=1,N($S1426),AC1426),0))</f>
        <v/>
      </c>
      <c r="AH1426" s="21">
        <f>IF(AND($A1426="",$B1426=""),"",IF(AND(ISNUMBER($I1426),N($I1426)&gt;0),$I1426,0))</f>
        <v/>
      </c>
      <c r="AI1426" s="23">
        <f>IF(AND(NOT(AND($A1426="",$B1426="")),$K1426="Point",N($L1426)&gt;0),SQRT(N($L1426)/PI()),"")</f>
        <v/>
      </c>
      <c r="AJ1426" s="21">
        <f>IF(AND($A1426="",$B1426=""),"",IFERROR(VLOOKUP($G1426,Lists!$D$4:$E$15,2,FALSE),"Not reported"))</f>
        <v/>
      </c>
      <c r="AK1426" s="21">
        <f>IF(AND($A1426="",$B1426=""),"",IF($X1426&lt;&gt;"",$X1426,IF($T1426&lt;&gt;"Y","Not assessed",IF(AND(ISNUMBER($V1426),Setup!$B$6-$V1426&gt;Setup!$B$26),"Assessment outdated",IF(NOT(ISNUMBER($W1426)),"Assessed – no score",IF($W1426&gt;=Setup!$B$24,"High",IF($W1426&gt;=Setup!$B$25,"Moderate","Low")))))))</f>
        <v/>
      </c>
      <c r="AL1426" s="21">
        <f>IF(AND($A1426="",$B1426=""),"",IF(Z1426=0,"",IF(AND(AE1426=1,N($R1426)&gt;AD1426*1.01+0.001),"Net terrestrial &gt; gross; ","")&amp;IF(AND(AE1426=1,N($S1426)&gt;AC1426*1.01+0.001),"Net marine &gt; gross; ","")&amp;IF(AE1426=0,"No net area – gross used, overlaps may be double-counted; ","")&amp;IF(AH1426=0,"STATUS_YR missing – imputed in time series; ","")&amp;IF(AND(ISNUMBER($I1426),N($I1426)&gt;Setup!$B$6),"STATUS_YR after reporting year; ","")&amp;IF(OR($G1426="",$G1426="Not Reported"),"GOV_TYPE not reported; ","")&amp;IF(AND(N($J1426)=1,$K1426="Point",N($M1426)&lt;=0),"Coastal point without REP_M_AREA – land/sea split unknown; ","")&amp;IF(AND(N($J1426)=0,N($S1426)&gt;0),"MARINE=0 but net marine &gt;0; ","")&amp;IF(AND(N($J1426)=2,N($R1426)&gt;0),"MARINE=2 but net terrestrial &gt;0; ","")&amp;IF($K1426="Point","Buffered point – coverage approximate; ","")))</f>
        <v/>
      </c>
    </row>
    <row r="1427">
      <c r="A1427" s="19" t="n"/>
      <c r="B1427" s="19" t="n"/>
      <c r="C1427" s="19" t="n"/>
      <c r="D1427" s="19" t="n"/>
      <c r="E1427" s="19" t="n"/>
      <c r="F1427" s="19" t="n"/>
      <c r="G1427" s="19" t="n"/>
      <c r="H1427" s="19" t="n"/>
      <c r="I1427" s="19" t="n"/>
      <c r="J1427" s="19" t="n"/>
      <c r="K1427" s="19" t="n"/>
      <c r="L1427" s="20" t="n"/>
      <c r="M1427" s="20" t="n"/>
      <c r="N1427" s="20" t="n"/>
      <c r="O1427" s="20" t="n"/>
      <c r="P1427" s="19" t="n"/>
      <c r="Q1427" s="19" t="n"/>
      <c r="R1427" s="20" t="n"/>
      <c r="S1427" s="20" t="n"/>
      <c r="T1427" s="19" t="n"/>
      <c r="U1427" s="19" t="n"/>
      <c r="V1427" s="19" t="n"/>
      <c r="W1427" s="19" t="n"/>
      <c r="X1427" s="19" t="n"/>
      <c r="Y1427" s="19" t="n"/>
      <c r="Z1427" s="21">
        <f>IF(AND($A1427="",$B1427=""),"",IF(OR($E1427="",$H1427="",$H1427="Proposed",$H1427="Not Reported"),0,IF(AND($P1427="Y",$Q1427&lt;&gt;"Y"),0,IF(AND($K1427="Point",N($L1427)&lt;=0),0,IF(AND(N($L1427)&lt;=0,N($N1427)&lt;=0,N($R1427)+N($S1427)&lt;=0),0,1)))))</f>
        <v/>
      </c>
      <c r="AA1427" s="21">
        <f>IF(AND($A1427="",$B1427=""),"",IF($E1427="","Site type missing",IF($H1427="","STATUS missing",IF($H1427="Proposed","STATUS = Proposed",IF($H1427="Not Reported","STATUS = Not Reported",IF(AND($P1427="Y",$Q1427&lt;&gt;"Y"),"UNESCO-MAB Biosphere Reserve",IF(AND($K1427="Point",N($L1427)&lt;=0),"Point without REP_AREA",IF(AND(N($L1427)&lt;=0,N($N1427)&lt;=0,N($R1427)+N($S1427)&lt;=0),"No area information",""))))))))</f>
        <v/>
      </c>
      <c r="AB1427" s="22">
        <f>IF(AND($A1427="",$B1427=""),"",IF($K1427="Point",N($L1427),IF(N($N1427)&gt;0,N($N1427),N($L1427))))</f>
        <v/>
      </c>
      <c r="AC1427" s="22">
        <f>IF(AND($A1427="",$B1427=""),"",MIN(AB1427,IF(N($J1427)=0,0,IF(N($J1427)=2,AB1427,IF(AND($K1427&lt;&gt;"Point",N($O1427)&gt;0),N($O1427),N($M1427))))))</f>
        <v/>
      </c>
      <c r="AD1427" s="22">
        <f>IF(AND($A1427="",$B1427=""),"",MAX(0,AB1427-AC1427))</f>
        <v/>
      </c>
      <c r="AE1427" s="21">
        <f>IF(AND($A1427="",$B1427=""),"",IF(OR($R1427&lt;&gt;"",$S1427&lt;&gt;""),1,0))</f>
        <v/>
      </c>
      <c r="AF1427" s="22">
        <f>IF(AND($A1427="",$B1427=""),"",IF(Z1427=1,IF(AE1427=1,N($R1427),AD1427),0))</f>
        <v/>
      </c>
      <c r="AG1427" s="22">
        <f>IF(AND($A1427="",$B1427=""),"",IF(Z1427=1,IF(AE1427=1,N($S1427),AC1427),0))</f>
        <v/>
      </c>
      <c r="AH1427" s="21">
        <f>IF(AND($A1427="",$B1427=""),"",IF(AND(ISNUMBER($I1427),N($I1427)&gt;0),$I1427,0))</f>
        <v/>
      </c>
      <c r="AI1427" s="23">
        <f>IF(AND(NOT(AND($A1427="",$B1427="")),$K1427="Point",N($L1427)&gt;0),SQRT(N($L1427)/PI()),"")</f>
        <v/>
      </c>
      <c r="AJ1427" s="21">
        <f>IF(AND($A1427="",$B1427=""),"",IFERROR(VLOOKUP($G1427,Lists!$D$4:$E$15,2,FALSE),"Not reported"))</f>
        <v/>
      </c>
      <c r="AK1427" s="21">
        <f>IF(AND($A1427="",$B1427=""),"",IF($X1427&lt;&gt;"",$X1427,IF($T1427&lt;&gt;"Y","Not assessed",IF(AND(ISNUMBER($V1427),Setup!$B$6-$V1427&gt;Setup!$B$26),"Assessment outdated",IF(NOT(ISNUMBER($W1427)),"Assessed – no score",IF($W1427&gt;=Setup!$B$24,"High",IF($W1427&gt;=Setup!$B$25,"Moderate","Low")))))))</f>
        <v/>
      </c>
      <c r="AL1427" s="21">
        <f>IF(AND($A1427="",$B1427=""),"",IF(Z1427=0,"",IF(AND(AE1427=1,N($R1427)&gt;AD1427*1.01+0.001),"Net terrestrial &gt; gross; ","")&amp;IF(AND(AE1427=1,N($S1427)&gt;AC1427*1.01+0.001),"Net marine &gt; gross; ","")&amp;IF(AE1427=0,"No net area – gross used, overlaps may be double-counted; ","")&amp;IF(AH1427=0,"STATUS_YR missing – imputed in time series; ","")&amp;IF(AND(ISNUMBER($I1427),N($I1427)&gt;Setup!$B$6),"STATUS_YR after reporting year; ","")&amp;IF(OR($G1427="",$G1427="Not Reported"),"GOV_TYPE not reported; ","")&amp;IF(AND(N($J1427)=1,$K1427="Point",N($M1427)&lt;=0),"Coastal point without REP_M_AREA – land/sea split unknown; ","")&amp;IF(AND(N($J1427)=0,N($S1427)&gt;0),"MARINE=0 but net marine &gt;0; ","")&amp;IF(AND(N($J1427)=2,N($R1427)&gt;0),"MARINE=2 but net terrestrial &gt;0; ","")&amp;IF($K1427="Point","Buffered point – coverage approximate; ","")))</f>
        <v/>
      </c>
    </row>
    <row r="1428">
      <c r="A1428" s="19" t="n"/>
      <c r="B1428" s="19" t="n"/>
      <c r="C1428" s="19" t="n"/>
      <c r="D1428" s="19" t="n"/>
      <c r="E1428" s="19" t="n"/>
      <c r="F1428" s="19" t="n"/>
      <c r="G1428" s="19" t="n"/>
      <c r="H1428" s="19" t="n"/>
      <c r="I1428" s="19" t="n"/>
      <c r="J1428" s="19" t="n"/>
      <c r="K1428" s="19" t="n"/>
      <c r="L1428" s="20" t="n"/>
      <c r="M1428" s="20" t="n"/>
      <c r="N1428" s="20" t="n"/>
      <c r="O1428" s="20" t="n"/>
      <c r="P1428" s="19" t="n"/>
      <c r="Q1428" s="19" t="n"/>
      <c r="R1428" s="20" t="n"/>
      <c r="S1428" s="20" t="n"/>
      <c r="T1428" s="19" t="n"/>
      <c r="U1428" s="19" t="n"/>
      <c r="V1428" s="19" t="n"/>
      <c r="W1428" s="19" t="n"/>
      <c r="X1428" s="19" t="n"/>
      <c r="Y1428" s="19" t="n"/>
      <c r="Z1428" s="21">
        <f>IF(AND($A1428="",$B1428=""),"",IF(OR($E1428="",$H1428="",$H1428="Proposed",$H1428="Not Reported"),0,IF(AND($P1428="Y",$Q1428&lt;&gt;"Y"),0,IF(AND($K1428="Point",N($L1428)&lt;=0),0,IF(AND(N($L1428)&lt;=0,N($N1428)&lt;=0,N($R1428)+N($S1428)&lt;=0),0,1)))))</f>
        <v/>
      </c>
      <c r="AA1428" s="21">
        <f>IF(AND($A1428="",$B1428=""),"",IF($E1428="","Site type missing",IF($H1428="","STATUS missing",IF($H1428="Proposed","STATUS = Proposed",IF($H1428="Not Reported","STATUS = Not Reported",IF(AND($P1428="Y",$Q1428&lt;&gt;"Y"),"UNESCO-MAB Biosphere Reserve",IF(AND($K1428="Point",N($L1428)&lt;=0),"Point without REP_AREA",IF(AND(N($L1428)&lt;=0,N($N1428)&lt;=0,N($R1428)+N($S1428)&lt;=0),"No area information",""))))))))</f>
        <v/>
      </c>
      <c r="AB1428" s="22">
        <f>IF(AND($A1428="",$B1428=""),"",IF($K1428="Point",N($L1428),IF(N($N1428)&gt;0,N($N1428),N($L1428))))</f>
        <v/>
      </c>
      <c r="AC1428" s="22">
        <f>IF(AND($A1428="",$B1428=""),"",MIN(AB1428,IF(N($J1428)=0,0,IF(N($J1428)=2,AB1428,IF(AND($K1428&lt;&gt;"Point",N($O1428)&gt;0),N($O1428),N($M1428))))))</f>
        <v/>
      </c>
      <c r="AD1428" s="22">
        <f>IF(AND($A1428="",$B1428=""),"",MAX(0,AB1428-AC1428))</f>
        <v/>
      </c>
      <c r="AE1428" s="21">
        <f>IF(AND($A1428="",$B1428=""),"",IF(OR($R1428&lt;&gt;"",$S1428&lt;&gt;""),1,0))</f>
        <v/>
      </c>
      <c r="AF1428" s="22">
        <f>IF(AND($A1428="",$B1428=""),"",IF(Z1428=1,IF(AE1428=1,N($R1428),AD1428),0))</f>
        <v/>
      </c>
      <c r="AG1428" s="22">
        <f>IF(AND($A1428="",$B1428=""),"",IF(Z1428=1,IF(AE1428=1,N($S1428),AC1428),0))</f>
        <v/>
      </c>
      <c r="AH1428" s="21">
        <f>IF(AND($A1428="",$B1428=""),"",IF(AND(ISNUMBER($I1428),N($I1428)&gt;0),$I1428,0))</f>
        <v/>
      </c>
      <c r="AI1428" s="23">
        <f>IF(AND(NOT(AND($A1428="",$B1428="")),$K1428="Point",N($L1428)&gt;0),SQRT(N($L1428)/PI()),"")</f>
        <v/>
      </c>
      <c r="AJ1428" s="21">
        <f>IF(AND($A1428="",$B1428=""),"",IFERROR(VLOOKUP($G1428,Lists!$D$4:$E$15,2,FALSE),"Not reported"))</f>
        <v/>
      </c>
      <c r="AK1428" s="21">
        <f>IF(AND($A1428="",$B1428=""),"",IF($X1428&lt;&gt;"",$X1428,IF($T1428&lt;&gt;"Y","Not assessed",IF(AND(ISNUMBER($V1428),Setup!$B$6-$V1428&gt;Setup!$B$26),"Assessment outdated",IF(NOT(ISNUMBER($W1428)),"Assessed – no score",IF($W1428&gt;=Setup!$B$24,"High",IF($W1428&gt;=Setup!$B$25,"Moderate","Low")))))))</f>
        <v/>
      </c>
      <c r="AL1428" s="21">
        <f>IF(AND($A1428="",$B1428=""),"",IF(Z1428=0,"",IF(AND(AE1428=1,N($R1428)&gt;AD1428*1.01+0.001),"Net terrestrial &gt; gross; ","")&amp;IF(AND(AE1428=1,N($S1428)&gt;AC1428*1.01+0.001),"Net marine &gt; gross; ","")&amp;IF(AE1428=0,"No net area – gross used, overlaps may be double-counted; ","")&amp;IF(AH1428=0,"STATUS_YR missing – imputed in time series; ","")&amp;IF(AND(ISNUMBER($I1428),N($I1428)&gt;Setup!$B$6),"STATUS_YR after reporting year; ","")&amp;IF(OR($G1428="",$G1428="Not Reported"),"GOV_TYPE not reported; ","")&amp;IF(AND(N($J1428)=1,$K1428="Point",N($M1428)&lt;=0),"Coastal point without REP_M_AREA – land/sea split unknown; ","")&amp;IF(AND(N($J1428)=0,N($S1428)&gt;0),"MARINE=0 but net marine &gt;0; ","")&amp;IF(AND(N($J1428)=2,N($R1428)&gt;0),"MARINE=2 but net terrestrial &gt;0; ","")&amp;IF($K1428="Point","Buffered point – coverage approximate; ","")))</f>
        <v/>
      </c>
    </row>
    <row r="1429">
      <c r="A1429" s="19" t="n"/>
      <c r="B1429" s="19" t="n"/>
      <c r="C1429" s="19" t="n"/>
      <c r="D1429" s="19" t="n"/>
      <c r="E1429" s="19" t="n"/>
      <c r="F1429" s="19" t="n"/>
      <c r="G1429" s="19" t="n"/>
      <c r="H1429" s="19" t="n"/>
      <c r="I1429" s="19" t="n"/>
      <c r="J1429" s="19" t="n"/>
      <c r="K1429" s="19" t="n"/>
      <c r="L1429" s="20" t="n"/>
      <c r="M1429" s="20" t="n"/>
      <c r="N1429" s="20" t="n"/>
      <c r="O1429" s="20" t="n"/>
      <c r="P1429" s="19" t="n"/>
      <c r="Q1429" s="19" t="n"/>
      <c r="R1429" s="20" t="n"/>
      <c r="S1429" s="20" t="n"/>
      <c r="T1429" s="19" t="n"/>
      <c r="U1429" s="19" t="n"/>
      <c r="V1429" s="19" t="n"/>
      <c r="W1429" s="19" t="n"/>
      <c r="X1429" s="19" t="n"/>
      <c r="Y1429" s="19" t="n"/>
      <c r="Z1429" s="21">
        <f>IF(AND($A1429="",$B1429=""),"",IF(OR($E1429="",$H1429="",$H1429="Proposed",$H1429="Not Reported"),0,IF(AND($P1429="Y",$Q1429&lt;&gt;"Y"),0,IF(AND($K1429="Point",N($L1429)&lt;=0),0,IF(AND(N($L1429)&lt;=0,N($N1429)&lt;=0,N($R1429)+N($S1429)&lt;=0),0,1)))))</f>
        <v/>
      </c>
      <c r="AA1429" s="21">
        <f>IF(AND($A1429="",$B1429=""),"",IF($E1429="","Site type missing",IF($H1429="","STATUS missing",IF($H1429="Proposed","STATUS = Proposed",IF($H1429="Not Reported","STATUS = Not Reported",IF(AND($P1429="Y",$Q1429&lt;&gt;"Y"),"UNESCO-MAB Biosphere Reserve",IF(AND($K1429="Point",N($L1429)&lt;=0),"Point without REP_AREA",IF(AND(N($L1429)&lt;=0,N($N1429)&lt;=0,N($R1429)+N($S1429)&lt;=0),"No area information",""))))))))</f>
        <v/>
      </c>
      <c r="AB1429" s="22">
        <f>IF(AND($A1429="",$B1429=""),"",IF($K1429="Point",N($L1429),IF(N($N1429)&gt;0,N($N1429),N($L1429))))</f>
        <v/>
      </c>
      <c r="AC1429" s="22">
        <f>IF(AND($A1429="",$B1429=""),"",MIN(AB1429,IF(N($J1429)=0,0,IF(N($J1429)=2,AB1429,IF(AND($K1429&lt;&gt;"Point",N($O1429)&gt;0),N($O1429),N($M1429))))))</f>
        <v/>
      </c>
      <c r="AD1429" s="22">
        <f>IF(AND($A1429="",$B1429=""),"",MAX(0,AB1429-AC1429))</f>
        <v/>
      </c>
      <c r="AE1429" s="21">
        <f>IF(AND($A1429="",$B1429=""),"",IF(OR($R1429&lt;&gt;"",$S1429&lt;&gt;""),1,0))</f>
        <v/>
      </c>
      <c r="AF1429" s="22">
        <f>IF(AND($A1429="",$B1429=""),"",IF(Z1429=1,IF(AE1429=1,N($R1429),AD1429),0))</f>
        <v/>
      </c>
      <c r="AG1429" s="22">
        <f>IF(AND($A1429="",$B1429=""),"",IF(Z1429=1,IF(AE1429=1,N($S1429),AC1429),0))</f>
        <v/>
      </c>
      <c r="AH1429" s="21">
        <f>IF(AND($A1429="",$B1429=""),"",IF(AND(ISNUMBER($I1429),N($I1429)&gt;0),$I1429,0))</f>
        <v/>
      </c>
      <c r="AI1429" s="23">
        <f>IF(AND(NOT(AND($A1429="",$B1429="")),$K1429="Point",N($L1429)&gt;0),SQRT(N($L1429)/PI()),"")</f>
        <v/>
      </c>
      <c r="AJ1429" s="21">
        <f>IF(AND($A1429="",$B1429=""),"",IFERROR(VLOOKUP($G1429,Lists!$D$4:$E$15,2,FALSE),"Not reported"))</f>
        <v/>
      </c>
      <c r="AK1429" s="21">
        <f>IF(AND($A1429="",$B1429=""),"",IF($X1429&lt;&gt;"",$X1429,IF($T1429&lt;&gt;"Y","Not assessed",IF(AND(ISNUMBER($V1429),Setup!$B$6-$V1429&gt;Setup!$B$26),"Assessment outdated",IF(NOT(ISNUMBER($W1429)),"Assessed – no score",IF($W1429&gt;=Setup!$B$24,"High",IF($W1429&gt;=Setup!$B$25,"Moderate","Low")))))))</f>
        <v/>
      </c>
      <c r="AL1429" s="21">
        <f>IF(AND($A1429="",$B1429=""),"",IF(Z1429=0,"",IF(AND(AE1429=1,N($R1429)&gt;AD1429*1.01+0.001),"Net terrestrial &gt; gross; ","")&amp;IF(AND(AE1429=1,N($S1429)&gt;AC1429*1.01+0.001),"Net marine &gt; gross; ","")&amp;IF(AE1429=0,"No net area – gross used, overlaps may be double-counted; ","")&amp;IF(AH1429=0,"STATUS_YR missing – imputed in time series; ","")&amp;IF(AND(ISNUMBER($I1429),N($I1429)&gt;Setup!$B$6),"STATUS_YR after reporting year; ","")&amp;IF(OR($G1429="",$G1429="Not Reported"),"GOV_TYPE not reported; ","")&amp;IF(AND(N($J1429)=1,$K1429="Point",N($M1429)&lt;=0),"Coastal point without REP_M_AREA – land/sea split unknown; ","")&amp;IF(AND(N($J1429)=0,N($S1429)&gt;0),"MARINE=0 but net marine &gt;0; ","")&amp;IF(AND(N($J1429)=2,N($R1429)&gt;0),"MARINE=2 but net terrestrial &gt;0; ","")&amp;IF($K1429="Point","Buffered point – coverage approximate; ","")))</f>
        <v/>
      </c>
    </row>
    <row r="1430">
      <c r="A1430" s="19" t="n"/>
      <c r="B1430" s="19" t="n"/>
      <c r="C1430" s="19" t="n"/>
      <c r="D1430" s="19" t="n"/>
      <c r="E1430" s="19" t="n"/>
      <c r="F1430" s="19" t="n"/>
      <c r="G1430" s="19" t="n"/>
      <c r="H1430" s="19" t="n"/>
      <c r="I1430" s="19" t="n"/>
      <c r="J1430" s="19" t="n"/>
      <c r="K1430" s="19" t="n"/>
      <c r="L1430" s="20" t="n"/>
      <c r="M1430" s="20" t="n"/>
      <c r="N1430" s="20" t="n"/>
      <c r="O1430" s="20" t="n"/>
      <c r="P1430" s="19" t="n"/>
      <c r="Q1430" s="19" t="n"/>
      <c r="R1430" s="20" t="n"/>
      <c r="S1430" s="20" t="n"/>
      <c r="T1430" s="19" t="n"/>
      <c r="U1430" s="19" t="n"/>
      <c r="V1430" s="19" t="n"/>
      <c r="W1430" s="19" t="n"/>
      <c r="X1430" s="19" t="n"/>
      <c r="Y1430" s="19" t="n"/>
      <c r="Z1430" s="21">
        <f>IF(AND($A1430="",$B1430=""),"",IF(OR($E1430="",$H1430="",$H1430="Proposed",$H1430="Not Reported"),0,IF(AND($P1430="Y",$Q1430&lt;&gt;"Y"),0,IF(AND($K1430="Point",N($L1430)&lt;=0),0,IF(AND(N($L1430)&lt;=0,N($N1430)&lt;=0,N($R1430)+N($S1430)&lt;=0),0,1)))))</f>
        <v/>
      </c>
      <c r="AA1430" s="21">
        <f>IF(AND($A1430="",$B1430=""),"",IF($E1430="","Site type missing",IF($H1430="","STATUS missing",IF($H1430="Proposed","STATUS = Proposed",IF($H1430="Not Reported","STATUS = Not Reported",IF(AND($P1430="Y",$Q1430&lt;&gt;"Y"),"UNESCO-MAB Biosphere Reserve",IF(AND($K1430="Point",N($L1430)&lt;=0),"Point without REP_AREA",IF(AND(N($L1430)&lt;=0,N($N1430)&lt;=0,N($R1430)+N($S1430)&lt;=0),"No area information",""))))))))</f>
        <v/>
      </c>
      <c r="AB1430" s="22">
        <f>IF(AND($A1430="",$B1430=""),"",IF($K1430="Point",N($L1430),IF(N($N1430)&gt;0,N($N1430),N($L1430))))</f>
        <v/>
      </c>
      <c r="AC1430" s="22">
        <f>IF(AND($A1430="",$B1430=""),"",MIN(AB1430,IF(N($J1430)=0,0,IF(N($J1430)=2,AB1430,IF(AND($K1430&lt;&gt;"Point",N($O1430)&gt;0),N($O1430),N($M1430))))))</f>
        <v/>
      </c>
      <c r="AD1430" s="22">
        <f>IF(AND($A1430="",$B1430=""),"",MAX(0,AB1430-AC1430))</f>
        <v/>
      </c>
      <c r="AE1430" s="21">
        <f>IF(AND($A1430="",$B1430=""),"",IF(OR($R1430&lt;&gt;"",$S1430&lt;&gt;""),1,0))</f>
        <v/>
      </c>
      <c r="AF1430" s="22">
        <f>IF(AND($A1430="",$B1430=""),"",IF(Z1430=1,IF(AE1430=1,N($R1430),AD1430),0))</f>
        <v/>
      </c>
      <c r="AG1430" s="22">
        <f>IF(AND($A1430="",$B1430=""),"",IF(Z1430=1,IF(AE1430=1,N($S1430),AC1430),0))</f>
        <v/>
      </c>
      <c r="AH1430" s="21">
        <f>IF(AND($A1430="",$B1430=""),"",IF(AND(ISNUMBER($I1430),N($I1430)&gt;0),$I1430,0))</f>
        <v/>
      </c>
      <c r="AI1430" s="23">
        <f>IF(AND(NOT(AND($A1430="",$B1430="")),$K1430="Point",N($L1430)&gt;0),SQRT(N($L1430)/PI()),"")</f>
        <v/>
      </c>
      <c r="AJ1430" s="21">
        <f>IF(AND($A1430="",$B1430=""),"",IFERROR(VLOOKUP($G1430,Lists!$D$4:$E$15,2,FALSE),"Not reported"))</f>
        <v/>
      </c>
      <c r="AK1430" s="21">
        <f>IF(AND($A1430="",$B1430=""),"",IF($X1430&lt;&gt;"",$X1430,IF($T1430&lt;&gt;"Y","Not assessed",IF(AND(ISNUMBER($V1430),Setup!$B$6-$V1430&gt;Setup!$B$26),"Assessment outdated",IF(NOT(ISNUMBER($W1430)),"Assessed – no score",IF($W1430&gt;=Setup!$B$24,"High",IF($W1430&gt;=Setup!$B$25,"Moderate","Low")))))))</f>
        <v/>
      </c>
      <c r="AL1430" s="21">
        <f>IF(AND($A1430="",$B1430=""),"",IF(Z1430=0,"",IF(AND(AE1430=1,N($R1430)&gt;AD1430*1.01+0.001),"Net terrestrial &gt; gross; ","")&amp;IF(AND(AE1430=1,N($S1430)&gt;AC1430*1.01+0.001),"Net marine &gt; gross; ","")&amp;IF(AE1430=0,"No net area – gross used, overlaps may be double-counted; ","")&amp;IF(AH1430=0,"STATUS_YR missing – imputed in time series; ","")&amp;IF(AND(ISNUMBER($I1430),N($I1430)&gt;Setup!$B$6),"STATUS_YR after reporting year; ","")&amp;IF(OR($G1430="",$G1430="Not Reported"),"GOV_TYPE not reported; ","")&amp;IF(AND(N($J1430)=1,$K1430="Point",N($M1430)&lt;=0),"Coastal point without REP_M_AREA – land/sea split unknown; ","")&amp;IF(AND(N($J1430)=0,N($S1430)&gt;0),"MARINE=0 but net marine &gt;0; ","")&amp;IF(AND(N($J1430)=2,N($R1430)&gt;0),"MARINE=2 but net terrestrial &gt;0; ","")&amp;IF($K1430="Point","Buffered point – coverage approximate; ","")))</f>
        <v/>
      </c>
    </row>
    <row r="1431">
      <c r="A1431" s="19" t="n"/>
      <c r="B1431" s="19" t="n"/>
      <c r="C1431" s="19" t="n"/>
      <c r="D1431" s="19" t="n"/>
      <c r="E1431" s="19" t="n"/>
      <c r="F1431" s="19" t="n"/>
      <c r="G1431" s="19" t="n"/>
      <c r="H1431" s="19" t="n"/>
      <c r="I1431" s="19" t="n"/>
      <c r="J1431" s="19" t="n"/>
      <c r="K1431" s="19" t="n"/>
      <c r="L1431" s="20" t="n"/>
      <c r="M1431" s="20" t="n"/>
      <c r="N1431" s="20" t="n"/>
      <c r="O1431" s="20" t="n"/>
      <c r="P1431" s="19" t="n"/>
      <c r="Q1431" s="19" t="n"/>
      <c r="R1431" s="20" t="n"/>
      <c r="S1431" s="20" t="n"/>
      <c r="T1431" s="19" t="n"/>
      <c r="U1431" s="19" t="n"/>
      <c r="V1431" s="19" t="n"/>
      <c r="W1431" s="19" t="n"/>
      <c r="X1431" s="19" t="n"/>
      <c r="Y1431" s="19" t="n"/>
      <c r="Z1431" s="21">
        <f>IF(AND($A1431="",$B1431=""),"",IF(OR($E1431="",$H1431="",$H1431="Proposed",$H1431="Not Reported"),0,IF(AND($P1431="Y",$Q1431&lt;&gt;"Y"),0,IF(AND($K1431="Point",N($L1431)&lt;=0),0,IF(AND(N($L1431)&lt;=0,N($N1431)&lt;=0,N($R1431)+N($S1431)&lt;=0),0,1)))))</f>
        <v/>
      </c>
      <c r="AA1431" s="21">
        <f>IF(AND($A1431="",$B1431=""),"",IF($E1431="","Site type missing",IF($H1431="","STATUS missing",IF($H1431="Proposed","STATUS = Proposed",IF($H1431="Not Reported","STATUS = Not Reported",IF(AND($P1431="Y",$Q1431&lt;&gt;"Y"),"UNESCO-MAB Biosphere Reserve",IF(AND($K1431="Point",N($L1431)&lt;=0),"Point without REP_AREA",IF(AND(N($L1431)&lt;=0,N($N1431)&lt;=0,N($R1431)+N($S1431)&lt;=0),"No area information",""))))))))</f>
        <v/>
      </c>
      <c r="AB1431" s="22">
        <f>IF(AND($A1431="",$B1431=""),"",IF($K1431="Point",N($L1431),IF(N($N1431)&gt;0,N($N1431),N($L1431))))</f>
        <v/>
      </c>
      <c r="AC1431" s="22">
        <f>IF(AND($A1431="",$B1431=""),"",MIN(AB1431,IF(N($J1431)=0,0,IF(N($J1431)=2,AB1431,IF(AND($K1431&lt;&gt;"Point",N($O1431)&gt;0),N($O1431),N($M1431))))))</f>
        <v/>
      </c>
      <c r="AD1431" s="22">
        <f>IF(AND($A1431="",$B1431=""),"",MAX(0,AB1431-AC1431))</f>
        <v/>
      </c>
      <c r="AE1431" s="21">
        <f>IF(AND($A1431="",$B1431=""),"",IF(OR($R1431&lt;&gt;"",$S1431&lt;&gt;""),1,0))</f>
        <v/>
      </c>
      <c r="AF1431" s="22">
        <f>IF(AND($A1431="",$B1431=""),"",IF(Z1431=1,IF(AE1431=1,N($R1431),AD1431),0))</f>
        <v/>
      </c>
      <c r="AG1431" s="22">
        <f>IF(AND($A1431="",$B1431=""),"",IF(Z1431=1,IF(AE1431=1,N($S1431),AC1431),0))</f>
        <v/>
      </c>
      <c r="AH1431" s="21">
        <f>IF(AND($A1431="",$B1431=""),"",IF(AND(ISNUMBER($I1431),N($I1431)&gt;0),$I1431,0))</f>
        <v/>
      </c>
      <c r="AI1431" s="23">
        <f>IF(AND(NOT(AND($A1431="",$B1431="")),$K1431="Point",N($L1431)&gt;0),SQRT(N($L1431)/PI()),"")</f>
        <v/>
      </c>
      <c r="AJ1431" s="21">
        <f>IF(AND($A1431="",$B1431=""),"",IFERROR(VLOOKUP($G1431,Lists!$D$4:$E$15,2,FALSE),"Not reported"))</f>
        <v/>
      </c>
      <c r="AK1431" s="21">
        <f>IF(AND($A1431="",$B1431=""),"",IF($X1431&lt;&gt;"",$X1431,IF($T1431&lt;&gt;"Y","Not assessed",IF(AND(ISNUMBER($V1431),Setup!$B$6-$V1431&gt;Setup!$B$26),"Assessment outdated",IF(NOT(ISNUMBER($W1431)),"Assessed – no score",IF($W1431&gt;=Setup!$B$24,"High",IF($W1431&gt;=Setup!$B$25,"Moderate","Low")))))))</f>
        <v/>
      </c>
      <c r="AL1431" s="21">
        <f>IF(AND($A1431="",$B1431=""),"",IF(Z1431=0,"",IF(AND(AE1431=1,N($R1431)&gt;AD1431*1.01+0.001),"Net terrestrial &gt; gross; ","")&amp;IF(AND(AE1431=1,N($S1431)&gt;AC1431*1.01+0.001),"Net marine &gt; gross; ","")&amp;IF(AE1431=0,"No net area – gross used, overlaps may be double-counted; ","")&amp;IF(AH1431=0,"STATUS_YR missing – imputed in time series; ","")&amp;IF(AND(ISNUMBER($I1431),N($I1431)&gt;Setup!$B$6),"STATUS_YR after reporting year; ","")&amp;IF(OR($G1431="",$G1431="Not Reported"),"GOV_TYPE not reported; ","")&amp;IF(AND(N($J1431)=1,$K1431="Point",N($M1431)&lt;=0),"Coastal point without REP_M_AREA – land/sea split unknown; ","")&amp;IF(AND(N($J1431)=0,N($S1431)&gt;0),"MARINE=0 but net marine &gt;0; ","")&amp;IF(AND(N($J1431)=2,N($R1431)&gt;0),"MARINE=2 but net terrestrial &gt;0; ","")&amp;IF($K1431="Point","Buffered point – coverage approximate; ","")))</f>
        <v/>
      </c>
    </row>
    <row r="1432">
      <c r="A1432" s="19" t="n"/>
      <c r="B1432" s="19" t="n"/>
      <c r="C1432" s="19" t="n"/>
      <c r="D1432" s="19" t="n"/>
      <c r="E1432" s="19" t="n"/>
      <c r="F1432" s="19" t="n"/>
      <c r="G1432" s="19" t="n"/>
      <c r="H1432" s="19" t="n"/>
      <c r="I1432" s="19" t="n"/>
      <c r="J1432" s="19" t="n"/>
      <c r="K1432" s="19" t="n"/>
      <c r="L1432" s="20" t="n"/>
      <c r="M1432" s="20" t="n"/>
      <c r="N1432" s="20" t="n"/>
      <c r="O1432" s="20" t="n"/>
      <c r="P1432" s="19" t="n"/>
      <c r="Q1432" s="19" t="n"/>
      <c r="R1432" s="20" t="n"/>
      <c r="S1432" s="20" t="n"/>
      <c r="T1432" s="19" t="n"/>
      <c r="U1432" s="19" t="n"/>
      <c r="V1432" s="19" t="n"/>
      <c r="W1432" s="19" t="n"/>
      <c r="X1432" s="19" t="n"/>
      <c r="Y1432" s="19" t="n"/>
      <c r="Z1432" s="21">
        <f>IF(AND($A1432="",$B1432=""),"",IF(OR($E1432="",$H1432="",$H1432="Proposed",$H1432="Not Reported"),0,IF(AND($P1432="Y",$Q1432&lt;&gt;"Y"),0,IF(AND($K1432="Point",N($L1432)&lt;=0),0,IF(AND(N($L1432)&lt;=0,N($N1432)&lt;=0,N($R1432)+N($S1432)&lt;=0),0,1)))))</f>
        <v/>
      </c>
      <c r="AA1432" s="21">
        <f>IF(AND($A1432="",$B1432=""),"",IF($E1432="","Site type missing",IF($H1432="","STATUS missing",IF($H1432="Proposed","STATUS = Proposed",IF($H1432="Not Reported","STATUS = Not Reported",IF(AND($P1432="Y",$Q1432&lt;&gt;"Y"),"UNESCO-MAB Biosphere Reserve",IF(AND($K1432="Point",N($L1432)&lt;=0),"Point without REP_AREA",IF(AND(N($L1432)&lt;=0,N($N1432)&lt;=0,N($R1432)+N($S1432)&lt;=0),"No area information",""))))))))</f>
        <v/>
      </c>
      <c r="AB1432" s="22">
        <f>IF(AND($A1432="",$B1432=""),"",IF($K1432="Point",N($L1432),IF(N($N1432)&gt;0,N($N1432),N($L1432))))</f>
        <v/>
      </c>
      <c r="AC1432" s="22">
        <f>IF(AND($A1432="",$B1432=""),"",MIN(AB1432,IF(N($J1432)=0,0,IF(N($J1432)=2,AB1432,IF(AND($K1432&lt;&gt;"Point",N($O1432)&gt;0),N($O1432),N($M1432))))))</f>
        <v/>
      </c>
      <c r="AD1432" s="22">
        <f>IF(AND($A1432="",$B1432=""),"",MAX(0,AB1432-AC1432))</f>
        <v/>
      </c>
      <c r="AE1432" s="21">
        <f>IF(AND($A1432="",$B1432=""),"",IF(OR($R1432&lt;&gt;"",$S1432&lt;&gt;""),1,0))</f>
        <v/>
      </c>
      <c r="AF1432" s="22">
        <f>IF(AND($A1432="",$B1432=""),"",IF(Z1432=1,IF(AE1432=1,N($R1432),AD1432),0))</f>
        <v/>
      </c>
      <c r="AG1432" s="22">
        <f>IF(AND($A1432="",$B1432=""),"",IF(Z1432=1,IF(AE1432=1,N($S1432),AC1432),0))</f>
        <v/>
      </c>
      <c r="AH1432" s="21">
        <f>IF(AND($A1432="",$B1432=""),"",IF(AND(ISNUMBER($I1432),N($I1432)&gt;0),$I1432,0))</f>
        <v/>
      </c>
      <c r="AI1432" s="23">
        <f>IF(AND(NOT(AND($A1432="",$B1432="")),$K1432="Point",N($L1432)&gt;0),SQRT(N($L1432)/PI()),"")</f>
        <v/>
      </c>
      <c r="AJ1432" s="21">
        <f>IF(AND($A1432="",$B1432=""),"",IFERROR(VLOOKUP($G1432,Lists!$D$4:$E$15,2,FALSE),"Not reported"))</f>
        <v/>
      </c>
      <c r="AK1432" s="21">
        <f>IF(AND($A1432="",$B1432=""),"",IF($X1432&lt;&gt;"",$X1432,IF($T1432&lt;&gt;"Y","Not assessed",IF(AND(ISNUMBER($V1432),Setup!$B$6-$V1432&gt;Setup!$B$26),"Assessment outdated",IF(NOT(ISNUMBER($W1432)),"Assessed – no score",IF($W1432&gt;=Setup!$B$24,"High",IF($W1432&gt;=Setup!$B$25,"Moderate","Low")))))))</f>
        <v/>
      </c>
      <c r="AL1432" s="21">
        <f>IF(AND($A1432="",$B1432=""),"",IF(Z1432=0,"",IF(AND(AE1432=1,N($R1432)&gt;AD1432*1.01+0.001),"Net terrestrial &gt; gross; ","")&amp;IF(AND(AE1432=1,N($S1432)&gt;AC1432*1.01+0.001),"Net marine &gt; gross; ","")&amp;IF(AE1432=0,"No net area – gross used, overlaps may be double-counted; ","")&amp;IF(AH1432=0,"STATUS_YR missing – imputed in time series; ","")&amp;IF(AND(ISNUMBER($I1432),N($I1432)&gt;Setup!$B$6),"STATUS_YR after reporting year; ","")&amp;IF(OR($G1432="",$G1432="Not Reported"),"GOV_TYPE not reported; ","")&amp;IF(AND(N($J1432)=1,$K1432="Point",N($M1432)&lt;=0),"Coastal point without REP_M_AREA – land/sea split unknown; ","")&amp;IF(AND(N($J1432)=0,N($S1432)&gt;0),"MARINE=0 but net marine &gt;0; ","")&amp;IF(AND(N($J1432)=2,N($R1432)&gt;0),"MARINE=2 but net terrestrial &gt;0; ","")&amp;IF($K1432="Point","Buffered point – coverage approximate; ","")))</f>
        <v/>
      </c>
    </row>
    <row r="1433">
      <c r="A1433" s="19" t="n"/>
      <c r="B1433" s="19" t="n"/>
      <c r="C1433" s="19" t="n"/>
      <c r="D1433" s="19" t="n"/>
      <c r="E1433" s="19" t="n"/>
      <c r="F1433" s="19" t="n"/>
      <c r="G1433" s="19" t="n"/>
      <c r="H1433" s="19" t="n"/>
      <c r="I1433" s="19" t="n"/>
      <c r="J1433" s="19" t="n"/>
      <c r="K1433" s="19" t="n"/>
      <c r="L1433" s="20" t="n"/>
      <c r="M1433" s="20" t="n"/>
      <c r="N1433" s="20" t="n"/>
      <c r="O1433" s="20" t="n"/>
      <c r="P1433" s="19" t="n"/>
      <c r="Q1433" s="19" t="n"/>
      <c r="R1433" s="20" t="n"/>
      <c r="S1433" s="20" t="n"/>
      <c r="T1433" s="19" t="n"/>
      <c r="U1433" s="19" t="n"/>
      <c r="V1433" s="19" t="n"/>
      <c r="W1433" s="19" t="n"/>
      <c r="X1433" s="19" t="n"/>
      <c r="Y1433" s="19" t="n"/>
      <c r="Z1433" s="21">
        <f>IF(AND($A1433="",$B1433=""),"",IF(OR($E1433="",$H1433="",$H1433="Proposed",$H1433="Not Reported"),0,IF(AND($P1433="Y",$Q1433&lt;&gt;"Y"),0,IF(AND($K1433="Point",N($L1433)&lt;=0),0,IF(AND(N($L1433)&lt;=0,N($N1433)&lt;=0,N($R1433)+N($S1433)&lt;=0),0,1)))))</f>
        <v/>
      </c>
      <c r="AA1433" s="21">
        <f>IF(AND($A1433="",$B1433=""),"",IF($E1433="","Site type missing",IF($H1433="","STATUS missing",IF($H1433="Proposed","STATUS = Proposed",IF($H1433="Not Reported","STATUS = Not Reported",IF(AND($P1433="Y",$Q1433&lt;&gt;"Y"),"UNESCO-MAB Biosphere Reserve",IF(AND($K1433="Point",N($L1433)&lt;=0),"Point without REP_AREA",IF(AND(N($L1433)&lt;=0,N($N1433)&lt;=0,N($R1433)+N($S1433)&lt;=0),"No area information",""))))))))</f>
        <v/>
      </c>
      <c r="AB1433" s="22">
        <f>IF(AND($A1433="",$B1433=""),"",IF($K1433="Point",N($L1433),IF(N($N1433)&gt;0,N($N1433),N($L1433))))</f>
        <v/>
      </c>
      <c r="AC1433" s="22">
        <f>IF(AND($A1433="",$B1433=""),"",MIN(AB1433,IF(N($J1433)=0,0,IF(N($J1433)=2,AB1433,IF(AND($K1433&lt;&gt;"Point",N($O1433)&gt;0),N($O1433),N($M1433))))))</f>
        <v/>
      </c>
      <c r="AD1433" s="22">
        <f>IF(AND($A1433="",$B1433=""),"",MAX(0,AB1433-AC1433))</f>
        <v/>
      </c>
      <c r="AE1433" s="21">
        <f>IF(AND($A1433="",$B1433=""),"",IF(OR($R1433&lt;&gt;"",$S1433&lt;&gt;""),1,0))</f>
        <v/>
      </c>
      <c r="AF1433" s="22">
        <f>IF(AND($A1433="",$B1433=""),"",IF(Z1433=1,IF(AE1433=1,N($R1433),AD1433),0))</f>
        <v/>
      </c>
      <c r="AG1433" s="22">
        <f>IF(AND($A1433="",$B1433=""),"",IF(Z1433=1,IF(AE1433=1,N($S1433),AC1433),0))</f>
        <v/>
      </c>
      <c r="AH1433" s="21">
        <f>IF(AND($A1433="",$B1433=""),"",IF(AND(ISNUMBER($I1433),N($I1433)&gt;0),$I1433,0))</f>
        <v/>
      </c>
      <c r="AI1433" s="23">
        <f>IF(AND(NOT(AND($A1433="",$B1433="")),$K1433="Point",N($L1433)&gt;0),SQRT(N($L1433)/PI()),"")</f>
        <v/>
      </c>
      <c r="AJ1433" s="21">
        <f>IF(AND($A1433="",$B1433=""),"",IFERROR(VLOOKUP($G1433,Lists!$D$4:$E$15,2,FALSE),"Not reported"))</f>
        <v/>
      </c>
      <c r="AK1433" s="21">
        <f>IF(AND($A1433="",$B1433=""),"",IF($X1433&lt;&gt;"",$X1433,IF($T1433&lt;&gt;"Y","Not assessed",IF(AND(ISNUMBER($V1433),Setup!$B$6-$V1433&gt;Setup!$B$26),"Assessment outdated",IF(NOT(ISNUMBER($W1433)),"Assessed – no score",IF($W1433&gt;=Setup!$B$24,"High",IF($W1433&gt;=Setup!$B$25,"Moderate","Low")))))))</f>
        <v/>
      </c>
      <c r="AL1433" s="21">
        <f>IF(AND($A1433="",$B1433=""),"",IF(Z1433=0,"",IF(AND(AE1433=1,N($R1433)&gt;AD1433*1.01+0.001),"Net terrestrial &gt; gross; ","")&amp;IF(AND(AE1433=1,N($S1433)&gt;AC1433*1.01+0.001),"Net marine &gt; gross; ","")&amp;IF(AE1433=0,"No net area – gross used, overlaps may be double-counted; ","")&amp;IF(AH1433=0,"STATUS_YR missing – imputed in time series; ","")&amp;IF(AND(ISNUMBER($I1433),N($I1433)&gt;Setup!$B$6),"STATUS_YR after reporting year; ","")&amp;IF(OR($G1433="",$G1433="Not Reported"),"GOV_TYPE not reported; ","")&amp;IF(AND(N($J1433)=1,$K1433="Point",N($M1433)&lt;=0),"Coastal point without REP_M_AREA – land/sea split unknown; ","")&amp;IF(AND(N($J1433)=0,N($S1433)&gt;0),"MARINE=0 but net marine &gt;0; ","")&amp;IF(AND(N($J1433)=2,N($R1433)&gt;0),"MARINE=2 but net terrestrial &gt;0; ","")&amp;IF($K1433="Point","Buffered point – coverage approximate; ","")))</f>
        <v/>
      </c>
    </row>
    <row r="1434">
      <c r="A1434" s="19" t="n"/>
      <c r="B1434" s="19" t="n"/>
      <c r="C1434" s="19" t="n"/>
      <c r="D1434" s="19" t="n"/>
      <c r="E1434" s="19" t="n"/>
      <c r="F1434" s="19" t="n"/>
      <c r="G1434" s="19" t="n"/>
      <c r="H1434" s="19" t="n"/>
      <c r="I1434" s="19" t="n"/>
      <c r="J1434" s="19" t="n"/>
      <c r="K1434" s="19" t="n"/>
      <c r="L1434" s="20" t="n"/>
      <c r="M1434" s="20" t="n"/>
      <c r="N1434" s="20" t="n"/>
      <c r="O1434" s="20" t="n"/>
      <c r="P1434" s="19" t="n"/>
      <c r="Q1434" s="19" t="n"/>
      <c r="R1434" s="20" t="n"/>
      <c r="S1434" s="20" t="n"/>
      <c r="T1434" s="19" t="n"/>
      <c r="U1434" s="19" t="n"/>
      <c r="V1434" s="19" t="n"/>
      <c r="W1434" s="19" t="n"/>
      <c r="X1434" s="19" t="n"/>
      <c r="Y1434" s="19" t="n"/>
      <c r="Z1434" s="21">
        <f>IF(AND($A1434="",$B1434=""),"",IF(OR($E1434="",$H1434="",$H1434="Proposed",$H1434="Not Reported"),0,IF(AND($P1434="Y",$Q1434&lt;&gt;"Y"),0,IF(AND($K1434="Point",N($L1434)&lt;=0),0,IF(AND(N($L1434)&lt;=0,N($N1434)&lt;=0,N($R1434)+N($S1434)&lt;=0),0,1)))))</f>
        <v/>
      </c>
      <c r="AA1434" s="21">
        <f>IF(AND($A1434="",$B1434=""),"",IF($E1434="","Site type missing",IF($H1434="","STATUS missing",IF($H1434="Proposed","STATUS = Proposed",IF($H1434="Not Reported","STATUS = Not Reported",IF(AND($P1434="Y",$Q1434&lt;&gt;"Y"),"UNESCO-MAB Biosphere Reserve",IF(AND($K1434="Point",N($L1434)&lt;=0),"Point without REP_AREA",IF(AND(N($L1434)&lt;=0,N($N1434)&lt;=0,N($R1434)+N($S1434)&lt;=0),"No area information",""))))))))</f>
        <v/>
      </c>
      <c r="AB1434" s="22">
        <f>IF(AND($A1434="",$B1434=""),"",IF($K1434="Point",N($L1434),IF(N($N1434)&gt;0,N($N1434),N($L1434))))</f>
        <v/>
      </c>
      <c r="AC1434" s="22">
        <f>IF(AND($A1434="",$B1434=""),"",MIN(AB1434,IF(N($J1434)=0,0,IF(N($J1434)=2,AB1434,IF(AND($K1434&lt;&gt;"Point",N($O1434)&gt;0),N($O1434),N($M1434))))))</f>
        <v/>
      </c>
      <c r="AD1434" s="22">
        <f>IF(AND($A1434="",$B1434=""),"",MAX(0,AB1434-AC1434))</f>
        <v/>
      </c>
      <c r="AE1434" s="21">
        <f>IF(AND($A1434="",$B1434=""),"",IF(OR($R1434&lt;&gt;"",$S1434&lt;&gt;""),1,0))</f>
        <v/>
      </c>
      <c r="AF1434" s="22">
        <f>IF(AND($A1434="",$B1434=""),"",IF(Z1434=1,IF(AE1434=1,N($R1434),AD1434),0))</f>
        <v/>
      </c>
      <c r="AG1434" s="22">
        <f>IF(AND($A1434="",$B1434=""),"",IF(Z1434=1,IF(AE1434=1,N($S1434),AC1434),0))</f>
        <v/>
      </c>
      <c r="AH1434" s="21">
        <f>IF(AND($A1434="",$B1434=""),"",IF(AND(ISNUMBER($I1434),N($I1434)&gt;0),$I1434,0))</f>
        <v/>
      </c>
      <c r="AI1434" s="23">
        <f>IF(AND(NOT(AND($A1434="",$B1434="")),$K1434="Point",N($L1434)&gt;0),SQRT(N($L1434)/PI()),"")</f>
        <v/>
      </c>
      <c r="AJ1434" s="21">
        <f>IF(AND($A1434="",$B1434=""),"",IFERROR(VLOOKUP($G1434,Lists!$D$4:$E$15,2,FALSE),"Not reported"))</f>
        <v/>
      </c>
      <c r="AK1434" s="21">
        <f>IF(AND($A1434="",$B1434=""),"",IF($X1434&lt;&gt;"",$X1434,IF($T1434&lt;&gt;"Y","Not assessed",IF(AND(ISNUMBER($V1434),Setup!$B$6-$V1434&gt;Setup!$B$26),"Assessment outdated",IF(NOT(ISNUMBER($W1434)),"Assessed – no score",IF($W1434&gt;=Setup!$B$24,"High",IF($W1434&gt;=Setup!$B$25,"Moderate","Low")))))))</f>
        <v/>
      </c>
      <c r="AL1434" s="21">
        <f>IF(AND($A1434="",$B1434=""),"",IF(Z1434=0,"",IF(AND(AE1434=1,N($R1434)&gt;AD1434*1.01+0.001),"Net terrestrial &gt; gross; ","")&amp;IF(AND(AE1434=1,N($S1434)&gt;AC1434*1.01+0.001),"Net marine &gt; gross; ","")&amp;IF(AE1434=0,"No net area – gross used, overlaps may be double-counted; ","")&amp;IF(AH1434=0,"STATUS_YR missing – imputed in time series; ","")&amp;IF(AND(ISNUMBER($I1434),N($I1434)&gt;Setup!$B$6),"STATUS_YR after reporting year; ","")&amp;IF(OR($G1434="",$G1434="Not Reported"),"GOV_TYPE not reported; ","")&amp;IF(AND(N($J1434)=1,$K1434="Point",N($M1434)&lt;=0),"Coastal point without REP_M_AREA – land/sea split unknown; ","")&amp;IF(AND(N($J1434)=0,N($S1434)&gt;0),"MARINE=0 but net marine &gt;0; ","")&amp;IF(AND(N($J1434)=2,N($R1434)&gt;0),"MARINE=2 but net terrestrial &gt;0; ","")&amp;IF($K1434="Point","Buffered point – coverage approximate; ","")))</f>
        <v/>
      </c>
    </row>
    <row r="1435">
      <c r="A1435" s="19" t="n"/>
      <c r="B1435" s="19" t="n"/>
      <c r="C1435" s="19" t="n"/>
      <c r="D1435" s="19" t="n"/>
      <c r="E1435" s="19" t="n"/>
      <c r="F1435" s="19" t="n"/>
      <c r="G1435" s="19" t="n"/>
      <c r="H1435" s="19" t="n"/>
      <c r="I1435" s="19" t="n"/>
      <c r="J1435" s="19" t="n"/>
      <c r="K1435" s="19" t="n"/>
      <c r="L1435" s="20" t="n"/>
      <c r="M1435" s="20" t="n"/>
      <c r="N1435" s="20" t="n"/>
      <c r="O1435" s="20" t="n"/>
      <c r="P1435" s="19" t="n"/>
      <c r="Q1435" s="19" t="n"/>
      <c r="R1435" s="20" t="n"/>
      <c r="S1435" s="20" t="n"/>
      <c r="T1435" s="19" t="n"/>
      <c r="U1435" s="19" t="n"/>
      <c r="V1435" s="19" t="n"/>
      <c r="W1435" s="19" t="n"/>
      <c r="X1435" s="19" t="n"/>
      <c r="Y1435" s="19" t="n"/>
      <c r="Z1435" s="21">
        <f>IF(AND($A1435="",$B1435=""),"",IF(OR($E1435="",$H1435="",$H1435="Proposed",$H1435="Not Reported"),0,IF(AND($P1435="Y",$Q1435&lt;&gt;"Y"),0,IF(AND($K1435="Point",N($L1435)&lt;=0),0,IF(AND(N($L1435)&lt;=0,N($N1435)&lt;=0,N($R1435)+N($S1435)&lt;=0),0,1)))))</f>
        <v/>
      </c>
      <c r="AA1435" s="21">
        <f>IF(AND($A1435="",$B1435=""),"",IF($E1435="","Site type missing",IF($H1435="","STATUS missing",IF($H1435="Proposed","STATUS = Proposed",IF($H1435="Not Reported","STATUS = Not Reported",IF(AND($P1435="Y",$Q1435&lt;&gt;"Y"),"UNESCO-MAB Biosphere Reserve",IF(AND($K1435="Point",N($L1435)&lt;=0),"Point without REP_AREA",IF(AND(N($L1435)&lt;=0,N($N1435)&lt;=0,N($R1435)+N($S1435)&lt;=0),"No area information",""))))))))</f>
        <v/>
      </c>
      <c r="AB1435" s="22">
        <f>IF(AND($A1435="",$B1435=""),"",IF($K1435="Point",N($L1435),IF(N($N1435)&gt;0,N($N1435),N($L1435))))</f>
        <v/>
      </c>
      <c r="AC1435" s="22">
        <f>IF(AND($A1435="",$B1435=""),"",MIN(AB1435,IF(N($J1435)=0,0,IF(N($J1435)=2,AB1435,IF(AND($K1435&lt;&gt;"Point",N($O1435)&gt;0),N($O1435),N($M1435))))))</f>
        <v/>
      </c>
      <c r="AD1435" s="22">
        <f>IF(AND($A1435="",$B1435=""),"",MAX(0,AB1435-AC1435))</f>
        <v/>
      </c>
      <c r="AE1435" s="21">
        <f>IF(AND($A1435="",$B1435=""),"",IF(OR($R1435&lt;&gt;"",$S1435&lt;&gt;""),1,0))</f>
        <v/>
      </c>
      <c r="AF1435" s="22">
        <f>IF(AND($A1435="",$B1435=""),"",IF(Z1435=1,IF(AE1435=1,N($R1435),AD1435),0))</f>
        <v/>
      </c>
      <c r="AG1435" s="22">
        <f>IF(AND($A1435="",$B1435=""),"",IF(Z1435=1,IF(AE1435=1,N($S1435),AC1435),0))</f>
        <v/>
      </c>
      <c r="AH1435" s="21">
        <f>IF(AND($A1435="",$B1435=""),"",IF(AND(ISNUMBER($I1435),N($I1435)&gt;0),$I1435,0))</f>
        <v/>
      </c>
      <c r="AI1435" s="23">
        <f>IF(AND(NOT(AND($A1435="",$B1435="")),$K1435="Point",N($L1435)&gt;0),SQRT(N($L1435)/PI()),"")</f>
        <v/>
      </c>
      <c r="AJ1435" s="21">
        <f>IF(AND($A1435="",$B1435=""),"",IFERROR(VLOOKUP($G1435,Lists!$D$4:$E$15,2,FALSE),"Not reported"))</f>
        <v/>
      </c>
      <c r="AK1435" s="21">
        <f>IF(AND($A1435="",$B1435=""),"",IF($X1435&lt;&gt;"",$X1435,IF($T1435&lt;&gt;"Y","Not assessed",IF(AND(ISNUMBER($V1435),Setup!$B$6-$V1435&gt;Setup!$B$26),"Assessment outdated",IF(NOT(ISNUMBER($W1435)),"Assessed – no score",IF($W1435&gt;=Setup!$B$24,"High",IF($W1435&gt;=Setup!$B$25,"Moderate","Low")))))))</f>
        <v/>
      </c>
      <c r="AL1435" s="21">
        <f>IF(AND($A1435="",$B1435=""),"",IF(Z1435=0,"",IF(AND(AE1435=1,N($R1435)&gt;AD1435*1.01+0.001),"Net terrestrial &gt; gross; ","")&amp;IF(AND(AE1435=1,N($S1435)&gt;AC1435*1.01+0.001),"Net marine &gt; gross; ","")&amp;IF(AE1435=0,"No net area – gross used, overlaps may be double-counted; ","")&amp;IF(AH1435=0,"STATUS_YR missing – imputed in time series; ","")&amp;IF(AND(ISNUMBER($I1435),N($I1435)&gt;Setup!$B$6),"STATUS_YR after reporting year; ","")&amp;IF(OR($G1435="",$G1435="Not Reported"),"GOV_TYPE not reported; ","")&amp;IF(AND(N($J1435)=1,$K1435="Point",N($M1435)&lt;=0),"Coastal point without REP_M_AREA – land/sea split unknown; ","")&amp;IF(AND(N($J1435)=0,N($S1435)&gt;0),"MARINE=0 but net marine &gt;0; ","")&amp;IF(AND(N($J1435)=2,N($R1435)&gt;0),"MARINE=2 but net terrestrial &gt;0; ","")&amp;IF($K1435="Point","Buffered point – coverage approximate; ","")))</f>
        <v/>
      </c>
    </row>
    <row r="1436">
      <c r="A1436" s="19" t="n"/>
      <c r="B1436" s="19" t="n"/>
      <c r="C1436" s="19" t="n"/>
      <c r="D1436" s="19" t="n"/>
      <c r="E1436" s="19" t="n"/>
      <c r="F1436" s="19" t="n"/>
      <c r="G1436" s="19" t="n"/>
      <c r="H1436" s="19" t="n"/>
      <c r="I1436" s="19" t="n"/>
      <c r="J1436" s="19" t="n"/>
      <c r="K1436" s="19" t="n"/>
      <c r="L1436" s="20" t="n"/>
      <c r="M1436" s="20" t="n"/>
      <c r="N1436" s="20" t="n"/>
      <c r="O1436" s="20" t="n"/>
      <c r="P1436" s="19" t="n"/>
      <c r="Q1436" s="19" t="n"/>
      <c r="R1436" s="20" t="n"/>
      <c r="S1436" s="20" t="n"/>
      <c r="T1436" s="19" t="n"/>
      <c r="U1436" s="19" t="n"/>
      <c r="V1436" s="19" t="n"/>
      <c r="W1436" s="19" t="n"/>
      <c r="X1436" s="19" t="n"/>
      <c r="Y1436" s="19" t="n"/>
      <c r="Z1436" s="21">
        <f>IF(AND($A1436="",$B1436=""),"",IF(OR($E1436="",$H1436="",$H1436="Proposed",$H1436="Not Reported"),0,IF(AND($P1436="Y",$Q1436&lt;&gt;"Y"),0,IF(AND($K1436="Point",N($L1436)&lt;=0),0,IF(AND(N($L1436)&lt;=0,N($N1436)&lt;=0,N($R1436)+N($S1436)&lt;=0),0,1)))))</f>
        <v/>
      </c>
      <c r="AA1436" s="21">
        <f>IF(AND($A1436="",$B1436=""),"",IF($E1436="","Site type missing",IF($H1436="","STATUS missing",IF($H1436="Proposed","STATUS = Proposed",IF($H1436="Not Reported","STATUS = Not Reported",IF(AND($P1436="Y",$Q1436&lt;&gt;"Y"),"UNESCO-MAB Biosphere Reserve",IF(AND($K1436="Point",N($L1436)&lt;=0),"Point without REP_AREA",IF(AND(N($L1436)&lt;=0,N($N1436)&lt;=0,N($R1436)+N($S1436)&lt;=0),"No area information",""))))))))</f>
        <v/>
      </c>
      <c r="AB1436" s="22">
        <f>IF(AND($A1436="",$B1436=""),"",IF($K1436="Point",N($L1436),IF(N($N1436)&gt;0,N($N1436),N($L1436))))</f>
        <v/>
      </c>
      <c r="AC1436" s="22">
        <f>IF(AND($A1436="",$B1436=""),"",MIN(AB1436,IF(N($J1436)=0,0,IF(N($J1436)=2,AB1436,IF(AND($K1436&lt;&gt;"Point",N($O1436)&gt;0),N($O1436),N($M1436))))))</f>
        <v/>
      </c>
      <c r="AD1436" s="22">
        <f>IF(AND($A1436="",$B1436=""),"",MAX(0,AB1436-AC1436))</f>
        <v/>
      </c>
      <c r="AE1436" s="21">
        <f>IF(AND($A1436="",$B1436=""),"",IF(OR($R1436&lt;&gt;"",$S1436&lt;&gt;""),1,0))</f>
        <v/>
      </c>
      <c r="AF1436" s="22">
        <f>IF(AND($A1436="",$B1436=""),"",IF(Z1436=1,IF(AE1436=1,N($R1436),AD1436),0))</f>
        <v/>
      </c>
      <c r="AG1436" s="22">
        <f>IF(AND($A1436="",$B1436=""),"",IF(Z1436=1,IF(AE1436=1,N($S1436),AC1436),0))</f>
        <v/>
      </c>
      <c r="AH1436" s="21">
        <f>IF(AND($A1436="",$B1436=""),"",IF(AND(ISNUMBER($I1436),N($I1436)&gt;0),$I1436,0))</f>
        <v/>
      </c>
      <c r="AI1436" s="23">
        <f>IF(AND(NOT(AND($A1436="",$B1436="")),$K1436="Point",N($L1436)&gt;0),SQRT(N($L1436)/PI()),"")</f>
        <v/>
      </c>
      <c r="AJ1436" s="21">
        <f>IF(AND($A1436="",$B1436=""),"",IFERROR(VLOOKUP($G1436,Lists!$D$4:$E$15,2,FALSE),"Not reported"))</f>
        <v/>
      </c>
      <c r="AK1436" s="21">
        <f>IF(AND($A1436="",$B1436=""),"",IF($X1436&lt;&gt;"",$X1436,IF($T1436&lt;&gt;"Y","Not assessed",IF(AND(ISNUMBER($V1436),Setup!$B$6-$V1436&gt;Setup!$B$26),"Assessment outdated",IF(NOT(ISNUMBER($W1436)),"Assessed – no score",IF($W1436&gt;=Setup!$B$24,"High",IF($W1436&gt;=Setup!$B$25,"Moderate","Low")))))))</f>
        <v/>
      </c>
      <c r="AL1436" s="21">
        <f>IF(AND($A1436="",$B1436=""),"",IF(Z1436=0,"",IF(AND(AE1436=1,N($R1436)&gt;AD1436*1.01+0.001),"Net terrestrial &gt; gross; ","")&amp;IF(AND(AE1436=1,N($S1436)&gt;AC1436*1.01+0.001),"Net marine &gt; gross; ","")&amp;IF(AE1436=0,"No net area – gross used, overlaps may be double-counted; ","")&amp;IF(AH1436=0,"STATUS_YR missing – imputed in time series; ","")&amp;IF(AND(ISNUMBER($I1436),N($I1436)&gt;Setup!$B$6),"STATUS_YR after reporting year; ","")&amp;IF(OR($G1436="",$G1436="Not Reported"),"GOV_TYPE not reported; ","")&amp;IF(AND(N($J1436)=1,$K1436="Point",N($M1436)&lt;=0),"Coastal point without REP_M_AREA – land/sea split unknown; ","")&amp;IF(AND(N($J1436)=0,N($S1436)&gt;0),"MARINE=0 but net marine &gt;0; ","")&amp;IF(AND(N($J1436)=2,N($R1436)&gt;0),"MARINE=2 but net terrestrial &gt;0; ","")&amp;IF($K1436="Point","Buffered point – coverage approximate; ","")))</f>
        <v/>
      </c>
    </row>
    <row r="1437">
      <c r="A1437" s="19" t="n"/>
      <c r="B1437" s="19" t="n"/>
      <c r="C1437" s="19" t="n"/>
      <c r="D1437" s="19" t="n"/>
      <c r="E1437" s="19" t="n"/>
      <c r="F1437" s="19" t="n"/>
      <c r="G1437" s="19" t="n"/>
      <c r="H1437" s="19" t="n"/>
      <c r="I1437" s="19" t="n"/>
      <c r="J1437" s="19" t="n"/>
      <c r="K1437" s="19" t="n"/>
      <c r="L1437" s="20" t="n"/>
      <c r="M1437" s="20" t="n"/>
      <c r="N1437" s="20" t="n"/>
      <c r="O1437" s="20" t="n"/>
      <c r="P1437" s="19" t="n"/>
      <c r="Q1437" s="19" t="n"/>
      <c r="R1437" s="20" t="n"/>
      <c r="S1437" s="20" t="n"/>
      <c r="T1437" s="19" t="n"/>
      <c r="U1437" s="19" t="n"/>
      <c r="V1437" s="19" t="n"/>
      <c r="W1437" s="19" t="n"/>
      <c r="X1437" s="19" t="n"/>
      <c r="Y1437" s="19" t="n"/>
      <c r="Z1437" s="21">
        <f>IF(AND($A1437="",$B1437=""),"",IF(OR($E1437="",$H1437="",$H1437="Proposed",$H1437="Not Reported"),0,IF(AND($P1437="Y",$Q1437&lt;&gt;"Y"),0,IF(AND($K1437="Point",N($L1437)&lt;=0),0,IF(AND(N($L1437)&lt;=0,N($N1437)&lt;=0,N($R1437)+N($S1437)&lt;=0),0,1)))))</f>
        <v/>
      </c>
      <c r="AA1437" s="21">
        <f>IF(AND($A1437="",$B1437=""),"",IF($E1437="","Site type missing",IF($H1437="","STATUS missing",IF($H1437="Proposed","STATUS = Proposed",IF($H1437="Not Reported","STATUS = Not Reported",IF(AND($P1437="Y",$Q1437&lt;&gt;"Y"),"UNESCO-MAB Biosphere Reserve",IF(AND($K1437="Point",N($L1437)&lt;=0),"Point without REP_AREA",IF(AND(N($L1437)&lt;=0,N($N1437)&lt;=0,N($R1437)+N($S1437)&lt;=0),"No area information",""))))))))</f>
        <v/>
      </c>
      <c r="AB1437" s="22">
        <f>IF(AND($A1437="",$B1437=""),"",IF($K1437="Point",N($L1437),IF(N($N1437)&gt;0,N($N1437),N($L1437))))</f>
        <v/>
      </c>
      <c r="AC1437" s="22">
        <f>IF(AND($A1437="",$B1437=""),"",MIN(AB1437,IF(N($J1437)=0,0,IF(N($J1437)=2,AB1437,IF(AND($K1437&lt;&gt;"Point",N($O1437)&gt;0),N($O1437),N($M1437))))))</f>
        <v/>
      </c>
      <c r="AD1437" s="22">
        <f>IF(AND($A1437="",$B1437=""),"",MAX(0,AB1437-AC1437))</f>
        <v/>
      </c>
      <c r="AE1437" s="21">
        <f>IF(AND($A1437="",$B1437=""),"",IF(OR($R1437&lt;&gt;"",$S1437&lt;&gt;""),1,0))</f>
        <v/>
      </c>
      <c r="AF1437" s="22">
        <f>IF(AND($A1437="",$B1437=""),"",IF(Z1437=1,IF(AE1437=1,N($R1437),AD1437),0))</f>
        <v/>
      </c>
      <c r="AG1437" s="22">
        <f>IF(AND($A1437="",$B1437=""),"",IF(Z1437=1,IF(AE1437=1,N($S1437),AC1437),0))</f>
        <v/>
      </c>
      <c r="AH1437" s="21">
        <f>IF(AND($A1437="",$B1437=""),"",IF(AND(ISNUMBER($I1437),N($I1437)&gt;0),$I1437,0))</f>
        <v/>
      </c>
      <c r="AI1437" s="23">
        <f>IF(AND(NOT(AND($A1437="",$B1437="")),$K1437="Point",N($L1437)&gt;0),SQRT(N($L1437)/PI()),"")</f>
        <v/>
      </c>
      <c r="AJ1437" s="21">
        <f>IF(AND($A1437="",$B1437=""),"",IFERROR(VLOOKUP($G1437,Lists!$D$4:$E$15,2,FALSE),"Not reported"))</f>
        <v/>
      </c>
      <c r="AK1437" s="21">
        <f>IF(AND($A1437="",$B1437=""),"",IF($X1437&lt;&gt;"",$X1437,IF($T1437&lt;&gt;"Y","Not assessed",IF(AND(ISNUMBER($V1437),Setup!$B$6-$V1437&gt;Setup!$B$26),"Assessment outdated",IF(NOT(ISNUMBER($W1437)),"Assessed – no score",IF($W1437&gt;=Setup!$B$24,"High",IF($W1437&gt;=Setup!$B$25,"Moderate","Low")))))))</f>
        <v/>
      </c>
      <c r="AL1437" s="21">
        <f>IF(AND($A1437="",$B1437=""),"",IF(Z1437=0,"",IF(AND(AE1437=1,N($R1437)&gt;AD1437*1.01+0.001),"Net terrestrial &gt; gross; ","")&amp;IF(AND(AE1437=1,N($S1437)&gt;AC1437*1.01+0.001),"Net marine &gt; gross; ","")&amp;IF(AE1437=0,"No net area – gross used, overlaps may be double-counted; ","")&amp;IF(AH1437=0,"STATUS_YR missing – imputed in time series; ","")&amp;IF(AND(ISNUMBER($I1437),N($I1437)&gt;Setup!$B$6),"STATUS_YR after reporting year; ","")&amp;IF(OR($G1437="",$G1437="Not Reported"),"GOV_TYPE not reported; ","")&amp;IF(AND(N($J1437)=1,$K1437="Point",N($M1437)&lt;=0),"Coastal point without REP_M_AREA – land/sea split unknown; ","")&amp;IF(AND(N($J1437)=0,N($S1437)&gt;0),"MARINE=0 but net marine &gt;0; ","")&amp;IF(AND(N($J1437)=2,N($R1437)&gt;0),"MARINE=2 but net terrestrial &gt;0; ","")&amp;IF($K1437="Point","Buffered point – coverage approximate; ","")))</f>
        <v/>
      </c>
    </row>
    <row r="1438">
      <c r="A1438" s="19" t="n"/>
      <c r="B1438" s="19" t="n"/>
      <c r="C1438" s="19" t="n"/>
      <c r="D1438" s="19" t="n"/>
      <c r="E1438" s="19" t="n"/>
      <c r="F1438" s="19" t="n"/>
      <c r="G1438" s="19" t="n"/>
      <c r="H1438" s="19" t="n"/>
      <c r="I1438" s="19" t="n"/>
      <c r="J1438" s="19" t="n"/>
      <c r="K1438" s="19" t="n"/>
      <c r="L1438" s="20" t="n"/>
      <c r="M1438" s="20" t="n"/>
      <c r="N1438" s="20" t="n"/>
      <c r="O1438" s="20" t="n"/>
      <c r="P1438" s="19" t="n"/>
      <c r="Q1438" s="19" t="n"/>
      <c r="R1438" s="20" t="n"/>
      <c r="S1438" s="20" t="n"/>
      <c r="T1438" s="19" t="n"/>
      <c r="U1438" s="19" t="n"/>
      <c r="V1438" s="19" t="n"/>
      <c r="W1438" s="19" t="n"/>
      <c r="X1438" s="19" t="n"/>
      <c r="Y1438" s="19" t="n"/>
      <c r="Z1438" s="21">
        <f>IF(AND($A1438="",$B1438=""),"",IF(OR($E1438="",$H1438="",$H1438="Proposed",$H1438="Not Reported"),0,IF(AND($P1438="Y",$Q1438&lt;&gt;"Y"),0,IF(AND($K1438="Point",N($L1438)&lt;=0),0,IF(AND(N($L1438)&lt;=0,N($N1438)&lt;=0,N($R1438)+N($S1438)&lt;=0),0,1)))))</f>
        <v/>
      </c>
      <c r="AA1438" s="21">
        <f>IF(AND($A1438="",$B1438=""),"",IF($E1438="","Site type missing",IF($H1438="","STATUS missing",IF($H1438="Proposed","STATUS = Proposed",IF($H1438="Not Reported","STATUS = Not Reported",IF(AND($P1438="Y",$Q1438&lt;&gt;"Y"),"UNESCO-MAB Biosphere Reserve",IF(AND($K1438="Point",N($L1438)&lt;=0),"Point without REP_AREA",IF(AND(N($L1438)&lt;=0,N($N1438)&lt;=0,N($R1438)+N($S1438)&lt;=0),"No area information",""))))))))</f>
        <v/>
      </c>
      <c r="AB1438" s="22">
        <f>IF(AND($A1438="",$B1438=""),"",IF($K1438="Point",N($L1438),IF(N($N1438)&gt;0,N($N1438),N($L1438))))</f>
        <v/>
      </c>
      <c r="AC1438" s="22">
        <f>IF(AND($A1438="",$B1438=""),"",MIN(AB1438,IF(N($J1438)=0,0,IF(N($J1438)=2,AB1438,IF(AND($K1438&lt;&gt;"Point",N($O1438)&gt;0),N($O1438),N($M1438))))))</f>
        <v/>
      </c>
      <c r="AD1438" s="22">
        <f>IF(AND($A1438="",$B1438=""),"",MAX(0,AB1438-AC1438))</f>
        <v/>
      </c>
      <c r="AE1438" s="21">
        <f>IF(AND($A1438="",$B1438=""),"",IF(OR($R1438&lt;&gt;"",$S1438&lt;&gt;""),1,0))</f>
        <v/>
      </c>
      <c r="AF1438" s="22">
        <f>IF(AND($A1438="",$B1438=""),"",IF(Z1438=1,IF(AE1438=1,N($R1438),AD1438),0))</f>
        <v/>
      </c>
      <c r="AG1438" s="22">
        <f>IF(AND($A1438="",$B1438=""),"",IF(Z1438=1,IF(AE1438=1,N($S1438),AC1438),0))</f>
        <v/>
      </c>
      <c r="AH1438" s="21">
        <f>IF(AND($A1438="",$B1438=""),"",IF(AND(ISNUMBER($I1438),N($I1438)&gt;0),$I1438,0))</f>
        <v/>
      </c>
      <c r="AI1438" s="23">
        <f>IF(AND(NOT(AND($A1438="",$B1438="")),$K1438="Point",N($L1438)&gt;0),SQRT(N($L1438)/PI()),"")</f>
        <v/>
      </c>
      <c r="AJ1438" s="21">
        <f>IF(AND($A1438="",$B1438=""),"",IFERROR(VLOOKUP($G1438,Lists!$D$4:$E$15,2,FALSE),"Not reported"))</f>
        <v/>
      </c>
      <c r="AK1438" s="21">
        <f>IF(AND($A1438="",$B1438=""),"",IF($X1438&lt;&gt;"",$X1438,IF($T1438&lt;&gt;"Y","Not assessed",IF(AND(ISNUMBER($V1438),Setup!$B$6-$V1438&gt;Setup!$B$26),"Assessment outdated",IF(NOT(ISNUMBER($W1438)),"Assessed – no score",IF($W1438&gt;=Setup!$B$24,"High",IF($W1438&gt;=Setup!$B$25,"Moderate","Low")))))))</f>
        <v/>
      </c>
      <c r="AL1438" s="21">
        <f>IF(AND($A1438="",$B1438=""),"",IF(Z1438=0,"",IF(AND(AE1438=1,N($R1438)&gt;AD1438*1.01+0.001),"Net terrestrial &gt; gross; ","")&amp;IF(AND(AE1438=1,N($S1438)&gt;AC1438*1.01+0.001),"Net marine &gt; gross; ","")&amp;IF(AE1438=0,"No net area – gross used, overlaps may be double-counted; ","")&amp;IF(AH1438=0,"STATUS_YR missing – imputed in time series; ","")&amp;IF(AND(ISNUMBER($I1438),N($I1438)&gt;Setup!$B$6),"STATUS_YR after reporting year; ","")&amp;IF(OR($G1438="",$G1438="Not Reported"),"GOV_TYPE not reported; ","")&amp;IF(AND(N($J1438)=1,$K1438="Point",N($M1438)&lt;=0),"Coastal point without REP_M_AREA – land/sea split unknown; ","")&amp;IF(AND(N($J1438)=0,N($S1438)&gt;0),"MARINE=0 but net marine &gt;0; ","")&amp;IF(AND(N($J1438)=2,N($R1438)&gt;0),"MARINE=2 but net terrestrial &gt;0; ","")&amp;IF($K1438="Point","Buffered point – coverage approximate; ","")))</f>
        <v/>
      </c>
    </row>
    <row r="1439">
      <c r="A1439" s="19" t="n"/>
      <c r="B1439" s="19" t="n"/>
      <c r="C1439" s="19" t="n"/>
      <c r="D1439" s="19" t="n"/>
      <c r="E1439" s="19" t="n"/>
      <c r="F1439" s="19" t="n"/>
      <c r="G1439" s="19" t="n"/>
      <c r="H1439" s="19" t="n"/>
      <c r="I1439" s="19" t="n"/>
      <c r="J1439" s="19" t="n"/>
      <c r="K1439" s="19" t="n"/>
      <c r="L1439" s="20" t="n"/>
      <c r="M1439" s="20" t="n"/>
      <c r="N1439" s="20" t="n"/>
      <c r="O1439" s="20" t="n"/>
      <c r="P1439" s="19" t="n"/>
      <c r="Q1439" s="19" t="n"/>
      <c r="R1439" s="20" t="n"/>
      <c r="S1439" s="20" t="n"/>
      <c r="T1439" s="19" t="n"/>
      <c r="U1439" s="19" t="n"/>
      <c r="V1439" s="19" t="n"/>
      <c r="W1439" s="19" t="n"/>
      <c r="X1439" s="19" t="n"/>
      <c r="Y1439" s="19" t="n"/>
      <c r="Z1439" s="21">
        <f>IF(AND($A1439="",$B1439=""),"",IF(OR($E1439="",$H1439="",$H1439="Proposed",$H1439="Not Reported"),0,IF(AND($P1439="Y",$Q1439&lt;&gt;"Y"),0,IF(AND($K1439="Point",N($L1439)&lt;=0),0,IF(AND(N($L1439)&lt;=0,N($N1439)&lt;=0,N($R1439)+N($S1439)&lt;=0),0,1)))))</f>
        <v/>
      </c>
      <c r="AA1439" s="21">
        <f>IF(AND($A1439="",$B1439=""),"",IF($E1439="","Site type missing",IF($H1439="","STATUS missing",IF($H1439="Proposed","STATUS = Proposed",IF($H1439="Not Reported","STATUS = Not Reported",IF(AND($P1439="Y",$Q1439&lt;&gt;"Y"),"UNESCO-MAB Biosphere Reserve",IF(AND($K1439="Point",N($L1439)&lt;=0),"Point without REP_AREA",IF(AND(N($L1439)&lt;=0,N($N1439)&lt;=0,N($R1439)+N($S1439)&lt;=0),"No area information",""))))))))</f>
        <v/>
      </c>
      <c r="AB1439" s="22">
        <f>IF(AND($A1439="",$B1439=""),"",IF($K1439="Point",N($L1439),IF(N($N1439)&gt;0,N($N1439),N($L1439))))</f>
        <v/>
      </c>
      <c r="AC1439" s="22">
        <f>IF(AND($A1439="",$B1439=""),"",MIN(AB1439,IF(N($J1439)=0,0,IF(N($J1439)=2,AB1439,IF(AND($K1439&lt;&gt;"Point",N($O1439)&gt;0),N($O1439),N($M1439))))))</f>
        <v/>
      </c>
      <c r="AD1439" s="22">
        <f>IF(AND($A1439="",$B1439=""),"",MAX(0,AB1439-AC1439))</f>
        <v/>
      </c>
      <c r="AE1439" s="21">
        <f>IF(AND($A1439="",$B1439=""),"",IF(OR($R1439&lt;&gt;"",$S1439&lt;&gt;""),1,0))</f>
        <v/>
      </c>
      <c r="AF1439" s="22">
        <f>IF(AND($A1439="",$B1439=""),"",IF(Z1439=1,IF(AE1439=1,N($R1439),AD1439),0))</f>
        <v/>
      </c>
      <c r="AG1439" s="22">
        <f>IF(AND($A1439="",$B1439=""),"",IF(Z1439=1,IF(AE1439=1,N($S1439),AC1439),0))</f>
        <v/>
      </c>
      <c r="AH1439" s="21">
        <f>IF(AND($A1439="",$B1439=""),"",IF(AND(ISNUMBER($I1439),N($I1439)&gt;0),$I1439,0))</f>
        <v/>
      </c>
      <c r="AI1439" s="23">
        <f>IF(AND(NOT(AND($A1439="",$B1439="")),$K1439="Point",N($L1439)&gt;0),SQRT(N($L1439)/PI()),"")</f>
        <v/>
      </c>
      <c r="AJ1439" s="21">
        <f>IF(AND($A1439="",$B1439=""),"",IFERROR(VLOOKUP($G1439,Lists!$D$4:$E$15,2,FALSE),"Not reported"))</f>
        <v/>
      </c>
      <c r="AK1439" s="21">
        <f>IF(AND($A1439="",$B1439=""),"",IF($X1439&lt;&gt;"",$X1439,IF($T1439&lt;&gt;"Y","Not assessed",IF(AND(ISNUMBER($V1439),Setup!$B$6-$V1439&gt;Setup!$B$26),"Assessment outdated",IF(NOT(ISNUMBER($W1439)),"Assessed – no score",IF($W1439&gt;=Setup!$B$24,"High",IF($W1439&gt;=Setup!$B$25,"Moderate","Low")))))))</f>
        <v/>
      </c>
      <c r="AL1439" s="21">
        <f>IF(AND($A1439="",$B1439=""),"",IF(Z1439=0,"",IF(AND(AE1439=1,N($R1439)&gt;AD1439*1.01+0.001),"Net terrestrial &gt; gross; ","")&amp;IF(AND(AE1439=1,N($S1439)&gt;AC1439*1.01+0.001),"Net marine &gt; gross; ","")&amp;IF(AE1439=0,"No net area – gross used, overlaps may be double-counted; ","")&amp;IF(AH1439=0,"STATUS_YR missing – imputed in time series; ","")&amp;IF(AND(ISNUMBER($I1439),N($I1439)&gt;Setup!$B$6),"STATUS_YR after reporting year; ","")&amp;IF(OR($G1439="",$G1439="Not Reported"),"GOV_TYPE not reported; ","")&amp;IF(AND(N($J1439)=1,$K1439="Point",N($M1439)&lt;=0),"Coastal point without REP_M_AREA – land/sea split unknown; ","")&amp;IF(AND(N($J1439)=0,N($S1439)&gt;0),"MARINE=0 but net marine &gt;0; ","")&amp;IF(AND(N($J1439)=2,N($R1439)&gt;0),"MARINE=2 but net terrestrial &gt;0; ","")&amp;IF($K1439="Point","Buffered point – coverage approximate; ","")))</f>
        <v/>
      </c>
    </row>
    <row r="1440">
      <c r="A1440" s="19" t="n"/>
      <c r="B1440" s="19" t="n"/>
      <c r="C1440" s="19" t="n"/>
      <c r="D1440" s="19" t="n"/>
      <c r="E1440" s="19" t="n"/>
      <c r="F1440" s="19" t="n"/>
      <c r="G1440" s="19" t="n"/>
      <c r="H1440" s="19" t="n"/>
      <c r="I1440" s="19" t="n"/>
      <c r="J1440" s="19" t="n"/>
      <c r="K1440" s="19" t="n"/>
      <c r="L1440" s="20" t="n"/>
      <c r="M1440" s="20" t="n"/>
      <c r="N1440" s="20" t="n"/>
      <c r="O1440" s="20" t="n"/>
      <c r="P1440" s="19" t="n"/>
      <c r="Q1440" s="19" t="n"/>
      <c r="R1440" s="20" t="n"/>
      <c r="S1440" s="20" t="n"/>
      <c r="T1440" s="19" t="n"/>
      <c r="U1440" s="19" t="n"/>
      <c r="V1440" s="19" t="n"/>
      <c r="W1440" s="19" t="n"/>
      <c r="X1440" s="19" t="n"/>
      <c r="Y1440" s="19" t="n"/>
      <c r="Z1440" s="21">
        <f>IF(AND($A1440="",$B1440=""),"",IF(OR($E1440="",$H1440="",$H1440="Proposed",$H1440="Not Reported"),0,IF(AND($P1440="Y",$Q1440&lt;&gt;"Y"),0,IF(AND($K1440="Point",N($L1440)&lt;=0),0,IF(AND(N($L1440)&lt;=0,N($N1440)&lt;=0,N($R1440)+N($S1440)&lt;=0),0,1)))))</f>
        <v/>
      </c>
      <c r="AA1440" s="21">
        <f>IF(AND($A1440="",$B1440=""),"",IF($E1440="","Site type missing",IF($H1440="","STATUS missing",IF($H1440="Proposed","STATUS = Proposed",IF($H1440="Not Reported","STATUS = Not Reported",IF(AND($P1440="Y",$Q1440&lt;&gt;"Y"),"UNESCO-MAB Biosphere Reserve",IF(AND($K1440="Point",N($L1440)&lt;=0),"Point without REP_AREA",IF(AND(N($L1440)&lt;=0,N($N1440)&lt;=0,N($R1440)+N($S1440)&lt;=0),"No area information",""))))))))</f>
        <v/>
      </c>
      <c r="AB1440" s="22">
        <f>IF(AND($A1440="",$B1440=""),"",IF($K1440="Point",N($L1440),IF(N($N1440)&gt;0,N($N1440),N($L1440))))</f>
        <v/>
      </c>
      <c r="AC1440" s="22">
        <f>IF(AND($A1440="",$B1440=""),"",MIN(AB1440,IF(N($J1440)=0,0,IF(N($J1440)=2,AB1440,IF(AND($K1440&lt;&gt;"Point",N($O1440)&gt;0),N($O1440),N($M1440))))))</f>
        <v/>
      </c>
      <c r="AD1440" s="22">
        <f>IF(AND($A1440="",$B1440=""),"",MAX(0,AB1440-AC1440))</f>
        <v/>
      </c>
      <c r="AE1440" s="21">
        <f>IF(AND($A1440="",$B1440=""),"",IF(OR($R1440&lt;&gt;"",$S1440&lt;&gt;""),1,0))</f>
        <v/>
      </c>
      <c r="AF1440" s="22">
        <f>IF(AND($A1440="",$B1440=""),"",IF(Z1440=1,IF(AE1440=1,N($R1440),AD1440),0))</f>
        <v/>
      </c>
      <c r="AG1440" s="22">
        <f>IF(AND($A1440="",$B1440=""),"",IF(Z1440=1,IF(AE1440=1,N($S1440),AC1440),0))</f>
        <v/>
      </c>
      <c r="AH1440" s="21">
        <f>IF(AND($A1440="",$B1440=""),"",IF(AND(ISNUMBER($I1440),N($I1440)&gt;0),$I1440,0))</f>
        <v/>
      </c>
      <c r="AI1440" s="23">
        <f>IF(AND(NOT(AND($A1440="",$B1440="")),$K1440="Point",N($L1440)&gt;0),SQRT(N($L1440)/PI()),"")</f>
        <v/>
      </c>
      <c r="AJ1440" s="21">
        <f>IF(AND($A1440="",$B1440=""),"",IFERROR(VLOOKUP($G1440,Lists!$D$4:$E$15,2,FALSE),"Not reported"))</f>
        <v/>
      </c>
      <c r="AK1440" s="21">
        <f>IF(AND($A1440="",$B1440=""),"",IF($X1440&lt;&gt;"",$X1440,IF($T1440&lt;&gt;"Y","Not assessed",IF(AND(ISNUMBER($V1440),Setup!$B$6-$V1440&gt;Setup!$B$26),"Assessment outdated",IF(NOT(ISNUMBER($W1440)),"Assessed – no score",IF($W1440&gt;=Setup!$B$24,"High",IF($W1440&gt;=Setup!$B$25,"Moderate","Low")))))))</f>
        <v/>
      </c>
      <c r="AL1440" s="21">
        <f>IF(AND($A1440="",$B1440=""),"",IF(Z1440=0,"",IF(AND(AE1440=1,N($R1440)&gt;AD1440*1.01+0.001),"Net terrestrial &gt; gross; ","")&amp;IF(AND(AE1440=1,N($S1440)&gt;AC1440*1.01+0.001),"Net marine &gt; gross; ","")&amp;IF(AE1440=0,"No net area – gross used, overlaps may be double-counted; ","")&amp;IF(AH1440=0,"STATUS_YR missing – imputed in time series; ","")&amp;IF(AND(ISNUMBER($I1440),N($I1440)&gt;Setup!$B$6),"STATUS_YR after reporting year; ","")&amp;IF(OR($G1440="",$G1440="Not Reported"),"GOV_TYPE not reported; ","")&amp;IF(AND(N($J1440)=1,$K1440="Point",N($M1440)&lt;=0),"Coastal point without REP_M_AREA – land/sea split unknown; ","")&amp;IF(AND(N($J1440)=0,N($S1440)&gt;0),"MARINE=0 but net marine &gt;0; ","")&amp;IF(AND(N($J1440)=2,N($R1440)&gt;0),"MARINE=2 but net terrestrial &gt;0; ","")&amp;IF($K1440="Point","Buffered point – coverage approximate; ","")))</f>
        <v/>
      </c>
    </row>
    <row r="1441">
      <c r="A1441" s="19" t="n"/>
      <c r="B1441" s="19" t="n"/>
      <c r="C1441" s="19" t="n"/>
      <c r="D1441" s="19" t="n"/>
      <c r="E1441" s="19" t="n"/>
      <c r="F1441" s="19" t="n"/>
      <c r="G1441" s="19" t="n"/>
      <c r="H1441" s="19" t="n"/>
      <c r="I1441" s="19" t="n"/>
      <c r="J1441" s="19" t="n"/>
      <c r="K1441" s="19" t="n"/>
      <c r="L1441" s="20" t="n"/>
      <c r="M1441" s="20" t="n"/>
      <c r="N1441" s="20" t="n"/>
      <c r="O1441" s="20" t="n"/>
      <c r="P1441" s="19" t="n"/>
      <c r="Q1441" s="19" t="n"/>
      <c r="R1441" s="20" t="n"/>
      <c r="S1441" s="20" t="n"/>
      <c r="T1441" s="19" t="n"/>
      <c r="U1441" s="19" t="n"/>
      <c r="V1441" s="19" t="n"/>
      <c r="W1441" s="19" t="n"/>
      <c r="X1441" s="19" t="n"/>
      <c r="Y1441" s="19" t="n"/>
      <c r="Z1441" s="21">
        <f>IF(AND($A1441="",$B1441=""),"",IF(OR($E1441="",$H1441="",$H1441="Proposed",$H1441="Not Reported"),0,IF(AND($P1441="Y",$Q1441&lt;&gt;"Y"),0,IF(AND($K1441="Point",N($L1441)&lt;=0),0,IF(AND(N($L1441)&lt;=0,N($N1441)&lt;=0,N($R1441)+N($S1441)&lt;=0),0,1)))))</f>
        <v/>
      </c>
      <c r="AA1441" s="21">
        <f>IF(AND($A1441="",$B1441=""),"",IF($E1441="","Site type missing",IF($H1441="","STATUS missing",IF($H1441="Proposed","STATUS = Proposed",IF($H1441="Not Reported","STATUS = Not Reported",IF(AND($P1441="Y",$Q1441&lt;&gt;"Y"),"UNESCO-MAB Biosphere Reserve",IF(AND($K1441="Point",N($L1441)&lt;=0),"Point without REP_AREA",IF(AND(N($L1441)&lt;=0,N($N1441)&lt;=0,N($R1441)+N($S1441)&lt;=0),"No area information",""))))))))</f>
        <v/>
      </c>
      <c r="AB1441" s="22">
        <f>IF(AND($A1441="",$B1441=""),"",IF($K1441="Point",N($L1441),IF(N($N1441)&gt;0,N($N1441),N($L1441))))</f>
        <v/>
      </c>
      <c r="AC1441" s="22">
        <f>IF(AND($A1441="",$B1441=""),"",MIN(AB1441,IF(N($J1441)=0,0,IF(N($J1441)=2,AB1441,IF(AND($K1441&lt;&gt;"Point",N($O1441)&gt;0),N($O1441),N($M1441))))))</f>
        <v/>
      </c>
      <c r="AD1441" s="22">
        <f>IF(AND($A1441="",$B1441=""),"",MAX(0,AB1441-AC1441))</f>
        <v/>
      </c>
      <c r="AE1441" s="21">
        <f>IF(AND($A1441="",$B1441=""),"",IF(OR($R1441&lt;&gt;"",$S1441&lt;&gt;""),1,0))</f>
        <v/>
      </c>
      <c r="AF1441" s="22">
        <f>IF(AND($A1441="",$B1441=""),"",IF(Z1441=1,IF(AE1441=1,N($R1441),AD1441),0))</f>
        <v/>
      </c>
      <c r="AG1441" s="22">
        <f>IF(AND($A1441="",$B1441=""),"",IF(Z1441=1,IF(AE1441=1,N($S1441),AC1441),0))</f>
        <v/>
      </c>
      <c r="AH1441" s="21">
        <f>IF(AND($A1441="",$B1441=""),"",IF(AND(ISNUMBER($I1441),N($I1441)&gt;0),$I1441,0))</f>
        <v/>
      </c>
      <c r="AI1441" s="23">
        <f>IF(AND(NOT(AND($A1441="",$B1441="")),$K1441="Point",N($L1441)&gt;0),SQRT(N($L1441)/PI()),"")</f>
        <v/>
      </c>
      <c r="AJ1441" s="21">
        <f>IF(AND($A1441="",$B1441=""),"",IFERROR(VLOOKUP($G1441,Lists!$D$4:$E$15,2,FALSE),"Not reported"))</f>
        <v/>
      </c>
      <c r="AK1441" s="21">
        <f>IF(AND($A1441="",$B1441=""),"",IF($X1441&lt;&gt;"",$X1441,IF($T1441&lt;&gt;"Y","Not assessed",IF(AND(ISNUMBER($V1441),Setup!$B$6-$V1441&gt;Setup!$B$26),"Assessment outdated",IF(NOT(ISNUMBER($W1441)),"Assessed – no score",IF($W1441&gt;=Setup!$B$24,"High",IF($W1441&gt;=Setup!$B$25,"Moderate","Low")))))))</f>
        <v/>
      </c>
      <c r="AL1441" s="21">
        <f>IF(AND($A1441="",$B1441=""),"",IF(Z1441=0,"",IF(AND(AE1441=1,N($R1441)&gt;AD1441*1.01+0.001),"Net terrestrial &gt; gross; ","")&amp;IF(AND(AE1441=1,N($S1441)&gt;AC1441*1.01+0.001),"Net marine &gt; gross; ","")&amp;IF(AE1441=0,"No net area – gross used, overlaps may be double-counted; ","")&amp;IF(AH1441=0,"STATUS_YR missing – imputed in time series; ","")&amp;IF(AND(ISNUMBER($I1441),N($I1441)&gt;Setup!$B$6),"STATUS_YR after reporting year; ","")&amp;IF(OR($G1441="",$G1441="Not Reported"),"GOV_TYPE not reported; ","")&amp;IF(AND(N($J1441)=1,$K1441="Point",N($M1441)&lt;=0),"Coastal point without REP_M_AREA – land/sea split unknown; ","")&amp;IF(AND(N($J1441)=0,N($S1441)&gt;0),"MARINE=0 but net marine &gt;0; ","")&amp;IF(AND(N($J1441)=2,N($R1441)&gt;0),"MARINE=2 but net terrestrial &gt;0; ","")&amp;IF($K1441="Point","Buffered point – coverage approximate; ","")))</f>
        <v/>
      </c>
    </row>
    <row r="1442">
      <c r="A1442" s="19" t="n"/>
      <c r="B1442" s="19" t="n"/>
      <c r="C1442" s="19" t="n"/>
      <c r="D1442" s="19" t="n"/>
      <c r="E1442" s="19" t="n"/>
      <c r="F1442" s="19" t="n"/>
      <c r="G1442" s="19" t="n"/>
      <c r="H1442" s="19" t="n"/>
      <c r="I1442" s="19" t="n"/>
      <c r="J1442" s="19" t="n"/>
      <c r="K1442" s="19" t="n"/>
      <c r="L1442" s="20" t="n"/>
      <c r="M1442" s="20" t="n"/>
      <c r="N1442" s="20" t="n"/>
      <c r="O1442" s="20" t="n"/>
      <c r="P1442" s="19" t="n"/>
      <c r="Q1442" s="19" t="n"/>
      <c r="R1442" s="20" t="n"/>
      <c r="S1442" s="20" t="n"/>
      <c r="T1442" s="19" t="n"/>
      <c r="U1442" s="19" t="n"/>
      <c r="V1442" s="19" t="n"/>
      <c r="W1442" s="19" t="n"/>
      <c r="X1442" s="19" t="n"/>
      <c r="Y1442" s="19" t="n"/>
      <c r="Z1442" s="21">
        <f>IF(AND($A1442="",$B1442=""),"",IF(OR($E1442="",$H1442="",$H1442="Proposed",$H1442="Not Reported"),0,IF(AND($P1442="Y",$Q1442&lt;&gt;"Y"),0,IF(AND($K1442="Point",N($L1442)&lt;=0),0,IF(AND(N($L1442)&lt;=0,N($N1442)&lt;=0,N($R1442)+N($S1442)&lt;=0),0,1)))))</f>
        <v/>
      </c>
      <c r="AA1442" s="21">
        <f>IF(AND($A1442="",$B1442=""),"",IF($E1442="","Site type missing",IF($H1442="","STATUS missing",IF($H1442="Proposed","STATUS = Proposed",IF($H1442="Not Reported","STATUS = Not Reported",IF(AND($P1442="Y",$Q1442&lt;&gt;"Y"),"UNESCO-MAB Biosphere Reserve",IF(AND($K1442="Point",N($L1442)&lt;=0),"Point without REP_AREA",IF(AND(N($L1442)&lt;=0,N($N1442)&lt;=0,N($R1442)+N($S1442)&lt;=0),"No area information",""))))))))</f>
        <v/>
      </c>
      <c r="AB1442" s="22">
        <f>IF(AND($A1442="",$B1442=""),"",IF($K1442="Point",N($L1442),IF(N($N1442)&gt;0,N($N1442),N($L1442))))</f>
        <v/>
      </c>
      <c r="AC1442" s="22">
        <f>IF(AND($A1442="",$B1442=""),"",MIN(AB1442,IF(N($J1442)=0,0,IF(N($J1442)=2,AB1442,IF(AND($K1442&lt;&gt;"Point",N($O1442)&gt;0),N($O1442),N($M1442))))))</f>
        <v/>
      </c>
      <c r="AD1442" s="22">
        <f>IF(AND($A1442="",$B1442=""),"",MAX(0,AB1442-AC1442))</f>
        <v/>
      </c>
      <c r="AE1442" s="21">
        <f>IF(AND($A1442="",$B1442=""),"",IF(OR($R1442&lt;&gt;"",$S1442&lt;&gt;""),1,0))</f>
        <v/>
      </c>
      <c r="AF1442" s="22">
        <f>IF(AND($A1442="",$B1442=""),"",IF(Z1442=1,IF(AE1442=1,N($R1442),AD1442),0))</f>
        <v/>
      </c>
      <c r="AG1442" s="22">
        <f>IF(AND($A1442="",$B1442=""),"",IF(Z1442=1,IF(AE1442=1,N($S1442),AC1442),0))</f>
        <v/>
      </c>
      <c r="AH1442" s="21">
        <f>IF(AND($A1442="",$B1442=""),"",IF(AND(ISNUMBER($I1442),N($I1442)&gt;0),$I1442,0))</f>
        <v/>
      </c>
      <c r="AI1442" s="23">
        <f>IF(AND(NOT(AND($A1442="",$B1442="")),$K1442="Point",N($L1442)&gt;0),SQRT(N($L1442)/PI()),"")</f>
        <v/>
      </c>
      <c r="AJ1442" s="21">
        <f>IF(AND($A1442="",$B1442=""),"",IFERROR(VLOOKUP($G1442,Lists!$D$4:$E$15,2,FALSE),"Not reported"))</f>
        <v/>
      </c>
      <c r="AK1442" s="21">
        <f>IF(AND($A1442="",$B1442=""),"",IF($X1442&lt;&gt;"",$X1442,IF($T1442&lt;&gt;"Y","Not assessed",IF(AND(ISNUMBER($V1442),Setup!$B$6-$V1442&gt;Setup!$B$26),"Assessment outdated",IF(NOT(ISNUMBER($W1442)),"Assessed – no score",IF($W1442&gt;=Setup!$B$24,"High",IF($W1442&gt;=Setup!$B$25,"Moderate","Low")))))))</f>
        <v/>
      </c>
      <c r="AL1442" s="21">
        <f>IF(AND($A1442="",$B1442=""),"",IF(Z1442=0,"",IF(AND(AE1442=1,N($R1442)&gt;AD1442*1.01+0.001),"Net terrestrial &gt; gross; ","")&amp;IF(AND(AE1442=1,N($S1442)&gt;AC1442*1.01+0.001),"Net marine &gt; gross; ","")&amp;IF(AE1442=0,"No net area – gross used, overlaps may be double-counted; ","")&amp;IF(AH1442=0,"STATUS_YR missing – imputed in time series; ","")&amp;IF(AND(ISNUMBER($I1442),N($I1442)&gt;Setup!$B$6),"STATUS_YR after reporting year; ","")&amp;IF(OR($G1442="",$G1442="Not Reported"),"GOV_TYPE not reported; ","")&amp;IF(AND(N($J1442)=1,$K1442="Point",N($M1442)&lt;=0),"Coastal point without REP_M_AREA – land/sea split unknown; ","")&amp;IF(AND(N($J1442)=0,N($S1442)&gt;0),"MARINE=0 but net marine &gt;0; ","")&amp;IF(AND(N($J1442)=2,N($R1442)&gt;0),"MARINE=2 but net terrestrial &gt;0; ","")&amp;IF($K1442="Point","Buffered point – coverage approximate; ","")))</f>
        <v/>
      </c>
    </row>
    <row r="1443">
      <c r="A1443" s="19" t="n"/>
      <c r="B1443" s="19" t="n"/>
      <c r="C1443" s="19" t="n"/>
      <c r="D1443" s="19" t="n"/>
      <c r="E1443" s="19" t="n"/>
      <c r="F1443" s="19" t="n"/>
      <c r="G1443" s="19" t="n"/>
      <c r="H1443" s="19" t="n"/>
      <c r="I1443" s="19" t="n"/>
      <c r="J1443" s="19" t="n"/>
      <c r="K1443" s="19" t="n"/>
      <c r="L1443" s="20" t="n"/>
      <c r="M1443" s="20" t="n"/>
      <c r="N1443" s="20" t="n"/>
      <c r="O1443" s="20" t="n"/>
      <c r="P1443" s="19" t="n"/>
      <c r="Q1443" s="19" t="n"/>
      <c r="R1443" s="20" t="n"/>
      <c r="S1443" s="20" t="n"/>
      <c r="T1443" s="19" t="n"/>
      <c r="U1443" s="19" t="n"/>
      <c r="V1443" s="19" t="n"/>
      <c r="W1443" s="19" t="n"/>
      <c r="X1443" s="19" t="n"/>
      <c r="Y1443" s="19" t="n"/>
      <c r="Z1443" s="21">
        <f>IF(AND($A1443="",$B1443=""),"",IF(OR($E1443="",$H1443="",$H1443="Proposed",$H1443="Not Reported"),0,IF(AND($P1443="Y",$Q1443&lt;&gt;"Y"),0,IF(AND($K1443="Point",N($L1443)&lt;=0),0,IF(AND(N($L1443)&lt;=0,N($N1443)&lt;=0,N($R1443)+N($S1443)&lt;=0),0,1)))))</f>
        <v/>
      </c>
      <c r="AA1443" s="21">
        <f>IF(AND($A1443="",$B1443=""),"",IF($E1443="","Site type missing",IF($H1443="","STATUS missing",IF($H1443="Proposed","STATUS = Proposed",IF($H1443="Not Reported","STATUS = Not Reported",IF(AND($P1443="Y",$Q1443&lt;&gt;"Y"),"UNESCO-MAB Biosphere Reserve",IF(AND($K1443="Point",N($L1443)&lt;=0),"Point without REP_AREA",IF(AND(N($L1443)&lt;=0,N($N1443)&lt;=0,N($R1443)+N($S1443)&lt;=0),"No area information",""))))))))</f>
        <v/>
      </c>
      <c r="AB1443" s="22">
        <f>IF(AND($A1443="",$B1443=""),"",IF($K1443="Point",N($L1443),IF(N($N1443)&gt;0,N($N1443),N($L1443))))</f>
        <v/>
      </c>
      <c r="AC1443" s="22">
        <f>IF(AND($A1443="",$B1443=""),"",MIN(AB1443,IF(N($J1443)=0,0,IF(N($J1443)=2,AB1443,IF(AND($K1443&lt;&gt;"Point",N($O1443)&gt;0),N($O1443),N($M1443))))))</f>
        <v/>
      </c>
      <c r="AD1443" s="22">
        <f>IF(AND($A1443="",$B1443=""),"",MAX(0,AB1443-AC1443))</f>
        <v/>
      </c>
      <c r="AE1443" s="21">
        <f>IF(AND($A1443="",$B1443=""),"",IF(OR($R1443&lt;&gt;"",$S1443&lt;&gt;""),1,0))</f>
        <v/>
      </c>
      <c r="AF1443" s="22">
        <f>IF(AND($A1443="",$B1443=""),"",IF(Z1443=1,IF(AE1443=1,N($R1443),AD1443),0))</f>
        <v/>
      </c>
      <c r="AG1443" s="22">
        <f>IF(AND($A1443="",$B1443=""),"",IF(Z1443=1,IF(AE1443=1,N($S1443),AC1443),0))</f>
        <v/>
      </c>
      <c r="AH1443" s="21">
        <f>IF(AND($A1443="",$B1443=""),"",IF(AND(ISNUMBER($I1443),N($I1443)&gt;0),$I1443,0))</f>
        <v/>
      </c>
      <c r="AI1443" s="23">
        <f>IF(AND(NOT(AND($A1443="",$B1443="")),$K1443="Point",N($L1443)&gt;0),SQRT(N($L1443)/PI()),"")</f>
        <v/>
      </c>
      <c r="AJ1443" s="21">
        <f>IF(AND($A1443="",$B1443=""),"",IFERROR(VLOOKUP($G1443,Lists!$D$4:$E$15,2,FALSE),"Not reported"))</f>
        <v/>
      </c>
      <c r="AK1443" s="21">
        <f>IF(AND($A1443="",$B1443=""),"",IF($X1443&lt;&gt;"",$X1443,IF($T1443&lt;&gt;"Y","Not assessed",IF(AND(ISNUMBER($V1443),Setup!$B$6-$V1443&gt;Setup!$B$26),"Assessment outdated",IF(NOT(ISNUMBER($W1443)),"Assessed – no score",IF($W1443&gt;=Setup!$B$24,"High",IF($W1443&gt;=Setup!$B$25,"Moderate","Low")))))))</f>
        <v/>
      </c>
      <c r="AL1443" s="21">
        <f>IF(AND($A1443="",$B1443=""),"",IF(Z1443=0,"",IF(AND(AE1443=1,N($R1443)&gt;AD1443*1.01+0.001),"Net terrestrial &gt; gross; ","")&amp;IF(AND(AE1443=1,N($S1443)&gt;AC1443*1.01+0.001),"Net marine &gt; gross; ","")&amp;IF(AE1443=0,"No net area – gross used, overlaps may be double-counted; ","")&amp;IF(AH1443=0,"STATUS_YR missing – imputed in time series; ","")&amp;IF(AND(ISNUMBER($I1443),N($I1443)&gt;Setup!$B$6),"STATUS_YR after reporting year; ","")&amp;IF(OR($G1443="",$G1443="Not Reported"),"GOV_TYPE not reported; ","")&amp;IF(AND(N($J1443)=1,$K1443="Point",N($M1443)&lt;=0),"Coastal point without REP_M_AREA – land/sea split unknown; ","")&amp;IF(AND(N($J1443)=0,N($S1443)&gt;0),"MARINE=0 but net marine &gt;0; ","")&amp;IF(AND(N($J1443)=2,N($R1443)&gt;0),"MARINE=2 but net terrestrial &gt;0; ","")&amp;IF($K1443="Point","Buffered point – coverage approximate; ","")))</f>
        <v/>
      </c>
    </row>
    <row r="1444">
      <c r="A1444" s="19" t="n"/>
      <c r="B1444" s="19" t="n"/>
      <c r="C1444" s="19" t="n"/>
      <c r="D1444" s="19" t="n"/>
      <c r="E1444" s="19" t="n"/>
      <c r="F1444" s="19" t="n"/>
      <c r="G1444" s="19" t="n"/>
      <c r="H1444" s="19" t="n"/>
      <c r="I1444" s="19" t="n"/>
      <c r="J1444" s="19" t="n"/>
      <c r="K1444" s="19" t="n"/>
      <c r="L1444" s="20" t="n"/>
      <c r="M1444" s="20" t="n"/>
      <c r="N1444" s="20" t="n"/>
      <c r="O1444" s="20" t="n"/>
      <c r="P1444" s="19" t="n"/>
      <c r="Q1444" s="19" t="n"/>
      <c r="R1444" s="20" t="n"/>
      <c r="S1444" s="20" t="n"/>
      <c r="T1444" s="19" t="n"/>
      <c r="U1444" s="19" t="n"/>
      <c r="V1444" s="19" t="n"/>
      <c r="W1444" s="19" t="n"/>
      <c r="X1444" s="19" t="n"/>
      <c r="Y1444" s="19" t="n"/>
      <c r="Z1444" s="21">
        <f>IF(AND($A1444="",$B1444=""),"",IF(OR($E1444="",$H1444="",$H1444="Proposed",$H1444="Not Reported"),0,IF(AND($P1444="Y",$Q1444&lt;&gt;"Y"),0,IF(AND($K1444="Point",N($L1444)&lt;=0),0,IF(AND(N($L1444)&lt;=0,N($N1444)&lt;=0,N($R1444)+N($S1444)&lt;=0),0,1)))))</f>
        <v/>
      </c>
      <c r="AA1444" s="21">
        <f>IF(AND($A1444="",$B1444=""),"",IF($E1444="","Site type missing",IF($H1444="","STATUS missing",IF($H1444="Proposed","STATUS = Proposed",IF($H1444="Not Reported","STATUS = Not Reported",IF(AND($P1444="Y",$Q1444&lt;&gt;"Y"),"UNESCO-MAB Biosphere Reserve",IF(AND($K1444="Point",N($L1444)&lt;=0),"Point without REP_AREA",IF(AND(N($L1444)&lt;=0,N($N1444)&lt;=0,N($R1444)+N($S1444)&lt;=0),"No area information",""))))))))</f>
        <v/>
      </c>
      <c r="AB1444" s="22">
        <f>IF(AND($A1444="",$B1444=""),"",IF($K1444="Point",N($L1444),IF(N($N1444)&gt;0,N($N1444),N($L1444))))</f>
        <v/>
      </c>
      <c r="AC1444" s="22">
        <f>IF(AND($A1444="",$B1444=""),"",MIN(AB1444,IF(N($J1444)=0,0,IF(N($J1444)=2,AB1444,IF(AND($K1444&lt;&gt;"Point",N($O1444)&gt;0),N($O1444),N($M1444))))))</f>
        <v/>
      </c>
      <c r="AD1444" s="22">
        <f>IF(AND($A1444="",$B1444=""),"",MAX(0,AB1444-AC1444))</f>
        <v/>
      </c>
      <c r="AE1444" s="21">
        <f>IF(AND($A1444="",$B1444=""),"",IF(OR($R1444&lt;&gt;"",$S1444&lt;&gt;""),1,0))</f>
        <v/>
      </c>
      <c r="AF1444" s="22">
        <f>IF(AND($A1444="",$B1444=""),"",IF(Z1444=1,IF(AE1444=1,N($R1444),AD1444),0))</f>
        <v/>
      </c>
      <c r="AG1444" s="22">
        <f>IF(AND($A1444="",$B1444=""),"",IF(Z1444=1,IF(AE1444=1,N($S1444),AC1444),0))</f>
        <v/>
      </c>
      <c r="AH1444" s="21">
        <f>IF(AND($A1444="",$B1444=""),"",IF(AND(ISNUMBER($I1444),N($I1444)&gt;0),$I1444,0))</f>
        <v/>
      </c>
      <c r="AI1444" s="23">
        <f>IF(AND(NOT(AND($A1444="",$B1444="")),$K1444="Point",N($L1444)&gt;0),SQRT(N($L1444)/PI()),"")</f>
        <v/>
      </c>
      <c r="AJ1444" s="21">
        <f>IF(AND($A1444="",$B1444=""),"",IFERROR(VLOOKUP($G1444,Lists!$D$4:$E$15,2,FALSE),"Not reported"))</f>
        <v/>
      </c>
      <c r="AK1444" s="21">
        <f>IF(AND($A1444="",$B1444=""),"",IF($X1444&lt;&gt;"",$X1444,IF($T1444&lt;&gt;"Y","Not assessed",IF(AND(ISNUMBER($V1444),Setup!$B$6-$V1444&gt;Setup!$B$26),"Assessment outdated",IF(NOT(ISNUMBER($W1444)),"Assessed – no score",IF($W1444&gt;=Setup!$B$24,"High",IF($W1444&gt;=Setup!$B$25,"Moderate","Low")))))))</f>
        <v/>
      </c>
      <c r="AL1444" s="21">
        <f>IF(AND($A1444="",$B1444=""),"",IF(Z1444=0,"",IF(AND(AE1444=1,N($R1444)&gt;AD1444*1.01+0.001),"Net terrestrial &gt; gross; ","")&amp;IF(AND(AE1444=1,N($S1444)&gt;AC1444*1.01+0.001),"Net marine &gt; gross; ","")&amp;IF(AE1444=0,"No net area – gross used, overlaps may be double-counted; ","")&amp;IF(AH1444=0,"STATUS_YR missing – imputed in time series; ","")&amp;IF(AND(ISNUMBER($I1444),N($I1444)&gt;Setup!$B$6),"STATUS_YR after reporting year; ","")&amp;IF(OR($G1444="",$G1444="Not Reported"),"GOV_TYPE not reported; ","")&amp;IF(AND(N($J1444)=1,$K1444="Point",N($M1444)&lt;=0),"Coastal point without REP_M_AREA – land/sea split unknown; ","")&amp;IF(AND(N($J1444)=0,N($S1444)&gt;0),"MARINE=0 but net marine &gt;0; ","")&amp;IF(AND(N($J1444)=2,N($R1444)&gt;0),"MARINE=2 but net terrestrial &gt;0; ","")&amp;IF($K1444="Point","Buffered point – coverage approximate; ","")))</f>
        <v/>
      </c>
    </row>
    <row r="1445">
      <c r="A1445" s="19" t="n"/>
      <c r="B1445" s="19" t="n"/>
      <c r="C1445" s="19" t="n"/>
      <c r="D1445" s="19" t="n"/>
      <c r="E1445" s="19" t="n"/>
      <c r="F1445" s="19" t="n"/>
      <c r="G1445" s="19" t="n"/>
      <c r="H1445" s="19" t="n"/>
      <c r="I1445" s="19" t="n"/>
      <c r="J1445" s="19" t="n"/>
      <c r="K1445" s="19" t="n"/>
      <c r="L1445" s="20" t="n"/>
      <c r="M1445" s="20" t="n"/>
      <c r="N1445" s="20" t="n"/>
      <c r="O1445" s="20" t="n"/>
      <c r="P1445" s="19" t="n"/>
      <c r="Q1445" s="19" t="n"/>
      <c r="R1445" s="20" t="n"/>
      <c r="S1445" s="20" t="n"/>
      <c r="T1445" s="19" t="n"/>
      <c r="U1445" s="19" t="n"/>
      <c r="V1445" s="19" t="n"/>
      <c r="W1445" s="19" t="n"/>
      <c r="X1445" s="19" t="n"/>
      <c r="Y1445" s="19" t="n"/>
      <c r="Z1445" s="21">
        <f>IF(AND($A1445="",$B1445=""),"",IF(OR($E1445="",$H1445="",$H1445="Proposed",$H1445="Not Reported"),0,IF(AND($P1445="Y",$Q1445&lt;&gt;"Y"),0,IF(AND($K1445="Point",N($L1445)&lt;=0),0,IF(AND(N($L1445)&lt;=0,N($N1445)&lt;=0,N($R1445)+N($S1445)&lt;=0),0,1)))))</f>
        <v/>
      </c>
      <c r="AA1445" s="21">
        <f>IF(AND($A1445="",$B1445=""),"",IF($E1445="","Site type missing",IF($H1445="","STATUS missing",IF($H1445="Proposed","STATUS = Proposed",IF($H1445="Not Reported","STATUS = Not Reported",IF(AND($P1445="Y",$Q1445&lt;&gt;"Y"),"UNESCO-MAB Biosphere Reserve",IF(AND($K1445="Point",N($L1445)&lt;=0),"Point without REP_AREA",IF(AND(N($L1445)&lt;=0,N($N1445)&lt;=0,N($R1445)+N($S1445)&lt;=0),"No area information",""))))))))</f>
        <v/>
      </c>
      <c r="AB1445" s="22">
        <f>IF(AND($A1445="",$B1445=""),"",IF($K1445="Point",N($L1445),IF(N($N1445)&gt;0,N($N1445),N($L1445))))</f>
        <v/>
      </c>
      <c r="AC1445" s="22">
        <f>IF(AND($A1445="",$B1445=""),"",MIN(AB1445,IF(N($J1445)=0,0,IF(N($J1445)=2,AB1445,IF(AND($K1445&lt;&gt;"Point",N($O1445)&gt;0),N($O1445),N($M1445))))))</f>
        <v/>
      </c>
      <c r="AD1445" s="22">
        <f>IF(AND($A1445="",$B1445=""),"",MAX(0,AB1445-AC1445))</f>
        <v/>
      </c>
      <c r="AE1445" s="21">
        <f>IF(AND($A1445="",$B1445=""),"",IF(OR($R1445&lt;&gt;"",$S1445&lt;&gt;""),1,0))</f>
        <v/>
      </c>
      <c r="AF1445" s="22">
        <f>IF(AND($A1445="",$B1445=""),"",IF(Z1445=1,IF(AE1445=1,N($R1445),AD1445),0))</f>
        <v/>
      </c>
      <c r="AG1445" s="22">
        <f>IF(AND($A1445="",$B1445=""),"",IF(Z1445=1,IF(AE1445=1,N($S1445),AC1445),0))</f>
        <v/>
      </c>
      <c r="AH1445" s="21">
        <f>IF(AND($A1445="",$B1445=""),"",IF(AND(ISNUMBER($I1445),N($I1445)&gt;0),$I1445,0))</f>
        <v/>
      </c>
      <c r="AI1445" s="23">
        <f>IF(AND(NOT(AND($A1445="",$B1445="")),$K1445="Point",N($L1445)&gt;0),SQRT(N($L1445)/PI()),"")</f>
        <v/>
      </c>
      <c r="AJ1445" s="21">
        <f>IF(AND($A1445="",$B1445=""),"",IFERROR(VLOOKUP($G1445,Lists!$D$4:$E$15,2,FALSE),"Not reported"))</f>
        <v/>
      </c>
      <c r="AK1445" s="21">
        <f>IF(AND($A1445="",$B1445=""),"",IF($X1445&lt;&gt;"",$X1445,IF($T1445&lt;&gt;"Y","Not assessed",IF(AND(ISNUMBER($V1445),Setup!$B$6-$V1445&gt;Setup!$B$26),"Assessment outdated",IF(NOT(ISNUMBER($W1445)),"Assessed – no score",IF($W1445&gt;=Setup!$B$24,"High",IF($W1445&gt;=Setup!$B$25,"Moderate","Low")))))))</f>
        <v/>
      </c>
      <c r="AL1445" s="21">
        <f>IF(AND($A1445="",$B1445=""),"",IF(Z1445=0,"",IF(AND(AE1445=1,N($R1445)&gt;AD1445*1.01+0.001),"Net terrestrial &gt; gross; ","")&amp;IF(AND(AE1445=1,N($S1445)&gt;AC1445*1.01+0.001),"Net marine &gt; gross; ","")&amp;IF(AE1445=0,"No net area – gross used, overlaps may be double-counted; ","")&amp;IF(AH1445=0,"STATUS_YR missing – imputed in time series; ","")&amp;IF(AND(ISNUMBER($I1445),N($I1445)&gt;Setup!$B$6),"STATUS_YR after reporting year; ","")&amp;IF(OR($G1445="",$G1445="Not Reported"),"GOV_TYPE not reported; ","")&amp;IF(AND(N($J1445)=1,$K1445="Point",N($M1445)&lt;=0),"Coastal point without REP_M_AREA – land/sea split unknown; ","")&amp;IF(AND(N($J1445)=0,N($S1445)&gt;0),"MARINE=0 but net marine &gt;0; ","")&amp;IF(AND(N($J1445)=2,N($R1445)&gt;0),"MARINE=2 but net terrestrial &gt;0; ","")&amp;IF($K1445="Point","Buffered point – coverage approximate; ","")))</f>
        <v/>
      </c>
    </row>
    <row r="1446">
      <c r="A1446" s="19" t="n"/>
      <c r="B1446" s="19" t="n"/>
      <c r="C1446" s="19" t="n"/>
      <c r="D1446" s="19" t="n"/>
      <c r="E1446" s="19" t="n"/>
      <c r="F1446" s="19" t="n"/>
      <c r="G1446" s="19" t="n"/>
      <c r="H1446" s="19" t="n"/>
      <c r="I1446" s="19" t="n"/>
      <c r="J1446" s="19" t="n"/>
      <c r="K1446" s="19" t="n"/>
      <c r="L1446" s="20" t="n"/>
      <c r="M1446" s="20" t="n"/>
      <c r="N1446" s="20" t="n"/>
      <c r="O1446" s="20" t="n"/>
      <c r="P1446" s="19" t="n"/>
      <c r="Q1446" s="19" t="n"/>
      <c r="R1446" s="20" t="n"/>
      <c r="S1446" s="20" t="n"/>
      <c r="T1446" s="19" t="n"/>
      <c r="U1446" s="19" t="n"/>
      <c r="V1446" s="19" t="n"/>
      <c r="W1446" s="19" t="n"/>
      <c r="X1446" s="19" t="n"/>
      <c r="Y1446" s="19" t="n"/>
      <c r="Z1446" s="21">
        <f>IF(AND($A1446="",$B1446=""),"",IF(OR($E1446="",$H1446="",$H1446="Proposed",$H1446="Not Reported"),0,IF(AND($P1446="Y",$Q1446&lt;&gt;"Y"),0,IF(AND($K1446="Point",N($L1446)&lt;=0),0,IF(AND(N($L1446)&lt;=0,N($N1446)&lt;=0,N($R1446)+N($S1446)&lt;=0),0,1)))))</f>
        <v/>
      </c>
      <c r="AA1446" s="21">
        <f>IF(AND($A1446="",$B1446=""),"",IF($E1446="","Site type missing",IF($H1446="","STATUS missing",IF($H1446="Proposed","STATUS = Proposed",IF($H1446="Not Reported","STATUS = Not Reported",IF(AND($P1446="Y",$Q1446&lt;&gt;"Y"),"UNESCO-MAB Biosphere Reserve",IF(AND($K1446="Point",N($L1446)&lt;=0),"Point without REP_AREA",IF(AND(N($L1446)&lt;=0,N($N1446)&lt;=0,N($R1446)+N($S1446)&lt;=0),"No area information",""))))))))</f>
        <v/>
      </c>
      <c r="AB1446" s="22">
        <f>IF(AND($A1446="",$B1446=""),"",IF($K1446="Point",N($L1446),IF(N($N1446)&gt;0,N($N1446),N($L1446))))</f>
        <v/>
      </c>
      <c r="AC1446" s="22">
        <f>IF(AND($A1446="",$B1446=""),"",MIN(AB1446,IF(N($J1446)=0,0,IF(N($J1446)=2,AB1446,IF(AND($K1446&lt;&gt;"Point",N($O1446)&gt;0),N($O1446),N($M1446))))))</f>
        <v/>
      </c>
      <c r="AD1446" s="22">
        <f>IF(AND($A1446="",$B1446=""),"",MAX(0,AB1446-AC1446))</f>
        <v/>
      </c>
      <c r="AE1446" s="21">
        <f>IF(AND($A1446="",$B1446=""),"",IF(OR($R1446&lt;&gt;"",$S1446&lt;&gt;""),1,0))</f>
        <v/>
      </c>
      <c r="AF1446" s="22">
        <f>IF(AND($A1446="",$B1446=""),"",IF(Z1446=1,IF(AE1446=1,N($R1446),AD1446),0))</f>
        <v/>
      </c>
      <c r="AG1446" s="22">
        <f>IF(AND($A1446="",$B1446=""),"",IF(Z1446=1,IF(AE1446=1,N($S1446),AC1446),0))</f>
        <v/>
      </c>
      <c r="AH1446" s="21">
        <f>IF(AND($A1446="",$B1446=""),"",IF(AND(ISNUMBER($I1446),N($I1446)&gt;0),$I1446,0))</f>
        <v/>
      </c>
      <c r="AI1446" s="23">
        <f>IF(AND(NOT(AND($A1446="",$B1446="")),$K1446="Point",N($L1446)&gt;0),SQRT(N($L1446)/PI()),"")</f>
        <v/>
      </c>
      <c r="AJ1446" s="21">
        <f>IF(AND($A1446="",$B1446=""),"",IFERROR(VLOOKUP($G1446,Lists!$D$4:$E$15,2,FALSE),"Not reported"))</f>
        <v/>
      </c>
      <c r="AK1446" s="21">
        <f>IF(AND($A1446="",$B1446=""),"",IF($X1446&lt;&gt;"",$X1446,IF($T1446&lt;&gt;"Y","Not assessed",IF(AND(ISNUMBER($V1446),Setup!$B$6-$V1446&gt;Setup!$B$26),"Assessment outdated",IF(NOT(ISNUMBER($W1446)),"Assessed – no score",IF($W1446&gt;=Setup!$B$24,"High",IF($W1446&gt;=Setup!$B$25,"Moderate","Low")))))))</f>
        <v/>
      </c>
      <c r="AL1446" s="21">
        <f>IF(AND($A1446="",$B1446=""),"",IF(Z1446=0,"",IF(AND(AE1446=1,N($R1446)&gt;AD1446*1.01+0.001),"Net terrestrial &gt; gross; ","")&amp;IF(AND(AE1446=1,N($S1446)&gt;AC1446*1.01+0.001),"Net marine &gt; gross; ","")&amp;IF(AE1446=0,"No net area – gross used, overlaps may be double-counted; ","")&amp;IF(AH1446=0,"STATUS_YR missing – imputed in time series; ","")&amp;IF(AND(ISNUMBER($I1446),N($I1446)&gt;Setup!$B$6),"STATUS_YR after reporting year; ","")&amp;IF(OR($G1446="",$G1446="Not Reported"),"GOV_TYPE not reported; ","")&amp;IF(AND(N($J1446)=1,$K1446="Point",N($M1446)&lt;=0),"Coastal point without REP_M_AREA – land/sea split unknown; ","")&amp;IF(AND(N($J1446)=0,N($S1446)&gt;0),"MARINE=0 but net marine &gt;0; ","")&amp;IF(AND(N($J1446)=2,N($R1446)&gt;0),"MARINE=2 but net terrestrial &gt;0; ","")&amp;IF($K1446="Point","Buffered point – coverage approximate; ","")))</f>
        <v/>
      </c>
    </row>
    <row r="1447">
      <c r="A1447" s="19" t="n"/>
      <c r="B1447" s="19" t="n"/>
      <c r="C1447" s="19" t="n"/>
      <c r="D1447" s="19" t="n"/>
      <c r="E1447" s="19" t="n"/>
      <c r="F1447" s="19" t="n"/>
      <c r="G1447" s="19" t="n"/>
      <c r="H1447" s="19" t="n"/>
      <c r="I1447" s="19" t="n"/>
      <c r="J1447" s="19" t="n"/>
      <c r="K1447" s="19" t="n"/>
      <c r="L1447" s="20" t="n"/>
      <c r="M1447" s="20" t="n"/>
      <c r="N1447" s="20" t="n"/>
      <c r="O1447" s="20" t="n"/>
      <c r="P1447" s="19" t="n"/>
      <c r="Q1447" s="19" t="n"/>
      <c r="R1447" s="20" t="n"/>
      <c r="S1447" s="20" t="n"/>
      <c r="T1447" s="19" t="n"/>
      <c r="U1447" s="19" t="n"/>
      <c r="V1447" s="19" t="n"/>
      <c r="W1447" s="19" t="n"/>
      <c r="X1447" s="19" t="n"/>
      <c r="Y1447" s="19" t="n"/>
      <c r="Z1447" s="21">
        <f>IF(AND($A1447="",$B1447=""),"",IF(OR($E1447="",$H1447="",$H1447="Proposed",$H1447="Not Reported"),0,IF(AND($P1447="Y",$Q1447&lt;&gt;"Y"),0,IF(AND($K1447="Point",N($L1447)&lt;=0),0,IF(AND(N($L1447)&lt;=0,N($N1447)&lt;=0,N($R1447)+N($S1447)&lt;=0),0,1)))))</f>
        <v/>
      </c>
      <c r="AA1447" s="21">
        <f>IF(AND($A1447="",$B1447=""),"",IF($E1447="","Site type missing",IF($H1447="","STATUS missing",IF($H1447="Proposed","STATUS = Proposed",IF($H1447="Not Reported","STATUS = Not Reported",IF(AND($P1447="Y",$Q1447&lt;&gt;"Y"),"UNESCO-MAB Biosphere Reserve",IF(AND($K1447="Point",N($L1447)&lt;=0),"Point without REP_AREA",IF(AND(N($L1447)&lt;=0,N($N1447)&lt;=0,N($R1447)+N($S1447)&lt;=0),"No area information",""))))))))</f>
        <v/>
      </c>
      <c r="AB1447" s="22">
        <f>IF(AND($A1447="",$B1447=""),"",IF($K1447="Point",N($L1447),IF(N($N1447)&gt;0,N($N1447),N($L1447))))</f>
        <v/>
      </c>
      <c r="AC1447" s="22">
        <f>IF(AND($A1447="",$B1447=""),"",MIN(AB1447,IF(N($J1447)=0,0,IF(N($J1447)=2,AB1447,IF(AND($K1447&lt;&gt;"Point",N($O1447)&gt;0),N($O1447),N($M1447))))))</f>
        <v/>
      </c>
      <c r="AD1447" s="22">
        <f>IF(AND($A1447="",$B1447=""),"",MAX(0,AB1447-AC1447))</f>
        <v/>
      </c>
      <c r="AE1447" s="21">
        <f>IF(AND($A1447="",$B1447=""),"",IF(OR($R1447&lt;&gt;"",$S1447&lt;&gt;""),1,0))</f>
        <v/>
      </c>
      <c r="AF1447" s="22">
        <f>IF(AND($A1447="",$B1447=""),"",IF(Z1447=1,IF(AE1447=1,N($R1447),AD1447),0))</f>
        <v/>
      </c>
      <c r="AG1447" s="22">
        <f>IF(AND($A1447="",$B1447=""),"",IF(Z1447=1,IF(AE1447=1,N($S1447),AC1447),0))</f>
        <v/>
      </c>
      <c r="AH1447" s="21">
        <f>IF(AND($A1447="",$B1447=""),"",IF(AND(ISNUMBER($I1447),N($I1447)&gt;0),$I1447,0))</f>
        <v/>
      </c>
      <c r="AI1447" s="23">
        <f>IF(AND(NOT(AND($A1447="",$B1447="")),$K1447="Point",N($L1447)&gt;0),SQRT(N($L1447)/PI()),"")</f>
        <v/>
      </c>
      <c r="AJ1447" s="21">
        <f>IF(AND($A1447="",$B1447=""),"",IFERROR(VLOOKUP($G1447,Lists!$D$4:$E$15,2,FALSE),"Not reported"))</f>
        <v/>
      </c>
      <c r="AK1447" s="21">
        <f>IF(AND($A1447="",$B1447=""),"",IF($X1447&lt;&gt;"",$X1447,IF($T1447&lt;&gt;"Y","Not assessed",IF(AND(ISNUMBER($V1447),Setup!$B$6-$V1447&gt;Setup!$B$26),"Assessment outdated",IF(NOT(ISNUMBER($W1447)),"Assessed – no score",IF($W1447&gt;=Setup!$B$24,"High",IF($W1447&gt;=Setup!$B$25,"Moderate","Low")))))))</f>
        <v/>
      </c>
      <c r="AL1447" s="21">
        <f>IF(AND($A1447="",$B1447=""),"",IF(Z1447=0,"",IF(AND(AE1447=1,N($R1447)&gt;AD1447*1.01+0.001),"Net terrestrial &gt; gross; ","")&amp;IF(AND(AE1447=1,N($S1447)&gt;AC1447*1.01+0.001),"Net marine &gt; gross; ","")&amp;IF(AE1447=0,"No net area – gross used, overlaps may be double-counted; ","")&amp;IF(AH1447=0,"STATUS_YR missing – imputed in time series; ","")&amp;IF(AND(ISNUMBER($I1447),N($I1447)&gt;Setup!$B$6),"STATUS_YR after reporting year; ","")&amp;IF(OR($G1447="",$G1447="Not Reported"),"GOV_TYPE not reported; ","")&amp;IF(AND(N($J1447)=1,$K1447="Point",N($M1447)&lt;=0),"Coastal point without REP_M_AREA – land/sea split unknown; ","")&amp;IF(AND(N($J1447)=0,N($S1447)&gt;0),"MARINE=0 but net marine &gt;0; ","")&amp;IF(AND(N($J1447)=2,N($R1447)&gt;0),"MARINE=2 but net terrestrial &gt;0; ","")&amp;IF($K1447="Point","Buffered point – coverage approximate; ","")))</f>
        <v/>
      </c>
    </row>
    <row r="1448">
      <c r="A1448" s="19" t="n"/>
      <c r="B1448" s="19" t="n"/>
      <c r="C1448" s="19" t="n"/>
      <c r="D1448" s="19" t="n"/>
      <c r="E1448" s="19" t="n"/>
      <c r="F1448" s="19" t="n"/>
      <c r="G1448" s="19" t="n"/>
      <c r="H1448" s="19" t="n"/>
      <c r="I1448" s="19" t="n"/>
      <c r="J1448" s="19" t="n"/>
      <c r="K1448" s="19" t="n"/>
      <c r="L1448" s="20" t="n"/>
      <c r="M1448" s="20" t="n"/>
      <c r="N1448" s="20" t="n"/>
      <c r="O1448" s="20" t="n"/>
      <c r="P1448" s="19" t="n"/>
      <c r="Q1448" s="19" t="n"/>
      <c r="R1448" s="20" t="n"/>
      <c r="S1448" s="20" t="n"/>
      <c r="T1448" s="19" t="n"/>
      <c r="U1448" s="19" t="n"/>
      <c r="V1448" s="19" t="n"/>
      <c r="W1448" s="19" t="n"/>
      <c r="X1448" s="19" t="n"/>
      <c r="Y1448" s="19" t="n"/>
      <c r="Z1448" s="21">
        <f>IF(AND($A1448="",$B1448=""),"",IF(OR($E1448="",$H1448="",$H1448="Proposed",$H1448="Not Reported"),0,IF(AND($P1448="Y",$Q1448&lt;&gt;"Y"),0,IF(AND($K1448="Point",N($L1448)&lt;=0),0,IF(AND(N($L1448)&lt;=0,N($N1448)&lt;=0,N($R1448)+N($S1448)&lt;=0),0,1)))))</f>
        <v/>
      </c>
      <c r="AA1448" s="21">
        <f>IF(AND($A1448="",$B1448=""),"",IF($E1448="","Site type missing",IF($H1448="","STATUS missing",IF($H1448="Proposed","STATUS = Proposed",IF($H1448="Not Reported","STATUS = Not Reported",IF(AND($P1448="Y",$Q1448&lt;&gt;"Y"),"UNESCO-MAB Biosphere Reserve",IF(AND($K1448="Point",N($L1448)&lt;=0),"Point without REP_AREA",IF(AND(N($L1448)&lt;=0,N($N1448)&lt;=0,N($R1448)+N($S1448)&lt;=0),"No area information",""))))))))</f>
        <v/>
      </c>
      <c r="AB1448" s="22">
        <f>IF(AND($A1448="",$B1448=""),"",IF($K1448="Point",N($L1448),IF(N($N1448)&gt;0,N($N1448),N($L1448))))</f>
        <v/>
      </c>
      <c r="AC1448" s="22">
        <f>IF(AND($A1448="",$B1448=""),"",MIN(AB1448,IF(N($J1448)=0,0,IF(N($J1448)=2,AB1448,IF(AND($K1448&lt;&gt;"Point",N($O1448)&gt;0),N($O1448),N($M1448))))))</f>
        <v/>
      </c>
      <c r="AD1448" s="22">
        <f>IF(AND($A1448="",$B1448=""),"",MAX(0,AB1448-AC1448))</f>
        <v/>
      </c>
      <c r="AE1448" s="21">
        <f>IF(AND($A1448="",$B1448=""),"",IF(OR($R1448&lt;&gt;"",$S1448&lt;&gt;""),1,0))</f>
        <v/>
      </c>
      <c r="AF1448" s="22">
        <f>IF(AND($A1448="",$B1448=""),"",IF(Z1448=1,IF(AE1448=1,N($R1448),AD1448),0))</f>
        <v/>
      </c>
      <c r="AG1448" s="22">
        <f>IF(AND($A1448="",$B1448=""),"",IF(Z1448=1,IF(AE1448=1,N($S1448),AC1448),0))</f>
        <v/>
      </c>
      <c r="AH1448" s="21">
        <f>IF(AND($A1448="",$B1448=""),"",IF(AND(ISNUMBER($I1448),N($I1448)&gt;0),$I1448,0))</f>
        <v/>
      </c>
      <c r="AI1448" s="23">
        <f>IF(AND(NOT(AND($A1448="",$B1448="")),$K1448="Point",N($L1448)&gt;0),SQRT(N($L1448)/PI()),"")</f>
        <v/>
      </c>
      <c r="AJ1448" s="21">
        <f>IF(AND($A1448="",$B1448=""),"",IFERROR(VLOOKUP($G1448,Lists!$D$4:$E$15,2,FALSE),"Not reported"))</f>
        <v/>
      </c>
      <c r="AK1448" s="21">
        <f>IF(AND($A1448="",$B1448=""),"",IF($X1448&lt;&gt;"",$X1448,IF($T1448&lt;&gt;"Y","Not assessed",IF(AND(ISNUMBER($V1448),Setup!$B$6-$V1448&gt;Setup!$B$26),"Assessment outdated",IF(NOT(ISNUMBER($W1448)),"Assessed – no score",IF($W1448&gt;=Setup!$B$24,"High",IF($W1448&gt;=Setup!$B$25,"Moderate","Low")))))))</f>
        <v/>
      </c>
      <c r="AL1448" s="21">
        <f>IF(AND($A1448="",$B1448=""),"",IF(Z1448=0,"",IF(AND(AE1448=1,N($R1448)&gt;AD1448*1.01+0.001),"Net terrestrial &gt; gross; ","")&amp;IF(AND(AE1448=1,N($S1448)&gt;AC1448*1.01+0.001),"Net marine &gt; gross; ","")&amp;IF(AE1448=0,"No net area – gross used, overlaps may be double-counted; ","")&amp;IF(AH1448=0,"STATUS_YR missing – imputed in time series; ","")&amp;IF(AND(ISNUMBER($I1448),N($I1448)&gt;Setup!$B$6),"STATUS_YR after reporting year; ","")&amp;IF(OR($G1448="",$G1448="Not Reported"),"GOV_TYPE not reported; ","")&amp;IF(AND(N($J1448)=1,$K1448="Point",N($M1448)&lt;=0),"Coastal point without REP_M_AREA – land/sea split unknown; ","")&amp;IF(AND(N($J1448)=0,N($S1448)&gt;0),"MARINE=0 but net marine &gt;0; ","")&amp;IF(AND(N($J1448)=2,N($R1448)&gt;0),"MARINE=2 but net terrestrial &gt;0; ","")&amp;IF($K1448="Point","Buffered point – coverage approximate; ","")))</f>
        <v/>
      </c>
    </row>
    <row r="1449">
      <c r="A1449" s="19" t="n"/>
      <c r="B1449" s="19" t="n"/>
      <c r="C1449" s="19" t="n"/>
      <c r="D1449" s="19" t="n"/>
      <c r="E1449" s="19" t="n"/>
      <c r="F1449" s="19" t="n"/>
      <c r="G1449" s="19" t="n"/>
      <c r="H1449" s="19" t="n"/>
      <c r="I1449" s="19" t="n"/>
      <c r="J1449" s="19" t="n"/>
      <c r="K1449" s="19" t="n"/>
      <c r="L1449" s="20" t="n"/>
      <c r="M1449" s="20" t="n"/>
      <c r="N1449" s="20" t="n"/>
      <c r="O1449" s="20" t="n"/>
      <c r="P1449" s="19" t="n"/>
      <c r="Q1449" s="19" t="n"/>
      <c r="R1449" s="20" t="n"/>
      <c r="S1449" s="20" t="n"/>
      <c r="T1449" s="19" t="n"/>
      <c r="U1449" s="19" t="n"/>
      <c r="V1449" s="19" t="n"/>
      <c r="W1449" s="19" t="n"/>
      <c r="X1449" s="19" t="n"/>
      <c r="Y1449" s="19" t="n"/>
      <c r="Z1449" s="21">
        <f>IF(AND($A1449="",$B1449=""),"",IF(OR($E1449="",$H1449="",$H1449="Proposed",$H1449="Not Reported"),0,IF(AND($P1449="Y",$Q1449&lt;&gt;"Y"),0,IF(AND($K1449="Point",N($L1449)&lt;=0),0,IF(AND(N($L1449)&lt;=0,N($N1449)&lt;=0,N($R1449)+N($S1449)&lt;=0),0,1)))))</f>
        <v/>
      </c>
      <c r="AA1449" s="21">
        <f>IF(AND($A1449="",$B1449=""),"",IF($E1449="","Site type missing",IF($H1449="","STATUS missing",IF($H1449="Proposed","STATUS = Proposed",IF($H1449="Not Reported","STATUS = Not Reported",IF(AND($P1449="Y",$Q1449&lt;&gt;"Y"),"UNESCO-MAB Biosphere Reserve",IF(AND($K1449="Point",N($L1449)&lt;=0),"Point without REP_AREA",IF(AND(N($L1449)&lt;=0,N($N1449)&lt;=0,N($R1449)+N($S1449)&lt;=0),"No area information",""))))))))</f>
        <v/>
      </c>
      <c r="AB1449" s="22">
        <f>IF(AND($A1449="",$B1449=""),"",IF($K1449="Point",N($L1449),IF(N($N1449)&gt;0,N($N1449),N($L1449))))</f>
        <v/>
      </c>
      <c r="AC1449" s="22">
        <f>IF(AND($A1449="",$B1449=""),"",MIN(AB1449,IF(N($J1449)=0,0,IF(N($J1449)=2,AB1449,IF(AND($K1449&lt;&gt;"Point",N($O1449)&gt;0),N($O1449),N($M1449))))))</f>
        <v/>
      </c>
      <c r="AD1449" s="22">
        <f>IF(AND($A1449="",$B1449=""),"",MAX(0,AB1449-AC1449))</f>
        <v/>
      </c>
      <c r="AE1449" s="21">
        <f>IF(AND($A1449="",$B1449=""),"",IF(OR($R1449&lt;&gt;"",$S1449&lt;&gt;""),1,0))</f>
        <v/>
      </c>
      <c r="AF1449" s="22">
        <f>IF(AND($A1449="",$B1449=""),"",IF(Z1449=1,IF(AE1449=1,N($R1449),AD1449),0))</f>
        <v/>
      </c>
      <c r="AG1449" s="22">
        <f>IF(AND($A1449="",$B1449=""),"",IF(Z1449=1,IF(AE1449=1,N($S1449),AC1449),0))</f>
        <v/>
      </c>
      <c r="AH1449" s="21">
        <f>IF(AND($A1449="",$B1449=""),"",IF(AND(ISNUMBER($I1449),N($I1449)&gt;0),$I1449,0))</f>
        <v/>
      </c>
      <c r="AI1449" s="23">
        <f>IF(AND(NOT(AND($A1449="",$B1449="")),$K1449="Point",N($L1449)&gt;0),SQRT(N($L1449)/PI()),"")</f>
        <v/>
      </c>
      <c r="AJ1449" s="21">
        <f>IF(AND($A1449="",$B1449=""),"",IFERROR(VLOOKUP($G1449,Lists!$D$4:$E$15,2,FALSE),"Not reported"))</f>
        <v/>
      </c>
      <c r="AK1449" s="21">
        <f>IF(AND($A1449="",$B1449=""),"",IF($X1449&lt;&gt;"",$X1449,IF($T1449&lt;&gt;"Y","Not assessed",IF(AND(ISNUMBER($V1449),Setup!$B$6-$V1449&gt;Setup!$B$26),"Assessment outdated",IF(NOT(ISNUMBER($W1449)),"Assessed – no score",IF($W1449&gt;=Setup!$B$24,"High",IF($W1449&gt;=Setup!$B$25,"Moderate","Low")))))))</f>
        <v/>
      </c>
      <c r="AL1449" s="21">
        <f>IF(AND($A1449="",$B1449=""),"",IF(Z1449=0,"",IF(AND(AE1449=1,N($R1449)&gt;AD1449*1.01+0.001),"Net terrestrial &gt; gross; ","")&amp;IF(AND(AE1449=1,N($S1449)&gt;AC1449*1.01+0.001),"Net marine &gt; gross; ","")&amp;IF(AE1449=0,"No net area – gross used, overlaps may be double-counted; ","")&amp;IF(AH1449=0,"STATUS_YR missing – imputed in time series; ","")&amp;IF(AND(ISNUMBER($I1449),N($I1449)&gt;Setup!$B$6),"STATUS_YR after reporting year; ","")&amp;IF(OR($G1449="",$G1449="Not Reported"),"GOV_TYPE not reported; ","")&amp;IF(AND(N($J1449)=1,$K1449="Point",N($M1449)&lt;=0),"Coastal point without REP_M_AREA – land/sea split unknown; ","")&amp;IF(AND(N($J1449)=0,N($S1449)&gt;0),"MARINE=0 but net marine &gt;0; ","")&amp;IF(AND(N($J1449)=2,N($R1449)&gt;0),"MARINE=2 but net terrestrial &gt;0; ","")&amp;IF($K1449="Point","Buffered point – coverage approximate; ","")))</f>
        <v/>
      </c>
    </row>
    <row r="1450">
      <c r="A1450" s="19" t="n"/>
      <c r="B1450" s="19" t="n"/>
      <c r="C1450" s="19" t="n"/>
      <c r="D1450" s="19" t="n"/>
      <c r="E1450" s="19" t="n"/>
      <c r="F1450" s="19" t="n"/>
      <c r="G1450" s="19" t="n"/>
      <c r="H1450" s="19" t="n"/>
      <c r="I1450" s="19" t="n"/>
      <c r="J1450" s="19" t="n"/>
      <c r="K1450" s="19" t="n"/>
      <c r="L1450" s="20" t="n"/>
      <c r="M1450" s="20" t="n"/>
      <c r="N1450" s="20" t="n"/>
      <c r="O1450" s="20" t="n"/>
      <c r="P1450" s="19" t="n"/>
      <c r="Q1450" s="19" t="n"/>
      <c r="R1450" s="20" t="n"/>
      <c r="S1450" s="20" t="n"/>
      <c r="T1450" s="19" t="n"/>
      <c r="U1450" s="19" t="n"/>
      <c r="V1450" s="19" t="n"/>
      <c r="W1450" s="19" t="n"/>
      <c r="X1450" s="19" t="n"/>
      <c r="Y1450" s="19" t="n"/>
      <c r="Z1450" s="21">
        <f>IF(AND($A1450="",$B1450=""),"",IF(OR($E1450="",$H1450="",$H1450="Proposed",$H1450="Not Reported"),0,IF(AND($P1450="Y",$Q1450&lt;&gt;"Y"),0,IF(AND($K1450="Point",N($L1450)&lt;=0),0,IF(AND(N($L1450)&lt;=0,N($N1450)&lt;=0,N($R1450)+N($S1450)&lt;=0),0,1)))))</f>
        <v/>
      </c>
      <c r="AA1450" s="21">
        <f>IF(AND($A1450="",$B1450=""),"",IF($E1450="","Site type missing",IF($H1450="","STATUS missing",IF($H1450="Proposed","STATUS = Proposed",IF($H1450="Not Reported","STATUS = Not Reported",IF(AND($P1450="Y",$Q1450&lt;&gt;"Y"),"UNESCO-MAB Biosphere Reserve",IF(AND($K1450="Point",N($L1450)&lt;=0),"Point without REP_AREA",IF(AND(N($L1450)&lt;=0,N($N1450)&lt;=0,N($R1450)+N($S1450)&lt;=0),"No area information",""))))))))</f>
        <v/>
      </c>
      <c r="AB1450" s="22">
        <f>IF(AND($A1450="",$B1450=""),"",IF($K1450="Point",N($L1450),IF(N($N1450)&gt;0,N($N1450),N($L1450))))</f>
        <v/>
      </c>
      <c r="AC1450" s="22">
        <f>IF(AND($A1450="",$B1450=""),"",MIN(AB1450,IF(N($J1450)=0,0,IF(N($J1450)=2,AB1450,IF(AND($K1450&lt;&gt;"Point",N($O1450)&gt;0),N($O1450),N($M1450))))))</f>
        <v/>
      </c>
      <c r="AD1450" s="22">
        <f>IF(AND($A1450="",$B1450=""),"",MAX(0,AB1450-AC1450))</f>
        <v/>
      </c>
      <c r="AE1450" s="21">
        <f>IF(AND($A1450="",$B1450=""),"",IF(OR($R1450&lt;&gt;"",$S1450&lt;&gt;""),1,0))</f>
        <v/>
      </c>
      <c r="AF1450" s="22">
        <f>IF(AND($A1450="",$B1450=""),"",IF(Z1450=1,IF(AE1450=1,N($R1450),AD1450),0))</f>
        <v/>
      </c>
      <c r="AG1450" s="22">
        <f>IF(AND($A1450="",$B1450=""),"",IF(Z1450=1,IF(AE1450=1,N($S1450),AC1450),0))</f>
        <v/>
      </c>
      <c r="AH1450" s="21">
        <f>IF(AND($A1450="",$B1450=""),"",IF(AND(ISNUMBER($I1450),N($I1450)&gt;0),$I1450,0))</f>
        <v/>
      </c>
      <c r="AI1450" s="23">
        <f>IF(AND(NOT(AND($A1450="",$B1450="")),$K1450="Point",N($L1450)&gt;0),SQRT(N($L1450)/PI()),"")</f>
        <v/>
      </c>
      <c r="AJ1450" s="21">
        <f>IF(AND($A1450="",$B1450=""),"",IFERROR(VLOOKUP($G1450,Lists!$D$4:$E$15,2,FALSE),"Not reported"))</f>
        <v/>
      </c>
      <c r="AK1450" s="21">
        <f>IF(AND($A1450="",$B1450=""),"",IF($X1450&lt;&gt;"",$X1450,IF($T1450&lt;&gt;"Y","Not assessed",IF(AND(ISNUMBER($V1450),Setup!$B$6-$V1450&gt;Setup!$B$26),"Assessment outdated",IF(NOT(ISNUMBER($W1450)),"Assessed – no score",IF($W1450&gt;=Setup!$B$24,"High",IF($W1450&gt;=Setup!$B$25,"Moderate","Low")))))))</f>
        <v/>
      </c>
      <c r="AL1450" s="21">
        <f>IF(AND($A1450="",$B1450=""),"",IF(Z1450=0,"",IF(AND(AE1450=1,N($R1450)&gt;AD1450*1.01+0.001),"Net terrestrial &gt; gross; ","")&amp;IF(AND(AE1450=1,N($S1450)&gt;AC1450*1.01+0.001),"Net marine &gt; gross; ","")&amp;IF(AE1450=0,"No net area – gross used, overlaps may be double-counted; ","")&amp;IF(AH1450=0,"STATUS_YR missing – imputed in time series; ","")&amp;IF(AND(ISNUMBER($I1450),N($I1450)&gt;Setup!$B$6),"STATUS_YR after reporting year; ","")&amp;IF(OR($G1450="",$G1450="Not Reported"),"GOV_TYPE not reported; ","")&amp;IF(AND(N($J1450)=1,$K1450="Point",N($M1450)&lt;=0),"Coastal point without REP_M_AREA – land/sea split unknown; ","")&amp;IF(AND(N($J1450)=0,N($S1450)&gt;0),"MARINE=0 but net marine &gt;0; ","")&amp;IF(AND(N($J1450)=2,N($R1450)&gt;0),"MARINE=2 but net terrestrial &gt;0; ","")&amp;IF($K1450="Point","Buffered point – coverage approximate; ","")))</f>
        <v/>
      </c>
    </row>
    <row r="1451">
      <c r="A1451" s="19" t="n"/>
      <c r="B1451" s="19" t="n"/>
      <c r="C1451" s="19" t="n"/>
      <c r="D1451" s="19" t="n"/>
      <c r="E1451" s="19" t="n"/>
      <c r="F1451" s="19" t="n"/>
      <c r="G1451" s="19" t="n"/>
      <c r="H1451" s="19" t="n"/>
      <c r="I1451" s="19" t="n"/>
      <c r="J1451" s="19" t="n"/>
      <c r="K1451" s="19" t="n"/>
      <c r="L1451" s="20" t="n"/>
      <c r="M1451" s="20" t="n"/>
      <c r="N1451" s="20" t="n"/>
      <c r="O1451" s="20" t="n"/>
      <c r="P1451" s="19" t="n"/>
      <c r="Q1451" s="19" t="n"/>
      <c r="R1451" s="20" t="n"/>
      <c r="S1451" s="20" t="n"/>
      <c r="T1451" s="19" t="n"/>
      <c r="U1451" s="19" t="n"/>
      <c r="V1451" s="19" t="n"/>
      <c r="W1451" s="19" t="n"/>
      <c r="X1451" s="19" t="n"/>
      <c r="Y1451" s="19" t="n"/>
      <c r="Z1451" s="21">
        <f>IF(AND($A1451="",$B1451=""),"",IF(OR($E1451="",$H1451="",$H1451="Proposed",$H1451="Not Reported"),0,IF(AND($P1451="Y",$Q1451&lt;&gt;"Y"),0,IF(AND($K1451="Point",N($L1451)&lt;=0),0,IF(AND(N($L1451)&lt;=0,N($N1451)&lt;=0,N($R1451)+N($S1451)&lt;=0),0,1)))))</f>
        <v/>
      </c>
      <c r="AA1451" s="21">
        <f>IF(AND($A1451="",$B1451=""),"",IF($E1451="","Site type missing",IF($H1451="","STATUS missing",IF($H1451="Proposed","STATUS = Proposed",IF($H1451="Not Reported","STATUS = Not Reported",IF(AND($P1451="Y",$Q1451&lt;&gt;"Y"),"UNESCO-MAB Biosphere Reserve",IF(AND($K1451="Point",N($L1451)&lt;=0),"Point without REP_AREA",IF(AND(N($L1451)&lt;=0,N($N1451)&lt;=0,N($R1451)+N($S1451)&lt;=0),"No area information",""))))))))</f>
        <v/>
      </c>
      <c r="AB1451" s="22">
        <f>IF(AND($A1451="",$B1451=""),"",IF($K1451="Point",N($L1451),IF(N($N1451)&gt;0,N($N1451),N($L1451))))</f>
        <v/>
      </c>
      <c r="AC1451" s="22">
        <f>IF(AND($A1451="",$B1451=""),"",MIN(AB1451,IF(N($J1451)=0,0,IF(N($J1451)=2,AB1451,IF(AND($K1451&lt;&gt;"Point",N($O1451)&gt;0),N($O1451),N($M1451))))))</f>
        <v/>
      </c>
      <c r="AD1451" s="22">
        <f>IF(AND($A1451="",$B1451=""),"",MAX(0,AB1451-AC1451))</f>
        <v/>
      </c>
      <c r="AE1451" s="21">
        <f>IF(AND($A1451="",$B1451=""),"",IF(OR($R1451&lt;&gt;"",$S1451&lt;&gt;""),1,0))</f>
        <v/>
      </c>
      <c r="AF1451" s="22">
        <f>IF(AND($A1451="",$B1451=""),"",IF(Z1451=1,IF(AE1451=1,N($R1451),AD1451),0))</f>
        <v/>
      </c>
      <c r="AG1451" s="22">
        <f>IF(AND($A1451="",$B1451=""),"",IF(Z1451=1,IF(AE1451=1,N($S1451),AC1451),0))</f>
        <v/>
      </c>
      <c r="AH1451" s="21">
        <f>IF(AND($A1451="",$B1451=""),"",IF(AND(ISNUMBER($I1451),N($I1451)&gt;0),$I1451,0))</f>
        <v/>
      </c>
      <c r="AI1451" s="23">
        <f>IF(AND(NOT(AND($A1451="",$B1451="")),$K1451="Point",N($L1451)&gt;0),SQRT(N($L1451)/PI()),"")</f>
        <v/>
      </c>
      <c r="AJ1451" s="21">
        <f>IF(AND($A1451="",$B1451=""),"",IFERROR(VLOOKUP($G1451,Lists!$D$4:$E$15,2,FALSE),"Not reported"))</f>
        <v/>
      </c>
      <c r="AK1451" s="21">
        <f>IF(AND($A1451="",$B1451=""),"",IF($X1451&lt;&gt;"",$X1451,IF($T1451&lt;&gt;"Y","Not assessed",IF(AND(ISNUMBER($V1451),Setup!$B$6-$V1451&gt;Setup!$B$26),"Assessment outdated",IF(NOT(ISNUMBER($W1451)),"Assessed – no score",IF($W1451&gt;=Setup!$B$24,"High",IF($W1451&gt;=Setup!$B$25,"Moderate","Low")))))))</f>
        <v/>
      </c>
      <c r="AL1451" s="21">
        <f>IF(AND($A1451="",$B1451=""),"",IF(Z1451=0,"",IF(AND(AE1451=1,N($R1451)&gt;AD1451*1.01+0.001),"Net terrestrial &gt; gross; ","")&amp;IF(AND(AE1451=1,N($S1451)&gt;AC1451*1.01+0.001),"Net marine &gt; gross; ","")&amp;IF(AE1451=0,"No net area – gross used, overlaps may be double-counted; ","")&amp;IF(AH1451=0,"STATUS_YR missing – imputed in time series; ","")&amp;IF(AND(ISNUMBER($I1451),N($I1451)&gt;Setup!$B$6),"STATUS_YR after reporting year; ","")&amp;IF(OR($G1451="",$G1451="Not Reported"),"GOV_TYPE not reported; ","")&amp;IF(AND(N($J1451)=1,$K1451="Point",N($M1451)&lt;=0),"Coastal point without REP_M_AREA – land/sea split unknown; ","")&amp;IF(AND(N($J1451)=0,N($S1451)&gt;0),"MARINE=0 but net marine &gt;0; ","")&amp;IF(AND(N($J1451)=2,N($R1451)&gt;0),"MARINE=2 but net terrestrial &gt;0; ","")&amp;IF($K1451="Point","Buffered point – coverage approximate; ","")))</f>
        <v/>
      </c>
    </row>
    <row r="1452">
      <c r="A1452" s="19" t="n"/>
      <c r="B1452" s="19" t="n"/>
      <c r="C1452" s="19" t="n"/>
      <c r="D1452" s="19" t="n"/>
      <c r="E1452" s="19" t="n"/>
      <c r="F1452" s="19" t="n"/>
      <c r="G1452" s="19" t="n"/>
      <c r="H1452" s="19" t="n"/>
      <c r="I1452" s="19" t="n"/>
      <c r="J1452" s="19" t="n"/>
      <c r="K1452" s="19" t="n"/>
      <c r="L1452" s="20" t="n"/>
      <c r="M1452" s="20" t="n"/>
      <c r="N1452" s="20" t="n"/>
      <c r="O1452" s="20" t="n"/>
      <c r="P1452" s="19" t="n"/>
      <c r="Q1452" s="19" t="n"/>
      <c r="R1452" s="20" t="n"/>
      <c r="S1452" s="20" t="n"/>
      <c r="T1452" s="19" t="n"/>
      <c r="U1452" s="19" t="n"/>
      <c r="V1452" s="19" t="n"/>
      <c r="W1452" s="19" t="n"/>
      <c r="X1452" s="19" t="n"/>
      <c r="Y1452" s="19" t="n"/>
      <c r="Z1452" s="21">
        <f>IF(AND($A1452="",$B1452=""),"",IF(OR($E1452="",$H1452="",$H1452="Proposed",$H1452="Not Reported"),0,IF(AND($P1452="Y",$Q1452&lt;&gt;"Y"),0,IF(AND($K1452="Point",N($L1452)&lt;=0),0,IF(AND(N($L1452)&lt;=0,N($N1452)&lt;=0,N($R1452)+N($S1452)&lt;=0),0,1)))))</f>
        <v/>
      </c>
      <c r="AA1452" s="21">
        <f>IF(AND($A1452="",$B1452=""),"",IF($E1452="","Site type missing",IF($H1452="","STATUS missing",IF($H1452="Proposed","STATUS = Proposed",IF($H1452="Not Reported","STATUS = Not Reported",IF(AND($P1452="Y",$Q1452&lt;&gt;"Y"),"UNESCO-MAB Biosphere Reserve",IF(AND($K1452="Point",N($L1452)&lt;=0),"Point without REP_AREA",IF(AND(N($L1452)&lt;=0,N($N1452)&lt;=0,N($R1452)+N($S1452)&lt;=0),"No area information",""))))))))</f>
        <v/>
      </c>
      <c r="AB1452" s="22">
        <f>IF(AND($A1452="",$B1452=""),"",IF($K1452="Point",N($L1452),IF(N($N1452)&gt;0,N($N1452),N($L1452))))</f>
        <v/>
      </c>
      <c r="AC1452" s="22">
        <f>IF(AND($A1452="",$B1452=""),"",MIN(AB1452,IF(N($J1452)=0,0,IF(N($J1452)=2,AB1452,IF(AND($K1452&lt;&gt;"Point",N($O1452)&gt;0),N($O1452),N($M1452))))))</f>
        <v/>
      </c>
      <c r="AD1452" s="22">
        <f>IF(AND($A1452="",$B1452=""),"",MAX(0,AB1452-AC1452))</f>
        <v/>
      </c>
      <c r="AE1452" s="21">
        <f>IF(AND($A1452="",$B1452=""),"",IF(OR($R1452&lt;&gt;"",$S1452&lt;&gt;""),1,0))</f>
        <v/>
      </c>
      <c r="AF1452" s="22">
        <f>IF(AND($A1452="",$B1452=""),"",IF(Z1452=1,IF(AE1452=1,N($R1452),AD1452),0))</f>
        <v/>
      </c>
      <c r="AG1452" s="22">
        <f>IF(AND($A1452="",$B1452=""),"",IF(Z1452=1,IF(AE1452=1,N($S1452),AC1452),0))</f>
        <v/>
      </c>
      <c r="AH1452" s="21">
        <f>IF(AND($A1452="",$B1452=""),"",IF(AND(ISNUMBER($I1452),N($I1452)&gt;0),$I1452,0))</f>
        <v/>
      </c>
      <c r="AI1452" s="23">
        <f>IF(AND(NOT(AND($A1452="",$B1452="")),$K1452="Point",N($L1452)&gt;0),SQRT(N($L1452)/PI()),"")</f>
        <v/>
      </c>
      <c r="AJ1452" s="21">
        <f>IF(AND($A1452="",$B1452=""),"",IFERROR(VLOOKUP($G1452,Lists!$D$4:$E$15,2,FALSE),"Not reported"))</f>
        <v/>
      </c>
      <c r="AK1452" s="21">
        <f>IF(AND($A1452="",$B1452=""),"",IF($X1452&lt;&gt;"",$X1452,IF($T1452&lt;&gt;"Y","Not assessed",IF(AND(ISNUMBER($V1452),Setup!$B$6-$V1452&gt;Setup!$B$26),"Assessment outdated",IF(NOT(ISNUMBER($W1452)),"Assessed – no score",IF($W1452&gt;=Setup!$B$24,"High",IF($W1452&gt;=Setup!$B$25,"Moderate","Low")))))))</f>
        <v/>
      </c>
      <c r="AL1452" s="21">
        <f>IF(AND($A1452="",$B1452=""),"",IF(Z1452=0,"",IF(AND(AE1452=1,N($R1452)&gt;AD1452*1.01+0.001),"Net terrestrial &gt; gross; ","")&amp;IF(AND(AE1452=1,N($S1452)&gt;AC1452*1.01+0.001),"Net marine &gt; gross; ","")&amp;IF(AE1452=0,"No net area – gross used, overlaps may be double-counted; ","")&amp;IF(AH1452=0,"STATUS_YR missing – imputed in time series; ","")&amp;IF(AND(ISNUMBER($I1452),N($I1452)&gt;Setup!$B$6),"STATUS_YR after reporting year; ","")&amp;IF(OR($G1452="",$G1452="Not Reported"),"GOV_TYPE not reported; ","")&amp;IF(AND(N($J1452)=1,$K1452="Point",N($M1452)&lt;=0),"Coastal point without REP_M_AREA – land/sea split unknown; ","")&amp;IF(AND(N($J1452)=0,N($S1452)&gt;0),"MARINE=0 but net marine &gt;0; ","")&amp;IF(AND(N($J1452)=2,N($R1452)&gt;0),"MARINE=2 but net terrestrial &gt;0; ","")&amp;IF($K1452="Point","Buffered point – coverage approximate; ","")))</f>
        <v/>
      </c>
    </row>
    <row r="1453">
      <c r="A1453" s="19" t="n"/>
      <c r="B1453" s="19" t="n"/>
      <c r="C1453" s="19" t="n"/>
      <c r="D1453" s="19" t="n"/>
      <c r="E1453" s="19" t="n"/>
      <c r="F1453" s="19" t="n"/>
      <c r="G1453" s="19" t="n"/>
      <c r="H1453" s="19" t="n"/>
      <c r="I1453" s="19" t="n"/>
      <c r="J1453" s="19" t="n"/>
      <c r="K1453" s="19" t="n"/>
      <c r="L1453" s="20" t="n"/>
      <c r="M1453" s="20" t="n"/>
      <c r="N1453" s="20" t="n"/>
      <c r="O1453" s="20" t="n"/>
      <c r="P1453" s="19" t="n"/>
      <c r="Q1453" s="19" t="n"/>
      <c r="R1453" s="20" t="n"/>
      <c r="S1453" s="20" t="n"/>
      <c r="T1453" s="19" t="n"/>
      <c r="U1453" s="19" t="n"/>
      <c r="V1453" s="19" t="n"/>
      <c r="W1453" s="19" t="n"/>
      <c r="X1453" s="19" t="n"/>
      <c r="Y1453" s="19" t="n"/>
      <c r="Z1453" s="21">
        <f>IF(AND($A1453="",$B1453=""),"",IF(OR($E1453="",$H1453="",$H1453="Proposed",$H1453="Not Reported"),0,IF(AND($P1453="Y",$Q1453&lt;&gt;"Y"),0,IF(AND($K1453="Point",N($L1453)&lt;=0),0,IF(AND(N($L1453)&lt;=0,N($N1453)&lt;=0,N($R1453)+N($S1453)&lt;=0),0,1)))))</f>
        <v/>
      </c>
      <c r="AA1453" s="21">
        <f>IF(AND($A1453="",$B1453=""),"",IF($E1453="","Site type missing",IF($H1453="","STATUS missing",IF($H1453="Proposed","STATUS = Proposed",IF($H1453="Not Reported","STATUS = Not Reported",IF(AND($P1453="Y",$Q1453&lt;&gt;"Y"),"UNESCO-MAB Biosphere Reserve",IF(AND($K1453="Point",N($L1453)&lt;=0),"Point without REP_AREA",IF(AND(N($L1453)&lt;=0,N($N1453)&lt;=0,N($R1453)+N($S1453)&lt;=0),"No area information",""))))))))</f>
        <v/>
      </c>
      <c r="AB1453" s="22">
        <f>IF(AND($A1453="",$B1453=""),"",IF($K1453="Point",N($L1453),IF(N($N1453)&gt;0,N($N1453),N($L1453))))</f>
        <v/>
      </c>
      <c r="AC1453" s="22">
        <f>IF(AND($A1453="",$B1453=""),"",MIN(AB1453,IF(N($J1453)=0,0,IF(N($J1453)=2,AB1453,IF(AND($K1453&lt;&gt;"Point",N($O1453)&gt;0),N($O1453),N($M1453))))))</f>
        <v/>
      </c>
      <c r="AD1453" s="22">
        <f>IF(AND($A1453="",$B1453=""),"",MAX(0,AB1453-AC1453))</f>
        <v/>
      </c>
      <c r="AE1453" s="21">
        <f>IF(AND($A1453="",$B1453=""),"",IF(OR($R1453&lt;&gt;"",$S1453&lt;&gt;""),1,0))</f>
        <v/>
      </c>
      <c r="AF1453" s="22">
        <f>IF(AND($A1453="",$B1453=""),"",IF(Z1453=1,IF(AE1453=1,N($R1453),AD1453),0))</f>
        <v/>
      </c>
      <c r="AG1453" s="22">
        <f>IF(AND($A1453="",$B1453=""),"",IF(Z1453=1,IF(AE1453=1,N($S1453),AC1453),0))</f>
        <v/>
      </c>
      <c r="AH1453" s="21">
        <f>IF(AND($A1453="",$B1453=""),"",IF(AND(ISNUMBER($I1453),N($I1453)&gt;0),$I1453,0))</f>
        <v/>
      </c>
      <c r="AI1453" s="23">
        <f>IF(AND(NOT(AND($A1453="",$B1453="")),$K1453="Point",N($L1453)&gt;0),SQRT(N($L1453)/PI()),"")</f>
        <v/>
      </c>
      <c r="AJ1453" s="21">
        <f>IF(AND($A1453="",$B1453=""),"",IFERROR(VLOOKUP($G1453,Lists!$D$4:$E$15,2,FALSE),"Not reported"))</f>
        <v/>
      </c>
      <c r="AK1453" s="21">
        <f>IF(AND($A1453="",$B1453=""),"",IF($X1453&lt;&gt;"",$X1453,IF($T1453&lt;&gt;"Y","Not assessed",IF(AND(ISNUMBER($V1453),Setup!$B$6-$V1453&gt;Setup!$B$26),"Assessment outdated",IF(NOT(ISNUMBER($W1453)),"Assessed – no score",IF($W1453&gt;=Setup!$B$24,"High",IF($W1453&gt;=Setup!$B$25,"Moderate","Low")))))))</f>
        <v/>
      </c>
      <c r="AL1453" s="21">
        <f>IF(AND($A1453="",$B1453=""),"",IF(Z1453=0,"",IF(AND(AE1453=1,N($R1453)&gt;AD1453*1.01+0.001),"Net terrestrial &gt; gross; ","")&amp;IF(AND(AE1453=1,N($S1453)&gt;AC1453*1.01+0.001),"Net marine &gt; gross; ","")&amp;IF(AE1453=0,"No net area – gross used, overlaps may be double-counted; ","")&amp;IF(AH1453=0,"STATUS_YR missing – imputed in time series; ","")&amp;IF(AND(ISNUMBER($I1453),N($I1453)&gt;Setup!$B$6),"STATUS_YR after reporting year; ","")&amp;IF(OR($G1453="",$G1453="Not Reported"),"GOV_TYPE not reported; ","")&amp;IF(AND(N($J1453)=1,$K1453="Point",N($M1453)&lt;=0),"Coastal point without REP_M_AREA – land/sea split unknown; ","")&amp;IF(AND(N($J1453)=0,N($S1453)&gt;0),"MARINE=0 but net marine &gt;0; ","")&amp;IF(AND(N($J1453)=2,N($R1453)&gt;0),"MARINE=2 but net terrestrial &gt;0; ","")&amp;IF($K1453="Point","Buffered point – coverage approximate; ","")))</f>
        <v/>
      </c>
    </row>
    <row r="1454">
      <c r="A1454" s="19" t="n"/>
      <c r="B1454" s="19" t="n"/>
      <c r="C1454" s="19" t="n"/>
      <c r="D1454" s="19" t="n"/>
      <c r="E1454" s="19" t="n"/>
      <c r="F1454" s="19" t="n"/>
      <c r="G1454" s="19" t="n"/>
      <c r="H1454" s="19" t="n"/>
      <c r="I1454" s="19" t="n"/>
      <c r="J1454" s="19" t="n"/>
      <c r="K1454" s="19" t="n"/>
      <c r="L1454" s="20" t="n"/>
      <c r="M1454" s="20" t="n"/>
      <c r="N1454" s="20" t="n"/>
      <c r="O1454" s="20" t="n"/>
      <c r="P1454" s="19" t="n"/>
      <c r="Q1454" s="19" t="n"/>
      <c r="R1454" s="20" t="n"/>
      <c r="S1454" s="20" t="n"/>
      <c r="T1454" s="19" t="n"/>
      <c r="U1454" s="19" t="n"/>
      <c r="V1454" s="19" t="n"/>
      <c r="W1454" s="19" t="n"/>
      <c r="X1454" s="19" t="n"/>
      <c r="Y1454" s="19" t="n"/>
      <c r="Z1454" s="21">
        <f>IF(AND($A1454="",$B1454=""),"",IF(OR($E1454="",$H1454="",$H1454="Proposed",$H1454="Not Reported"),0,IF(AND($P1454="Y",$Q1454&lt;&gt;"Y"),0,IF(AND($K1454="Point",N($L1454)&lt;=0),0,IF(AND(N($L1454)&lt;=0,N($N1454)&lt;=0,N($R1454)+N($S1454)&lt;=0),0,1)))))</f>
        <v/>
      </c>
      <c r="AA1454" s="21">
        <f>IF(AND($A1454="",$B1454=""),"",IF($E1454="","Site type missing",IF($H1454="","STATUS missing",IF($H1454="Proposed","STATUS = Proposed",IF($H1454="Not Reported","STATUS = Not Reported",IF(AND($P1454="Y",$Q1454&lt;&gt;"Y"),"UNESCO-MAB Biosphere Reserve",IF(AND($K1454="Point",N($L1454)&lt;=0),"Point without REP_AREA",IF(AND(N($L1454)&lt;=0,N($N1454)&lt;=0,N($R1454)+N($S1454)&lt;=0),"No area information",""))))))))</f>
        <v/>
      </c>
      <c r="AB1454" s="22">
        <f>IF(AND($A1454="",$B1454=""),"",IF($K1454="Point",N($L1454),IF(N($N1454)&gt;0,N($N1454),N($L1454))))</f>
        <v/>
      </c>
      <c r="AC1454" s="22">
        <f>IF(AND($A1454="",$B1454=""),"",MIN(AB1454,IF(N($J1454)=0,0,IF(N($J1454)=2,AB1454,IF(AND($K1454&lt;&gt;"Point",N($O1454)&gt;0),N($O1454),N($M1454))))))</f>
        <v/>
      </c>
      <c r="AD1454" s="22">
        <f>IF(AND($A1454="",$B1454=""),"",MAX(0,AB1454-AC1454))</f>
        <v/>
      </c>
      <c r="AE1454" s="21">
        <f>IF(AND($A1454="",$B1454=""),"",IF(OR($R1454&lt;&gt;"",$S1454&lt;&gt;""),1,0))</f>
        <v/>
      </c>
      <c r="AF1454" s="22">
        <f>IF(AND($A1454="",$B1454=""),"",IF(Z1454=1,IF(AE1454=1,N($R1454),AD1454),0))</f>
        <v/>
      </c>
      <c r="AG1454" s="22">
        <f>IF(AND($A1454="",$B1454=""),"",IF(Z1454=1,IF(AE1454=1,N($S1454),AC1454),0))</f>
        <v/>
      </c>
      <c r="AH1454" s="21">
        <f>IF(AND($A1454="",$B1454=""),"",IF(AND(ISNUMBER($I1454),N($I1454)&gt;0),$I1454,0))</f>
        <v/>
      </c>
      <c r="AI1454" s="23">
        <f>IF(AND(NOT(AND($A1454="",$B1454="")),$K1454="Point",N($L1454)&gt;0),SQRT(N($L1454)/PI()),"")</f>
        <v/>
      </c>
      <c r="AJ1454" s="21">
        <f>IF(AND($A1454="",$B1454=""),"",IFERROR(VLOOKUP($G1454,Lists!$D$4:$E$15,2,FALSE),"Not reported"))</f>
        <v/>
      </c>
      <c r="AK1454" s="21">
        <f>IF(AND($A1454="",$B1454=""),"",IF($X1454&lt;&gt;"",$X1454,IF($T1454&lt;&gt;"Y","Not assessed",IF(AND(ISNUMBER($V1454),Setup!$B$6-$V1454&gt;Setup!$B$26),"Assessment outdated",IF(NOT(ISNUMBER($W1454)),"Assessed – no score",IF($W1454&gt;=Setup!$B$24,"High",IF($W1454&gt;=Setup!$B$25,"Moderate","Low")))))))</f>
        <v/>
      </c>
      <c r="AL1454" s="21">
        <f>IF(AND($A1454="",$B1454=""),"",IF(Z1454=0,"",IF(AND(AE1454=1,N($R1454)&gt;AD1454*1.01+0.001),"Net terrestrial &gt; gross; ","")&amp;IF(AND(AE1454=1,N($S1454)&gt;AC1454*1.01+0.001),"Net marine &gt; gross; ","")&amp;IF(AE1454=0,"No net area – gross used, overlaps may be double-counted; ","")&amp;IF(AH1454=0,"STATUS_YR missing – imputed in time series; ","")&amp;IF(AND(ISNUMBER($I1454),N($I1454)&gt;Setup!$B$6),"STATUS_YR after reporting year; ","")&amp;IF(OR($G1454="",$G1454="Not Reported"),"GOV_TYPE not reported; ","")&amp;IF(AND(N($J1454)=1,$K1454="Point",N($M1454)&lt;=0),"Coastal point without REP_M_AREA – land/sea split unknown; ","")&amp;IF(AND(N($J1454)=0,N($S1454)&gt;0),"MARINE=0 but net marine &gt;0; ","")&amp;IF(AND(N($J1454)=2,N($R1454)&gt;0),"MARINE=2 but net terrestrial &gt;0; ","")&amp;IF($K1454="Point","Buffered point – coverage approximate; ","")))</f>
        <v/>
      </c>
    </row>
    <row r="1455">
      <c r="A1455" s="19" t="n"/>
      <c r="B1455" s="19" t="n"/>
      <c r="C1455" s="19" t="n"/>
      <c r="D1455" s="19" t="n"/>
      <c r="E1455" s="19" t="n"/>
      <c r="F1455" s="19" t="n"/>
      <c r="G1455" s="19" t="n"/>
      <c r="H1455" s="19" t="n"/>
      <c r="I1455" s="19" t="n"/>
      <c r="J1455" s="19" t="n"/>
      <c r="K1455" s="19" t="n"/>
      <c r="L1455" s="20" t="n"/>
      <c r="M1455" s="20" t="n"/>
      <c r="N1455" s="20" t="n"/>
      <c r="O1455" s="20" t="n"/>
      <c r="P1455" s="19" t="n"/>
      <c r="Q1455" s="19" t="n"/>
      <c r="R1455" s="20" t="n"/>
      <c r="S1455" s="20" t="n"/>
      <c r="T1455" s="19" t="n"/>
      <c r="U1455" s="19" t="n"/>
      <c r="V1455" s="19" t="n"/>
      <c r="W1455" s="19" t="n"/>
      <c r="X1455" s="19" t="n"/>
      <c r="Y1455" s="19" t="n"/>
      <c r="Z1455" s="21">
        <f>IF(AND($A1455="",$B1455=""),"",IF(OR($E1455="",$H1455="",$H1455="Proposed",$H1455="Not Reported"),0,IF(AND($P1455="Y",$Q1455&lt;&gt;"Y"),0,IF(AND($K1455="Point",N($L1455)&lt;=0),0,IF(AND(N($L1455)&lt;=0,N($N1455)&lt;=0,N($R1455)+N($S1455)&lt;=0),0,1)))))</f>
        <v/>
      </c>
      <c r="AA1455" s="21">
        <f>IF(AND($A1455="",$B1455=""),"",IF($E1455="","Site type missing",IF($H1455="","STATUS missing",IF($H1455="Proposed","STATUS = Proposed",IF($H1455="Not Reported","STATUS = Not Reported",IF(AND($P1455="Y",$Q1455&lt;&gt;"Y"),"UNESCO-MAB Biosphere Reserve",IF(AND($K1455="Point",N($L1455)&lt;=0),"Point without REP_AREA",IF(AND(N($L1455)&lt;=0,N($N1455)&lt;=0,N($R1455)+N($S1455)&lt;=0),"No area information",""))))))))</f>
        <v/>
      </c>
      <c r="AB1455" s="22">
        <f>IF(AND($A1455="",$B1455=""),"",IF($K1455="Point",N($L1455),IF(N($N1455)&gt;0,N($N1455),N($L1455))))</f>
        <v/>
      </c>
      <c r="AC1455" s="22">
        <f>IF(AND($A1455="",$B1455=""),"",MIN(AB1455,IF(N($J1455)=0,0,IF(N($J1455)=2,AB1455,IF(AND($K1455&lt;&gt;"Point",N($O1455)&gt;0),N($O1455),N($M1455))))))</f>
        <v/>
      </c>
      <c r="AD1455" s="22">
        <f>IF(AND($A1455="",$B1455=""),"",MAX(0,AB1455-AC1455))</f>
        <v/>
      </c>
      <c r="AE1455" s="21">
        <f>IF(AND($A1455="",$B1455=""),"",IF(OR($R1455&lt;&gt;"",$S1455&lt;&gt;""),1,0))</f>
        <v/>
      </c>
      <c r="AF1455" s="22">
        <f>IF(AND($A1455="",$B1455=""),"",IF(Z1455=1,IF(AE1455=1,N($R1455),AD1455),0))</f>
        <v/>
      </c>
      <c r="AG1455" s="22">
        <f>IF(AND($A1455="",$B1455=""),"",IF(Z1455=1,IF(AE1455=1,N($S1455),AC1455),0))</f>
        <v/>
      </c>
      <c r="AH1455" s="21">
        <f>IF(AND($A1455="",$B1455=""),"",IF(AND(ISNUMBER($I1455),N($I1455)&gt;0),$I1455,0))</f>
        <v/>
      </c>
      <c r="AI1455" s="23">
        <f>IF(AND(NOT(AND($A1455="",$B1455="")),$K1455="Point",N($L1455)&gt;0),SQRT(N($L1455)/PI()),"")</f>
        <v/>
      </c>
      <c r="AJ1455" s="21">
        <f>IF(AND($A1455="",$B1455=""),"",IFERROR(VLOOKUP($G1455,Lists!$D$4:$E$15,2,FALSE),"Not reported"))</f>
        <v/>
      </c>
      <c r="AK1455" s="21">
        <f>IF(AND($A1455="",$B1455=""),"",IF($X1455&lt;&gt;"",$X1455,IF($T1455&lt;&gt;"Y","Not assessed",IF(AND(ISNUMBER($V1455),Setup!$B$6-$V1455&gt;Setup!$B$26),"Assessment outdated",IF(NOT(ISNUMBER($W1455)),"Assessed – no score",IF($W1455&gt;=Setup!$B$24,"High",IF($W1455&gt;=Setup!$B$25,"Moderate","Low")))))))</f>
        <v/>
      </c>
      <c r="AL1455" s="21">
        <f>IF(AND($A1455="",$B1455=""),"",IF(Z1455=0,"",IF(AND(AE1455=1,N($R1455)&gt;AD1455*1.01+0.001),"Net terrestrial &gt; gross; ","")&amp;IF(AND(AE1455=1,N($S1455)&gt;AC1455*1.01+0.001),"Net marine &gt; gross; ","")&amp;IF(AE1455=0,"No net area – gross used, overlaps may be double-counted; ","")&amp;IF(AH1455=0,"STATUS_YR missing – imputed in time series; ","")&amp;IF(AND(ISNUMBER($I1455),N($I1455)&gt;Setup!$B$6),"STATUS_YR after reporting year; ","")&amp;IF(OR($G1455="",$G1455="Not Reported"),"GOV_TYPE not reported; ","")&amp;IF(AND(N($J1455)=1,$K1455="Point",N($M1455)&lt;=0),"Coastal point without REP_M_AREA – land/sea split unknown; ","")&amp;IF(AND(N($J1455)=0,N($S1455)&gt;0),"MARINE=0 but net marine &gt;0; ","")&amp;IF(AND(N($J1455)=2,N($R1455)&gt;0),"MARINE=2 but net terrestrial &gt;0; ","")&amp;IF($K1455="Point","Buffered point – coverage approximate; ","")))</f>
        <v/>
      </c>
    </row>
    <row r="1456">
      <c r="A1456" s="19" t="n"/>
      <c r="B1456" s="19" t="n"/>
      <c r="C1456" s="19" t="n"/>
      <c r="D1456" s="19" t="n"/>
      <c r="E1456" s="19" t="n"/>
      <c r="F1456" s="19" t="n"/>
      <c r="G1456" s="19" t="n"/>
      <c r="H1456" s="19" t="n"/>
      <c r="I1456" s="19" t="n"/>
      <c r="J1456" s="19" t="n"/>
      <c r="K1456" s="19" t="n"/>
      <c r="L1456" s="20" t="n"/>
      <c r="M1456" s="20" t="n"/>
      <c r="N1456" s="20" t="n"/>
      <c r="O1456" s="20" t="n"/>
      <c r="P1456" s="19" t="n"/>
      <c r="Q1456" s="19" t="n"/>
      <c r="R1456" s="20" t="n"/>
      <c r="S1456" s="20" t="n"/>
      <c r="T1456" s="19" t="n"/>
      <c r="U1456" s="19" t="n"/>
      <c r="V1456" s="19" t="n"/>
      <c r="W1456" s="19" t="n"/>
      <c r="X1456" s="19" t="n"/>
      <c r="Y1456" s="19" t="n"/>
      <c r="Z1456" s="21">
        <f>IF(AND($A1456="",$B1456=""),"",IF(OR($E1456="",$H1456="",$H1456="Proposed",$H1456="Not Reported"),0,IF(AND($P1456="Y",$Q1456&lt;&gt;"Y"),0,IF(AND($K1456="Point",N($L1456)&lt;=0),0,IF(AND(N($L1456)&lt;=0,N($N1456)&lt;=0,N($R1456)+N($S1456)&lt;=0),0,1)))))</f>
        <v/>
      </c>
      <c r="AA1456" s="21">
        <f>IF(AND($A1456="",$B1456=""),"",IF($E1456="","Site type missing",IF($H1456="","STATUS missing",IF($H1456="Proposed","STATUS = Proposed",IF($H1456="Not Reported","STATUS = Not Reported",IF(AND($P1456="Y",$Q1456&lt;&gt;"Y"),"UNESCO-MAB Biosphere Reserve",IF(AND($K1456="Point",N($L1456)&lt;=0),"Point without REP_AREA",IF(AND(N($L1456)&lt;=0,N($N1456)&lt;=0,N($R1456)+N($S1456)&lt;=0),"No area information",""))))))))</f>
        <v/>
      </c>
      <c r="AB1456" s="22">
        <f>IF(AND($A1456="",$B1456=""),"",IF($K1456="Point",N($L1456),IF(N($N1456)&gt;0,N($N1456),N($L1456))))</f>
        <v/>
      </c>
      <c r="AC1456" s="22">
        <f>IF(AND($A1456="",$B1456=""),"",MIN(AB1456,IF(N($J1456)=0,0,IF(N($J1456)=2,AB1456,IF(AND($K1456&lt;&gt;"Point",N($O1456)&gt;0),N($O1456),N($M1456))))))</f>
        <v/>
      </c>
      <c r="AD1456" s="22">
        <f>IF(AND($A1456="",$B1456=""),"",MAX(0,AB1456-AC1456))</f>
        <v/>
      </c>
      <c r="AE1456" s="21">
        <f>IF(AND($A1456="",$B1456=""),"",IF(OR($R1456&lt;&gt;"",$S1456&lt;&gt;""),1,0))</f>
        <v/>
      </c>
      <c r="AF1456" s="22">
        <f>IF(AND($A1456="",$B1456=""),"",IF(Z1456=1,IF(AE1456=1,N($R1456),AD1456),0))</f>
        <v/>
      </c>
      <c r="AG1456" s="22">
        <f>IF(AND($A1456="",$B1456=""),"",IF(Z1456=1,IF(AE1456=1,N($S1456),AC1456),0))</f>
        <v/>
      </c>
      <c r="AH1456" s="21">
        <f>IF(AND($A1456="",$B1456=""),"",IF(AND(ISNUMBER($I1456),N($I1456)&gt;0),$I1456,0))</f>
        <v/>
      </c>
      <c r="AI1456" s="23">
        <f>IF(AND(NOT(AND($A1456="",$B1456="")),$K1456="Point",N($L1456)&gt;0),SQRT(N($L1456)/PI()),"")</f>
        <v/>
      </c>
      <c r="AJ1456" s="21">
        <f>IF(AND($A1456="",$B1456=""),"",IFERROR(VLOOKUP($G1456,Lists!$D$4:$E$15,2,FALSE),"Not reported"))</f>
        <v/>
      </c>
      <c r="AK1456" s="21">
        <f>IF(AND($A1456="",$B1456=""),"",IF($X1456&lt;&gt;"",$X1456,IF($T1456&lt;&gt;"Y","Not assessed",IF(AND(ISNUMBER($V1456),Setup!$B$6-$V1456&gt;Setup!$B$26),"Assessment outdated",IF(NOT(ISNUMBER($W1456)),"Assessed – no score",IF($W1456&gt;=Setup!$B$24,"High",IF($W1456&gt;=Setup!$B$25,"Moderate","Low")))))))</f>
        <v/>
      </c>
      <c r="AL1456" s="21">
        <f>IF(AND($A1456="",$B1456=""),"",IF(Z1456=0,"",IF(AND(AE1456=1,N($R1456)&gt;AD1456*1.01+0.001),"Net terrestrial &gt; gross; ","")&amp;IF(AND(AE1456=1,N($S1456)&gt;AC1456*1.01+0.001),"Net marine &gt; gross; ","")&amp;IF(AE1456=0,"No net area – gross used, overlaps may be double-counted; ","")&amp;IF(AH1456=0,"STATUS_YR missing – imputed in time series; ","")&amp;IF(AND(ISNUMBER($I1456),N($I1456)&gt;Setup!$B$6),"STATUS_YR after reporting year; ","")&amp;IF(OR($G1456="",$G1456="Not Reported"),"GOV_TYPE not reported; ","")&amp;IF(AND(N($J1456)=1,$K1456="Point",N($M1456)&lt;=0),"Coastal point without REP_M_AREA – land/sea split unknown; ","")&amp;IF(AND(N($J1456)=0,N($S1456)&gt;0),"MARINE=0 but net marine &gt;0; ","")&amp;IF(AND(N($J1456)=2,N($R1456)&gt;0),"MARINE=2 but net terrestrial &gt;0; ","")&amp;IF($K1456="Point","Buffered point – coverage approximate; ","")))</f>
        <v/>
      </c>
    </row>
    <row r="1457">
      <c r="A1457" s="19" t="n"/>
      <c r="B1457" s="19" t="n"/>
      <c r="C1457" s="19" t="n"/>
      <c r="D1457" s="19" t="n"/>
      <c r="E1457" s="19" t="n"/>
      <c r="F1457" s="19" t="n"/>
      <c r="G1457" s="19" t="n"/>
      <c r="H1457" s="19" t="n"/>
      <c r="I1457" s="19" t="n"/>
      <c r="J1457" s="19" t="n"/>
      <c r="K1457" s="19" t="n"/>
      <c r="L1457" s="20" t="n"/>
      <c r="M1457" s="20" t="n"/>
      <c r="N1457" s="20" t="n"/>
      <c r="O1457" s="20" t="n"/>
      <c r="P1457" s="19" t="n"/>
      <c r="Q1457" s="19" t="n"/>
      <c r="R1457" s="20" t="n"/>
      <c r="S1457" s="20" t="n"/>
      <c r="T1457" s="19" t="n"/>
      <c r="U1457" s="19" t="n"/>
      <c r="V1457" s="19" t="n"/>
      <c r="W1457" s="19" t="n"/>
      <c r="X1457" s="19" t="n"/>
      <c r="Y1457" s="19" t="n"/>
      <c r="Z1457" s="21">
        <f>IF(AND($A1457="",$B1457=""),"",IF(OR($E1457="",$H1457="",$H1457="Proposed",$H1457="Not Reported"),0,IF(AND($P1457="Y",$Q1457&lt;&gt;"Y"),0,IF(AND($K1457="Point",N($L1457)&lt;=0),0,IF(AND(N($L1457)&lt;=0,N($N1457)&lt;=0,N($R1457)+N($S1457)&lt;=0),0,1)))))</f>
        <v/>
      </c>
      <c r="AA1457" s="21">
        <f>IF(AND($A1457="",$B1457=""),"",IF($E1457="","Site type missing",IF($H1457="","STATUS missing",IF($H1457="Proposed","STATUS = Proposed",IF($H1457="Not Reported","STATUS = Not Reported",IF(AND($P1457="Y",$Q1457&lt;&gt;"Y"),"UNESCO-MAB Biosphere Reserve",IF(AND($K1457="Point",N($L1457)&lt;=0),"Point without REP_AREA",IF(AND(N($L1457)&lt;=0,N($N1457)&lt;=0,N($R1457)+N($S1457)&lt;=0),"No area information",""))))))))</f>
        <v/>
      </c>
      <c r="AB1457" s="22">
        <f>IF(AND($A1457="",$B1457=""),"",IF($K1457="Point",N($L1457),IF(N($N1457)&gt;0,N($N1457),N($L1457))))</f>
        <v/>
      </c>
      <c r="AC1457" s="22">
        <f>IF(AND($A1457="",$B1457=""),"",MIN(AB1457,IF(N($J1457)=0,0,IF(N($J1457)=2,AB1457,IF(AND($K1457&lt;&gt;"Point",N($O1457)&gt;0),N($O1457),N($M1457))))))</f>
        <v/>
      </c>
      <c r="AD1457" s="22">
        <f>IF(AND($A1457="",$B1457=""),"",MAX(0,AB1457-AC1457))</f>
        <v/>
      </c>
      <c r="AE1457" s="21">
        <f>IF(AND($A1457="",$B1457=""),"",IF(OR($R1457&lt;&gt;"",$S1457&lt;&gt;""),1,0))</f>
        <v/>
      </c>
      <c r="AF1457" s="22">
        <f>IF(AND($A1457="",$B1457=""),"",IF(Z1457=1,IF(AE1457=1,N($R1457),AD1457),0))</f>
        <v/>
      </c>
      <c r="AG1457" s="22">
        <f>IF(AND($A1457="",$B1457=""),"",IF(Z1457=1,IF(AE1457=1,N($S1457),AC1457),0))</f>
        <v/>
      </c>
      <c r="AH1457" s="21">
        <f>IF(AND($A1457="",$B1457=""),"",IF(AND(ISNUMBER($I1457),N($I1457)&gt;0),$I1457,0))</f>
        <v/>
      </c>
      <c r="AI1457" s="23">
        <f>IF(AND(NOT(AND($A1457="",$B1457="")),$K1457="Point",N($L1457)&gt;0),SQRT(N($L1457)/PI()),"")</f>
        <v/>
      </c>
      <c r="AJ1457" s="21">
        <f>IF(AND($A1457="",$B1457=""),"",IFERROR(VLOOKUP($G1457,Lists!$D$4:$E$15,2,FALSE),"Not reported"))</f>
        <v/>
      </c>
      <c r="AK1457" s="21">
        <f>IF(AND($A1457="",$B1457=""),"",IF($X1457&lt;&gt;"",$X1457,IF($T1457&lt;&gt;"Y","Not assessed",IF(AND(ISNUMBER($V1457),Setup!$B$6-$V1457&gt;Setup!$B$26),"Assessment outdated",IF(NOT(ISNUMBER($W1457)),"Assessed – no score",IF($W1457&gt;=Setup!$B$24,"High",IF($W1457&gt;=Setup!$B$25,"Moderate","Low")))))))</f>
        <v/>
      </c>
      <c r="AL1457" s="21">
        <f>IF(AND($A1457="",$B1457=""),"",IF(Z1457=0,"",IF(AND(AE1457=1,N($R1457)&gt;AD1457*1.01+0.001),"Net terrestrial &gt; gross; ","")&amp;IF(AND(AE1457=1,N($S1457)&gt;AC1457*1.01+0.001),"Net marine &gt; gross; ","")&amp;IF(AE1457=0,"No net area – gross used, overlaps may be double-counted; ","")&amp;IF(AH1457=0,"STATUS_YR missing – imputed in time series; ","")&amp;IF(AND(ISNUMBER($I1457),N($I1457)&gt;Setup!$B$6),"STATUS_YR after reporting year; ","")&amp;IF(OR($G1457="",$G1457="Not Reported"),"GOV_TYPE not reported; ","")&amp;IF(AND(N($J1457)=1,$K1457="Point",N($M1457)&lt;=0),"Coastal point without REP_M_AREA – land/sea split unknown; ","")&amp;IF(AND(N($J1457)=0,N($S1457)&gt;0),"MARINE=0 but net marine &gt;0; ","")&amp;IF(AND(N($J1457)=2,N($R1457)&gt;0),"MARINE=2 but net terrestrial &gt;0; ","")&amp;IF($K1457="Point","Buffered point – coverage approximate; ","")))</f>
        <v/>
      </c>
    </row>
    <row r="1458">
      <c r="A1458" s="19" t="n"/>
      <c r="B1458" s="19" t="n"/>
      <c r="C1458" s="19" t="n"/>
      <c r="D1458" s="19" t="n"/>
      <c r="E1458" s="19" t="n"/>
      <c r="F1458" s="19" t="n"/>
      <c r="G1458" s="19" t="n"/>
      <c r="H1458" s="19" t="n"/>
      <c r="I1458" s="19" t="n"/>
      <c r="J1458" s="19" t="n"/>
      <c r="K1458" s="19" t="n"/>
      <c r="L1458" s="20" t="n"/>
      <c r="M1458" s="20" t="n"/>
      <c r="N1458" s="20" t="n"/>
      <c r="O1458" s="20" t="n"/>
      <c r="P1458" s="19" t="n"/>
      <c r="Q1458" s="19" t="n"/>
      <c r="R1458" s="20" t="n"/>
      <c r="S1458" s="20" t="n"/>
      <c r="T1458" s="19" t="n"/>
      <c r="U1458" s="19" t="n"/>
      <c r="V1458" s="19" t="n"/>
      <c r="W1458" s="19" t="n"/>
      <c r="X1458" s="19" t="n"/>
      <c r="Y1458" s="19" t="n"/>
      <c r="Z1458" s="21">
        <f>IF(AND($A1458="",$B1458=""),"",IF(OR($E1458="",$H1458="",$H1458="Proposed",$H1458="Not Reported"),0,IF(AND($P1458="Y",$Q1458&lt;&gt;"Y"),0,IF(AND($K1458="Point",N($L1458)&lt;=0),0,IF(AND(N($L1458)&lt;=0,N($N1458)&lt;=0,N($R1458)+N($S1458)&lt;=0),0,1)))))</f>
        <v/>
      </c>
      <c r="AA1458" s="21">
        <f>IF(AND($A1458="",$B1458=""),"",IF($E1458="","Site type missing",IF($H1458="","STATUS missing",IF($H1458="Proposed","STATUS = Proposed",IF($H1458="Not Reported","STATUS = Not Reported",IF(AND($P1458="Y",$Q1458&lt;&gt;"Y"),"UNESCO-MAB Biosphere Reserve",IF(AND($K1458="Point",N($L1458)&lt;=0),"Point without REP_AREA",IF(AND(N($L1458)&lt;=0,N($N1458)&lt;=0,N($R1458)+N($S1458)&lt;=0),"No area information",""))))))))</f>
        <v/>
      </c>
      <c r="AB1458" s="22">
        <f>IF(AND($A1458="",$B1458=""),"",IF($K1458="Point",N($L1458),IF(N($N1458)&gt;0,N($N1458),N($L1458))))</f>
        <v/>
      </c>
      <c r="AC1458" s="22">
        <f>IF(AND($A1458="",$B1458=""),"",MIN(AB1458,IF(N($J1458)=0,0,IF(N($J1458)=2,AB1458,IF(AND($K1458&lt;&gt;"Point",N($O1458)&gt;0),N($O1458),N($M1458))))))</f>
        <v/>
      </c>
      <c r="AD1458" s="22">
        <f>IF(AND($A1458="",$B1458=""),"",MAX(0,AB1458-AC1458))</f>
        <v/>
      </c>
      <c r="AE1458" s="21">
        <f>IF(AND($A1458="",$B1458=""),"",IF(OR($R1458&lt;&gt;"",$S1458&lt;&gt;""),1,0))</f>
        <v/>
      </c>
      <c r="AF1458" s="22">
        <f>IF(AND($A1458="",$B1458=""),"",IF(Z1458=1,IF(AE1458=1,N($R1458),AD1458),0))</f>
        <v/>
      </c>
      <c r="AG1458" s="22">
        <f>IF(AND($A1458="",$B1458=""),"",IF(Z1458=1,IF(AE1458=1,N($S1458),AC1458),0))</f>
        <v/>
      </c>
      <c r="AH1458" s="21">
        <f>IF(AND($A1458="",$B1458=""),"",IF(AND(ISNUMBER($I1458),N($I1458)&gt;0),$I1458,0))</f>
        <v/>
      </c>
      <c r="AI1458" s="23">
        <f>IF(AND(NOT(AND($A1458="",$B1458="")),$K1458="Point",N($L1458)&gt;0),SQRT(N($L1458)/PI()),"")</f>
        <v/>
      </c>
      <c r="AJ1458" s="21">
        <f>IF(AND($A1458="",$B1458=""),"",IFERROR(VLOOKUP($G1458,Lists!$D$4:$E$15,2,FALSE),"Not reported"))</f>
        <v/>
      </c>
      <c r="AK1458" s="21">
        <f>IF(AND($A1458="",$B1458=""),"",IF($X1458&lt;&gt;"",$X1458,IF($T1458&lt;&gt;"Y","Not assessed",IF(AND(ISNUMBER($V1458),Setup!$B$6-$V1458&gt;Setup!$B$26),"Assessment outdated",IF(NOT(ISNUMBER($W1458)),"Assessed – no score",IF($W1458&gt;=Setup!$B$24,"High",IF($W1458&gt;=Setup!$B$25,"Moderate","Low")))))))</f>
        <v/>
      </c>
      <c r="AL1458" s="21">
        <f>IF(AND($A1458="",$B1458=""),"",IF(Z1458=0,"",IF(AND(AE1458=1,N($R1458)&gt;AD1458*1.01+0.001),"Net terrestrial &gt; gross; ","")&amp;IF(AND(AE1458=1,N($S1458)&gt;AC1458*1.01+0.001),"Net marine &gt; gross; ","")&amp;IF(AE1458=0,"No net area – gross used, overlaps may be double-counted; ","")&amp;IF(AH1458=0,"STATUS_YR missing – imputed in time series; ","")&amp;IF(AND(ISNUMBER($I1458),N($I1458)&gt;Setup!$B$6),"STATUS_YR after reporting year; ","")&amp;IF(OR($G1458="",$G1458="Not Reported"),"GOV_TYPE not reported; ","")&amp;IF(AND(N($J1458)=1,$K1458="Point",N($M1458)&lt;=0),"Coastal point without REP_M_AREA – land/sea split unknown; ","")&amp;IF(AND(N($J1458)=0,N($S1458)&gt;0),"MARINE=0 but net marine &gt;0; ","")&amp;IF(AND(N($J1458)=2,N($R1458)&gt;0),"MARINE=2 but net terrestrial &gt;0; ","")&amp;IF($K1458="Point","Buffered point – coverage approximate; ","")))</f>
        <v/>
      </c>
    </row>
    <row r="1459">
      <c r="A1459" s="19" t="n"/>
      <c r="B1459" s="19" t="n"/>
      <c r="C1459" s="19" t="n"/>
      <c r="D1459" s="19" t="n"/>
      <c r="E1459" s="19" t="n"/>
      <c r="F1459" s="19" t="n"/>
      <c r="G1459" s="19" t="n"/>
      <c r="H1459" s="19" t="n"/>
      <c r="I1459" s="19" t="n"/>
      <c r="J1459" s="19" t="n"/>
      <c r="K1459" s="19" t="n"/>
      <c r="L1459" s="20" t="n"/>
      <c r="M1459" s="20" t="n"/>
      <c r="N1459" s="20" t="n"/>
      <c r="O1459" s="20" t="n"/>
      <c r="P1459" s="19" t="n"/>
      <c r="Q1459" s="19" t="n"/>
      <c r="R1459" s="20" t="n"/>
      <c r="S1459" s="20" t="n"/>
      <c r="T1459" s="19" t="n"/>
      <c r="U1459" s="19" t="n"/>
      <c r="V1459" s="19" t="n"/>
      <c r="W1459" s="19" t="n"/>
      <c r="X1459" s="19" t="n"/>
      <c r="Y1459" s="19" t="n"/>
      <c r="Z1459" s="21">
        <f>IF(AND($A1459="",$B1459=""),"",IF(OR($E1459="",$H1459="",$H1459="Proposed",$H1459="Not Reported"),0,IF(AND($P1459="Y",$Q1459&lt;&gt;"Y"),0,IF(AND($K1459="Point",N($L1459)&lt;=0),0,IF(AND(N($L1459)&lt;=0,N($N1459)&lt;=0,N($R1459)+N($S1459)&lt;=0),0,1)))))</f>
        <v/>
      </c>
      <c r="AA1459" s="21">
        <f>IF(AND($A1459="",$B1459=""),"",IF($E1459="","Site type missing",IF($H1459="","STATUS missing",IF($H1459="Proposed","STATUS = Proposed",IF($H1459="Not Reported","STATUS = Not Reported",IF(AND($P1459="Y",$Q1459&lt;&gt;"Y"),"UNESCO-MAB Biosphere Reserve",IF(AND($K1459="Point",N($L1459)&lt;=0),"Point without REP_AREA",IF(AND(N($L1459)&lt;=0,N($N1459)&lt;=0,N($R1459)+N($S1459)&lt;=0),"No area information",""))))))))</f>
        <v/>
      </c>
      <c r="AB1459" s="22">
        <f>IF(AND($A1459="",$B1459=""),"",IF($K1459="Point",N($L1459),IF(N($N1459)&gt;0,N($N1459),N($L1459))))</f>
        <v/>
      </c>
      <c r="AC1459" s="22">
        <f>IF(AND($A1459="",$B1459=""),"",MIN(AB1459,IF(N($J1459)=0,0,IF(N($J1459)=2,AB1459,IF(AND($K1459&lt;&gt;"Point",N($O1459)&gt;0),N($O1459),N($M1459))))))</f>
        <v/>
      </c>
      <c r="AD1459" s="22">
        <f>IF(AND($A1459="",$B1459=""),"",MAX(0,AB1459-AC1459))</f>
        <v/>
      </c>
      <c r="AE1459" s="21">
        <f>IF(AND($A1459="",$B1459=""),"",IF(OR($R1459&lt;&gt;"",$S1459&lt;&gt;""),1,0))</f>
        <v/>
      </c>
      <c r="AF1459" s="22">
        <f>IF(AND($A1459="",$B1459=""),"",IF(Z1459=1,IF(AE1459=1,N($R1459),AD1459),0))</f>
        <v/>
      </c>
      <c r="AG1459" s="22">
        <f>IF(AND($A1459="",$B1459=""),"",IF(Z1459=1,IF(AE1459=1,N($S1459),AC1459),0))</f>
        <v/>
      </c>
      <c r="AH1459" s="21">
        <f>IF(AND($A1459="",$B1459=""),"",IF(AND(ISNUMBER($I1459),N($I1459)&gt;0),$I1459,0))</f>
        <v/>
      </c>
      <c r="AI1459" s="23">
        <f>IF(AND(NOT(AND($A1459="",$B1459="")),$K1459="Point",N($L1459)&gt;0),SQRT(N($L1459)/PI()),"")</f>
        <v/>
      </c>
      <c r="AJ1459" s="21">
        <f>IF(AND($A1459="",$B1459=""),"",IFERROR(VLOOKUP($G1459,Lists!$D$4:$E$15,2,FALSE),"Not reported"))</f>
        <v/>
      </c>
      <c r="AK1459" s="21">
        <f>IF(AND($A1459="",$B1459=""),"",IF($X1459&lt;&gt;"",$X1459,IF($T1459&lt;&gt;"Y","Not assessed",IF(AND(ISNUMBER($V1459),Setup!$B$6-$V1459&gt;Setup!$B$26),"Assessment outdated",IF(NOT(ISNUMBER($W1459)),"Assessed – no score",IF($W1459&gt;=Setup!$B$24,"High",IF($W1459&gt;=Setup!$B$25,"Moderate","Low")))))))</f>
        <v/>
      </c>
      <c r="AL1459" s="21">
        <f>IF(AND($A1459="",$B1459=""),"",IF(Z1459=0,"",IF(AND(AE1459=1,N($R1459)&gt;AD1459*1.01+0.001),"Net terrestrial &gt; gross; ","")&amp;IF(AND(AE1459=1,N($S1459)&gt;AC1459*1.01+0.001),"Net marine &gt; gross; ","")&amp;IF(AE1459=0,"No net area – gross used, overlaps may be double-counted; ","")&amp;IF(AH1459=0,"STATUS_YR missing – imputed in time series; ","")&amp;IF(AND(ISNUMBER($I1459),N($I1459)&gt;Setup!$B$6),"STATUS_YR after reporting year; ","")&amp;IF(OR($G1459="",$G1459="Not Reported"),"GOV_TYPE not reported; ","")&amp;IF(AND(N($J1459)=1,$K1459="Point",N($M1459)&lt;=0),"Coastal point without REP_M_AREA – land/sea split unknown; ","")&amp;IF(AND(N($J1459)=0,N($S1459)&gt;0),"MARINE=0 but net marine &gt;0; ","")&amp;IF(AND(N($J1459)=2,N($R1459)&gt;0),"MARINE=2 but net terrestrial &gt;0; ","")&amp;IF($K1459="Point","Buffered point – coverage approximate; ","")))</f>
        <v/>
      </c>
    </row>
    <row r="1460">
      <c r="A1460" s="19" t="n"/>
      <c r="B1460" s="19" t="n"/>
      <c r="C1460" s="19" t="n"/>
      <c r="D1460" s="19" t="n"/>
      <c r="E1460" s="19" t="n"/>
      <c r="F1460" s="19" t="n"/>
      <c r="G1460" s="19" t="n"/>
      <c r="H1460" s="19" t="n"/>
      <c r="I1460" s="19" t="n"/>
      <c r="J1460" s="19" t="n"/>
      <c r="K1460" s="19" t="n"/>
      <c r="L1460" s="20" t="n"/>
      <c r="M1460" s="20" t="n"/>
      <c r="N1460" s="20" t="n"/>
      <c r="O1460" s="20" t="n"/>
      <c r="P1460" s="19" t="n"/>
      <c r="Q1460" s="19" t="n"/>
      <c r="R1460" s="20" t="n"/>
      <c r="S1460" s="20" t="n"/>
      <c r="T1460" s="19" t="n"/>
      <c r="U1460" s="19" t="n"/>
      <c r="V1460" s="19" t="n"/>
      <c r="W1460" s="19" t="n"/>
      <c r="X1460" s="19" t="n"/>
      <c r="Y1460" s="19" t="n"/>
      <c r="Z1460" s="21">
        <f>IF(AND($A1460="",$B1460=""),"",IF(OR($E1460="",$H1460="",$H1460="Proposed",$H1460="Not Reported"),0,IF(AND($P1460="Y",$Q1460&lt;&gt;"Y"),0,IF(AND($K1460="Point",N($L1460)&lt;=0),0,IF(AND(N($L1460)&lt;=0,N($N1460)&lt;=0,N($R1460)+N($S1460)&lt;=0),0,1)))))</f>
        <v/>
      </c>
      <c r="AA1460" s="21">
        <f>IF(AND($A1460="",$B1460=""),"",IF($E1460="","Site type missing",IF($H1460="","STATUS missing",IF($H1460="Proposed","STATUS = Proposed",IF($H1460="Not Reported","STATUS = Not Reported",IF(AND($P1460="Y",$Q1460&lt;&gt;"Y"),"UNESCO-MAB Biosphere Reserve",IF(AND($K1460="Point",N($L1460)&lt;=0),"Point without REP_AREA",IF(AND(N($L1460)&lt;=0,N($N1460)&lt;=0,N($R1460)+N($S1460)&lt;=0),"No area information",""))))))))</f>
        <v/>
      </c>
      <c r="AB1460" s="22">
        <f>IF(AND($A1460="",$B1460=""),"",IF($K1460="Point",N($L1460),IF(N($N1460)&gt;0,N($N1460),N($L1460))))</f>
        <v/>
      </c>
      <c r="AC1460" s="22">
        <f>IF(AND($A1460="",$B1460=""),"",MIN(AB1460,IF(N($J1460)=0,0,IF(N($J1460)=2,AB1460,IF(AND($K1460&lt;&gt;"Point",N($O1460)&gt;0),N($O1460),N($M1460))))))</f>
        <v/>
      </c>
      <c r="AD1460" s="22">
        <f>IF(AND($A1460="",$B1460=""),"",MAX(0,AB1460-AC1460))</f>
        <v/>
      </c>
      <c r="AE1460" s="21">
        <f>IF(AND($A1460="",$B1460=""),"",IF(OR($R1460&lt;&gt;"",$S1460&lt;&gt;""),1,0))</f>
        <v/>
      </c>
      <c r="AF1460" s="22">
        <f>IF(AND($A1460="",$B1460=""),"",IF(Z1460=1,IF(AE1460=1,N($R1460),AD1460),0))</f>
        <v/>
      </c>
      <c r="AG1460" s="22">
        <f>IF(AND($A1460="",$B1460=""),"",IF(Z1460=1,IF(AE1460=1,N($S1460),AC1460),0))</f>
        <v/>
      </c>
      <c r="AH1460" s="21">
        <f>IF(AND($A1460="",$B1460=""),"",IF(AND(ISNUMBER($I1460),N($I1460)&gt;0),$I1460,0))</f>
        <v/>
      </c>
      <c r="AI1460" s="23">
        <f>IF(AND(NOT(AND($A1460="",$B1460="")),$K1460="Point",N($L1460)&gt;0),SQRT(N($L1460)/PI()),"")</f>
        <v/>
      </c>
      <c r="AJ1460" s="21">
        <f>IF(AND($A1460="",$B1460=""),"",IFERROR(VLOOKUP($G1460,Lists!$D$4:$E$15,2,FALSE),"Not reported"))</f>
        <v/>
      </c>
      <c r="AK1460" s="21">
        <f>IF(AND($A1460="",$B1460=""),"",IF($X1460&lt;&gt;"",$X1460,IF($T1460&lt;&gt;"Y","Not assessed",IF(AND(ISNUMBER($V1460),Setup!$B$6-$V1460&gt;Setup!$B$26),"Assessment outdated",IF(NOT(ISNUMBER($W1460)),"Assessed – no score",IF($W1460&gt;=Setup!$B$24,"High",IF($W1460&gt;=Setup!$B$25,"Moderate","Low")))))))</f>
        <v/>
      </c>
      <c r="AL1460" s="21">
        <f>IF(AND($A1460="",$B1460=""),"",IF(Z1460=0,"",IF(AND(AE1460=1,N($R1460)&gt;AD1460*1.01+0.001),"Net terrestrial &gt; gross; ","")&amp;IF(AND(AE1460=1,N($S1460)&gt;AC1460*1.01+0.001),"Net marine &gt; gross; ","")&amp;IF(AE1460=0,"No net area – gross used, overlaps may be double-counted; ","")&amp;IF(AH1460=0,"STATUS_YR missing – imputed in time series; ","")&amp;IF(AND(ISNUMBER($I1460),N($I1460)&gt;Setup!$B$6),"STATUS_YR after reporting year; ","")&amp;IF(OR($G1460="",$G1460="Not Reported"),"GOV_TYPE not reported; ","")&amp;IF(AND(N($J1460)=1,$K1460="Point",N($M1460)&lt;=0),"Coastal point without REP_M_AREA – land/sea split unknown; ","")&amp;IF(AND(N($J1460)=0,N($S1460)&gt;0),"MARINE=0 but net marine &gt;0; ","")&amp;IF(AND(N($J1460)=2,N($R1460)&gt;0),"MARINE=2 but net terrestrial &gt;0; ","")&amp;IF($K1460="Point","Buffered point – coverage approximate; ","")))</f>
        <v/>
      </c>
    </row>
    <row r="1461">
      <c r="A1461" s="19" t="n"/>
      <c r="B1461" s="19" t="n"/>
      <c r="C1461" s="19" t="n"/>
      <c r="D1461" s="19" t="n"/>
      <c r="E1461" s="19" t="n"/>
      <c r="F1461" s="19" t="n"/>
      <c r="G1461" s="19" t="n"/>
      <c r="H1461" s="19" t="n"/>
      <c r="I1461" s="19" t="n"/>
      <c r="J1461" s="19" t="n"/>
      <c r="K1461" s="19" t="n"/>
      <c r="L1461" s="20" t="n"/>
      <c r="M1461" s="20" t="n"/>
      <c r="N1461" s="20" t="n"/>
      <c r="O1461" s="20" t="n"/>
      <c r="P1461" s="19" t="n"/>
      <c r="Q1461" s="19" t="n"/>
      <c r="R1461" s="20" t="n"/>
      <c r="S1461" s="20" t="n"/>
      <c r="T1461" s="19" t="n"/>
      <c r="U1461" s="19" t="n"/>
      <c r="V1461" s="19" t="n"/>
      <c r="W1461" s="19" t="n"/>
      <c r="X1461" s="19" t="n"/>
      <c r="Y1461" s="19" t="n"/>
      <c r="Z1461" s="21">
        <f>IF(AND($A1461="",$B1461=""),"",IF(OR($E1461="",$H1461="",$H1461="Proposed",$H1461="Not Reported"),0,IF(AND($P1461="Y",$Q1461&lt;&gt;"Y"),0,IF(AND($K1461="Point",N($L1461)&lt;=0),0,IF(AND(N($L1461)&lt;=0,N($N1461)&lt;=0,N($R1461)+N($S1461)&lt;=0),0,1)))))</f>
        <v/>
      </c>
      <c r="AA1461" s="21">
        <f>IF(AND($A1461="",$B1461=""),"",IF($E1461="","Site type missing",IF($H1461="","STATUS missing",IF($H1461="Proposed","STATUS = Proposed",IF($H1461="Not Reported","STATUS = Not Reported",IF(AND($P1461="Y",$Q1461&lt;&gt;"Y"),"UNESCO-MAB Biosphere Reserve",IF(AND($K1461="Point",N($L1461)&lt;=0),"Point without REP_AREA",IF(AND(N($L1461)&lt;=0,N($N1461)&lt;=0,N($R1461)+N($S1461)&lt;=0),"No area information",""))))))))</f>
        <v/>
      </c>
      <c r="AB1461" s="22">
        <f>IF(AND($A1461="",$B1461=""),"",IF($K1461="Point",N($L1461),IF(N($N1461)&gt;0,N($N1461),N($L1461))))</f>
        <v/>
      </c>
      <c r="AC1461" s="22">
        <f>IF(AND($A1461="",$B1461=""),"",MIN(AB1461,IF(N($J1461)=0,0,IF(N($J1461)=2,AB1461,IF(AND($K1461&lt;&gt;"Point",N($O1461)&gt;0),N($O1461),N($M1461))))))</f>
        <v/>
      </c>
      <c r="AD1461" s="22">
        <f>IF(AND($A1461="",$B1461=""),"",MAX(0,AB1461-AC1461))</f>
        <v/>
      </c>
      <c r="AE1461" s="21">
        <f>IF(AND($A1461="",$B1461=""),"",IF(OR($R1461&lt;&gt;"",$S1461&lt;&gt;""),1,0))</f>
        <v/>
      </c>
      <c r="AF1461" s="22">
        <f>IF(AND($A1461="",$B1461=""),"",IF(Z1461=1,IF(AE1461=1,N($R1461),AD1461),0))</f>
        <v/>
      </c>
      <c r="AG1461" s="22">
        <f>IF(AND($A1461="",$B1461=""),"",IF(Z1461=1,IF(AE1461=1,N($S1461),AC1461),0))</f>
        <v/>
      </c>
      <c r="AH1461" s="21">
        <f>IF(AND($A1461="",$B1461=""),"",IF(AND(ISNUMBER($I1461),N($I1461)&gt;0),$I1461,0))</f>
        <v/>
      </c>
      <c r="AI1461" s="23">
        <f>IF(AND(NOT(AND($A1461="",$B1461="")),$K1461="Point",N($L1461)&gt;0),SQRT(N($L1461)/PI()),"")</f>
        <v/>
      </c>
      <c r="AJ1461" s="21">
        <f>IF(AND($A1461="",$B1461=""),"",IFERROR(VLOOKUP($G1461,Lists!$D$4:$E$15,2,FALSE),"Not reported"))</f>
        <v/>
      </c>
      <c r="AK1461" s="21">
        <f>IF(AND($A1461="",$B1461=""),"",IF($X1461&lt;&gt;"",$X1461,IF($T1461&lt;&gt;"Y","Not assessed",IF(AND(ISNUMBER($V1461),Setup!$B$6-$V1461&gt;Setup!$B$26),"Assessment outdated",IF(NOT(ISNUMBER($W1461)),"Assessed – no score",IF($W1461&gt;=Setup!$B$24,"High",IF($W1461&gt;=Setup!$B$25,"Moderate","Low")))))))</f>
        <v/>
      </c>
      <c r="AL1461" s="21">
        <f>IF(AND($A1461="",$B1461=""),"",IF(Z1461=0,"",IF(AND(AE1461=1,N($R1461)&gt;AD1461*1.01+0.001),"Net terrestrial &gt; gross; ","")&amp;IF(AND(AE1461=1,N($S1461)&gt;AC1461*1.01+0.001),"Net marine &gt; gross; ","")&amp;IF(AE1461=0,"No net area – gross used, overlaps may be double-counted; ","")&amp;IF(AH1461=0,"STATUS_YR missing – imputed in time series; ","")&amp;IF(AND(ISNUMBER($I1461),N($I1461)&gt;Setup!$B$6),"STATUS_YR after reporting year; ","")&amp;IF(OR($G1461="",$G1461="Not Reported"),"GOV_TYPE not reported; ","")&amp;IF(AND(N($J1461)=1,$K1461="Point",N($M1461)&lt;=0),"Coastal point without REP_M_AREA – land/sea split unknown; ","")&amp;IF(AND(N($J1461)=0,N($S1461)&gt;0),"MARINE=0 but net marine &gt;0; ","")&amp;IF(AND(N($J1461)=2,N($R1461)&gt;0),"MARINE=2 but net terrestrial &gt;0; ","")&amp;IF($K1461="Point","Buffered point – coverage approximate; ","")))</f>
        <v/>
      </c>
    </row>
    <row r="1462">
      <c r="A1462" s="19" t="n"/>
      <c r="B1462" s="19" t="n"/>
      <c r="C1462" s="19" t="n"/>
      <c r="D1462" s="19" t="n"/>
      <c r="E1462" s="19" t="n"/>
      <c r="F1462" s="19" t="n"/>
      <c r="G1462" s="19" t="n"/>
      <c r="H1462" s="19" t="n"/>
      <c r="I1462" s="19" t="n"/>
      <c r="J1462" s="19" t="n"/>
      <c r="K1462" s="19" t="n"/>
      <c r="L1462" s="20" t="n"/>
      <c r="M1462" s="20" t="n"/>
      <c r="N1462" s="20" t="n"/>
      <c r="O1462" s="20" t="n"/>
      <c r="P1462" s="19" t="n"/>
      <c r="Q1462" s="19" t="n"/>
      <c r="R1462" s="20" t="n"/>
      <c r="S1462" s="20" t="n"/>
      <c r="T1462" s="19" t="n"/>
      <c r="U1462" s="19" t="n"/>
      <c r="V1462" s="19" t="n"/>
      <c r="W1462" s="19" t="n"/>
      <c r="X1462" s="19" t="n"/>
      <c r="Y1462" s="19" t="n"/>
      <c r="Z1462" s="21">
        <f>IF(AND($A1462="",$B1462=""),"",IF(OR($E1462="",$H1462="",$H1462="Proposed",$H1462="Not Reported"),0,IF(AND($P1462="Y",$Q1462&lt;&gt;"Y"),0,IF(AND($K1462="Point",N($L1462)&lt;=0),0,IF(AND(N($L1462)&lt;=0,N($N1462)&lt;=0,N($R1462)+N($S1462)&lt;=0),0,1)))))</f>
        <v/>
      </c>
      <c r="AA1462" s="21">
        <f>IF(AND($A1462="",$B1462=""),"",IF($E1462="","Site type missing",IF($H1462="","STATUS missing",IF($H1462="Proposed","STATUS = Proposed",IF($H1462="Not Reported","STATUS = Not Reported",IF(AND($P1462="Y",$Q1462&lt;&gt;"Y"),"UNESCO-MAB Biosphere Reserve",IF(AND($K1462="Point",N($L1462)&lt;=0),"Point without REP_AREA",IF(AND(N($L1462)&lt;=0,N($N1462)&lt;=0,N($R1462)+N($S1462)&lt;=0),"No area information",""))))))))</f>
        <v/>
      </c>
      <c r="AB1462" s="22">
        <f>IF(AND($A1462="",$B1462=""),"",IF($K1462="Point",N($L1462),IF(N($N1462)&gt;0,N($N1462),N($L1462))))</f>
        <v/>
      </c>
      <c r="AC1462" s="22">
        <f>IF(AND($A1462="",$B1462=""),"",MIN(AB1462,IF(N($J1462)=0,0,IF(N($J1462)=2,AB1462,IF(AND($K1462&lt;&gt;"Point",N($O1462)&gt;0),N($O1462),N($M1462))))))</f>
        <v/>
      </c>
      <c r="AD1462" s="22">
        <f>IF(AND($A1462="",$B1462=""),"",MAX(0,AB1462-AC1462))</f>
        <v/>
      </c>
      <c r="AE1462" s="21">
        <f>IF(AND($A1462="",$B1462=""),"",IF(OR($R1462&lt;&gt;"",$S1462&lt;&gt;""),1,0))</f>
        <v/>
      </c>
      <c r="AF1462" s="22">
        <f>IF(AND($A1462="",$B1462=""),"",IF(Z1462=1,IF(AE1462=1,N($R1462),AD1462),0))</f>
        <v/>
      </c>
      <c r="AG1462" s="22">
        <f>IF(AND($A1462="",$B1462=""),"",IF(Z1462=1,IF(AE1462=1,N($S1462),AC1462),0))</f>
        <v/>
      </c>
      <c r="AH1462" s="21">
        <f>IF(AND($A1462="",$B1462=""),"",IF(AND(ISNUMBER($I1462),N($I1462)&gt;0),$I1462,0))</f>
        <v/>
      </c>
      <c r="AI1462" s="23">
        <f>IF(AND(NOT(AND($A1462="",$B1462="")),$K1462="Point",N($L1462)&gt;0),SQRT(N($L1462)/PI()),"")</f>
        <v/>
      </c>
      <c r="AJ1462" s="21">
        <f>IF(AND($A1462="",$B1462=""),"",IFERROR(VLOOKUP($G1462,Lists!$D$4:$E$15,2,FALSE),"Not reported"))</f>
        <v/>
      </c>
      <c r="AK1462" s="21">
        <f>IF(AND($A1462="",$B1462=""),"",IF($X1462&lt;&gt;"",$X1462,IF($T1462&lt;&gt;"Y","Not assessed",IF(AND(ISNUMBER($V1462),Setup!$B$6-$V1462&gt;Setup!$B$26),"Assessment outdated",IF(NOT(ISNUMBER($W1462)),"Assessed – no score",IF($W1462&gt;=Setup!$B$24,"High",IF($W1462&gt;=Setup!$B$25,"Moderate","Low")))))))</f>
        <v/>
      </c>
      <c r="AL1462" s="21">
        <f>IF(AND($A1462="",$B1462=""),"",IF(Z1462=0,"",IF(AND(AE1462=1,N($R1462)&gt;AD1462*1.01+0.001),"Net terrestrial &gt; gross; ","")&amp;IF(AND(AE1462=1,N($S1462)&gt;AC1462*1.01+0.001),"Net marine &gt; gross; ","")&amp;IF(AE1462=0,"No net area – gross used, overlaps may be double-counted; ","")&amp;IF(AH1462=0,"STATUS_YR missing – imputed in time series; ","")&amp;IF(AND(ISNUMBER($I1462),N($I1462)&gt;Setup!$B$6),"STATUS_YR after reporting year; ","")&amp;IF(OR($G1462="",$G1462="Not Reported"),"GOV_TYPE not reported; ","")&amp;IF(AND(N($J1462)=1,$K1462="Point",N($M1462)&lt;=0),"Coastal point without REP_M_AREA – land/sea split unknown; ","")&amp;IF(AND(N($J1462)=0,N($S1462)&gt;0),"MARINE=0 but net marine &gt;0; ","")&amp;IF(AND(N($J1462)=2,N($R1462)&gt;0),"MARINE=2 but net terrestrial &gt;0; ","")&amp;IF($K1462="Point","Buffered point – coverage approximate; ","")))</f>
        <v/>
      </c>
    </row>
    <row r="1463">
      <c r="A1463" s="19" t="n"/>
      <c r="B1463" s="19" t="n"/>
      <c r="C1463" s="19" t="n"/>
      <c r="D1463" s="19" t="n"/>
      <c r="E1463" s="19" t="n"/>
      <c r="F1463" s="19" t="n"/>
      <c r="G1463" s="19" t="n"/>
      <c r="H1463" s="19" t="n"/>
      <c r="I1463" s="19" t="n"/>
      <c r="J1463" s="19" t="n"/>
      <c r="K1463" s="19" t="n"/>
      <c r="L1463" s="20" t="n"/>
      <c r="M1463" s="20" t="n"/>
      <c r="N1463" s="20" t="n"/>
      <c r="O1463" s="20" t="n"/>
      <c r="P1463" s="19" t="n"/>
      <c r="Q1463" s="19" t="n"/>
      <c r="R1463" s="20" t="n"/>
      <c r="S1463" s="20" t="n"/>
      <c r="T1463" s="19" t="n"/>
      <c r="U1463" s="19" t="n"/>
      <c r="V1463" s="19" t="n"/>
      <c r="W1463" s="19" t="n"/>
      <c r="X1463" s="19" t="n"/>
      <c r="Y1463" s="19" t="n"/>
      <c r="Z1463" s="21">
        <f>IF(AND($A1463="",$B1463=""),"",IF(OR($E1463="",$H1463="",$H1463="Proposed",$H1463="Not Reported"),0,IF(AND($P1463="Y",$Q1463&lt;&gt;"Y"),0,IF(AND($K1463="Point",N($L1463)&lt;=0),0,IF(AND(N($L1463)&lt;=0,N($N1463)&lt;=0,N($R1463)+N($S1463)&lt;=0),0,1)))))</f>
        <v/>
      </c>
      <c r="AA1463" s="21">
        <f>IF(AND($A1463="",$B1463=""),"",IF($E1463="","Site type missing",IF($H1463="","STATUS missing",IF($H1463="Proposed","STATUS = Proposed",IF($H1463="Not Reported","STATUS = Not Reported",IF(AND($P1463="Y",$Q1463&lt;&gt;"Y"),"UNESCO-MAB Biosphere Reserve",IF(AND($K1463="Point",N($L1463)&lt;=0),"Point without REP_AREA",IF(AND(N($L1463)&lt;=0,N($N1463)&lt;=0,N($R1463)+N($S1463)&lt;=0),"No area information",""))))))))</f>
        <v/>
      </c>
      <c r="AB1463" s="22">
        <f>IF(AND($A1463="",$B1463=""),"",IF($K1463="Point",N($L1463),IF(N($N1463)&gt;0,N($N1463),N($L1463))))</f>
        <v/>
      </c>
      <c r="AC1463" s="22">
        <f>IF(AND($A1463="",$B1463=""),"",MIN(AB1463,IF(N($J1463)=0,0,IF(N($J1463)=2,AB1463,IF(AND($K1463&lt;&gt;"Point",N($O1463)&gt;0),N($O1463),N($M1463))))))</f>
        <v/>
      </c>
      <c r="AD1463" s="22">
        <f>IF(AND($A1463="",$B1463=""),"",MAX(0,AB1463-AC1463))</f>
        <v/>
      </c>
      <c r="AE1463" s="21">
        <f>IF(AND($A1463="",$B1463=""),"",IF(OR($R1463&lt;&gt;"",$S1463&lt;&gt;""),1,0))</f>
        <v/>
      </c>
      <c r="AF1463" s="22">
        <f>IF(AND($A1463="",$B1463=""),"",IF(Z1463=1,IF(AE1463=1,N($R1463),AD1463),0))</f>
        <v/>
      </c>
      <c r="AG1463" s="22">
        <f>IF(AND($A1463="",$B1463=""),"",IF(Z1463=1,IF(AE1463=1,N($S1463),AC1463),0))</f>
        <v/>
      </c>
      <c r="AH1463" s="21">
        <f>IF(AND($A1463="",$B1463=""),"",IF(AND(ISNUMBER($I1463),N($I1463)&gt;0),$I1463,0))</f>
        <v/>
      </c>
      <c r="AI1463" s="23">
        <f>IF(AND(NOT(AND($A1463="",$B1463="")),$K1463="Point",N($L1463)&gt;0),SQRT(N($L1463)/PI()),"")</f>
        <v/>
      </c>
      <c r="AJ1463" s="21">
        <f>IF(AND($A1463="",$B1463=""),"",IFERROR(VLOOKUP($G1463,Lists!$D$4:$E$15,2,FALSE),"Not reported"))</f>
        <v/>
      </c>
      <c r="AK1463" s="21">
        <f>IF(AND($A1463="",$B1463=""),"",IF($X1463&lt;&gt;"",$X1463,IF($T1463&lt;&gt;"Y","Not assessed",IF(AND(ISNUMBER($V1463),Setup!$B$6-$V1463&gt;Setup!$B$26),"Assessment outdated",IF(NOT(ISNUMBER($W1463)),"Assessed – no score",IF($W1463&gt;=Setup!$B$24,"High",IF($W1463&gt;=Setup!$B$25,"Moderate","Low")))))))</f>
        <v/>
      </c>
      <c r="AL1463" s="21">
        <f>IF(AND($A1463="",$B1463=""),"",IF(Z1463=0,"",IF(AND(AE1463=1,N($R1463)&gt;AD1463*1.01+0.001),"Net terrestrial &gt; gross; ","")&amp;IF(AND(AE1463=1,N($S1463)&gt;AC1463*1.01+0.001),"Net marine &gt; gross; ","")&amp;IF(AE1463=0,"No net area – gross used, overlaps may be double-counted; ","")&amp;IF(AH1463=0,"STATUS_YR missing – imputed in time series; ","")&amp;IF(AND(ISNUMBER($I1463),N($I1463)&gt;Setup!$B$6),"STATUS_YR after reporting year; ","")&amp;IF(OR($G1463="",$G1463="Not Reported"),"GOV_TYPE not reported; ","")&amp;IF(AND(N($J1463)=1,$K1463="Point",N($M1463)&lt;=0),"Coastal point without REP_M_AREA – land/sea split unknown; ","")&amp;IF(AND(N($J1463)=0,N($S1463)&gt;0),"MARINE=0 but net marine &gt;0; ","")&amp;IF(AND(N($J1463)=2,N($R1463)&gt;0),"MARINE=2 but net terrestrial &gt;0; ","")&amp;IF($K1463="Point","Buffered point – coverage approximate; ","")))</f>
        <v/>
      </c>
    </row>
    <row r="1464">
      <c r="A1464" s="19" t="n"/>
      <c r="B1464" s="19" t="n"/>
      <c r="C1464" s="19" t="n"/>
      <c r="D1464" s="19" t="n"/>
      <c r="E1464" s="19" t="n"/>
      <c r="F1464" s="19" t="n"/>
      <c r="G1464" s="19" t="n"/>
      <c r="H1464" s="19" t="n"/>
      <c r="I1464" s="19" t="n"/>
      <c r="J1464" s="19" t="n"/>
      <c r="K1464" s="19" t="n"/>
      <c r="L1464" s="20" t="n"/>
      <c r="M1464" s="20" t="n"/>
      <c r="N1464" s="20" t="n"/>
      <c r="O1464" s="20" t="n"/>
      <c r="P1464" s="19" t="n"/>
      <c r="Q1464" s="19" t="n"/>
      <c r="R1464" s="20" t="n"/>
      <c r="S1464" s="20" t="n"/>
      <c r="T1464" s="19" t="n"/>
      <c r="U1464" s="19" t="n"/>
      <c r="V1464" s="19" t="n"/>
      <c r="W1464" s="19" t="n"/>
      <c r="X1464" s="19" t="n"/>
      <c r="Y1464" s="19" t="n"/>
      <c r="Z1464" s="21">
        <f>IF(AND($A1464="",$B1464=""),"",IF(OR($E1464="",$H1464="",$H1464="Proposed",$H1464="Not Reported"),0,IF(AND($P1464="Y",$Q1464&lt;&gt;"Y"),0,IF(AND($K1464="Point",N($L1464)&lt;=0),0,IF(AND(N($L1464)&lt;=0,N($N1464)&lt;=0,N($R1464)+N($S1464)&lt;=0),0,1)))))</f>
        <v/>
      </c>
      <c r="AA1464" s="21">
        <f>IF(AND($A1464="",$B1464=""),"",IF($E1464="","Site type missing",IF($H1464="","STATUS missing",IF($H1464="Proposed","STATUS = Proposed",IF($H1464="Not Reported","STATUS = Not Reported",IF(AND($P1464="Y",$Q1464&lt;&gt;"Y"),"UNESCO-MAB Biosphere Reserve",IF(AND($K1464="Point",N($L1464)&lt;=0),"Point without REP_AREA",IF(AND(N($L1464)&lt;=0,N($N1464)&lt;=0,N($R1464)+N($S1464)&lt;=0),"No area information",""))))))))</f>
        <v/>
      </c>
      <c r="AB1464" s="22">
        <f>IF(AND($A1464="",$B1464=""),"",IF($K1464="Point",N($L1464),IF(N($N1464)&gt;0,N($N1464),N($L1464))))</f>
        <v/>
      </c>
      <c r="AC1464" s="22">
        <f>IF(AND($A1464="",$B1464=""),"",MIN(AB1464,IF(N($J1464)=0,0,IF(N($J1464)=2,AB1464,IF(AND($K1464&lt;&gt;"Point",N($O1464)&gt;0),N($O1464),N($M1464))))))</f>
        <v/>
      </c>
      <c r="AD1464" s="22">
        <f>IF(AND($A1464="",$B1464=""),"",MAX(0,AB1464-AC1464))</f>
        <v/>
      </c>
      <c r="AE1464" s="21">
        <f>IF(AND($A1464="",$B1464=""),"",IF(OR($R1464&lt;&gt;"",$S1464&lt;&gt;""),1,0))</f>
        <v/>
      </c>
      <c r="AF1464" s="22">
        <f>IF(AND($A1464="",$B1464=""),"",IF(Z1464=1,IF(AE1464=1,N($R1464),AD1464),0))</f>
        <v/>
      </c>
      <c r="AG1464" s="22">
        <f>IF(AND($A1464="",$B1464=""),"",IF(Z1464=1,IF(AE1464=1,N($S1464),AC1464),0))</f>
        <v/>
      </c>
      <c r="AH1464" s="21">
        <f>IF(AND($A1464="",$B1464=""),"",IF(AND(ISNUMBER($I1464),N($I1464)&gt;0),$I1464,0))</f>
        <v/>
      </c>
      <c r="AI1464" s="23">
        <f>IF(AND(NOT(AND($A1464="",$B1464="")),$K1464="Point",N($L1464)&gt;0),SQRT(N($L1464)/PI()),"")</f>
        <v/>
      </c>
      <c r="AJ1464" s="21">
        <f>IF(AND($A1464="",$B1464=""),"",IFERROR(VLOOKUP($G1464,Lists!$D$4:$E$15,2,FALSE),"Not reported"))</f>
        <v/>
      </c>
      <c r="AK1464" s="21">
        <f>IF(AND($A1464="",$B1464=""),"",IF($X1464&lt;&gt;"",$X1464,IF($T1464&lt;&gt;"Y","Not assessed",IF(AND(ISNUMBER($V1464),Setup!$B$6-$V1464&gt;Setup!$B$26),"Assessment outdated",IF(NOT(ISNUMBER($W1464)),"Assessed – no score",IF($W1464&gt;=Setup!$B$24,"High",IF($W1464&gt;=Setup!$B$25,"Moderate","Low")))))))</f>
        <v/>
      </c>
      <c r="AL1464" s="21">
        <f>IF(AND($A1464="",$B1464=""),"",IF(Z1464=0,"",IF(AND(AE1464=1,N($R1464)&gt;AD1464*1.01+0.001),"Net terrestrial &gt; gross; ","")&amp;IF(AND(AE1464=1,N($S1464)&gt;AC1464*1.01+0.001),"Net marine &gt; gross; ","")&amp;IF(AE1464=0,"No net area – gross used, overlaps may be double-counted; ","")&amp;IF(AH1464=0,"STATUS_YR missing – imputed in time series; ","")&amp;IF(AND(ISNUMBER($I1464),N($I1464)&gt;Setup!$B$6),"STATUS_YR after reporting year; ","")&amp;IF(OR($G1464="",$G1464="Not Reported"),"GOV_TYPE not reported; ","")&amp;IF(AND(N($J1464)=1,$K1464="Point",N($M1464)&lt;=0),"Coastal point without REP_M_AREA – land/sea split unknown; ","")&amp;IF(AND(N($J1464)=0,N($S1464)&gt;0),"MARINE=0 but net marine &gt;0; ","")&amp;IF(AND(N($J1464)=2,N($R1464)&gt;0),"MARINE=2 but net terrestrial &gt;0; ","")&amp;IF($K1464="Point","Buffered point – coverage approximate; ","")))</f>
        <v/>
      </c>
    </row>
    <row r="1465">
      <c r="A1465" s="19" t="n"/>
      <c r="B1465" s="19" t="n"/>
      <c r="C1465" s="19" t="n"/>
      <c r="D1465" s="19" t="n"/>
      <c r="E1465" s="19" t="n"/>
      <c r="F1465" s="19" t="n"/>
      <c r="G1465" s="19" t="n"/>
      <c r="H1465" s="19" t="n"/>
      <c r="I1465" s="19" t="n"/>
      <c r="J1465" s="19" t="n"/>
      <c r="K1465" s="19" t="n"/>
      <c r="L1465" s="20" t="n"/>
      <c r="M1465" s="20" t="n"/>
      <c r="N1465" s="20" t="n"/>
      <c r="O1465" s="20" t="n"/>
      <c r="P1465" s="19" t="n"/>
      <c r="Q1465" s="19" t="n"/>
      <c r="R1465" s="20" t="n"/>
      <c r="S1465" s="20" t="n"/>
      <c r="T1465" s="19" t="n"/>
      <c r="U1465" s="19" t="n"/>
      <c r="V1465" s="19" t="n"/>
      <c r="W1465" s="19" t="n"/>
      <c r="X1465" s="19" t="n"/>
      <c r="Y1465" s="19" t="n"/>
      <c r="Z1465" s="21">
        <f>IF(AND($A1465="",$B1465=""),"",IF(OR($E1465="",$H1465="",$H1465="Proposed",$H1465="Not Reported"),0,IF(AND($P1465="Y",$Q1465&lt;&gt;"Y"),0,IF(AND($K1465="Point",N($L1465)&lt;=0),0,IF(AND(N($L1465)&lt;=0,N($N1465)&lt;=0,N($R1465)+N($S1465)&lt;=0),0,1)))))</f>
        <v/>
      </c>
      <c r="AA1465" s="21">
        <f>IF(AND($A1465="",$B1465=""),"",IF($E1465="","Site type missing",IF($H1465="","STATUS missing",IF($H1465="Proposed","STATUS = Proposed",IF($H1465="Not Reported","STATUS = Not Reported",IF(AND($P1465="Y",$Q1465&lt;&gt;"Y"),"UNESCO-MAB Biosphere Reserve",IF(AND($K1465="Point",N($L1465)&lt;=0),"Point without REP_AREA",IF(AND(N($L1465)&lt;=0,N($N1465)&lt;=0,N($R1465)+N($S1465)&lt;=0),"No area information",""))))))))</f>
        <v/>
      </c>
      <c r="AB1465" s="22">
        <f>IF(AND($A1465="",$B1465=""),"",IF($K1465="Point",N($L1465),IF(N($N1465)&gt;0,N($N1465),N($L1465))))</f>
        <v/>
      </c>
      <c r="AC1465" s="22">
        <f>IF(AND($A1465="",$B1465=""),"",MIN(AB1465,IF(N($J1465)=0,0,IF(N($J1465)=2,AB1465,IF(AND($K1465&lt;&gt;"Point",N($O1465)&gt;0),N($O1465),N($M1465))))))</f>
        <v/>
      </c>
      <c r="AD1465" s="22">
        <f>IF(AND($A1465="",$B1465=""),"",MAX(0,AB1465-AC1465))</f>
        <v/>
      </c>
      <c r="AE1465" s="21">
        <f>IF(AND($A1465="",$B1465=""),"",IF(OR($R1465&lt;&gt;"",$S1465&lt;&gt;""),1,0))</f>
        <v/>
      </c>
      <c r="AF1465" s="22">
        <f>IF(AND($A1465="",$B1465=""),"",IF(Z1465=1,IF(AE1465=1,N($R1465),AD1465),0))</f>
        <v/>
      </c>
      <c r="AG1465" s="22">
        <f>IF(AND($A1465="",$B1465=""),"",IF(Z1465=1,IF(AE1465=1,N($S1465),AC1465),0))</f>
        <v/>
      </c>
      <c r="AH1465" s="21">
        <f>IF(AND($A1465="",$B1465=""),"",IF(AND(ISNUMBER($I1465),N($I1465)&gt;0),$I1465,0))</f>
        <v/>
      </c>
      <c r="AI1465" s="23">
        <f>IF(AND(NOT(AND($A1465="",$B1465="")),$K1465="Point",N($L1465)&gt;0),SQRT(N($L1465)/PI()),"")</f>
        <v/>
      </c>
      <c r="AJ1465" s="21">
        <f>IF(AND($A1465="",$B1465=""),"",IFERROR(VLOOKUP($G1465,Lists!$D$4:$E$15,2,FALSE),"Not reported"))</f>
        <v/>
      </c>
      <c r="AK1465" s="21">
        <f>IF(AND($A1465="",$B1465=""),"",IF($X1465&lt;&gt;"",$X1465,IF($T1465&lt;&gt;"Y","Not assessed",IF(AND(ISNUMBER($V1465),Setup!$B$6-$V1465&gt;Setup!$B$26),"Assessment outdated",IF(NOT(ISNUMBER($W1465)),"Assessed – no score",IF($W1465&gt;=Setup!$B$24,"High",IF($W1465&gt;=Setup!$B$25,"Moderate","Low")))))))</f>
        <v/>
      </c>
      <c r="AL1465" s="21">
        <f>IF(AND($A1465="",$B1465=""),"",IF(Z1465=0,"",IF(AND(AE1465=1,N($R1465)&gt;AD1465*1.01+0.001),"Net terrestrial &gt; gross; ","")&amp;IF(AND(AE1465=1,N($S1465)&gt;AC1465*1.01+0.001),"Net marine &gt; gross; ","")&amp;IF(AE1465=0,"No net area – gross used, overlaps may be double-counted; ","")&amp;IF(AH1465=0,"STATUS_YR missing – imputed in time series; ","")&amp;IF(AND(ISNUMBER($I1465),N($I1465)&gt;Setup!$B$6),"STATUS_YR after reporting year; ","")&amp;IF(OR($G1465="",$G1465="Not Reported"),"GOV_TYPE not reported; ","")&amp;IF(AND(N($J1465)=1,$K1465="Point",N($M1465)&lt;=0),"Coastal point without REP_M_AREA – land/sea split unknown; ","")&amp;IF(AND(N($J1465)=0,N($S1465)&gt;0),"MARINE=0 but net marine &gt;0; ","")&amp;IF(AND(N($J1465)=2,N($R1465)&gt;0),"MARINE=2 but net terrestrial &gt;0; ","")&amp;IF($K1465="Point","Buffered point – coverage approximate; ","")))</f>
        <v/>
      </c>
    </row>
    <row r="1466">
      <c r="A1466" s="19" t="n"/>
      <c r="B1466" s="19" t="n"/>
      <c r="C1466" s="19" t="n"/>
      <c r="D1466" s="19" t="n"/>
      <c r="E1466" s="19" t="n"/>
      <c r="F1466" s="19" t="n"/>
      <c r="G1466" s="19" t="n"/>
      <c r="H1466" s="19" t="n"/>
      <c r="I1466" s="19" t="n"/>
      <c r="J1466" s="19" t="n"/>
      <c r="K1466" s="19" t="n"/>
      <c r="L1466" s="20" t="n"/>
      <c r="M1466" s="20" t="n"/>
      <c r="N1466" s="20" t="n"/>
      <c r="O1466" s="20" t="n"/>
      <c r="P1466" s="19" t="n"/>
      <c r="Q1466" s="19" t="n"/>
      <c r="R1466" s="20" t="n"/>
      <c r="S1466" s="20" t="n"/>
      <c r="T1466" s="19" t="n"/>
      <c r="U1466" s="19" t="n"/>
      <c r="V1466" s="19" t="n"/>
      <c r="W1466" s="19" t="n"/>
      <c r="X1466" s="19" t="n"/>
      <c r="Y1466" s="19" t="n"/>
      <c r="Z1466" s="21">
        <f>IF(AND($A1466="",$B1466=""),"",IF(OR($E1466="",$H1466="",$H1466="Proposed",$H1466="Not Reported"),0,IF(AND($P1466="Y",$Q1466&lt;&gt;"Y"),0,IF(AND($K1466="Point",N($L1466)&lt;=0),0,IF(AND(N($L1466)&lt;=0,N($N1466)&lt;=0,N($R1466)+N($S1466)&lt;=0),0,1)))))</f>
        <v/>
      </c>
      <c r="AA1466" s="21">
        <f>IF(AND($A1466="",$B1466=""),"",IF($E1466="","Site type missing",IF($H1466="","STATUS missing",IF($H1466="Proposed","STATUS = Proposed",IF($H1466="Not Reported","STATUS = Not Reported",IF(AND($P1466="Y",$Q1466&lt;&gt;"Y"),"UNESCO-MAB Biosphere Reserve",IF(AND($K1466="Point",N($L1466)&lt;=0),"Point without REP_AREA",IF(AND(N($L1466)&lt;=0,N($N1466)&lt;=0,N($R1466)+N($S1466)&lt;=0),"No area information",""))))))))</f>
        <v/>
      </c>
      <c r="AB1466" s="22">
        <f>IF(AND($A1466="",$B1466=""),"",IF($K1466="Point",N($L1466),IF(N($N1466)&gt;0,N($N1466),N($L1466))))</f>
        <v/>
      </c>
      <c r="AC1466" s="22">
        <f>IF(AND($A1466="",$B1466=""),"",MIN(AB1466,IF(N($J1466)=0,0,IF(N($J1466)=2,AB1466,IF(AND($K1466&lt;&gt;"Point",N($O1466)&gt;0),N($O1466),N($M1466))))))</f>
        <v/>
      </c>
      <c r="AD1466" s="22">
        <f>IF(AND($A1466="",$B1466=""),"",MAX(0,AB1466-AC1466))</f>
        <v/>
      </c>
      <c r="AE1466" s="21">
        <f>IF(AND($A1466="",$B1466=""),"",IF(OR($R1466&lt;&gt;"",$S1466&lt;&gt;""),1,0))</f>
        <v/>
      </c>
      <c r="AF1466" s="22">
        <f>IF(AND($A1466="",$B1466=""),"",IF(Z1466=1,IF(AE1466=1,N($R1466),AD1466),0))</f>
        <v/>
      </c>
      <c r="AG1466" s="22">
        <f>IF(AND($A1466="",$B1466=""),"",IF(Z1466=1,IF(AE1466=1,N($S1466),AC1466),0))</f>
        <v/>
      </c>
      <c r="AH1466" s="21">
        <f>IF(AND($A1466="",$B1466=""),"",IF(AND(ISNUMBER($I1466),N($I1466)&gt;0),$I1466,0))</f>
        <v/>
      </c>
      <c r="AI1466" s="23">
        <f>IF(AND(NOT(AND($A1466="",$B1466="")),$K1466="Point",N($L1466)&gt;0),SQRT(N($L1466)/PI()),"")</f>
        <v/>
      </c>
      <c r="AJ1466" s="21">
        <f>IF(AND($A1466="",$B1466=""),"",IFERROR(VLOOKUP($G1466,Lists!$D$4:$E$15,2,FALSE),"Not reported"))</f>
        <v/>
      </c>
      <c r="AK1466" s="21">
        <f>IF(AND($A1466="",$B1466=""),"",IF($X1466&lt;&gt;"",$X1466,IF($T1466&lt;&gt;"Y","Not assessed",IF(AND(ISNUMBER($V1466),Setup!$B$6-$V1466&gt;Setup!$B$26),"Assessment outdated",IF(NOT(ISNUMBER($W1466)),"Assessed – no score",IF($W1466&gt;=Setup!$B$24,"High",IF($W1466&gt;=Setup!$B$25,"Moderate","Low")))))))</f>
        <v/>
      </c>
      <c r="AL1466" s="21">
        <f>IF(AND($A1466="",$B1466=""),"",IF(Z1466=0,"",IF(AND(AE1466=1,N($R1466)&gt;AD1466*1.01+0.001),"Net terrestrial &gt; gross; ","")&amp;IF(AND(AE1466=1,N($S1466)&gt;AC1466*1.01+0.001),"Net marine &gt; gross; ","")&amp;IF(AE1466=0,"No net area – gross used, overlaps may be double-counted; ","")&amp;IF(AH1466=0,"STATUS_YR missing – imputed in time series; ","")&amp;IF(AND(ISNUMBER($I1466),N($I1466)&gt;Setup!$B$6),"STATUS_YR after reporting year; ","")&amp;IF(OR($G1466="",$G1466="Not Reported"),"GOV_TYPE not reported; ","")&amp;IF(AND(N($J1466)=1,$K1466="Point",N($M1466)&lt;=0),"Coastal point without REP_M_AREA – land/sea split unknown; ","")&amp;IF(AND(N($J1466)=0,N($S1466)&gt;0),"MARINE=0 but net marine &gt;0; ","")&amp;IF(AND(N($J1466)=2,N($R1466)&gt;0),"MARINE=2 but net terrestrial &gt;0; ","")&amp;IF($K1466="Point","Buffered point – coverage approximate; ","")))</f>
        <v/>
      </c>
    </row>
    <row r="1467">
      <c r="A1467" s="19" t="n"/>
      <c r="B1467" s="19" t="n"/>
      <c r="C1467" s="19" t="n"/>
      <c r="D1467" s="19" t="n"/>
      <c r="E1467" s="19" t="n"/>
      <c r="F1467" s="19" t="n"/>
      <c r="G1467" s="19" t="n"/>
      <c r="H1467" s="19" t="n"/>
      <c r="I1467" s="19" t="n"/>
      <c r="J1467" s="19" t="n"/>
      <c r="K1467" s="19" t="n"/>
      <c r="L1467" s="20" t="n"/>
      <c r="M1467" s="20" t="n"/>
      <c r="N1467" s="20" t="n"/>
      <c r="O1467" s="20" t="n"/>
      <c r="P1467" s="19" t="n"/>
      <c r="Q1467" s="19" t="n"/>
      <c r="R1467" s="20" t="n"/>
      <c r="S1467" s="20" t="n"/>
      <c r="T1467" s="19" t="n"/>
      <c r="U1467" s="19" t="n"/>
      <c r="V1467" s="19" t="n"/>
      <c r="W1467" s="19" t="n"/>
      <c r="X1467" s="19" t="n"/>
      <c r="Y1467" s="19" t="n"/>
      <c r="Z1467" s="21">
        <f>IF(AND($A1467="",$B1467=""),"",IF(OR($E1467="",$H1467="",$H1467="Proposed",$H1467="Not Reported"),0,IF(AND($P1467="Y",$Q1467&lt;&gt;"Y"),0,IF(AND($K1467="Point",N($L1467)&lt;=0),0,IF(AND(N($L1467)&lt;=0,N($N1467)&lt;=0,N($R1467)+N($S1467)&lt;=0),0,1)))))</f>
        <v/>
      </c>
      <c r="AA1467" s="21">
        <f>IF(AND($A1467="",$B1467=""),"",IF($E1467="","Site type missing",IF($H1467="","STATUS missing",IF($H1467="Proposed","STATUS = Proposed",IF($H1467="Not Reported","STATUS = Not Reported",IF(AND($P1467="Y",$Q1467&lt;&gt;"Y"),"UNESCO-MAB Biosphere Reserve",IF(AND($K1467="Point",N($L1467)&lt;=0),"Point without REP_AREA",IF(AND(N($L1467)&lt;=0,N($N1467)&lt;=0,N($R1467)+N($S1467)&lt;=0),"No area information",""))))))))</f>
        <v/>
      </c>
      <c r="AB1467" s="22">
        <f>IF(AND($A1467="",$B1467=""),"",IF($K1467="Point",N($L1467),IF(N($N1467)&gt;0,N($N1467),N($L1467))))</f>
        <v/>
      </c>
      <c r="AC1467" s="22">
        <f>IF(AND($A1467="",$B1467=""),"",MIN(AB1467,IF(N($J1467)=0,0,IF(N($J1467)=2,AB1467,IF(AND($K1467&lt;&gt;"Point",N($O1467)&gt;0),N($O1467),N($M1467))))))</f>
        <v/>
      </c>
      <c r="AD1467" s="22">
        <f>IF(AND($A1467="",$B1467=""),"",MAX(0,AB1467-AC1467))</f>
        <v/>
      </c>
      <c r="AE1467" s="21">
        <f>IF(AND($A1467="",$B1467=""),"",IF(OR($R1467&lt;&gt;"",$S1467&lt;&gt;""),1,0))</f>
        <v/>
      </c>
      <c r="AF1467" s="22">
        <f>IF(AND($A1467="",$B1467=""),"",IF(Z1467=1,IF(AE1467=1,N($R1467),AD1467),0))</f>
        <v/>
      </c>
      <c r="AG1467" s="22">
        <f>IF(AND($A1467="",$B1467=""),"",IF(Z1467=1,IF(AE1467=1,N($S1467),AC1467),0))</f>
        <v/>
      </c>
      <c r="AH1467" s="21">
        <f>IF(AND($A1467="",$B1467=""),"",IF(AND(ISNUMBER($I1467),N($I1467)&gt;0),$I1467,0))</f>
        <v/>
      </c>
      <c r="AI1467" s="23">
        <f>IF(AND(NOT(AND($A1467="",$B1467="")),$K1467="Point",N($L1467)&gt;0),SQRT(N($L1467)/PI()),"")</f>
        <v/>
      </c>
      <c r="AJ1467" s="21">
        <f>IF(AND($A1467="",$B1467=""),"",IFERROR(VLOOKUP($G1467,Lists!$D$4:$E$15,2,FALSE),"Not reported"))</f>
        <v/>
      </c>
      <c r="AK1467" s="21">
        <f>IF(AND($A1467="",$B1467=""),"",IF($X1467&lt;&gt;"",$X1467,IF($T1467&lt;&gt;"Y","Not assessed",IF(AND(ISNUMBER($V1467),Setup!$B$6-$V1467&gt;Setup!$B$26),"Assessment outdated",IF(NOT(ISNUMBER($W1467)),"Assessed – no score",IF($W1467&gt;=Setup!$B$24,"High",IF($W1467&gt;=Setup!$B$25,"Moderate","Low")))))))</f>
        <v/>
      </c>
      <c r="AL1467" s="21">
        <f>IF(AND($A1467="",$B1467=""),"",IF(Z1467=0,"",IF(AND(AE1467=1,N($R1467)&gt;AD1467*1.01+0.001),"Net terrestrial &gt; gross; ","")&amp;IF(AND(AE1467=1,N($S1467)&gt;AC1467*1.01+0.001),"Net marine &gt; gross; ","")&amp;IF(AE1467=0,"No net area – gross used, overlaps may be double-counted; ","")&amp;IF(AH1467=0,"STATUS_YR missing – imputed in time series; ","")&amp;IF(AND(ISNUMBER($I1467),N($I1467)&gt;Setup!$B$6),"STATUS_YR after reporting year; ","")&amp;IF(OR($G1467="",$G1467="Not Reported"),"GOV_TYPE not reported; ","")&amp;IF(AND(N($J1467)=1,$K1467="Point",N($M1467)&lt;=0),"Coastal point without REP_M_AREA – land/sea split unknown; ","")&amp;IF(AND(N($J1467)=0,N($S1467)&gt;0),"MARINE=0 but net marine &gt;0; ","")&amp;IF(AND(N($J1467)=2,N($R1467)&gt;0),"MARINE=2 but net terrestrial &gt;0; ","")&amp;IF($K1467="Point","Buffered point – coverage approximate; ","")))</f>
        <v/>
      </c>
    </row>
    <row r="1468">
      <c r="A1468" s="19" t="n"/>
      <c r="B1468" s="19" t="n"/>
      <c r="C1468" s="19" t="n"/>
      <c r="D1468" s="19" t="n"/>
      <c r="E1468" s="19" t="n"/>
      <c r="F1468" s="19" t="n"/>
      <c r="G1468" s="19" t="n"/>
      <c r="H1468" s="19" t="n"/>
      <c r="I1468" s="19" t="n"/>
      <c r="J1468" s="19" t="n"/>
      <c r="K1468" s="19" t="n"/>
      <c r="L1468" s="20" t="n"/>
      <c r="M1468" s="20" t="n"/>
      <c r="N1468" s="20" t="n"/>
      <c r="O1468" s="20" t="n"/>
      <c r="P1468" s="19" t="n"/>
      <c r="Q1468" s="19" t="n"/>
      <c r="R1468" s="20" t="n"/>
      <c r="S1468" s="20" t="n"/>
      <c r="T1468" s="19" t="n"/>
      <c r="U1468" s="19" t="n"/>
      <c r="V1468" s="19" t="n"/>
      <c r="W1468" s="19" t="n"/>
      <c r="X1468" s="19" t="n"/>
      <c r="Y1468" s="19" t="n"/>
      <c r="Z1468" s="21">
        <f>IF(AND($A1468="",$B1468=""),"",IF(OR($E1468="",$H1468="",$H1468="Proposed",$H1468="Not Reported"),0,IF(AND($P1468="Y",$Q1468&lt;&gt;"Y"),0,IF(AND($K1468="Point",N($L1468)&lt;=0),0,IF(AND(N($L1468)&lt;=0,N($N1468)&lt;=0,N($R1468)+N($S1468)&lt;=0),0,1)))))</f>
        <v/>
      </c>
      <c r="AA1468" s="21">
        <f>IF(AND($A1468="",$B1468=""),"",IF($E1468="","Site type missing",IF($H1468="","STATUS missing",IF($H1468="Proposed","STATUS = Proposed",IF($H1468="Not Reported","STATUS = Not Reported",IF(AND($P1468="Y",$Q1468&lt;&gt;"Y"),"UNESCO-MAB Biosphere Reserve",IF(AND($K1468="Point",N($L1468)&lt;=0),"Point without REP_AREA",IF(AND(N($L1468)&lt;=0,N($N1468)&lt;=0,N($R1468)+N($S1468)&lt;=0),"No area information",""))))))))</f>
        <v/>
      </c>
      <c r="AB1468" s="22">
        <f>IF(AND($A1468="",$B1468=""),"",IF($K1468="Point",N($L1468),IF(N($N1468)&gt;0,N($N1468),N($L1468))))</f>
        <v/>
      </c>
      <c r="AC1468" s="22">
        <f>IF(AND($A1468="",$B1468=""),"",MIN(AB1468,IF(N($J1468)=0,0,IF(N($J1468)=2,AB1468,IF(AND($K1468&lt;&gt;"Point",N($O1468)&gt;0),N($O1468),N($M1468))))))</f>
        <v/>
      </c>
      <c r="AD1468" s="22">
        <f>IF(AND($A1468="",$B1468=""),"",MAX(0,AB1468-AC1468))</f>
        <v/>
      </c>
      <c r="AE1468" s="21">
        <f>IF(AND($A1468="",$B1468=""),"",IF(OR($R1468&lt;&gt;"",$S1468&lt;&gt;""),1,0))</f>
        <v/>
      </c>
      <c r="AF1468" s="22">
        <f>IF(AND($A1468="",$B1468=""),"",IF(Z1468=1,IF(AE1468=1,N($R1468),AD1468),0))</f>
        <v/>
      </c>
      <c r="AG1468" s="22">
        <f>IF(AND($A1468="",$B1468=""),"",IF(Z1468=1,IF(AE1468=1,N($S1468),AC1468),0))</f>
        <v/>
      </c>
      <c r="AH1468" s="21">
        <f>IF(AND($A1468="",$B1468=""),"",IF(AND(ISNUMBER($I1468),N($I1468)&gt;0),$I1468,0))</f>
        <v/>
      </c>
      <c r="AI1468" s="23">
        <f>IF(AND(NOT(AND($A1468="",$B1468="")),$K1468="Point",N($L1468)&gt;0),SQRT(N($L1468)/PI()),"")</f>
        <v/>
      </c>
      <c r="AJ1468" s="21">
        <f>IF(AND($A1468="",$B1468=""),"",IFERROR(VLOOKUP($G1468,Lists!$D$4:$E$15,2,FALSE),"Not reported"))</f>
        <v/>
      </c>
      <c r="AK1468" s="21">
        <f>IF(AND($A1468="",$B1468=""),"",IF($X1468&lt;&gt;"",$X1468,IF($T1468&lt;&gt;"Y","Not assessed",IF(AND(ISNUMBER($V1468),Setup!$B$6-$V1468&gt;Setup!$B$26),"Assessment outdated",IF(NOT(ISNUMBER($W1468)),"Assessed – no score",IF($W1468&gt;=Setup!$B$24,"High",IF($W1468&gt;=Setup!$B$25,"Moderate","Low")))))))</f>
        <v/>
      </c>
      <c r="AL1468" s="21">
        <f>IF(AND($A1468="",$B1468=""),"",IF(Z1468=0,"",IF(AND(AE1468=1,N($R1468)&gt;AD1468*1.01+0.001),"Net terrestrial &gt; gross; ","")&amp;IF(AND(AE1468=1,N($S1468)&gt;AC1468*1.01+0.001),"Net marine &gt; gross; ","")&amp;IF(AE1468=0,"No net area – gross used, overlaps may be double-counted; ","")&amp;IF(AH1468=0,"STATUS_YR missing – imputed in time series; ","")&amp;IF(AND(ISNUMBER($I1468),N($I1468)&gt;Setup!$B$6),"STATUS_YR after reporting year; ","")&amp;IF(OR($G1468="",$G1468="Not Reported"),"GOV_TYPE not reported; ","")&amp;IF(AND(N($J1468)=1,$K1468="Point",N($M1468)&lt;=0),"Coastal point without REP_M_AREA – land/sea split unknown; ","")&amp;IF(AND(N($J1468)=0,N($S1468)&gt;0),"MARINE=0 but net marine &gt;0; ","")&amp;IF(AND(N($J1468)=2,N($R1468)&gt;0),"MARINE=2 but net terrestrial &gt;0; ","")&amp;IF($K1468="Point","Buffered point – coverage approximate; ","")))</f>
        <v/>
      </c>
    </row>
    <row r="1469">
      <c r="A1469" s="19" t="n"/>
      <c r="B1469" s="19" t="n"/>
      <c r="C1469" s="19" t="n"/>
      <c r="D1469" s="19" t="n"/>
      <c r="E1469" s="19" t="n"/>
      <c r="F1469" s="19" t="n"/>
      <c r="G1469" s="19" t="n"/>
      <c r="H1469" s="19" t="n"/>
      <c r="I1469" s="19" t="n"/>
      <c r="J1469" s="19" t="n"/>
      <c r="K1469" s="19" t="n"/>
      <c r="L1469" s="20" t="n"/>
      <c r="M1469" s="20" t="n"/>
      <c r="N1469" s="20" t="n"/>
      <c r="O1469" s="20" t="n"/>
      <c r="P1469" s="19" t="n"/>
      <c r="Q1469" s="19" t="n"/>
      <c r="R1469" s="20" t="n"/>
      <c r="S1469" s="20" t="n"/>
      <c r="T1469" s="19" t="n"/>
      <c r="U1469" s="19" t="n"/>
      <c r="V1469" s="19" t="n"/>
      <c r="W1469" s="19" t="n"/>
      <c r="X1469" s="19" t="n"/>
      <c r="Y1469" s="19" t="n"/>
      <c r="Z1469" s="21">
        <f>IF(AND($A1469="",$B1469=""),"",IF(OR($E1469="",$H1469="",$H1469="Proposed",$H1469="Not Reported"),0,IF(AND($P1469="Y",$Q1469&lt;&gt;"Y"),0,IF(AND($K1469="Point",N($L1469)&lt;=0),0,IF(AND(N($L1469)&lt;=0,N($N1469)&lt;=0,N($R1469)+N($S1469)&lt;=0),0,1)))))</f>
        <v/>
      </c>
      <c r="AA1469" s="21">
        <f>IF(AND($A1469="",$B1469=""),"",IF($E1469="","Site type missing",IF($H1469="","STATUS missing",IF($H1469="Proposed","STATUS = Proposed",IF($H1469="Not Reported","STATUS = Not Reported",IF(AND($P1469="Y",$Q1469&lt;&gt;"Y"),"UNESCO-MAB Biosphere Reserve",IF(AND($K1469="Point",N($L1469)&lt;=0),"Point without REP_AREA",IF(AND(N($L1469)&lt;=0,N($N1469)&lt;=0,N($R1469)+N($S1469)&lt;=0),"No area information",""))))))))</f>
        <v/>
      </c>
      <c r="AB1469" s="22">
        <f>IF(AND($A1469="",$B1469=""),"",IF($K1469="Point",N($L1469),IF(N($N1469)&gt;0,N($N1469),N($L1469))))</f>
        <v/>
      </c>
      <c r="AC1469" s="22">
        <f>IF(AND($A1469="",$B1469=""),"",MIN(AB1469,IF(N($J1469)=0,0,IF(N($J1469)=2,AB1469,IF(AND($K1469&lt;&gt;"Point",N($O1469)&gt;0),N($O1469),N($M1469))))))</f>
        <v/>
      </c>
      <c r="AD1469" s="22">
        <f>IF(AND($A1469="",$B1469=""),"",MAX(0,AB1469-AC1469))</f>
        <v/>
      </c>
      <c r="AE1469" s="21">
        <f>IF(AND($A1469="",$B1469=""),"",IF(OR($R1469&lt;&gt;"",$S1469&lt;&gt;""),1,0))</f>
        <v/>
      </c>
      <c r="AF1469" s="22">
        <f>IF(AND($A1469="",$B1469=""),"",IF(Z1469=1,IF(AE1469=1,N($R1469),AD1469),0))</f>
        <v/>
      </c>
      <c r="AG1469" s="22">
        <f>IF(AND($A1469="",$B1469=""),"",IF(Z1469=1,IF(AE1469=1,N($S1469),AC1469),0))</f>
        <v/>
      </c>
      <c r="AH1469" s="21">
        <f>IF(AND($A1469="",$B1469=""),"",IF(AND(ISNUMBER($I1469),N($I1469)&gt;0),$I1469,0))</f>
        <v/>
      </c>
      <c r="AI1469" s="23">
        <f>IF(AND(NOT(AND($A1469="",$B1469="")),$K1469="Point",N($L1469)&gt;0),SQRT(N($L1469)/PI()),"")</f>
        <v/>
      </c>
      <c r="AJ1469" s="21">
        <f>IF(AND($A1469="",$B1469=""),"",IFERROR(VLOOKUP($G1469,Lists!$D$4:$E$15,2,FALSE),"Not reported"))</f>
        <v/>
      </c>
      <c r="AK1469" s="21">
        <f>IF(AND($A1469="",$B1469=""),"",IF($X1469&lt;&gt;"",$X1469,IF($T1469&lt;&gt;"Y","Not assessed",IF(AND(ISNUMBER($V1469),Setup!$B$6-$V1469&gt;Setup!$B$26),"Assessment outdated",IF(NOT(ISNUMBER($W1469)),"Assessed – no score",IF($W1469&gt;=Setup!$B$24,"High",IF($W1469&gt;=Setup!$B$25,"Moderate","Low")))))))</f>
        <v/>
      </c>
      <c r="AL1469" s="21">
        <f>IF(AND($A1469="",$B1469=""),"",IF(Z1469=0,"",IF(AND(AE1469=1,N($R1469)&gt;AD1469*1.01+0.001),"Net terrestrial &gt; gross; ","")&amp;IF(AND(AE1469=1,N($S1469)&gt;AC1469*1.01+0.001),"Net marine &gt; gross; ","")&amp;IF(AE1469=0,"No net area – gross used, overlaps may be double-counted; ","")&amp;IF(AH1469=0,"STATUS_YR missing – imputed in time series; ","")&amp;IF(AND(ISNUMBER($I1469),N($I1469)&gt;Setup!$B$6),"STATUS_YR after reporting year; ","")&amp;IF(OR($G1469="",$G1469="Not Reported"),"GOV_TYPE not reported; ","")&amp;IF(AND(N($J1469)=1,$K1469="Point",N($M1469)&lt;=0),"Coastal point without REP_M_AREA – land/sea split unknown; ","")&amp;IF(AND(N($J1469)=0,N($S1469)&gt;0),"MARINE=0 but net marine &gt;0; ","")&amp;IF(AND(N($J1469)=2,N($R1469)&gt;0),"MARINE=2 but net terrestrial &gt;0; ","")&amp;IF($K1469="Point","Buffered point – coverage approximate; ","")))</f>
        <v/>
      </c>
    </row>
    <row r="1470">
      <c r="A1470" s="19" t="n"/>
      <c r="B1470" s="19" t="n"/>
      <c r="C1470" s="19" t="n"/>
      <c r="D1470" s="19" t="n"/>
      <c r="E1470" s="19" t="n"/>
      <c r="F1470" s="19" t="n"/>
      <c r="G1470" s="19" t="n"/>
      <c r="H1470" s="19" t="n"/>
      <c r="I1470" s="19" t="n"/>
      <c r="J1470" s="19" t="n"/>
      <c r="K1470" s="19" t="n"/>
      <c r="L1470" s="20" t="n"/>
      <c r="M1470" s="20" t="n"/>
      <c r="N1470" s="20" t="n"/>
      <c r="O1470" s="20" t="n"/>
      <c r="P1470" s="19" t="n"/>
      <c r="Q1470" s="19" t="n"/>
      <c r="R1470" s="20" t="n"/>
      <c r="S1470" s="20" t="n"/>
      <c r="T1470" s="19" t="n"/>
      <c r="U1470" s="19" t="n"/>
      <c r="V1470" s="19" t="n"/>
      <c r="W1470" s="19" t="n"/>
      <c r="X1470" s="19" t="n"/>
      <c r="Y1470" s="19" t="n"/>
      <c r="Z1470" s="21">
        <f>IF(AND($A1470="",$B1470=""),"",IF(OR($E1470="",$H1470="",$H1470="Proposed",$H1470="Not Reported"),0,IF(AND($P1470="Y",$Q1470&lt;&gt;"Y"),0,IF(AND($K1470="Point",N($L1470)&lt;=0),0,IF(AND(N($L1470)&lt;=0,N($N1470)&lt;=0,N($R1470)+N($S1470)&lt;=0),0,1)))))</f>
        <v/>
      </c>
      <c r="AA1470" s="21">
        <f>IF(AND($A1470="",$B1470=""),"",IF($E1470="","Site type missing",IF($H1470="","STATUS missing",IF($H1470="Proposed","STATUS = Proposed",IF($H1470="Not Reported","STATUS = Not Reported",IF(AND($P1470="Y",$Q1470&lt;&gt;"Y"),"UNESCO-MAB Biosphere Reserve",IF(AND($K1470="Point",N($L1470)&lt;=0),"Point without REP_AREA",IF(AND(N($L1470)&lt;=0,N($N1470)&lt;=0,N($R1470)+N($S1470)&lt;=0),"No area information",""))))))))</f>
        <v/>
      </c>
      <c r="AB1470" s="22">
        <f>IF(AND($A1470="",$B1470=""),"",IF($K1470="Point",N($L1470),IF(N($N1470)&gt;0,N($N1470),N($L1470))))</f>
        <v/>
      </c>
      <c r="AC1470" s="22">
        <f>IF(AND($A1470="",$B1470=""),"",MIN(AB1470,IF(N($J1470)=0,0,IF(N($J1470)=2,AB1470,IF(AND($K1470&lt;&gt;"Point",N($O1470)&gt;0),N($O1470),N($M1470))))))</f>
        <v/>
      </c>
      <c r="AD1470" s="22">
        <f>IF(AND($A1470="",$B1470=""),"",MAX(0,AB1470-AC1470))</f>
        <v/>
      </c>
      <c r="AE1470" s="21">
        <f>IF(AND($A1470="",$B1470=""),"",IF(OR($R1470&lt;&gt;"",$S1470&lt;&gt;""),1,0))</f>
        <v/>
      </c>
      <c r="AF1470" s="22">
        <f>IF(AND($A1470="",$B1470=""),"",IF(Z1470=1,IF(AE1470=1,N($R1470),AD1470),0))</f>
        <v/>
      </c>
      <c r="AG1470" s="22">
        <f>IF(AND($A1470="",$B1470=""),"",IF(Z1470=1,IF(AE1470=1,N($S1470),AC1470),0))</f>
        <v/>
      </c>
      <c r="AH1470" s="21">
        <f>IF(AND($A1470="",$B1470=""),"",IF(AND(ISNUMBER($I1470),N($I1470)&gt;0),$I1470,0))</f>
        <v/>
      </c>
      <c r="AI1470" s="23">
        <f>IF(AND(NOT(AND($A1470="",$B1470="")),$K1470="Point",N($L1470)&gt;0),SQRT(N($L1470)/PI()),"")</f>
        <v/>
      </c>
      <c r="AJ1470" s="21">
        <f>IF(AND($A1470="",$B1470=""),"",IFERROR(VLOOKUP($G1470,Lists!$D$4:$E$15,2,FALSE),"Not reported"))</f>
        <v/>
      </c>
      <c r="AK1470" s="21">
        <f>IF(AND($A1470="",$B1470=""),"",IF($X1470&lt;&gt;"",$X1470,IF($T1470&lt;&gt;"Y","Not assessed",IF(AND(ISNUMBER($V1470),Setup!$B$6-$V1470&gt;Setup!$B$26),"Assessment outdated",IF(NOT(ISNUMBER($W1470)),"Assessed – no score",IF($W1470&gt;=Setup!$B$24,"High",IF($W1470&gt;=Setup!$B$25,"Moderate","Low")))))))</f>
        <v/>
      </c>
      <c r="AL1470" s="21">
        <f>IF(AND($A1470="",$B1470=""),"",IF(Z1470=0,"",IF(AND(AE1470=1,N($R1470)&gt;AD1470*1.01+0.001),"Net terrestrial &gt; gross; ","")&amp;IF(AND(AE1470=1,N($S1470)&gt;AC1470*1.01+0.001),"Net marine &gt; gross; ","")&amp;IF(AE1470=0,"No net area – gross used, overlaps may be double-counted; ","")&amp;IF(AH1470=0,"STATUS_YR missing – imputed in time series; ","")&amp;IF(AND(ISNUMBER($I1470),N($I1470)&gt;Setup!$B$6),"STATUS_YR after reporting year; ","")&amp;IF(OR($G1470="",$G1470="Not Reported"),"GOV_TYPE not reported; ","")&amp;IF(AND(N($J1470)=1,$K1470="Point",N($M1470)&lt;=0),"Coastal point without REP_M_AREA – land/sea split unknown; ","")&amp;IF(AND(N($J1470)=0,N($S1470)&gt;0),"MARINE=0 but net marine &gt;0; ","")&amp;IF(AND(N($J1470)=2,N($R1470)&gt;0),"MARINE=2 but net terrestrial &gt;0; ","")&amp;IF($K1470="Point","Buffered point – coverage approximate; ","")))</f>
        <v/>
      </c>
    </row>
    <row r="1471">
      <c r="A1471" s="19" t="n"/>
      <c r="B1471" s="19" t="n"/>
      <c r="C1471" s="19" t="n"/>
      <c r="D1471" s="19" t="n"/>
      <c r="E1471" s="19" t="n"/>
      <c r="F1471" s="19" t="n"/>
      <c r="G1471" s="19" t="n"/>
      <c r="H1471" s="19" t="n"/>
      <c r="I1471" s="19" t="n"/>
      <c r="J1471" s="19" t="n"/>
      <c r="K1471" s="19" t="n"/>
      <c r="L1471" s="20" t="n"/>
      <c r="M1471" s="20" t="n"/>
      <c r="N1471" s="20" t="n"/>
      <c r="O1471" s="20" t="n"/>
      <c r="P1471" s="19" t="n"/>
      <c r="Q1471" s="19" t="n"/>
      <c r="R1471" s="20" t="n"/>
      <c r="S1471" s="20" t="n"/>
      <c r="T1471" s="19" t="n"/>
      <c r="U1471" s="19" t="n"/>
      <c r="V1471" s="19" t="n"/>
      <c r="W1471" s="19" t="n"/>
      <c r="X1471" s="19" t="n"/>
      <c r="Y1471" s="19" t="n"/>
      <c r="Z1471" s="21">
        <f>IF(AND($A1471="",$B1471=""),"",IF(OR($E1471="",$H1471="",$H1471="Proposed",$H1471="Not Reported"),0,IF(AND($P1471="Y",$Q1471&lt;&gt;"Y"),0,IF(AND($K1471="Point",N($L1471)&lt;=0),0,IF(AND(N($L1471)&lt;=0,N($N1471)&lt;=0,N($R1471)+N($S1471)&lt;=0),0,1)))))</f>
        <v/>
      </c>
      <c r="AA1471" s="21">
        <f>IF(AND($A1471="",$B1471=""),"",IF($E1471="","Site type missing",IF($H1471="","STATUS missing",IF($H1471="Proposed","STATUS = Proposed",IF($H1471="Not Reported","STATUS = Not Reported",IF(AND($P1471="Y",$Q1471&lt;&gt;"Y"),"UNESCO-MAB Biosphere Reserve",IF(AND($K1471="Point",N($L1471)&lt;=0),"Point without REP_AREA",IF(AND(N($L1471)&lt;=0,N($N1471)&lt;=0,N($R1471)+N($S1471)&lt;=0),"No area information",""))))))))</f>
        <v/>
      </c>
      <c r="AB1471" s="22">
        <f>IF(AND($A1471="",$B1471=""),"",IF($K1471="Point",N($L1471),IF(N($N1471)&gt;0,N($N1471),N($L1471))))</f>
        <v/>
      </c>
      <c r="AC1471" s="22">
        <f>IF(AND($A1471="",$B1471=""),"",MIN(AB1471,IF(N($J1471)=0,0,IF(N($J1471)=2,AB1471,IF(AND($K1471&lt;&gt;"Point",N($O1471)&gt;0),N($O1471),N($M1471))))))</f>
        <v/>
      </c>
      <c r="AD1471" s="22">
        <f>IF(AND($A1471="",$B1471=""),"",MAX(0,AB1471-AC1471))</f>
        <v/>
      </c>
      <c r="AE1471" s="21">
        <f>IF(AND($A1471="",$B1471=""),"",IF(OR($R1471&lt;&gt;"",$S1471&lt;&gt;""),1,0))</f>
        <v/>
      </c>
      <c r="AF1471" s="22">
        <f>IF(AND($A1471="",$B1471=""),"",IF(Z1471=1,IF(AE1471=1,N($R1471),AD1471),0))</f>
        <v/>
      </c>
      <c r="AG1471" s="22">
        <f>IF(AND($A1471="",$B1471=""),"",IF(Z1471=1,IF(AE1471=1,N($S1471),AC1471),0))</f>
        <v/>
      </c>
      <c r="AH1471" s="21">
        <f>IF(AND($A1471="",$B1471=""),"",IF(AND(ISNUMBER($I1471),N($I1471)&gt;0),$I1471,0))</f>
        <v/>
      </c>
      <c r="AI1471" s="23">
        <f>IF(AND(NOT(AND($A1471="",$B1471="")),$K1471="Point",N($L1471)&gt;0),SQRT(N($L1471)/PI()),"")</f>
        <v/>
      </c>
      <c r="AJ1471" s="21">
        <f>IF(AND($A1471="",$B1471=""),"",IFERROR(VLOOKUP($G1471,Lists!$D$4:$E$15,2,FALSE),"Not reported"))</f>
        <v/>
      </c>
      <c r="AK1471" s="21">
        <f>IF(AND($A1471="",$B1471=""),"",IF($X1471&lt;&gt;"",$X1471,IF($T1471&lt;&gt;"Y","Not assessed",IF(AND(ISNUMBER($V1471),Setup!$B$6-$V1471&gt;Setup!$B$26),"Assessment outdated",IF(NOT(ISNUMBER($W1471)),"Assessed – no score",IF($W1471&gt;=Setup!$B$24,"High",IF($W1471&gt;=Setup!$B$25,"Moderate","Low")))))))</f>
        <v/>
      </c>
      <c r="AL1471" s="21">
        <f>IF(AND($A1471="",$B1471=""),"",IF(Z1471=0,"",IF(AND(AE1471=1,N($R1471)&gt;AD1471*1.01+0.001),"Net terrestrial &gt; gross; ","")&amp;IF(AND(AE1471=1,N($S1471)&gt;AC1471*1.01+0.001),"Net marine &gt; gross; ","")&amp;IF(AE1471=0,"No net area – gross used, overlaps may be double-counted; ","")&amp;IF(AH1471=0,"STATUS_YR missing – imputed in time series; ","")&amp;IF(AND(ISNUMBER($I1471),N($I1471)&gt;Setup!$B$6),"STATUS_YR after reporting year; ","")&amp;IF(OR($G1471="",$G1471="Not Reported"),"GOV_TYPE not reported; ","")&amp;IF(AND(N($J1471)=1,$K1471="Point",N($M1471)&lt;=0),"Coastal point without REP_M_AREA – land/sea split unknown; ","")&amp;IF(AND(N($J1471)=0,N($S1471)&gt;0),"MARINE=0 but net marine &gt;0; ","")&amp;IF(AND(N($J1471)=2,N($R1471)&gt;0),"MARINE=2 but net terrestrial &gt;0; ","")&amp;IF($K1471="Point","Buffered point – coverage approximate; ","")))</f>
        <v/>
      </c>
    </row>
    <row r="1472">
      <c r="A1472" s="19" t="n"/>
      <c r="B1472" s="19" t="n"/>
      <c r="C1472" s="19" t="n"/>
      <c r="D1472" s="19" t="n"/>
      <c r="E1472" s="19" t="n"/>
      <c r="F1472" s="19" t="n"/>
      <c r="G1472" s="19" t="n"/>
      <c r="H1472" s="19" t="n"/>
      <c r="I1472" s="19" t="n"/>
      <c r="J1472" s="19" t="n"/>
      <c r="K1472" s="19" t="n"/>
      <c r="L1472" s="20" t="n"/>
      <c r="M1472" s="20" t="n"/>
      <c r="N1472" s="20" t="n"/>
      <c r="O1472" s="20" t="n"/>
      <c r="P1472" s="19" t="n"/>
      <c r="Q1472" s="19" t="n"/>
      <c r="R1472" s="20" t="n"/>
      <c r="S1472" s="20" t="n"/>
      <c r="T1472" s="19" t="n"/>
      <c r="U1472" s="19" t="n"/>
      <c r="V1472" s="19" t="n"/>
      <c r="W1472" s="19" t="n"/>
      <c r="X1472" s="19" t="n"/>
      <c r="Y1472" s="19" t="n"/>
      <c r="Z1472" s="21">
        <f>IF(AND($A1472="",$B1472=""),"",IF(OR($E1472="",$H1472="",$H1472="Proposed",$H1472="Not Reported"),0,IF(AND($P1472="Y",$Q1472&lt;&gt;"Y"),0,IF(AND($K1472="Point",N($L1472)&lt;=0),0,IF(AND(N($L1472)&lt;=0,N($N1472)&lt;=0,N($R1472)+N($S1472)&lt;=0),0,1)))))</f>
        <v/>
      </c>
      <c r="AA1472" s="21">
        <f>IF(AND($A1472="",$B1472=""),"",IF($E1472="","Site type missing",IF($H1472="","STATUS missing",IF($H1472="Proposed","STATUS = Proposed",IF($H1472="Not Reported","STATUS = Not Reported",IF(AND($P1472="Y",$Q1472&lt;&gt;"Y"),"UNESCO-MAB Biosphere Reserve",IF(AND($K1472="Point",N($L1472)&lt;=0),"Point without REP_AREA",IF(AND(N($L1472)&lt;=0,N($N1472)&lt;=0,N($R1472)+N($S1472)&lt;=0),"No area information",""))))))))</f>
        <v/>
      </c>
      <c r="AB1472" s="22">
        <f>IF(AND($A1472="",$B1472=""),"",IF($K1472="Point",N($L1472),IF(N($N1472)&gt;0,N($N1472),N($L1472))))</f>
        <v/>
      </c>
      <c r="AC1472" s="22">
        <f>IF(AND($A1472="",$B1472=""),"",MIN(AB1472,IF(N($J1472)=0,0,IF(N($J1472)=2,AB1472,IF(AND($K1472&lt;&gt;"Point",N($O1472)&gt;0),N($O1472),N($M1472))))))</f>
        <v/>
      </c>
      <c r="AD1472" s="22">
        <f>IF(AND($A1472="",$B1472=""),"",MAX(0,AB1472-AC1472))</f>
        <v/>
      </c>
      <c r="AE1472" s="21">
        <f>IF(AND($A1472="",$B1472=""),"",IF(OR($R1472&lt;&gt;"",$S1472&lt;&gt;""),1,0))</f>
        <v/>
      </c>
      <c r="AF1472" s="22">
        <f>IF(AND($A1472="",$B1472=""),"",IF(Z1472=1,IF(AE1472=1,N($R1472),AD1472),0))</f>
        <v/>
      </c>
      <c r="AG1472" s="22">
        <f>IF(AND($A1472="",$B1472=""),"",IF(Z1472=1,IF(AE1472=1,N($S1472),AC1472),0))</f>
        <v/>
      </c>
      <c r="AH1472" s="21">
        <f>IF(AND($A1472="",$B1472=""),"",IF(AND(ISNUMBER($I1472),N($I1472)&gt;0),$I1472,0))</f>
        <v/>
      </c>
      <c r="AI1472" s="23">
        <f>IF(AND(NOT(AND($A1472="",$B1472="")),$K1472="Point",N($L1472)&gt;0),SQRT(N($L1472)/PI()),"")</f>
        <v/>
      </c>
      <c r="AJ1472" s="21">
        <f>IF(AND($A1472="",$B1472=""),"",IFERROR(VLOOKUP($G1472,Lists!$D$4:$E$15,2,FALSE),"Not reported"))</f>
        <v/>
      </c>
      <c r="AK1472" s="21">
        <f>IF(AND($A1472="",$B1472=""),"",IF($X1472&lt;&gt;"",$X1472,IF($T1472&lt;&gt;"Y","Not assessed",IF(AND(ISNUMBER($V1472),Setup!$B$6-$V1472&gt;Setup!$B$26),"Assessment outdated",IF(NOT(ISNUMBER($W1472)),"Assessed – no score",IF($W1472&gt;=Setup!$B$24,"High",IF($W1472&gt;=Setup!$B$25,"Moderate","Low")))))))</f>
        <v/>
      </c>
      <c r="AL1472" s="21">
        <f>IF(AND($A1472="",$B1472=""),"",IF(Z1472=0,"",IF(AND(AE1472=1,N($R1472)&gt;AD1472*1.01+0.001),"Net terrestrial &gt; gross; ","")&amp;IF(AND(AE1472=1,N($S1472)&gt;AC1472*1.01+0.001),"Net marine &gt; gross; ","")&amp;IF(AE1472=0,"No net area – gross used, overlaps may be double-counted; ","")&amp;IF(AH1472=0,"STATUS_YR missing – imputed in time series; ","")&amp;IF(AND(ISNUMBER($I1472),N($I1472)&gt;Setup!$B$6),"STATUS_YR after reporting year; ","")&amp;IF(OR($G1472="",$G1472="Not Reported"),"GOV_TYPE not reported; ","")&amp;IF(AND(N($J1472)=1,$K1472="Point",N($M1472)&lt;=0),"Coastal point without REP_M_AREA – land/sea split unknown; ","")&amp;IF(AND(N($J1472)=0,N($S1472)&gt;0),"MARINE=0 but net marine &gt;0; ","")&amp;IF(AND(N($J1472)=2,N($R1472)&gt;0),"MARINE=2 but net terrestrial &gt;0; ","")&amp;IF($K1472="Point","Buffered point – coverage approximate; ","")))</f>
        <v/>
      </c>
    </row>
    <row r="1473">
      <c r="A1473" s="19" t="n"/>
      <c r="B1473" s="19" t="n"/>
      <c r="C1473" s="19" t="n"/>
      <c r="D1473" s="19" t="n"/>
      <c r="E1473" s="19" t="n"/>
      <c r="F1473" s="19" t="n"/>
      <c r="G1473" s="19" t="n"/>
      <c r="H1473" s="19" t="n"/>
      <c r="I1473" s="19" t="n"/>
      <c r="J1473" s="19" t="n"/>
      <c r="K1473" s="19" t="n"/>
      <c r="L1473" s="20" t="n"/>
      <c r="M1473" s="20" t="n"/>
      <c r="N1473" s="20" t="n"/>
      <c r="O1473" s="20" t="n"/>
      <c r="P1473" s="19" t="n"/>
      <c r="Q1473" s="19" t="n"/>
      <c r="R1473" s="20" t="n"/>
      <c r="S1473" s="20" t="n"/>
      <c r="T1473" s="19" t="n"/>
      <c r="U1473" s="19" t="n"/>
      <c r="V1473" s="19" t="n"/>
      <c r="W1473" s="19" t="n"/>
      <c r="X1473" s="19" t="n"/>
      <c r="Y1473" s="19" t="n"/>
      <c r="Z1473" s="21">
        <f>IF(AND($A1473="",$B1473=""),"",IF(OR($E1473="",$H1473="",$H1473="Proposed",$H1473="Not Reported"),0,IF(AND($P1473="Y",$Q1473&lt;&gt;"Y"),0,IF(AND($K1473="Point",N($L1473)&lt;=0),0,IF(AND(N($L1473)&lt;=0,N($N1473)&lt;=0,N($R1473)+N($S1473)&lt;=0),0,1)))))</f>
        <v/>
      </c>
      <c r="AA1473" s="21">
        <f>IF(AND($A1473="",$B1473=""),"",IF($E1473="","Site type missing",IF($H1473="","STATUS missing",IF($H1473="Proposed","STATUS = Proposed",IF($H1473="Not Reported","STATUS = Not Reported",IF(AND($P1473="Y",$Q1473&lt;&gt;"Y"),"UNESCO-MAB Biosphere Reserve",IF(AND($K1473="Point",N($L1473)&lt;=0),"Point without REP_AREA",IF(AND(N($L1473)&lt;=0,N($N1473)&lt;=0,N($R1473)+N($S1473)&lt;=0),"No area information",""))))))))</f>
        <v/>
      </c>
      <c r="AB1473" s="22">
        <f>IF(AND($A1473="",$B1473=""),"",IF($K1473="Point",N($L1473),IF(N($N1473)&gt;0,N($N1473),N($L1473))))</f>
        <v/>
      </c>
      <c r="AC1473" s="22">
        <f>IF(AND($A1473="",$B1473=""),"",MIN(AB1473,IF(N($J1473)=0,0,IF(N($J1473)=2,AB1473,IF(AND($K1473&lt;&gt;"Point",N($O1473)&gt;0),N($O1473),N($M1473))))))</f>
        <v/>
      </c>
      <c r="AD1473" s="22">
        <f>IF(AND($A1473="",$B1473=""),"",MAX(0,AB1473-AC1473))</f>
        <v/>
      </c>
      <c r="AE1473" s="21">
        <f>IF(AND($A1473="",$B1473=""),"",IF(OR($R1473&lt;&gt;"",$S1473&lt;&gt;""),1,0))</f>
        <v/>
      </c>
      <c r="AF1473" s="22">
        <f>IF(AND($A1473="",$B1473=""),"",IF(Z1473=1,IF(AE1473=1,N($R1473),AD1473),0))</f>
        <v/>
      </c>
      <c r="AG1473" s="22">
        <f>IF(AND($A1473="",$B1473=""),"",IF(Z1473=1,IF(AE1473=1,N($S1473),AC1473),0))</f>
        <v/>
      </c>
      <c r="AH1473" s="21">
        <f>IF(AND($A1473="",$B1473=""),"",IF(AND(ISNUMBER($I1473),N($I1473)&gt;0),$I1473,0))</f>
        <v/>
      </c>
      <c r="AI1473" s="23">
        <f>IF(AND(NOT(AND($A1473="",$B1473="")),$K1473="Point",N($L1473)&gt;0),SQRT(N($L1473)/PI()),"")</f>
        <v/>
      </c>
      <c r="AJ1473" s="21">
        <f>IF(AND($A1473="",$B1473=""),"",IFERROR(VLOOKUP($G1473,Lists!$D$4:$E$15,2,FALSE),"Not reported"))</f>
        <v/>
      </c>
      <c r="AK1473" s="21">
        <f>IF(AND($A1473="",$B1473=""),"",IF($X1473&lt;&gt;"",$X1473,IF($T1473&lt;&gt;"Y","Not assessed",IF(AND(ISNUMBER($V1473),Setup!$B$6-$V1473&gt;Setup!$B$26),"Assessment outdated",IF(NOT(ISNUMBER($W1473)),"Assessed – no score",IF($W1473&gt;=Setup!$B$24,"High",IF($W1473&gt;=Setup!$B$25,"Moderate","Low")))))))</f>
        <v/>
      </c>
      <c r="AL1473" s="21">
        <f>IF(AND($A1473="",$B1473=""),"",IF(Z1473=0,"",IF(AND(AE1473=1,N($R1473)&gt;AD1473*1.01+0.001),"Net terrestrial &gt; gross; ","")&amp;IF(AND(AE1473=1,N($S1473)&gt;AC1473*1.01+0.001),"Net marine &gt; gross; ","")&amp;IF(AE1473=0,"No net area – gross used, overlaps may be double-counted; ","")&amp;IF(AH1473=0,"STATUS_YR missing – imputed in time series; ","")&amp;IF(AND(ISNUMBER($I1473),N($I1473)&gt;Setup!$B$6),"STATUS_YR after reporting year; ","")&amp;IF(OR($G1473="",$G1473="Not Reported"),"GOV_TYPE not reported; ","")&amp;IF(AND(N($J1473)=1,$K1473="Point",N($M1473)&lt;=0),"Coastal point without REP_M_AREA – land/sea split unknown; ","")&amp;IF(AND(N($J1473)=0,N($S1473)&gt;0),"MARINE=0 but net marine &gt;0; ","")&amp;IF(AND(N($J1473)=2,N($R1473)&gt;0),"MARINE=2 but net terrestrial &gt;0; ","")&amp;IF($K1473="Point","Buffered point – coverage approximate; ","")))</f>
        <v/>
      </c>
    </row>
    <row r="1474">
      <c r="A1474" s="19" t="n"/>
      <c r="B1474" s="19" t="n"/>
      <c r="C1474" s="19" t="n"/>
      <c r="D1474" s="19" t="n"/>
      <c r="E1474" s="19" t="n"/>
      <c r="F1474" s="19" t="n"/>
      <c r="G1474" s="19" t="n"/>
      <c r="H1474" s="19" t="n"/>
      <c r="I1474" s="19" t="n"/>
      <c r="J1474" s="19" t="n"/>
      <c r="K1474" s="19" t="n"/>
      <c r="L1474" s="20" t="n"/>
      <c r="M1474" s="20" t="n"/>
      <c r="N1474" s="20" t="n"/>
      <c r="O1474" s="20" t="n"/>
      <c r="P1474" s="19" t="n"/>
      <c r="Q1474" s="19" t="n"/>
      <c r="R1474" s="20" t="n"/>
      <c r="S1474" s="20" t="n"/>
      <c r="T1474" s="19" t="n"/>
      <c r="U1474" s="19" t="n"/>
      <c r="V1474" s="19" t="n"/>
      <c r="W1474" s="19" t="n"/>
      <c r="X1474" s="19" t="n"/>
      <c r="Y1474" s="19" t="n"/>
      <c r="Z1474" s="21">
        <f>IF(AND($A1474="",$B1474=""),"",IF(OR($E1474="",$H1474="",$H1474="Proposed",$H1474="Not Reported"),0,IF(AND($P1474="Y",$Q1474&lt;&gt;"Y"),0,IF(AND($K1474="Point",N($L1474)&lt;=0),0,IF(AND(N($L1474)&lt;=0,N($N1474)&lt;=0,N($R1474)+N($S1474)&lt;=0),0,1)))))</f>
        <v/>
      </c>
      <c r="AA1474" s="21">
        <f>IF(AND($A1474="",$B1474=""),"",IF($E1474="","Site type missing",IF($H1474="","STATUS missing",IF($H1474="Proposed","STATUS = Proposed",IF($H1474="Not Reported","STATUS = Not Reported",IF(AND($P1474="Y",$Q1474&lt;&gt;"Y"),"UNESCO-MAB Biosphere Reserve",IF(AND($K1474="Point",N($L1474)&lt;=0),"Point without REP_AREA",IF(AND(N($L1474)&lt;=0,N($N1474)&lt;=0,N($R1474)+N($S1474)&lt;=0),"No area information",""))))))))</f>
        <v/>
      </c>
      <c r="AB1474" s="22">
        <f>IF(AND($A1474="",$B1474=""),"",IF($K1474="Point",N($L1474),IF(N($N1474)&gt;0,N($N1474),N($L1474))))</f>
        <v/>
      </c>
      <c r="AC1474" s="22">
        <f>IF(AND($A1474="",$B1474=""),"",MIN(AB1474,IF(N($J1474)=0,0,IF(N($J1474)=2,AB1474,IF(AND($K1474&lt;&gt;"Point",N($O1474)&gt;0),N($O1474),N($M1474))))))</f>
        <v/>
      </c>
      <c r="AD1474" s="22">
        <f>IF(AND($A1474="",$B1474=""),"",MAX(0,AB1474-AC1474))</f>
        <v/>
      </c>
      <c r="AE1474" s="21">
        <f>IF(AND($A1474="",$B1474=""),"",IF(OR($R1474&lt;&gt;"",$S1474&lt;&gt;""),1,0))</f>
        <v/>
      </c>
      <c r="AF1474" s="22">
        <f>IF(AND($A1474="",$B1474=""),"",IF(Z1474=1,IF(AE1474=1,N($R1474),AD1474),0))</f>
        <v/>
      </c>
      <c r="AG1474" s="22">
        <f>IF(AND($A1474="",$B1474=""),"",IF(Z1474=1,IF(AE1474=1,N($S1474),AC1474),0))</f>
        <v/>
      </c>
      <c r="AH1474" s="21">
        <f>IF(AND($A1474="",$B1474=""),"",IF(AND(ISNUMBER($I1474),N($I1474)&gt;0),$I1474,0))</f>
        <v/>
      </c>
      <c r="AI1474" s="23">
        <f>IF(AND(NOT(AND($A1474="",$B1474="")),$K1474="Point",N($L1474)&gt;0),SQRT(N($L1474)/PI()),"")</f>
        <v/>
      </c>
      <c r="AJ1474" s="21">
        <f>IF(AND($A1474="",$B1474=""),"",IFERROR(VLOOKUP($G1474,Lists!$D$4:$E$15,2,FALSE),"Not reported"))</f>
        <v/>
      </c>
      <c r="AK1474" s="21">
        <f>IF(AND($A1474="",$B1474=""),"",IF($X1474&lt;&gt;"",$X1474,IF($T1474&lt;&gt;"Y","Not assessed",IF(AND(ISNUMBER($V1474),Setup!$B$6-$V1474&gt;Setup!$B$26),"Assessment outdated",IF(NOT(ISNUMBER($W1474)),"Assessed – no score",IF($W1474&gt;=Setup!$B$24,"High",IF($W1474&gt;=Setup!$B$25,"Moderate","Low")))))))</f>
        <v/>
      </c>
      <c r="AL1474" s="21">
        <f>IF(AND($A1474="",$B1474=""),"",IF(Z1474=0,"",IF(AND(AE1474=1,N($R1474)&gt;AD1474*1.01+0.001),"Net terrestrial &gt; gross; ","")&amp;IF(AND(AE1474=1,N($S1474)&gt;AC1474*1.01+0.001),"Net marine &gt; gross; ","")&amp;IF(AE1474=0,"No net area – gross used, overlaps may be double-counted; ","")&amp;IF(AH1474=0,"STATUS_YR missing – imputed in time series; ","")&amp;IF(AND(ISNUMBER($I1474),N($I1474)&gt;Setup!$B$6),"STATUS_YR after reporting year; ","")&amp;IF(OR($G1474="",$G1474="Not Reported"),"GOV_TYPE not reported; ","")&amp;IF(AND(N($J1474)=1,$K1474="Point",N($M1474)&lt;=0),"Coastal point without REP_M_AREA – land/sea split unknown; ","")&amp;IF(AND(N($J1474)=0,N($S1474)&gt;0),"MARINE=0 but net marine &gt;0; ","")&amp;IF(AND(N($J1474)=2,N($R1474)&gt;0),"MARINE=2 but net terrestrial &gt;0; ","")&amp;IF($K1474="Point","Buffered point – coverage approximate; ","")))</f>
        <v/>
      </c>
    </row>
    <row r="1475">
      <c r="A1475" s="19" t="n"/>
      <c r="B1475" s="19" t="n"/>
      <c r="C1475" s="19" t="n"/>
      <c r="D1475" s="19" t="n"/>
      <c r="E1475" s="19" t="n"/>
      <c r="F1475" s="19" t="n"/>
      <c r="G1475" s="19" t="n"/>
      <c r="H1475" s="19" t="n"/>
      <c r="I1475" s="19" t="n"/>
      <c r="J1475" s="19" t="n"/>
      <c r="K1475" s="19" t="n"/>
      <c r="L1475" s="20" t="n"/>
      <c r="M1475" s="20" t="n"/>
      <c r="N1475" s="20" t="n"/>
      <c r="O1475" s="20" t="n"/>
      <c r="P1475" s="19" t="n"/>
      <c r="Q1475" s="19" t="n"/>
      <c r="R1475" s="20" t="n"/>
      <c r="S1475" s="20" t="n"/>
      <c r="T1475" s="19" t="n"/>
      <c r="U1475" s="19" t="n"/>
      <c r="V1475" s="19" t="n"/>
      <c r="W1475" s="19" t="n"/>
      <c r="X1475" s="19" t="n"/>
      <c r="Y1475" s="19" t="n"/>
      <c r="Z1475" s="21">
        <f>IF(AND($A1475="",$B1475=""),"",IF(OR($E1475="",$H1475="",$H1475="Proposed",$H1475="Not Reported"),0,IF(AND($P1475="Y",$Q1475&lt;&gt;"Y"),0,IF(AND($K1475="Point",N($L1475)&lt;=0),0,IF(AND(N($L1475)&lt;=0,N($N1475)&lt;=0,N($R1475)+N($S1475)&lt;=0),0,1)))))</f>
        <v/>
      </c>
      <c r="AA1475" s="21">
        <f>IF(AND($A1475="",$B1475=""),"",IF($E1475="","Site type missing",IF($H1475="","STATUS missing",IF($H1475="Proposed","STATUS = Proposed",IF($H1475="Not Reported","STATUS = Not Reported",IF(AND($P1475="Y",$Q1475&lt;&gt;"Y"),"UNESCO-MAB Biosphere Reserve",IF(AND($K1475="Point",N($L1475)&lt;=0),"Point without REP_AREA",IF(AND(N($L1475)&lt;=0,N($N1475)&lt;=0,N($R1475)+N($S1475)&lt;=0),"No area information",""))))))))</f>
        <v/>
      </c>
      <c r="AB1475" s="22">
        <f>IF(AND($A1475="",$B1475=""),"",IF($K1475="Point",N($L1475),IF(N($N1475)&gt;0,N($N1475),N($L1475))))</f>
        <v/>
      </c>
      <c r="AC1475" s="22">
        <f>IF(AND($A1475="",$B1475=""),"",MIN(AB1475,IF(N($J1475)=0,0,IF(N($J1475)=2,AB1475,IF(AND($K1475&lt;&gt;"Point",N($O1475)&gt;0),N($O1475),N($M1475))))))</f>
        <v/>
      </c>
      <c r="AD1475" s="22">
        <f>IF(AND($A1475="",$B1475=""),"",MAX(0,AB1475-AC1475))</f>
        <v/>
      </c>
      <c r="AE1475" s="21">
        <f>IF(AND($A1475="",$B1475=""),"",IF(OR($R1475&lt;&gt;"",$S1475&lt;&gt;""),1,0))</f>
        <v/>
      </c>
      <c r="AF1475" s="22">
        <f>IF(AND($A1475="",$B1475=""),"",IF(Z1475=1,IF(AE1475=1,N($R1475),AD1475),0))</f>
        <v/>
      </c>
      <c r="AG1475" s="22">
        <f>IF(AND($A1475="",$B1475=""),"",IF(Z1475=1,IF(AE1475=1,N($S1475),AC1475),0))</f>
        <v/>
      </c>
      <c r="AH1475" s="21">
        <f>IF(AND($A1475="",$B1475=""),"",IF(AND(ISNUMBER($I1475),N($I1475)&gt;0),$I1475,0))</f>
        <v/>
      </c>
      <c r="AI1475" s="23">
        <f>IF(AND(NOT(AND($A1475="",$B1475="")),$K1475="Point",N($L1475)&gt;0),SQRT(N($L1475)/PI()),"")</f>
        <v/>
      </c>
      <c r="AJ1475" s="21">
        <f>IF(AND($A1475="",$B1475=""),"",IFERROR(VLOOKUP($G1475,Lists!$D$4:$E$15,2,FALSE),"Not reported"))</f>
        <v/>
      </c>
      <c r="AK1475" s="21">
        <f>IF(AND($A1475="",$B1475=""),"",IF($X1475&lt;&gt;"",$X1475,IF($T1475&lt;&gt;"Y","Not assessed",IF(AND(ISNUMBER($V1475),Setup!$B$6-$V1475&gt;Setup!$B$26),"Assessment outdated",IF(NOT(ISNUMBER($W1475)),"Assessed – no score",IF($W1475&gt;=Setup!$B$24,"High",IF($W1475&gt;=Setup!$B$25,"Moderate","Low")))))))</f>
        <v/>
      </c>
      <c r="AL1475" s="21">
        <f>IF(AND($A1475="",$B1475=""),"",IF(Z1475=0,"",IF(AND(AE1475=1,N($R1475)&gt;AD1475*1.01+0.001),"Net terrestrial &gt; gross; ","")&amp;IF(AND(AE1475=1,N($S1475)&gt;AC1475*1.01+0.001),"Net marine &gt; gross; ","")&amp;IF(AE1475=0,"No net area – gross used, overlaps may be double-counted; ","")&amp;IF(AH1475=0,"STATUS_YR missing – imputed in time series; ","")&amp;IF(AND(ISNUMBER($I1475),N($I1475)&gt;Setup!$B$6),"STATUS_YR after reporting year; ","")&amp;IF(OR($G1475="",$G1475="Not Reported"),"GOV_TYPE not reported; ","")&amp;IF(AND(N($J1475)=1,$K1475="Point",N($M1475)&lt;=0),"Coastal point without REP_M_AREA – land/sea split unknown; ","")&amp;IF(AND(N($J1475)=0,N($S1475)&gt;0),"MARINE=0 but net marine &gt;0; ","")&amp;IF(AND(N($J1475)=2,N($R1475)&gt;0),"MARINE=2 but net terrestrial &gt;0; ","")&amp;IF($K1475="Point","Buffered point – coverage approximate; ","")))</f>
        <v/>
      </c>
    </row>
    <row r="1476">
      <c r="A1476" s="19" t="n"/>
      <c r="B1476" s="19" t="n"/>
      <c r="C1476" s="19" t="n"/>
      <c r="D1476" s="19" t="n"/>
      <c r="E1476" s="19" t="n"/>
      <c r="F1476" s="19" t="n"/>
      <c r="G1476" s="19" t="n"/>
      <c r="H1476" s="19" t="n"/>
      <c r="I1476" s="19" t="n"/>
      <c r="J1476" s="19" t="n"/>
      <c r="K1476" s="19" t="n"/>
      <c r="L1476" s="20" t="n"/>
      <c r="M1476" s="20" t="n"/>
      <c r="N1476" s="20" t="n"/>
      <c r="O1476" s="20" t="n"/>
      <c r="P1476" s="19" t="n"/>
      <c r="Q1476" s="19" t="n"/>
      <c r="R1476" s="20" t="n"/>
      <c r="S1476" s="20" t="n"/>
      <c r="T1476" s="19" t="n"/>
      <c r="U1476" s="19" t="n"/>
      <c r="V1476" s="19" t="n"/>
      <c r="W1476" s="19" t="n"/>
      <c r="X1476" s="19" t="n"/>
      <c r="Y1476" s="19" t="n"/>
      <c r="Z1476" s="21">
        <f>IF(AND($A1476="",$B1476=""),"",IF(OR($E1476="",$H1476="",$H1476="Proposed",$H1476="Not Reported"),0,IF(AND($P1476="Y",$Q1476&lt;&gt;"Y"),0,IF(AND($K1476="Point",N($L1476)&lt;=0),0,IF(AND(N($L1476)&lt;=0,N($N1476)&lt;=0,N($R1476)+N($S1476)&lt;=0),0,1)))))</f>
        <v/>
      </c>
      <c r="AA1476" s="21">
        <f>IF(AND($A1476="",$B1476=""),"",IF($E1476="","Site type missing",IF($H1476="","STATUS missing",IF($H1476="Proposed","STATUS = Proposed",IF($H1476="Not Reported","STATUS = Not Reported",IF(AND($P1476="Y",$Q1476&lt;&gt;"Y"),"UNESCO-MAB Biosphere Reserve",IF(AND($K1476="Point",N($L1476)&lt;=0),"Point without REP_AREA",IF(AND(N($L1476)&lt;=0,N($N1476)&lt;=0,N($R1476)+N($S1476)&lt;=0),"No area information",""))))))))</f>
        <v/>
      </c>
      <c r="AB1476" s="22">
        <f>IF(AND($A1476="",$B1476=""),"",IF($K1476="Point",N($L1476),IF(N($N1476)&gt;0,N($N1476),N($L1476))))</f>
        <v/>
      </c>
      <c r="AC1476" s="22">
        <f>IF(AND($A1476="",$B1476=""),"",MIN(AB1476,IF(N($J1476)=0,0,IF(N($J1476)=2,AB1476,IF(AND($K1476&lt;&gt;"Point",N($O1476)&gt;0),N($O1476),N($M1476))))))</f>
        <v/>
      </c>
      <c r="AD1476" s="22">
        <f>IF(AND($A1476="",$B1476=""),"",MAX(0,AB1476-AC1476))</f>
        <v/>
      </c>
      <c r="AE1476" s="21">
        <f>IF(AND($A1476="",$B1476=""),"",IF(OR($R1476&lt;&gt;"",$S1476&lt;&gt;""),1,0))</f>
        <v/>
      </c>
      <c r="AF1476" s="22">
        <f>IF(AND($A1476="",$B1476=""),"",IF(Z1476=1,IF(AE1476=1,N($R1476),AD1476),0))</f>
        <v/>
      </c>
      <c r="AG1476" s="22">
        <f>IF(AND($A1476="",$B1476=""),"",IF(Z1476=1,IF(AE1476=1,N($S1476),AC1476),0))</f>
        <v/>
      </c>
      <c r="AH1476" s="21">
        <f>IF(AND($A1476="",$B1476=""),"",IF(AND(ISNUMBER($I1476),N($I1476)&gt;0),$I1476,0))</f>
        <v/>
      </c>
      <c r="AI1476" s="23">
        <f>IF(AND(NOT(AND($A1476="",$B1476="")),$K1476="Point",N($L1476)&gt;0),SQRT(N($L1476)/PI()),"")</f>
        <v/>
      </c>
      <c r="AJ1476" s="21">
        <f>IF(AND($A1476="",$B1476=""),"",IFERROR(VLOOKUP($G1476,Lists!$D$4:$E$15,2,FALSE),"Not reported"))</f>
        <v/>
      </c>
      <c r="AK1476" s="21">
        <f>IF(AND($A1476="",$B1476=""),"",IF($X1476&lt;&gt;"",$X1476,IF($T1476&lt;&gt;"Y","Not assessed",IF(AND(ISNUMBER($V1476),Setup!$B$6-$V1476&gt;Setup!$B$26),"Assessment outdated",IF(NOT(ISNUMBER($W1476)),"Assessed – no score",IF($W1476&gt;=Setup!$B$24,"High",IF($W1476&gt;=Setup!$B$25,"Moderate","Low")))))))</f>
        <v/>
      </c>
      <c r="AL1476" s="21">
        <f>IF(AND($A1476="",$B1476=""),"",IF(Z1476=0,"",IF(AND(AE1476=1,N($R1476)&gt;AD1476*1.01+0.001),"Net terrestrial &gt; gross; ","")&amp;IF(AND(AE1476=1,N($S1476)&gt;AC1476*1.01+0.001),"Net marine &gt; gross; ","")&amp;IF(AE1476=0,"No net area – gross used, overlaps may be double-counted; ","")&amp;IF(AH1476=0,"STATUS_YR missing – imputed in time series; ","")&amp;IF(AND(ISNUMBER($I1476),N($I1476)&gt;Setup!$B$6),"STATUS_YR after reporting year; ","")&amp;IF(OR($G1476="",$G1476="Not Reported"),"GOV_TYPE not reported; ","")&amp;IF(AND(N($J1476)=1,$K1476="Point",N($M1476)&lt;=0),"Coastal point without REP_M_AREA – land/sea split unknown; ","")&amp;IF(AND(N($J1476)=0,N($S1476)&gt;0),"MARINE=0 but net marine &gt;0; ","")&amp;IF(AND(N($J1476)=2,N($R1476)&gt;0),"MARINE=2 but net terrestrial &gt;0; ","")&amp;IF($K1476="Point","Buffered point – coverage approximate; ","")))</f>
        <v/>
      </c>
    </row>
    <row r="1477">
      <c r="A1477" s="19" t="n"/>
      <c r="B1477" s="19" t="n"/>
      <c r="C1477" s="19" t="n"/>
      <c r="D1477" s="19" t="n"/>
      <c r="E1477" s="19" t="n"/>
      <c r="F1477" s="19" t="n"/>
      <c r="G1477" s="19" t="n"/>
      <c r="H1477" s="19" t="n"/>
      <c r="I1477" s="19" t="n"/>
      <c r="J1477" s="19" t="n"/>
      <c r="K1477" s="19" t="n"/>
      <c r="L1477" s="20" t="n"/>
      <c r="M1477" s="20" t="n"/>
      <c r="N1477" s="20" t="n"/>
      <c r="O1477" s="20" t="n"/>
      <c r="P1477" s="19" t="n"/>
      <c r="Q1477" s="19" t="n"/>
      <c r="R1477" s="20" t="n"/>
      <c r="S1477" s="20" t="n"/>
      <c r="T1477" s="19" t="n"/>
      <c r="U1477" s="19" t="n"/>
      <c r="V1477" s="19" t="n"/>
      <c r="W1477" s="19" t="n"/>
      <c r="X1477" s="19" t="n"/>
      <c r="Y1477" s="19" t="n"/>
      <c r="Z1477" s="21">
        <f>IF(AND($A1477="",$B1477=""),"",IF(OR($E1477="",$H1477="",$H1477="Proposed",$H1477="Not Reported"),0,IF(AND($P1477="Y",$Q1477&lt;&gt;"Y"),0,IF(AND($K1477="Point",N($L1477)&lt;=0),0,IF(AND(N($L1477)&lt;=0,N($N1477)&lt;=0,N($R1477)+N($S1477)&lt;=0),0,1)))))</f>
        <v/>
      </c>
      <c r="AA1477" s="21">
        <f>IF(AND($A1477="",$B1477=""),"",IF($E1477="","Site type missing",IF($H1477="","STATUS missing",IF($H1477="Proposed","STATUS = Proposed",IF($H1477="Not Reported","STATUS = Not Reported",IF(AND($P1477="Y",$Q1477&lt;&gt;"Y"),"UNESCO-MAB Biosphere Reserve",IF(AND($K1477="Point",N($L1477)&lt;=0),"Point without REP_AREA",IF(AND(N($L1477)&lt;=0,N($N1477)&lt;=0,N($R1477)+N($S1477)&lt;=0),"No area information",""))))))))</f>
        <v/>
      </c>
      <c r="AB1477" s="22">
        <f>IF(AND($A1477="",$B1477=""),"",IF($K1477="Point",N($L1477),IF(N($N1477)&gt;0,N($N1477),N($L1477))))</f>
        <v/>
      </c>
      <c r="AC1477" s="22">
        <f>IF(AND($A1477="",$B1477=""),"",MIN(AB1477,IF(N($J1477)=0,0,IF(N($J1477)=2,AB1477,IF(AND($K1477&lt;&gt;"Point",N($O1477)&gt;0),N($O1477),N($M1477))))))</f>
        <v/>
      </c>
      <c r="AD1477" s="22">
        <f>IF(AND($A1477="",$B1477=""),"",MAX(0,AB1477-AC1477))</f>
        <v/>
      </c>
      <c r="AE1477" s="21">
        <f>IF(AND($A1477="",$B1477=""),"",IF(OR($R1477&lt;&gt;"",$S1477&lt;&gt;""),1,0))</f>
        <v/>
      </c>
      <c r="AF1477" s="22">
        <f>IF(AND($A1477="",$B1477=""),"",IF(Z1477=1,IF(AE1477=1,N($R1477),AD1477),0))</f>
        <v/>
      </c>
      <c r="AG1477" s="22">
        <f>IF(AND($A1477="",$B1477=""),"",IF(Z1477=1,IF(AE1477=1,N($S1477),AC1477),0))</f>
        <v/>
      </c>
      <c r="AH1477" s="21">
        <f>IF(AND($A1477="",$B1477=""),"",IF(AND(ISNUMBER($I1477),N($I1477)&gt;0),$I1477,0))</f>
        <v/>
      </c>
      <c r="AI1477" s="23">
        <f>IF(AND(NOT(AND($A1477="",$B1477="")),$K1477="Point",N($L1477)&gt;0),SQRT(N($L1477)/PI()),"")</f>
        <v/>
      </c>
      <c r="AJ1477" s="21">
        <f>IF(AND($A1477="",$B1477=""),"",IFERROR(VLOOKUP($G1477,Lists!$D$4:$E$15,2,FALSE),"Not reported"))</f>
        <v/>
      </c>
      <c r="AK1477" s="21">
        <f>IF(AND($A1477="",$B1477=""),"",IF($X1477&lt;&gt;"",$X1477,IF($T1477&lt;&gt;"Y","Not assessed",IF(AND(ISNUMBER($V1477),Setup!$B$6-$V1477&gt;Setup!$B$26),"Assessment outdated",IF(NOT(ISNUMBER($W1477)),"Assessed – no score",IF($W1477&gt;=Setup!$B$24,"High",IF($W1477&gt;=Setup!$B$25,"Moderate","Low")))))))</f>
        <v/>
      </c>
      <c r="AL1477" s="21">
        <f>IF(AND($A1477="",$B1477=""),"",IF(Z1477=0,"",IF(AND(AE1477=1,N($R1477)&gt;AD1477*1.01+0.001),"Net terrestrial &gt; gross; ","")&amp;IF(AND(AE1477=1,N($S1477)&gt;AC1477*1.01+0.001),"Net marine &gt; gross; ","")&amp;IF(AE1477=0,"No net area – gross used, overlaps may be double-counted; ","")&amp;IF(AH1477=0,"STATUS_YR missing – imputed in time series; ","")&amp;IF(AND(ISNUMBER($I1477),N($I1477)&gt;Setup!$B$6),"STATUS_YR after reporting year; ","")&amp;IF(OR($G1477="",$G1477="Not Reported"),"GOV_TYPE not reported; ","")&amp;IF(AND(N($J1477)=1,$K1477="Point",N($M1477)&lt;=0),"Coastal point without REP_M_AREA – land/sea split unknown; ","")&amp;IF(AND(N($J1477)=0,N($S1477)&gt;0),"MARINE=0 but net marine &gt;0; ","")&amp;IF(AND(N($J1477)=2,N($R1477)&gt;0),"MARINE=2 but net terrestrial &gt;0; ","")&amp;IF($K1477="Point","Buffered point – coverage approximate; ","")))</f>
        <v/>
      </c>
    </row>
    <row r="1478">
      <c r="A1478" s="19" t="n"/>
      <c r="B1478" s="19" t="n"/>
      <c r="C1478" s="19" t="n"/>
      <c r="D1478" s="19" t="n"/>
      <c r="E1478" s="19" t="n"/>
      <c r="F1478" s="19" t="n"/>
      <c r="G1478" s="19" t="n"/>
      <c r="H1478" s="19" t="n"/>
      <c r="I1478" s="19" t="n"/>
      <c r="J1478" s="19" t="n"/>
      <c r="K1478" s="19" t="n"/>
      <c r="L1478" s="20" t="n"/>
      <c r="M1478" s="20" t="n"/>
      <c r="N1478" s="20" t="n"/>
      <c r="O1478" s="20" t="n"/>
      <c r="P1478" s="19" t="n"/>
      <c r="Q1478" s="19" t="n"/>
      <c r="R1478" s="20" t="n"/>
      <c r="S1478" s="20" t="n"/>
      <c r="T1478" s="19" t="n"/>
      <c r="U1478" s="19" t="n"/>
      <c r="V1478" s="19" t="n"/>
      <c r="W1478" s="19" t="n"/>
      <c r="X1478" s="19" t="n"/>
      <c r="Y1478" s="19" t="n"/>
      <c r="Z1478" s="21">
        <f>IF(AND($A1478="",$B1478=""),"",IF(OR($E1478="",$H1478="",$H1478="Proposed",$H1478="Not Reported"),0,IF(AND($P1478="Y",$Q1478&lt;&gt;"Y"),0,IF(AND($K1478="Point",N($L1478)&lt;=0),0,IF(AND(N($L1478)&lt;=0,N($N1478)&lt;=0,N($R1478)+N($S1478)&lt;=0),0,1)))))</f>
        <v/>
      </c>
      <c r="AA1478" s="21">
        <f>IF(AND($A1478="",$B1478=""),"",IF($E1478="","Site type missing",IF($H1478="","STATUS missing",IF($H1478="Proposed","STATUS = Proposed",IF($H1478="Not Reported","STATUS = Not Reported",IF(AND($P1478="Y",$Q1478&lt;&gt;"Y"),"UNESCO-MAB Biosphere Reserve",IF(AND($K1478="Point",N($L1478)&lt;=0),"Point without REP_AREA",IF(AND(N($L1478)&lt;=0,N($N1478)&lt;=0,N($R1478)+N($S1478)&lt;=0),"No area information",""))))))))</f>
        <v/>
      </c>
      <c r="AB1478" s="22">
        <f>IF(AND($A1478="",$B1478=""),"",IF($K1478="Point",N($L1478),IF(N($N1478)&gt;0,N($N1478),N($L1478))))</f>
        <v/>
      </c>
      <c r="AC1478" s="22">
        <f>IF(AND($A1478="",$B1478=""),"",MIN(AB1478,IF(N($J1478)=0,0,IF(N($J1478)=2,AB1478,IF(AND($K1478&lt;&gt;"Point",N($O1478)&gt;0),N($O1478),N($M1478))))))</f>
        <v/>
      </c>
      <c r="AD1478" s="22">
        <f>IF(AND($A1478="",$B1478=""),"",MAX(0,AB1478-AC1478))</f>
        <v/>
      </c>
      <c r="AE1478" s="21">
        <f>IF(AND($A1478="",$B1478=""),"",IF(OR($R1478&lt;&gt;"",$S1478&lt;&gt;""),1,0))</f>
        <v/>
      </c>
      <c r="AF1478" s="22">
        <f>IF(AND($A1478="",$B1478=""),"",IF(Z1478=1,IF(AE1478=1,N($R1478),AD1478),0))</f>
        <v/>
      </c>
      <c r="AG1478" s="22">
        <f>IF(AND($A1478="",$B1478=""),"",IF(Z1478=1,IF(AE1478=1,N($S1478),AC1478),0))</f>
        <v/>
      </c>
      <c r="AH1478" s="21">
        <f>IF(AND($A1478="",$B1478=""),"",IF(AND(ISNUMBER($I1478),N($I1478)&gt;0),$I1478,0))</f>
        <v/>
      </c>
      <c r="AI1478" s="23">
        <f>IF(AND(NOT(AND($A1478="",$B1478="")),$K1478="Point",N($L1478)&gt;0),SQRT(N($L1478)/PI()),"")</f>
        <v/>
      </c>
      <c r="AJ1478" s="21">
        <f>IF(AND($A1478="",$B1478=""),"",IFERROR(VLOOKUP($G1478,Lists!$D$4:$E$15,2,FALSE),"Not reported"))</f>
        <v/>
      </c>
      <c r="AK1478" s="21">
        <f>IF(AND($A1478="",$B1478=""),"",IF($X1478&lt;&gt;"",$X1478,IF($T1478&lt;&gt;"Y","Not assessed",IF(AND(ISNUMBER($V1478),Setup!$B$6-$V1478&gt;Setup!$B$26),"Assessment outdated",IF(NOT(ISNUMBER($W1478)),"Assessed – no score",IF($W1478&gt;=Setup!$B$24,"High",IF($W1478&gt;=Setup!$B$25,"Moderate","Low")))))))</f>
        <v/>
      </c>
      <c r="AL1478" s="21">
        <f>IF(AND($A1478="",$B1478=""),"",IF(Z1478=0,"",IF(AND(AE1478=1,N($R1478)&gt;AD1478*1.01+0.001),"Net terrestrial &gt; gross; ","")&amp;IF(AND(AE1478=1,N($S1478)&gt;AC1478*1.01+0.001),"Net marine &gt; gross; ","")&amp;IF(AE1478=0,"No net area – gross used, overlaps may be double-counted; ","")&amp;IF(AH1478=0,"STATUS_YR missing – imputed in time series; ","")&amp;IF(AND(ISNUMBER($I1478),N($I1478)&gt;Setup!$B$6),"STATUS_YR after reporting year; ","")&amp;IF(OR($G1478="",$G1478="Not Reported"),"GOV_TYPE not reported; ","")&amp;IF(AND(N($J1478)=1,$K1478="Point",N($M1478)&lt;=0),"Coastal point without REP_M_AREA – land/sea split unknown; ","")&amp;IF(AND(N($J1478)=0,N($S1478)&gt;0),"MARINE=0 but net marine &gt;0; ","")&amp;IF(AND(N($J1478)=2,N($R1478)&gt;0),"MARINE=2 but net terrestrial &gt;0; ","")&amp;IF($K1478="Point","Buffered point – coverage approximate; ","")))</f>
        <v/>
      </c>
    </row>
    <row r="1479">
      <c r="A1479" s="19" t="n"/>
      <c r="B1479" s="19" t="n"/>
      <c r="C1479" s="19" t="n"/>
      <c r="D1479" s="19" t="n"/>
      <c r="E1479" s="19" t="n"/>
      <c r="F1479" s="19" t="n"/>
      <c r="G1479" s="19" t="n"/>
      <c r="H1479" s="19" t="n"/>
      <c r="I1479" s="19" t="n"/>
      <c r="J1479" s="19" t="n"/>
      <c r="K1479" s="19" t="n"/>
      <c r="L1479" s="20" t="n"/>
      <c r="M1479" s="20" t="n"/>
      <c r="N1479" s="20" t="n"/>
      <c r="O1479" s="20" t="n"/>
      <c r="P1479" s="19" t="n"/>
      <c r="Q1479" s="19" t="n"/>
      <c r="R1479" s="20" t="n"/>
      <c r="S1479" s="20" t="n"/>
      <c r="T1479" s="19" t="n"/>
      <c r="U1479" s="19" t="n"/>
      <c r="V1479" s="19" t="n"/>
      <c r="W1479" s="19" t="n"/>
      <c r="X1479" s="19" t="n"/>
      <c r="Y1479" s="19" t="n"/>
      <c r="Z1479" s="21">
        <f>IF(AND($A1479="",$B1479=""),"",IF(OR($E1479="",$H1479="",$H1479="Proposed",$H1479="Not Reported"),0,IF(AND($P1479="Y",$Q1479&lt;&gt;"Y"),0,IF(AND($K1479="Point",N($L1479)&lt;=0),0,IF(AND(N($L1479)&lt;=0,N($N1479)&lt;=0,N($R1479)+N($S1479)&lt;=0),0,1)))))</f>
        <v/>
      </c>
      <c r="AA1479" s="21">
        <f>IF(AND($A1479="",$B1479=""),"",IF($E1479="","Site type missing",IF($H1479="","STATUS missing",IF($H1479="Proposed","STATUS = Proposed",IF($H1479="Not Reported","STATUS = Not Reported",IF(AND($P1479="Y",$Q1479&lt;&gt;"Y"),"UNESCO-MAB Biosphere Reserve",IF(AND($K1479="Point",N($L1479)&lt;=0),"Point without REP_AREA",IF(AND(N($L1479)&lt;=0,N($N1479)&lt;=0,N($R1479)+N($S1479)&lt;=0),"No area information",""))))))))</f>
        <v/>
      </c>
      <c r="AB1479" s="22">
        <f>IF(AND($A1479="",$B1479=""),"",IF($K1479="Point",N($L1479),IF(N($N1479)&gt;0,N($N1479),N($L1479))))</f>
        <v/>
      </c>
      <c r="AC1479" s="22">
        <f>IF(AND($A1479="",$B1479=""),"",MIN(AB1479,IF(N($J1479)=0,0,IF(N($J1479)=2,AB1479,IF(AND($K1479&lt;&gt;"Point",N($O1479)&gt;0),N($O1479),N($M1479))))))</f>
        <v/>
      </c>
      <c r="AD1479" s="22">
        <f>IF(AND($A1479="",$B1479=""),"",MAX(0,AB1479-AC1479))</f>
        <v/>
      </c>
      <c r="AE1479" s="21">
        <f>IF(AND($A1479="",$B1479=""),"",IF(OR($R1479&lt;&gt;"",$S1479&lt;&gt;""),1,0))</f>
        <v/>
      </c>
      <c r="AF1479" s="22">
        <f>IF(AND($A1479="",$B1479=""),"",IF(Z1479=1,IF(AE1479=1,N($R1479),AD1479),0))</f>
        <v/>
      </c>
      <c r="AG1479" s="22">
        <f>IF(AND($A1479="",$B1479=""),"",IF(Z1479=1,IF(AE1479=1,N($S1479),AC1479),0))</f>
        <v/>
      </c>
      <c r="AH1479" s="21">
        <f>IF(AND($A1479="",$B1479=""),"",IF(AND(ISNUMBER($I1479),N($I1479)&gt;0),$I1479,0))</f>
        <v/>
      </c>
      <c r="AI1479" s="23">
        <f>IF(AND(NOT(AND($A1479="",$B1479="")),$K1479="Point",N($L1479)&gt;0),SQRT(N($L1479)/PI()),"")</f>
        <v/>
      </c>
      <c r="AJ1479" s="21">
        <f>IF(AND($A1479="",$B1479=""),"",IFERROR(VLOOKUP($G1479,Lists!$D$4:$E$15,2,FALSE),"Not reported"))</f>
        <v/>
      </c>
      <c r="AK1479" s="21">
        <f>IF(AND($A1479="",$B1479=""),"",IF($X1479&lt;&gt;"",$X1479,IF($T1479&lt;&gt;"Y","Not assessed",IF(AND(ISNUMBER($V1479),Setup!$B$6-$V1479&gt;Setup!$B$26),"Assessment outdated",IF(NOT(ISNUMBER($W1479)),"Assessed – no score",IF($W1479&gt;=Setup!$B$24,"High",IF($W1479&gt;=Setup!$B$25,"Moderate","Low")))))))</f>
        <v/>
      </c>
      <c r="AL1479" s="21">
        <f>IF(AND($A1479="",$B1479=""),"",IF(Z1479=0,"",IF(AND(AE1479=1,N($R1479)&gt;AD1479*1.01+0.001),"Net terrestrial &gt; gross; ","")&amp;IF(AND(AE1479=1,N($S1479)&gt;AC1479*1.01+0.001),"Net marine &gt; gross; ","")&amp;IF(AE1479=0,"No net area – gross used, overlaps may be double-counted; ","")&amp;IF(AH1479=0,"STATUS_YR missing – imputed in time series; ","")&amp;IF(AND(ISNUMBER($I1479),N($I1479)&gt;Setup!$B$6),"STATUS_YR after reporting year; ","")&amp;IF(OR($G1479="",$G1479="Not Reported"),"GOV_TYPE not reported; ","")&amp;IF(AND(N($J1479)=1,$K1479="Point",N($M1479)&lt;=0),"Coastal point without REP_M_AREA – land/sea split unknown; ","")&amp;IF(AND(N($J1479)=0,N($S1479)&gt;0),"MARINE=0 but net marine &gt;0; ","")&amp;IF(AND(N($J1479)=2,N($R1479)&gt;0),"MARINE=2 but net terrestrial &gt;0; ","")&amp;IF($K1479="Point","Buffered point – coverage approximate; ","")))</f>
        <v/>
      </c>
    </row>
    <row r="1480">
      <c r="A1480" s="19" t="n"/>
      <c r="B1480" s="19" t="n"/>
      <c r="C1480" s="19" t="n"/>
      <c r="D1480" s="19" t="n"/>
      <c r="E1480" s="19" t="n"/>
      <c r="F1480" s="19" t="n"/>
      <c r="G1480" s="19" t="n"/>
      <c r="H1480" s="19" t="n"/>
      <c r="I1480" s="19" t="n"/>
      <c r="J1480" s="19" t="n"/>
      <c r="K1480" s="19" t="n"/>
      <c r="L1480" s="20" t="n"/>
      <c r="M1480" s="20" t="n"/>
      <c r="N1480" s="20" t="n"/>
      <c r="O1480" s="20" t="n"/>
      <c r="P1480" s="19" t="n"/>
      <c r="Q1480" s="19" t="n"/>
      <c r="R1480" s="20" t="n"/>
      <c r="S1480" s="20" t="n"/>
      <c r="T1480" s="19" t="n"/>
      <c r="U1480" s="19" t="n"/>
      <c r="V1480" s="19" t="n"/>
      <c r="W1480" s="19" t="n"/>
      <c r="X1480" s="19" t="n"/>
      <c r="Y1480" s="19" t="n"/>
      <c r="Z1480" s="21">
        <f>IF(AND($A1480="",$B1480=""),"",IF(OR($E1480="",$H1480="",$H1480="Proposed",$H1480="Not Reported"),0,IF(AND($P1480="Y",$Q1480&lt;&gt;"Y"),0,IF(AND($K1480="Point",N($L1480)&lt;=0),0,IF(AND(N($L1480)&lt;=0,N($N1480)&lt;=0,N($R1480)+N($S1480)&lt;=0),0,1)))))</f>
        <v/>
      </c>
      <c r="AA1480" s="21">
        <f>IF(AND($A1480="",$B1480=""),"",IF($E1480="","Site type missing",IF($H1480="","STATUS missing",IF($H1480="Proposed","STATUS = Proposed",IF($H1480="Not Reported","STATUS = Not Reported",IF(AND($P1480="Y",$Q1480&lt;&gt;"Y"),"UNESCO-MAB Biosphere Reserve",IF(AND($K1480="Point",N($L1480)&lt;=0),"Point without REP_AREA",IF(AND(N($L1480)&lt;=0,N($N1480)&lt;=0,N($R1480)+N($S1480)&lt;=0),"No area information",""))))))))</f>
        <v/>
      </c>
      <c r="AB1480" s="22">
        <f>IF(AND($A1480="",$B1480=""),"",IF($K1480="Point",N($L1480),IF(N($N1480)&gt;0,N($N1480),N($L1480))))</f>
        <v/>
      </c>
      <c r="AC1480" s="22">
        <f>IF(AND($A1480="",$B1480=""),"",MIN(AB1480,IF(N($J1480)=0,0,IF(N($J1480)=2,AB1480,IF(AND($K1480&lt;&gt;"Point",N($O1480)&gt;0),N($O1480),N($M1480))))))</f>
        <v/>
      </c>
      <c r="AD1480" s="22">
        <f>IF(AND($A1480="",$B1480=""),"",MAX(0,AB1480-AC1480))</f>
        <v/>
      </c>
      <c r="AE1480" s="21">
        <f>IF(AND($A1480="",$B1480=""),"",IF(OR($R1480&lt;&gt;"",$S1480&lt;&gt;""),1,0))</f>
        <v/>
      </c>
      <c r="AF1480" s="22">
        <f>IF(AND($A1480="",$B1480=""),"",IF(Z1480=1,IF(AE1480=1,N($R1480),AD1480),0))</f>
        <v/>
      </c>
      <c r="AG1480" s="22">
        <f>IF(AND($A1480="",$B1480=""),"",IF(Z1480=1,IF(AE1480=1,N($S1480),AC1480),0))</f>
        <v/>
      </c>
      <c r="AH1480" s="21">
        <f>IF(AND($A1480="",$B1480=""),"",IF(AND(ISNUMBER($I1480),N($I1480)&gt;0),$I1480,0))</f>
        <v/>
      </c>
      <c r="AI1480" s="23">
        <f>IF(AND(NOT(AND($A1480="",$B1480="")),$K1480="Point",N($L1480)&gt;0),SQRT(N($L1480)/PI()),"")</f>
        <v/>
      </c>
      <c r="AJ1480" s="21">
        <f>IF(AND($A1480="",$B1480=""),"",IFERROR(VLOOKUP($G1480,Lists!$D$4:$E$15,2,FALSE),"Not reported"))</f>
        <v/>
      </c>
      <c r="AK1480" s="21">
        <f>IF(AND($A1480="",$B1480=""),"",IF($X1480&lt;&gt;"",$X1480,IF($T1480&lt;&gt;"Y","Not assessed",IF(AND(ISNUMBER($V1480),Setup!$B$6-$V1480&gt;Setup!$B$26),"Assessment outdated",IF(NOT(ISNUMBER($W1480)),"Assessed – no score",IF($W1480&gt;=Setup!$B$24,"High",IF($W1480&gt;=Setup!$B$25,"Moderate","Low")))))))</f>
        <v/>
      </c>
      <c r="AL1480" s="21">
        <f>IF(AND($A1480="",$B1480=""),"",IF(Z1480=0,"",IF(AND(AE1480=1,N($R1480)&gt;AD1480*1.01+0.001),"Net terrestrial &gt; gross; ","")&amp;IF(AND(AE1480=1,N($S1480)&gt;AC1480*1.01+0.001),"Net marine &gt; gross; ","")&amp;IF(AE1480=0,"No net area – gross used, overlaps may be double-counted; ","")&amp;IF(AH1480=0,"STATUS_YR missing – imputed in time series; ","")&amp;IF(AND(ISNUMBER($I1480),N($I1480)&gt;Setup!$B$6),"STATUS_YR after reporting year; ","")&amp;IF(OR($G1480="",$G1480="Not Reported"),"GOV_TYPE not reported; ","")&amp;IF(AND(N($J1480)=1,$K1480="Point",N($M1480)&lt;=0),"Coastal point without REP_M_AREA – land/sea split unknown; ","")&amp;IF(AND(N($J1480)=0,N($S1480)&gt;0),"MARINE=0 but net marine &gt;0; ","")&amp;IF(AND(N($J1480)=2,N($R1480)&gt;0),"MARINE=2 but net terrestrial &gt;0; ","")&amp;IF($K1480="Point","Buffered point – coverage approximate; ","")))</f>
        <v/>
      </c>
    </row>
    <row r="1481">
      <c r="A1481" s="19" t="n"/>
      <c r="B1481" s="19" t="n"/>
      <c r="C1481" s="19" t="n"/>
      <c r="D1481" s="19" t="n"/>
      <c r="E1481" s="19" t="n"/>
      <c r="F1481" s="19" t="n"/>
      <c r="G1481" s="19" t="n"/>
      <c r="H1481" s="19" t="n"/>
      <c r="I1481" s="19" t="n"/>
      <c r="J1481" s="19" t="n"/>
      <c r="K1481" s="19" t="n"/>
      <c r="L1481" s="20" t="n"/>
      <c r="M1481" s="20" t="n"/>
      <c r="N1481" s="20" t="n"/>
      <c r="O1481" s="20" t="n"/>
      <c r="P1481" s="19" t="n"/>
      <c r="Q1481" s="19" t="n"/>
      <c r="R1481" s="20" t="n"/>
      <c r="S1481" s="20" t="n"/>
      <c r="T1481" s="19" t="n"/>
      <c r="U1481" s="19" t="n"/>
      <c r="V1481" s="19" t="n"/>
      <c r="W1481" s="19" t="n"/>
      <c r="X1481" s="19" t="n"/>
      <c r="Y1481" s="19" t="n"/>
      <c r="Z1481" s="21">
        <f>IF(AND($A1481="",$B1481=""),"",IF(OR($E1481="",$H1481="",$H1481="Proposed",$H1481="Not Reported"),0,IF(AND($P1481="Y",$Q1481&lt;&gt;"Y"),0,IF(AND($K1481="Point",N($L1481)&lt;=0),0,IF(AND(N($L1481)&lt;=0,N($N1481)&lt;=0,N($R1481)+N($S1481)&lt;=0),0,1)))))</f>
        <v/>
      </c>
      <c r="AA1481" s="21">
        <f>IF(AND($A1481="",$B1481=""),"",IF($E1481="","Site type missing",IF($H1481="","STATUS missing",IF($H1481="Proposed","STATUS = Proposed",IF($H1481="Not Reported","STATUS = Not Reported",IF(AND($P1481="Y",$Q1481&lt;&gt;"Y"),"UNESCO-MAB Biosphere Reserve",IF(AND($K1481="Point",N($L1481)&lt;=0),"Point without REP_AREA",IF(AND(N($L1481)&lt;=0,N($N1481)&lt;=0,N($R1481)+N($S1481)&lt;=0),"No area information",""))))))))</f>
        <v/>
      </c>
      <c r="AB1481" s="22">
        <f>IF(AND($A1481="",$B1481=""),"",IF($K1481="Point",N($L1481),IF(N($N1481)&gt;0,N($N1481),N($L1481))))</f>
        <v/>
      </c>
      <c r="AC1481" s="22">
        <f>IF(AND($A1481="",$B1481=""),"",MIN(AB1481,IF(N($J1481)=0,0,IF(N($J1481)=2,AB1481,IF(AND($K1481&lt;&gt;"Point",N($O1481)&gt;0),N($O1481),N($M1481))))))</f>
        <v/>
      </c>
      <c r="AD1481" s="22">
        <f>IF(AND($A1481="",$B1481=""),"",MAX(0,AB1481-AC1481))</f>
        <v/>
      </c>
      <c r="AE1481" s="21">
        <f>IF(AND($A1481="",$B1481=""),"",IF(OR($R1481&lt;&gt;"",$S1481&lt;&gt;""),1,0))</f>
        <v/>
      </c>
      <c r="AF1481" s="22">
        <f>IF(AND($A1481="",$B1481=""),"",IF(Z1481=1,IF(AE1481=1,N($R1481),AD1481),0))</f>
        <v/>
      </c>
      <c r="AG1481" s="22">
        <f>IF(AND($A1481="",$B1481=""),"",IF(Z1481=1,IF(AE1481=1,N($S1481),AC1481),0))</f>
        <v/>
      </c>
      <c r="AH1481" s="21">
        <f>IF(AND($A1481="",$B1481=""),"",IF(AND(ISNUMBER($I1481),N($I1481)&gt;0),$I1481,0))</f>
        <v/>
      </c>
      <c r="AI1481" s="23">
        <f>IF(AND(NOT(AND($A1481="",$B1481="")),$K1481="Point",N($L1481)&gt;0),SQRT(N($L1481)/PI()),"")</f>
        <v/>
      </c>
      <c r="AJ1481" s="21">
        <f>IF(AND($A1481="",$B1481=""),"",IFERROR(VLOOKUP($G1481,Lists!$D$4:$E$15,2,FALSE),"Not reported"))</f>
        <v/>
      </c>
      <c r="AK1481" s="21">
        <f>IF(AND($A1481="",$B1481=""),"",IF($X1481&lt;&gt;"",$X1481,IF($T1481&lt;&gt;"Y","Not assessed",IF(AND(ISNUMBER($V1481),Setup!$B$6-$V1481&gt;Setup!$B$26),"Assessment outdated",IF(NOT(ISNUMBER($W1481)),"Assessed – no score",IF($W1481&gt;=Setup!$B$24,"High",IF($W1481&gt;=Setup!$B$25,"Moderate","Low")))))))</f>
        <v/>
      </c>
      <c r="AL1481" s="21">
        <f>IF(AND($A1481="",$B1481=""),"",IF(Z1481=0,"",IF(AND(AE1481=1,N($R1481)&gt;AD1481*1.01+0.001),"Net terrestrial &gt; gross; ","")&amp;IF(AND(AE1481=1,N($S1481)&gt;AC1481*1.01+0.001),"Net marine &gt; gross; ","")&amp;IF(AE1481=0,"No net area – gross used, overlaps may be double-counted; ","")&amp;IF(AH1481=0,"STATUS_YR missing – imputed in time series; ","")&amp;IF(AND(ISNUMBER($I1481),N($I1481)&gt;Setup!$B$6),"STATUS_YR after reporting year; ","")&amp;IF(OR($G1481="",$G1481="Not Reported"),"GOV_TYPE not reported; ","")&amp;IF(AND(N($J1481)=1,$K1481="Point",N($M1481)&lt;=0),"Coastal point without REP_M_AREA – land/sea split unknown; ","")&amp;IF(AND(N($J1481)=0,N($S1481)&gt;0),"MARINE=0 but net marine &gt;0; ","")&amp;IF(AND(N($J1481)=2,N($R1481)&gt;0),"MARINE=2 but net terrestrial &gt;0; ","")&amp;IF($K1481="Point","Buffered point – coverage approximate; ","")))</f>
        <v/>
      </c>
    </row>
    <row r="1482">
      <c r="A1482" s="19" t="n"/>
      <c r="B1482" s="19" t="n"/>
      <c r="C1482" s="19" t="n"/>
      <c r="D1482" s="19" t="n"/>
      <c r="E1482" s="19" t="n"/>
      <c r="F1482" s="19" t="n"/>
      <c r="G1482" s="19" t="n"/>
      <c r="H1482" s="19" t="n"/>
      <c r="I1482" s="19" t="n"/>
      <c r="J1482" s="19" t="n"/>
      <c r="K1482" s="19" t="n"/>
      <c r="L1482" s="20" t="n"/>
      <c r="M1482" s="20" t="n"/>
      <c r="N1482" s="20" t="n"/>
      <c r="O1482" s="20" t="n"/>
      <c r="P1482" s="19" t="n"/>
      <c r="Q1482" s="19" t="n"/>
      <c r="R1482" s="20" t="n"/>
      <c r="S1482" s="20" t="n"/>
      <c r="T1482" s="19" t="n"/>
      <c r="U1482" s="19" t="n"/>
      <c r="V1482" s="19" t="n"/>
      <c r="W1482" s="19" t="n"/>
      <c r="X1482" s="19" t="n"/>
      <c r="Y1482" s="19" t="n"/>
      <c r="Z1482" s="21">
        <f>IF(AND($A1482="",$B1482=""),"",IF(OR($E1482="",$H1482="",$H1482="Proposed",$H1482="Not Reported"),0,IF(AND($P1482="Y",$Q1482&lt;&gt;"Y"),0,IF(AND($K1482="Point",N($L1482)&lt;=0),0,IF(AND(N($L1482)&lt;=0,N($N1482)&lt;=0,N($R1482)+N($S1482)&lt;=0),0,1)))))</f>
        <v/>
      </c>
      <c r="AA1482" s="21">
        <f>IF(AND($A1482="",$B1482=""),"",IF($E1482="","Site type missing",IF($H1482="","STATUS missing",IF($H1482="Proposed","STATUS = Proposed",IF($H1482="Not Reported","STATUS = Not Reported",IF(AND($P1482="Y",$Q1482&lt;&gt;"Y"),"UNESCO-MAB Biosphere Reserve",IF(AND($K1482="Point",N($L1482)&lt;=0),"Point without REP_AREA",IF(AND(N($L1482)&lt;=0,N($N1482)&lt;=0,N($R1482)+N($S1482)&lt;=0),"No area information",""))))))))</f>
        <v/>
      </c>
      <c r="AB1482" s="22">
        <f>IF(AND($A1482="",$B1482=""),"",IF($K1482="Point",N($L1482),IF(N($N1482)&gt;0,N($N1482),N($L1482))))</f>
        <v/>
      </c>
      <c r="AC1482" s="22">
        <f>IF(AND($A1482="",$B1482=""),"",MIN(AB1482,IF(N($J1482)=0,0,IF(N($J1482)=2,AB1482,IF(AND($K1482&lt;&gt;"Point",N($O1482)&gt;0),N($O1482),N($M1482))))))</f>
        <v/>
      </c>
      <c r="AD1482" s="22">
        <f>IF(AND($A1482="",$B1482=""),"",MAX(0,AB1482-AC1482))</f>
        <v/>
      </c>
      <c r="AE1482" s="21">
        <f>IF(AND($A1482="",$B1482=""),"",IF(OR($R1482&lt;&gt;"",$S1482&lt;&gt;""),1,0))</f>
        <v/>
      </c>
      <c r="AF1482" s="22">
        <f>IF(AND($A1482="",$B1482=""),"",IF(Z1482=1,IF(AE1482=1,N($R1482),AD1482),0))</f>
        <v/>
      </c>
      <c r="AG1482" s="22">
        <f>IF(AND($A1482="",$B1482=""),"",IF(Z1482=1,IF(AE1482=1,N($S1482),AC1482),0))</f>
        <v/>
      </c>
      <c r="AH1482" s="21">
        <f>IF(AND($A1482="",$B1482=""),"",IF(AND(ISNUMBER($I1482),N($I1482)&gt;0),$I1482,0))</f>
        <v/>
      </c>
      <c r="AI1482" s="23">
        <f>IF(AND(NOT(AND($A1482="",$B1482="")),$K1482="Point",N($L1482)&gt;0),SQRT(N($L1482)/PI()),"")</f>
        <v/>
      </c>
      <c r="AJ1482" s="21">
        <f>IF(AND($A1482="",$B1482=""),"",IFERROR(VLOOKUP($G1482,Lists!$D$4:$E$15,2,FALSE),"Not reported"))</f>
        <v/>
      </c>
      <c r="AK1482" s="21">
        <f>IF(AND($A1482="",$B1482=""),"",IF($X1482&lt;&gt;"",$X1482,IF($T1482&lt;&gt;"Y","Not assessed",IF(AND(ISNUMBER($V1482),Setup!$B$6-$V1482&gt;Setup!$B$26),"Assessment outdated",IF(NOT(ISNUMBER($W1482)),"Assessed – no score",IF($W1482&gt;=Setup!$B$24,"High",IF($W1482&gt;=Setup!$B$25,"Moderate","Low")))))))</f>
        <v/>
      </c>
      <c r="AL1482" s="21">
        <f>IF(AND($A1482="",$B1482=""),"",IF(Z1482=0,"",IF(AND(AE1482=1,N($R1482)&gt;AD1482*1.01+0.001),"Net terrestrial &gt; gross; ","")&amp;IF(AND(AE1482=1,N($S1482)&gt;AC1482*1.01+0.001),"Net marine &gt; gross; ","")&amp;IF(AE1482=0,"No net area – gross used, overlaps may be double-counted; ","")&amp;IF(AH1482=0,"STATUS_YR missing – imputed in time series; ","")&amp;IF(AND(ISNUMBER($I1482),N($I1482)&gt;Setup!$B$6),"STATUS_YR after reporting year; ","")&amp;IF(OR($G1482="",$G1482="Not Reported"),"GOV_TYPE not reported; ","")&amp;IF(AND(N($J1482)=1,$K1482="Point",N($M1482)&lt;=0),"Coastal point without REP_M_AREA – land/sea split unknown; ","")&amp;IF(AND(N($J1482)=0,N($S1482)&gt;0),"MARINE=0 but net marine &gt;0; ","")&amp;IF(AND(N($J1482)=2,N($R1482)&gt;0),"MARINE=2 but net terrestrial &gt;0; ","")&amp;IF($K1482="Point","Buffered point – coverage approximate; ","")))</f>
        <v/>
      </c>
    </row>
    <row r="1483">
      <c r="A1483" s="19" t="n"/>
      <c r="B1483" s="19" t="n"/>
      <c r="C1483" s="19" t="n"/>
      <c r="D1483" s="19" t="n"/>
      <c r="E1483" s="19" t="n"/>
      <c r="F1483" s="19" t="n"/>
      <c r="G1483" s="19" t="n"/>
      <c r="H1483" s="19" t="n"/>
      <c r="I1483" s="19" t="n"/>
      <c r="J1483" s="19" t="n"/>
      <c r="K1483" s="19" t="n"/>
      <c r="L1483" s="20" t="n"/>
      <c r="M1483" s="20" t="n"/>
      <c r="N1483" s="20" t="n"/>
      <c r="O1483" s="20" t="n"/>
      <c r="P1483" s="19" t="n"/>
      <c r="Q1483" s="19" t="n"/>
      <c r="R1483" s="20" t="n"/>
      <c r="S1483" s="20" t="n"/>
      <c r="T1483" s="19" t="n"/>
      <c r="U1483" s="19" t="n"/>
      <c r="V1483" s="19" t="n"/>
      <c r="W1483" s="19" t="n"/>
      <c r="X1483" s="19" t="n"/>
      <c r="Y1483" s="19" t="n"/>
      <c r="Z1483" s="21">
        <f>IF(AND($A1483="",$B1483=""),"",IF(OR($E1483="",$H1483="",$H1483="Proposed",$H1483="Not Reported"),0,IF(AND($P1483="Y",$Q1483&lt;&gt;"Y"),0,IF(AND($K1483="Point",N($L1483)&lt;=0),0,IF(AND(N($L1483)&lt;=0,N($N1483)&lt;=0,N($R1483)+N($S1483)&lt;=0),0,1)))))</f>
        <v/>
      </c>
      <c r="AA1483" s="21">
        <f>IF(AND($A1483="",$B1483=""),"",IF($E1483="","Site type missing",IF($H1483="","STATUS missing",IF($H1483="Proposed","STATUS = Proposed",IF($H1483="Not Reported","STATUS = Not Reported",IF(AND($P1483="Y",$Q1483&lt;&gt;"Y"),"UNESCO-MAB Biosphere Reserve",IF(AND($K1483="Point",N($L1483)&lt;=0),"Point without REP_AREA",IF(AND(N($L1483)&lt;=0,N($N1483)&lt;=0,N($R1483)+N($S1483)&lt;=0),"No area information",""))))))))</f>
        <v/>
      </c>
      <c r="AB1483" s="22">
        <f>IF(AND($A1483="",$B1483=""),"",IF($K1483="Point",N($L1483),IF(N($N1483)&gt;0,N($N1483),N($L1483))))</f>
        <v/>
      </c>
      <c r="AC1483" s="22">
        <f>IF(AND($A1483="",$B1483=""),"",MIN(AB1483,IF(N($J1483)=0,0,IF(N($J1483)=2,AB1483,IF(AND($K1483&lt;&gt;"Point",N($O1483)&gt;0),N($O1483),N($M1483))))))</f>
        <v/>
      </c>
      <c r="AD1483" s="22">
        <f>IF(AND($A1483="",$B1483=""),"",MAX(0,AB1483-AC1483))</f>
        <v/>
      </c>
      <c r="AE1483" s="21">
        <f>IF(AND($A1483="",$B1483=""),"",IF(OR($R1483&lt;&gt;"",$S1483&lt;&gt;""),1,0))</f>
        <v/>
      </c>
      <c r="AF1483" s="22">
        <f>IF(AND($A1483="",$B1483=""),"",IF(Z1483=1,IF(AE1483=1,N($R1483),AD1483),0))</f>
        <v/>
      </c>
      <c r="AG1483" s="22">
        <f>IF(AND($A1483="",$B1483=""),"",IF(Z1483=1,IF(AE1483=1,N($S1483),AC1483),0))</f>
        <v/>
      </c>
      <c r="AH1483" s="21">
        <f>IF(AND($A1483="",$B1483=""),"",IF(AND(ISNUMBER($I1483),N($I1483)&gt;0),$I1483,0))</f>
        <v/>
      </c>
      <c r="AI1483" s="23">
        <f>IF(AND(NOT(AND($A1483="",$B1483="")),$K1483="Point",N($L1483)&gt;0),SQRT(N($L1483)/PI()),"")</f>
        <v/>
      </c>
      <c r="AJ1483" s="21">
        <f>IF(AND($A1483="",$B1483=""),"",IFERROR(VLOOKUP($G1483,Lists!$D$4:$E$15,2,FALSE),"Not reported"))</f>
        <v/>
      </c>
      <c r="AK1483" s="21">
        <f>IF(AND($A1483="",$B1483=""),"",IF($X1483&lt;&gt;"",$X1483,IF($T1483&lt;&gt;"Y","Not assessed",IF(AND(ISNUMBER($V1483),Setup!$B$6-$V1483&gt;Setup!$B$26),"Assessment outdated",IF(NOT(ISNUMBER($W1483)),"Assessed – no score",IF($W1483&gt;=Setup!$B$24,"High",IF($W1483&gt;=Setup!$B$25,"Moderate","Low")))))))</f>
        <v/>
      </c>
      <c r="AL1483" s="21">
        <f>IF(AND($A1483="",$B1483=""),"",IF(Z1483=0,"",IF(AND(AE1483=1,N($R1483)&gt;AD1483*1.01+0.001),"Net terrestrial &gt; gross; ","")&amp;IF(AND(AE1483=1,N($S1483)&gt;AC1483*1.01+0.001),"Net marine &gt; gross; ","")&amp;IF(AE1483=0,"No net area – gross used, overlaps may be double-counted; ","")&amp;IF(AH1483=0,"STATUS_YR missing – imputed in time series; ","")&amp;IF(AND(ISNUMBER($I1483),N($I1483)&gt;Setup!$B$6),"STATUS_YR after reporting year; ","")&amp;IF(OR($G1483="",$G1483="Not Reported"),"GOV_TYPE not reported; ","")&amp;IF(AND(N($J1483)=1,$K1483="Point",N($M1483)&lt;=0),"Coastal point without REP_M_AREA – land/sea split unknown; ","")&amp;IF(AND(N($J1483)=0,N($S1483)&gt;0),"MARINE=0 but net marine &gt;0; ","")&amp;IF(AND(N($J1483)=2,N($R1483)&gt;0),"MARINE=2 but net terrestrial &gt;0; ","")&amp;IF($K1483="Point","Buffered point – coverage approximate; ","")))</f>
        <v/>
      </c>
    </row>
    <row r="1484">
      <c r="A1484" s="19" t="n"/>
      <c r="B1484" s="19" t="n"/>
      <c r="C1484" s="19" t="n"/>
      <c r="D1484" s="19" t="n"/>
      <c r="E1484" s="19" t="n"/>
      <c r="F1484" s="19" t="n"/>
      <c r="G1484" s="19" t="n"/>
      <c r="H1484" s="19" t="n"/>
      <c r="I1484" s="19" t="n"/>
      <c r="J1484" s="19" t="n"/>
      <c r="K1484" s="19" t="n"/>
      <c r="L1484" s="20" t="n"/>
      <c r="M1484" s="20" t="n"/>
      <c r="N1484" s="20" t="n"/>
      <c r="O1484" s="20" t="n"/>
      <c r="P1484" s="19" t="n"/>
      <c r="Q1484" s="19" t="n"/>
      <c r="R1484" s="20" t="n"/>
      <c r="S1484" s="20" t="n"/>
      <c r="T1484" s="19" t="n"/>
      <c r="U1484" s="19" t="n"/>
      <c r="V1484" s="19" t="n"/>
      <c r="W1484" s="19" t="n"/>
      <c r="X1484" s="19" t="n"/>
      <c r="Y1484" s="19" t="n"/>
      <c r="Z1484" s="21">
        <f>IF(AND($A1484="",$B1484=""),"",IF(OR($E1484="",$H1484="",$H1484="Proposed",$H1484="Not Reported"),0,IF(AND($P1484="Y",$Q1484&lt;&gt;"Y"),0,IF(AND($K1484="Point",N($L1484)&lt;=0),0,IF(AND(N($L1484)&lt;=0,N($N1484)&lt;=0,N($R1484)+N($S1484)&lt;=0),0,1)))))</f>
        <v/>
      </c>
      <c r="AA1484" s="21">
        <f>IF(AND($A1484="",$B1484=""),"",IF($E1484="","Site type missing",IF($H1484="","STATUS missing",IF($H1484="Proposed","STATUS = Proposed",IF($H1484="Not Reported","STATUS = Not Reported",IF(AND($P1484="Y",$Q1484&lt;&gt;"Y"),"UNESCO-MAB Biosphere Reserve",IF(AND($K1484="Point",N($L1484)&lt;=0),"Point without REP_AREA",IF(AND(N($L1484)&lt;=0,N($N1484)&lt;=0,N($R1484)+N($S1484)&lt;=0),"No area information",""))))))))</f>
        <v/>
      </c>
      <c r="AB1484" s="22">
        <f>IF(AND($A1484="",$B1484=""),"",IF($K1484="Point",N($L1484),IF(N($N1484)&gt;0,N($N1484),N($L1484))))</f>
        <v/>
      </c>
      <c r="AC1484" s="22">
        <f>IF(AND($A1484="",$B1484=""),"",MIN(AB1484,IF(N($J1484)=0,0,IF(N($J1484)=2,AB1484,IF(AND($K1484&lt;&gt;"Point",N($O1484)&gt;0),N($O1484),N($M1484))))))</f>
        <v/>
      </c>
      <c r="AD1484" s="22">
        <f>IF(AND($A1484="",$B1484=""),"",MAX(0,AB1484-AC1484))</f>
        <v/>
      </c>
      <c r="AE1484" s="21">
        <f>IF(AND($A1484="",$B1484=""),"",IF(OR($R1484&lt;&gt;"",$S1484&lt;&gt;""),1,0))</f>
        <v/>
      </c>
      <c r="AF1484" s="22">
        <f>IF(AND($A1484="",$B1484=""),"",IF(Z1484=1,IF(AE1484=1,N($R1484),AD1484),0))</f>
        <v/>
      </c>
      <c r="AG1484" s="22">
        <f>IF(AND($A1484="",$B1484=""),"",IF(Z1484=1,IF(AE1484=1,N($S1484),AC1484),0))</f>
        <v/>
      </c>
      <c r="AH1484" s="21">
        <f>IF(AND($A1484="",$B1484=""),"",IF(AND(ISNUMBER($I1484),N($I1484)&gt;0),$I1484,0))</f>
        <v/>
      </c>
      <c r="AI1484" s="23">
        <f>IF(AND(NOT(AND($A1484="",$B1484="")),$K1484="Point",N($L1484)&gt;0),SQRT(N($L1484)/PI()),"")</f>
        <v/>
      </c>
      <c r="AJ1484" s="21">
        <f>IF(AND($A1484="",$B1484=""),"",IFERROR(VLOOKUP($G1484,Lists!$D$4:$E$15,2,FALSE),"Not reported"))</f>
        <v/>
      </c>
      <c r="AK1484" s="21">
        <f>IF(AND($A1484="",$B1484=""),"",IF($X1484&lt;&gt;"",$X1484,IF($T1484&lt;&gt;"Y","Not assessed",IF(AND(ISNUMBER($V1484),Setup!$B$6-$V1484&gt;Setup!$B$26),"Assessment outdated",IF(NOT(ISNUMBER($W1484)),"Assessed – no score",IF($W1484&gt;=Setup!$B$24,"High",IF($W1484&gt;=Setup!$B$25,"Moderate","Low")))))))</f>
        <v/>
      </c>
      <c r="AL1484" s="21">
        <f>IF(AND($A1484="",$B1484=""),"",IF(Z1484=0,"",IF(AND(AE1484=1,N($R1484)&gt;AD1484*1.01+0.001),"Net terrestrial &gt; gross; ","")&amp;IF(AND(AE1484=1,N($S1484)&gt;AC1484*1.01+0.001),"Net marine &gt; gross; ","")&amp;IF(AE1484=0,"No net area – gross used, overlaps may be double-counted; ","")&amp;IF(AH1484=0,"STATUS_YR missing – imputed in time series; ","")&amp;IF(AND(ISNUMBER($I1484),N($I1484)&gt;Setup!$B$6),"STATUS_YR after reporting year; ","")&amp;IF(OR($G1484="",$G1484="Not Reported"),"GOV_TYPE not reported; ","")&amp;IF(AND(N($J1484)=1,$K1484="Point",N($M1484)&lt;=0),"Coastal point without REP_M_AREA – land/sea split unknown; ","")&amp;IF(AND(N($J1484)=0,N($S1484)&gt;0),"MARINE=0 but net marine &gt;0; ","")&amp;IF(AND(N($J1484)=2,N($R1484)&gt;0),"MARINE=2 but net terrestrial &gt;0; ","")&amp;IF($K1484="Point","Buffered point – coverage approximate; ","")))</f>
        <v/>
      </c>
    </row>
    <row r="1485">
      <c r="A1485" s="19" t="n"/>
      <c r="B1485" s="19" t="n"/>
      <c r="C1485" s="19" t="n"/>
      <c r="D1485" s="19" t="n"/>
      <c r="E1485" s="19" t="n"/>
      <c r="F1485" s="19" t="n"/>
      <c r="G1485" s="19" t="n"/>
      <c r="H1485" s="19" t="n"/>
      <c r="I1485" s="19" t="n"/>
      <c r="J1485" s="19" t="n"/>
      <c r="K1485" s="19" t="n"/>
      <c r="L1485" s="20" t="n"/>
      <c r="M1485" s="20" t="n"/>
      <c r="N1485" s="20" t="n"/>
      <c r="O1485" s="20" t="n"/>
      <c r="P1485" s="19" t="n"/>
      <c r="Q1485" s="19" t="n"/>
      <c r="R1485" s="20" t="n"/>
      <c r="S1485" s="20" t="n"/>
      <c r="T1485" s="19" t="n"/>
      <c r="U1485" s="19" t="n"/>
      <c r="V1485" s="19" t="n"/>
      <c r="W1485" s="19" t="n"/>
      <c r="X1485" s="19" t="n"/>
      <c r="Y1485" s="19" t="n"/>
      <c r="Z1485" s="21">
        <f>IF(AND($A1485="",$B1485=""),"",IF(OR($E1485="",$H1485="",$H1485="Proposed",$H1485="Not Reported"),0,IF(AND($P1485="Y",$Q1485&lt;&gt;"Y"),0,IF(AND($K1485="Point",N($L1485)&lt;=0),0,IF(AND(N($L1485)&lt;=0,N($N1485)&lt;=0,N($R1485)+N($S1485)&lt;=0),0,1)))))</f>
        <v/>
      </c>
      <c r="AA1485" s="21">
        <f>IF(AND($A1485="",$B1485=""),"",IF($E1485="","Site type missing",IF($H1485="","STATUS missing",IF($H1485="Proposed","STATUS = Proposed",IF($H1485="Not Reported","STATUS = Not Reported",IF(AND($P1485="Y",$Q1485&lt;&gt;"Y"),"UNESCO-MAB Biosphere Reserve",IF(AND($K1485="Point",N($L1485)&lt;=0),"Point without REP_AREA",IF(AND(N($L1485)&lt;=0,N($N1485)&lt;=0,N($R1485)+N($S1485)&lt;=0),"No area information",""))))))))</f>
        <v/>
      </c>
      <c r="AB1485" s="22">
        <f>IF(AND($A1485="",$B1485=""),"",IF($K1485="Point",N($L1485),IF(N($N1485)&gt;0,N($N1485),N($L1485))))</f>
        <v/>
      </c>
      <c r="AC1485" s="22">
        <f>IF(AND($A1485="",$B1485=""),"",MIN(AB1485,IF(N($J1485)=0,0,IF(N($J1485)=2,AB1485,IF(AND($K1485&lt;&gt;"Point",N($O1485)&gt;0),N($O1485),N($M1485))))))</f>
        <v/>
      </c>
      <c r="AD1485" s="22">
        <f>IF(AND($A1485="",$B1485=""),"",MAX(0,AB1485-AC1485))</f>
        <v/>
      </c>
      <c r="AE1485" s="21">
        <f>IF(AND($A1485="",$B1485=""),"",IF(OR($R1485&lt;&gt;"",$S1485&lt;&gt;""),1,0))</f>
        <v/>
      </c>
      <c r="AF1485" s="22">
        <f>IF(AND($A1485="",$B1485=""),"",IF(Z1485=1,IF(AE1485=1,N($R1485),AD1485),0))</f>
        <v/>
      </c>
      <c r="AG1485" s="22">
        <f>IF(AND($A1485="",$B1485=""),"",IF(Z1485=1,IF(AE1485=1,N($S1485),AC1485),0))</f>
        <v/>
      </c>
      <c r="AH1485" s="21">
        <f>IF(AND($A1485="",$B1485=""),"",IF(AND(ISNUMBER($I1485),N($I1485)&gt;0),$I1485,0))</f>
        <v/>
      </c>
      <c r="AI1485" s="23">
        <f>IF(AND(NOT(AND($A1485="",$B1485="")),$K1485="Point",N($L1485)&gt;0),SQRT(N($L1485)/PI()),"")</f>
        <v/>
      </c>
      <c r="AJ1485" s="21">
        <f>IF(AND($A1485="",$B1485=""),"",IFERROR(VLOOKUP($G1485,Lists!$D$4:$E$15,2,FALSE),"Not reported"))</f>
        <v/>
      </c>
      <c r="AK1485" s="21">
        <f>IF(AND($A1485="",$B1485=""),"",IF($X1485&lt;&gt;"",$X1485,IF($T1485&lt;&gt;"Y","Not assessed",IF(AND(ISNUMBER($V1485),Setup!$B$6-$V1485&gt;Setup!$B$26),"Assessment outdated",IF(NOT(ISNUMBER($W1485)),"Assessed – no score",IF($W1485&gt;=Setup!$B$24,"High",IF($W1485&gt;=Setup!$B$25,"Moderate","Low")))))))</f>
        <v/>
      </c>
      <c r="AL1485" s="21">
        <f>IF(AND($A1485="",$B1485=""),"",IF(Z1485=0,"",IF(AND(AE1485=1,N($R1485)&gt;AD1485*1.01+0.001),"Net terrestrial &gt; gross; ","")&amp;IF(AND(AE1485=1,N($S1485)&gt;AC1485*1.01+0.001),"Net marine &gt; gross; ","")&amp;IF(AE1485=0,"No net area – gross used, overlaps may be double-counted; ","")&amp;IF(AH1485=0,"STATUS_YR missing – imputed in time series; ","")&amp;IF(AND(ISNUMBER($I1485),N($I1485)&gt;Setup!$B$6),"STATUS_YR after reporting year; ","")&amp;IF(OR($G1485="",$G1485="Not Reported"),"GOV_TYPE not reported; ","")&amp;IF(AND(N($J1485)=1,$K1485="Point",N($M1485)&lt;=0),"Coastal point without REP_M_AREA – land/sea split unknown; ","")&amp;IF(AND(N($J1485)=0,N($S1485)&gt;0),"MARINE=0 but net marine &gt;0; ","")&amp;IF(AND(N($J1485)=2,N($R1485)&gt;0),"MARINE=2 but net terrestrial &gt;0; ","")&amp;IF($K1485="Point","Buffered point – coverage approximate; ","")))</f>
        <v/>
      </c>
    </row>
    <row r="1486">
      <c r="A1486" s="19" t="n"/>
      <c r="B1486" s="19" t="n"/>
      <c r="C1486" s="19" t="n"/>
      <c r="D1486" s="19" t="n"/>
      <c r="E1486" s="19" t="n"/>
      <c r="F1486" s="19" t="n"/>
      <c r="G1486" s="19" t="n"/>
      <c r="H1486" s="19" t="n"/>
      <c r="I1486" s="19" t="n"/>
      <c r="J1486" s="19" t="n"/>
      <c r="K1486" s="19" t="n"/>
      <c r="L1486" s="20" t="n"/>
      <c r="M1486" s="20" t="n"/>
      <c r="N1486" s="20" t="n"/>
      <c r="O1486" s="20" t="n"/>
      <c r="P1486" s="19" t="n"/>
      <c r="Q1486" s="19" t="n"/>
      <c r="R1486" s="20" t="n"/>
      <c r="S1486" s="20" t="n"/>
      <c r="T1486" s="19" t="n"/>
      <c r="U1486" s="19" t="n"/>
      <c r="V1486" s="19" t="n"/>
      <c r="W1486" s="19" t="n"/>
      <c r="X1486" s="19" t="n"/>
      <c r="Y1486" s="19" t="n"/>
      <c r="Z1486" s="21">
        <f>IF(AND($A1486="",$B1486=""),"",IF(OR($E1486="",$H1486="",$H1486="Proposed",$H1486="Not Reported"),0,IF(AND($P1486="Y",$Q1486&lt;&gt;"Y"),0,IF(AND($K1486="Point",N($L1486)&lt;=0),0,IF(AND(N($L1486)&lt;=0,N($N1486)&lt;=0,N($R1486)+N($S1486)&lt;=0),0,1)))))</f>
        <v/>
      </c>
      <c r="AA1486" s="21">
        <f>IF(AND($A1486="",$B1486=""),"",IF($E1486="","Site type missing",IF($H1486="","STATUS missing",IF($H1486="Proposed","STATUS = Proposed",IF($H1486="Not Reported","STATUS = Not Reported",IF(AND($P1486="Y",$Q1486&lt;&gt;"Y"),"UNESCO-MAB Biosphere Reserve",IF(AND($K1486="Point",N($L1486)&lt;=0),"Point without REP_AREA",IF(AND(N($L1486)&lt;=0,N($N1486)&lt;=0,N($R1486)+N($S1486)&lt;=0),"No area information",""))))))))</f>
        <v/>
      </c>
      <c r="AB1486" s="22">
        <f>IF(AND($A1486="",$B1486=""),"",IF($K1486="Point",N($L1486),IF(N($N1486)&gt;0,N($N1486),N($L1486))))</f>
        <v/>
      </c>
      <c r="AC1486" s="22">
        <f>IF(AND($A1486="",$B1486=""),"",MIN(AB1486,IF(N($J1486)=0,0,IF(N($J1486)=2,AB1486,IF(AND($K1486&lt;&gt;"Point",N($O1486)&gt;0),N($O1486),N($M1486))))))</f>
        <v/>
      </c>
      <c r="AD1486" s="22">
        <f>IF(AND($A1486="",$B1486=""),"",MAX(0,AB1486-AC1486))</f>
        <v/>
      </c>
      <c r="AE1486" s="21">
        <f>IF(AND($A1486="",$B1486=""),"",IF(OR($R1486&lt;&gt;"",$S1486&lt;&gt;""),1,0))</f>
        <v/>
      </c>
      <c r="AF1486" s="22">
        <f>IF(AND($A1486="",$B1486=""),"",IF(Z1486=1,IF(AE1486=1,N($R1486),AD1486),0))</f>
        <v/>
      </c>
      <c r="AG1486" s="22">
        <f>IF(AND($A1486="",$B1486=""),"",IF(Z1486=1,IF(AE1486=1,N($S1486),AC1486),0))</f>
        <v/>
      </c>
      <c r="AH1486" s="21">
        <f>IF(AND($A1486="",$B1486=""),"",IF(AND(ISNUMBER($I1486),N($I1486)&gt;0),$I1486,0))</f>
        <v/>
      </c>
      <c r="AI1486" s="23">
        <f>IF(AND(NOT(AND($A1486="",$B1486="")),$K1486="Point",N($L1486)&gt;0),SQRT(N($L1486)/PI()),"")</f>
        <v/>
      </c>
      <c r="AJ1486" s="21">
        <f>IF(AND($A1486="",$B1486=""),"",IFERROR(VLOOKUP($G1486,Lists!$D$4:$E$15,2,FALSE),"Not reported"))</f>
        <v/>
      </c>
      <c r="AK1486" s="21">
        <f>IF(AND($A1486="",$B1486=""),"",IF($X1486&lt;&gt;"",$X1486,IF($T1486&lt;&gt;"Y","Not assessed",IF(AND(ISNUMBER($V1486),Setup!$B$6-$V1486&gt;Setup!$B$26),"Assessment outdated",IF(NOT(ISNUMBER($W1486)),"Assessed – no score",IF($W1486&gt;=Setup!$B$24,"High",IF($W1486&gt;=Setup!$B$25,"Moderate","Low")))))))</f>
        <v/>
      </c>
      <c r="AL1486" s="21">
        <f>IF(AND($A1486="",$B1486=""),"",IF(Z1486=0,"",IF(AND(AE1486=1,N($R1486)&gt;AD1486*1.01+0.001),"Net terrestrial &gt; gross; ","")&amp;IF(AND(AE1486=1,N($S1486)&gt;AC1486*1.01+0.001),"Net marine &gt; gross; ","")&amp;IF(AE1486=0,"No net area – gross used, overlaps may be double-counted; ","")&amp;IF(AH1486=0,"STATUS_YR missing – imputed in time series; ","")&amp;IF(AND(ISNUMBER($I1486),N($I1486)&gt;Setup!$B$6),"STATUS_YR after reporting year; ","")&amp;IF(OR($G1486="",$G1486="Not Reported"),"GOV_TYPE not reported; ","")&amp;IF(AND(N($J1486)=1,$K1486="Point",N($M1486)&lt;=0),"Coastal point without REP_M_AREA – land/sea split unknown; ","")&amp;IF(AND(N($J1486)=0,N($S1486)&gt;0),"MARINE=0 but net marine &gt;0; ","")&amp;IF(AND(N($J1486)=2,N($R1486)&gt;0),"MARINE=2 but net terrestrial &gt;0; ","")&amp;IF($K1486="Point","Buffered point – coverage approximate; ","")))</f>
        <v/>
      </c>
    </row>
    <row r="1487">
      <c r="A1487" s="19" t="n"/>
      <c r="B1487" s="19" t="n"/>
      <c r="C1487" s="19" t="n"/>
      <c r="D1487" s="19" t="n"/>
      <c r="E1487" s="19" t="n"/>
      <c r="F1487" s="19" t="n"/>
      <c r="G1487" s="19" t="n"/>
      <c r="H1487" s="19" t="n"/>
      <c r="I1487" s="19" t="n"/>
      <c r="J1487" s="19" t="n"/>
      <c r="K1487" s="19" t="n"/>
      <c r="L1487" s="20" t="n"/>
      <c r="M1487" s="20" t="n"/>
      <c r="N1487" s="20" t="n"/>
      <c r="O1487" s="20" t="n"/>
      <c r="P1487" s="19" t="n"/>
      <c r="Q1487" s="19" t="n"/>
      <c r="R1487" s="20" t="n"/>
      <c r="S1487" s="20" t="n"/>
      <c r="T1487" s="19" t="n"/>
      <c r="U1487" s="19" t="n"/>
      <c r="V1487" s="19" t="n"/>
      <c r="W1487" s="19" t="n"/>
      <c r="X1487" s="19" t="n"/>
      <c r="Y1487" s="19" t="n"/>
      <c r="Z1487" s="21">
        <f>IF(AND($A1487="",$B1487=""),"",IF(OR($E1487="",$H1487="",$H1487="Proposed",$H1487="Not Reported"),0,IF(AND($P1487="Y",$Q1487&lt;&gt;"Y"),0,IF(AND($K1487="Point",N($L1487)&lt;=0),0,IF(AND(N($L1487)&lt;=0,N($N1487)&lt;=0,N($R1487)+N($S1487)&lt;=0),0,1)))))</f>
        <v/>
      </c>
      <c r="AA1487" s="21">
        <f>IF(AND($A1487="",$B1487=""),"",IF($E1487="","Site type missing",IF($H1487="","STATUS missing",IF($H1487="Proposed","STATUS = Proposed",IF($H1487="Not Reported","STATUS = Not Reported",IF(AND($P1487="Y",$Q1487&lt;&gt;"Y"),"UNESCO-MAB Biosphere Reserve",IF(AND($K1487="Point",N($L1487)&lt;=0),"Point without REP_AREA",IF(AND(N($L1487)&lt;=0,N($N1487)&lt;=0,N($R1487)+N($S1487)&lt;=0),"No area information",""))))))))</f>
        <v/>
      </c>
      <c r="AB1487" s="22">
        <f>IF(AND($A1487="",$B1487=""),"",IF($K1487="Point",N($L1487),IF(N($N1487)&gt;0,N($N1487),N($L1487))))</f>
        <v/>
      </c>
      <c r="AC1487" s="22">
        <f>IF(AND($A1487="",$B1487=""),"",MIN(AB1487,IF(N($J1487)=0,0,IF(N($J1487)=2,AB1487,IF(AND($K1487&lt;&gt;"Point",N($O1487)&gt;0),N($O1487),N($M1487))))))</f>
        <v/>
      </c>
      <c r="AD1487" s="22">
        <f>IF(AND($A1487="",$B1487=""),"",MAX(0,AB1487-AC1487))</f>
        <v/>
      </c>
      <c r="AE1487" s="21">
        <f>IF(AND($A1487="",$B1487=""),"",IF(OR($R1487&lt;&gt;"",$S1487&lt;&gt;""),1,0))</f>
        <v/>
      </c>
      <c r="AF1487" s="22">
        <f>IF(AND($A1487="",$B1487=""),"",IF(Z1487=1,IF(AE1487=1,N($R1487),AD1487),0))</f>
        <v/>
      </c>
      <c r="AG1487" s="22">
        <f>IF(AND($A1487="",$B1487=""),"",IF(Z1487=1,IF(AE1487=1,N($S1487),AC1487),0))</f>
        <v/>
      </c>
      <c r="AH1487" s="21">
        <f>IF(AND($A1487="",$B1487=""),"",IF(AND(ISNUMBER($I1487),N($I1487)&gt;0),$I1487,0))</f>
        <v/>
      </c>
      <c r="AI1487" s="23">
        <f>IF(AND(NOT(AND($A1487="",$B1487="")),$K1487="Point",N($L1487)&gt;0),SQRT(N($L1487)/PI()),"")</f>
        <v/>
      </c>
      <c r="AJ1487" s="21">
        <f>IF(AND($A1487="",$B1487=""),"",IFERROR(VLOOKUP($G1487,Lists!$D$4:$E$15,2,FALSE),"Not reported"))</f>
        <v/>
      </c>
      <c r="AK1487" s="21">
        <f>IF(AND($A1487="",$B1487=""),"",IF($X1487&lt;&gt;"",$X1487,IF($T1487&lt;&gt;"Y","Not assessed",IF(AND(ISNUMBER($V1487),Setup!$B$6-$V1487&gt;Setup!$B$26),"Assessment outdated",IF(NOT(ISNUMBER($W1487)),"Assessed – no score",IF($W1487&gt;=Setup!$B$24,"High",IF($W1487&gt;=Setup!$B$25,"Moderate","Low")))))))</f>
        <v/>
      </c>
      <c r="AL1487" s="21">
        <f>IF(AND($A1487="",$B1487=""),"",IF(Z1487=0,"",IF(AND(AE1487=1,N($R1487)&gt;AD1487*1.01+0.001),"Net terrestrial &gt; gross; ","")&amp;IF(AND(AE1487=1,N($S1487)&gt;AC1487*1.01+0.001),"Net marine &gt; gross; ","")&amp;IF(AE1487=0,"No net area – gross used, overlaps may be double-counted; ","")&amp;IF(AH1487=0,"STATUS_YR missing – imputed in time series; ","")&amp;IF(AND(ISNUMBER($I1487),N($I1487)&gt;Setup!$B$6),"STATUS_YR after reporting year; ","")&amp;IF(OR($G1487="",$G1487="Not Reported"),"GOV_TYPE not reported; ","")&amp;IF(AND(N($J1487)=1,$K1487="Point",N($M1487)&lt;=0),"Coastal point without REP_M_AREA – land/sea split unknown; ","")&amp;IF(AND(N($J1487)=0,N($S1487)&gt;0),"MARINE=0 but net marine &gt;0; ","")&amp;IF(AND(N($J1487)=2,N($R1487)&gt;0),"MARINE=2 but net terrestrial &gt;0; ","")&amp;IF($K1487="Point","Buffered point – coverage approximate; ","")))</f>
        <v/>
      </c>
    </row>
    <row r="1488">
      <c r="A1488" s="19" t="n"/>
      <c r="B1488" s="19" t="n"/>
      <c r="C1488" s="19" t="n"/>
      <c r="D1488" s="19" t="n"/>
      <c r="E1488" s="19" t="n"/>
      <c r="F1488" s="19" t="n"/>
      <c r="G1488" s="19" t="n"/>
      <c r="H1488" s="19" t="n"/>
      <c r="I1488" s="19" t="n"/>
      <c r="J1488" s="19" t="n"/>
      <c r="K1488" s="19" t="n"/>
      <c r="L1488" s="20" t="n"/>
      <c r="M1488" s="20" t="n"/>
      <c r="N1488" s="20" t="n"/>
      <c r="O1488" s="20" t="n"/>
      <c r="P1488" s="19" t="n"/>
      <c r="Q1488" s="19" t="n"/>
      <c r="R1488" s="20" t="n"/>
      <c r="S1488" s="20" t="n"/>
      <c r="T1488" s="19" t="n"/>
      <c r="U1488" s="19" t="n"/>
      <c r="V1488" s="19" t="n"/>
      <c r="W1488" s="19" t="n"/>
      <c r="X1488" s="19" t="n"/>
      <c r="Y1488" s="19" t="n"/>
      <c r="Z1488" s="21">
        <f>IF(AND($A1488="",$B1488=""),"",IF(OR($E1488="",$H1488="",$H1488="Proposed",$H1488="Not Reported"),0,IF(AND($P1488="Y",$Q1488&lt;&gt;"Y"),0,IF(AND($K1488="Point",N($L1488)&lt;=0),0,IF(AND(N($L1488)&lt;=0,N($N1488)&lt;=0,N($R1488)+N($S1488)&lt;=0),0,1)))))</f>
        <v/>
      </c>
      <c r="AA1488" s="21">
        <f>IF(AND($A1488="",$B1488=""),"",IF($E1488="","Site type missing",IF($H1488="","STATUS missing",IF($H1488="Proposed","STATUS = Proposed",IF($H1488="Not Reported","STATUS = Not Reported",IF(AND($P1488="Y",$Q1488&lt;&gt;"Y"),"UNESCO-MAB Biosphere Reserve",IF(AND($K1488="Point",N($L1488)&lt;=0),"Point without REP_AREA",IF(AND(N($L1488)&lt;=0,N($N1488)&lt;=0,N($R1488)+N($S1488)&lt;=0),"No area information",""))))))))</f>
        <v/>
      </c>
      <c r="AB1488" s="22">
        <f>IF(AND($A1488="",$B1488=""),"",IF($K1488="Point",N($L1488),IF(N($N1488)&gt;0,N($N1488),N($L1488))))</f>
        <v/>
      </c>
      <c r="AC1488" s="22">
        <f>IF(AND($A1488="",$B1488=""),"",MIN(AB1488,IF(N($J1488)=0,0,IF(N($J1488)=2,AB1488,IF(AND($K1488&lt;&gt;"Point",N($O1488)&gt;0),N($O1488),N($M1488))))))</f>
        <v/>
      </c>
      <c r="AD1488" s="22">
        <f>IF(AND($A1488="",$B1488=""),"",MAX(0,AB1488-AC1488))</f>
        <v/>
      </c>
      <c r="AE1488" s="21">
        <f>IF(AND($A1488="",$B1488=""),"",IF(OR($R1488&lt;&gt;"",$S1488&lt;&gt;""),1,0))</f>
        <v/>
      </c>
      <c r="AF1488" s="22">
        <f>IF(AND($A1488="",$B1488=""),"",IF(Z1488=1,IF(AE1488=1,N($R1488),AD1488),0))</f>
        <v/>
      </c>
      <c r="AG1488" s="22">
        <f>IF(AND($A1488="",$B1488=""),"",IF(Z1488=1,IF(AE1488=1,N($S1488),AC1488),0))</f>
        <v/>
      </c>
      <c r="AH1488" s="21">
        <f>IF(AND($A1488="",$B1488=""),"",IF(AND(ISNUMBER($I1488),N($I1488)&gt;0),$I1488,0))</f>
        <v/>
      </c>
      <c r="AI1488" s="23">
        <f>IF(AND(NOT(AND($A1488="",$B1488="")),$K1488="Point",N($L1488)&gt;0),SQRT(N($L1488)/PI()),"")</f>
        <v/>
      </c>
      <c r="AJ1488" s="21">
        <f>IF(AND($A1488="",$B1488=""),"",IFERROR(VLOOKUP($G1488,Lists!$D$4:$E$15,2,FALSE),"Not reported"))</f>
        <v/>
      </c>
      <c r="AK1488" s="21">
        <f>IF(AND($A1488="",$B1488=""),"",IF($X1488&lt;&gt;"",$X1488,IF($T1488&lt;&gt;"Y","Not assessed",IF(AND(ISNUMBER($V1488),Setup!$B$6-$V1488&gt;Setup!$B$26),"Assessment outdated",IF(NOT(ISNUMBER($W1488)),"Assessed – no score",IF($W1488&gt;=Setup!$B$24,"High",IF($W1488&gt;=Setup!$B$25,"Moderate","Low")))))))</f>
        <v/>
      </c>
      <c r="AL1488" s="21">
        <f>IF(AND($A1488="",$B1488=""),"",IF(Z1488=0,"",IF(AND(AE1488=1,N($R1488)&gt;AD1488*1.01+0.001),"Net terrestrial &gt; gross; ","")&amp;IF(AND(AE1488=1,N($S1488)&gt;AC1488*1.01+0.001),"Net marine &gt; gross; ","")&amp;IF(AE1488=0,"No net area – gross used, overlaps may be double-counted; ","")&amp;IF(AH1488=0,"STATUS_YR missing – imputed in time series; ","")&amp;IF(AND(ISNUMBER($I1488),N($I1488)&gt;Setup!$B$6),"STATUS_YR after reporting year; ","")&amp;IF(OR($G1488="",$G1488="Not Reported"),"GOV_TYPE not reported; ","")&amp;IF(AND(N($J1488)=1,$K1488="Point",N($M1488)&lt;=0),"Coastal point without REP_M_AREA – land/sea split unknown; ","")&amp;IF(AND(N($J1488)=0,N($S1488)&gt;0),"MARINE=0 but net marine &gt;0; ","")&amp;IF(AND(N($J1488)=2,N($R1488)&gt;0),"MARINE=2 but net terrestrial &gt;0; ","")&amp;IF($K1488="Point","Buffered point – coverage approximate; ","")))</f>
        <v/>
      </c>
    </row>
    <row r="1489">
      <c r="A1489" s="19" t="n"/>
      <c r="B1489" s="19" t="n"/>
      <c r="C1489" s="19" t="n"/>
      <c r="D1489" s="19" t="n"/>
      <c r="E1489" s="19" t="n"/>
      <c r="F1489" s="19" t="n"/>
      <c r="G1489" s="19" t="n"/>
      <c r="H1489" s="19" t="n"/>
      <c r="I1489" s="19" t="n"/>
      <c r="J1489" s="19" t="n"/>
      <c r="K1489" s="19" t="n"/>
      <c r="L1489" s="20" t="n"/>
      <c r="M1489" s="20" t="n"/>
      <c r="N1489" s="20" t="n"/>
      <c r="O1489" s="20" t="n"/>
      <c r="P1489" s="19" t="n"/>
      <c r="Q1489" s="19" t="n"/>
      <c r="R1489" s="20" t="n"/>
      <c r="S1489" s="20" t="n"/>
      <c r="T1489" s="19" t="n"/>
      <c r="U1489" s="19" t="n"/>
      <c r="V1489" s="19" t="n"/>
      <c r="W1489" s="19" t="n"/>
      <c r="X1489" s="19" t="n"/>
      <c r="Y1489" s="19" t="n"/>
      <c r="Z1489" s="21">
        <f>IF(AND($A1489="",$B1489=""),"",IF(OR($E1489="",$H1489="",$H1489="Proposed",$H1489="Not Reported"),0,IF(AND($P1489="Y",$Q1489&lt;&gt;"Y"),0,IF(AND($K1489="Point",N($L1489)&lt;=0),0,IF(AND(N($L1489)&lt;=0,N($N1489)&lt;=0,N($R1489)+N($S1489)&lt;=0),0,1)))))</f>
        <v/>
      </c>
      <c r="AA1489" s="21">
        <f>IF(AND($A1489="",$B1489=""),"",IF($E1489="","Site type missing",IF($H1489="","STATUS missing",IF($H1489="Proposed","STATUS = Proposed",IF($H1489="Not Reported","STATUS = Not Reported",IF(AND($P1489="Y",$Q1489&lt;&gt;"Y"),"UNESCO-MAB Biosphere Reserve",IF(AND($K1489="Point",N($L1489)&lt;=0),"Point without REP_AREA",IF(AND(N($L1489)&lt;=0,N($N1489)&lt;=0,N($R1489)+N($S1489)&lt;=0),"No area information",""))))))))</f>
        <v/>
      </c>
      <c r="AB1489" s="22">
        <f>IF(AND($A1489="",$B1489=""),"",IF($K1489="Point",N($L1489),IF(N($N1489)&gt;0,N($N1489),N($L1489))))</f>
        <v/>
      </c>
      <c r="AC1489" s="22">
        <f>IF(AND($A1489="",$B1489=""),"",MIN(AB1489,IF(N($J1489)=0,0,IF(N($J1489)=2,AB1489,IF(AND($K1489&lt;&gt;"Point",N($O1489)&gt;0),N($O1489),N($M1489))))))</f>
        <v/>
      </c>
      <c r="AD1489" s="22">
        <f>IF(AND($A1489="",$B1489=""),"",MAX(0,AB1489-AC1489))</f>
        <v/>
      </c>
      <c r="AE1489" s="21">
        <f>IF(AND($A1489="",$B1489=""),"",IF(OR($R1489&lt;&gt;"",$S1489&lt;&gt;""),1,0))</f>
        <v/>
      </c>
      <c r="AF1489" s="22">
        <f>IF(AND($A1489="",$B1489=""),"",IF(Z1489=1,IF(AE1489=1,N($R1489),AD1489),0))</f>
        <v/>
      </c>
      <c r="AG1489" s="22">
        <f>IF(AND($A1489="",$B1489=""),"",IF(Z1489=1,IF(AE1489=1,N($S1489),AC1489),0))</f>
        <v/>
      </c>
      <c r="AH1489" s="21">
        <f>IF(AND($A1489="",$B1489=""),"",IF(AND(ISNUMBER($I1489),N($I1489)&gt;0),$I1489,0))</f>
        <v/>
      </c>
      <c r="AI1489" s="23">
        <f>IF(AND(NOT(AND($A1489="",$B1489="")),$K1489="Point",N($L1489)&gt;0),SQRT(N($L1489)/PI()),"")</f>
        <v/>
      </c>
      <c r="AJ1489" s="21">
        <f>IF(AND($A1489="",$B1489=""),"",IFERROR(VLOOKUP($G1489,Lists!$D$4:$E$15,2,FALSE),"Not reported"))</f>
        <v/>
      </c>
      <c r="AK1489" s="21">
        <f>IF(AND($A1489="",$B1489=""),"",IF($X1489&lt;&gt;"",$X1489,IF($T1489&lt;&gt;"Y","Not assessed",IF(AND(ISNUMBER($V1489),Setup!$B$6-$V1489&gt;Setup!$B$26),"Assessment outdated",IF(NOT(ISNUMBER($W1489)),"Assessed – no score",IF($W1489&gt;=Setup!$B$24,"High",IF($W1489&gt;=Setup!$B$25,"Moderate","Low")))))))</f>
        <v/>
      </c>
      <c r="AL1489" s="21">
        <f>IF(AND($A1489="",$B1489=""),"",IF(Z1489=0,"",IF(AND(AE1489=1,N($R1489)&gt;AD1489*1.01+0.001),"Net terrestrial &gt; gross; ","")&amp;IF(AND(AE1489=1,N($S1489)&gt;AC1489*1.01+0.001),"Net marine &gt; gross; ","")&amp;IF(AE1489=0,"No net area – gross used, overlaps may be double-counted; ","")&amp;IF(AH1489=0,"STATUS_YR missing – imputed in time series; ","")&amp;IF(AND(ISNUMBER($I1489),N($I1489)&gt;Setup!$B$6),"STATUS_YR after reporting year; ","")&amp;IF(OR($G1489="",$G1489="Not Reported"),"GOV_TYPE not reported; ","")&amp;IF(AND(N($J1489)=1,$K1489="Point",N($M1489)&lt;=0),"Coastal point without REP_M_AREA – land/sea split unknown; ","")&amp;IF(AND(N($J1489)=0,N($S1489)&gt;0),"MARINE=0 but net marine &gt;0; ","")&amp;IF(AND(N($J1489)=2,N($R1489)&gt;0),"MARINE=2 but net terrestrial &gt;0; ","")&amp;IF($K1489="Point","Buffered point – coverage approximate; ","")))</f>
        <v/>
      </c>
    </row>
    <row r="1490">
      <c r="A1490" s="19" t="n"/>
      <c r="B1490" s="19" t="n"/>
      <c r="C1490" s="19" t="n"/>
      <c r="D1490" s="19" t="n"/>
      <c r="E1490" s="19" t="n"/>
      <c r="F1490" s="19" t="n"/>
      <c r="G1490" s="19" t="n"/>
      <c r="H1490" s="19" t="n"/>
      <c r="I1490" s="19" t="n"/>
      <c r="J1490" s="19" t="n"/>
      <c r="K1490" s="19" t="n"/>
      <c r="L1490" s="20" t="n"/>
      <c r="M1490" s="20" t="n"/>
      <c r="N1490" s="20" t="n"/>
      <c r="O1490" s="20" t="n"/>
      <c r="P1490" s="19" t="n"/>
      <c r="Q1490" s="19" t="n"/>
      <c r="R1490" s="20" t="n"/>
      <c r="S1490" s="20" t="n"/>
      <c r="T1490" s="19" t="n"/>
      <c r="U1490" s="19" t="n"/>
      <c r="V1490" s="19" t="n"/>
      <c r="W1490" s="19" t="n"/>
      <c r="X1490" s="19" t="n"/>
      <c r="Y1490" s="19" t="n"/>
      <c r="Z1490" s="21">
        <f>IF(AND($A1490="",$B1490=""),"",IF(OR($E1490="",$H1490="",$H1490="Proposed",$H1490="Not Reported"),0,IF(AND($P1490="Y",$Q1490&lt;&gt;"Y"),0,IF(AND($K1490="Point",N($L1490)&lt;=0),0,IF(AND(N($L1490)&lt;=0,N($N1490)&lt;=0,N($R1490)+N($S1490)&lt;=0),0,1)))))</f>
        <v/>
      </c>
      <c r="AA1490" s="21">
        <f>IF(AND($A1490="",$B1490=""),"",IF($E1490="","Site type missing",IF($H1490="","STATUS missing",IF($H1490="Proposed","STATUS = Proposed",IF($H1490="Not Reported","STATUS = Not Reported",IF(AND($P1490="Y",$Q1490&lt;&gt;"Y"),"UNESCO-MAB Biosphere Reserve",IF(AND($K1490="Point",N($L1490)&lt;=0),"Point without REP_AREA",IF(AND(N($L1490)&lt;=0,N($N1490)&lt;=0,N($R1490)+N($S1490)&lt;=0),"No area information",""))))))))</f>
        <v/>
      </c>
      <c r="AB1490" s="22">
        <f>IF(AND($A1490="",$B1490=""),"",IF($K1490="Point",N($L1490),IF(N($N1490)&gt;0,N($N1490),N($L1490))))</f>
        <v/>
      </c>
      <c r="AC1490" s="22">
        <f>IF(AND($A1490="",$B1490=""),"",MIN(AB1490,IF(N($J1490)=0,0,IF(N($J1490)=2,AB1490,IF(AND($K1490&lt;&gt;"Point",N($O1490)&gt;0),N($O1490),N($M1490))))))</f>
        <v/>
      </c>
      <c r="AD1490" s="22">
        <f>IF(AND($A1490="",$B1490=""),"",MAX(0,AB1490-AC1490))</f>
        <v/>
      </c>
      <c r="AE1490" s="21">
        <f>IF(AND($A1490="",$B1490=""),"",IF(OR($R1490&lt;&gt;"",$S1490&lt;&gt;""),1,0))</f>
        <v/>
      </c>
      <c r="AF1490" s="22">
        <f>IF(AND($A1490="",$B1490=""),"",IF(Z1490=1,IF(AE1490=1,N($R1490),AD1490),0))</f>
        <v/>
      </c>
      <c r="AG1490" s="22">
        <f>IF(AND($A1490="",$B1490=""),"",IF(Z1490=1,IF(AE1490=1,N($S1490),AC1490),0))</f>
        <v/>
      </c>
      <c r="AH1490" s="21">
        <f>IF(AND($A1490="",$B1490=""),"",IF(AND(ISNUMBER($I1490),N($I1490)&gt;0),$I1490,0))</f>
        <v/>
      </c>
      <c r="AI1490" s="23">
        <f>IF(AND(NOT(AND($A1490="",$B1490="")),$K1490="Point",N($L1490)&gt;0),SQRT(N($L1490)/PI()),"")</f>
        <v/>
      </c>
      <c r="AJ1490" s="21">
        <f>IF(AND($A1490="",$B1490=""),"",IFERROR(VLOOKUP($G1490,Lists!$D$4:$E$15,2,FALSE),"Not reported"))</f>
        <v/>
      </c>
      <c r="AK1490" s="21">
        <f>IF(AND($A1490="",$B1490=""),"",IF($X1490&lt;&gt;"",$X1490,IF($T1490&lt;&gt;"Y","Not assessed",IF(AND(ISNUMBER($V1490),Setup!$B$6-$V1490&gt;Setup!$B$26),"Assessment outdated",IF(NOT(ISNUMBER($W1490)),"Assessed – no score",IF($W1490&gt;=Setup!$B$24,"High",IF($W1490&gt;=Setup!$B$25,"Moderate","Low")))))))</f>
        <v/>
      </c>
      <c r="AL1490" s="21">
        <f>IF(AND($A1490="",$B1490=""),"",IF(Z1490=0,"",IF(AND(AE1490=1,N($R1490)&gt;AD1490*1.01+0.001),"Net terrestrial &gt; gross; ","")&amp;IF(AND(AE1490=1,N($S1490)&gt;AC1490*1.01+0.001),"Net marine &gt; gross; ","")&amp;IF(AE1490=0,"No net area – gross used, overlaps may be double-counted; ","")&amp;IF(AH1490=0,"STATUS_YR missing – imputed in time series; ","")&amp;IF(AND(ISNUMBER($I1490),N($I1490)&gt;Setup!$B$6),"STATUS_YR after reporting year; ","")&amp;IF(OR($G1490="",$G1490="Not Reported"),"GOV_TYPE not reported; ","")&amp;IF(AND(N($J1490)=1,$K1490="Point",N($M1490)&lt;=0),"Coastal point without REP_M_AREA – land/sea split unknown; ","")&amp;IF(AND(N($J1490)=0,N($S1490)&gt;0),"MARINE=0 but net marine &gt;0; ","")&amp;IF(AND(N($J1490)=2,N($R1490)&gt;0),"MARINE=2 but net terrestrial &gt;0; ","")&amp;IF($K1490="Point","Buffered point – coverage approximate; ","")))</f>
        <v/>
      </c>
    </row>
    <row r="1491">
      <c r="A1491" s="19" t="n"/>
      <c r="B1491" s="19" t="n"/>
      <c r="C1491" s="19" t="n"/>
      <c r="D1491" s="19" t="n"/>
      <c r="E1491" s="19" t="n"/>
      <c r="F1491" s="19" t="n"/>
      <c r="G1491" s="19" t="n"/>
      <c r="H1491" s="19" t="n"/>
      <c r="I1491" s="19" t="n"/>
      <c r="J1491" s="19" t="n"/>
      <c r="K1491" s="19" t="n"/>
      <c r="L1491" s="20" t="n"/>
      <c r="M1491" s="20" t="n"/>
      <c r="N1491" s="20" t="n"/>
      <c r="O1491" s="20" t="n"/>
      <c r="P1491" s="19" t="n"/>
      <c r="Q1491" s="19" t="n"/>
      <c r="R1491" s="20" t="n"/>
      <c r="S1491" s="20" t="n"/>
      <c r="T1491" s="19" t="n"/>
      <c r="U1491" s="19" t="n"/>
      <c r="V1491" s="19" t="n"/>
      <c r="W1491" s="19" t="n"/>
      <c r="X1491" s="19" t="n"/>
      <c r="Y1491" s="19" t="n"/>
      <c r="Z1491" s="21">
        <f>IF(AND($A1491="",$B1491=""),"",IF(OR($E1491="",$H1491="",$H1491="Proposed",$H1491="Not Reported"),0,IF(AND($P1491="Y",$Q1491&lt;&gt;"Y"),0,IF(AND($K1491="Point",N($L1491)&lt;=0),0,IF(AND(N($L1491)&lt;=0,N($N1491)&lt;=0,N($R1491)+N($S1491)&lt;=0),0,1)))))</f>
        <v/>
      </c>
      <c r="AA1491" s="21">
        <f>IF(AND($A1491="",$B1491=""),"",IF($E1491="","Site type missing",IF($H1491="","STATUS missing",IF($H1491="Proposed","STATUS = Proposed",IF($H1491="Not Reported","STATUS = Not Reported",IF(AND($P1491="Y",$Q1491&lt;&gt;"Y"),"UNESCO-MAB Biosphere Reserve",IF(AND($K1491="Point",N($L1491)&lt;=0),"Point without REP_AREA",IF(AND(N($L1491)&lt;=0,N($N1491)&lt;=0,N($R1491)+N($S1491)&lt;=0),"No area information",""))))))))</f>
        <v/>
      </c>
      <c r="AB1491" s="22">
        <f>IF(AND($A1491="",$B1491=""),"",IF($K1491="Point",N($L1491),IF(N($N1491)&gt;0,N($N1491),N($L1491))))</f>
        <v/>
      </c>
      <c r="AC1491" s="22">
        <f>IF(AND($A1491="",$B1491=""),"",MIN(AB1491,IF(N($J1491)=0,0,IF(N($J1491)=2,AB1491,IF(AND($K1491&lt;&gt;"Point",N($O1491)&gt;0),N($O1491),N($M1491))))))</f>
        <v/>
      </c>
      <c r="AD1491" s="22">
        <f>IF(AND($A1491="",$B1491=""),"",MAX(0,AB1491-AC1491))</f>
        <v/>
      </c>
      <c r="AE1491" s="21">
        <f>IF(AND($A1491="",$B1491=""),"",IF(OR($R1491&lt;&gt;"",$S1491&lt;&gt;""),1,0))</f>
        <v/>
      </c>
      <c r="AF1491" s="22">
        <f>IF(AND($A1491="",$B1491=""),"",IF(Z1491=1,IF(AE1491=1,N($R1491),AD1491),0))</f>
        <v/>
      </c>
      <c r="AG1491" s="22">
        <f>IF(AND($A1491="",$B1491=""),"",IF(Z1491=1,IF(AE1491=1,N($S1491),AC1491),0))</f>
        <v/>
      </c>
      <c r="AH1491" s="21">
        <f>IF(AND($A1491="",$B1491=""),"",IF(AND(ISNUMBER($I1491),N($I1491)&gt;0),$I1491,0))</f>
        <v/>
      </c>
      <c r="AI1491" s="23">
        <f>IF(AND(NOT(AND($A1491="",$B1491="")),$K1491="Point",N($L1491)&gt;0),SQRT(N($L1491)/PI()),"")</f>
        <v/>
      </c>
      <c r="AJ1491" s="21">
        <f>IF(AND($A1491="",$B1491=""),"",IFERROR(VLOOKUP($G1491,Lists!$D$4:$E$15,2,FALSE),"Not reported"))</f>
        <v/>
      </c>
      <c r="AK1491" s="21">
        <f>IF(AND($A1491="",$B1491=""),"",IF($X1491&lt;&gt;"",$X1491,IF($T1491&lt;&gt;"Y","Not assessed",IF(AND(ISNUMBER($V1491),Setup!$B$6-$V1491&gt;Setup!$B$26),"Assessment outdated",IF(NOT(ISNUMBER($W1491)),"Assessed – no score",IF($W1491&gt;=Setup!$B$24,"High",IF($W1491&gt;=Setup!$B$25,"Moderate","Low")))))))</f>
        <v/>
      </c>
      <c r="AL1491" s="21">
        <f>IF(AND($A1491="",$B1491=""),"",IF(Z1491=0,"",IF(AND(AE1491=1,N($R1491)&gt;AD1491*1.01+0.001),"Net terrestrial &gt; gross; ","")&amp;IF(AND(AE1491=1,N($S1491)&gt;AC1491*1.01+0.001),"Net marine &gt; gross; ","")&amp;IF(AE1491=0,"No net area – gross used, overlaps may be double-counted; ","")&amp;IF(AH1491=0,"STATUS_YR missing – imputed in time series; ","")&amp;IF(AND(ISNUMBER($I1491),N($I1491)&gt;Setup!$B$6),"STATUS_YR after reporting year; ","")&amp;IF(OR($G1491="",$G1491="Not Reported"),"GOV_TYPE not reported; ","")&amp;IF(AND(N($J1491)=1,$K1491="Point",N($M1491)&lt;=0),"Coastal point without REP_M_AREA – land/sea split unknown; ","")&amp;IF(AND(N($J1491)=0,N($S1491)&gt;0),"MARINE=0 but net marine &gt;0; ","")&amp;IF(AND(N($J1491)=2,N($R1491)&gt;0),"MARINE=2 but net terrestrial &gt;0; ","")&amp;IF($K1491="Point","Buffered point – coverage approximate; ","")))</f>
        <v/>
      </c>
    </row>
    <row r="1492">
      <c r="A1492" s="19" t="n"/>
      <c r="B1492" s="19" t="n"/>
      <c r="C1492" s="19" t="n"/>
      <c r="D1492" s="19" t="n"/>
      <c r="E1492" s="19" t="n"/>
      <c r="F1492" s="19" t="n"/>
      <c r="G1492" s="19" t="n"/>
      <c r="H1492" s="19" t="n"/>
      <c r="I1492" s="19" t="n"/>
      <c r="J1492" s="19" t="n"/>
      <c r="K1492" s="19" t="n"/>
      <c r="L1492" s="20" t="n"/>
      <c r="M1492" s="20" t="n"/>
      <c r="N1492" s="20" t="n"/>
      <c r="O1492" s="20" t="n"/>
      <c r="P1492" s="19" t="n"/>
      <c r="Q1492" s="19" t="n"/>
      <c r="R1492" s="20" t="n"/>
      <c r="S1492" s="20" t="n"/>
      <c r="T1492" s="19" t="n"/>
      <c r="U1492" s="19" t="n"/>
      <c r="V1492" s="19" t="n"/>
      <c r="W1492" s="19" t="n"/>
      <c r="X1492" s="19" t="n"/>
      <c r="Y1492" s="19" t="n"/>
      <c r="Z1492" s="21">
        <f>IF(AND($A1492="",$B1492=""),"",IF(OR($E1492="",$H1492="",$H1492="Proposed",$H1492="Not Reported"),0,IF(AND($P1492="Y",$Q1492&lt;&gt;"Y"),0,IF(AND($K1492="Point",N($L1492)&lt;=0),0,IF(AND(N($L1492)&lt;=0,N($N1492)&lt;=0,N($R1492)+N($S1492)&lt;=0),0,1)))))</f>
        <v/>
      </c>
      <c r="AA1492" s="21">
        <f>IF(AND($A1492="",$B1492=""),"",IF($E1492="","Site type missing",IF($H1492="","STATUS missing",IF($H1492="Proposed","STATUS = Proposed",IF($H1492="Not Reported","STATUS = Not Reported",IF(AND($P1492="Y",$Q1492&lt;&gt;"Y"),"UNESCO-MAB Biosphere Reserve",IF(AND($K1492="Point",N($L1492)&lt;=0),"Point without REP_AREA",IF(AND(N($L1492)&lt;=0,N($N1492)&lt;=0,N($R1492)+N($S1492)&lt;=0),"No area information",""))))))))</f>
        <v/>
      </c>
      <c r="AB1492" s="22">
        <f>IF(AND($A1492="",$B1492=""),"",IF($K1492="Point",N($L1492),IF(N($N1492)&gt;0,N($N1492),N($L1492))))</f>
        <v/>
      </c>
      <c r="AC1492" s="22">
        <f>IF(AND($A1492="",$B1492=""),"",MIN(AB1492,IF(N($J1492)=0,0,IF(N($J1492)=2,AB1492,IF(AND($K1492&lt;&gt;"Point",N($O1492)&gt;0),N($O1492),N($M1492))))))</f>
        <v/>
      </c>
      <c r="AD1492" s="22">
        <f>IF(AND($A1492="",$B1492=""),"",MAX(0,AB1492-AC1492))</f>
        <v/>
      </c>
      <c r="AE1492" s="21">
        <f>IF(AND($A1492="",$B1492=""),"",IF(OR($R1492&lt;&gt;"",$S1492&lt;&gt;""),1,0))</f>
        <v/>
      </c>
      <c r="AF1492" s="22">
        <f>IF(AND($A1492="",$B1492=""),"",IF(Z1492=1,IF(AE1492=1,N($R1492),AD1492),0))</f>
        <v/>
      </c>
      <c r="AG1492" s="22">
        <f>IF(AND($A1492="",$B1492=""),"",IF(Z1492=1,IF(AE1492=1,N($S1492),AC1492),0))</f>
        <v/>
      </c>
      <c r="AH1492" s="21">
        <f>IF(AND($A1492="",$B1492=""),"",IF(AND(ISNUMBER($I1492),N($I1492)&gt;0),$I1492,0))</f>
        <v/>
      </c>
      <c r="AI1492" s="23">
        <f>IF(AND(NOT(AND($A1492="",$B1492="")),$K1492="Point",N($L1492)&gt;0),SQRT(N($L1492)/PI()),"")</f>
        <v/>
      </c>
      <c r="AJ1492" s="21">
        <f>IF(AND($A1492="",$B1492=""),"",IFERROR(VLOOKUP($G1492,Lists!$D$4:$E$15,2,FALSE),"Not reported"))</f>
        <v/>
      </c>
      <c r="AK1492" s="21">
        <f>IF(AND($A1492="",$B1492=""),"",IF($X1492&lt;&gt;"",$X1492,IF($T1492&lt;&gt;"Y","Not assessed",IF(AND(ISNUMBER($V1492),Setup!$B$6-$V1492&gt;Setup!$B$26),"Assessment outdated",IF(NOT(ISNUMBER($W1492)),"Assessed – no score",IF($W1492&gt;=Setup!$B$24,"High",IF($W1492&gt;=Setup!$B$25,"Moderate","Low")))))))</f>
        <v/>
      </c>
      <c r="AL1492" s="21">
        <f>IF(AND($A1492="",$B1492=""),"",IF(Z1492=0,"",IF(AND(AE1492=1,N($R1492)&gt;AD1492*1.01+0.001),"Net terrestrial &gt; gross; ","")&amp;IF(AND(AE1492=1,N($S1492)&gt;AC1492*1.01+0.001),"Net marine &gt; gross; ","")&amp;IF(AE1492=0,"No net area – gross used, overlaps may be double-counted; ","")&amp;IF(AH1492=0,"STATUS_YR missing – imputed in time series; ","")&amp;IF(AND(ISNUMBER($I1492),N($I1492)&gt;Setup!$B$6),"STATUS_YR after reporting year; ","")&amp;IF(OR($G1492="",$G1492="Not Reported"),"GOV_TYPE not reported; ","")&amp;IF(AND(N($J1492)=1,$K1492="Point",N($M1492)&lt;=0),"Coastal point without REP_M_AREA – land/sea split unknown; ","")&amp;IF(AND(N($J1492)=0,N($S1492)&gt;0),"MARINE=0 but net marine &gt;0; ","")&amp;IF(AND(N($J1492)=2,N($R1492)&gt;0),"MARINE=2 but net terrestrial &gt;0; ","")&amp;IF($K1492="Point","Buffered point – coverage approximate; ","")))</f>
        <v/>
      </c>
    </row>
    <row r="1493">
      <c r="A1493" s="19" t="n"/>
      <c r="B1493" s="19" t="n"/>
      <c r="C1493" s="19" t="n"/>
      <c r="D1493" s="19" t="n"/>
      <c r="E1493" s="19" t="n"/>
      <c r="F1493" s="19" t="n"/>
      <c r="G1493" s="19" t="n"/>
      <c r="H1493" s="19" t="n"/>
      <c r="I1493" s="19" t="n"/>
      <c r="J1493" s="19" t="n"/>
      <c r="K1493" s="19" t="n"/>
      <c r="L1493" s="20" t="n"/>
      <c r="M1493" s="20" t="n"/>
      <c r="N1493" s="20" t="n"/>
      <c r="O1493" s="20" t="n"/>
      <c r="P1493" s="19" t="n"/>
      <c r="Q1493" s="19" t="n"/>
      <c r="R1493" s="20" t="n"/>
      <c r="S1493" s="20" t="n"/>
      <c r="T1493" s="19" t="n"/>
      <c r="U1493" s="19" t="n"/>
      <c r="V1493" s="19" t="n"/>
      <c r="W1493" s="19" t="n"/>
      <c r="X1493" s="19" t="n"/>
      <c r="Y1493" s="19" t="n"/>
      <c r="Z1493" s="21">
        <f>IF(AND($A1493="",$B1493=""),"",IF(OR($E1493="",$H1493="",$H1493="Proposed",$H1493="Not Reported"),0,IF(AND($P1493="Y",$Q1493&lt;&gt;"Y"),0,IF(AND($K1493="Point",N($L1493)&lt;=0),0,IF(AND(N($L1493)&lt;=0,N($N1493)&lt;=0,N($R1493)+N($S1493)&lt;=0),0,1)))))</f>
        <v/>
      </c>
      <c r="AA1493" s="21">
        <f>IF(AND($A1493="",$B1493=""),"",IF($E1493="","Site type missing",IF($H1493="","STATUS missing",IF($H1493="Proposed","STATUS = Proposed",IF($H1493="Not Reported","STATUS = Not Reported",IF(AND($P1493="Y",$Q1493&lt;&gt;"Y"),"UNESCO-MAB Biosphere Reserve",IF(AND($K1493="Point",N($L1493)&lt;=0),"Point without REP_AREA",IF(AND(N($L1493)&lt;=0,N($N1493)&lt;=0,N($R1493)+N($S1493)&lt;=0),"No area information",""))))))))</f>
        <v/>
      </c>
      <c r="AB1493" s="22">
        <f>IF(AND($A1493="",$B1493=""),"",IF($K1493="Point",N($L1493),IF(N($N1493)&gt;0,N($N1493),N($L1493))))</f>
        <v/>
      </c>
      <c r="AC1493" s="22">
        <f>IF(AND($A1493="",$B1493=""),"",MIN(AB1493,IF(N($J1493)=0,0,IF(N($J1493)=2,AB1493,IF(AND($K1493&lt;&gt;"Point",N($O1493)&gt;0),N($O1493),N($M1493))))))</f>
        <v/>
      </c>
      <c r="AD1493" s="22">
        <f>IF(AND($A1493="",$B1493=""),"",MAX(0,AB1493-AC1493))</f>
        <v/>
      </c>
      <c r="AE1493" s="21">
        <f>IF(AND($A1493="",$B1493=""),"",IF(OR($R1493&lt;&gt;"",$S1493&lt;&gt;""),1,0))</f>
        <v/>
      </c>
      <c r="AF1493" s="22">
        <f>IF(AND($A1493="",$B1493=""),"",IF(Z1493=1,IF(AE1493=1,N($R1493),AD1493),0))</f>
        <v/>
      </c>
      <c r="AG1493" s="22">
        <f>IF(AND($A1493="",$B1493=""),"",IF(Z1493=1,IF(AE1493=1,N($S1493),AC1493),0))</f>
        <v/>
      </c>
      <c r="AH1493" s="21">
        <f>IF(AND($A1493="",$B1493=""),"",IF(AND(ISNUMBER($I1493),N($I1493)&gt;0),$I1493,0))</f>
        <v/>
      </c>
      <c r="AI1493" s="23">
        <f>IF(AND(NOT(AND($A1493="",$B1493="")),$K1493="Point",N($L1493)&gt;0),SQRT(N($L1493)/PI()),"")</f>
        <v/>
      </c>
      <c r="AJ1493" s="21">
        <f>IF(AND($A1493="",$B1493=""),"",IFERROR(VLOOKUP($G1493,Lists!$D$4:$E$15,2,FALSE),"Not reported"))</f>
        <v/>
      </c>
      <c r="AK1493" s="21">
        <f>IF(AND($A1493="",$B1493=""),"",IF($X1493&lt;&gt;"",$X1493,IF($T1493&lt;&gt;"Y","Not assessed",IF(AND(ISNUMBER($V1493),Setup!$B$6-$V1493&gt;Setup!$B$26),"Assessment outdated",IF(NOT(ISNUMBER($W1493)),"Assessed – no score",IF($W1493&gt;=Setup!$B$24,"High",IF($W1493&gt;=Setup!$B$25,"Moderate","Low")))))))</f>
        <v/>
      </c>
      <c r="AL1493" s="21">
        <f>IF(AND($A1493="",$B1493=""),"",IF(Z1493=0,"",IF(AND(AE1493=1,N($R1493)&gt;AD1493*1.01+0.001),"Net terrestrial &gt; gross; ","")&amp;IF(AND(AE1493=1,N($S1493)&gt;AC1493*1.01+0.001),"Net marine &gt; gross; ","")&amp;IF(AE1493=0,"No net area – gross used, overlaps may be double-counted; ","")&amp;IF(AH1493=0,"STATUS_YR missing – imputed in time series; ","")&amp;IF(AND(ISNUMBER($I1493),N($I1493)&gt;Setup!$B$6),"STATUS_YR after reporting year; ","")&amp;IF(OR($G1493="",$G1493="Not Reported"),"GOV_TYPE not reported; ","")&amp;IF(AND(N($J1493)=1,$K1493="Point",N($M1493)&lt;=0),"Coastal point without REP_M_AREA – land/sea split unknown; ","")&amp;IF(AND(N($J1493)=0,N($S1493)&gt;0),"MARINE=0 but net marine &gt;0; ","")&amp;IF(AND(N($J1493)=2,N($R1493)&gt;0),"MARINE=2 but net terrestrial &gt;0; ","")&amp;IF($K1493="Point","Buffered point – coverage approximate; ","")))</f>
        <v/>
      </c>
    </row>
    <row r="1494">
      <c r="A1494" s="19" t="n"/>
      <c r="B1494" s="19" t="n"/>
      <c r="C1494" s="19" t="n"/>
      <c r="D1494" s="19" t="n"/>
      <c r="E1494" s="19" t="n"/>
      <c r="F1494" s="19" t="n"/>
      <c r="G1494" s="19" t="n"/>
      <c r="H1494" s="19" t="n"/>
      <c r="I1494" s="19" t="n"/>
      <c r="J1494" s="19" t="n"/>
      <c r="K1494" s="19" t="n"/>
      <c r="L1494" s="20" t="n"/>
      <c r="M1494" s="20" t="n"/>
      <c r="N1494" s="20" t="n"/>
      <c r="O1494" s="20" t="n"/>
      <c r="P1494" s="19" t="n"/>
      <c r="Q1494" s="19" t="n"/>
      <c r="R1494" s="20" t="n"/>
      <c r="S1494" s="20" t="n"/>
      <c r="T1494" s="19" t="n"/>
      <c r="U1494" s="19" t="n"/>
      <c r="V1494" s="19" t="n"/>
      <c r="W1494" s="19" t="n"/>
      <c r="X1494" s="19" t="n"/>
      <c r="Y1494" s="19" t="n"/>
      <c r="Z1494" s="21">
        <f>IF(AND($A1494="",$B1494=""),"",IF(OR($E1494="",$H1494="",$H1494="Proposed",$H1494="Not Reported"),0,IF(AND($P1494="Y",$Q1494&lt;&gt;"Y"),0,IF(AND($K1494="Point",N($L1494)&lt;=0),0,IF(AND(N($L1494)&lt;=0,N($N1494)&lt;=0,N($R1494)+N($S1494)&lt;=0),0,1)))))</f>
        <v/>
      </c>
      <c r="AA1494" s="21">
        <f>IF(AND($A1494="",$B1494=""),"",IF($E1494="","Site type missing",IF($H1494="","STATUS missing",IF($H1494="Proposed","STATUS = Proposed",IF($H1494="Not Reported","STATUS = Not Reported",IF(AND($P1494="Y",$Q1494&lt;&gt;"Y"),"UNESCO-MAB Biosphere Reserve",IF(AND($K1494="Point",N($L1494)&lt;=0),"Point without REP_AREA",IF(AND(N($L1494)&lt;=0,N($N1494)&lt;=0,N($R1494)+N($S1494)&lt;=0),"No area information",""))))))))</f>
        <v/>
      </c>
      <c r="AB1494" s="22">
        <f>IF(AND($A1494="",$B1494=""),"",IF($K1494="Point",N($L1494),IF(N($N1494)&gt;0,N($N1494),N($L1494))))</f>
        <v/>
      </c>
      <c r="AC1494" s="22">
        <f>IF(AND($A1494="",$B1494=""),"",MIN(AB1494,IF(N($J1494)=0,0,IF(N($J1494)=2,AB1494,IF(AND($K1494&lt;&gt;"Point",N($O1494)&gt;0),N($O1494),N($M1494))))))</f>
        <v/>
      </c>
      <c r="AD1494" s="22">
        <f>IF(AND($A1494="",$B1494=""),"",MAX(0,AB1494-AC1494))</f>
        <v/>
      </c>
      <c r="AE1494" s="21">
        <f>IF(AND($A1494="",$B1494=""),"",IF(OR($R1494&lt;&gt;"",$S1494&lt;&gt;""),1,0))</f>
        <v/>
      </c>
      <c r="AF1494" s="22">
        <f>IF(AND($A1494="",$B1494=""),"",IF(Z1494=1,IF(AE1494=1,N($R1494),AD1494),0))</f>
        <v/>
      </c>
      <c r="AG1494" s="22">
        <f>IF(AND($A1494="",$B1494=""),"",IF(Z1494=1,IF(AE1494=1,N($S1494),AC1494),0))</f>
        <v/>
      </c>
      <c r="AH1494" s="21">
        <f>IF(AND($A1494="",$B1494=""),"",IF(AND(ISNUMBER($I1494),N($I1494)&gt;0),$I1494,0))</f>
        <v/>
      </c>
      <c r="AI1494" s="23">
        <f>IF(AND(NOT(AND($A1494="",$B1494="")),$K1494="Point",N($L1494)&gt;0),SQRT(N($L1494)/PI()),"")</f>
        <v/>
      </c>
      <c r="AJ1494" s="21">
        <f>IF(AND($A1494="",$B1494=""),"",IFERROR(VLOOKUP($G1494,Lists!$D$4:$E$15,2,FALSE),"Not reported"))</f>
        <v/>
      </c>
      <c r="AK1494" s="21">
        <f>IF(AND($A1494="",$B1494=""),"",IF($X1494&lt;&gt;"",$X1494,IF($T1494&lt;&gt;"Y","Not assessed",IF(AND(ISNUMBER($V1494),Setup!$B$6-$V1494&gt;Setup!$B$26),"Assessment outdated",IF(NOT(ISNUMBER($W1494)),"Assessed – no score",IF($W1494&gt;=Setup!$B$24,"High",IF($W1494&gt;=Setup!$B$25,"Moderate","Low")))))))</f>
        <v/>
      </c>
      <c r="AL1494" s="21">
        <f>IF(AND($A1494="",$B1494=""),"",IF(Z1494=0,"",IF(AND(AE1494=1,N($R1494)&gt;AD1494*1.01+0.001),"Net terrestrial &gt; gross; ","")&amp;IF(AND(AE1494=1,N($S1494)&gt;AC1494*1.01+0.001),"Net marine &gt; gross; ","")&amp;IF(AE1494=0,"No net area – gross used, overlaps may be double-counted; ","")&amp;IF(AH1494=0,"STATUS_YR missing – imputed in time series; ","")&amp;IF(AND(ISNUMBER($I1494),N($I1494)&gt;Setup!$B$6),"STATUS_YR after reporting year; ","")&amp;IF(OR($G1494="",$G1494="Not Reported"),"GOV_TYPE not reported; ","")&amp;IF(AND(N($J1494)=1,$K1494="Point",N($M1494)&lt;=0),"Coastal point without REP_M_AREA – land/sea split unknown; ","")&amp;IF(AND(N($J1494)=0,N($S1494)&gt;0),"MARINE=0 but net marine &gt;0; ","")&amp;IF(AND(N($J1494)=2,N($R1494)&gt;0),"MARINE=2 but net terrestrial &gt;0; ","")&amp;IF($K1494="Point","Buffered point – coverage approximate; ","")))</f>
        <v/>
      </c>
    </row>
    <row r="1495">
      <c r="A1495" s="19" t="n"/>
      <c r="B1495" s="19" t="n"/>
      <c r="C1495" s="19" t="n"/>
      <c r="D1495" s="19" t="n"/>
      <c r="E1495" s="19" t="n"/>
      <c r="F1495" s="19" t="n"/>
      <c r="G1495" s="19" t="n"/>
      <c r="H1495" s="19" t="n"/>
      <c r="I1495" s="19" t="n"/>
      <c r="J1495" s="19" t="n"/>
      <c r="K1495" s="19" t="n"/>
      <c r="L1495" s="20" t="n"/>
      <c r="M1495" s="20" t="n"/>
      <c r="N1495" s="20" t="n"/>
      <c r="O1495" s="20" t="n"/>
      <c r="P1495" s="19" t="n"/>
      <c r="Q1495" s="19" t="n"/>
      <c r="R1495" s="20" t="n"/>
      <c r="S1495" s="20" t="n"/>
      <c r="T1495" s="19" t="n"/>
      <c r="U1495" s="19" t="n"/>
      <c r="V1495" s="19" t="n"/>
      <c r="W1495" s="19" t="n"/>
      <c r="X1495" s="19" t="n"/>
      <c r="Y1495" s="19" t="n"/>
      <c r="Z1495" s="21">
        <f>IF(AND($A1495="",$B1495=""),"",IF(OR($E1495="",$H1495="",$H1495="Proposed",$H1495="Not Reported"),0,IF(AND($P1495="Y",$Q1495&lt;&gt;"Y"),0,IF(AND($K1495="Point",N($L1495)&lt;=0),0,IF(AND(N($L1495)&lt;=0,N($N1495)&lt;=0,N($R1495)+N($S1495)&lt;=0),0,1)))))</f>
        <v/>
      </c>
      <c r="AA1495" s="21">
        <f>IF(AND($A1495="",$B1495=""),"",IF($E1495="","Site type missing",IF($H1495="","STATUS missing",IF($H1495="Proposed","STATUS = Proposed",IF($H1495="Not Reported","STATUS = Not Reported",IF(AND($P1495="Y",$Q1495&lt;&gt;"Y"),"UNESCO-MAB Biosphere Reserve",IF(AND($K1495="Point",N($L1495)&lt;=0),"Point without REP_AREA",IF(AND(N($L1495)&lt;=0,N($N1495)&lt;=0,N($R1495)+N($S1495)&lt;=0),"No area information",""))))))))</f>
        <v/>
      </c>
      <c r="AB1495" s="22">
        <f>IF(AND($A1495="",$B1495=""),"",IF($K1495="Point",N($L1495),IF(N($N1495)&gt;0,N($N1495),N($L1495))))</f>
        <v/>
      </c>
      <c r="AC1495" s="22">
        <f>IF(AND($A1495="",$B1495=""),"",MIN(AB1495,IF(N($J1495)=0,0,IF(N($J1495)=2,AB1495,IF(AND($K1495&lt;&gt;"Point",N($O1495)&gt;0),N($O1495),N($M1495))))))</f>
        <v/>
      </c>
      <c r="AD1495" s="22">
        <f>IF(AND($A1495="",$B1495=""),"",MAX(0,AB1495-AC1495))</f>
        <v/>
      </c>
      <c r="AE1495" s="21">
        <f>IF(AND($A1495="",$B1495=""),"",IF(OR($R1495&lt;&gt;"",$S1495&lt;&gt;""),1,0))</f>
        <v/>
      </c>
      <c r="AF1495" s="22">
        <f>IF(AND($A1495="",$B1495=""),"",IF(Z1495=1,IF(AE1495=1,N($R1495),AD1495),0))</f>
        <v/>
      </c>
      <c r="AG1495" s="22">
        <f>IF(AND($A1495="",$B1495=""),"",IF(Z1495=1,IF(AE1495=1,N($S1495),AC1495),0))</f>
        <v/>
      </c>
      <c r="AH1495" s="21">
        <f>IF(AND($A1495="",$B1495=""),"",IF(AND(ISNUMBER($I1495),N($I1495)&gt;0),$I1495,0))</f>
        <v/>
      </c>
      <c r="AI1495" s="23">
        <f>IF(AND(NOT(AND($A1495="",$B1495="")),$K1495="Point",N($L1495)&gt;0),SQRT(N($L1495)/PI()),"")</f>
        <v/>
      </c>
      <c r="AJ1495" s="21">
        <f>IF(AND($A1495="",$B1495=""),"",IFERROR(VLOOKUP($G1495,Lists!$D$4:$E$15,2,FALSE),"Not reported"))</f>
        <v/>
      </c>
      <c r="AK1495" s="21">
        <f>IF(AND($A1495="",$B1495=""),"",IF($X1495&lt;&gt;"",$X1495,IF($T1495&lt;&gt;"Y","Not assessed",IF(AND(ISNUMBER($V1495),Setup!$B$6-$V1495&gt;Setup!$B$26),"Assessment outdated",IF(NOT(ISNUMBER($W1495)),"Assessed – no score",IF($W1495&gt;=Setup!$B$24,"High",IF($W1495&gt;=Setup!$B$25,"Moderate","Low")))))))</f>
        <v/>
      </c>
      <c r="AL1495" s="21">
        <f>IF(AND($A1495="",$B1495=""),"",IF(Z1495=0,"",IF(AND(AE1495=1,N($R1495)&gt;AD1495*1.01+0.001),"Net terrestrial &gt; gross; ","")&amp;IF(AND(AE1495=1,N($S1495)&gt;AC1495*1.01+0.001),"Net marine &gt; gross; ","")&amp;IF(AE1495=0,"No net area – gross used, overlaps may be double-counted; ","")&amp;IF(AH1495=0,"STATUS_YR missing – imputed in time series; ","")&amp;IF(AND(ISNUMBER($I1495),N($I1495)&gt;Setup!$B$6),"STATUS_YR after reporting year; ","")&amp;IF(OR($G1495="",$G1495="Not Reported"),"GOV_TYPE not reported; ","")&amp;IF(AND(N($J1495)=1,$K1495="Point",N($M1495)&lt;=0),"Coastal point without REP_M_AREA – land/sea split unknown; ","")&amp;IF(AND(N($J1495)=0,N($S1495)&gt;0),"MARINE=0 but net marine &gt;0; ","")&amp;IF(AND(N($J1495)=2,N($R1495)&gt;0),"MARINE=2 but net terrestrial &gt;0; ","")&amp;IF($K1495="Point","Buffered point – coverage approximate; ","")))</f>
        <v/>
      </c>
    </row>
    <row r="1496">
      <c r="A1496" s="19" t="n"/>
      <c r="B1496" s="19" t="n"/>
      <c r="C1496" s="19" t="n"/>
      <c r="D1496" s="19" t="n"/>
      <c r="E1496" s="19" t="n"/>
      <c r="F1496" s="19" t="n"/>
      <c r="G1496" s="19" t="n"/>
      <c r="H1496" s="19" t="n"/>
      <c r="I1496" s="19" t="n"/>
      <c r="J1496" s="19" t="n"/>
      <c r="K1496" s="19" t="n"/>
      <c r="L1496" s="20" t="n"/>
      <c r="M1496" s="20" t="n"/>
      <c r="N1496" s="20" t="n"/>
      <c r="O1496" s="20" t="n"/>
      <c r="P1496" s="19" t="n"/>
      <c r="Q1496" s="19" t="n"/>
      <c r="R1496" s="20" t="n"/>
      <c r="S1496" s="20" t="n"/>
      <c r="T1496" s="19" t="n"/>
      <c r="U1496" s="19" t="n"/>
      <c r="V1496" s="19" t="n"/>
      <c r="W1496" s="19" t="n"/>
      <c r="X1496" s="19" t="n"/>
      <c r="Y1496" s="19" t="n"/>
      <c r="Z1496" s="21">
        <f>IF(AND($A1496="",$B1496=""),"",IF(OR($E1496="",$H1496="",$H1496="Proposed",$H1496="Not Reported"),0,IF(AND($P1496="Y",$Q1496&lt;&gt;"Y"),0,IF(AND($K1496="Point",N($L1496)&lt;=0),0,IF(AND(N($L1496)&lt;=0,N($N1496)&lt;=0,N($R1496)+N($S1496)&lt;=0),0,1)))))</f>
        <v/>
      </c>
      <c r="AA1496" s="21">
        <f>IF(AND($A1496="",$B1496=""),"",IF($E1496="","Site type missing",IF($H1496="","STATUS missing",IF($H1496="Proposed","STATUS = Proposed",IF($H1496="Not Reported","STATUS = Not Reported",IF(AND($P1496="Y",$Q1496&lt;&gt;"Y"),"UNESCO-MAB Biosphere Reserve",IF(AND($K1496="Point",N($L1496)&lt;=0),"Point without REP_AREA",IF(AND(N($L1496)&lt;=0,N($N1496)&lt;=0,N($R1496)+N($S1496)&lt;=0),"No area information",""))))))))</f>
        <v/>
      </c>
      <c r="AB1496" s="22">
        <f>IF(AND($A1496="",$B1496=""),"",IF($K1496="Point",N($L1496),IF(N($N1496)&gt;0,N($N1496),N($L1496))))</f>
        <v/>
      </c>
      <c r="AC1496" s="22">
        <f>IF(AND($A1496="",$B1496=""),"",MIN(AB1496,IF(N($J1496)=0,0,IF(N($J1496)=2,AB1496,IF(AND($K1496&lt;&gt;"Point",N($O1496)&gt;0),N($O1496),N($M1496))))))</f>
        <v/>
      </c>
      <c r="AD1496" s="22">
        <f>IF(AND($A1496="",$B1496=""),"",MAX(0,AB1496-AC1496))</f>
        <v/>
      </c>
      <c r="AE1496" s="21">
        <f>IF(AND($A1496="",$B1496=""),"",IF(OR($R1496&lt;&gt;"",$S1496&lt;&gt;""),1,0))</f>
        <v/>
      </c>
      <c r="AF1496" s="22">
        <f>IF(AND($A1496="",$B1496=""),"",IF(Z1496=1,IF(AE1496=1,N($R1496),AD1496),0))</f>
        <v/>
      </c>
      <c r="AG1496" s="22">
        <f>IF(AND($A1496="",$B1496=""),"",IF(Z1496=1,IF(AE1496=1,N($S1496),AC1496),0))</f>
        <v/>
      </c>
      <c r="AH1496" s="21">
        <f>IF(AND($A1496="",$B1496=""),"",IF(AND(ISNUMBER($I1496),N($I1496)&gt;0),$I1496,0))</f>
        <v/>
      </c>
      <c r="AI1496" s="23">
        <f>IF(AND(NOT(AND($A1496="",$B1496="")),$K1496="Point",N($L1496)&gt;0),SQRT(N($L1496)/PI()),"")</f>
        <v/>
      </c>
      <c r="AJ1496" s="21">
        <f>IF(AND($A1496="",$B1496=""),"",IFERROR(VLOOKUP($G1496,Lists!$D$4:$E$15,2,FALSE),"Not reported"))</f>
        <v/>
      </c>
      <c r="AK1496" s="21">
        <f>IF(AND($A1496="",$B1496=""),"",IF($X1496&lt;&gt;"",$X1496,IF($T1496&lt;&gt;"Y","Not assessed",IF(AND(ISNUMBER($V1496),Setup!$B$6-$V1496&gt;Setup!$B$26),"Assessment outdated",IF(NOT(ISNUMBER($W1496)),"Assessed – no score",IF($W1496&gt;=Setup!$B$24,"High",IF($W1496&gt;=Setup!$B$25,"Moderate","Low")))))))</f>
        <v/>
      </c>
      <c r="AL1496" s="21">
        <f>IF(AND($A1496="",$B1496=""),"",IF(Z1496=0,"",IF(AND(AE1496=1,N($R1496)&gt;AD1496*1.01+0.001),"Net terrestrial &gt; gross; ","")&amp;IF(AND(AE1496=1,N($S1496)&gt;AC1496*1.01+0.001),"Net marine &gt; gross; ","")&amp;IF(AE1496=0,"No net area – gross used, overlaps may be double-counted; ","")&amp;IF(AH1496=0,"STATUS_YR missing – imputed in time series; ","")&amp;IF(AND(ISNUMBER($I1496),N($I1496)&gt;Setup!$B$6),"STATUS_YR after reporting year; ","")&amp;IF(OR($G1496="",$G1496="Not Reported"),"GOV_TYPE not reported; ","")&amp;IF(AND(N($J1496)=1,$K1496="Point",N($M1496)&lt;=0),"Coastal point without REP_M_AREA – land/sea split unknown; ","")&amp;IF(AND(N($J1496)=0,N($S1496)&gt;0),"MARINE=0 but net marine &gt;0; ","")&amp;IF(AND(N($J1496)=2,N($R1496)&gt;0),"MARINE=2 but net terrestrial &gt;0; ","")&amp;IF($K1496="Point","Buffered point – coverage approximate; ","")))</f>
        <v/>
      </c>
    </row>
    <row r="1497">
      <c r="A1497" s="19" t="n"/>
      <c r="B1497" s="19" t="n"/>
      <c r="C1497" s="19" t="n"/>
      <c r="D1497" s="19" t="n"/>
      <c r="E1497" s="19" t="n"/>
      <c r="F1497" s="19" t="n"/>
      <c r="G1497" s="19" t="n"/>
      <c r="H1497" s="19" t="n"/>
      <c r="I1497" s="19" t="n"/>
      <c r="J1497" s="19" t="n"/>
      <c r="K1497" s="19" t="n"/>
      <c r="L1497" s="20" t="n"/>
      <c r="M1497" s="20" t="n"/>
      <c r="N1497" s="20" t="n"/>
      <c r="O1497" s="20" t="n"/>
      <c r="P1497" s="19" t="n"/>
      <c r="Q1497" s="19" t="n"/>
      <c r="R1497" s="20" t="n"/>
      <c r="S1497" s="20" t="n"/>
      <c r="T1497" s="19" t="n"/>
      <c r="U1497" s="19" t="n"/>
      <c r="V1497" s="19" t="n"/>
      <c r="W1497" s="19" t="n"/>
      <c r="X1497" s="19" t="n"/>
      <c r="Y1497" s="19" t="n"/>
      <c r="Z1497" s="21">
        <f>IF(AND($A1497="",$B1497=""),"",IF(OR($E1497="",$H1497="",$H1497="Proposed",$H1497="Not Reported"),0,IF(AND($P1497="Y",$Q1497&lt;&gt;"Y"),0,IF(AND($K1497="Point",N($L1497)&lt;=0),0,IF(AND(N($L1497)&lt;=0,N($N1497)&lt;=0,N($R1497)+N($S1497)&lt;=0),0,1)))))</f>
        <v/>
      </c>
      <c r="AA1497" s="21">
        <f>IF(AND($A1497="",$B1497=""),"",IF($E1497="","Site type missing",IF($H1497="","STATUS missing",IF($H1497="Proposed","STATUS = Proposed",IF($H1497="Not Reported","STATUS = Not Reported",IF(AND($P1497="Y",$Q1497&lt;&gt;"Y"),"UNESCO-MAB Biosphere Reserve",IF(AND($K1497="Point",N($L1497)&lt;=0),"Point without REP_AREA",IF(AND(N($L1497)&lt;=0,N($N1497)&lt;=0,N($R1497)+N($S1497)&lt;=0),"No area information",""))))))))</f>
        <v/>
      </c>
      <c r="AB1497" s="22">
        <f>IF(AND($A1497="",$B1497=""),"",IF($K1497="Point",N($L1497),IF(N($N1497)&gt;0,N($N1497),N($L1497))))</f>
        <v/>
      </c>
      <c r="AC1497" s="22">
        <f>IF(AND($A1497="",$B1497=""),"",MIN(AB1497,IF(N($J1497)=0,0,IF(N($J1497)=2,AB1497,IF(AND($K1497&lt;&gt;"Point",N($O1497)&gt;0),N($O1497),N($M1497))))))</f>
        <v/>
      </c>
      <c r="AD1497" s="22">
        <f>IF(AND($A1497="",$B1497=""),"",MAX(0,AB1497-AC1497))</f>
        <v/>
      </c>
      <c r="AE1497" s="21">
        <f>IF(AND($A1497="",$B1497=""),"",IF(OR($R1497&lt;&gt;"",$S1497&lt;&gt;""),1,0))</f>
        <v/>
      </c>
      <c r="AF1497" s="22">
        <f>IF(AND($A1497="",$B1497=""),"",IF(Z1497=1,IF(AE1497=1,N($R1497),AD1497),0))</f>
        <v/>
      </c>
      <c r="AG1497" s="22">
        <f>IF(AND($A1497="",$B1497=""),"",IF(Z1497=1,IF(AE1497=1,N($S1497),AC1497),0))</f>
        <v/>
      </c>
      <c r="AH1497" s="21">
        <f>IF(AND($A1497="",$B1497=""),"",IF(AND(ISNUMBER($I1497),N($I1497)&gt;0),$I1497,0))</f>
        <v/>
      </c>
      <c r="AI1497" s="23">
        <f>IF(AND(NOT(AND($A1497="",$B1497="")),$K1497="Point",N($L1497)&gt;0),SQRT(N($L1497)/PI()),"")</f>
        <v/>
      </c>
      <c r="AJ1497" s="21">
        <f>IF(AND($A1497="",$B1497=""),"",IFERROR(VLOOKUP($G1497,Lists!$D$4:$E$15,2,FALSE),"Not reported"))</f>
        <v/>
      </c>
      <c r="AK1497" s="21">
        <f>IF(AND($A1497="",$B1497=""),"",IF($X1497&lt;&gt;"",$X1497,IF($T1497&lt;&gt;"Y","Not assessed",IF(AND(ISNUMBER($V1497),Setup!$B$6-$V1497&gt;Setup!$B$26),"Assessment outdated",IF(NOT(ISNUMBER($W1497)),"Assessed – no score",IF($W1497&gt;=Setup!$B$24,"High",IF($W1497&gt;=Setup!$B$25,"Moderate","Low")))))))</f>
        <v/>
      </c>
      <c r="AL1497" s="21">
        <f>IF(AND($A1497="",$B1497=""),"",IF(Z1497=0,"",IF(AND(AE1497=1,N($R1497)&gt;AD1497*1.01+0.001),"Net terrestrial &gt; gross; ","")&amp;IF(AND(AE1497=1,N($S1497)&gt;AC1497*1.01+0.001),"Net marine &gt; gross; ","")&amp;IF(AE1497=0,"No net area – gross used, overlaps may be double-counted; ","")&amp;IF(AH1497=0,"STATUS_YR missing – imputed in time series; ","")&amp;IF(AND(ISNUMBER($I1497),N($I1497)&gt;Setup!$B$6),"STATUS_YR after reporting year; ","")&amp;IF(OR($G1497="",$G1497="Not Reported"),"GOV_TYPE not reported; ","")&amp;IF(AND(N($J1497)=1,$K1497="Point",N($M1497)&lt;=0),"Coastal point without REP_M_AREA – land/sea split unknown; ","")&amp;IF(AND(N($J1497)=0,N($S1497)&gt;0),"MARINE=0 but net marine &gt;0; ","")&amp;IF(AND(N($J1497)=2,N($R1497)&gt;0),"MARINE=2 but net terrestrial &gt;0; ","")&amp;IF($K1497="Point","Buffered point – coverage approximate; ","")))</f>
        <v/>
      </c>
    </row>
    <row r="1498">
      <c r="A1498" s="19" t="n"/>
      <c r="B1498" s="19" t="n"/>
      <c r="C1498" s="19" t="n"/>
      <c r="D1498" s="19" t="n"/>
      <c r="E1498" s="19" t="n"/>
      <c r="F1498" s="19" t="n"/>
      <c r="G1498" s="19" t="n"/>
      <c r="H1498" s="19" t="n"/>
      <c r="I1498" s="19" t="n"/>
      <c r="J1498" s="19" t="n"/>
      <c r="K1498" s="19" t="n"/>
      <c r="L1498" s="20" t="n"/>
      <c r="M1498" s="20" t="n"/>
      <c r="N1498" s="20" t="n"/>
      <c r="O1498" s="20" t="n"/>
      <c r="P1498" s="19" t="n"/>
      <c r="Q1498" s="19" t="n"/>
      <c r="R1498" s="20" t="n"/>
      <c r="S1498" s="20" t="n"/>
      <c r="T1498" s="19" t="n"/>
      <c r="U1498" s="19" t="n"/>
      <c r="V1498" s="19" t="n"/>
      <c r="W1498" s="19" t="n"/>
      <c r="X1498" s="19" t="n"/>
      <c r="Y1498" s="19" t="n"/>
      <c r="Z1498" s="21">
        <f>IF(AND($A1498="",$B1498=""),"",IF(OR($E1498="",$H1498="",$H1498="Proposed",$H1498="Not Reported"),0,IF(AND($P1498="Y",$Q1498&lt;&gt;"Y"),0,IF(AND($K1498="Point",N($L1498)&lt;=0),0,IF(AND(N($L1498)&lt;=0,N($N1498)&lt;=0,N($R1498)+N($S1498)&lt;=0),0,1)))))</f>
        <v/>
      </c>
      <c r="AA1498" s="21">
        <f>IF(AND($A1498="",$B1498=""),"",IF($E1498="","Site type missing",IF($H1498="","STATUS missing",IF($H1498="Proposed","STATUS = Proposed",IF($H1498="Not Reported","STATUS = Not Reported",IF(AND($P1498="Y",$Q1498&lt;&gt;"Y"),"UNESCO-MAB Biosphere Reserve",IF(AND($K1498="Point",N($L1498)&lt;=0),"Point without REP_AREA",IF(AND(N($L1498)&lt;=0,N($N1498)&lt;=0,N($R1498)+N($S1498)&lt;=0),"No area information",""))))))))</f>
        <v/>
      </c>
      <c r="AB1498" s="22">
        <f>IF(AND($A1498="",$B1498=""),"",IF($K1498="Point",N($L1498),IF(N($N1498)&gt;0,N($N1498),N($L1498))))</f>
        <v/>
      </c>
      <c r="AC1498" s="22">
        <f>IF(AND($A1498="",$B1498=""),"",MIN(AB1498,IF(N($J1498)=0,0,IF(N($J1498)=2,AB1498,IF(AND($K1498&lt;&gt;"Point",N($O1498)&gt;0),N($O1498),N($M1498))))))</f>
        <v/>
      </c>
      <c r="AD1498" s="22">
        <f>IF(AND($A1498="",$B1498=""),"",MAX(0,AB1498-AC1498))</f>
        <v/>
      </c>
      <c r="AE1498" s="21">
        <f>IF(AND($A1498="",$B1498=""),"",IF(OR($R1498&lt;&gt;"",$S1498&lt;&gt;""),1,0))</f>
        <v/>
      </c>
      <c r="AF1498" s="22">
        <f>IF(AND($A1498="",$B1498=""),"",IF(Z1498=1,IF(AE1498=1,N($R1498),AD1498),0))</f>
        <v/>
      </c>
      <c r="AG1498" s="22">
        <f>IF(AND($A1498="",$B1498=""),"",IF(Z1498=1,IF(AE1498=1,N($S1498),AC1498),0))</f>
        <v/>
      </c>
      <c r="AH1498" s="21">
        <f>IF(AND($A1498="",$B1498=""),"",IF(AND(ISNUMBER($I1498),N($I1498)&gt;0),$I1498,0))</f>
        <v/>
      </c>
      <c r="AI1498" s="23">
        <f>IF(AND(NOT(AND($A1498="",$B1498="")),$K1498="Point",N($L1498)&gt;0),SQRT(N($L1498)/PI()),"")</f>
        <v/>
      </c>
      <c r="AJ1498" s="21">
        <f>IF(AND($A1498="",$B1498=""),"",IFERROR(VLOOKUP($G1498,Lists!$D$4:$E$15,2,FALSE),"Not reported"))</f>
        <v/>
      </c>
      <c r="AK1498" s="21">
        <f>IF(AND($A1498="",$B1498=""),"",IF($X1498&lt;&gt;"",$X1498,IF($T1498&lt;&gt;"Y","Not assessed",IF(AND(ISNUMBER($V1498),Setup!$B$6-$V1498&gt;Setup!$B$26),"Assessment outdated",IF(NOT(ISNUMBER($W1498)),"Assessed – no score",IF($W1498&gt;=Setup!$B$24,"High",IF($W1498&gt;=Setup!$B$25,"Moderate","Low")))))))</f>
        <v/>
      </c>
      <c r="AL1498" s="21">
        <f>IF(AND($A1498="",$B1498=""),"",IF(Z1498=0,"",IF(AND(AE1498=1,N($R1498)&gt;AD1498*1.01+0.001),"Net terrestrial &gt; gross; ","")&amp;IF(AND(AE1498=1,N($S1498)&gt;AC1498*1.01+0.001),"Net marine &gt; gross; ","")&amp;IF(AE1498=0,"No net area – gross used, overlaps may be double-counted; ","")&amp;IF(AH1498=0,"STATUS_YR missing – imputed in time series; ","")&amp;IF(AND(ISNUMBER($I1498),N($I1498)&gt;Setup!$B$6),"STATUS_YR after reporting year; ","")&amp;IF(OR($G1498="",$G1498="Not Reported"),"GOV_TYPE not reported; ","")&amp;IF(AND(N($J1498)=1,$K1498="Point",N($M1498)&lt;=0),"Coastal point without REP_M_AREA – land/sea split unknown; ","")&amp;IF(AND(N($J1498)=0,N($S1498)&gt;0),"MARINE=0 but net marine &gt;0; ","")&amp;IF(AND(N($J1498)=2,N($R1498)&gt;0),"MARINE=2 but net terrestrial &gt;0; ","")&amp;IF($K1498="Point","Buffered point – coverage approximate; ","")))</f>
        <v/>
      </c>
    </row>
    <row r="1499">
      <c r="A1499" s="19" t="n"/>
      <c r="B1499" s="19" t="n"/>
      <c r="C1499" s="19" t="n"/>
      <c r="D1499" s="19" t="n"/>
      <c r="E1499" s="19" t="n"/>
      <c r="F1499" s="19" t="n"/>
      <c r="G1499" s="19" t="n"/>
      <c r="H1499" s="19" t="n"/>
      <c r="I1499" s="19" t="n"/>
      <c r="J1499" s="19" t="n"/>
      <c r="K1499" s="19" t="n"/>
      <c r="L1499" s="20" t="n"/>
      <c r="M1499" s="20" t="n"/>
      <c r="N1499" s="20" t="n"/>
      <c r="O1499" s="20" t="n"/>
      <c r="P1499" s="19" t="n"/>
      <c r="Q1499" s="19" t="n"/>
      <c r="R1499" s="20" t="n"/>
      <c r="S1499" s="20" t="n"/>
      <c r="T1499" s="19" t="n"/>
      <c r="U1499" s="19" t="n"/>
      <c r="V1499" s="19" t="n"/>
      <c r="W1499" s="19" t="n"/>
      <c r="X1499" s="19" t="n"/>
      <c r="Y1499" s="19" t="n"/>
      <c r="Z1499" s="21">
        <f>IF(AND($A1499="",$B1499=""),"",IF(OR($E1499="",$H1499="",$H1499="Proposed",$H1499="Not Reported"),0,IF(AND($P1499="Y",$Q1499&lt;&gt;"Y"),0,IF(AND($K1499="Point",N($L1499)&lt;=0),0,IF(AND(N($L1499)&lt;=0,N($N1499)&lt;=0,N($R1499)+N($S1499)&lt;=0),0,1)))))</f>
        <v/>
      </c>
      <c r="AA1499" s="21">
        <f>IF(AND($A1499="",$B1499=""),"",IF($E1499="","Site type missing",IF($H1499="","STATUS missing",IF($H1499="Proposed","STATUS = Proposed",IF($H1499="Not Reported","STATUS = Not Reported",IF(AND($P1499="Y",$Q1499&lt;&gt;"Y"),"UNESCO-MAB Biosphere Reserve",IF(AND($K1499="Point",N($L1499)&lt;=0),"Point without REP_AREA",IF(AND(N($L1499)&lt;=0,N($N1499)&lt;=0,N($R1499)+N($S1499)&lt;=0),"No area information",""))))))))</f>
        <v/>
      </c>
      <c r="AB1499" s="22">
        <f>IF(AND($A1499="",$B1499=""),"",IF($K1499="Point",N($L1499),IF(N($N1499)&gt;0,N($N1499),N($L1499))))</f>
        <v/>
      </c>
      <c r="AC1499" s="22">
        <f>IF(AND($A1499="",$B1499=""),"",MIN(AB1499,IF(N($J1499)=0,0,IF(N($J1499)=2,AB1499,IF(AND($K1499&lt;&gt;"Point",N($O1499)&gt;0),N($O1499),N($M1499))))))</f>
        <v/>
      </c>
      <c r="AD1499" s="22">
        <f>IF(AND($A1499="",$B1499=""),"",MAX(0,AB1499-AC1499))</f>
        <v/>
      </c>
      <c r="AE1499" s="21">
        <f>IF(AND($A1499="",$B1499=""),"",IF(OR($R1499&lt;&gt;"",$S1499&lt;&gt;""),1,0))</f>
        <v/>
      </c>
      <c r="AF1499" s="22">
        <f>IF(AND($A1499="",$B1499=""),"",IF(Z1499=1,IF(AE1499=1,N($R1499),AD1499),0))</f>
        <v/>
      </c>
      <c r="AG1499" s="22">
        <f>IF(AND($A1499="",$B1499=""),"",IF(Z1499=1,IF(AE1499=1,N($S1499),AC1499),0))</f>
        <v/>
      </c>
      <c r="AH1499" s="21">
        <f>IF(AND($A1499="",$B1499=""),"",IF(AND(ISNUMBER($I1499),N($I1499)&gt;0),$I1499,0))</f>
        <v/>
      </c>
      <c r="AI1499" s="23">
        <f>IF(AND(NOT(AND($A1499="",$B1499="")),$K1499="Point",N($L1499)&gt;0),SQRT(N($L1499)/PI()),"")</f>
        <v/>
      </c>
      <c r="AJ1499" s="21">
        <f>IF(AND($A1499="",$B1499=""),"",IFERROR(VLOOKUP($G1499,Lists!$D$4:$E$15,2,FALSE),"Not reported"))</f>
        <v/>
      </c>
      <c r="AK1499" s="21">
        <f>IF(AND($A1499="",$B1499=""),"",IF($X1499&lt;&gt;"",$X1499,IF($T1499&lt;&gt;"Y","Not assessed",IF(AND(ISNUMBER($V1499),Setup!$B$6-$V1499&gt;Setup!$B$26),"Assessment outdated",IF(NOT(ISNUMBER($W1499)),"Assessed – no score",IF($W1499&gt;=Setup!$B$24,"High",IF($W1499&gt;=Setup!$B$25,"Moderate","Low")))))))</f>
        <v/>
      </c>
      <c r="AL1499" s="21">
        <f>IF(AND($A1499="",$B1499=""),"",IF(Z1499=0,"",IF(AND(AE1499=1,N($R1499)&gt;AD1499*1.01+0.001),"Net terrestrial &gt; gross; ","")&amp;IF(AND(AE1499=1,N($S1499)&gt;AC1499*1.01+0.001),"Net marine &gt; gross; ","")&amp;IF(AE1499=0,"No net area – gross used, overlaps may be double-counted; ","")&amp;IF(AH1499=0,"STATUS_YR missing – imputed in time series; ","")&amp;IF(AND(ISNUMBER($I1499),N($I1499)&gt;Setup!$B$6),"STATUS_YR after reporting year; ","")&amp;IF(OR($G1499="",$G1499="Not Reported"),"GOV_TYPE not reported; ","")&amp;IF(AND(N($J1499)=1,$K1499="Point",N($M1499)&lt;=0),"Coastal point without REP_M_AREA – land/sea split unknown; ","")&amp;IF(AND(N($J1499)=0,N($S1499)&gt;0),"MARINE=0 but net marine &gt;0; ","")&amp;IF(AND(N($J1499)=2,N($R1499)&gt;0),"MARINE=2 but net terrestrial &gt;0; ","")&amp;IF($K1499="Point","Buffered point – coverage approximate; ","")))</f>
        <v/>
      </c>
    </row>
    <row r="1500">
      <c r="A1500" s="19" t="n"/>
      <c r="B1500" s="19" t="n"/>
      <c r="C1500" s="19" t="n"/>
      <c r="D1500" s="19" t="n"/>
      <c r="E1500" s="19" t="n"/>
      <c r="F1500" s="19" t="n"/>
      <c r="G1500" s="19" t="n"/>
      <c r="H1500" s="19" t="n"/>
      <c r="I1500" s="19" t="n"/>
      <c r="J1500" s="19" t="n"/>
      <c r="K1500" s="19" t="n"/>
      <c r="L1500" s="20" t="n"/>
      <c r="M1500" s="20" t="n"/>
      <c r="N1500" s="20" t="n"/>
      <c r="O1500" s="20" t="n"/>
      <c r="P1500" s="19" t="n"/>
      <c r="Q1500" s="19" t="n"/>
      <c r="R1500" s="20" t="n"/>
      <c r="S1500" s="20" t="n"/>
      <c r="T1500" s="19" t="n"/>
      <c r="U1500" s="19" t="n"/>
      <c r="V1500" s="19" t="n"/>
      <c r="W1500" s="19" t="n"/>
      <c r="X1500" s="19" t="n"/>
      <c r="Y1500" s="19" t="n"/>
      <c r="Z1500" s="21">
        <f>IF(AND($A1500="",$B1500=""),"",IF(OR($E1500="",$H1500="",$H1500="Proposed",$H1500="Not Reported"),0,IF(AND($P1500="Y",$Q1500&lt;&gt;"Y"),0,IF(AND($K1500="Point",N($L1500)&lt;=0),0,IF(AND(N($L1500)&lt;=0,N($N1500)&lt;=0,N($R1500)+N($S1500)&lt;=0),0,1)))))</f>
        <v/>
      </c>
      <c r="AA1500" s="21">
        <f>IF(AND($A1500="",$B1500=""),"",IF($E1500="","Site type missing",IF($H1500="","STATUS missing",IF($H1500="Proposed","STATUS = Proposed",IF($H1500="Not Reported","STATUS = Not Reported",IF(AND($P1500="Y",$Q1500&lt;&gt;"Y"),"UNESCO-MAB Biosphere Reserve",IF(AND($K1500="Point",N($L1500)&lt;=0),"Point without REP_AREA",IF(AND(N($L1500)&lt;=0,N($N1500)&lt;=0,N($R1500)+N($S1500)&lt;=0),"No area information",""))))))))</f>
        <v/>
      </c>
      <c r="AB1500" s="22">
        <f>IF(AND($A1500="",$B1500=""),"",IF($K1500="Point",N($L1500),IF(N($N1500)&gt;0,N($N1500),N($L1500))))</f>
        <v/>
      </c>
      <c r="AC1500" s="22">
        <f>IF(AND($A1500="",$B1500=""),"",MIN(AB1500,IF(N($J1500)=0,0,IF(N($J1500)=2,AB1500,IF(AND($K1500&lt;&gt;"Point",N($O1500)&gt;0),N($O1500),N($M1500))))))</f>
        <v/>
      </c>
      <c r="AD1500" s="22">
        <f>IF(AND($A1500="",$B1500=""),"",MAX(0,AB1500-AC1500))</f>
        <v/>
      </c>
      <c r="AE1500" s="21">
        <f>IF(AND($A1500="",$B1500=""),"",IF(OR($R1500&lt;&gt;"",$S1500&lt;&gt;""),1,0))</f>
        <v/>
      </c>
      <c r="AF1500" s="22">
        <f>IF(AND($A1500="",$B1500=""),"",IF(Z1500=1,IF(AE1500=1,N($R1500),AD1500),0))</f>
        <v/>
      </c>
      <c r="AG1500" s="22">
        <f>IF(AND($A1500="",$B1500=""),"",IF(Z1500=1,IF(AE1500=1,N($S1500),AC1500),0))</f>
        <v/>
      </c>
      <c r="AH1500" s="21">
        <f>IF(AND($A1500="",$B1500=""),"",IF(AND(ISNUMBER($I1500),N($I1500)&gt;0),$I1500,0))</f>
        <v/>
      </c>
      <c r="AI1500" s="23">
        <f>IF(AND(NOT(AND($A1500="",$B1500="")),$K1500="Point",N($L1500)&gt;0),SQRT(N($L1500)/PI()),"")</f>
        <v/>
      </c>
      <c r="AJ1500" s="21">
        <f>IF(AND($A1500="",$B1500=""),"",IFERROR(VLOOKUP($G1500,Lists!$D$4:$E$15,2,FALSE),"Not reported"))</f>
        <v/>
      </c>
      <c r="AK1500" s="21">
        <f>IF(AND($A1500="",$B1500=""),"",IF($X1500&lt;&gt;"",$X1500,IF($T1500&lt;&gt;"Y","Not assessed",IF(AND(ISNUMBER($V1500),Setup!$B$6-$V1500&gt;Setup!$B$26),"Assessment outdated",IF(NOT(ISNUMBER($W1500)),"Assessed – no score",IF($W1500&gt;=Setup!$B$24,"High",IF($W1500&gt;=Setup!$B$25,"Moderate","Low")))))))</f>
        <v/>
      </c>
      <c r="AL1500" s="21">
        <f>IF(AND($A1500="",$B1500=""),"",IF(Z1500=0,"",IF(AND(AE1500=1,N($R1500)&gt;AD1500*1.01+0.001),"Net terrestrial &gt; gross; ","")&amp;IF(AND(AE1500=1,N($S1500)&gt;AC1500*1.01+0.001),"Net marine &gt; gross; ","")&amp;IF(AE1500=0,"No net area – gross used, overlaps may be double-counted; ","")&amp;IF(AH1500=0,"STATUS_YR missing – imputed in time series; ","")&amp;IF(AND(ISNUMBER($I1500),N($I1500)&gt;Setup!$B$6),"STATUS_YR after reporting year; ","")&amp;IF(OR($G1500="",$G1500="Not Reported"),"GOV_TYPE not reported; ","")&amp;IF(AND(N($J1500)=1,$K1500="Point",N($M1500)&lt;=0),"Coastal point without REP_M_AREA – land/sea split unknown; ","")&amp;IF(AND(N($J1500)=0,N($S1500)&gt;0),"MARINE=0 but net marine &gt;0; ","")&amp;IF(AND(N($J1500)=2,N($R1500)&gt;0),"MARINE=2 but net terrestrial &gt;0; ","")&amp;IF($K1500="Point","Buffered point – coverage approximate; ","")))</f>
        <v/>
      </c>
    </row>
    <row r="1501">
      <c r="A1501" s="19" t="n"/>
      <c r="B1501" s="19" t="n"/>
      <c r="C1501" s="19" t="n"/>
      <c r="D1501" s="19" t="n"/>
      <c r="E1501" s="19" t="n"/>
      <c r="F1501" s="19" t="n"/>
      <c r="G1501" s="19" t="n"/>
      <c r="H1501" s="19" t="n"/>
      <c r="I1501" s="19" t="n"/>
      <c r="J1501" s="19" t="n"/>
      <c r="K1501" s="19" t="n"/>
      <c r="L1501" s="20" t="n"/>
      <c r="M1501" s="20" t="n"/>
      <c r="N1501" s="20" t="n"/>
      <c r="O1501" s="20" t="n"/>
      <c r="P1501" s="19" t="n"/>
      <c r="Q1501" s="19" t="n"/>
      <c r="R1501" s="20" t="n"/>
      <c r="S1501" s="20" t="n"/>
      <c r="T1501" s="19" t="n"/>
      <c r="U1501" s="19" t="n"/>
      <c r="V1501" s="19" t="n"/>
      <c r="W1501" s="19" t="n"/>
      <c r="X1501" s="19" t="n"/>
      <c r="Y1501" s="19" t="n"/>
      <c r="Z1501" s="21">
        <f>IF(AND($A1501="",$B1501=""),"",IF(OR($E1501="",$H1501="",$H1501="Proposed",$H1501="Not Reported"),0,IF(AND($P1501="Y",$Q1501&lt;&gt;"Y"),0,IF(AND($K1501="Point",N($L1501)&lt;=0),0,IF(AND(N($L1501)&lt;=0,N($N1501)&lt;=0,N($R1501)+N($S1501)&lt;=0),0,1)))))</f>
        <v/>
      </c>
      <c r="AA1501" s="21">
        <f>IF(AND($A1501="",$B1501=""),"",IF($E1501="","Site type missing",IF($H1501="","STATUS missing",IF($H1501="Proposed","STATUS = Proposed",IF($H1501="Not Reported","STATUS = Not Reported",IF(AND($P1501="Y",$Q1501&lt;&gt;"Y"),"UNESCO-MAB Biosphere Reserve",IF(AND($K1501="Point",N($L1501)&lt;=0),"Point without REP_AREA",IF(AND(N($L1501)&lt;=0,N($N1501)&lt;=0,N($R1501)+N($S1501)&lt;=0),"No area information",""))))))))</f>
        <v/>
      </c>
      <c r="AB1501" s="22">
        <f>IF(AND($A1501="",$B1501=""),"",IF($K1501="Point",N($L1501),IF(N($N1501)&gt;0,N($N1501),N($L1501))))</f>
        <v/>
      </c>
      <c r="AC1501" s="22">
        <f>IF(AND($A1501="",$B1501=""),"",MIN(AB1501,IF(N($J1501)=0,0,IF(N($J1501)=2,AB1501,IF(AND($K1501&lt;&gt;"Point",N($O1501)&gt;0),N($O1501),N($M1501))))))</f>
        <v/>
      </c>
      <c r="AD1501" s="22">
        <f>IF(AND($A1501="",$B1501=""),"",MAX(0,AB1501-AC1501))</f>
        <v/>
      </c>
      <c r="AE1501" s="21">
        <f>IF(AND($A1501="",$B1501=""),"",IF(OR($R1501&lt;&gt;"",$S1501&lt;&gt;""),1,0))</f>
        <v/>
      </c>
      <c r="AF1501" s="22">
        <f>IF(AND($A1501="",$B1501=""),"",IF(Z1501=1,IF(AE1501=1,N($R1501),AD1501),0))</f>
        <v/>
      </c>
      <c r="AG1501" s="22">
        <f>IF(AND($A1501="",$B1501=""),"",IF(Z1501=1,IF(AE1501=1,N($S1501),AC1501),0))</f>
        <v/>
      </c>
      <c r="AH1501" s="21">
        <f>IF(AND($A1501="",$B1501=""),"",IF(AND(ISNUMBER($I1501),N($I1501)&gt;0),$I1501,0))</f>
        <v/>
      </c>
      <c r="AI1501" s="23">
        <f>IF(AND(NOT(AND($A1501="",$B1501="")),$K1501="Point",N($L1501)&gt;0),SQRT(N($L1501)/PI()),"")</f>
        <v/>
      </c>
      <c r="AJ1501" s="21">
        <f>IF(AND($A1501="",$B1501=""),"",IFERROR(VLOOKUP($G1501,Lists!$D$4:$E$15,2,FALSE),"Not reported"))</f>
        <v/>
      </c>
      <c r="AK1501" s="21">
        <f>IF(AND($A1501="",$B1501=""),"",IF($X1501&lt;&gt;"",$X1501,IF($T1501&lt;&gt;"Y","Not assessed",IF(AND(ISNUMBER($V1501),Setup!$B$6-$V1501&gt;Setup!$B$26),"Assessment outdated",IF(NOT(ISNUMBER($W1501)),"Assessed – no score",IF($W1501&gt;=Setup!$B$24,"High",IF($W1501&gt;=Setup!$B$25,"Moderate","Low")))))))</f>
        <v/>
      </c>
      <c r="AL1501" s="21">
        <f>IF(AND($A1501="",$B1501=""),"",IF(Z1501=0,"",IF(AND(AE1501=1,N($R1501)&gt;AD1501*1.01+0.001),"Net terrestrial &gt; gross; ","")&amp;IF(AND(AE1501=1,N($S1501)&gt;AC1501*1.01+0.001),"Net marine &gt; gross; ","")&amp;IF(AE1501=0,"No net area – gross used, overlaps may be double-counted; ","")&amp;IF(AH1501=0,"STATUS_YR missing – imputed in time series; ","")&amp;IF(AND(ISNUMBER($I1501),N($I1501)&gt;Setup!$B$6),"STATUS_YR after reporting year; ","")&amp;IF(OR($G1501="",$G1501="Not Reported"),"GOV_TYPE not reported; ","")&amp;IF(AND(N($J1501)=1,$K1501="Point",N($M1501)&lt;=0),"Coastal point without REP_M_AREA – land/sea split unknown; ","")&amp;IF(AND(N($J1501)=0,N($S1501)&gt;0),"MARINE=0 but net marine &gt;0; ","")&amp;IF(AND(N($J1501)=2,N($R1501)&gt;0),"MARINE=2 but net terrestrial &gt;0; ","")&amp;IF($K1501="Point","Buffered point – coverage approximate; ","")))</f>
        <v/>
      </c>
    </row>
    <row r="1502">
      <c r="A1502" s="19" t="n"/>
      <c r="B1502" s="19" t="n"/>
      <c r="C1502" s="19" t="n"/>
      <c r="D1502" s="19" t="n"/>
      <c r="E1502" s="19" t="n"/>
      <c r="F1502" s="19" t="n"/>
      <c r="G1502" s="19" t="n"/>
      <c r="H1502" s="19" t="n"/>
      <c r="I1502" s="19" t="n"/>
      <c r="J1502" s="19" t="n"/>
      <c r="K1502" s="19" t="n"/>
      <c r="L1502" s="20" t="n"/>
      <c r="M1502" s="20" t="n"/>
      <c r="N1502" s="20" t="n"/>
      <c r="O1502" s="20" t="n"/>
      <c r="P1502" s="19" t="n"/>
      <c r="Q1502" s="19" t="n"/>
      <c r="R1502" s="20" t="n"/>
      <c r="S1502" s="20" t="n"/>
      <c r="T1502" s="19" t="n"/>
      <c r="U1502" s="19" t="n"/>
      <c r="V1502" s="19" t="n"/>
      <c r="W1502" s="19" t="n"/>
      <c r="X1502" s="19" t="n"/>
      <c r="Y1502" s="19" t="n"/>
      <c r="Z1502" s="21">
        <f>IF(AND($A1502="",$B1502=""),"",IF(OR($E1502="",$H1502="",$H1502="Proposed",$H1502="Not Reported"),0,IF(AND($P1502="Y",$Q1502&lt;&gt;"Y"),0,IF(AND($K1502="Point",N($L1502)&lt;=0),0,IF(AND(N($L1502)&lt;=0,N($N1502)&lt;=0,N($R1502)+N($S1502)&lt;=0),0,1)))))</f>
        <v/>
      </c>
      <c r="AA1502" s="21">
        <f>IF(AND($A1502="",$B1502=""),"",IF($E1502="","Site type missing",IF($H1502="","STATUS missing",IF($H1502="Proposed","STATUS = Proposed",IF($H1502="Not Reported","STATUS = Not Reported",IF(AND($P1502="Y",$Q1502&lt;&gt;"Y"),"UNESCO-MAB Biosphere Reserve",IF(AND($K1502="Point",N($L1502)&lt;=0),"Point without REP_AREA",IF(AND(N($L1502)&lt;=0,N($N1502)&lt;=0,N($R1502)+N($S1502)&lt;=0),"No area information",""))))))))</f>
        <v/>
      </c>
      <c r="AB1502" s="22">
        <f>IF(AND($A1502="",$B1502=""),"",IF($K1502="Point",N($L1502),IF(N($N1502)&gt;0,N($N1502),N($L1502))))</f>
        <v/>
      </c>
      <c r="AC1502" s="22">
        <f>IF(AND($A1502="",$B1502=""),"",MIN(AB1502,IF(N($J1502)=0,0,IF(N($J1502)=2,AB1502,IF(AND($K1502&lt;&gt;"Point",N($O1502)&gt;0),N($O1502),N($M1502))))))</f>
        <v/>
      </c>
      <c r="AD1502" s="22">
        <f>IF(AND($A1502="",$B1502=""),"",MAX(0,AB1502-AC1502))</f>
        <v/>
      </c>
      <c r="AE1502" s="21">
        <f>IF(AND($A1502="",$B1502=""),"",IF(OR($R1502&lt;&gt;"",$S1502&lt;&gt;""),1,0))</f>
        <v/>
      </c>
      <c r="AF1502" s="22">
        <f>IF(AND($A1502="",$B1502=""),"",IF(Z1502=1,IF(AE1502=1,N($R1502),AD1502),0))</f>
        <v/>
      </c>
      <c r="AG1502" s="22">
        <f>IF(AND($A1502="",$B1502=""),"",IF(Z1502=1,IF(AE1502=1,N($S1502),AC1502),0))</f>
        <v/>
      </c>
      <c r="AH1502" s="21">
        <f>IF(AND($A1502="",$B1502=""),"",IF(AND(ISNUMBER($I1502),N($I1502)&gt;0),$I1502,0))</f>
        <v/>
      </c>
      <c r="AI1502" s="23">
        <f>IF(AND(NOT(AND($A1502="",$B1502="")),$K1502="Point",N($L1502)&gt;0),SQRT(N($L1502)/PI()),"")</f>
        <v/>
      </c>
      <c r="AJ1502" s="21">
        <f>IF(AND($A1502="",$B1502=""),"",IFERROR(VLOOKUP($G1502,Lists!$D$4:$E$15,2,FALSE),"Not reported"))</f>
        <v/>
      </c>
      <c r="AK1502" s="21">
        <f>IF(AND($A1502="",$B1502=""),"",IF($X1502&lt;&gt;"",$X1502,IF($T1502&lt;&gt;"Y","Not assessed",IF(AND(ISNUMBER($V1502),Setup!$B$6-$V1502&gt;Setup!$B$26),"Assessment outdated",IF(NOT(ISNUMBER($W1502)),"Assessed – no score",IF($W1502&gt;=Setup!$B$24,"High",IF($W1502&gt;=Setup!$B$25,"Moderate","Low")))))))</f>
        <v/>
      </c>
      <c r="AL1502" s="21">
        <f>IF(AND($A1502="",$B1502=""),"",IF(Z1502=0,"",IF(AND(AE1502=1,N($R1502)&gt;AD1502*1.01+0.001),"Net terrestrial &gt; gross; ","")&amp;IF(AND(AE1502=1,N($S1502)&gt;AC1502*1.01+0.001),"Net marine &gt; gross; ","")&amp;IF(AE1502=0,"No net area – gross used, overlaps may be double-counted; ","")&amp;IF(AH1502=0,"STATUS_YR missing – imputed in time series; ","")&amp;IF(AND(ISNUMBER($I1502),N($I1502)&gt;Setup!$B$6),"STATUS_YR after reporting year; ","")&amp;IF(OR($G1502="",$G1502="Not Reported"),"GOV_TYPE not reported; ","")&amp;IF(AND(N($J1502)=1,$K1502="Point",N($M1502)&lt;=0),"Coastal point without REP_M_AREA – land/sea split unknown; ","")&amp;IF(AND(N($J1502)=0,N($S1502)&gt;0),"MARINE=0 but net marine &gt;0; ","")&amp;IF(AND(N($J1502)=2,N($R1502)&gt;0),"MARINE=2 but net terrestrial &gt;0; ","")&amp;IF($K1502="Point","Buffered point – coverage approximate; ","")))</f>
        <v/>
      </c>
    </row>
    <row r="1503">
      <c r="A1503" s="19" t="n"/>
      <c r="B1503" s="19" t="n"/>
      <c r="C1503" s="19" t="n"/>
      <c r="D1503" s="19" t="n"/>
      <c r="E1503" s="19" t="n"/>
      <c r="F1503" s="19" t="n"/>
      <c r="G1503" s="19" t="n"/>
      <c r="H1503" s="19" t="n"/>
      <c r="I1503" s="19" t="n"/>
      <c r="J1503" s="19" t="n"/>
      <c r="K1503" s="19" t="n"/>
      <c r="L1503" s="20" t="n"/>
      <c r="M1503" s="20" t="n"/>
      <c r="N1503" s="20" t="n"/>
      <c r="O1503" s="20" t="n"/>
      <c r="P1503" s="19" t="n"/>
      <c r="Q1503" s="19" t="n"/>
      <c r="R1503" s="20" t="n"/>
      <c r="S1503" s="20" t="n"/>
      <c r="T1503" s="19" t="n"/>
      <c r="U1503" s="19" t="n"/>
      <c r="V1503" s="19" t="n"/>
      <c r="W1503" s="19" t="n"/>
      <c r="X1503" s="19" t="n"/>
      <c r="Y1503" s="19" t="n"/>
      <c r="Z1503" s="21">
        <f>IF(AND($A1503="",$B1503=""),"",IF(OR($E1503="",$H1503="",$H1503="Proposed",$H1503="Not Reported"),0,IF(AND($P1503="Y",$Q1503&lt;&gt;"Y"),0,IF(AND($K1503="Point",N($L1503)&lt;=0),0,IF(AND(N($L1503)&lt;=0,N($N1503)&lt;=0,N($R1503)+N($S1503)&lt;=0),0,1)))))</f>
        <v/>
      </c>
      <c r="AA1503" s="21">
        <f>IF(AND($A1503="",$B1503=""),"",IF($E1503="","Site type missing",IF($H1503="","STATUS missing",IF($H1503="Proposed","STATUS = Proposed",IF($H1503="Not Reported","STATUS = Not Reported",IF(AND($P1503="Y",$Q1503&lt;&gt;"Y"),"UNESCO-MAB Biosphere Reserve",IF(AND($K1503="Point",N($L1503)&lt;=0),"Point without REP_AREA",IF(AND(N($L1503)&lt;=0,N($N1503)&lt;=0,N($R1503)+N($S1503)&lt;=0),"No area information",""))))))))</f>
        <v/>
      </c>
      <c r="AB1503" s="22">
        <f>IF(AND($A1503="",$B1503=""),"",IF($K1503="Point",N($L1503),IF(N($N1503)&gt;0,N($N1503),N($L1503))))</f>
        <v/>
      </c>
      <c r="AC1503" s="22">
        <f>IF(AND($A1503="",$B1503=""),"",MIN(AB1503,IF(N($J1503)=0,0,IF(N($J1503)=2,AB1503,IF(AND($K1503&lt;&gt;"Point",N($O1503)&gt;0),N($O1503),N($M1503))))))</f>
        <v/>
      </c>
      <c r="AD1503" s="22">
        <f>IF(AND($A1503="",$B1503=""),"",MAX(0,AB1503-AC1503))</f>
        <v/>
      </c>
      <c r="AE1503" s="21">
        <f>IF(AND($A1503="",$B1503=""),"",IF(OR($R1503&lt;&gt;"",$S1503&lt;&gt;""),1,0))</f>
        <v/>
      </c>
      <c r="AF1503" s="22">
        <f>IF(AND($A1503="",$B1503=""),"",IF(Z1503=1,IF(AE1503=1,N($R1503),AD1503),0))</f>
        <v/>
      </c>
      <c r="AG1503" s="22">
        <f>IF(AND($A1503="",$B1503=""),"",IF(Z1503=1,IF(AE1503=1,N($S1503),AC1503),0))</f>
        <v/>
      </c>
      <c r="AH1503" s="21">
        <f>IF(AND($A1503="",$B1503=""),"",IF(AND(ISNUMBER($I1503),N($I1503)&gt;0),$I1503,0))</f>
        <v/>
      </c>
      <c r="AI1503" s="23">
        <f>IF(AND(NOT(AND($A1503="",$B1503="")),$K1503="Point",N($L1503)&gt;0),SQRT(N($L1503)/PI()),"")</f>
        <v/>
      </c>
      <c r="AJ1503" s="21">
        <f>IF(AND($A1503="",$B1503=""),"",IFERROR(VLOOKUP($G1503,Lists!$D$4:$E$15,2,FALSE),"Not reported"))</f>
        <v/>
      </c>
      <c r="AK1503" s="21">
        <f>IF(AND($A1503="",$B1503=""),"",IF($X1503&lt;&gt;"",$X1503,IF($T1503&lt;&gt;"Y","Not assessed",IF(AND(ISNUMBER($V1503),Setup!$B$6-$V1503&gt;Setup!$B$26),"Assessment outdated",IF(NOT(ISNUMBER($W1503)),"Assessed – no score",IF($W1503&gt;=Setup!$B$24,"High",IF($W1503&gt;=Setup!$B$25,"Moderate","Low")))))))</f>
        <v/>
      </c>
      <c r="AL1503" s="21">
        <f>IF(AND($A1503="",$B1503=""),"",IF(Z1503=0,"",IF(AND(AE1503=1,N($R1503)&gt;AD1503*1.01+0.001),"Net terrestrial &gt; gross; ","")&amp;IF(AND(AE1503=1,N($S1503)&gt;AC1503*1.01+0.001),"Net marine &gt; gross; ","")&amp;IF(AE1503=0,"No net area – gross used, overlaps may be double-counted; ","")&amp;IF(AH1503=0,"STATUS_YR missing – imputed in time series; ","")&amp;IF(AND(ISNUMBER($I1503),N($I1503)&gt;Setup!$B$6),"STATUS_YR after reporting year; ","")&amp;IF(OR($G1503="",$G1503="Not Reported"),"GOV_TYPE not reported; ","")&amp;IF(AND(N($J1503)=1,$K1503="Point",N($M1503)&lt;=0),"Coastal point without REP_M_AREA – land/sea split unknown; ","")&amp;IF(AND(N($J1503)=0,N($S1503)&gt;0),"MARINE=0 but net marine &gt;0; ","")&amp;IF(AND(N($J1503)=2,N($R1503)&gt;0),"MARINE=2 but net terrestrial &gt;0; ","")&amp;IF($K1503="Point","Buffered point – coverage approximate; ","")))</f>
        <v/>
      </c>
    </row>
    <row r="1504">
      <c r="A1504" s="19" t="n"/>
      <c r="B1504" s="19" t="n"/>
      <c r="C1504" s="19" t="n"/>
      <c r="D1504" s="19" t="n"/>
      <c r="E1504" s="19" t="n"/>
      <c r="F1504" s="19" t="n"/>
      <c r="G1504" s="19" t="n"/>
      <c r="H1504" s="19" t="n"/>
      <c r="I1504" s="19" t="n"/>
      <c r="J1504" s="19" t="n"/>
      <c r="K1504" s="19" t="n"/>
      <c r="L1504" s="20" t="n"/>
      <c r="M1504" s="20" t="n"/>
      <c r="N1504" s="20" t="n"/>
      <c r="O1504" s="20" t="n"/>
      <c r="P1504" s="19" t="n"/>
      <c r="Q1504" s="19" t="n"/>
      <c r="R1504" s="20" t="n"/>
      <c r="S1504" s="20" t="n"/>
      <c r="T1504" s="19" t="n"/>
      <c r="U1504" s="19" t="n"/>
      <c r="V1504" s="19" t="n"/>
      <c r="W1504" s="19" t="n"/>
      <c r="X1504" s="19" t="n"/>
      <c r="Y1504" s="19" t="n"/>
      <c r="Z1504" s="21">
        <f>IF(AND($A1504="",$B1504=""),"",IF(OR($E1504="",$H1504="",$H1504="Proposed",$H1504="Not Reported"),0,IF(AND($P1504="Y",$Q1504&lt;&gt;"Y"),0,IF(AND($K1504="Point",N($L1504)&lt;=0),0,IF(AND(N($L1504)&lt;=0,N($N1504)&lt;=0,N($R1504)+N($S1504)&lt;=0),0,1)))))</f>
        <v/>
      </c>
      <c r="AA1504" s="21">
        <f>IF(AND($A1504="",$B1504=""),"",IF($E1504="","Site type missing",IF($H1504="","STATUS missing",IF($H1504="Proposed","STATUS = Proposed",IF($H1504="Not Reported","STATUS = Not Reported",IF(AND($P1504="Y",$Q1504&lt;&gt;"Y"),"UNESCO-MAB Biosphere Reserve",IF(AND($K1504="Point",N($L1504)&lt;=0),"Point without REP_AREA",IF(AND(N($L1504)&lt;=0,N($N1504)&lt;=0,N($R1504)+N($S1504)&lt;=0),"No area information",""))))))))</f>
        <v/>
      </c>
      <c r="AB1504" s="22">
        <f>IF(AND($A1504="",$B1504=""),"",IF($K1504="Point",N($L1504),IF(N($N1504)&gt;0,N($N1504),N($L1504))))</f>
        <v/>
      </c>
      <c r="AC1504" s="22">
        <f>IF(AND($A1504="",$B1504=""),"",MIN(AB1504,IF(N($J1504)=0,0,IF(N($J1504)=2,AB1504,IF(AND($K1504&lt;&gt;"Point",N($O1504)&gt;0),N($O1504),N($M1504))))))</f>
        <v/>
      </c>
      <c r="AD1504" s="22">
        <f>IF(AND($A1504="",$B1504=""),"",MAX(0,AB1504-AC1504))</f>
        <v/>
      </c>
      <c r="AE1504" s="21">
        <f>IF(AND($A1504="",$B1504=""),"",IF(OR($R1504&lt;&gt;"",$S1504&lt;&gt;""),1,0))</f>
        <v/>
      </c>
      <c r="AF1504" s="22">
        <f>IF(AND($A1504="",$B1504=""),"",IF(Z1504=1,IF(AE1504=1,N($R1504),AD1504),0))</f>
        <v/>
      </c>
      <c r="AG1504" s="22">
        <f>IF(AND($A1504="",$B1504=""),"",IF(Z1504=1,IF(AE1504=1,N($S1504),AC1504),0))</f>
        <v/>
      </c>
      <c r="AH1504" s="21">
        <f>IF(AND($A1504="",$B1504=""),"",IF(AND(ISNUMBER($I1504),N($I1504)&gt;0),$I1504,0))</f>
        <v/>
      </c>
      <c r="AI1504" s="23">
        <f>IF(AND(NOT(AND($A1504="",$B1504="")),$K1504="Point",N($L1504)&gt;0),SQRT(N($L1504)/PI()),"")</f>
        <v/>
      </c>
      <c r="AJ1504" s="21">
        <f>IF(AND($A1504="",$B1504=""),"",IFERROR(VLOOKUP($G1504,Lists!$D$4:$E$15,2,FALSE),"Not reported"))</f>
        <v/>
      </c>
      <c r="AK1504" s="21">
        <f>IF(AND($A1504="",$B1504=""),"",IF($X1504&lt;&gt;"",$X1504,IF($T1504&lt;&gt;"Y","Not assessed",IF(AND(ISNUMBER($V1504),Setup!$B$6-$V1504&gt;Setup!$B$26),"Assessment outdated",IF(NOT(ISNUMBER($W1504)),"Assessed – no score",IF($W1504&gt;=Setup!$B$24,"High",IF($W1504&gt;=Setup!$B$25,"Moderate","Low")))))))</f>
        <v/>
      </c>
      <c r="AL1504" s="21">
        <f>IF(AND($A1504="",$B1504=""),"",IF(Z1504=0,"",IF(AND(AE1504=1,N($R1504)&gt;AD1504*1.01+0.001),"Net terrestrial &gt; gross; ","")&amp;IF(AND(AE1504=1,N($S1504)&gt;AC1504*1.01+0.001),"Net marine &gt; gross; ","")&amp;IF(AE1504=0,"No net area – gross used, overlaps may be double-counted; ","")&amp;IF(AH1504=0,"STATUS_YR missing – imputed in time series; ","")&amp;IF(AND(ISNUMBER($I1504),N($I1504)&gt;Setup!$B$6),"STATUS_YR after reporting year; ","")&amp;IF(OR($G1504="",$G1504="Not Reported"),"GOV_TYPE not reported; ","")&amp;IF(AND(N($J1504)=1,$K1504="Point",N($M1504)&lt;=0),"Coastal point without REP_M_AREA – land/sea split unknown; ","")&amp;IF(AND(N($J1504)=0,N($S1504)&gt;0),"MARINE=0 but net marine &gt;0; ","")&amp;IF(AND(N($J1504)=2,N($R1504)&gt;0),"MARINE=2 but net terrestrial &gt;0; ","")&amp;IF($K1504="Point","Buffered point – coverage approximate; ","")))</f>
        <v/>
      </c>
    </row>
  </sheetData>
  <dataValidations count="18">
    <dataValidation sqref="E5:E1504" showDropDown="0" showInputMessage="0" showErrorMessage="0" allowBlank="1" errorTitle="Invalid entry" error="Choose a value from the list." type="list">
      <formula1>=Lists!$A$4:$A$5</formula1>
    </dataValidation>
    <dataValidation sqref="F5:F1504" showDropDown="0" showInputMessage="0" showErrorMessage="0" allowBlank="1" errorTitle="Invalid entry" error="Choose a value from the list." type="list">
      <formula1>=Lists!$B$4:$B$13</formula1>
    </dataValidation>
    <dataValidation sqref="G5:G1504" showDropDown="0" showInputMessage="0" showErrorMessage="0" allowBlank="1" errorTitle="Invalid entry" error="Choose a value from the list." type="list">
      <formula1>=Lists!$D$4:$D$15</formula1>
    </dataValidation>
    <dataValidation sqref="H5:H1504" showDropDown="0" showInputMessage="0" showErrorMessage="0" allowBlank="1" errorTitle="Invalid entry" error="Choose a value from the list." type="list">
      <formula1>=Lists!$C$4:$C$9</formula1>
    </dataValidation>
    <dataValidation sqref="J5:J1504" showDropDown="0" showInputMessage="0" showErrorMessage="0" allowBlank="1" errorTitle="Invalid entry" error="Choose a value from the list." type="list">
      <formula1>=Lists!$F$4:$F$6</formula1>
    </dataValidation>
    <dataValidation sqref="K5:K1504" showDropDown="0" showInputMessage="0" showErrorMessage="0" allowBlank="1" errorTitle="Invalid entry" error="Choose a value from the list." type="list">
      <formula1>=Lists!$G$4:$G$5</formula1>
    </dataValidation>
    <dataValidation sqref="P5:P1504 Q5:Q1504 T5:T1504" showDropDown="0" showInputMessage="0" showErrorMessage="0" allowBlank="1" errorTitle="Invalid entry" error="Choose a value from the list." type="list">
      <formula1>=Lists!$H$4:$H$5</formula1>
    </dataValidation>
    <dataValidation sqref="D5:D1504" showDropDown="0" showInputMessage="0" showErrorMessage="0" allowBlank="1" errorTitle="Invalid entry" error="Choose a value from the list." type="list">
      <formula1>=Lists!$I$4:$I$7</formula1>
    </dataValidation>
    <dataValidation sqref="U5:U1504" showDropDown="0" showInputMessage="0" showErrorMessage="0" allowBlank="1" errorTitle="Invalid entry" error="Choose a value from the list." type="list">
      <formula1>=Lists!$K$4:$K$14</formula1>
    </dataValidation>
    <dataValidation sqref="X5:X1504" showDropDown="0" showInputMessage="0" showErrorMessage="0" allowBlank="1" errorTitle="Invalid entry" error="Choose a value from the list." type="list">
      <formula1>=Lists!$J$4:$J$9</formula1>
    </dataValidation>
    <dataValidation sqref="I5:I1504" showDropDown="0" showInputMessage="0" showErrorMessage="0" allowBlank="1" error="Enter a non-negative number." type="decimal" operator="greaterThanOrEqual">
      <formula1>0</formula1>
    </dataValidation>
    <dataValidation sqref="L5:L1504" showDropDown="0" showInputMessage="0" showErrorMessage="0" allowBlank="1" error="Enter a non-negative number." type="decimal" operator="greaterThanOrEqual">
      <formula1>0</formula1>
    </dataValidation>
    <dataValidation sqref="M5:M1504" showDropDown="0" showInputMessage="0" showErrorMessage="0" allowBlank="1" error="Enter a non-negative number." type="decimal" operator="greaterThanOrEqual">
      <formula1>0</formula1>
    </dataValidation>
    <dataValidation sqref="N5:N1504" showDropDown="0" showInputMessage="0" showErrorMessage="0" allowBlank="1" error="Enter a non-negative number." type="decimal" operator="greaterThanOrEqual">
      <formula1>0</formula1>
    </dataValidation>
    <dataValidation sqref="O5:O1504" showDropDown="0" showInputMessage="0" showErrorMessage="0" allowBlank="1" error="Enter a non-negative number." type="decimal" operator="greaterThanOrEqual">
      <formula1>0</formula1>
    </dataValidation>
    <dataValidation sqref="R5:R1504" showDropDown="0" showInputMessage="0" showErrorMessage="0" allowBlank="1" error="Enter a non-negative number." type="decimal" operator="greaterThanOrEqual">
      <formula1>0</formula1>
    </dataValidation>
    <dataValidation sqref="S5:S1504" showDropDown="0" showInputMessage="0" showErrorMessage="0" allowBlank="1" error="Enter a non-negative number." type="decimal" operator="greaterThanOrEqual">
      <formula1>0</formula1>
    </dataValidation>
    <dataValidation sqref="W5:W1504" showDropDown="0" showInputMessage="0" showErrorMessage="0" allowBlank="1" error="Enter a non-negative number."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00B050"/>
    <outlinePr summaryBelow="1" summaryRight="1"/>
    <pageSetUpPr/>
  </sheetPr>
  <dimension ref="A1:N29"/>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18" customWidth="1" min="10" max="10"/>
    <col width="10" customWidth="1" min="11" max="11"/>
    <col width="14" customWidth="1" min="12" max="12"/>
    <col width="16" customWidth="1" min="13" max="13"/>
    <col width="22" customWidth="1" min="14" max="14"/>
  </cols>
  <sheetData>
    <row r="1">
      <c r="A1" s="1" t="inlineStr">
        <is>
          <t>3. Headline indicator 3.1 – coverage of protected areas and OECMs</t>
        </is>
      </c>
    </row>
    <row r="2">
      <c r="A2" s="2" t="inlineStr">
        <is>
          <t>Coverage = (PA area + OECM area, overlaps removed) ÷ realm area. OECM area is computed after erasing overlaps with PAs, so PA + OECM never double-counts.</t>
        </is>
      </c>
    </row>
    <row r="3"/>
    <row r="4">
      <c r="A4" s="3" t="inlineStr">
        <is>
          <t>A. Coverage by realm (disaggregation 1: PA vs OECM; disaggregation 2: realm)</t>
        </is>
      </c>
      <c r="B4" s="4" t="n"/>
      <c r="C4" s="4" t="n"/>
      <c r="D4" s="4" t="n"/>
      <c r="E4" s="4" t="n"/>
      <c r="F4" s="4" t="n"/>
      <c r="G4" s="4" t="n"/>
      <c r="H4" s="4" t="n"/>
      <c r="I4" s="4" t="n"/>
      <c r="J4" s="4" t="n"/>
      <c r="K4" s="4" t="n"/>
      <c r="L4" s="4" t="n"/>
      <c r="M4" s="4" t="n"/>
      <c r="N4" s="4" t="n"/>
    </row>
    <row r="5" ht="60" customHeight="1">
      <c r="A5" s="11" t="inlineStr">
        <is>
          <t>Realm</t>
        </is>
      </c>
      <c r="B5" s="11" t="inlineStr">
        <is>
          <t>Realm area (km²)</t>
        </is>
      </c>
      <c r="C5" s="11" t="inlineStr">
        <is>
          <t>PA area – register sum (km²)</t>
        </is>
      </c>
      <c r="D5" s="11" t="inlineStr">
        <is>
          <t>OECM area – register sum (km²)</t>
        </is>
      </c>
      <c r="E5" s="11" t="inlineStr">
        <is>
          <t>PA area USED (km²)</t>
        </is>
      </c>
      <c r="F5" s="11" t="inlineStr">
        <is>
          <t>OECM area USED (km²)</t>
        </is>
      </c>
      <c r="G5" s="11" t="inlineStr">
        <is>
          <t>PA + OECM area (km²)</t>
        </is>
      </c>
      <c r="H5" s="11" t="inlineStr">
        <is>
          <t>PA coverage (%)</t>
        </is>
      </c>
      <c r="I5" s="11" t="inlineStr">
        <is>
          <t>OECM coverage (%)</t>
        </is>
      </c>
      <c r="J5" s="11" t="inlineStr">
        <is>
          <t>INDICATOR 3.1 – total coverage (%)</t>
        </is>
      </c>
      <c r="K5" s="11" t="inlineStr">
        <is>
          <t>Target (%)</t>
        </is>
      </c>
      <c r="L5" s="11" t="inlineStr">
        <is>
          <t>Gap to target (percentage points)</t>
        </is>
      </c>
      <c r="M5" s="11" t="inlineStr">
        <is>
          <t>Additional area needed (km²)</t>
        </is>
      </c>
      <c r="N5" s="11" t="inlineStr">
        <is>
          <t>Status</t>
        </is>
      </c>
    </row>
    <row r="6">
      <c r="A6" s="5" t="inlineStr">
        <is>
          <t>Terrestrial &amp; inland waters</t>
        </is>
      </c>
      <c r="B6" s="24">
        <f>Setup!$B$10</f>
        <v/>
      </c>
      <c r="C6" s="25">
        <f>SUMIFS(PA_OECM_Register!$AF$5:$AF$1504,PA_OECM_Register!$Z$5:$Z$1504,1,PA_OECM_Register!$E$5:$E$1504,"PA")</f>
        <v/>
      </c>
      <c r="D6" s="25">
        <f>SUMIFS(PA_OECM_Register!$AF$5:$AF$1504,PA_OECM_Register!$Z$5:$Z$1504,1,PA_OECM_Register!$E$5:$E$1504,"OECM")</f>
        <v/>
      </c>
      <c r="E6" s="25">
        <f>IF(ISNUMBER(Setup!$B$18),Setup!$B$18,C6)</f>
        <v/>
      </c>
      <c r="F6" s="25">
        <f>IF(ISNUMBER(Setup!$B$19),Setup!$B$19,D6)</f>
        <v/>
      </c>
      <c r="G6" s="25">
        <f>E6+F6</f>
        <v/>
      </c>
      <c r="H6" s="26">
        <f>IF(N(B6)&gt;0,E6/B6,"")</f>
        <v/>
      </c>
      <c r="I6" s="26">
        <f>IF(N(B6)&gt;0,F6/B6,"")</f>
        <v/>
      </c>
      <c r="J6" s="27">
        <f>IF(N(B6)&gt;0,G6/B6,"")</f>
        <v/>
      </c>
      <c r="K6" s="28">
        <f>Setup!$B$12</f>
        <v/>
      </c>
      <c r="L6" s="29">
        <f>IF(J6="","",MAX(0,K6-J6)*100)</f>
        <v/>
      </c>
      <c r="M6" s="25">
        <f>IF(J6="","",MAX(0,K6*B6-G6))</f>
        <v/>
      </c>
      <c r="N6" s="30">
        <f>IF(J6="",IF(N(B6)=0,"Not applicable (no area in this realm)","Enter realm area in Setup"),IF(J6&gt;=K6,"Target met","Below target"))</f>
        <v/>
      </c>
    </row>
    <row r="7">
      <c r="A7" s="5" t="inlineStr">
        <is>
          <t>Marine &amp; coastal</t>
        </is>
      </c>
      <c r="B7" s="24">
        <f>Setup!$B$11</f>
        <v/>
      </c>
      <c r="C7" s="25">
        <f>SUMIFS(PA_OECM_Register!$AG$5:$AG$1504,PA_OECM_Register!$Z$5:$Z$1504,1,PA_OECM_Register!$E$5:$E$1504,"PA")</f>
        <v/>
      </c>
      <c r="D7" s="25">
        <f>SUMIFS(PA_OECM_Register!$AG$5:$AG$1504,PA_OECM_Register!$Z$5:$Z$1504,1,PA_OECM_Register!$E$5:$E$1504,"OECM")</f>
        <v/>
      </c>
      <c r="E7" s="25">
        <f>IF(ISNUMBER(Setup!$B$20),Setup!$B$20,C7)</f>
        <v/>
      </c>
      <c r="F7" s="25">
        <f>IF(ISNUMBER(Setup!$B$21),Setup!$B$21,D7)</f>
        <v/>
      </c>
      <c r="G7" s="25">
        <f>E7+F7</f>
        <v/>
      </c>
      <c r="H7" s="26">
        <f>IF(N(B7)&gt;0,E7/B7,"")</f>
        <v/>
      </c>
      <c r="I7" s="26">
        <f>IF(N(B7)&gt;0,F7/B7,"")</f>
        <v/>
      </c>
      <c r="J7" s="27">
        <f>IF(N(B7)&gt;0,G7/B7,"")</f>
        <v/>
      </c>
      <c r="K7" s="28">
        <f>Setup!$B$12</f>
        <v/>
      </c>
      <c r="L7" s="29">
        <f>IF(J7="","",MAX(0,K7-J7)*100)</f>
        <v/>
      </c>
      <c r="M7" s="25">
        <f>IF(J7="","",MAX(0,K7*B7-G7))</f>
        <v/>
      </c>
      <c r="N7" s="30">
        <f>IF(J7="",IF(N(B7)=0,"Not applicable (no area in this realm)","Enter realm area in Setup"),IF(J7&gt;=K7,"Target met","Below target"))</f>
        <v/>
      </c>
    </row>
    <row r="8">
      <c r="A8" s="16" t="inlineStr">
        <is>
          <t>‘USED’ = Setup GIS override if entered, otherwise register sum. Gap in percentage points. Coverage &gt;100% indicates an error in areas or denominators (see QC_Checks).</t>
        </is>
      </c>
    </row>
    <row r="9"/>
    <row r="10">
      <c r="A10" s="3" t="inlineStr">
        <is>
          <t>B. Share of the conserved estate (relative contribution of PAs and OECMs)</t>
        </is>
      </c>
      <c r="B10" s="4" t="n"/>
      <c r="C10" s="4" t="n"/>
      <c r="D10" s="4" t="n"/>
      <c r="E10" s="4" t="n"/>
      <c r="F10" s="4" t="n"/>
      <c r="G10" s="4" t="n"/>
      <c r="H10" s="4" t="n"/>
      <c r="I10" s="4" t="n"/>
      <c r="J10" s="4" t="n"/>
      <c r="K10" s="4" t="n"/>
      <c r="L10" s="4" t="n"/>
      <c r="M10" s="4" t="n"/>
      <c r="N10" s="4" t="n"/>
    </row>
    <row r="11" ht="45" customHeight="1">
      <c r="A11" s="11" t="inlineStr">
        <is>
          <t>Realm</t>
        </is>
      </c>
      <c r="B11" s="11" t="inlineStr">
        <is>
          <t>PA share of PA+OECM area (%)</t>
        </is>
      </c>
      <c r="C11" s="11" t="inlineStr">
        <is>
          <t>OECM share of PA+OECM area (%)</t>
        </is>
      </c>
    </row>
    <row r="12">
      <c r="A12" s="5">
        <f>A6</f>
        <v/>
      </c>
      <c r="B12" s="26">
        <f>IF(G6&gt;0,E6/G6,"")</f>
        <v/>
      </c>
      <c r="C12" s="26">
        <f>IF(G6&gt;0,F6/G6,"")</f>
        <v/>
      </c>
    </row>
    <row r="13">
      <c r="A13" s="5">
        <f>A7</f>
        <v/>
      </c>
      <c r="B13" s="26">
        <f>IF(G7&gt;0,E7/G7,"")</f>
        <v/>
      </c>
      <c r="C13" s="26">
        <f>IF(G7&gt;0,F7/G7,"")</f>
        <v/>
      </c>
    </row>
    <row r="14"/>
    <row r="15">
      <c r="A15" s="3" t="inlineStr">
        <is>
          <t>C. Inland waters (metadata: separate methodology – river length via RiverATLAS; lakes &amp; wetlands via GLWD v2) – inputs on 'Ecosystems' sheet</t>
        </is>
      </c>
      <c r="B15" s="4" t="n"/>
      <c r="C15" s="4" t="n"/>
      <c r="D15" s="4" t="n"/>
      <c r="E15" s="4" t="n"/>
      <c r="F15" s="4" t="n"/>
      <c r="G15" s="4" t="n"/>
      <c r="H15" s="4" t="n"/>
      <c r="I15" s="4" t="n"/>
      <c r="J15" s="4" t="n"/>
      <c r="K15" s="4" t="n"/>
      <c r="L15" s="4" t="n"/>
      <c r="M15" s="4" t="n"/>
      <c r="N15" s="4" t="n"/>
    </row>
    <row r="16" ht="45" customHeight="1">
      <c r="A16" s="11" t="inlineStr">
        <is>
          <t>Inland water component</t>
        </is>
      </c>
      <c r="B16" s="11" t="inlineStr">
        <is>
          <t>Total extent</t>
        </is>
      </c>
      <c r="C16" s="11" t="inlineStr">
        <is>
          <t>Unit</t>
        </is>
      </c>
      <c r="D16" s="11" t="inlineStr">
        <is>
          <t>Covered by PAs</t>
        </is>
      </c>
      <c r="E16" s="11" t="inlineStr">
        <is>
          <t>Covered by OECMs</t>
        </is>
      </c>
      <c r="F16" s="11" t="inlineStr">
        <is>
          <t>PA + OECM</t>
        </is>
      </c>
      <c r="G16" s="11" t="inlineStr">
        <is>
          <t>Coverage (%)</t>
        </is>
      </c>
      <c r="H16" s="11" t="inlineStr">
        <is>
          <t>Target (%)</t>
        </is>
      </c>
      <c r="I16" s="11" t="inlineStr">
        <is>
          <t>Status</t>
        </is>
      </c>
    </row>
    <row r="17">
      <c r="A17" s="5" t="inlineStr">
        <is>
          <t>Rivers and streams (length)</t>
        </is>
      </c>
      <c r="B17" s="24">
        <f>Ecosystems!B52</f>
        <v/>
      </c>
      <c r="C17" s="31">
        <f>Ecosystems!C52</f>
        <v/>
      </c>
      <c r="D17" s="24">
        <f>Ecosystems!D52</f>
        <v/>
      </c>
      <c r="E17" s="24">
        <f>Ecosystems!E52</f>
        <v/>
      </c>
      <c r="F17" s="25">
        <f>D17+E17</f>
        <v/>
      </c>
      <c r="G17" s="27">
        <f>IF(N(B17)&gt;0,F17/B17,"")</f>
        <v/>
      </c>
      <c r="H17" s="28">
        <f>Setup!$B$12</f>
        <v/>
      </c>
      <c r="I17" s="30">
        <f>IF(G17="","No data",IF(G17&gt;=H17,"Target met","Below target"))</f>
        <v/>
      </c>
    </row>
    <row r="18">
      <c r="A18" s="5" t="inlineStr">
        <is>
          <t>Lakes and wetlands (area)</t>
        </is>
      </c>
      <c r="B18" s="24">
        <f>Ecosystems!B53</f>
        <v/>
      </c>
      <c r="C18" s="31">
        <f>Ecosystems!C53</f>
        <v/>
      </c>
      <c r="D18" s="24">
        <f>Ecosystems!D53</f>
        <v/>
      </c>
      <c r="E18" s="24">
        <f>Ecosystems!E53</f>
        <v/>
      </c>
      <c r="F18" s="25">
        <f>D18+E18</f>
        <v/>
      </c>
      <c r="G18" s="27">
        <f>IF(N(B18)&gt;0,F18/B18,"")</f>
        <v/>
      </c>
      <c r="H18" s="28">
        <f>Setup!$B$12</f>
        <v/>
      </c>
      <c r="I18" s="30">
        <f>IF(G18="","No data",IF(G18&gt;=H18,"Target met","Below target"))</f>
        <v/>
      </c>
    </row>
    <row r="19"/>
    <row r="20">
      <c r="A20" s="3" t="inlineStr">
        <is>
          <t>D. Site counts and data basis</t>
        </is>
      </c>
      <c r="B20" s="4" t="n"/>
      <c r="C20" s="4" t="n"/>
      <c r="D20" s="4" t="n"/>
      <c r="E20" s="4" t="n"/>
      <c r="F20" s="4" t="n"/>
      <c r="G20" s="4" t="n"/>
      <c r="H20" s="4" t="n"/>
      <c r="I20" s="4" t="n"/>
      <c r="J20" s="4" t="n"/>
      <c r="K20" s="4" t="n"/>
      <c r="L20" s="4" t="n"/>
      <c r="M20" s="4" t="n"/>
      <c r="N20" s="4" t="n"/>
    </row>
    <row r="21" ht="30" customHeight="1">
      <c r="A21" s="11" t="inlineStr">
        <is>
          <t>Item</t>
        </is>
      </c>
      <c r="B21" s="11" t="inlineStr">
        <is>
          <t>PAs</t>
        </is>
      </c>
      <c r="C21" s="11" t="inlineStr">
        <is>
          <t>OECMs</t>
        </is>
      </c>
      <c r="D21" s="11" t="inlineStr">
        <is>
          <t>Total</t>
        </is>
      </c>
    </row>
    <row r="22">
      <c r="A22" s="6" t="inlineStr">
        <is>
          <t>Sites in register</t>
        </is>
      </c>
      <c r="B22" s="32">
        <f>COUNTIFS(PA_OECM_Register!$E$5:$E$1504,"PA")</f>
        <v/>
      </c>
      <c r="C22" s="32">
        <f>COUNTIFS(PA_OECM_Register!$E$5:$E$1504,"OECM")</f>
        <v/>
      </c>
      <c r="D22" s="32">
        <f>B22+C22</f>
        <v/>
      </c>
    </row>
    <row r="23">
      <c r="A23" s="6" t="inlineStr">
        <is>
          <t>Sites INCLUDED in indicator</t>
        </is>
      </c>
      <c r="B23" s="32">
        <f>COUNTIFS(PA_OECM_Register!$Z$5:$Z$1504,1,PA_OECM_Register!$E$5:$E$1504,"PA")</f>
        <v/>
      </c>
      <c r="C23" s="32">
        <f>COUNTIFS(PA_OECM_Register!$Z$5:$Z$1504,1,PA_OECM_Register!$E$5:$E$1504,"OECM")</f>
        <v/>
      </c>
      <c r="D23" s="32">
        <f>B23+C23</f>
        <v/>
      </c>
    </row>
    <row r="24">
      <c r="A24" s="6" t="inlineStr">
        <is>
          <t>Sites EXCLUDED (proposed, not reported, MAB, no area)</t>
        </is>
      </c>
      <c r="B24" s="32">
        <f>COUNTIFS(PA_OECM_Register!$Z$5:$Z$1504,0,PA_OECM_Register!$E$5:$E$1504,"PA")</f>
        <v/>
      </c>
      <c r="C24" s="32">
        <f>COUNTIFS(PA_OECM_Register!$Z$5:$Z$1504,0,PA_OECM_Register!$E$5:$E$1504,"OECM")</f>
        <v/>
      </c>
      <c r="D24" s="32">
        <f>B24+C24</f>
        <v/>
      </c>
    </row>
    <row r="25">
      <c r="A25" s="6" t="inlineStr">
        <is>
          <t>Included point sites (buffered)</t>
        </is>
      </c>
      <c r="B25" s="32">
        <f>COUNTIFS(PA_OECM_Register!$Z$5:$Z$1504,1,PA_OECM_Register!$E$5:$E$1504,"PA",PA_OECM_Register!$K$5:$K$1504,"Point")</f>
        <v/>
      </c>
      <c r="C25" s="32">
        <f>COUNTIFS(PA_OECM_Register!$Z$5:$Z$1504,1,PA_OECM_Register!$E$5:$E$1504,"OECM",PA_OECM_Register!$K$5:$K$1504,"Point")</f>
        <v/>
      </c>
      <c r="D25" s="32">
        <f>B25+C25</f>
        <v/>
      </c>
    </row>
    <row r="26">
      <c r="A26" s="6" t="inlineStr">
        <is>
          <t>Included sites without net (flattened) area – gross used</t>
        </is>
      </c>
      <c r="B26" s="32">
        <f>COUNTIFS(PA_OECM_Register!$Z$5:$Z$1504,1,PA_OECM_Register!$E$5:$E$1504,"PA",PA_OECM_Register!$AE$5:$AE$1504,0)</f>
        <v/>
      </c>
      <c r="C26" s="32">
        <f>COUNTIFS(PA_OECM_Register!$Z$5:$Z$1504,1,PA_OECM_Register!$E$5:$E$1504,"OECM",PA_OECM_Register!$AE$5:$AE$1504,0)</f>
        <v/>
      </c>
      <c r="D26" s="32">
        <f>B26+C26</f>
        <v/>
      </c>
    </row>
    <row r="27">
      <c r="A27" s="6" t="inlineStr">
        <is>
          <t>Included sites with unknown STATUS_YR</t>
        </is>
      </c>
      <c r="B27" s="32">
        <f>COUNTIFS(PA_OECM_Register!$Z$5:$Z$1504,1,PA_OECM_Register!$E$5:$E$1504,"PA",PA_OECM_Register!$AH$5:$AH$1504,0)</f>
        <v/>
      </c>
      <c r="C27" s="32">
        <f>COUNTIFS(PA_OECM_Register!$Z$5:$Z$1504,1,PA_OECM_Register!$E$5:$E$1504,"OECM",PA_OECM_Register!$AH$5:$AH$1504,0)</f>
        <v/>
      </c>
      <c r="D27" s="32">
        <f>B27+C27</f>
        <v/>
      </c>
    </row>
    <row r="28"/>
    <row r="29">
      <c r="A29" s="5" t="inlineStr">
        <is>
          <t>Share of counted area based on flattened (net) GIS values</t>
        </is>
      </c>
      <c r="B29" s="27">
        <f>IFERROR((SUMIFS(PA_OECM_Register!$AF$5:$AF$1504,PA_OECM_Register!$Z$5:$Z$1504,1,PA_OECM_Register!$AE$5:$AE$1504,1)+SUMIFS(PA_OECM_Register!$AG$5:$AG$1504,PA_OECM_Register!$Z$5:$Z$1504,1,PA_OECM_Register!$AE$5:$AE$1504,1))/(SUM(PA_OECM_Register!$AF$5:$AF$1504)+SUM(PA_OECM_Register!$AG$5:$AG$1504)),"")</f>
        <v/>
      </c>
      <c r="C29" s="6" t="inlineStr">
        <is>
          <t>Should be 100% for an official figure; below 100% the result is an upper bound.</t>
        </is>
      </c>
    </row>
  </sheetData>
  <conditionalFormatting sqref="N6:N7">
    <cfRule type="cellIs" priority="1" operator="equal" dxfId="0">
      <formula>"Target met"</formula>
    </cfRule>
    <cfRule type="cellIs" priority="2" operator="equal" dxfId="1">
      <formula>"Below target"</formula>
    </cfRule>
  </conditionalFormatting>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L357"/>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40" customWidth="1" min="3" max="3"/>
    <col width="14" customWidth="1" min="4" max="4"/>
    <col width="14" customWidth="1" min="5" max="5"/>
    <col width="16" customWidth="1" min="6" max="6"/>
    <col width="14" customWidth="1" min="7" max="7"/>
    <col width="16" customWidth="1" min="8" max="8"/>
    <col width="14" customWidth="1" min="9" max="9"/>
    <col width="13" customWidth="1" min="10" max="10"/>
    <col width="10" customWidth="1" min="11" max="11"/>
    <col width="24" customWidth="1" min="12" max="12"/>
  </cols>
  <sheetData>
    <row r="1">
      <c r="A1" s="1" t="inlineStr">
        <is>
          <t>4. Disaggregation by ecosystem – IUCN Global Ecosystem Typology (Keith et al. 2022) and ecoregions</t>
        </is>
      </c>
    </row>
    <row r="2">
      <c r="A2" s="2" t="inlineStr">
        <is>
          <t>Metadata national approach: (1) match national ecosystem maps to GET; (2) overlay PA/OECM flat layers; (3) exclude inappropriate groups; (4) aggregate EFGs to biomes; (5) inland waters as river length and lake/wetland area.</t>
        </is>
      </c>
    </row>
    <row r="3"/>
    <row r="4">
      <c r="A4" s="3" t="inlineStr">
        <is>
          <t>A. Coverage by GET biome (25 biomes). Enter extent and PA/OECM overlap from GIS (same flattened layers as the headline).</t>
        </is>
      </c>
      <c r="B4" s="4" t="n"/>
      <c r="C4" s="4" t="n"/>
      <c r="D4" s="4" t="n"/>
      <c r="E4" s="4" t="n"/>
      <c r="F4" s="4" t="n"/>
      <c r="G4" s="4" t="n"/>
      <c r="H4" s="4" t="n"/>
      <c r="I4" s="4" t="n"/>
      <c r="J4" s="4" t="n"/>
      <c r="K4" s="4" t="n"/>
      <c r="L4" s="4" t="n"/>
    </row>
    <row r="5" ht="45" customHeight="1">
      <c r="A5" s="11" t="inlineStr">
        <is>
          <t>GET code</t>
        </is>
      </c>
      <c r="B5" s="11" t="inlineStr">
        <is>
          <t>Realm</t>
        </is>
      </c>
      <c r="C5" s="11" t="inlineStr">
        <is>
          <t>Biome</t>
        </is>
      </c>
      <c r="D5" s="11" t="inlineStr">
        <is>
          <t>Include in assessment? (Y/N)</t>
        </is>
      </c>
      <c r="E5" s="11" t="inlineStr">
        <is>
          <t>Unit</t>
        </is>
      </c>
      <c r="F5" s="11" t="inlineStr">
        <is>
          <t>Total extent</t>
        </is>
      </c>
      <c r="G5" s="11" t="inlineStr">
        <is>
          <t>Covered by PAs</t>
        </is>
      </c>
      <c r="H5" s="11" t="inlineStr">
        <is>
          <t>Covered by OECMs (PA-erased)</t>
        </is>
      </c>
      <c r="I5" s="11" t="inlineStr">
        <is>
          <t>PA + OECM</t>
        </is>
      </c>
      <c r="J5" s="11" t="inlineStr">
        <is>
          <t>Coverage (%)</t>
        </is>
      </c>
      <c r="K5" s="11" t="inlineStr">
        <is>
          <t>≥ target?</t>
        </is>
      </c>
      <c r="L5" s="11" t="inlineStr">
        <is>
          <t>QC</t>
        </is>
      </c>
    </row>
    <row r="6">
      <c r="A6" s="5" t="inlineStr">
        <is>
          <t>T1</t>
        </is>
      </c>
      <c r="B6" s="6" t="inlineStr">
        <is>
          <t>Terrestrial</t>
        </is>
      </c>
      <c r="C6" s="6" t="inlineStr">
        <is>
          <t>Tropical-subtropical forests</t>
        </is>
      </c>
      <c r="D6" s="12" t="inlineStr">
        <is>
          <t>Y</t>
        </is>
      </c>
      <c r="E6" s="6" t="inlineStr">
        <is>
          <t>km²</t>
        </is>
      </c>
      <c r="F6" s="14" t="n"/>
      <c r="G6" s="14" t="n"/>
      <c r="H6" s="14" t="n"/>
      <c r="I6" s="25">
        <f>IF(F6="","",N(G6)+N(H6))</f>
        <v/>
      </c>
      <c r="J6" s="26">
        <f>IF(N(F6)&gt;0,I6/F6,"")</f>
        <v/>
      </c>
      <c r="K6" s="30">
        <f>IF(J6="","",IF(J6&gt;=Setup!$B$12,"Yes","No"))</f>
        <v/>
      </c>
      <c r="L6" s="30">
        <f>IF(J6="","",IF(J6&gt;1.001,"Covered &gt; extent – check",""))</f>
        <v/>
      </c>
    </row>
    <row r="7">
      <c r="A7" s="5" t="inlineStr">
        <is>
          <t>T2</t>
        </is>
      </c>
      <c r="B7" s="6" t="inlineStr">
        <is>
          <t>Terrestrial</t>
        </is>
      </c>
      <c r="C7" s="6" t="inlineStr">
        <is>
          <t>Temperate-boreal forests and woodlands</t>
        </is>
      </c>
      <c r="D7" s="12" t="inlineStr">
        <is>
          <t>Y</t>
        </is>
      </c>
      <c r="E7" s="6" t="inlineStr">
        <is>
          <t>km²</t>
        </is>
      </c>
      <c r="F7" s="14" t="n">
        <v>9441.610000000001</v>
      </c>
      <c r="G7" s="14" t="n">
        <v>807.03</v>
      </c>
      <c r="H7" s="14" t="n">
        <v>0</v>
      </c>
      <c r="I7" s="25">
        <f>IF(F7="","",N(G7)+N(H7))</f>
        <v/>
      </c>
      <c r="J7" s="26">
        <f>IF(N(F7)&gt;0,I7/F7,"")</f>
        <v/>
      </c>
      <c r="K7" s="30">
        <f>IF(J7="","",IF(J7&gt;=Setup!$B$12,"Yes","No"))</f>
        <v/>
      </c>
      <c r="L7" s="30">
        <f>IF(J7="","",IF(J7&gt;1.001,"Covered &gt; extent – check",""))</f>
        <v/>
      </c>
    </row>
    <row r="8">
      <c r="A8" s="5" t="inlineStr">
        <is>
          <t>T3</t>
        </is>
      </c>
      <c r="B8" s="6" t="inlineStr">
        <is>
          <t>Terrestrial</t>
        </is>
      </c>
      <c r="C8" s="6" t="inlineStr">
        <is>
          <t>Shrublands and shrub-dominated woodlands</t>
        </is>
      </c>
      <c r="D8" s="12" t="inlineStr">
        <is>
          <t>Y</t>
        </is>
      </c>
      <c r="E8" s="6" t="inlineStr">
        <is>
          <t>km²</t>
        </is>
      </c>
      <c r="F8" s="14" t="n">
        <v>292985.36</v>
      </c>
      <c r="G8" s="14" t="n">
        <v>20123.81</v>
      </c>
      <c r="H8" s="14" t="n">
        <v>84892.19</v>
      </c>
      <c r="I8" s="25">
        <f>IF(F8="","",N(G8)+N(H8))</f>
        <v/>
      </c>
      <c r="J8" s="26">
        <f>IF(N(F8)&gt;0,I8/F8,"")</f>
        <v/>
      </c>
      <c r="K8" s="30">
        <f>IF(J8="","",IF(J8&gt;=Setup!$B$12,"Yes","No"))</f>
        <v/>
      </c>
      <c r="L8" s="30">
        <f>IF(J8="","",IF(J8&gt;1.001,"Covered &gt; extent – check",""))</f>
        <v/>
      </c>
    </row>
    <row r="9">
      <c r="A9" s="5" t="inlineStr">
        <is>
          <t>T4</t>
        </is>
      </c>
      <c r="B9" s="6" t="inlineStr">
        <is>
          <t>Terrestrial</t>
        </is>
      </c>
      <c r="C9" s="6" t="inlineStr">
        <is>
          <t>Savannas and grasslands</t>
        </is>
      </c>
      <c r="D9" s="12" t="inlineStr">
        <is>
          <t>Y</t>
        </is>
      </c>
      <c r="E9" s="6" t="inlineStr">
        <is>
          <t>km²</t>
        </is>
      </c>
      <c r="F9" s="14" t="n">
        <v>33435.13</v>
      </c>
      <c r="G9" s="14" t="n">
        <v>0</v>
      </c>
      <c r="H9" s="14" t="n">
        <v>33429.14</v>
      </c>
      <c r="I9" s="25">
        <f>IF(F9="","",N(G9)+N(H9))</f>
        <v/>
      </c>
      <c r="J9" s="26">
        <f>IF(N(F9)&gt;0,I9/F9,"")</f>
        <v/>
      </c>
      <c r="K9" s="30">
        <f>IF(J9="","",IF(J9&gt;=Setup!$B$12,"Yes","No"))</f>
        <v/>
      </c>
      <c r="L9" s="30">
        <f>IF(J9="","",IF(J9&gt;1.001,"Covered &gt; extent – check",""))</f>
        <v/>
      </c>
    </row>
    <row r="10">
      <c r="A10" s="5" t="inlineStr">
        <is>
          <t>T5</t>
        </is>
      </c>
      <c r="B10" s="6" t="inlineStr">
        <is>
          <t>Terrestrial</t>
        </is>
      </c>
      <c r="C10" s="6" t="inlineStr">
        <is>
          <t>Deserts and semi-deserts</t>
        </is>
      </c>
      <c r="D10" s="12" t="inlineStr">
        <is>
          <t>Y</t>
        </is>
      </c>
      <c r="E10" s="6" t="inlineStr">
        <is>
          <t>km²</t>
        </is>
      </c>
      <c r="F10" s="14" t="n">
        <v>1982741.73</v>
      </c>
      <c r="G10" s="14" t="n">
        <v>86830.67999999999</v>
      </c>
      <c r="H10" s="14" t="n">
        <v>1033375.02</v>
      </c>
      <c r="I10" s="25">
        <f>IF(F10="","",N(G10)+N(H10))</f>
        <v/>
      </c>
      <c r="J10" s="26">
        <f>IF(N(F10)&gt;0,I10/F10,"")</f>
        <v/>
      </c>
      <c r="K10" s="30">
        <f>IF(J10="","",IF(J10&gt;=Setup!$B$12,"Yes","No"))</f>
        <v/>
      </c>
      <c r="L10" s="30">
        <f>IF(J10="","",IF(J10&gt;1.001,"Covered &gt; extent – check",""))</f>
        <v/>
      </c>
    </row>
    <row r="11">
      <c r="A11" s="5" t="inlineStr">
        <is>
          <t>T6</t>
        </is>
      </c>
      <c r="B11" s="6" t="inlineStr">
        <is>
          <t>Terrestrial</t>
        </is>
      </c>
      <c r="C11" s="6" t="inlineStr">
        <is>
          <t>Polar/alpine (cryogenic)</t>
        </is>
      </c>
      <c r="D11" s="12" t="inlineStr">
        <is>
          <t>Y</t>
        </is>
      </c>
      <c r="E11" s="6" t="inlineStr">
        <is>
          <t>km²</t>
        </is>
      </c>
      <c r="F11" s="14" t="n"/>
      <c r="G11" s="14" t="n"/>
      <c r="H11" s="14" t="n"/>
      <c r="I11" s="25">
        <f>IF(F11="","",N(G11)+N(H11))</f>
        <v/>
      </c>
      <c r="J11" s="26">
        <f>IF(N(F11)&gt;0,I11/F11,"")</f>
        <v/>
      </c>
      <c r="K11" s="30">
        <f>IF(J11="","",IF(J11&gt;=Setup!$B$12,"Yes","No"))</f>
        <v/>
      </c>
      <c r="L11" s="30">
        <f>IF(J11="","",IF(J11&gt;1.001,"Covered &gt; extent – check",""))</f>
        <v/>
      </c>
    </row>
    <row r="12">
      <c r="A12" s="5" t="inlineStr">
        <is>
          <t>T7</t>
        </is>
      </c>
      <c r="B12" s="6" t="inlineStr">
        <is>
          <t>Terrestrial</t>
        </is>
      </c>
      <c r="C12" s="6" t="inlineStr">
        <is>
          <t>Intensive land-use systems</t>
        </is>
      </c>
      <c r="D12" s="12" t="inlineStr">
        <is>
          <t>N</t>
        </is>
      </c>
      <c r="E12" s="6" t="inlineStr">
        <is>
          <t>km²</t>
        </is>
      </c>
      <c r="F12" s="14" t="n"/>
      <c r="G12" s="14" t="n"/>
      <c r="H12" s="14" t="n"/>
      <c r="I12" s="25">
        <f>IF(F12="","",N(G12)+N(H12))</f>
        <v/>
      </c>
      <c r="J12" s="26">
        <f>IF(N(F12)&gt;0,I12/F12,"")</f>
        <v/>
      </c>
      <c r="K12" s="30">
        <f>IF(J12="","",IF(J12&gt;=Setup!$B$12,"Yes","No"))</f>
        <v/>
      </c>
      <c r="L12" s="30">
        <f>IF(J12="","",IF(J12&gt;1.001,"Covered &gt; extent – check",""))</f>
        <v/>
      </c>
    </row>
    <row r="13">
      <c r="A13" s="5" t="inlineStr">
        <is>
          <t>S1</t>
        </is>
      </c>
      <c r="B13" s="6" t="inlineStr">
        <is>
          <t>Subterranean</t>
        </is>
      </c>
      <c r="C13" s="6" t="inlineStr">
        <is>
          <t>Subterranean lithic systems</t>
        </is>
      </c>
      <c r="D13" s="12" t="inlineStr">
        <is>
          <t>N</t>
        </is>
      </c>
      <c r="E13" s="6" t="inlineStr">
        <is>
          <t>km²</t>
        </is>
      </c>
      <c r="F13" s="14" t="n"/>
      <c r="G13" s="14" t="n"/>
      <c r="H13" s="14" t="n"/>
      <c r="I13" s="25">
        <f>IF(F13="","",N(G13)+N(H13))</f>
        <v/>
      </c>
      <c r="J13" s="26">
        <f>IF(N(F13)&gt;0,I13/F13,"")</f>
        <v/>
      </c>
      <c r="K13" s="30">
        <f>IF(J13="","",IF(J13&gt;=Setup!$B$12,"Yes","No"))</f>
        <v/>
      </c>
      <c r="L13" s="30">
        <f>IF(J13="","",IF(J13&gt;1.001,"Covered &gt; extent – check",""))</f>
        <v/>
      </c>
    </row>
    <row r="14">
      <c r="A14" s="5" t="inlineStr">
        <is>
          <t>S2</t>
        </is>
      </c>
      <c r="B14" s="6" t="inlineStr">
        <is>
          <t>Subterranean</t>
        </is>
      </c>
      <c r="C14" s="6" t="inlineStr">
        <is>
          <t>Anthropogenic subterranean voids</t>
        </is>
      </c>
      <c r="D14" s="12" t="inlineStr">
        <is>
          <t>N</t>
        </is>
      </c>
      <c r="E14" s="6" t="inlineStr">
        <is>
          <t>km²</t>
        </is>
      </c>
      <c r="F14" s="14" t="n"/>
      <c r="G14" s="14" t="n"/>
      <c r="H14" s="14" t="n"/>
      <c r="I14" s="25">
        <f>IF(F14="","",N(G14)+N(H14))</f>
        <v/>
      </c>
      <c r="J14" s="26">
        <f>IF(N(F14)&gt;0,I14/F14,"")</f>
        <v/>
      </c>
      <c r="K14" s="30">
        <f>IF(J14="","",IF(J14&gt;=Setup!$B$12,"Yes","No"))</f>
        <v/>
      </c>
      <c r="L14" s="30">
        <f>IF(J14="","",IF(J14&gt;1.001,"Covered &gt; extent – check",""))</f>
        <v/>
      </c>
    </row>
    <row r="15">
      <c r="A15" s="5" t="inlineStr">
        <is>
          <t>SF1</t>
        </is>
      </c>
      <c r="B15" s="6" t="inlineStr">
        <is>
          <t>Subterranean-freshwater</t>
        </is>
      </c>
      <c r="C15" s="6" t="inlineStr">
        <is>
          <t>Subterranean freshwaters</t>
        </is>
      </c>
      <c r="D15" s="12" t="inlineStr">
        <is>
          <t>N</t>
        </is>
      </c>
      <c r="E15" s="6" t="inlineStr">
        <is>
          <t>km²</t>
        </is>
      </c>
      <c r="F15" s="14" t="n"/>
      <c r="G15" s="14" t="n"/>
      <c r="H15" s="14" t="n"/>
      <c r="I15" s="25">
        <f>IF(F15="","",N(G15)+N(H15))</f>
        <v/>
      </c>
      <c r="J15" s="26">
        <f>IF(N(F15)&gt;0,I15/F15,"")</f>
        <v/>
      </c>
      <c r="K15" s="30">
        <f>IF(J15="","",IF(J15&gt;=Setup!$B$12,"Yes","No"))</f>
        <v/>
      </c>
      <c r="L15" s="30">
        <f>IF(J15="","",IF(J15&gt;1.001,"Covered &gt; extent – check",""))</f>
        <v/>
      </c>
    </row>
    <row r="16">
      <c r="A16" s="5" t="inlineStr">
        <is>
          <t>SF2</t>
        </is>
      </c>
      <c r="B16" s="6" t="inlineStr">
        <is>
          <t>Subterranean-freshwater</t>
        </is>
      </c>
      <c r="C16" s="6" t="inlineStr">
        <is>
          <t>Anthropogenic subterranean freshwaters</t>
        </is>
      </c>
      <c r="D16" s="12" t="inlineStr">
        <is>
          <t>N</t>
        </is>
      </c>
      <c r="E16" s="6" t="inlineStr">
        <is>
          <t>km²</t>
        </is>
      </c>
      <c r="F16" s="14" t="n"/>
      <c r="G16" s="14" t="n"/>
      <c r="H16" s="14" t="n"/>
      <c r="I16" s="25">
        <f>IF(F16="","",N(G16)+N(H16))</f>
        <v/>
      </c>
      <c r="J16" s="26">
        <f>IF(N(F16)&gt;0,I16/F16,"")</f>
        <v/>
      </c>
      <c r="K16" s="30">
        <f>IF(J16="","",IF(J16&gt;=Setup!$B$12,"Yes","No"))</f>
        <v/>
      </c>
      <c r="L16" s="30">
        <f>IF(J16="","",IF(J16&gt;1.001,"Covered &gt; extent – check",""))</f>
        <v/>
      </c>
    </row>
    <row r="17">
      <c r="A17" s="5" t="inlineStr">
        <is>
          <t>SM1</t>
        </is>
      </c>
      <c r="B17" s="6" t="inlineStr">
        <is>
          <t>Subterranean-marine</t>
        </is>
      </c>
      <c r="C17" s="6" t="inlineStr">
        <is>
          <t>Subterranean tidal systems</t>
        </is>
      </c>
      <c r="D17" s="12" t="inlineStr">
        <is>
          <t>N</t>
        </is>
      </c>
      <c r="E17" s="6" t="inlineStr">
        <is>
          <t>km²</t>
        </is>
      </c>
      <c r="F17" s="14" t="n"/>
      <c r="G17" s="14" t="n"/>
      <c r="H17" s="14" t="n"/>
      <c r="I17" s="25">
        <f>IF(F17="","",N(G17)+N(H17))</f>
        <v/>
      </c>
      <c r="J17" s="26">
        <f>IF(N(F17)&gt;0,I17/F17,"")</f>
        <v/>
      </c>
      <c r="K17" s="30">
        <f>IF(J17="","",IF(J17&gt;=Setup!$B$12,"Yes","No"))</f>
        <v/>
      </c>
      <c r="L17" s="30">
        <f>IF(J17="","",IF(J17&gt;1.001,"Covered &gt; extent – check",""))</f>
        <v/>
      </c>
    </row>
    <row r="18">
      <c r="A18" s="5" t="inlineStr">
        <is>
          <t>TF1</t>
        </is>
      </c>
      <c r="B18" s="6" t="inlineStr">
        <is>
          <t>Freshwater-terrestrial</t>
        </is>
      </c>
      <c r="C18" s="6" t="inlineStr">
        <is>
          <t>Palustrine wetlands</t>
        </is>
      </c>
      <c r="D18" s="12" t="inlineStr">
        <is>
          <t>Y</t>
        </is>
      </c>
      <c r="E18" s="6" t="inlineStr">
        <is>
          <t>km²</t>
        </is>
      </c>
      <c r="F18" s="14" t="n"/>
      <c r="G18" s="14" t="n"/>
      <c r="H18" s="14" t="n"/>
      <c r="I18" s="25">
        <f>IF(F18="","",N(G18)+N(H18))</f>
        <v/>
      </c>
      <c r="J18" s="26">
        <f>IF(N(F18)&gt;0,I18/F18,"")</f>
        <v/>
      </c>
      <c r="K18" s="30">
        <f>IF(J18="","",IF(J18&gt;=Setup!$B$12,"Yes","No"))</f>
        <v/>
      </c>
      <c r="L18" s="30">
        <f>IF(J18="","",IF(J18&gt;1.001,"Covered &gt; extent – check",""))</f>
        <v/>
      </c>
    </row>
    <row r="19">
      <c r="A19" s="5" t="inlineStr">
        <is>
          <t>F1</t>
        </is>
      </c>
      <c r="B19" s="6" t="inlineStr">
        <is>
          <t>Freshwater</t>
        </is>
      </c>
      <c r="C19" s="6" t="inlineStr">
        <is>
          <t>Rivers and streams</t>
        </is>
      </c>
      <c r="D19" s="12" t="inlineStr">
        <is>
          <t>Y</t>
        </is>
      </c>
      <c r="E19" s="6" t="inlineStr">
        <is>
          <t>km (length)</t>
        </is>
      </c>
      <c r="F19" s="14" t="n"/>
      <c r="G19" s="14" t="n"/>
      <c r="H19" s="14" t="n"/>
      <c r="I19" s="25">
        <f>IF(F19="","",N(G19)+N(H19))</f>
        <v/>
      </c>
      <c r="J19" s="26">
        <f>IF(N(F19)&gt;0,I19/F19,"")</f>
        <v/>
      </c>
      <c r="K19" s="30">
        <f>IF(J19="","",IF(J19&gt;=Setup!$B$12,"Yes","No"))</f>
        <v/>
      </c>
      <c r="L19" s="30">
        <f>IF(J19="","",IF(J19&gt;1.001,"Covered &gt; extent – check",""))</f>
        <v/>
      </c>
    </row>
    <row r="20">
      <c r="A20" s="5" t="inlineStr">
        <is>
          <t>F2</t>
        </is>
      </c>
      <c r="B20" s="6" t="inlineStr">
        <is>
          <t>Freshwater</t>
        </is>
      </c>
      <c r="C20" s="6" t="inlineStr">
        <is>
          <t>Lakes</t>
        </is>
      </c>
      <c r="D20" s="12" t="inlineStr">
        <is>
          <t>Y</t>
        </is>
      </c>
      <c r="E20" s="6" t="inlineStr">
        <is>
          <t>km²</t>
        </is>
      </c>
      <c r="F20" s="14" t="n"/>
      <c r="G20" s="14" t="n"/>
      <c r="H20" s="14" t="n"/>
      <c r="I20" s="25">
        <f>IF(F20="","",N(G20)+N(H20))</f>
        <v/>
      </c>
      <c r="J20" s="26">
        <f>IF(N(F20)&gt;0,I20/F20,"")</f>
        <v/>
      </c>
      <c r="K20" s="30">
        <f>IF(J20="","",IF(J20&gt;=Setup!$B$12,"Yes","No"))</f>
        <v/>
      </c>
      <c r="L20" s="30">
        <f>IF(J20="","",IF(J20&gt;1.001,"Covered &gt; extent – check",""))</f>
        <v/>
      </c>
    </row>
    <row r="21">
      <c r="A21" s="5" t="inlineStr">
        <is>
          <t>F3</t>
        </is>
      </c>
      <c r="B21" s="6" t="inlineStr">
        <is>
          <t>Freshwater</t>
        </is>
      </c>
      <c r="C21" s="6" t="inlineStr">
        <is>
          <t>Artificial wetlands</t>
        </is>
      </c>
      <c r="D21" s="12" t="inlineStr">
        <is>
          <t>N</t>
        </is>
      </c>
      <c r="E21" s="6" t="inlineStr">
        <is>
          <t>km²</t>
        </is>
      </c>
      <c r="F21" s="14" t="n"/>
      <c r="G21" s="14" t="n"/>
      <c r="H21" s="14" t="n"/>
      <c r="I21" s="25">
        <f>IF(F21="","",N(G21)+N(H21))</f>
        <v/>
      </c>
      <c r="J21" s="26">
        <f>IF(N(F21)&gt;0,I21/F21,"")</f>
        <v/>
      </c>
      <c r="K21" s="30">
        <f>IF(J21="","",IF(J21&gt;=Setup!$B$12,"Yes","No"))</f>
        <v/>
      </c>
      <c r="L21" s="30">
        <f>IF(J21="","",IF(J21&gt;1.001,"Covered &gt; extent – check",""))</f>
        <v/>
      </c>
    </row>
    <row r="22">
      <c r="A22" s="5" t="inlineStr">
        <is>
          <t>FM1</t>
        </is>
      </c>
      <c r="B22" s="6" t="inlineStr">
        <is>
          <t>Freshwater-marine</t>
        </is>
      </c>
      <c r="C22" s="6" t="inlineStr">
        <is>
          <t>Semi-confined transitional waters</t>
        </is>
      </c>
      <c r="D22" s="12" t="inlineStr">
        <is>
          <t>Y</t>
        </is>
      </c>
      <c r="E22" s="6" t="inlineStr">
        <is>
          <t>km²</t>
        </is>
      </c>
      <c r="F22" s="14" t="n"/>
      <c r="G22" s="14" t="n"/>
      <c r="H22" s="14" t="n"/>
      <c r="I22" s="25">
        <f>IF(F22="","",N(G22)+N(H22))</f>
        <v/>
      </c>
      <c r="J22" s="26">
        <f>IF(N(F22)&gt;0,I22/F22,"")</f>
        <v/>
      </c>
      <c r="K22" s="30">
        <f>IF(J22="","",IF(J22&gt;=Setup!$B$12,"Yes","No"))</f>
        <v/>
      </c>
      <c r="L22" s="30">
        <f>IF(J22="","",IF(J22&gt;1.001,"Covered &gt; extent – check",""))</f>
        <v/>
      </c>
    </row>
    <row r="23">
      <c r="A23" s="5" t="inlineStr">
        <is>
          <t>M1</t>
        </is>
      </c>
      <c r="B23" s="6" t="inlineStr">
        <is>
          <t>Marine</t>
        </is>
      </c>
      <c r="C23" s="6" t="inlineStr">
        <is>
          <t>Marine shelf</t>
        </is>
      </c>
      <c r="D23" s="12" t="inlineStr">
        <is>
          <t>Y</t>
        </is>
      </c>
      <c r="E23" s="6" t="inlineStr">
        <is>
          <t>km²</t>
        </is>
      </c>
      <c r="F23" s="14" t="n"/>
      <c r="G23" s="14" t="n"/>
      <c r="H23" s="14" t="n"/>
      <c r="I23" s="25">
        <f>IF(F23="","",N(G23)+N(H23))</f>
        <v/>
      </c>
      <c r="J23" s="26">
        <f>IF(N(F23)&gt;0,I23/F23,"")</f>
        <v/>
      </c>
      <c r="K23" s="30">
        <f>IF(J23="","",IF(J23&gt;=Setup!$B$12,"Yes","No"))</f>
        <v/>
      </c>
      <c r="L23" s="30">
        <f>IF(J23="","",IF(J23&gt;1.001,"Covered &gt; extent – check",""))</f>
        <v/>
      </c>
    </row>
    <row r="24">
      <c r="A24" s="5" t="inlineStr">
        <is>
          <t>M2</t>
        </is>
      </c>
      <c r="B24" s="6" t="inlineStr">
        <is>
          <t>Marine</t>
        </is>
      </c>
      <c r="C24" s="6" t="inlineStr">
        <is>
          <t>Pelagic ocean waters</t>
        </is>
      </c>
      <c r="D24" s="12" t="inlineStr">
        <is>
          <t>Y</t>
        </is>
      </c>
      <c r="E24" s="6" t="inlineStr">
        <is>
          <t>km²</t>
        </is>
      </c>
      <c r="F24" s="14" t="n"/>
      <c r="G24" s="14" t="n"/>
      <c r="H24" s="14" t="n"/>
      <c r="I24" s="25">
        <f>IF(F24="","",N(G24)+N(H24))</f>
        <v/>
      </c>
      <c r="J24" s="26">
        <f>IF(N(F24)&gt;0,I24/F24,"")</f>
        <v/>
      </c>
      <c r="K24" s="30">
        <f>IF(J24="","",IF(J24&gt;=Setup!$B$12,"Yes","No"))</f>
        <v/>
      </c>
      <c r="L24" s="30">
        <f>IF(J24="","",IF(J24&gt;1.001,"Covered &gt; extent – check",""))</f>
        <v/>
      </c>
    </row>
    <row r="25">
      <c r="A25" s="5" t="inlineStr">
        <is>
          <t>M3</t>
        </is>
      </c>
      <c r="B25" s="6" t="inlineStr">
        <is>
          <t>Marine</t>
        </is>
      </c>
      <c r="C25" s="6" t="inlineStr">
        <is>
          <t>Deep sea floors</t>
        </is>
      </c>
      <c r="D25" s="12" t="inlineStr">
        <is>
          <t>Y</t>
        </is>
      </c>
      <c r="E25" s="6" t="inlineStr">
        <is>
          <t>km²</t>
        </is>
      </c>
      <c r="F25" s="14" t="n"/>
      <c r="G25" s="14" t="n"/>
      <c r="H25" s="14" t="n"/>
      <c r="I25" s="25">
        <f>IF(F25="","",N(G25)+N(H25))</f>
        <v/>
      </c>
      <c r="J25" s="26">
        <f>IF(N(F25)&gt;0,I25/F25,"")</f>
        <v/>
      </c>
      <c r="K25" s="30">
        <f>IF(J25="","",IF(J25&gt;=Setup!$B$12,"Yes","No"))</f>
        <v/>
      </c>
      <c r="L25" s="30">
        <f>IF(J25="","",IF(J25&gt;1.001,"Covered &gt; extent – check",""))</f>
        <v/>
      </c>
    </row>
    <row r="26">
      <c r="A26" s="5" t="inlineStr">
        <is>
          <t>M4</t>
        </is>
      </c>
      <c r="B26" s="6" t="inlineStr">
        <is>
          <t>Marine</t>
        </is>
      </c>
      <c r="C26" s="6" t="inlineStr">
        <is>
          <t>Anthropogenic marine systems</t>
        </is>
      </c>
      <c r="D26" s="12" t="inlineStr">
        <is>
          <t>N</t>
        </is>
      </c>
      <c r="E26" s="6" t="inlineStr">
        <is>
          <t>km²</t>
        </is>
      </c>
      <c r="F26" s="14" t="n"/>
      <c r="G26" s="14" t="n"/>
      <c r="H26" s="14" t="n"/>
      <c r="I26" s="25">
        <f>IF(F26="","",N(G26)+N(H26))</f>
        <v/>
      </c>
      <c r="J26" s="26">
        <f>IF(N(F26)&gt;0,I26/F26,"")</f>
        <v/>
      </c>
      <c r="K26" s="30">
        <f>IF(J26="","",IF(J26&gt;=Setup!$B$12,"Yes","No"))</f>
        <v/>
      </c>
      <c r="L26" s="30">
        <f>IF(J26="","",IF(J26&gt;1.001,"Covered &gt; extent – check",""))</f>
        <v/>
      </c>
    </row>
    <row r="27">
      <c r="A27" s="5" t="inlineStr">
        <is>
          <t>MT1</t>
        </is>
      </c>
      <c r="B27" s="6" t="inlineStr">
        <is>
          <t>Marine-terrestrial</t>
        </is>
      </c>
      <c r="C27" s="6" t="inlineStr">
        <is>
          <t>Shorelines</t>
        </is>
      </c>
      <c r="D27" s="12" t="inlineStr">
        <is>
          <t>Y</t>
        </is>
      </c>
      <c r="E27" s="6" t="inlineStr">
        <is>
          <t>km²</t>
        </is>
      </c>
      <c r="F27" s="14" t="n"/>
      <c r="G27" s="14" t="n"/>
      <c r="H27" s="14" t="n"/>
      <c r="I27" s="25">
        <f>IF(F27="","",N(G27)+N(H27))</f>
        <v/>
      </c>
      <c r="J27" s="26">
        <f>IF(N(F27)&gt;0,I27/F27,"")</f>
        <v/>
      </c>
      <c r="K27" s="30">
        <f>IF(J27="","",IF(J27&gt;=Setup!$B$12,"Yes","No"))</f>
        <v/>
      </c>
      <c r="L27" s="30">
        <f>IF(J27="","",IF(J27&gt;1.001,"Covered &gt; extent – check",""))</f>
        <v/>
      </c>
    </row>
    <row r="28">
      <c r="A28" s="5" t="inlineStr">
        <is>
          <t>MT2</t>
        </is>
      </c>
      <c r="B28" s="6" t="inlineStr">
        <is>
          <t>Marine-terrestrial</t>
        </is>
      </c>
      <c r="C28" s="6" t="inlineStr">
        <is>
          <t>Supralittoral coastal systems</t>
        </is>
      </c>
      <c r="D28" s="12" t="inlineStr">
        <is>
          <t>Y</t>
        </is>
      </c>
      <c r="E28" s="6" t="inlineStr">
        <is>
          <t>km²</t>
        </is>
      </c>
      <c r="F28" s="14" t="n"/>
      <c r="G28" s="14" t="n"/>
      <c r="H28" s="14" t="n"/>
      <c r="I28" s="25">
        <f>IF(F28="","",N(G28)+N(H28))</f>
        <v/>
      </c>
      <c r="J28" s="26">
        <f>IF(N(F28)&gt;0,I28/F28,"")</f>
        <v/>
      </c>
      <c r="K28" s="30">
        <f>IF(J28="","",IF(J28&gt;=Setup!$B$12,"Yes","No"))</f>
        <v/>
      </c>
      <c r="L28" s="30">
        <f>IF(J28="","",IF(J28&gt;1.001,"Covered &gt; extent – check",""))</f>
        <v/>
      </c>
    </row>
    <row r="29">
      <c r="A29" s="5" t="inlineStr">
        <is>
          <t>MT3</t>
        </is>
      </c>
      <c r="B29" s="6" t="inlineStr">
        <is>
          <t>Marine-terrestrial</t>
        </is>
      </c>
      <c r="C29" s="6" t="inlineStr">
        <is>
          <t>Anthropogenic shorelines</t>
        </is>
      </c>
      <c r="D29" s="12" t="inlineStr">
        <is>
          <t>N</t>
        </is>
      </c>
      <c r="E29" s="6" t="inlineStr">
        <is>
          <t>km²</t>
        </is>
      </c>
      <c r="F29" s="14" t="n"/>
      <c r="G29" s="14" t="n"/>
      <c r="H29" s="14" t="n"/>
      <c r="I29" s="25">
        <f>IF(F29="","",N(G29)+N(H29))</f>
        <v/>
      </c>
      <c r="J29" s="26">
        <f>IF(N(F29)&gt;0,I29/F29,"")</f>
        <v/>
      </c>
      <c r="K29" s="30">
        <f>IF(J29="","",IF(J29&gt;=Setup!$B$12,"Yes","No"))</f>
        <v/>
      </c>
      <c r="L29" s="30">
        <f>IF(J29="","",IF(J29&gt;1.001,"Covered &gt; extent – check",""))</f>
        <v/>
      </c>
    </row>
    <row r="30">
      <c r="A30" s="5" t="inlineStr">
        <is>
          <t>MFT1</t>
        </is>
      </c>
      <c r="B30" s="6" t="inlineStr">
        <is>
          <t>Marine-freshwater-terrestrial</t>
        </is>
      </c>
      <c r="C30" s="6" t="inlineStr">
        <is>
          <t>Brackish tidal systems</t>
        </is>
      </c>
      <c r="D30" s="12" t="inlineStr">
        <is>
          <t>Y</t>
        </is>
      </c>
      <c r="E30" s="6" t="inlineStr">
        <is>
          <t>km²</t>
        </is>
      </c>
      <c r="F30" s="14" t="n"/>
      <c r="G30" s="14" t="n"/>
      <c r="H30" s="14" t="n"/>
      <c r="I30" s="25">
        <f>IF(F30="","",N(G30)+N(H30))</f>
        <v/>
      </c>
      <c r="J30" s="26">
        <f>IF(N(F30)&gt;0,I30/F30,"")</f>
        <v/>
      </c>
      <c r="K30" s="30">
        <f>IF(J30="","",IF(J30&gt;=Setup!$B$12,"Yes","No"))</f>
        <v/>
      </c>
      <c r="L30" s="30">
        <f>IF(J30="","",IF(J30&gt;1.001,"Covered &gt; extent – check",""))</f>
        <v/>
      </c>
    </row>
    <row r="31">
      <c r="A31" s="16" t="inlineStr">
        <is>
          <t>Default 'N' for anthropogenic biomes (T7, S2, SF2, F3, M4, MT3) and subterranean biomes rarely mappable at national scale – a national choice; the metadata recommends excluding groups that are inappropriate or affected by data-resolution errors.</t>
        </is>
      </c>
    </row>
    <row r="32"/>
    <row r="33">
      <c r="A33" s="3" t="inlineStr">
        <is>
          <t>B. Biome summary (included biomes with data)</t>
        </is>
      </c>
      <c r="B33" s="4" t="n"/>
      <c r="C33" s="4" t="n"/>
      <c r="D33" s="4" t="n"/>
      <c r="E33" s="4" t="n"/>
      <c r="F33" s="4" t="n"/>
      <c r="G33" s="4" t="n"/>
      <c r="H33" s="4" t="n"/>
      <c r="I33" s="4" t="n"/>
      <c r="J33" s="4" t="n"/>
      <c r="K33" s="4" t="n"/>
      <c r="L33" s="4" t="n"/>
    </row>
    <row r="34" ht="30" customHeight="1">
      <c r="A34" s="11" t="inlineStr">
        <is>
          <t>Metric</t>
        </is>
      </c>
      <c r="B34" s="11" t="inlineStr">
        <is>
          <t>Value</t>
        </is>
      </c>
    </row>
    <row r="35">
      <c r="A35" s="5" t="inlineStr">
        <is>
          <t>Biomes assessed (included, with extent)</t>
        </is>
      </c>
      <c r="B35" s="33">
        <f>COUNTIFS($D$6:$D$30,"Y",$J$6:$J$30,"&gt;=0")</f>
        <v/>
      </c>
    </row>
    <row r="36">
      <c r="A36" s="5" t="inlineStr">
        <is>
          <t>Biomes with coverage ≥ target</t>
        </is>
      </c>
      <c r="B36" s="33">
        <f>COUNTIFS($D$6:$D$30,"Y",$J$6:$J$30,"&gt;="&amp;Setup!$B$12)</f>
        <v/>
      </c>
    </row>
    <row r="37">
      <c r="A37" s="5" t="inlineStr">
        <is>
          <t>Share of assessed biomes ≥ target</t>
        </is>
      </c>
      <c r="B37" s="27">
        <f>IF(B35&gt;0,B36/B35,"")</f>
        <v/>
      </c>
    </row>
    <row r="38">
      <c r="A38" s="5" t="inlineStr">
        <is>
          <t>Mean biome coverage (%)</t>
        </is>
      </c>
      <c r="B38" s="27">
        <f>IFERROR(AVERAGEIFS($J$6:$J$30,$D$6:$D$30,"Y"),"")</f>
        <v/>
      </c>
    </row>
    <row r="39">
      <c r="A39" s="5" t="inlineStr">
        <is>
          <t>Minimum biome coverage (%)</t>
        </is>
      </c>
      <c r="B39" s="26">
        <f>IF(B35&gt;0,_xlfn.MINIFS($J$6:$J$30,$D$6:$D$30,"Y"),"")</f>
        <v/>
      </c>
    </row>
    <row r="40">
      <c r="A40" s="5" t="inlineStr">
        <is>
          <t>Maximum biome coverage (%)</t>
        </is>
      </c>
      <c r="B40" s="26">
        <f>IF(B35&gt;0,_xlfn.MAXIFS($J$6:$J$30,$D$6:$D$30,"Y"),"")</f>
        <v/>
      </c>
    </row>
    <row r="41"/>
    <row r="42">
      <c r="A42" s="3" t="inlineStr">
        <is>
          <t>E. Summary by detailed unit level (from table D)</t>
        </is>
      </c>
      <c r="B42" s="4" t="n"/>
      <c r="C42" s="4" t="n"/>
      <c r="D42" s="4" t="n"/>
      <c r="E42" s="4" t="n"/>
      <c r="F42" s="4" t="n"/>
      <c r="G42" s="4" t="n"/>
      <c r="H42" s="4" t="n"/>
      <c r="I42" s="4" t="n"/>
      <c r="J42" s="4" t="n"/>
      <c r="K42" s="4" t="n"/>
      <c r="L42" s="4" t="n"/>
    </row>
    <row r="43" ht="40" customHeight="1">
      <c r="A43" s="11" t="inlineStr">
        <is>
          <t>Unit level</t>
        </is>
      </c>
      <c r="B43" s="11" t="inlineStr">
        <is>
          <t>Units assessed</t>
        </is>
      </c>
      <c r="C43" s="11" t="inlineStr">
        <is>
          <t>Units ≥ target</t>
        </is>
      </c>
      <c r="D43" s="11" t="inlineStr">
        <is>
          <t>Share ≥ target</t>
        </is>
      </c>
      <c r="E43" s="11" t="inlineStr">
        <is>
          <t>Mean coverage (%)</t>
        </is>
      </c>
      <c r="F43" s="11" t="inlineStr">
        <is>
          <t>Minimum coverage (%)</t>
        </is>
      </c>
    </row>
    <row r="44">
      <c r="A44" s="5">
        <f>Lists!L4</f>
        <v/>
      </c>
      <c r="B44" s="33">
        <f>COUNTIFS($A$58:$A$357,A44,$E$58:$E$357,"Y",$J$58:$J$357,"&gt;=0")</f>
        <v/>
      </c>
      <c r="C44" s="33">
        <f>COUNTIFS($A$58:$A$357,A44,$E$58:$E$357,"Y",$J$58:$J$357,"&gt;="&amp;Setup!$B$12)</f>
        <v/>
      </c>
      <c r="D44" s="26">
        <f>IF(B44&gt;0,C44/B44,"")</f>
        <v/>
      </c>
      <c r="E44" s="26">
        <f>IFERROR(AVERAGEIFS($J$58:$J$357,$A$58:$A$357,A44,$E$58:$E$357,"Y"),"")</f>
        <v/>
      </c>
      <c r="F44" s="26">
        <f>IF(B44&gt;0,_xlfn.MINIFS($J$58:$J$357,$A$58:$A$357,A44,$E$58:$E$357,"Y"),"")</f>
        <v/>
      </c>
    </row>
    <row r="45">
      <c r="A45" s="5">
        <f>Lists!L5</f>
        <v/>
      </c>
      <c r="B45" s="33">
        <f>COUNTIFS($A$58:$A$357,A45,$E$58:$E$357,"Y",$J$58:$J$357,"&gt;=0")</f>
        <v/>
      </c>
      <c r="C45" s="33">
        <f>COUNTIFS($A$58:$A$357,A45,$E$58:$E$357,"Y",$J$58:$J$357,"&gt;="&amp;Setup!$B$12)</f>
        <v/>
      </c>
      <c r="D45" s="26">
        <f>IF(B45&gt;0,C45/B45,"")</f>
        <v/>
      </c>
      <c r="E45" s="26">
        <f>IFERROR(AVERAGEIFS($J$58:$J$357,$A$58:$A$357,A45,$E$58:$E$357,"Y"),"")</f>
        <v/>
      </c>
      <c r="F45" s="26">
        <f>IF(B45&gt;0,_xlfn.MINIFS($J$58:$J$357,$A$58:$A$357,A45,$E$58:$E$357,"Y"),"")</f>
        <v/>
      </c>
    </row>
    <row r="46">
      <c r="A46" s="5">
        <f>Lists!L6</f>
        <v/>
      </c>
      <c r="B46" s="33">
        <f>COUNTIFS($A$58:$A$357,A46,$E$58:$E$357,"Y",$J$58:$J$357,"&gt;=0")</f>
        <v/>
      </c>
      <c r="C46" s="33">
        <f>COUNTIFS($A$58:$A$357,A46,$E$58:$E$357,"Y",$J$58:$J$357,"&gt;="&amp;Setup!$B$12)</f>
        <v/>
      </c>
      <c r="D46" s="26">
        <f>IF(B46&gt;0,C46/B46,"")</f>
        <v/>
      </c>
      <c r="E46" s="26">
        <f>IFERROR(AVERAGEIFS($J$58:$J$357,$A$58:$A$357,A46,$E$58:$E$357,"Y"),"")</f>
        <v/>
      </c>
      <c r="F46" s="26">
        <f>IF(B46&gt;0,_xlfn.MINIFS($J$58:$J$357,$A$58:$A$357,A46,$E$58:$E$357,"Y"),"")</f>
        <v/>
      </c>
    </row>
    <row r="47">
      <c r="A47" s="5">
        <f>Lists!L7</f>
        <v/>
      </c>
      <c r="B47" s="33">
        <f>COUNTIFS($A$58:$A$357,A47,$E$58:$E$357,"Y",$J$58:$J$357,"&gt;=0")</f>
        <v/>
      </c>
      <c r="C47" s="33">
        <f>COUNTIFS($A$58:$A$357,A47,$E$58:$E$357,"Y",$J$58:$J$357,"&gt;="&amp;Setup!$B$12)</f>
        <v/>
      </c>
      <c r="D47" s="26">
        <f>IF(B47&gt;0,C47/B47,"")</f>
        <v/>
      </c>
      <c r="E47" s="26">
        <f>IFERROR(AVERAGEIFS($J$58:$J$357,$A$58:$A$357,A47,$E$58:$E$357,"Y"),"")</f>
        <v/>
      </c>
      <c r="F47" s="26">
        <f>IF(B47&gt;0,_xlfn.MINIFS($J$58:$J$357,$A$58:$A$357,A47,$E$58:$E$357,"Y"),"")</f>
        <v/>
      </c>
    </row>
    <row r="48">
      <c r="A48" s="5">
        <f>Lists!L8</f>
        <v/>
      </c>
      <c r="B48" s="33">
        <f>COUNTIFS($A$58:$A$357,A48,$E$58:$E$357,"Y",$J$58:$J$357,"&gt;=0")</f>
        <v/>
      </c>
      <c r="C48" s="33">
        <f>COUNTIFS($A$58:$A$357,A48,$E$58:$E$357,"Y",$J$58:$J$357,"&gt;="&amp;Setup!$B$12)</f>
        <v/>
      </c>
      <c r="D48" s="26">
        <f>IF(B48&gt;0,C48/B48,"")</f>
        <v/>
      </c>
      <c r="E48" s="26">
        <f>IFERROR(AVERAGEIFS($J$58:$J$357,$A$58:$A$357,A48,$E$58:$E$357,"Y"),"")</f>
        <v/>
      </c>
      <c r="F48" s="26">
        <f>IF(B48&gt;0,_xlfn.MINIFS($J$58:$J$357,$A$58:$A$357,A48,$E$58:$E$357,"Y"),"")</f>
        <v/>
      </c>
    </row>
    <row r="49">
      <c r="A49" s="5">
        <f>Lists!L9</f>
        <v/>
      </c>
      <c r="B49" s="33">
        <f>COUNTIFS($A$58:$A$357,A49,$E$58:$E$357,"Y",$J$58:$J$357,"&gt;=0")</f>
        <v/>
      </c>
      <c r="C49" s="33">
        <f>COUNTIFS($A$58:$A$357,A49,$E$58:$E$357,"Y",$J$58:$J$357,"&gt;="&amp;Setup!$B$12)</f>
        <v/>
      </c>
      <c r="D49" s="26">
        <f>IF(B49&gt;0,C49/B49,"")</f>
        <v/>
      </c>
      <c r="E49" s="26">
        <f>IFERROR(AVERAGEIFS($J$58:$J$357,$A$58:$A$357,A49,$E$58:$E$357,"Y"),"")</f>
        <v/>
      </c>
      <c r="F49" s="26">
        <f>IF(B49&gt;0,_xlfn.MINIFS($J$58:$J$357,$A$58:$A$357,A49,$E$58:$E$357,"Y"),"")</f>
        <v/>
      </c>
    </row>
    <row r="50">
      <c r="A50" s="3" t="inlineStr">
        <is>
          <t>C. Inland waters – headline inland-water coverage (RiverATLAS, Linke et al. 2019; GLWD v2, Lehner et al. 2024 – or national hydrography)</t>
        </is>
      </c>
      <c r="B50" s="4" t="n"/>
      <c r="C50" s="4" t="n"/>
      <c r="D50" s="4" t="n"/>
      <c r="E50" s="4" t="n"/>
      <c r="F50" s="4" t="n"/>
      <c r="G50" s="4" t="n"/>
      <c r="H50" s="4" t="n"/>
      <c r="I50" s="4" t="n"/>
      <c r="J50" s="4" t="n"/>
      <c r="K50" s="4" t="n"/>
      <c r="L50" s="4" t="n"/>
    </row>
    <row r="51" ht="40" customHeight="1">
      <c r="A51" s="11" t="inlineStr">
        <is>
          <t>Component</t>
        </is>
      </c>
      <c r="B51" s="11" t="inlineStr">
        <is>
          <t>Total extent</t>
        </is>
      </c>
      <c r="C51" s="11" t="inlineStr">
        <is>
          <t>Unit</t>
        </is>
      </c>
      <c r="D51" s="11" t="inlineStr">
        <is>
          <t>Covered by PAs</t>
        </is>
      </c>
      <c r="E51" s="11" t="inlineStr">
        <is>
          <t>Covered by OECMs (PA-erased)</t>
        </is>
      </c>
      <c r="F51" s="11" t="inlineStr">
        <is>
          <t>Coverage (%)</t>
        </is>
      </c>
    </row>
    <row r="52">
      <c r="A52" s="5" t="inlineStr">
        <is>
          <t>Rivers and streams</t>
        </is>
      </c>
      <c r="B52" s="14" t="n">
        <v>572882.1</v>
      </c>
      <c r="C52" s="6" t="inlineStr">
        <is>
          <t>km (length)</t>
        </is>
      </c>
      <c r="D52" s="14" t="n">
        <v>27184.7</v>
      </c>
      <c r="E52" s="14" t="n">
        <v>277792.6</v>
      </c>
      <c r="F52" s="27">
        <f>IF(N(B52)&gt;0,(N(D52)+N(E52))/B52,"")</f>
        <v/>
      </c>
    </row>
    <row r="53">
      <c r="A53" s="5" t="inlineStr">
        <is>
          <t>Lakes and wetlands</t>
        </is>
      </c>
      <c r="B53" s="14" t="n">
        <v>28321.16</v>
      </c>
      <c r="C53" s="6" t="inlineStr">
        <is>
          <t>km²</t>
        </is>
      </c>
      <c r="D53" s="14" t="n">
        <v>9500.9</v>
      </c>
      <c r="E53" s="14" t="n">
        <v>4142.23</v>
      </c>
      <c r="F53" s="27">
        <f>IF(N(B53)&gt;0,(N(D53)+N(E53))/B53,"")</f>
        <v/>
      </c>
    </row>
    <row r="54"/>
    <row r="55"/>
    <row r="56">
      <c r="A56" s="3" t="inlineStr">
        <is>
          <t>D. Detailed units – Ecosystem Functional Groups, ecoregions or national ecosystem types (one row per unit)</t>
        </is>
      </c>
      <c r="B56" s="4" t="n"/>
      <c r="C56" s="4" t="n"/>
      <c r="D56" s="4" t="n"/>
      <c r="E56" s="4" t="n"/>
      <c r="F56" s="4" t="n"/>
      <c r="G56" s="4" t="n"/>
      <c r="H56" s="4" t="n"/>
      <c r="I56" s="4" t="n"/>
      <c r="J56" s="4" t="n"/>
      <c r="K56" s="4" t="n"/>
      <c r="L56" s="4" t="n"/>
    </row>
    <row r="57" ht="45" customHeight="1">
      <c r="A57" s="11" t="inlineStr">
        <is>
          <t>Unit level</t>
        </is>
      </c>
      <c r="B57" s="11" t="inlineStr">
        <is>
          <t>Code</t>
        </is>
      </c>
      <c r="C57" s="11" t="inlineStr">
        <is>
          <t>Unit name</t>
        </is>
      </c>
      <c r="D57" s="11" t="inlineStr">
        <is>
          <t>Parent GET biome</t>
        </is>
      </c>
      <c r="E57" s="11" t="inlineStr">
        <is>
          <t>Include? (Y/N)</t>
        </is>
      </c>
      <c r="F57" s="11" t="inlineStr">
        <is>
          <t>Total extent (km² or km)</t>
        </is>
      </c>
      <c r="G57" s="11" t="inlineStr">
        <is>
          <t>Covered by PAs</t>
        </is>
      </c>
      <c r="H57" s="11" t="inlineStr">
        <is>
          <t>Covered by OECMs (PA-erased)</t>
        </is>
      </c>
      <c r="I57" s="11" t="inlineStr">
        <is>
          <t>PA + OECM</t>
        </is>
      </c>
      <c r="J57" s="11" t="inlineStr">
        <is>
          <t>Coverage (%)</t>
        </is>
      </c>
      <c r="K57" s="11" t="inlineStr">
        <is>
          <t>≥ target?</t>
        </is>
      </c>
      <c r="L57" s="11" t="inlineStr">
        <is>
          <t>QC</t>
        </is>
      </c>
    </row>
    <row r="58">
      <c r="A58" s="12" t="inlineStr">
        <is>
          <t>Terrestrial ecoregion (Dinerstein et al. 2017)</t>
        </is>
      </c>
      <c r="B58" s="12" t="inlineStr">
        <is>
          <t>ECO-53</t>
        </is>
      </c>
      <c r="C58" s="12" t="inlineStr">
        <is>
          <t>Sahelian Acacia savanna</t>
        </is>
      </c>
      <c r="D58" s="12" t="inlineStr">
        <is>
          <t>T4</t>
        </is>
      </c>
      <c r="E58" s="12" t="inlineStr">
        <is>
          <t>Y</t>
        </is>
      </c>
      <c r="F58" s="14" t="n">
        <v>33435.13</v>
      </c>
      <c r="G58" s="14" t="n">
        <v>0</v>
      </c>
      <c r="H58" s="14" t="n">
        <v>33429.14</v>
      </c>
      <c r="I58" s="25">
        <f>IF(F58="","",N(G58)+N(H58))</f>
        <v/>
      </c>
      <c r="J58" s="26">
        <f>IF(N(F58)&gt;0,I58/F58,"")</f>
        <v/>
      </c>
      <c r="K58" s="30">
        <f>IF(J58="","",IF(J58&gt;=Setup!$B$12,"Yes","No"))</f>
        <v/>
      </c>
      <c r="L58" s="30">
        <f>IF(J58="","",IF(J58&gt;1.001,"Covered &gt; extent – check",""))</f>
        <v/>
      </c>
    </row>
    <row r="59">
      <c r="A59" s="12" t="inlineStr">
        <is>
          <t>Terrestrial ecoregion (Dinerstein et al. 2017)</t>
        </is>
      </c>
      <c r="B59" s="12" t="inlineStr">
        <is>
          <t>ECO-701</t>
        </is>
      </c>
      <c r="C59" s="12" t="inlineStr">
        <is>
          <t>Mediterranean conifer and mixed forests</t>
        </is>
      </c>
      <c r="D59" s="12" t="inlineStr">
        <is>
          <t>T2</t>
        </is>
      </c>
      <c r="E59" s="12" t="inlineStr">
        <is>
          <t>Y</t>
        </is>
      </c>
      <c r="F59" s="14" t="n">
        <v>9441.610000000001</v>
      </c>
      <c r="G59" s="14" t="n">
        <v>807.03</v>
      </c>
      <c r="H59" s="14" t="n">
        <v>0</v>
      </c>
      <c r="I59" s="25">
        <f>IF(F59="","",N(G59)+N(H59))</f>
        <v/>
      </c>
      <c r="J59" s="26">
        <f>IF(N(F59)&gt;0,I59/F59,"")</f>
        <v/>
      </c>
      <c r="K59" s="30">
        <f>IF(J59="","",IF(J59&gt;=Setup!$B$12,"Yes","No"))</f>
        <v/>
      </c>
      <c r="L59" s="30">
        <f>IF(J59="","",IF(J59&gt;1.001,"Covered &gt; extent – check",""))</f>
        <v/>
      </c>
    </row>
    <row r="60">
      <c r="A60" s="12" t="inlineStr">
        <is>
          <t>Terrestrial ecoregion (Dinerstein et al. 2017)</t>
        </is>
      </c>
      <c r="B60" s="12" t="inlineStr">
        <is>
          <t>ECO-745</t>
        </is>
      </c>
      <c r="C60" s="12" t="inlineStr">
        <is>
          <t>Saharan halophytics</t>
        </is>
      </c>
      <c r="D60" s="12" t="inlineStr">
        <is>
          <t>T5</t>
        </is>
      </c>
      <c r="E60" s="12" t="inlineStr">
        <is>
          <t>Y</t>
        </is>
      </c>
      <c r="F60" s="14" t="n">
        <v>14404.46</v>
      </c>
      <c r="G60" s="14" t="n">
        <v>7300.17</v>
      </c>
      <c r="H60" s="14" t="n">
        <v>4624.14</v>
      </c>
      <c r="I60" s="25">
        <f>IF(F60="","",N(G60)+N(H60))</f>
        <v/>
      </c>
      <c r="J60" s="26">
        <f>IF(N(F60)&gt;0,I60/F60,"")</f>
        <v/>
      </c>
      <c r="K60" s="30">
        <f>IF(J60="","",IF(J60&gt;=Setup!$B$12,"Yes","No"))</f>
        <v/>
      </c>
      <c r="L60" s="30">
        <f>IF(J60="","",IF(J60&gt;1.001,"Covered &gt; extent – check",""))</f>
        <v/>
      </c>
    </row>
    <row r="61">
      <c r="A61" s="12" t="inlineStr">
        <is>
          <t>Terrestrial ecoregion (Dinerstein et al. 2017)</t>
        </is>
      </c>
      <c r="B61" s="12" t="inlineStr">
        <is>
          <t>ECO-797</t>
        </is>
      </c>
      <c r="C61" s="12" t="inlineStr">
        <is>
          <t>Mediterranean dry woodlands and steppe</t>
        </is>
      </c>
      <c r="D61" s="12" t="inlineStr">
        <is>
          <t>T3</t>
        </is>
      </c>
      <c r="E61" s="12" t="inlineStr">
        <is>
          <t>Y</t>
        </is>
      </c>
      <c r="F61" s="14" t="n">
        <v>157839.46</v>
      </c>
      <c r="G61" s="14" t="n">
        <v>9947.190000000001</v>
      </c>
      <c r="H61" s="14" t="n">
        <v>77142.48</v>
      </c>
      <c r="I61" s="25">
        <f>IF(F61="","",N(G61)+N(H61))</f>
        <v/>
      </c>
      <c r="J61" s="26">
        <f>IF(N(F61)&gt;0,I61/F61,"")</f>
        <v/>
      </c>
      <c r="K61" s="30">
        <f>IF(J61="","",IF(J61&gt;=Setup!$B$12,"Yes","No"))</f>
        <v/>
      </c>
      <c r="L61" s="30">
        <f>IF(J61="","",IF(J61&gt;1.001,"Covered &gt; extent – check",""))</f>
        <v/>
      </c>
    </row>
    <row r="62">
      <c r="A62" s="12" t="inlineStr">
        <is>
          <t>Terrestrial ecoregion (Dinerstein et al. 2017)</t>
        </is>
      </c>
      <c r="B62" s="12" t="inlineStr">
        <is>
          <t>ECO-798</t>
        </is>
      </c>
      <c r="C62" s="12" t="inlineStr">
        <is>
          <t>Mediterranean woodlands and forests</t>
        </is>
      </c>
      <c r="D62" s="12" t="inlineStr">
        <is>
          <t>T3</t>
        </is>
      </c>
      <c r="E62" s="12" t="inlineStr">
        <is>
          <t>Y</t>
        </is>
      </c>
      <c r="F62" s="14" t="n">
        <v>135145.9</v>
      </c>
      <c r="G62" s="14" t="n">
        <v>10176.62</v>
      </c>
      <c r="H62" s="14" t="n">
        <v>7749.7</v>
      </c>
      <c r="I62" s="25">
        <f>IF(F62="","",N(G62)+N(H62))</f>
        <v/>
      </c>
      <c r="J62" s="26">
        <f>IF(N(F62)&gt;0,I62/F62,"")</f>
        <v/>
      </c>
      <c r="K62" s="30">
        <f>IF(J62="","",IF(J62&gt;=Setup!$B$12,"Yes","No"))</f>
        <v/>
      </c>
      <c r="L62" s="30">
        <f>IF(J62="","",IF(J62&gt;1.001,"Covered &gt; extent – check",""))</f>
        <v/>
      </c>
    </row>
    <row r="63">
      <c r="A63" s="12" t="inlineStr">
        <is>
          <t>Terrestrial ecoregion (Dinerstein et al. 2017)</t>
        </is>
      </c>
      <c r="B63" s="12" t="inlineStr">
        <is>
          <t>ECO-822</t>
        </is>
      </c>
      <c r="C63" s="12" t="inlineStr">
        <is>
          <t>East Sahara Desert</t>
        </is>
      </c>
      <c r="D63" s="12" t="inlineStr">
        <is>
          <t>T5</t>
        </is>
      </c>
      <c r="E63" s="12" t="inlineStr">
        <is>
          <t>Y</t>
        </is>
      </c>
      <c r="F63" s="14" t="n">
        <v>46288.64</v>
      </c>
      <c r="G63" s="14" t="n">
        <v>10101.4</v>
      </c>
      <c r="H63" s="14" t="n">
        <v>36092.05</v>
      </c>
      <c r="I63" s="25">
        <f>IF(F63="","",N(G63)+N(H63))</f>
        <v/>
      </c>
      <c r="J63" s="26">
        <f>IF(N(F63)&gt;0,I63/F63,"")</f>
        <v/>
      </c>
      <c r="K63" s="30">
        <f>IF(J63="","",IF(J63&gt;=Setup!$B$12,"Yes","No"))</f>
        <v/>
      </c>
      <c r="L63" s="30">
        <f>IF(J63="","",IF(J63&gt;1.001,"Covered &gt; extent – check",""))</f>
        <v/>
      </c>
    </row>
    <row r="64">
      <c r="A64" s="12" t="inlineStr">
        <is>
          <t>Terrestrial ecoregion (Dinerstein et al. 2017)</t>
        </is>
      </c>
      <c r="B64" s="12" t="inlineStr">
        <is>
          <t>ECO-833</t>
        </is>
      </c>
      <c r="C64" s="12" t="inlineStr">
        <is>
          <t>North Saharan Xeric Steppe and Woodland</t>
        </is>
      </c>
      <c r="D64" s="12" t="inlineStr">
        <is>
          <t>T5</t>
        </is>
      </c>
      <c r="E64" s="12" t="inlineStr">
        <is>
          <t>Y</t>
        </is>
      </c>
      <c r="F64" s="14" t="n">
        <v>468655.42</v>
      </c>
      <c r="G64" s="14" t="n">
        <v>15072.48</v>
      </c>
      <c r="H64" s="14" t="n">
        <v>110109.92</v>
      </c>
      <c r="I64" s="25">
        <f>IF(F64="","",N(G64)+N(H64))</f>
        <v/>
      </c>
      <c r="J64" s="26">
        <f>IF(N(F64)&gt;0,I64/F64,"")</f>
        <v/>
      </c>
      <c r="K64" s="30">
        <f>IF(J64="","",IF(J64&gt;=Setup!$B$12,"Yes","No"))</f>
        <v/>
      </c>
      <c r="L64" s="30">
        <f>IF(J64="","",IF(J64&gt;1.001,"Covered &gt; extent – check",""))</f>
        <v/>
      </c>
    </row>
    <row r="65">
      <c r="A65" s="12" t="inlineStr">
        <is>
          <t>Terrestrial ecoregion (Dinerstein et al. 2017)</t>
        </is>
      </c>
      <c r="B65" s="12" t="inlineStr">
        <is>
          <t>ECO-842</t>
        </is>
      </c>
      <c r="C65" s="12" t="inlineStr">
        <is>
          <t>South Sahara desert</t>
        </is>
      </c>
      <c r="D65" s="12" t="inlineStr">
        <is>
          <t>T5</t>
        </is>
      </c>
      <c r="E65" s="12" t="inlineStr">
        <is>
          <t>Y</t>
        </is>
      </c>
      <c r="F65" s="14" t="n">
        <v>543078.52</v>
      </c>
      <c r="G65" s="14" t="n">
        <v>0</v>
      </c>
      <c r="H65" s="14" t="n">
        <v>421306.26</v>
      </c>
      <c r="I65" s="25">
        <f>IF(F65="","",N(G65)+N(H65))</f>
        <v/>
      </c>
      <c r="J65" s="26">
        <f>IF(N(F65)&gt;0,I65/F65,"")</f>
        <v/>
      </c>
      <c r="K65" s="30">
        <f>IF(J65="","",IF(J65&gt;=Setup!$B$12,"Yes","No"))</f>
        <v/>
      </c>
      <c r="L65" s="30">
        <f>IF(J65="","",IF(J65&gt;1.001,"Covered &gt; extent – check",""))</f>
        <v/>
      </c>
    </row>
    <row r="66">
      <c r="A66" s="12" t="inlineStr">
        <is>
          <t>Terrestrial ecoregion (Dinerstein et al. 2017)</t>
        </is>
      </c>
      <c r="B66" s="12" t="inlineStr">
        <is>
          <t>ECO-845</t>
        </is>
      </c>
      <c r="C66" s="12" t="inlineStr">
        <is>
          <t>West Sahara desert</t>
        </is>
      </c>
      <c r="D66" s="12" t="inlineStr">
        <is>
          <t>T5</t>
        </is>
      </c>
      <c r="E66" s="12" t="inlineStr">
        <is>
          <t>Y</t>
        </is>
      </c>
      <c r="F66" s="14" t="n">
        <v>714478.01</v>
      </c>
      <c r="G66" s="14" t="n">
        <v>1846.41</v>
      </c>
      <c r="H66" s="14" t="n">
        <v>319087.94</v>
      </c>
      <c r="I66" s="25">
        <f>IF(F66="","",N(G66)+N(H66))</f>
        <v/>
      </c>
      <c r="J66" s="26">
        <f>IF(N(F66)&gt;0,I66/F66,"")</f>
        <v/>
      </c>
      <c r="K66" s="30">
        <f>IF(J66="","",IF(J66&gt;=Setup!$B$12,"Yes","No"))</f>
        <v/>
      </c>
      <c r="L66" s="30">
        <f>IF(J66="","",IF(J66&gt;1.001,"Covered &gt; extent – check",""))</f>
        <v/>
      </c>
    </row>
    <row r="67">
      <c r="A67" s="12" t="inlineStr">
        <is>
          <t>Terrestrial ecoregion (Dinerstein et al. 2017)</t>
        </is>
      </c>
      <c r="B67" s="12" t="inlineStr">
        <is>
          <t>ECO-846</t>
        </is>
      </c>
      <c r="C67" s="12" t="inlineStr">
        <is>
          <t>West Saharan montane xeric woodlands</t>
        </is>
      </c>
      <c r="D67" s="12" t="inlineStr">
        <is>
          <t>T5</t>
        </is>
      </c>
      <c r="E67" s="12" t="inlineStr">
        <is>
          <t>Y</t>
        </is>
      </c>
      <c r="F67" s="14" t="n">
        <v>195836.68</v>
      </c>
      <c r="G67" s="14" t="n">
        <v>52510.23</v>
      </c>
      <c r="H67" s="14" t="n">
        <v>142154.7</v>
      </c>
      <c r="I67" s="25">
        <f>IF(F67="","",N(G67)+N(H67))</f>
        <v/>
      </c>
      <c r="J67" s="26">
        <f>IF(N(F67)&gt;0,I67/F67,"")</f>
        <v/>
      </c>
      <c r="K67" s="30">
        <f>IF(J67="","",IF(J67&gt;=Setup!$B$12,"Yes","No"))</f>
        <v/>
      </c>
      <c r="L67" s="30">
        <f>IF(J67="","",IF(J67&gt;1.001,"Covered &gt; extent – check",""))</f>
        <v/>
      </c>
    </row>
    <row r="68">
      <c r="A68" s="12" t="inlineStr">
        <is>
          <t>Marine ecoregion (Spalding et al. 2007)</t>
        </is>
      </c>
      <c r="B68" s="12" t="inlineStr">
        <is>
          <t>MEOW-25036</t>
        </is>
      </c>
      <c r="C68" s="12" t="inlineStr">
        <is>
          <t>Alboran Sea</t>
        </is>
      </c>
      <c r="D68" s="12" t="inlineStr"/>
      <c r="E68" s="12" t="inlineStr">
        <is>
          <t>Y</t>
        </is>
      </c>
      <c r="F68" s="14" t="n">
        <v>20858</v>
      </c>
      <c r="G68" s="14" t="n">
        <v>79.51000000000001</v>
      </c>
      <c r="H68" s="14" t="n">
        <v>0</v>
      </c>
      <c r="I68" s="25">
        <f>IF(F68="","",N(G68)+N(H68))</f>
        <v/>
      </c>
      <c r="J68" s="26">
        <f>IF(N(F68)&gt;0,I68/F68,"")</f>
        <v/>
      </c>
      <c r="K68" s="30">
        <f>IF(J68="","",IF(J68&gt;=Setup!$B$12,"Yes","No"))</f>
        <v/>
      </c>
      <c r="L68" s="30">
        <f>IF(J68="","",IF(J68&gt;1.001,"Covered &gt; extent – check",""))</f>
        <v/>
      </c>
    </row>
    <row r="69">
      <c r="A69" s="12" t="inlineStr">
        <is>
          <t>Marine ecoregion (Spalding et al. 2007)</t>
        </is>
      </c>
      <c r="B69" s="12" t="inlineStr">
        <is>
          <t>MEOW-25035</t>
        </is>
      </c>
      <c r="C69" s="12" t="inlineStr">
        <is>
          <t>Western Mediterranean</t>
        </is>
      </c>
      <c r="D69" s="12" t="inlineStr"/>
      <c r="E69" s="12" t="inlineStr">
        <is>
          <t>Y</t>
        </is>
      </c>
      <c r="F69" s="14" t="n">
        <v>110280.7</v>
      </c>
      <c r="G69" s="14" t="n">
        <v>5.09</v>
      </c>
      <c r="H69" s="14" t="n">
        <v>0</v>
      </c>
      <c r="I69" s="25">
        <f>IF(F69="","",N(G69)+N(H69))</f>
        <v/>
      </c>
      <c r="J69" s="26">
        <f>IF(N(F69)&gt;0,I69/F69,"")</f>
        <v/>
      </c>
      <c r="K69" s="30">
        <f>IF(J69="","",IF(J69&gt;=Setup!$B$12,"Yes","No"))</f>
        <v/>
      </c>
      <c r="L69" s="30">
        <f>IF(J69="","",IF(J69&gt;1.001,"Covered &gt; extent – check",""))</f>
        <v/>
      </c>
    </row>
    <row r="70">
      <c r="A70" s="12" t="n"/>
      <c r="B70" s="12" t="n"/>
      <c r="C70" s="12" t="n"/>
      <c r="D70" s="12" t="n"/>
      <c r="E70" s="12" t="n"/>
      <c r="F70" s="14" t="n"/>
      <c r="G70" s="14" t="n"/>
      <c r="H70" s="14" t="n"/>
      <c r="I70" s="25">
        <f>IF(F70="","",N(G70)+N(H70))</f>
        <v/>
      </c>
      <c r="J70" s="26">
        <f>IF(N(F70)&gt;0,I70/F70,"")</f>
        <v/>
      </c>
      <c r="K70" s="30">
        <f>IF(J70="","",IF(J70&gt;=Setup!$B$12,"Yes","No"))</f>
        <v/>
      </c>
      <c r="L70" s="30">
        <f>IF(J70="","",IF(J70&gt;1.001,"Covered &gt; extent – check",""))</f>
        <v/>
      </c>
    </row>
    <row r="71">
      <c r="A71" s="12" t="n"/>
      <c r="B71" s="12" t="n"/>
      <c r="C71" s="12" t="n"/>
      <c r="D71" s="12" t="n"/>
      <c r="E71" s="12" t="n"/>
      <c r="F71" s="14" t="n"/>
      <c r="G71" s="14" t="n"/>
      <c r="H71" s="14" t="n"/>
      <c r="I71" s="25">
        <f>IF(F71="","",N(G71)+N(H71))</f>
        <v/>
      </c>
      <c r="J71" s="26">
        <f>IF(N(F71)&gt;0,I71/F71,"")</f>
        <v/>
      </c>
      <c r="K71" s="30">
        <f>IF(J71="","",IF(J71&gt;=Setup!$B$12,"Yes","No"))</f>
        <v/>
      </c>
      <c r="L71" s="30">
        <f>IF(J71="","",IF(J71&gt;1.001,"Covered &gt; extent – check",""))</f>
        <v/>
      </c>
    </row>
    <row r="72">
      <c r="A72" s="12" t="n"/>
      <c r="B72" s="12" t="n"/>
      <c r="C72" s="12" t="n"/>
      <c r="D72" s="12" t="n"/>
      <c r="E72" s="12" t="n"/>
      <c r="F72" s="14" t="n"/>
      <c r="G72" s="14" t="n"/>
      <c r="H72" s="14" t="n"/>
      <c r="I72" s="25">
        <f>IF(F72="","",N(G72)+N(H72))</f>
        <v/>
      </c>
      <c r="J72" s="26">
        <f>IF(N(F72)&gt;0,I72/F72,"")</f>
        <v/>
      </c>
      <c r="K72" s="30">
        <f>IF(J72="","",IF(J72&gt;=Setup!$B$12,"Yes","No"))</f>
        <v/>
      </c>
      <c r="L72" s="30">
        <f>IF(J72="","",IF(J72&gt;1.001,"Covered &gt; extent – check",""))</f>
        <v/>
      </c>
    </row>
    <row r="73">
      <c r="A73" s="12" t="n"/>
      <c r="B73" s="12" t="n"/>
      <c r="C73" s="12" t="n"/>
      <c r="D73" s="12" t="n"/>
      <c r="E73" s="12" t="n"/>
      <c r="F73" s="14" t="n"/>
      <c r="G73" s="14" t="n"/>
      <c r="H73" s="14" t="n"/>
      <c r="I73" s="25">
        <f>IF(F73="","",N(G73)+N(H73))</f>
        <v/>
      </c>
      <c r="J73" s="26">
        <f>IF(N(F73)&gt;0,I73/F73,"")</f>
        <v/>
      </c>
      <c r="K73" s="30">
        <f>IF(J73="","",IF(J73&gt;=Setup!$B$12,"Yes","No"))</f>
        <v/>
      </c>
      <c r="L73" s="30">
        <f>IF(J73="","",IF(J73&gt;1.001,"Covered &gt; extent – check",""))</f>
        <v/>
      </c>
    </row>
    <row r="74">
      <c r="A74" s="12" t="n"/>
      <c r="B74" s="12" t="n"/>
      <c r="C74" s="12" t="n"/>
      <c r="D74" s="12" t="n"/>
      <c r="E74" s="12" t="n"/>
      <c r="F74" s="14" t="n"/>
      <c r="G74" s="14" t="n"/>
      <c r="H74" s="14" t="n"/>
      <c r="I74" s="25">
        <f>IF(F74="","",N(G74)+N(H74))</f>
        <v/>
      </c>
      <c r="J74" s="26">
        <f>IF(N(F74)&gt;0,I74/F74,"")</f>
        <v/>
      </c>
      <c r="K74" s="30">
        <f>IF(J74="","",IF(J74&gt;=Setup!$B$12,"Yes","No"))</f>
        <v/>
      </c>
      <c r="L74" s="30">
        <f>IF(J74="","",IF(J74&gt;1.001,"Covered &gt; extent – check",""))</f>
        <v/>
      </c>
    </row>
    <row r="75">
      <c r="A75" s="12" t="n"/>
      <c r="B75" s="12" t="n"/>
      <c r="C75" s="12" t="n"/>
      <c r="D75" s="12" t="n"/>
      <c r="E75" s="12" t="n"/>
      <c r="F75" s="14" t="n"/>
      <c r="G75" s="14" t="n"/>
      <c r="H75" s="14" t="n"/>
      <c r="I75" s="25">
        <f>IF(F75="","",N(G75)+N(H75))</f>
        <v/>
      </c>
      <c r="J75" s="26">
        <f>IF(N(F75)&gt;0,I75/F75,"")</f>
        <v/>
      </c>
      <c r="K75" s="30">
        <f>IF(J75="","",IF(J75&gt;=Setup!$B$12,"Yes","No"))</f>
        <v/>
      </c>
      <c r="L75" s="30">
        <f>IF(J75="","",IF(J75&gt;1.001,"Covered &gt; extent – check",""))</f>
        <v/>
      </c>
    </row>
    <row r="76">
      <c r="A76" s="12" t="n"/>
      <c r="B76" s="12" t="n"/>
      <c r="C76" s="12" t="n"/>
      <c r="D76" s="12" t="n"/>
      <c r="E76" s="12" t="n"/>
      <c r="F76" s="14" t="n"/>
      <c r="G76" s="14" t="n"/>
      <c r="H76" s="14" t="n"/>
      <c r="I76" s="25">
        <f>IF(F76="","",N(G76)+N(H76))</f>
        <v/>
      </c>
      <c r="J76" s="26">
        <f>IF(N(F76)&gt;0,I76/F76,"")</f>
        <v/>
      </c>
      <c r="K76" s="30">
        <f>IF(J76="","",IF(J76&gt;=Setup!$B$12,"Yes","No"))</f>
        <v/>
      </c>
      <c r="L76" s="30">
        <f>IF(J76="","",IF(J76&gt;1.001,"Covered &gt; extent – check",""))</f>
        <v/>
      </c>
    </row>
    <row r="77">
      <c r="A77" s="12" t="n"/>
      <c r="B77" s="12" t="n"/>
      <c r="C77" s="12" t="n"/>
      <c r="D77" s="12" t="n"/>
      <c r="E77" s="12" t="n"/>
      <c r="F77" s="14" t="n"/>
      <c r="G77" s="14" t="n"/>
      <c r="H77" s="14" t="n"/>
      <c r="I77" s="25">
        <f>IF(F77="","",N(G77)+N(H77))</f>
        <v/>
      </c>
      <c r="J77" s="26">
        <f>IF(N(F77)&gt;0,I77/F77,"")</f>
        <v/>
      </c>
      <c r="K77" s="30">
        <f>IF(J77="","",IF(J77&gt;=Setup!$B$12,"Yes","No"))</f>
        <v/>
      </c>
      <c r="L77" s="30">
        <f>IF(J77="","",IF(J77&gt;1.001,"Covered &gt; extent – check",""))</f>
        <v/>
      </c>
    </row>
    <row r="78">
      <c r="A78" s="12" t="n"/>
      <c r="B78" s="12" t="n"/>
      <c r="C78" s="12" t="n"/>
      <c r="D78" s="12" t="n"/>
      <c r="E78" s="12" t="n"/>
      <c r="F78" s="14" t="n"/>
      <c r="G78" s="14" t="n"/>
      <c r="H78" s="14" t="n"/>
      <c r="I78" s="25">
        <f>IF(F78="","",N(G78)+N(H78))</f>
        <v/>
      </c>
      <c r="J78" s="26">
        <f>IF(N(F78)&gt;0,I78/F78,"")</f>
        <v/>
      </c>
      <c r="K78" s="30">
        <f>IF(J78="","",IF(J78&gt;=Setup!$B$12,"Yes","No"))</f>
        <v/>
      </c>
      <c r="L78" s="30">
        <f>IF(J78="","",IF(J78&gt;1.001,"Covered &gt; extent – check",""))</f>
        <v/>
      </c>
    </row>
    <row r="79">
      <c r="A79" s="12" t="n"/>
      <c r="B79" s="12" t="n"/>
      <c r="C79" s="12" t="n"/>
      <c r="D79" s="12" t="n"/>
      <c r="E79" s="12" t="n"/>
      <c r="F79" s="14" t="n"/>
      <c r="G79" s="14" t="n"/>
      <c r="H79" s="14" t="n"/>
      <c r="I79" s="25">
        <f>IF(F79="","",N(G79)+N(H79))</f>
        <v/>
      </c>
      <c r="J79" s="26">
        <f>IF(N(F79)&gt;0,I79/F79,"")</f>
        <v/>
      </c>
      <c r="K79" s="30">
        <f>IF(J79="","",IF(J79&gt;=Setup!$B$12,"Yes","No"))</f>
        <v/>
      </c>
      <c r="L79" s="30">
        <f>IF(J79="","",IF(J79&gt;1.001,"Covered &gt; extent – check",""))</f>
        <v/>
      </c>
    </row>
    <row r="80">
      <c r="A80" s="12" t="n"/>
      <c r="B80" s="12" t="n"/>
      <c r="C80" s="12" t="n"/>
      <c r="D80" s="12" t="n"/>
      <c r="E80" s="12" t="n"/>
      <c r="F80" s="14" t="n"/>
      <c r="G80" s="14" t="n"/>
      <c r="H80" s="14" t="n"/>
      <c r="I80" s="25">
        <f>IF(F80="","",N(G80)+N(H80))</f>
        <v/>
      </c>
      <c r="J80" s="26">
        <f>IF(N(F80)&gt;0,I80/F80,"")</f>
        <v/>
      </c>
      <c r="K80" s="30">
        <f>IF(J80="","",IF(J80&gt;=Setup!$B$12,"Yes","No"))</f>
        <v/>
      </c>
      <c r="L80" s="30">
        <f>IF(J80="","",IF(J80&gt;1.001,"Covered &gt; extent – check",""))</f>
        <v/>
      </c>
    </row>
    <row r="81">
      <c r="A81" s="12" t="n"/>
      <c r="B81" s="12" t="n"/>
      <c r="C81" s="12" t="n"/>
      <c r="D81" s="12" t="n"/>
      <c r="E81" s="12" t="n"/>
      <c r="F81" s="14" t="n"/>
      <c r="G81" s="14" t="n"/>
      <c r="H81" s="14" t="n"/>
      <c r="I81" s="25">
        <f>IF(F81="","",N(G81)+N(H81))</f>
        <v/>
      </c>
      <c r="J81" s="26">
        <f>IF(N(F81)&gt;0,I81/F81,"")</f>
        <v/>
      </c>
      <c r="K81" s="30">
        <f>IF(J81="","",IF(J81&gt;=Setup!$B$12,"Yes","No"))</f>
        <v/>
      </c>
      <c r="L81" s="30">
        <f>IF(J81="","",IF(J81&gt;1.001,"Covered &gt; extent – check",""))</f>
        <v/>
      </c>
    </row>
    <row r="82">
      <c r="A82" s="12" t="n"/>
      <c r="B82" s="12" t="n"/>
      <c r="C82" s="12" t="n"/>
      <c r="D82" s="12" t="n"/>
      <c r="E82" s="12" t="n"/>
      <c r="F82" s="14" t="n"/>
      <c r="G82" s="14" t="n"/>
      <c r="H82" s="14" t="n"/>
      <c r="I82" s="25">
        <f>IF(F82="","",N(G82)+N(H82))</f>
        <v/>
      </c>
      <c r="J82" s="26">
        <f>IF(N(F82)&gt;0,I82/F82,"")</f>
        <v/>
      </c>
      <c r="K82" s="30">
        <f>IF(J82="","",IF(J82&gt;=Setup!$B$12,"Yes","No"))</f>
        <v/>
      </c>
      <c r="L82" s="30">
        <f>IF(J82="","",IF(J82&gt;1.001,"Covered &gt; extent – check",""))</f>
        <v/>
      </c>
    </row>
    <row r="83">
      <c r="A83" s="12" t="n"/>
      <c r="B83" s="12" t="n"/>
      <c r="C83" s="12" t="n"/>
      <c r="D83" s="12" t="n"/>
      <c r="E83" s="12" t="n"/>
      <c r="F83" s="14" t="n"/>
      <c r="G83" s="14" t="n"/>
      <c r="H83" s="14" t="n"/>
      <c r="I83" s="25">
        <f>IF(F83="","",N(G83)+N(H83))</f>
        <v/>
      </c>
      <c r="J83" s="26">
        <f>IF(N(F83)&gt;0,I83/F83,"")</f>
        <v/>
      </c>
      <c r="K83" s="30">
        <f>IF(J83="","",IF(J83&gt;=Setup!$B$12,"Yes","No"))</f>
        <v/>
      </c>
      <c r="L83" s="30">
        <f>IF(J83="","",IF(J83&gt;1.001,"Covered &gt; extent – check",""))</f>
        <v/>
      </c>
    </row>
    <row r="84">
      <c r="A84" s="12" t="n"/>
      <c r="B84" s="12" t="n"/>
      <c r="C84" s="12" t="n"/>
      <c r="D84" s="12" t="n"/>
      <c r="E84" s="12" t="n"/>
      <c r="F84" s="14" t="n"/>
      <c r="G84" s="14" t="n"/>
      <c r="H84" s="14" t="n"/>
      <c r="I84" s="25">
        <f>IF(F84="","",N(G84)+N(H84))</f>
        <v/>
      </c>
      <c r="J84" s="26">
        <f>IF(N(F84)&gt;0,I84/F84,"")</f>
        <v/>
      </c>
      <c r="K84" s="30">
        <f>IF(J84="","",IF(J84&gt;=Setup!$B$12,"Yes","No"))</f>
        <v/>
      </c>
      <c r="L84" s="30">
        <f>IF(J84="","",IF(J84&gt;1.001,"Covered &gt; extent – check",""))</f>
        <v/>
      </c>
    </row>
    <row r="85">
      <c r="A85" s="12" t="n"/>
      <c r="B85" s="12" t="n"/>
      <c r="C85" s="12" t="n"/>
      <c r="D85" s="12" t="n"/>
      <c r="E85" s="12" t="n"/>
      <c r="F85" s="14" t="n"/>
      <c r="G85" s="14" t="n"/>
      <c r="H85" s="14" t="n"/>
      <c r="I85" s="25">
        <f>IF(F85="","",N(G85)+N(H85))</f>
        <v/>
      </c>
      <c r="J85" s="26">
        <f>IF(N(F85)&gt;0,I85/F85,"")</f>
        <v/>
      </c>
      <c r="K85" s="30">
        <f>IF(J85="","",IF(J85&gt;=Setup!$B$12,"Yes","No"))</f>
        <v/>
      </c>
      <c r="L85" s="30">
        <f>IF(J85="","",IF(J85&gt;1.001,"Covered &gt; extent – check",""))</f>
        <v/>
      </c>
    </row>
    <row r="86">
      <c r="A86" s="12" t="n"/>
      <c r="B86" s="12" t="n"/>
      <c r="C86" s="12" t="n"/>
      <c r="D86" s="12" t="n"/>
      <c r="E86" s="12" t="n"/>
      <c r="F86" s="14" t="n"/>
      <c r="G86" s="14" t="n"/>
      <c r="H86" s="14" t="n"/>
      <c r="I86" s="25">
        <f>IF(F86="","",N(G86)+N(H86))</f>
        <v/>
      </c>
      <c r="J86" s="26">
        <f>IF(N(F86)&gt;0,I86/F86,"")</f>
        <v/>
      </c>
      <c r="K86" s="30">
        <f>IF(J86="","",IF(J86&gt;=Setup!$B$12,"Yes","No"))</f>
        <v/>
      </c>
      <c r="L86" s="30">
        <f>IF(J86="","",IF(J86&gt;1.001,"Covered &gt; extent – check",""))</f>
        <v/>
      </c>
    </row>
    <row r="87">
      <c r="A87" s="12" t="n"/>
      <c r="B87" s="12" t="n"/>
      <c r="C87" s="12" t="n"/>
      <c r="D87" s="12" t="n"/>
      <c r="E87" s="12" t="n"/>
      <c r="F87" s="14" t="n"/>
      <c r="G87" s="14" t="n"/>
      <c r="H87" s="14" t="n"/>
      <c r="I87" s="25">
        <f>IF(F87="","",N(G87)+N(H87))</f>
        <v/>
      </c>
      <c r="J87" s="26">
        <f>IF(N(F87)&gt;0,I87/F87,"")</f>
        <v/>
      </c>
      <c r="K87" s="30">
        <f>IF(J87="","",IF(J87&gt;=Setup!$B$12,"Yes","No"))</f>
        <v/>
      </c>
      <c r="L87" s="30">
        <f>IF(J87="","",IF(J87&gt;1.001,"Covered &gt; extent – check",""))</f>
        <v/>
      </c>
    </row>
    <row r="88">
      <c r="A88" s="12" t="n"/>
      <c r="B88" s="12" t="n"/>
      <c r="C88" s="12" t="n"/>
      <c r="D88" s="12" t="n"/>
      <c r="E88" s="12" t="n"/>
      <c r="F88" s="14" t="n"/>
      <c r="G88" s="14" t="n"/>
      <c r="H88" s="14" t="n"/>
      <c r="I88" s="25">
        <f>IF(F88="","",N(G88)+N(H88))</f>
        <v/>
      </c>
      <c r="J88" s="26">
        <f>IF(N(F88)&gt;0,I88/F88,"")</f>
        <v/>
      </c>
      <c r="K88" s="30">
        <f>IF(J88="","",IF(J88&gt;=Setup!$B$12,"Yes","No"))</f>
        <v/>
      </c>
      <c r="L88" s="30">
        <f>IF(J88="","",IF(J88&gt;1.001,"Covered &gt; extent – check",""))</f>
        <v/>
      </c>
    </row>
    <row r="89">
      <c r="A89" s="12" t="n"/>
      <c r="B89" s="12" t="n"/>
      <c r="C89" s="12" t="n"/>
      <c r="D89" s="12" t="n"/>
      <c r="E89" s="12" t="n"/>
      <c r="F89" s="14" t="n"/>
      <c r="G89" s="14" t="n"/>
      <c r="H89" s="14" t="n"/>
      <c r="I89" s="25">
        <f>IF(F89="","",N(G89)+N(H89))</f>
        <v/>
      </c>
      <c r="J89" s="26">
        <f>IF(N(F89)&gt;0,I89/F89,"")</f>
        <v/>
      </c>
      <c r="K89" s="30">
        <f>IF(J89="","",IF(J89&gt;=Setup!$B$12,"Yes","No"))</f>
        <v/>
      </c>
      <c r="L89" s="30">
        <f>IF(J89="","",IF(J89&gt;1.001,"Covered &gt; extent – check",""))</f>
        <v/>
      </c>
    </row>
    <row r="90">
      <c r="A90" s="12" t="n"/>
      <c r="B90" s="12" t="n"/>
      <c r="C90" s="12" t="n"/>
      <c r="D90" s="12" t="n"/>
      <c r="E90" s="12" t="n"/>
      <c r="F90" s="14" t="n"/>
      <c r="G90" s="14" t="n"/>
      <c r="H90" s="14" t="n"/>
      <c r="I90" s="25">
        <f>IF(F90="","",N(G90)+N(H90))</f>
        <v/>
      </c>
      <c r="J90" s="26">
        <f>IF(N(F90)&gt;0,I90/F90,"")</f>
        <v/>
      </c>
      <c r="K90" s="30">
        <f>IF(J90="","",IF(J90&gt;=Setup!$B$12,"Yes","No"))</f>
        <v/>
      </c>
      <c r="L90" s="30">
        <f>IF(J90="","",IF(J90&gt;1.001,"Covered &gt; extent – check",""))</f>
        <v/>
      </c>
    </row>
    <row r="91">
      <c r="A91" s="12" t="n"/>
      <c r="B91" s="12" t="n"/>
      <c r="C91" s="12" t="n"/>
      <c r="D91" s="12" t="n"/>
      <c r="E91" s="12" t="n"/>
      <c r="F91" s="14" t="n"/>
      <c r="G91" s="14" t="n"/>
      <c r="H91" s="14" t="n"/>
      <c r="I91" s="25">
        <f>IF(F91="","",N(G91)+N(H91))</f>
        <v/>
      </c>
      <c r="J91" s="26">
        <f>IF(N(F91)&gt;0,I91/F91,"")</f>
        <v/>
      </c>
      <c r="K91" s="30">
        <f>IF(J91="","",IF(J91&gt;=Setup!$B$12,"Yes","No"))</f>
        <v/>
      </c>
      <c r="L91" s="30">
        <f>IF(J91="","",IF(J91&gt;1.001,"Covered &gt; extent – check",""))</f>
        <v/>
      </c>
    </row>
    <row r="92">
      <c r="A92" s="12" t="n"/>
      <c r="B92" s="12" t="n"/>
      <c r="C92" s="12" t="n"/>
      <c r="D92" s="12" t="n"/>
      <c r="E92" s="12" t="n"/>
      <c r="F92" s="14" t="n"/>
      <c r="G92" s="14" t="n"/>
      <c r="H92" s="14" t="n"/>
      <c r="I92" s="25">
        <f>IF(F92="","",N(G92)+N(H92))</f>
        <v/>
      </c>
      <c r="J92" s="26">
        <f>IF(N(F92)&gt;0,I92/F92,"")</f>
        <v/>
      </c>
      <c r="K92" s="30">
        <f>IF(J92="","",IF(J92&gt;=Setup!$B$12,"Yes","No"))</f>
        <v/>
      </c>
      <c r="L92" s="30">
        <f>IF(J92="","",IF(J92&gt;1.001,"Covered &gt; extent – check",""))</f>
        <v/>
      </c>
    </row>
    <row r="93">
      <c r="A93" s="12" t="n"/>
      <c r="B93" s="12" t="n"/>
      <c r="C93" s="12" t="n"/>
      <c r="D93" s="12" t="n"/>
      <c r="E93" s="12" t="n"/>
      <c r="F93" s="14" t="n"/>
      <c r="G93" s="14" t="n"/>
      <c r="H93" s="14" t="n"/>
      <c r="I93" s="25">
        <f>IF(F93="","",N(G93)+N(H93))</f>
        <v/>
      </c>
      <c r="J93" s="26">
        <f>IF(N(F93)&gt;0,I93/F93,"")</f>
        <v/>
      </c>
      <c r="K93" s="30">
        <f>IF(J93="","",IF(J93&gt;=Setup!$B$12,"Yes","No"))</f>
        <v/>
      </c>
      <c r="L93" s="30">
        <f>IF(J93="","",IF(J93&gt;1.001,"Covered &gt; extent – check",""))</f>
        <v/>
      </c>
    </row>
    <row r="94">
      <c r="A94" s="12" t="n"/>
      <c r="B94" s="12" t="n"/>
      <c r="C94" s="12" t="n"/>
      <c r="D94" s="12" t="n"/>
      <c r="E94" s="12" t="n"/>
      <c r="F94" s="14" t="n"/>
      <c r="G94" s="14" t="n"/>
      <c r="H94" s="14" t="n"/>
      <c r="I94" s="25">
        <f>IF(F94="","",N(G94)+N(H94))</f>
        <v/>
      </c>
      <c r="J94" s="26">
        <f>IF(N(F94)&gt;0,I94/F94,"")</f>
        <v/>
      </c>
      <c r="K94" s="30">
        <f>IF(J94="","",IF(J94&gt;=Setup!$B$12,"Yes","No"))</f>
        <v/>
      </c>
      <c r="L94" s="30">
        <f>IF(J94="","",IF(J94&gt;1.001,"Covered &gt; extent – check",""))</f>
        <v/>
      </c>
    </row>
    <row r="95">
      <c r="A95" s="12" t="n"/>
      <c r="B95" s="12" t="n"/>
      <c r="C95" s="12" t="n"/>
      <c r="D95" s="12" t="n"/>
      <c r="E95" s="12" t="n"/>
      <c r="F95" s="14" t="n"/>
      <c r="G95" s="14" t="n"/>
      <c r="H95" s="14" t="n"/>
      <c r="I95" s="25">
        <f>IF(F95="","",N(G95)+N(H95))</f>
        <v/>
      </c>
      <c r="J95" s="26">
        <f>IF(N(F95)&gt;0,I95/F95,"")</f>
        <v/>
      </c>
      <c r="K95" s="30">
        <f>IF(J95="","",IF(J95&gt;=Setup!$B$12,"Yes","No"))</f>
        <v/>
      </c>
      <c r="L95" s="30">
        <f>IF(J95="","",IF(J95&gt;1.001,"Covered &gt; extent – check",""))</f>
        <v/>
      </c>
    </row>
    <row r="96">
      <c r="A96" s="12" t="n"/>
      <c r="B96" s="12" t="n"/>
      <c r="C96" s="12" t="n"/>
      <c r="D96" s="12" t="n"/>
      <c r="E96" s="12" t="n"/>
      <c r="F96" s="14" t="n"/>
      <c r="G96" s="14" t="n"/>
      <c r="H96" s="14" t="n"/>
      <c r="I96" s="25">
        <f>IF(F96="","",N(G96)+N(H96))</f>
        <v/>
      </c>
      <c r="J96" s="26">
        <f>IF(N(F96)&gt;0,I96/F96,"")</f>
        <v/>
      </c>
      <c r="K96" s="30">
        <f>IF(J96="","",IF(J96&gt;=Setup!$B$12,"Yes","No"))</f>
        <v/>
      </c>
      <c r="L96" s="30">
        <f>IF(J96="","",IF(J96&gt;1.001,"Covered &gt; extent – check",""))</f>
        <v/>
      </c>
    </row>
    <row r="97">
      <c r="A97" s="12" t="n"/>
      <c r="B97" s="12" t="n"/>
      <c r="C97" s="12" t="n"/>
      <c r="D97" s="12" t="n"/>
      <c r="E97" s="12" t="n"/>
      <c r="F97" s="14" t="n"/>
      <c r="G97" s="14" t="n"/>
      <c r="H97" s="14" t="n"/>
      <c r="I97" s="25">
        <f>IF(F97="","",N(G97)+N(H97))</f>
        <v/>
      </c>
      <c r="J97" s="26">
        <f>IF(N(F97)&gt;0,I97/F97,"")</f>
        <v/>
      </c>
      <c r="K97" s="30">
        <f>IF(J97="","",IF(J97&gt;=Setup!$B$12,"Yes","No"))</f>
        <v/>
      </c>
      <c r="L97" s="30">
        <f>IF(J97="","",IF(J97&gt;1.001,"Covered &gt; extent – check",""))</f>
        <v/>
      </c>
    </row>
    <row r="98">
      <c r="A98" s="12" t="n"/>
      <c r="B98" s="12" t="n"/>
      <c r="C98" s="12" t="n"/>
      <c r="D98" s="12" t="n"/>
      <c r="E98" s="12" t="n"/>
      <c r="F98" s="14" t="n"/>
      <c r="G98" s="14" t="n"/>
      <c r="H98" s="14" t="n"/>
      <c r="I98" s="25">
        <f>IF(F98="","",N(G98)+N(H98))</f>
        <v/>
      </c>
      <c r="J98" s="26">
        <f>IF(N(F98)&gt;0,I98/F98,"")</f>
        <v/>
      </c>
      <c r="K98" s="30">
        <f>IF(J98="","",IF(J98&gt;=Setup!$B$12,"Yes","No"))</f>
        <v/>
      </c>
      <c r="L98" s="30">
        <f>IF(J98="","",IF(J98&gt;1.001,"Covered &gt; extent – check",""))</f>
        <v/>
      </c>
    </row>
    <row r="99">
      <c r="A99" s="12" t="n"/>
      <c r="B99" s="12" t="n"/>
      <c r="C99" s="12" t="n"/>
      <c r="D99" s="12" t="n"/>
      <c r="E99" s="12" t="n"/>
      <c r="F99" s="14" t="n"/>
      <c r="G99" s="14" t="n"/>
      <c r="H99" s="14" t="n"/>
      <c r="I99" s="25">
        <f>IF(F99="","",N(G99)+N(H99))</f>
        <v/>
      </c>
      <c r="J99" s="26">
        <f>IF(N(F99)&gt;0,I99/F99,"")</f>
        <v/>
      </c>
      <c r="K99" s="30">
        <f>IF(J99="","",IF(J99&gt;=Setup!$B$12,"Yes","No"))</f>
        <v/>
      </c>
      <c r="L99" s="30">
        <f>IF(J99="","",IF(J99&gt;1.001,"Covered &gt; extent – check",""))</f>
        <v/>
      </c>
    </row>
    <row r="100">
      <c r="A100" s="12" t="n"/>
      <c r="B100" s="12" t="n"/>
      <c r="C100" s="12" t="n"/>
      <c r="D100" s="12" t="n"/>
      <c r="E100" s="12" t="n"/>
      <c r="F100" s="14" t="n"/>
      <c r="G100" s="14" t="n"/>
      <c r="H100" s="14" t="n"/>
      <c r="I100" s="25">
        <f>IF(F100="","",N(G100)+N(H100))</f>
        <v/>
      </c>
      <c r="J100" s="26">
        <f>IF(N(F100)&gt;0,I100/F100,"")</f>
        <v/>
      </c>
      <c r="K100" s="30">
        <f>IF(J100="","",IF(J100&gt;=Setup!$B$12,"Yes","No"))</f>
        <v/>
      </c>
      <c r="L100" s="30">
        <f>IF(J100="","",IF(J100&gt;1.001,"Covered &gt; extent – check",""))</f>
        <v/>
      </c>
    </row>
    <row r="101">
      <c r="A101" s="12" t="n"/>
      <c r="B101" s="12" t="n"/>
      <c r="C101" s="12" t="n"/>
      <c r="D101" s="12" t="n"/>
      <c r="E101" s="12" t="n"/>
      <c r="F101" s="14" t="n"/>
      <c r="G101" s="14" t="n"/>
      <c r="H101" s="14" t="n"/>
      <c r="I101" s="25">
        <f>IF(F101="","",N(G101)+N(H101))</f>
        <v/>
      </c>
      <c r="J101" s="26">
        <f>IF(N(F101)&gt;0,I101/F101,"")</f>
        <v/>
      </c>
      <c r="K101" s="30">
        <f>IF(J101="","",IF(J101&gt;=Setup!$B$12,"Yes","No"))</f>
        <v/>
      </c>
      <c r="L101" s="30">
        <f>IF(J101="","",IF(J101&gt;1.001,"Covered &gt; extent – check",""))</f>
        <v/>
      </c>
    </row>
    <row r="102">
      <c r="A102" s="12" t="n"/>
      <c r="B102" s="12" t="n"/>
      <c r="C102" s="12" t="n"/>
      <c r="D102" s="12" t="n"/>
      <c r="E102" s="12" t="n"/>
      <c r="F102" s="14" t="n"/>
      <c r="G102" s="14" t="n"/>
      <c r="H102" s="14" t="n"/>
      <c r="I102" s="25">
        <f>IF(F102="","",N(G102)+N(H102))</f>
        <v/>
      </c>
      <c r="J102" s="26">
        <f>IF(N(F102)&gt;0,I102/F102,"")</f>
        <v/>
      </c>
      <c r="K102" s="30">
        <f>IF(J102="","",IF(J102&gt;=Setup!$B$12,"Yes","No"))</f>
        <v/>
      </c>
      <c r="L102" s="30">
        <f>IF(J102="","",IF(J102&gt;1.001,"Covered &gt; extent – check",""))</f>
        <v/>
      </c>
    </row>
    <row r="103">
      <c r="A103" s="12" t="n"/>
      <c r="B103" s="12" t="n"/>
      <c r="C103" s="12" t="n"/>
      <c r="D103" s="12" t="n"/>
      <c r="E103" s="12" t="n"/>
      <c r="F103" s="14" t="n"/>
      <c r="G103" s="14" t="n"/>
      <c r="H103" s="14" t="n"/>
      <c r="I103" s="25">
        <f>IF(F103="","",N(G103)+N(H103))</f>
        <v/>
      </c>
      <c r="J103" s="26">
        <f>IF(N(F103)&gt;0,I103/F103,"")</f>
        <v/>
      </c>
      <c r="K103" s="30">
        <f>IF(J103="","",IF(J103&gt;=Setup!$B$12,"Yes","No"))</f>
        <v/>
      </c>
      <c r="L103" s="30">
        <f>IF(J103="","",IF(J103&gt;1.001,"Covered &gt; extent – check",""))</f>
        <v/>
      </c>
    </row>
    <row r="104">
      <c r="A104" s="12" t="n"/>
      <c r="B104" s="12" t="n"/>
      <c r="C104" s="12" t="n"/>
      <c r="D104" s="12" t="n"/>
      <c r="E104" s="12" t="n"/>
      <c r="F104" s="14" t="n"/>
      <c r="G104" s="14" t="n"/>
      <c r="H104" s="14" t="n"/>
      <c r="I104" s="25">
        <f>IF(F104="","",N(G104)+N(H104))</f>
        <v/>
      </c>
      <c r="J104" s="26">
        <f>IF(N(F104)&gt;0,I104/F104,"")</f>
        <v/>
      </c>
      <c r="K104" s="30">
        <f>IF(J104="","",IF(J104&gt;=Setup!$B$12,"Yes","No"))</f>
        <v/>
      </c>
      <c r="L104" s="30">
        <f>IF(J104="","",IF(J104&gt;1.001,"Covered &gt; extent – check",""))</f>
        <v/>
      </c>
    </row>
    <row r="105">
      <c r="A105" s="12" t="n"/>
      <c r="B105" s="12" t="n"/>
      <c r="C105" s="12" t="n"/>
      <c r="D105" s="12" t="n"/>
      <c r="E105" s="12" t="n"/>
      <c r="F105" s="14" t="n"/>
      <c r="G105" s="14" t="n"/>
      <c r="H105" s="14" t="n"/>
      <c r="I105" s="25">
        <f>IF(F105="","",N(G105)+N(H105))</f>
        <v/>
      </c>
      <c r="J105" s="26">
        <f>IF(N(F105)&gt;0,I105/F105,"")</f>
        <v/>
      </c>
      <c r="K105" s="30">
        <f>IF(J105="","",IF(J105&gt;=Setup!$B$12,"Yes","No"))</f>
        <v/>
      </c>
      <c r="L105" s="30">
        <f>IF(J105="","",IF(J105&gt;1.001,"Covered &gt; extent – check",""))</f>
        <v/>
      </c>
    </row>
    <row r="106">
      <c r="A106" s="12" t="n"/>
      <c r="B106" s="12" t="n"/>
      <c r="C106" s="12" t="n"/>
      <c r="D106" s="12" t="n"/>
      <c r="E106" s="12" t="n"/>
      <c r="F106" s="14" t="n"/>
      <c r="G106" s="14" t="n"/>
      <c r="H106" s="14" t="n"/>
      <c r="I106" s="25">
        <f>IF(F106="","",N(G106)+N(H106))</f>
        <v/>
      </c>
      <c r="J106" s="26">
        <f>IF(N(F106)&gt;0,I106/F106,"")</f>
        <v/>
      </c>
      <c r="K106" s="30">
        <f>IF(J106="","",IF(J106&gt;=Setup!$B$12,"Yes","No"))</f>
        <v/>
      </c>
      <c r="L106" s="30">
        <f>IF(J106="","",IF(J106&gt;1.001,"Covered &gt; extent – check",""))</f>
        <v/>
      </c>
    </row>
    <row r="107">
      <c r="A107" s="12" t="n"/>
      <c r="B107" s="12" t="n"/>
      <c r="C107" s="12" t="n"/>
      <c r="D107" s="12" t="n"/>
      <c r="E107" s="12" t="n"/>
      <c r="F107" s="14" t="n"/>
      <c r="G107" s="14" t="n"/>
      <c r="H107" s="14" t="n"/>
      <c r="I107" s="25">
        <f>IF(F107="","",N(G107)+N(H107))</f>
        <v/>
      </c>
      <c r="J107" s="26">
        <f>IF(N(F107)&gt;0,I107/F107,"")</f>
        <v/>
      </c>
      <c r="K107" s="30">
        <f>IF(J107="","",IF(J107&gt;=Setup!$B$12,"Yes","No"))</f>
        <v/>
      </c>
      <c r="L107" s="30">
        <f>IF(J107="","",IF(J107&gt;1.001,"Covered &gt; extent – check",""))</f>
        <v/>
      </c>
    </row>
    <row r="108">
      <c r="A108" s="12" t="n"/>
      <c r="B108" s="12" t="n"/>
      <c r="C108" s="12" t="n"/>
      <c r="D108" s="12" t="n"/>
      <c r="E108" s="12" t="n"/>
      <c r="F108" s="14" t="n"/>
      <c r="G108" s="14" t="n"/>
      <c r="H108" s="14" t="n"/>
      <c r="I108" s="25">
        <f>IF(F108="","",N(G108)+N(H108))</f>
        <v/>
      </c>
      <c r="J108" s="26">
        <f>IF(N(F108)&gt;0,I108/F108,"")</f>
        <v/>
      </c>
      <c r="K108" s="30">
        <f>IF(J108="","",IF(J108&gt;=Setup!$B$12,"Yes","No"))</f>
        <v/>
      </c>
      <c r="L108" s="30">
        <f>IF(J108="","",IF(J108&gt;1.001,"Covered &gt; extent – check",""))</f>
        <v/>
      </c>
    </row>
    <row r="109">
      <c r="A109" s="12" t="n"/>
      <c r="B109" s="12" t="n"/>
      <c r="C109" s="12" t="n"/>
      <c r="D109" s="12" t="n"/>
      <c r="E109" s="12" t="n"/>
      <c r="F109" s="14" t="n"/>
      <c r="G109" s="14" t="n"/>
      <c r="H109" s="14" t="n"/>
      <c r="I109" s="25">
        <f>IF(F109="","",N(G109)+N(H109))</f>
        <v/>
      </c>
      <c r="J109" s="26">
        <f>IF(N(F109)&gt;0,I109/F109,"")</f>
        <v/>
      </c>
      <c r="K109" s="30">
        <f>IF(J109="","",IF(J109&gt;=Setup!$B$12,"Yes","No"))</f>
        <v/>
      </c>
      <c r="L109" s="30">
        <f>IF(J109="","",IF(J109&gt;1.001,"Covered &gt; extent – check",""))</f>
        <v/>
      </c>
    </row>
    <row r="110">
      <c r="A110" s="12" t="n"/>
      <c r="B110" s="12" t="n"/>
      <c r="C110" s="12" t="n"/>
      <c r="D110" s="12" t="n"/>
      <c r="E110" s="12" t="n"/>
      <c r="F110" s="14" t="n"/>
      <c r="G110" s="14" t="n"/>
      <c r="H110" s="14" t="n"/>
      <c r="I110" s="25">
        <f>IF(F110="","",N(G110)+N(H110))</f>
        <v/>
      </c>
      <c r="J110" s="26">
        <f>IF(N(F110)&gt;0,I110/F110,"")</f>
        <v/>
      </c>
      <c r="K110" s="30">
        <f>IF(J110="","",IF(J110&gt;=Setup!$B$12,"Yes","No"))</f>
        <v/>
      </c>
      <c r="L110" s="30">
        <f>IF(J110="","",IF(J110&gt;1.001,"Covered &gt; extent – check",""))</f>
        <v/>
      </c>
    </row>
    <row r="111">
      <c r="A111" s="12" t="n"/>
      <c r="B111" s="12" t="n"/>
      <c r="C111" s="12" t="n"/>
      <c r="D111" s="12" t="n"/>
      <c r="E111" s="12" t="n"/>
      <c r="F111" s="14" t="n"/>
      <c r="G111" s="14" t="n"/>
      <c r="H111" s="14" t="n"/>
      <c r="I111" s="25">
        <f>IF(F111="","",N(G111)+N(H111))</f>
        <v/>
      </c>
      <c r="J111" s="26">
        <f>IF(N(F111)&gt;0,I111/F111,"")</f>
        <v/>
      </c>
      <c r="K111" s="30">
        <f>IF(J111="","",IF(J111&gt;=Setup!$B$12,"Yes","No"))</f>
        <v/>
      </c>
      <c r="L111" s="30">
        <f>IF(J111="","",IF(J111&gt;1.001,"Covered &gt; extent – check",""))</f>
        <v/>
      </c>
    </row>
    <row r="112">
      <c r="A112" s="12" t="n"/>
      <c r="B112" s="12" t="n"/>
      <c r="C112" s="12" t="n"/>
      <c r="D112" s="12" t="n"/>
      <c r="E112" s="12" t="n"/>
      <c r="F112" s="14" t="n"/>
      <c r="G112" s="14" t="n"/>
      <c r="H112" s="14" t="n"/>
      <c r="I112" s="25">
        <f>IF(F112="","",N(G112)+N(H112))</f>
        <v/>
      </c>
      <c r="J112" s="26">
        <f>IF(N(F112)&gt;0,I112/F112,"")</f>
        <v/>
      </c>
      <c r="K112" s="30">
        <f>IF(J112="","",IF(J112&gt;=Setup!$B$12,"Yes","No"))</f>
        <v/>
      </c>
      <c r="L112" s="30">
        <f>IF(J112="","",IF(J112&gt;1.001,"Covered &gt; extent – check",""))</f>
        <v/>
      </c>
    </row>
    <row r="113">
      <c r="A113" s="12" t="n"/>
      <c r="B113" s="12" t="n"/>
      <c r="C113" s="12" t="n"/>
      <c r="D113" s="12" t="n"/>
      <c r="E113" s="12" t="n"/>
      <c r="F113" s="14" t="n"/>
      <c r="G113" s="14" t="n"/>
      <c r="H113" s="14" t="n"/>
      <c r="I113" s="25">
        <f>IF(F113="","",N(G113)+N(H113))</f>
        <v/>
      </c>
      <c r="J113" s="26">
        <f>IF(N(F113)&gt;0,I113/F113,"")</f>
        <v/>
      </c>
      <c r="K113" s="30">
        <f>IF(J113="","",IF(J113&gt;=Setup!$B$12,"Yes","No"))</f>
        <v/>
      </c>
      <c r="L113" s="30">
        <f>IF(J113="","",IF(J113&gt;1.001,"Covered &gt; extent – check",""))</f>
        <v/>
      </c>
    </row>
    <row r="114">
      <c r="A114" s="12" t="n"/>
      <c r="B114" s="12" t="n"/>
      <c r="C114" s="12" t="n"/>
      <c r="D114" s="12" t="n"/>
      <c r="E114" s="12" t="n"/>
      <c r="F114" s="14" t="n"/>
      <c r="G114" s="14" t="n"/>
      <c r="H114" s="14" t="n"/>
      <c r="I114" s="25">
        <f>IF(F114="","",N(G114)+N(H114))</f>
        <v/>
      </c>
      <c r="J114" s="26">
        <f>IF(N(F114)&gt;0,I114/F114,"")</f>
        <v/>
      </c>
      <c r="K114" s="30">
        <f>IF(J114="","",IF(J114&gt;=Setup!$B$12,"Yes","No"))</f>
        <v/>
      </c>
      <c r="L114" s="30">
        <f>IF(J114="","",IF(J114&gt;1.001,"Covered &gt; extent – check",""))</f>
        <v/>
      </c>
    </row>
    <row r="115">
      <c r="A115" s="12" t="n"/>
      <c r="B115" s="12" t="n"/>
      <c r="C115" s="12" t="n"/>
      <c r="D115" s="12" t="n"/>
      <c r="E115" s="12" t="n"/>
      <c r="F115" s="14" t="n"/>
      <c r="G115" s="14" t="n"/>
      <c r="H115" s="14" t="n"/>
      <c r="I115" s="25">
        <f>IF(F115="","",N(G115)+N(H115))</f>
        <v/>
      </c>
      <c r="J115" s="26">
        <f>IF(N(F115)&gt;0,I115/F115,"")</f>
        <v/>
      </c>
      <c r="K115" s="30">
        <f>IF(J115="","",IF(J115&gt;=Setup!$B$12,"Yes","No"))</f>
        <v/>
      </c>
      <c r="L115" s="30">
        <f>IF(J115="","",IF(J115&gt;1.001,"Covered &gt; extent – check",""))</f>
        <v/>
      </c>
    </row>
    <row r="116">
      <c r="A116" s="12" t="n"/>
      <c r="B116" s="12" t="n"/>
      <c r="C116" s="12" t="n"/>
      <c r="D116" s="12" t="n"/>
      <c r="E116" s="12" t="n"/>
      <c r="F116" s="14" t="n"/>
      <c r="G116" s="14" t="n"/>
      <c r="H116" s="14" t="n"/>
      <c r="I116" s="25">
        <f>IF(F116="","",N(G116)+N(H116))</f>
        <v/>
      </c>
      <c r="J116" s="26">
        <f>IF(N(F116)&gt;0,I116/F116,"")</f>
        <v/>
      </c>
      <c r="K116" s="30">
        <f>IF(J116="","",IF(J116&gt;=Setup!$B$12,"Yes","No"))</f>
        <v/>
      </c>
      <c r="L116" s="30">
        <f>IF(J116="","",IF(J116&gt;1.001,"Covered &gt; extent – check",""))</f>
        <v/>
      </c>
    </row>
    <row r="117">
      <c r="A117" s="12" t="n"/>
      <c r="B117" s="12" t="n"/>
      <c r="C117" s="12" t="n"/>
      <c r="D117" s="12" t="n"/>
      <c r="E117" s="12" t="n"/>
      <c r="F117" s="14" t="n"/>
      <c r="G117" s="14" t="n"/>
      <c r="H117" s="14" t="n"/>
      <c r="I117" s="25">
        <f>IF(F117="","",N(G117)+N(H117))</f>
        <v/>
      </c>
      <c r="J117" s="26">
        <f>IF(N(F117)&gt;0,I117/F117,"")</f>
        <v/>
      </c>
      <c r="K117" s="30">
        <f>IF(J117="","",IF(J117&gt;=Setup!$B$12,"Yes","No"))</f>
        <v/>
      </c>
      <c r="L117" s="30">
        <f>IF(J117="","",IF(J117&gt;1.001,"Covered &gt; extent – check",""))</f>
        <v/>
      </c>
    </row>
    <row r="118">
      <c r="A118" s="12" t="n"/>
      <c r="B118" s="12" t="n"/>
      <c r="C118" s="12" t="n"/>
      <c r="D118" s="12" t="n"/>
      <c r="E118" s="12" t="n"/>
      <c r="F118" s="14" t="n"/>
      <c r="G118" s="14" t="n"/>
      <c r="H118" s="14" t="n"/>
      <c r="I118" s="25">
        <f>IF(F118="","",N(G118)+N(H118))</f>
        <v/>
      </c>
      <c r="J118" s="26">
        <f>IF(N(F118)&gt;0,I118/F118,"")</f>
        <v/>
      </c>
      <c r="K118" s="30">
        <f>IF(J118="","",IF(J118&gt;=Setup!$B$12,"Yes","No"))</f>
        <v/>
      </c>
      <c r="L118" s="30">
        <f>IF(J118="","",IF(J118&gt;1.001,"Covered &gt; extent – check",""))</f>
        <v/>
      </c>
    </row>
    <row r="119">
      <c r="A119" s="12" t="n"/>
      <c r="B119" s="12" t="n"/>
      <c r="C119" s="12" t="n"/>
      <c r="D119" s="12" t="n"/>
      <c r="E119" s="12" t="n"/>
      <c r="F119" s="14" t="n"/>
      <c r="G119" s="14" t="n"/>
      <c r="H119" s="14" t="n"/>
      <c r="I119" s="25">
        <f>IF(F119="","",N(G119)+N(H119))</f>
        <v/>
      </c>
      <c r="J119" s="26">
        <f>IF(N(F119)&gt;0,I119/F119,"")</f>
        <v/>
      </c>
      <c r="K119" s="30">
        <f>IF(J119="","",IF(J119&gt;=Setup!$B$12,"Yes","No"))</f>
        <v/>
      </c>
      <c r="L119" s="30">
        <f>IF(J119="","",IF(J119&gt;1.001,"Covered &gt; extent – check",""))</f>
        <v/>
      </c>
    </row>
    <row r="120">
      <c r="A120" s="12" t="n"/>
      <c r="B120" s="12" t="n"/>
      <c r="C120" s="12" t="n"/>
      <c r="D120" s="12" t="n"/>
      <c r="E120" s="12" t="n"/>
      <c r="F120" s="14" t="n"/>
      <c r="G120" s="14" t="n"/>
      <c r="H120" s="14" t="n"/>
      <c r="I120" s="25">
        <f>IF(F120="","",N(G120)+N(H120))</f>
        <v/>
      </c>
      <c r="J120" s="26">
        <f>IF(N(F120)&gt;0,I120/F120,"")</f>
        <v/>
      </c>
      <c r="K120" s="30">
        <f>IF(J120="","",IF(J120&gt;=Setup!$B$12,"Yes","No"))</f>
        <v/>
      </c>
      <c r="L120" s="30">
        <f>IF(J120="","",IF(J120&gt;1.001,"Covered &gt; extent – check",""))</f>
        <v/>
      </c>
    </row>
    <row r="121">
      <c r="A121" s="12" t="n"/>
      <c r="B121" s="12" t="n"/>
      <c r="C121" s="12" t="n"/>
      <c r="D121" s="12" t="n"/>
      <c r="E121" s="12" t="n"/>
      <c r="F121" s="14" t="n"/>
      <c r="G121" s="14" t="n"/>
      <c r="H121" s="14" t="n"/>
      <c r="I121" s="25">
        <f>IF(F121="","",N(G121)+N(H121))</f>
        <v/>
      </c>
      <c r="J121" s="26">
        <f>IF(N(F121)&gt;0,I121/F121,"")</f>
        <v/>
      </c>
      <c r="K121" s="30">
        <f>IF(J121="","",IF(J121&gt;=Setup!$B$12,"Yes","No"))</f>
        <v/>
      </c>
      <c r="L121" s="30">
        <f>IF(J121="","",IF(J121&gt;1.001,"Covered &gt; extent – check",""))</f>
        <v/>
      </c>
    </row>
    <row r="122">
      <c r="A122" s="12" t="n"/>
      <c r="B122" s="12" t="n"/>
      <c r="C122" s="12" t="n"/>
      <c r="D122" s="12" t="n"/>
      <c r="E122" s="12" t="n"/>
      <c r="F122" s="14" t="n"/>
      <c r="G122" s="14" t="n"/>
      <c r="H122" s="14" t="n"/>
      <c r="I122" s="25">
        <f>IF(F122="","",N(G122)+N(H122))</f>
        <v/>
      </c>
      <c r="J122" s="26">
        <f>IF(N(F122)&gt;0,I122/F122,"")</f>
        <v/>
      </c>
      <c r="K122" s="30">
        <f>IF(J122="","",IF(J122&gt;=Setup!$B$12,"Yes","No"))</f>
        <v/>
      </c>
      <c r="L122" s="30">
        <f>IF(J122="","",IF(J122&gt;1.001,"Covered &gt; extent – check",""))</f>
        <v/>
      </c>
    </row>
    <row r="123">
      <c r="A123" s="12" t="n"/>
      <c r="B123" s="12" t="n"/>
      <c r="C123" s="12" t="n"/>
      <c r="D123" s="12" t="n"/>
      <c r="E123" s="12" t="n"/>
      <c r="F123" s="14" t="n"/>
      <c r="G123" s="14" t="n"/>
      <c r="H123" s="14" t="n"/>
      <c r="I123" s="25">
        <f>IF(F123="","",N(G123)+N(H123))</f>
        <v/>
      </c>
      <c r="J123" s="26">
        <f>IF(N(F123)&gt;0,I123/F123,"")</f>
        <v/>
      </c>
      <c r="K123" s="30">
        <f>IF(J123="","",IF(J123&gt;=Setup!$B$12,"Yes","No"))</f>
        <v/>
      </c>
      <c r="L123" s="30">
        <f>IF(J123="","",IF(J123&gt;1.001,"Covered &gt; extent – check",""))</f>
        <v/>
      </c>
    </row>
    <row r="124">
      <c r="A124" s="12" t="n"/>
      <c r="B124" s="12" t="n"/>
      <c r="C124" s="12" t="n"/>
      <c r="D124" s="12" t="n"/>
      <c r="E124" s="12" t="n"/>
      <c r="F124" s="14" t="n"/>
      <c r="G124" s="14" t="n"/>
      <c r="H124" s="14" t="n"/>
      <c r="I124" s="25">
        <f>IF(F124="","",N(G124)+N(H124))</f>
        <v/>
      </c>
      <c r="J124" s="26">
        <f>IF(N(F124)&gt;0,I124/F124,"")</f>
        <v/>
      </c>
      <c r="K124" s="30">
        <f>IF(J124="","",IF(J124&gt;=Setup!$B$12,"Yes","No"))</f>
        <v/>
      </c>
      <c r="L124" s="30">
        <f>IF(J124="","",IF(J124&gt;1.001,"Covered &gt; extent – check",""))</f>
        <v/>
      </c>
    </row>
    <row r="125">
      <c r="A125" s="12" t="n"/>
      <c r="B125" s="12" t="n"/>
      <c r="C125" s="12" t="n"/>
      <c r="D125" s="12" t="n"/>
      <c r="E125" s="12" t="n"/>
      <c r="F125" s="14" t="n"/>
      <c r="G125" s="14" t="n"/>
      <c r="H125" s="14" t="n"/>
      <c r="I125" s="25">
        <f>IF(F125="","",N(G125)+N(H125))</f>
        <v/>
      </c>
      <c r="J125" s="26">
        <f>IF(N(F125)&gt;0,I125/F125,"")</f>
        <v/>
      </c>
      <c r="K125" s="30">
        <f>IF(J125="","",IF(J125&gt;=Setup!$B$12,"Yes","No"))</f>
        <v/>
      </c>
      <c r="L125" s="30">
        <f>IF(J125="","",IF(J125&gt;1.001,"Covered &gt; extent – check",""))</f>
        <v/>
      </c>
    </row>
    <row r="126">
      <c r="A126" s="12" t="n"/>
      <c r="B126" s="12" t="n"/>
      <c r="C126" s="12" t="n"/>
      <c r="D126" s="12" t="n"/>
      <c r="E126" s="12" t="n"/>
      <c r="F126" s="14" t="n"/>
      <c r="G126" s="14" t="n"/>
      <c r="H126" s="14" t="n"/>
      <c r="I126" s="25">
        <f>IF(F126="","",N(G126)+N(H126))</f>
        <v/>
      </c>
      <c r="J126" s="26">
        <f>IF(N(F126)&gt;0,I126/F126,"")</f>
        <v/>
      </c>
      <c r="K126" s="30">
        <f>IF(J126="","",IF(J126&gt;=Setup!$B$12,"Yes","No"))</f>
        <v/>
      </c>
      <c r="L126" s="30">
        <f>IF(J126="","",IF(J126&gt;1.001,"Covered &gt; extent – check",""))</f>
        <v/>
      </c>
    </row>
    <row r="127">
      <c r="A127" s="12" t="n"/>
      <c r="B127" s="12" t="n"/>
      <c r="C127" s="12" t="n"/>
      <c r="D127" s="12" t="n"/>
      <c r="E127" s="12" t="n"/>
      <c r="F127" s="14" t="n"/>
      <c r="G127" s="14" t="n"/>
      <c r="H127" s="14" t="n"/>
      <c r="I127" s="25">
        <f>IF(F127="","",N(G127)+N(H127))</f>
        <v/>
      </c>
      <c r="J127" s="26">
        <f>IF(N(F127)&gt;0,I127/F127,"")</f>
        <v/>
      </c>
      <c r="K127" s="30">
        <f>IF(J127="","",IF(J127&gt;=Setup!$B$12,"Yes","No"))</f>
        <v/>
      </c>
      <c r="L127" s="30">
        <f>IF(J127="","",IF(J127&gt;1.001,"Covered &gt; extent – check",""))</f>
        <v/>
      </c>
    </row>
    <row r="128">
      <c r="A128" s="12" t="n"/>
      <c r="B128" s="12" t="n"/>
      <c r="C128" s="12" t="n"/>
      <c r="D128" s="12" t="n"/>
      <c r="E128" s="12" t="n"/>
      <c r="F128" s="14" t="n"/>
      <c r="G128" s="14" t="n"/>
      <c r="H128" s="14" t="n"/>
      <c r="I128" s="25">
        <f>IF(F128="","",N(G128)+N(H128))</f>
        <v/>
      </c>
      <c r="J128" s="26">
        <f>IF(N(F128)&gt;0,I128/F128,"")</f>
        <v/>
      </c>
      <c r="K128" s="30">
        <f>IF(J128="","",IF(J128&gt;=Setup!$B$12,"Yes","No"))</f>
        <v/>
      </c>
      <c r="L128" s="30">
        <f>IF(J128="","",IF(J128&gt;1.001,"Covered &gt; extent – check",""))</f>
        <v/>
      </c>
    </row>
    <row r="129">
      <c r="A129" s="12" t="n"/>
      <c r="B129" s="12" t="n"/>
      <c r="C129" s="12" t="n"/>
      <c r="D129" s="12" t="n"/>
      <c r="E129" s="12" t="n"/>
      <c r="F129" s="14" t="n"/>
      <c r="G129" s="14" t="n"/>
      <c r="H129" s="14" t="n"/>
      <c r="I129" s="25">
        <f>IF(F129="","",N(G129)+N(H129))</f>
        <v/>
      </c>
      <c r="J129" s="26">
        <f>IF(N(F129)&gt;0,I129/F129,"")</f>
        <v/>
      </c>
      <c r="K129" s="30">
        <f>IF(J129="","",IF(J129&gt;=Setup!$B$12,"Yes","No"))</f>
        <v/>
      </c>
      <c r="L129" s="30">
        <f>IF(J129="","",IF(J129&gt;1.001,"Covered &gt; extent – check",""))</f>
        <v/>
      </c>
    </row>
    <row r="130">
      <c r="A130" s="12" t="n"/>
      <c r="B130" s="12" t="n"/>
      <c r="C130" s="12" t="n"/>
      <c r="D130" s="12" t="n"/>
      <c r="E130" s="12" t="n"/>
      <c r="F130" s="14" t="n"/>
      <c r="G130" s="14" t="n"/>
      <c r="H130" s="14" t="n"/>
      <c r="I130" s="25">
        <f>IF(F130="","",N(G130)+N(H130))</f>
        <v/>
      </c>
      <c r="J130" s="26">
        <f>IF(N(F130)&gt;0,I130/F130,"")</f>
        <v/>
      </c>
      <c r="K130" s="30">
        <f>IF(J130="","",IF(J130&gt;=Setup!$B$12,"Yes","No"))</f>
        <v/>
      </c>
      <c r="L130" s="30">
        <f>IF(J130="","",IF(J130&gt;1.001,"Covered &gt; extent – check",""))</f>
        <v/>
      </c>
    </row>
    <row r="131">
      <c r="A131" s="12" t="n"/>
      <c r="B131" s="12" t="n"/>
      <c r="C131" s="12" t="n"/>
      <c r="D131" s="12" t="n"/>
      <c r="E131" s="12" t="n"/>
      <c r="F131" s="14" t="n"/>
      <c r="G131" s="14" t="n"/>
      <c r="H131" s="14" t="n"/>
      <c r="I131" s="25">
        <f>IF(F131="","",N(G131)+N(H131))</f>
        <v/>
      </c>
      <c r="J131" s="26">
        <f>IF(N(F131)&gt;0,I131/F131,"")</f>
        <v/>
      </c>
      <c r="K131" s="30">
        <f>IF(J131="","",IF(J131&gt;=Setup!$B$12,"Yes","No"))</f>
        <v/>
      </c>
      <c r="L131" s="30">
        <f>IF(J131="","",IF(J131&gt;1.001,"Covered &gt; extent – check",""))</f>
        <v/>
      </c>
    </row>
    <row r="132">
      <c r="A132" s="12" t="n"/>
      <c r="B132" s="12" t="n"/>
      <c r="C132" s="12" t="n"/>
      <c r="D132" s="12" t="n"/>
      <c r="E132" s="12" t="n"/>
      <c r="F132" s="14" t="n"/>
      <c r="G132" s="14" t="n"/>
      <c r="H132" s="14" t="n"/>
      <c r="I132" s="25">
        <f>IF(F132="","",N(G132)+N(H132))</f>
        <v/>
      </c>
      <c r="J132" s="26">
        <f>IF(N(F132)&gt;0,I132/F132,"")</f>
        <v/>
      </c>
      <c r="K132" s="30">
        <f>IF(J132="","",IF(J132&gt;=Setup!$B$12,"Yes","No"))</f>
        <v/>
      </c>
      <c r="L132" s="30">
        <f>IF(J132="","",IF(J132&gt;1.001,"Covered &gt; extent – check",""))</f>
        <v/>
      </c>
    </row>
    <row r="133">
      <c r="A133" s="12" t="n"/>
      <c r="B133" s="12" t="n"/>
      <c r="C133" s="12" t="n"/>
      <c r="D133" s="12" t="n"/>
      <c r="E133" s="12" t="n"/>
      <c r="F133" s="14" t="n"/>
      <c r="G133" s="14" t="n"/>
      <c r="H133" s="14" t="n"/>
      <c r="I133" s="25">
        <f>IF(F133="","",N(G133)+N(H133))</f>
        <v/>
      </c>
      <c r="J133" s="26">
        <f>IF(N(F133)&gt;0,I133/F133,"")</f>
        <v/>
      </c>
      <c r="K133" s="30">
        <f>IF(J133="","",IF(J133&gt;=Setup!$B$12,"Yes","No"))</f>
        <v/>
      </c>
      <c r="L133" s="30">
        <f>IF(J133="","",IF(J133&gt;1.001,"Covered &gt; extent – check",""))</f>
        <v/>
      </c>
    </row>
    <row r="134">
      <c r="A134" s="12" t="n"/>
      <c r="B134" s="12" t="n"/>
      <c r="C134" s="12" t="n"/>
      <c r="D134" s="12" t="n"/>
      <c r="E134" s="12" t="n"/>
      <c r="F134" s="14" t="n"/>
      <c r="G134" s="14" t="n"/>
      <c r="H134" s="14" t="n"/>
      <c r="I134" s="25">
        <f>IF(F134="","",N(G134)+N(H134))</f>
        <v/>
      </c>
      <c r="J134" s="26">
        <f>IF(N(F134)&gt;0,I134/F134,"")</f>
        <v/>
      </c>
      <c r="K134" s="30">
        <f>IF(J134="","",IF(J134&gt;=Setup!$B$12,"Yes","No"))</f>
        <v/>
      </c>
      <c r="L134" s="30">
        <f>IF(J134="","",IF(J134&gt;1.001,"Covered &gt; extent – check",""))</f>
        <v/>
      </c>
    </row>
    <row r="135">
      <c r="A135" s="12" t="n"/>
      <c r="B135" s="12" t="n"/>
      <c r="C135" s="12" t="n"/>
      <c r="D135" s="12" t="n"/>
      <c r="E135" s="12" t="n"/>
      <c r="F135" s="14" t="n"/>
      <c r="G135" s="14" t="n"/>
      <c r="H135" s="14" t="n"/>
      <c r="I135" s="25">
        <f>IF(F135="","",N(G135)+N(H135))</f>
        <v/>
      </c>
      <c r="J135" s="26">
        <f>IF(N(F135)&gt;0,I135/F135,"")</f>
        <v/>
      </c>
      <c r="K135" s="30">
        <f>IF(J135="","",IF(J135&gt;=Setup!$B$12,"Yes","No"))</f>
        <v/>
      </c>
      <c r="L135" s="30">
        <f>IF(J135="","",IF(J135&gt;1.001,"Covered &gt; extent – check",""))</f>
        <v/>
      </c>
    </row>
    <row r="136">
      <c r="A136" s="12" t="n"/>
      <c r="B136" s="12" t="n"/>
      <c r="C136" s="12" t="n"/>
      <c r="D136" s="12" t="n"/>
      <c r="E136" s="12" t="n"/>
      <c r="F136" s="14" t="n"/>
      <c r="G136" s="14" t="n"/>
      <c r="H136" s="14" t="n"/>
      <c r="I136" s="25">
        <f>IF(F136="","",N(G136)+N(H136))</f>
        <v/>
      </c>
      <c r="J136" s="26">
        <f>IF(N(F136)&gt;0,I136/F136,"")</f>
        <v/>
      </c>
      <c r="K136" s="30">
        <f>IF(J136="","",IF(J136&gt;=Setup!$B$12,"Yes","No"))</f>
        <v/>
      </c>
      <c r="L136" s="30">
        <f>IF(J136="","",IF(J136&gt;1.001,"Covered &gt; extent – check",""))</f>
        <v/>
      </c>
    </row>
    <row r="137">
      <c r="A137" s="12" t="n"/>
      <c r="B137" s="12" t="n"/>
      <c r="C137" s="12" t="n"/>
      <c r="D137" s="12" t="n"/>
      <c r="E137" s="12" t="n"/>
      <c r="F137" s="14" t="n"/>
      <c r="G137" s="14" t="n"/>
      <c r="H137" s="14" t="n"/>
      <c r="I137" s="25">
        <f>IF(F137="","",N(G137)+N(H137))</f>
        <v/>
      </c>
      <c r="J137" s="26">
        <f>IF(N(F137)&gt;0,I137/F137,"")</f>
        <v/>
      </c>
      <c r="K137" s="30">
        <f>IF(J137="","",IF(J137&gt;=Setup!$B$12,"Yes","No"))</f>
        <v/>
      </c>
      <c r="L137" s="30">
        <f>IF(J137="","",IF(J137&gt;1.001,"Covered &gt; extent – check",""))</f>
        <v/>
      </c>
    </row>
    <row r="138">
      <c r="A138" s="12" t="n"/>
      <c r="B138" s="12" t="n"/>
      <c r="C138" s="12" t="n"/>
      <c r="D138" s="12" t="n"/>
      <c r="E138" s="12" t="n"/>
      <c r="F138" s="14" t="n"/>
      <c r="G138" s="14" t="n"/>
      <c r="H138" s="14" t="n"/>
      <c r="I138" s="25">
        <f>IF(F138="","",N(G138)+N(H138))</f>
        <v/>
      </c>
      <c r="J138" s="26">
        <f>IF(N(F138)&gt;0,I138/F138,"")</f>
        <v/>
      </c>
      <c r="K138" s="30">
        <f>IF(J138="","",IF(J138&gt;=Setup!$B$12,"Yes","No"))</f>
        <v/>
      </c>
      <c r="L138" s="30">
        <f>IF(J138="","",IF(J138&gt;1.001,"Covered &gt; extent – check",""))</f>
        <v/>
      </c>
    </row>
    <row r="139">
      <c r="A139" s="12" t="n"/>
      <c r="B139" s="12" t="n"/>
      <c r="C139" s="12" t="n"/>
      <c r="D139" s="12" t="n"/>
      <c r="E139" s="12" t="n"/>
      <c r="F139" s="14" t="n"/>
      <c r="G139" s="14" t="n"/>
      <c r="H139" s="14" t="n"/>
      <c r="I139" s="25">
        <f>IF(F139="","",N(G139)+N(H139))</f>
        <v/>
      </c>
      <c r="J139" s="26">
        <f>IF(N(F139)&gt;0,I139/F139,"")</f>
        <v/>
      </c>
      <c r="K139" s="30">
        <f>IF(J139="","",IF(J139&gt;=Setup!$B$12,"Yes","No"))</f>
        <v/>
      </c>
      <c r="L139" s="30">
        <f>IF(J139="","",IF(J139&gt;1.001,"Covered &gt; extent – check",""))</f>
        <v/>
      </c>
    </row>
    <row r="140">
      <c r="A140" s="12" t="n"/>
      <c r="B140" s="12" t="n"/>
      <c r="C140" s="12" t="n"/>
      <c r="D140" s="12" t="n"/>
      <c r="E140" s="12" t="n"/>
      <c r="F140" s="14" t="n"/>
      <c r="G140" s="14" t="n"/>
      <c r="H140" s="14" t="n"/>
      <c r="I140" s="25">
        <f>IF(F140="","",N(G140)+N(H140))</f>
        <v/>
      </c>
      <c r="J140" s="26">
        <f>IF(N(F140)&gt;0,I140/F140,"")</f>
        <v/>
      </c>
      <c r="K140" s="30">
        <f>IF(J140="","",IF(J140&gt;=Setup!$B$12,"Yes","No"))</f>
        <v/>
      </c>
      <c r="L140" s="30">
        <f>IF(J140="","",IF(J140&gt;1.001,"Covered &gt; extent – check",""))</f>
        <v/>
      </c>
    </row>
    <row r="141">
      <c r="A141" s="12" t="n"/>
      <c r="B141" s="12" t="n"/>
      <c r="C141" s="12" t="n"/>
      <c r="D141" s="12" t="n"/>
      <c r="E141" s="12" t="n"/>
      <c r="F141" s="14" t="n"/>
      <c r="G141" s="14" t="n"/>
      <c r="H141" s="14" t="n"/>
      <c r="I141" s="25">
        <f>IF(F141="","",N(G141)+N(H141))</f>
        <v/>
      </c>
      <c r="J141" s="26">
        <f>IF(N(F141)&gt;0,I141/F141,"")</f>
        <v/>
      </c>
      <c r="K141" s="30">
        <f>IF(J141="","",IF(J141&gt;=Setup!$B$12,"Yes","No"))</f>
        <v/>
      </c>
      <c r="L141" s="30">
        <f>IF(J141="","",IF(J141&gt;1.001,"Covered &gt; extent – check",""))</f>
        <v/>
      </c>
    </row>
    <row r="142">
      <c r="A142" s="12" t="n"/>
      <c r="B142" s="12" t="n"/>
      <c r="C142" s="12" t="n"/>
      <c r="D142" s="12" t="n"/>
      <c r="E142" s="12" t="n"/>
      <c r="F142" s="14" t="n"/>
      <c r="G142" s="14" t="n"/>
      <c r="H142" s="14" t="n"/>
      <c r="I142" s="25">
        <f>IF(F142="","",N(G142)+N(H142))</f>
        <v/>
      </c>
      <c r="J142" s="26">
        <f>IF(N(F142)&gt;0,I142/F142,"")</f>
        <v/>
      </c>
      <c r="K142" s="30">
        <f>IF(J142="","",IF(J142&gt;=Setup!$B$12,"Yes","No"))</f>
        <v/>
      </c>
      <c r="L142" s="30">
        <f>IF(J142="","",IF(J142&gt;1.001,"Covered &gt; extent – check",""))</f>
        <v/>
      </c>
    </row>
    <row r="143">
      <c r="A143" s="12" t="n"/>
      <c r="B143" s="12" t="n"/>
      <c r="C143" s="12" t="n"/>
      <c r="D143" s="12" t="n"/>
      <c r="E143" s="12" t="n"/>
      <c r="F143" s="14" t="n"/>
      <c r="G143" s="14" t="n"/>
      <c r="H143" s="14" t="n"/>
      <c r="I143" s="25">
        <f>IF(F143="","",N(G143)+N(H143))</f>
        <v/>
      </c>
      <c r="J143" s="26">
        <f>IF(N(F143)&gt;0,I143/F143,"")</f>
        <v/>
      </c>
      <c r="K143" s="30">
        <f>IF(J143="","",IF(J143&gt;=Setup!$B$12,"Yes","No"))</f>
        <v/>
      </c>
      <c r="L143" s="30">
        <f>IF(J143="","",IF(J143&gt;1.001,"Covered &gt; extent – check",""))</f>
        <v/>
      </c>
    </row>
    <row r="144">
      <c r="A144" s="12" t="n"/>
      <c r="B144" s="12" t="n"/>
      <c r="C144" s="12" t="n"/>
      <c r="D144" s="12" t="n"/>
      <c r="E144" s="12" t="n"/>
      <c r="F144" s="14" t="n"/>
      <c r="G144" s="14" t="n"/>
      <c r="H144" s="14" t="n"/>
      <c r="I144" s="25">
        <f>IF(F144="","",N(G144)+N(H144))</f>
        <v/>
      </c>
      <c r="J144" s="26">
        <f>IF(N(F144)&gt;0,I144/F144,"")</f>
        <v/>
      </c>
      <c r="K144" s="30">
        <f>IF(J144="","",IF(J144&gt;=Setup!$B$12,"Yes","No"))</f>
        <v/>
      </c>
      <c r="L144" s="30">
        <f>IF(J144="","",IF(J144&gt;1.001,"Covered &gt; extent – check",""))</f>
        <v/>
      </c>
    </row>
    <row r="145">
      <c r="A145" s="12" t="n"/>
      <c r="B145" s="12" t="n"/>
      <c r="C145" s="12" t="n"/>
      <c r="D145" s="12" t="n"/>
      <c r="E145" s="12" t="n"/>
      <c r="F145" s="14" t="n"/>
      <c r="G145" s="14" t="n"/>
      <c r="H145" s="14" t="n"/>
      <c r="I145" s="25">
        <f>IF(F145="","",N(G145)+N(H145))</f>
        <v/>
      </c>
      <c r="J145" s="26">
        <f>IF(N(F145)&gt;0,I145/F145,"")</f>
        <v/>
      </c>
      <c r="K145" s="30">
        <f>IF(J145="","",IF(J145&gt;=Setup!$B$12,"Yes","No"))</f>
        <v/>
      </c>
      <c r="L145" s="30">
        <f>IF(J145="","",IF(J145&gt;1.001,"Covered &gt; extent – check",""))</f>
        <v/>
      </c>
    </row>
    <row r="146">
      <c r="A146" s="12" t="n"/>
      <c r="B146" s="12" t="n"/>
      <c r="C146" s="12" t="n"/>
      <c r="D146" s="12" t="n"/>
      <c r="E146" s="12" t="n"/>
      <c r="F146" s="14" t="n"/>
      <c r="G146" s="14" t="n"/>
      <c r="H146" s="14" t="n"/>
      <c r="I146" s="25">
        <f>IF(F146="","",N(G146)+N(H146))</f>
        <v/>
      </c>
      <c r="J146" s="26">
        <f>IF(N(F146)&gt;0,I146/F146,"")</f>
        <v/>
      </c>
      <c r="K146" s="30">
        <f>IF(J146="","",IF(J146&gt;=Setup!$B$12,"Yes","No"))</f>
        <v/>
      </c>
      <c r="L146" s="30">
        <f>IF(J146="","",IF(J146&gt;1.001,"Covered &gt; extent – check",""))</f>
        <v/>
      </c>
    </row>
    <row r="147">
      <c r="A147" s="12" t="n"/>
      <c r="B147" s="12" t="n"/>
      <c r="C147" s="12" t="n"/>
      <c r="D147" s="12" t="n"/>
      <c r="E147" s="12" t="n"/>
      <c r="F147" s="14" t="n"/>
      <c r="G147" s="14" t="n"/>
      <c r="H147" s="14" t="n"/>
      <c r="I147" s="25">
        <f>IF(F147="","",N(G147)+N(H147))</f>
        <v/>
      </c>
      <c r="J147" s="26">
        <f>IF(N(F147)&gt;0,I147/F147,"")</f>
        <v/>
      </c>
      <c r="K147" s="30">
        <f>IF(J147="","",IF(J147&gt;=Setup!$B$12,"Yes","No"))</f>
        <v/>
      </c>
      <c r="L147" s="30">
        <f>IF(J147="","",IF(J147&gt;1.001,"Covered &gt; extent – check",""))</f>
        <v/>
      </c>
    </row>
    <row r="148">
      <c r="A148" s="12" t="n"/>
      <c r="B148" s="12" t="n"/>
      <c r="C148" s="12" t="n"/>
      <c r="D148" s="12" t="n"/>
      <c r="E148" s="12" t="n"/>
      <c r="F148" s="14" t="n"/>
      <c r="G148" s="14" t="n"/>
      <c r="H148" s="14" t="n"/>
      <c r="I148" s="25">
        <f>IF(F148="","",N(G148)+N(H148))</f>
        <v/>
      </c>
      <c r="J148" s="26">
        <f>IF(N(F148)&gt;0,I148/F148,"")</f>
        <v/>
      </c>
      <c r="K148" s="30">
        <f>IF(J148="","",IF(J148&gt;=Setup!$B$12,"Yes","No"))</f>
        <v/>
      </c>
      <c r="L148" s="30">
        <f>IF(J148="","",IF(J148&gt;1.001,"Covered &gt; extent – check",""))</f>
        <v/>
      </c>
    </row>
    <row r="149">
      <c r="A149" s="12" t="n"/>
      <c r="B149" s="12" t="n"/>
      <c r="C149" s="12" t="n"/>
      <c r="D149" s="12" t="n"/>
      <c r="E149" s="12" t="n"/>
      <c r="F149" s="14" t="n"/>
      <c r="G149" s="14" t="n"/>
      <c r="H149" s="14" t="n"/>
      <c r="I149" s="25">
        <f>IF(F149="","",N(G149)+N(H149))</f>
        <v/>
      </c>
      <c r="J149" s="26">
        <f>IF(N(F149)&gt;0,I149/F149,"")</f>
        <v/>
      </c>
      <c r="K149" s="30">
        <f>IF(J149="","",IF(J149&gt;=Setup!$B$12,"Yes","No"))</f>
        <v/>
      </c>
      <c r="L149" s="30">
        <f>IF(J149="","",IF(J149&gt;1.001,"Covered &gt; extent – check",""))</f>
        <v/>
      </c>
    </row>
    <row r="150">
      <c r="A150" s="12" t="n"/>
      <c r="B150" s="12" t="n"/>
      <c r="C150" s="12" t="n"/>
      <c r="D150" s="12" t="n"/>
      <c r="E150" s="12" t="n"/>
      <c r="F150" s="14" t="n"/>
      <c r="G150" s="14" t="n"/>
      <c r="H150" s="14" t="n"/>
      <c r="I150" s="25">
        <f>IF(F150="","",N(G150)+N(H150))</f>
        <v/>
      </c>
      <c r="J150" s="26">
        <f>IF(N(F150)&gt;0,I150/F150,"")</f>
        <v/>
      </c>
      <c r="K150" s="30">
        <f>IF(J150="","",IF(J150&gt;=Setup!$B$12,"Yes","No"))</f>
        <v/>
      </c>
      <c r="L150" s="30">
        <f>IF(J150="","",IF(J150&gt;1.001,"Covered &gt; extent – check",""))</f>
        <v/>
      </c>
    </row>
    <row r="151">
      <c r="A151" s="12" t="n"/>
      <c r="B151" s="12" t="n"/>
      <c r="C151" s="12" t="n"/>
      <c r="D151" s="12" t="n"/>
      <c r="E151" s="12" t="n"/>
      <c r="F151" s="14" t="n"/>
      <c r="G151" s="14" t="n"/>
      <c r="H151" s="14" t="n"/>
      <c r="I151" s="25">
        <f>IF(F151="","",N(G151)+N(H151))</f>
        <v/>
      </c>
      <c r="J151" s="26">
        <f>IF(N(F151)&gt;0,I151/F151,"")</f>
        <v/>
      </c>
      <c r="K151" s="30">
        <f>IF(J151="","",IF(J151&gt;=Setup!$B$12,"Yes","No"))</f>
        <v/>
      </c>
      <c r="L151" s="30">
        <f>IF(J151="","",IF(J151&gt;1.001,"Covered &gt; extent – check",""))</f>
        <v/>
      </c>
    </row>
    <row r="152">
      <c r="A152" s="12" t="n"/>
      <c r="B152" s="12" t="n"/>
      <c r="C152" s="12" t="n"/>
      <c r="D152" s="12" t="n"/>
      <c r="E152" s="12" t="n"/>
      <c r="F152" s="14" t="n"/>
      <c r="G152" s="14" t="n"/>
      <c r="H152" s="14" t="n"/>
      <c r="I152" s="25">
        <f>IF(F152="","",N(G152)+N(H152))</f>
        <v/>
      </c>
      <c r="J152" s="26">
        <f>IF(N(F152)&gt;0,I152/F152,"")</f>
        <v/>
      </c>
      <c r="K152" s="30">
        <f>IF(J152="","",IF(J152&gt;=Setup!$B$12,"Yes","No"))</f>
        <v/>
      </c>
      <c r="L152" s="30">
        <f>IF(J152="","",IF(J152&gt;1.001,"Covered &gt; extent – check",""))</f>
        <v/>
      </c>
    </row>
    <row r="153">
      <c r="A153" s="12" t="n"/>
      <c r="B153" s="12" t="n"/>
      <c r="C153" s="12" t="n"/>
      <c r="D153" s="12" t="n"/>
      <c r="E153" s="12" t="n"/>
      <c r="F153" s="14" t="n"/>
      <c r="G153" s="14" t="n"/>
      <c r="H153" s="14" t="n"/>
      <c r="I153" s="25">
        <f>IF(F153="","",N(G153)+N(H153))</f>
        <v/>
      </c>
      <c r="J153" s="26">
        <f>IF(N(F153)&gt;0,I153/F153,"")</f>
        <v/>
      </c>
      <c r="K153" s="30">
        <f>IF(J153="","",IF(J153&gt;=Setup!$B$12,"Yes","No"))</f>
        <v/>
      </c>
      <c r="L153" s="30">
        <f>IF(J153="","",IF(J153&gt;1.001,"Covered &gt; extent – check",""))</f>
        <v/>
      </c>
    </row>
    <row r="154">
      <c r="A154" s="12" t="n"/>
      <c r="B154" s="12" t="n"/>
      <c r="C154" s="12" t="n"/>
      <c r="D154" s="12" t="n"/>
      <c r="E154" s="12" t="n"/>
      <c r="F154" s="14" t="n"/>
      <c r="G154" s="14" t="n"/>
      <c r="H154" s="14" t="n"/>
      <c r="I154" s="25">
        <f>IF(F154="","",N(G154)+N(H154))</f>
        <v/>
      </c>
      <c r="J154" s="26">
        <f>IF(N(F154)&gt;0,I154/F154,"")</f>
        <v/>
      </c>
      <c r="K154" s="30">
        <f>IF(J154="","",IF(J154&gt;=Setup!$B$12,"Yes","No"))</f>
        <v/>
      </c>
      <c r="L154" s="30">
        <f>IF(J154="","",IF(J154&gt;1.001,"Covered &gt; extent – check",""))</f>
        <v/>
      </c>
    </row>
    <row r="155">
      <c r="A155" s="12" t="n"/>
      <c r="B155" s="12" t="n"/>
      <c r="C155" s="12" t="n"/>
      <c r="D155" s="12" t="n"/>
      <c r="E155" s="12" t="n"/>
      <c r="F155" s="14" t="n"/>
      <c r="G155" s="14" t="n"/>
      <c r="H155" s="14" t="n"/>
      <c r="I155" s="25">
        <f>IF(F155="","",N(G155)+N(H155))</f>
        <v/>
      </c>
      <c r="J155" s="26">
        <f>IF(N(F155)&gt;0,I155/F155,"")</f>
        <v/>
      </c>
      <c r="K155" s="30">
        <f>IF(J155="","",IF(J155&gt;=Setup!$B$12,"Yes","No"))</f>
        <v/>
      </c>
      <c r="L155" s="30">
        <f>IF(J155="","",IF(J155&gt;1.001,"Covered &gt; extent – check",""))</f>
        <v/>
      </c>
    </row>
    <row r="156">
      <c r="A156" s="12" t="n"/>
      <c r="B156" s="12" t="n"/>
      <c r="C156" s="12" t="n"/>
      <c r="D156" s="12" t="n"/>
      <c r="E156" s="12" t="n"/>
      <c r="F156" s="14" t="n"/>
      <c r="G156" s="14" t="n"/>
      <c r="H156" s="14" t="n"/>
      <c r="I156" s="25">
        <f>IF(F156="","",N(G156)+N(H156))</f>
        <v/>
      </c>
      <c r="J156" s="26">
        <f>IF(N(F156)&gt;0,I156/F156,"")</f>
        <v/>
      </c>
      <c r="K156" s="30">
        <f>IF(J156="","",IF(J156&gt;=Setup!$B$12,"Yes","No"))</f>
        <v/>
      </c>
      <c r="L156" s="30">
        <f>IF(J156="","",IF(J156&gt;1.001,"Covered &gt; extent – check",""))</f>
        <v/>
      </c>
    </row>
    <row r="157">
      <c r="A157" s="12" t="n"/>
      <c r="B157" s="12" t="n"/>
      <c r="C157" s="12" t="n"/>
      <c r="D157" s="12" t="n"/>
      <c r="E157" s="12" t="n"/>
      <c r="F157" s="14" t="n"/>
      <c r="G157" s="14" t="n"/>
      <c r="H157" s="14" t="n"/>
      <c r="I157" s="25">
        <f>IF(F157="","",N(G157)+N(H157))</f>
        <v/>
      </c>
      <c r="J157" s="26">
        <f>IF(N(F157)&gt;0,I157/F157,"")</f>
        <v/>
      </c>
      <c r="K157" s="30">
        <f>IF(J157="","",IF(J157&gt;=Setup!$B$12,"Yes","No"))</f>
        <v/>
      </c>
      <c r="L157" s="30">
        <f>IF(J157="","",IF(J157&gt;1.001,"Covered &gt; extent – check",""))</f>
        <v/>
      </c>
    </row>
    <row r="158">
      <c r="A158" s="12" t="n"/>
      <c r="B158" s="12" t="n"/>
      <c r="C158" s="12" t="n"/>
      <c r="D158" s="12" t="n"/>
      <c r="E158" s="12" t="n"/>
      <c r="F158" s="14" t="n"/>
      <c r="G158" s="14" t="n"/>
      <c r="H158" s="14" t="n"/>
      <c r="I158" s="25">
        <f>IF(F158="","",N(G158)+N(H158))</f>
        <v/>
      </c>
      <c r="J158" s="26">
        <f>IF(N(F158)&gt;0,I158/F158,"")</f>
        <v/>
      </c>
      <c r="K158" s="30">
        <f>IF(J158="","",IF(J158&gt;=Setup!$B$12,"Yes","No"))</f>
        <v/>
      </c>
      <c r="L158" s="30">
        <f>IF(J158="","",IF(J158&gt;1.001,"Covered &gt; extent – check",""))</f>
        <v/>
      </c>
    </row>
    <row r="159">
      <c r="A159" s="12" t="n"/>
      <c r="B159" s="12" t="n"/>
      <c r="C159" s="12" t="n"/>
      <c r="D159" s="12" t="n"/>
      <c r="E159" s="12" t="n"/>
      <c r="F159" s="14" t="n"/>
      <c r="G159" s="14" t="n"/>
      <c r="H159" s="14" t="n"/>
      <c r="I159" s="25">
        <f>IF(F159="","",N(G159)+N(H159))</f>
        <v/>
      </c>
      <c r="J159" s="26">
        <f>IF(N(F159)&gt;0,I159/F159,"")</f>
        <v/>
      </c>
      <c r="K159" s="30">
        <f>IF(J159="","",IF(J159&gt;=Setup!$B$12,"Yes","No"))</f>
        <v/>
      </c>
      <c r="L159" s="30">
        <f>IF(J159="","",IF(J159&gt;1.001,"Covered &gt; extent – check",""))</f>
        <v/>
      </c>
    </row>
    <row r="160">
      <c r="A160" s="12" t="n"/>
      <c r="B160" s="12" t="n"/>
      <c r="C160" s="12" t="n"/>
      <c r="D160" s="12" t="n"/>
      <c r="E160" s="12" t="n"/>
      <c r="F160" s="14" t="n"/>
      <c r="G160" s="14" t="n"/>
      <c r="H160" s="14" t="n"/>
      <c r="I160" s="25">
        <f>IF(F160="","",N(G160)+N(H160))</f>
        <v/>
      </c>
      <c r="J160" s="26">
        <f>IF(N(F160)&gt;0,I160/F160,"")</f>
        <v/>
      </c>
      <c r="K160" s="30">
        <f>IF(J160="","",IF(J160&gt;=Setup!$B$12,"Yes","No"))</f>
        <v/>
      </c>
      <c r="L160" s="30">
        <f>IF(J160="","",IF(J160&gt;1.001,"Covered &gt; extent – check",""))</f>
        <v/>
      </c>
    </row>
    <row r="161">
      <c r="A161" s="12" t="n"/>
      <c r="B161" s="12" t="n"/>
      <c r="C161" s="12" t="n"/>
      <c r="D161" s="12" t="n"/>
      <c r="E161" s="12" t="n"/>
      <c r="F161" s="14" t="n"/>
      <c r="G161" s="14" t="n"/>
      <c r="H161" s="14" t="n"/>
      <c r="I161" s="25">
        <f>IF(F161="","",N(G161)+N(H161))</f>
        <v/>
      </c>
      <c r="J161" s="26">
        <f>IF(N(F161)&gt;0,I161/F161,"")</f>
        <v/>
      </c>
      <c r="K161" s="30">
        <f>IF(J161="","",IF(J161&gt;=Setup!$B$12,"Yes","No"))</f>
        <v/>
      </c>
      <c r="L161" s="30">
        <f>IF(J161="","",IF(J161&gt;1.001,"Covered &gt; extent – check",""))</f>
        <v/>
      </c>
    </row>
    <row r="162">
      <c r="A162" s="12" t="n"/>
      <c r="B162" s="12" t="n"/>
      <c r="C162" s="12" t="n"/>
      <c r="D162" s="12" t="n"/>
      <c r="E162" s="12" t="n"/>
      <c r="F162" s="14" t="n"/>
      <c r="G162" s="14" t="n"/>
      <c r="H162" s="14" t="n"/>
      <c r="I162" s="25">
        <f>IF(F162="","",N(G162)+N(H162))</f>
        <v/>
      </c>
      <c r="J162" s="26">
        <f>IF(N(F162)&gt;0,I162/F162,"")</f>
        <v/>
      </c>
      <c r="K162" s="30">
        <f>IF(J162="","",IF(J162&gt;=Setup!$B$12,"Yes","No"))</f>
        <v/>
      </c>
      <c r="L162" s="30">
        <f>IF(J162="","",IF(J162&gt;1.001,"Covered &gt; extent – check",""))</f>
        <v/>
      </c>
    </row>
    <row r="163">
      <c r="A163" s="12" t="n"/>
      <c r="B163" s="12" t="n"/>
      <c r="C163" s="12" t="n"/>
      <c r="D163" s="12" t="n"/>
      <c r="E163" s="12" t="n"/>
      <c r="F163" s="14" t="n"/>
      <c r="G163" s="14" t="n"/>
      <c r="H163" s="14" t="n"/>
      <c r="I163" s="25">
        <f>IF(F163="","",N(G163)+N(H163))</f>
        <v/>
      </c>
      <c r="J163" s="26">
        <f>IF(N(F163)&gt;0,I163/F163,"")</f>
        <v/>
      </c>
      <c r="K163" s="30">
        <f>IF(J163="","",IF(J163&gt;=Setup!$B$12,"Yes","No"))</f>
        <v/>
      </c>
      <c r="L163" s="30">
        <f>IF(J163="","",IF(J163&gt;1.001,"Covered &gt; extent – check",""))</f>
        <v/>
      </c>
    </row>
    <row r="164">
      <c r="A164" s="12" t="n"/>
      <c r="B164" s="12" t="n"/>
      <c r="C164" s="12" t="n"/>
      <c r="D164" s="12" t="n"/>
      <c r="E164" s="12" t="n"/>
      <c r="F164" s="14" t="n"/>
      <c r="G164" s="14" t="n"/>
      <c r="H164" s="14" t="n"/>
      <c r="I164" s="25">
        <f>IF(F164="","",N(G164)+N(H164))</f>
        <v/>
      </c>
      <c r="J164" s="26">
        <f>IF(N(F164)&gt;0,I164/F164,"")</f>
        <v/>
      </c>
      <c r="K164" s="30">
        <f>IF(J164="","",IF(J164&gt;=Setup!$B$12,"Yes","No"))</f>
        <v/>
      </c>
      <c r="L164" s="30">
        <f>IF(J164="","",IF(J164&gt;1.001,"Covered &gt; extent – check",""))</f>
        <v/>
      </c>
    </row>
    <row r="165">
      <c r="A165" s="12" t="n"/>
      <c r="B165" s="12" t="n"/>
      <c r="C165" s="12" t="n"/>
      <c r="D165" s="12" t="n"/>
      <c r="E165" s="12" t="n"/>
      <c r="F165" s="14" t="n"/>
      <c r="G165" s="14" t="n"/>
      <c r="H165" s="14" t="n"/>
      <c r="I165" s="25">
        <f>IF(F165="","",N(G165)+N(H165))</f>
        <v/>
      </c>
      <c r="J165" s="26">
        <f>IF(N(F165)&gt;0,I165/F165,"")</f>
        <v/>
      </c>
      <c r="K165" s="30">
        <f>IF(J165="","",IF(J165&gt;=Setup!$B$12,"Yes","No"))</f>
        <v/>
      </c>
      <c r="L165" s="30">
        <f>IF(J165="","",IF(J165&gt;1.001,"Covered &gt; extent – check",""))</f>
        <v/>
      </c>
    </row>
    <row r="166">
      <c r="A166" s="12" t="n"/>
      <c r="B166" s="12" t="n"/>
      <c r="C166" s="12" t="n"/>
      <c r="D166" s="12" t="n"/>
      <c r="E166" s="12" t="n"/>
      <c r="F166" s="14" t="n"/>
      <c r="G166" s="14" t="n"/>
      <c r="H166" s="14" t="n"/>
      <c r="I166" s="25">
        <f>IF(F166="","",N(G166)+N(H166))</f>
        <v/>
      </c>
      <c r="J166" s="26">
        <f>IF(N(F166)&gt;0,I166/F166,"")</f>
        <v/>
      </c>
      <c r="K166" s="30">
        <f>IF(J166="","",IF(J166&gt;=Setup!$B$12,"Yes","No"))</f>
        <v/>
      </c>
      <c r="L166" s="30">
        <f>IF(J166="","",IF(J166&gt;1.001,"Covered &gt; extent – check",""))</f>
        <v/>
      </c>
    </row>
    <row r="167">
      <c r="A167" s="12" t="n"/>
      <c r="B167" s="12" t="n"/>
      <c r="C167" s="12" t="n"/>
      <c r="D167" s="12" t="n"/>
      <c r="E167" s="12" t="n"/>
      <c r="F167" s="14" t="n"/>
      <c r="G167" s="14" t="n"/>
      <c r="H167" s="14" t="n"/>
      <c r="I167" s="25">
        <f>IF(F167="","",N(G167)+N(H167))</f>
        <v/>
      </c>
      <c r="J167" s="26">
        <f>IF(N(F167)&gt;0,I167/F167,"")</f>
        <v/>
      </c>
      <c r="K167" s="30">
        <f>IF(J167="","",IF(J167&gt;=Setup!$B$12,"Yes","No"))</f>
        <v/>
      </c>
      <c r="L167" s="30">
        <f>IF(J167="","",IF(J167&gt;1.001,"Covered &gt; extent – check",""))</f>
        <v/>
      </c>
    </row>
    <row r="168">
      <c r="A168" s="12" t="n"/>
      <c r="B168" s="12" t="n"/>
      <c r="C168" s="12" t="n"/>
      <c r="D168" s="12" t="n"/>
      <c r="E168" s="12" t="n"/>
      <c r="F168" s="14" t="n"/>
      <c r="G168" s="14" t="n"/>
      <c r="H168" s="14" t="n"/>
      <c r="I168" s="25">
        <f>IF(F168="","",N(G168)+N(H168))</f>
        <v/>
      </c>
      <c r="J168" s="26">
        <f>IF(N(F168)&gt;0,I168/F168,"")</f>
        <v/>
      </c>
      <c r="K168" s="30">
        <f>IF(J168="","",IF(J168&gt;=Setup!$B$12,"Yes","No"))</f>
        <v/>
      </c>
      <c r="L168" s="30">
        <f>IF(J168="","",IF(J168&gt;1.001,"Covered &gt; extent – check",""))</f>
        <v/>
      </c>
    </row>
    <row r="169">
      <c r="A169" s="12" t="n"/>
      <c r="B169" s="12" t="n"/>
      <c r="C169" s="12" t="n"/>
      <c r="D169" s="12" t="n"/>
      <c r="E169" s="12" t="n"/>
      <c r="F169" s="14" t="n"/>
      <c r="G169" s="14" t="n"/>
      <c r="H169" s="14" t="n"/>
      <c r="I169" s="25">
        <f>IF(F169="","",N(G169)+N(H169))</f>
        <v/>
      </c>
      <c r="J169" s="26">
        <f>IF(N(F169)&gt;0,I169/F169,"")</f>
        <v/>
      </c>
      <c r="K169" s="30">
        <f>IF(J169="","",IF(J169&gt;=Setup!$B$12,"Yes","No"))</f>
        <v/>
      </c>
      <c r="L169" s="30">
        <f>IF(J169="","",IF(J169&gt;1.001,"Covered &gt; extent – check",""))</f>
        <v/>
      </c>
    </row>
    <row r="170">
      <c r="A170" s="12" t="n"/>
      <c r="B170" s="12" t="n"/>
      <c r="C170" s="12" t="n"/>
      <c r="D170" s="12" t="n"/>
      <c r="E170" s="12" t="n"/>
      <c r="F170" s="14" t="n"/>
      <c r="G170" s="14" t="n"/>
      <c r="H170" s="14" t="n"/>
      <c r="I170" s="25">
        <f>IF(F170="","",N(G170)+N(H170))</f>
        <v/>
      </c>
      <c r="J170" s="26">
        <f>IF(N(F170)&gt;0,I170/F170,"")</f>
        <v/>
      </c>
      <c r="K170" s="30">
        <f>IF(J170="","",IF(J170&gt;=Setup!$B$12,"Yes","No"))</f>
        <v/>
      </c>
      <c r="L170" s="30">
        <f>IF(J170="","",IF(J170&gt;1.001,"Covered &gt; extent – check",""))</f>
        <v/>
      </c>
    </row>
    <row r="171">
      <c r="A171" s="12" t="n"/>
      <c r="B171" s="12" t="n"/>
      <c r="C171" s="12" t="n"/>
      <c r="D171" s="12" t="n"/>
      <c r="E171" s="12" t="n"/>
      <c r="F171" s="14" t="n"/>
      <c r="G171" s="14" t="n"/>
      <c r="H171" s="14" t="n"/>
      <c r="I171" s="25">
        <f>IF(F171="","",N(G171)+N(H171))</f>
        <v/>
      </c>
      <c r="J171" s="26">
        <f>IF(N(F171)&gt;0,I171/F171,"")</f>
        <v/>
      </c>
      <c r="K171" s="30">
        <f>IF(J171="","",IF(J171&gt;=Setup!$B$12,"Yes","No"))</f>
        <v/>
      </c>
      <c r="L171" s="30">
        <f>IF(J171="","",IF(J171&gt;1.001,"Covered &gt; extent – check",""))</f>
        <v/>
      </c>
    </row>
    <row r="172">
      <c r="A172" s="12" t="n"/>
      <c r="B172" s="12" t="n"/>
      <c r="C172" s="12" t="n"/>
      <c r="D172" s="12" t="n"/>
      <c r="E172" s="12" t="n"/>
      <c r="F172" s="14" t="n"/>
      <c r="G172" s="14" t="n"/>
      <c r="H172" s="14" t="n"/>
      <c r="I172" s="25">
        <f>IF(F172="","",N(G172)+N(H172))</f>
        <v/>
      </c>
      <c r="J172" s="26">
        <f>IF(N(F172)&gt;0,I172/F172,"")</f>
        <v/>
      </c>
      <c r="K172" s="30">
        <f>IF(J172="","",IF(J172&gt;=Setup!$B$12,"Yes","No"))</f>
        <v/>
      </c>
      <c r="L172" s="30">
        <f>IF(J172="","",IF(J172&gt;1.001,"Covered &gt; extent – check",""))</f>
        <v/>
      </c>
    </row>
    <row r="173">
      <c r="A173" s="12" t="n"/>
      <c r="B173" s="12" t="n"/>
      <c r="C173" s="12" t="n"/>
      <c r="D173" s="12" t="n"/>
      <c r="E173" s="12" t="n"/>
      <c r="F173" s="14" t="n"/>
      <c r="G173" s="14" t="n"/>
      <c r="H173" s="14" t="n"/>
      <c r="I173" s="25">
        <f>IF(F173="","",N(G173)+N(H173))</f>
        <v/>
      </c>
      <c r="J173" s="26">
        <f>IF(N(F173)&gt;0,I173/F173,"")</f>
        <v/>
      </c>
      <c r="K173" s="30">
        <f>IF(J173="","",IF(J173&gt;=Setup!$B$12,"Yes","No"))</f>
        <v/>
      </c>
      <c r="L173" s="30">
        <f>IF(J173="","",IF(J173&gt;1.001,"Covered &gt; extent – check",""))</f>
        <v/>
      </c>
    </row>
    <row r="174">
      <c r="A174" s="12" t="n"/>
      <c r="B174" s="12" t="n"/>
      <c r="C174" s="12" t="n"/>
      <c r="D174" s="12" t="n"/>
      <c r="E174" s="12" t="n"/>
      <c r="F174" s="14" t="n"/>
      <c r="G174" s="14" t="n"/>
      <c r="H174" s="14" t="n"/>
      <c r="I174" s="25">
        <f>IF(F174="","",N(G174)+N(H174))</f>
        <v/>
      </c>
      <c r="J174" s="26">
        <f>IF(N(F174)&gt;0,I174/F174,"")</f>
        <v/>
      </c>
      <c r="K174" s="30">
        <f>IF(J174="","",IF(J174&gt;=Setup!$B$12,"Yes","No"))</f>
        <v/>
      </c>
      <c r="L174" s="30">
        <f>IF(J174="","",IF(J174&gt;1.001,"Covered &gt; extent – check",""))</f>
        <v/>
      </c>
    </row>
    <row r="175">
      <c r="A175" s="12" t="n"/>
      <c r="B175" s="12" t="n"/>
      <c r="C175" s="12" t="n"/>
      <c r="D175" s="12" t="n"/>
      <c r="E175" s="12" t="n"/>
      <c r="F175" s="14" t="n"/>
      <c r="G175" s="14" t="n"/>
      <c r="H175" s="14" t="n"/>
      <c r="I175" s="25">
        <f>IF(F175="","",N(G175)+N(H175))</f>
        <v/>
      </c>
      <c r="J175" s="26">
        <f>IF(N(F175)&gt;0,I175/F175,"")</f>
        <v/>
      </c>
      <c r="K175" s="30">
        <f>IF(J175="","",IF(J175&gt;=Setup!$B$12,"Yes","No"))</f>
        <v/>
      </c>
      <c r="L175" s="30">
        <f>IF(J175="","",IF(J175&gt;1.001,"Covered &gt; extent – check",""))</f>
        <v/>
      </c>
    </row>
    <row r="176">
      <c r="A176" s="12" t="n"/>
      <c r="B176" s="12" t="n"/>
      <c r="C176" s="12" t="n"/>
      <c r="D176" s="12" t="n"/>
      <c r="E176" s="12" t="n"/>
      <c r="F176" s="14" t="n"/>
      <c r="G176" s="14" t="n"/>
      <c r="H176" s="14" t="n"/>
      <c r="I176" s="25">
        <f>IF(F176="","",N(G176)+N(H176))</f>
        <v/>
      </c>
      <c r="J176" s="26">
        <f>IF(N(F176)&gt;0,I176/F176,"")</f>
        <v/>
      </c>
      <c r="K176" s="30">
        <f>IF(J176="","",IF(J176&gt;=Setup!$B$12,"Yes","No"))</f>
        <v/>
      </c>
      <c r="L176" s="30">
        <f>IF(J176="","",IF(J176&gt;1.001,"Covered &gt; extent – check",""))</f>
        <v/>
      </c>
    </row>
    <row r="177">
      <c r="A177" s="12" t="n"/>
      <c r="B177" s="12" t="n"/>
      <c r="C177" s="12" t="n"/>
      <c r="D177" s="12" t="n"/>
      <c r="E177" s="12" t="n"/>
      <c r="F177" s="14" t="n"/>
      <c r="G177" s="14" t="n"/>
      <c r="H177" s="14" t="n"/>
      <c r="I177" s="25">
        <f>IF(F177="","",N(G177)+N(H177))</f>
        <v/>
      </c>
      <c r="J177" s="26">
        <f>IF(N(F177)&gt;0,I177/F177,"")</f>
        <v/>
      </c>
      <c r="K177" s="30">
        <f>IF(J177="","",IF(J177&gt;=Setup!$B$12,"Yes","No"))</f>
        <v/>
      </c>
      <c r="L177" s="30">
        <f>IF(J177="","",IF(J177&gt;1.001,"Covered &gt; extent – check",""))</f>
        <v/>
      </c>
    </row>
    <row r="178">
      <c r="A178" s="12" t="n"/>
      <c r="B178" s="12" t="n"/>
      <c r="C178" s="12" t="n"/>
      <c r="D178" s="12" t="n"/>
      <c r="E178" s="12" t="n"/>
      <c r="F178" s="14" t="n"/>
      <c r="G178" s="14" t="n"/>
      <c r="H178" s="14" t="n"/>
      <c r="I178" s="25">
        <f>IF(F178="","",N(G178)+N(H178))</f>
        <v/>
      </c>
      <c r="J178" s="26">
        <f>IF(N(F178)&gt;0,I178/F178,"")</f>
        <v/>
      </c>
      <c r="K178" s="30">
        <f>IF(J178="","",IF(J178&gt;=Setup!$B$12,"Yes","No"))</f>
        <v/>
      </c>
      <c r="L178" s="30">
        <f>IF(J178="","",IF(J178&gt;1.001,"Covered &gt; extent – check",""))</f>
        <v/>
      </c>
    </row>
    <row r="179">
      <c r="A179" s="12" t="n"/>
      <c r="B179" s="12" t="n"/>
      <c r="C179" s="12" t="n"/>
      <c r="D179" s="12" t="n"/>
      <c r="E179" s="12" t="n"/>
      <c r="F179" s="14" t="n"/>
      <c r="G179" s="14" t="n"/>
      <c r="H179" s="14" t="n"/>
      <c r="I179" s="25">
        <f>IF(F179="","",N(G179)+N(H179))</f>
        <v/>
      </c>
      <c r="J179" s="26">
        <f>IF(N(F179)&gt;0,I179/F179,"")</f>
        <v/>
      </c>
      <c r="K179" s="30">
        <f>IF(J179="","",IF(J179&gt;=Setup!$B$12,"Yes","No"))</f>
        <v/>
      </c>
      <c r="L179" s="30">
        <f>IF(J179="","",IF(J179&gt;1.001,"Covered &gt; extent – check",""))</f>
        <v/>
      </c>
    </row>
    <row r="180">
      <c r="A180" s="12" t="n"/>
      <c r="B180" s="12" t="n"/>
      <c r="C180" s="12" t="n"/>
      <c r="D180" s="12" t="n"/>
      <c r="E180" s="12" t="n"/>
      <c r="F180" s="14" t="n"/>
      <c r="G180" s="14" t="n"/>
      <c r="H180" s="14" t="n"/>
      <c r="I180" s="25">
        <f>IF(F180="","",N(G180)+N(H180))</f>
        <v/>
      </c>
      <c r="J180" s="26">
        <f>IF(N(F180)&gt;0,I180/F180,"")</f>
        <v/>
      </c>
      <c r="K180" s="30">
        <f>IF(J180="","",IF(J180&gt;=Setup!$B$12,"Yes","No"))</f>
        <v/>
      </c>
      <c r="L180" s="30">
        <f>IF(J180="","",IF(J180&gt;1.001,"Covered &gt; extent – check",""))</f>
        <v/>
      </c>
    </row>
    <row r="181">
      <c r="A181" s="12" t="n"/>
      <c r="B181" s="12" t="n"/>
      <c r="C181" s="12" t="n"/>
      <c r="D181" s="12" t="n"/>
      <c r="E181" s="12" t="n"/>
      <c r="F181" s="14" t="n"/>
      <c r="G181" s="14" t="n"/>
      <c r="H181" s="14" t="n"/>
      <c r="I181" s="25">
        <f>IF(F181="","",N(G181)+N(H181))</f>
        <v/>
      </c>
      <c r="J181" s="26">
        <f>IF(N(F181)&gt;0,I181/F181,"")</f>
        <v/>
      </c>
      <c r="K181" s="30">
        <f>IF(J181="","",IF(J181&gt;=Setup!$B$12,"Yes","No"))</f>
        <v/>
      </c>
      <c r="L181" s="30">
        <f>IF(J181="","",IF(J181&gt;1.001,"Covered &gt; extent – check",""))</f>
        <v/>
      </c>
    </row>
    <row r="182">
      <c r="A182" s="12" t="n"/>
      <c r="B182" s="12" t="n"/>
      <c r="C182" s="12" t="n"/>
      <c r="D182" s="12" t="n"/>
      <c r="E182" s="12" t="n"/>
      <c r="F182" s="14" t="n"/>
      <c r="G182" s="14" t="n"/>
      <c r="H182" s="14" t="n"/>
      <c r="I182" s="25">
        <f>IF(F182="","",N(G182)+N(H182))</f>
        <v/>
      </c>
      <c r="J182" s="26">
        <f>IF(N(F182)&gt;0,I182/F182,"")</f>
        <v/>
      </c>
      <c r="K182" s="30">
        <f>IF(J182="","",IF(J182&gt;=Setup!$B$12,"Yes","No"))</f>
        <v/>
      </c>
      <c r="L182" s="30">
        <f>IF(J182="","",IF(J182&gt;1.001,"Covered &gt; extent – check",""))</f>
        <v/>
      </c>
    </row>
    <row r="183">
      <c r="A183" s="12" t="n"/>
      <c r="B183" s="12" t="n"/>
      <c r="C183" s="12" t="n"/>
      <c r="D183" s="12" t="n"/>
      <c r="E183" s="12" t="n"/>
      <c r="F183" s="14" t="n"/>
      <c r="G183" s="14" t="n"/>
      <c r="H183" s="14" t="n"/>
      <c r="I183" s="25">
        <f>IF(F183="","",N(G183)+N(H183))</f>
        <v/>
      </c>
      <c r="J183" s="26">
        <f>IF(N(F183)&gt;0,I183/F183,"")</f>
        <v/>
      </c>
      <c r="K183" s="30">
        <f>IF(J183="","",IF(J183&gt;=Setup!$B$12,"Yes","No"))</f>
        <v/>
      </c>
      <c r="L183" s="30">
        <f>IF(J183="","",IF(J183&gt;1.001,"Covered &gt; extent – check",""))</f>
        <v/>
      </c>
    </row>
    <row r="184">
      <c r="A184" s="12" t="n"/>
      <c r="B184" s="12" t="n"/>
      <c r="C184" s="12" t="n"/>
      <c r="D184" s="12" t="n"/>
      <c r="E184" s="12" t="n"/>
      <c r="F184" s="14" t="n"/>
      <c r="G184" s="14" t="n"/>
      <c r="H184" s="14" t="n"/>
      <c r="I184" s="25">
        <f>IF(F184="","",N(G184)+N(H184))</f>
        <v/>
      </c>
      <c r="J184" s="26">
        <f>IF(N(F184)&gt;0,I184/F184,"")</f>
        <v/>
      </c>
      <c r="K184" s="30">
        <f>IF(J184="","",IF(J184&gt;=Setup!$B$12,"Yes","No"))</f>
        <v/>
      </c>
      <c r="L184" s="30">
        <f>IF(J184="","",IF(J184&gt;1.001,"Covered &gt; extent – check",""))</f>
        <v/>
      </c>
    </row>
    <row r="185">
      <c r="A185" s="12" t="n"/>
      <c r="B185" s="12" t="n"/>
      <c r="C185" s="12" t="n"/>
      <c r="D185" s="12" t="n"/>
      <c r="E185" s="12" t="n"/>
      <c r="F185" s="14" t="n"/>
      <c r="G185" s="14" t="n"/>
      <c r="H185" s="14" t="n"/>
      <c r="I185" s="25">
        <f>IF(F185="","",N(G185)+N(H185))</f>
        <v/>
      </c>
      <c r="J185" s="26">
        <f>IF(N(F185)&gt;0,I185/F185,"")</f>
        <v/>
      </c>
      <c r="K185" s="30">
        <f>IF(J185="","",IF(J185&gt;=Setup!$B$12,"Yes","No"))</f>
        <v/>
      </c>
      <c r="L185" s="30">
        <f>IF(J185="","",IF(J185&gt;1.001,"Covered &gt; extent – check",""))</f>
        <v/>
      </c>
    </row>
    <row r="186">
      <c r="A186" s="12" t="n"/>
      <c r="B186" s="12" t="n"/>
      <c r="C186" s="12" t="n"/>
      <c r="D186" s="12" t="n"/>
      <c r="E186" s="12" t="n"/>
      <c r="F186" s="14" t="n"/>
      <c r="G186" s="14" t="n"/>
      <c r="H186" s="14" t="n"/>
      <c r="I186" s="25">
        <f>IF(F186="","",N(G186)+N(H186))</f>
        <v/>
      </c>
      <c r="J186" s="26">
        <f>IF(N(F186)&gt;0,I186/F186,"")</f>
        <v/>
      </c>
      <c r="K186" s="30">
        <f>IF(J186="","",IF(J186&gt;=Setup!$B$12,"Yes","No"))</f>
        <v/>
      </c>
      <c r="L186" s="30">
        <f>IF(J186="","",IF(J186&gt;1.001,"Covered &gt; extent – check",""))</f>
        <v/>
      </c>
    </row>
    <row r="187">
      <c r="A187" s="12" t="n"/>
      <c r="B187" s="12" t="n"/>
      <c r="C187" s="12" t="n"/>
      <c r="D187" s="12" t="n"/>
      <c r="E187" s="12" t="n"/>
      <c r="F187" s="14" t="n"/>
      <c r="G187" s="14" t="n"/>
      <c r="H187" s="14" t="n"/>
      <c r="I187" s="25">
        <f>IF(F187="","",N(G187)+N(H187))</f>
        <v/>
      </c>
      <c r="J187" s="26">
        <f>IF(N(F187)&gt;0,I187/F187,"")</f>
        <v/>
      </c>
      <c r="K187" s="30">
        <f>IF(J187="","",IF(J187&gt;=Setup!$B$12,"Yes","No"))</f>
        <v/>
      </c>
      <c r="L187" s="30">
        <f>IF(J187="","",IF(J187&gt;1.001,"Covered &gt; extent – check",""))</f>
        <v/>
      </c>
    </row>
    <row r="188">
      <c r="A188" s="12" t="n"/>
      <c r="B188" s="12" t="n"/>
      <c r="C188" s="12" t="n"/>
      <c r="D188" s="12" t="n"/>
      <c r="E188" s="12" t="n"/>
      <c r="F188" s="14" t="n"/>
      <c r="G188" s="14" t="n"/>
      <c r="H188" s="14" t="n"/>
      <c r="I188" s="25">
        <f>IF(F188="","",N(G188)+N(H188))</f>
        <v/>
      </c>
      <c r="J188" s="26">
        <f>IF(N(F188)&gt;0,I188/F188,"")</f>
        <v/>
      </c>
      <c r="K188" s="30">
        <f>IF(J188="","",IF(J188&gt;=Setup!$B$12,"Yes","No"))</f>
        <v/>
      </c>
      <c r="L188" s="30">
        <f>IF(J188="","",IF(J188&gt;1.001,"Covered &gt; extent – check",""))</f>
        <v/>
      </c>
    </row>
    <row r="189">
      <c r="A189" s="12" t="n"/>
      <c r="B189" s="12" t="n"/>
      <c r="C189" s="12" t="n"/>
      <c r="D189" s="12" t="n"/>
      <c r="E189" s="12" t="n"/>
      <c r="F189" s="14" t="n"/>
      <c r="G189" s="14" t="n"/>
      <c r="H189" s="14" t="n"/>
      <c r="I189" s="25">
        <f>IF(F189="","",N(G189)+N(H189))</f>
        <v/>
      </c>
      <c r="J189" s="26">
        <f>IF(N(F189)&gt;0,I189/F189,"")</f>
        <v/>
      </c>
      <c r="K189" s="30">
        <f>IF(J189="","",IF(J189&gt;=Setup!$B$12,"Yes","No"))</f>
        <v/>
      </c>
      <c r="L189" s="30">
        <f>IF(J189="","",IF(J189&gt;1.001,"Covered &gt; extent – check",""))</f>
        <v/>
      </c>
    </row>
    <row r="190">
      <c r="A190" s="12" t="n"/>
      <c r="B190" s="12" t="n"/>
      <c r="C190" s="12" t="n"/>
      <c r="D190" s="12" t="n"/>
      <c r="E190" s="12" t="n"/>
      <c r="F190" s="14" t="n"/>
      <c r="G190" s="14" t="n"/>
      <c r="H190" s="14" t="n"/>
      <c r="I190" s="25">
        <f>IF(F190="","",N(G190)+N(H190))</f>
        <v/>
      </c>
      <c r="J190" s="26">
        <f>IF(N(F190)&gt;0,I190/F190,"")</f>
        <v/>
      </c>
      <c r="K190" s="30">
        <f>IF(J190="","",IF(J190&gt;=Setup!$B$12,"Yes","No"))</f>
        <v/>
      </c>
      <c r="L190" s="30">
        <f>IF(J190="","",IF(J190&gt;1.001,"Covered &gt; extent – check",""))</f>
        <v/>
      </c>
    </row>
    <row r="191">
      <c r="A191" s="12" t="n"/>
      <c r="B191" s="12" t="n"/>
      <c r="C191" s="12" t="n"/>
      <c r="D191" s="12" t="n"/>
      <c r="E191" s="12" t="n"/>
      <c r="F191" s="14" t="n"/>
      <c r="G191" s="14" t="n"/>
      <c r="H191" s="14" t="n"/>
      <c r="I191" s="25">
        <f>IF(F191="","",N(G191)+N(H191))</f>
        <v/>
      </c>
      <c r="J191" s="26">
        <f>IF(N(F191)&gt;0,I191/F191,"")</f>
        <v/>
      </c>
      <c r="K191" s="30">
        <f>IF(J191="","",IF(J191&gt;=Setup!$B$12,"Yes","No"))</f>
        <v/>
      </c>
      <c r="L191" s="30">
        <f>IF(J191="","",IF(J191&gt;1.001,"Covered &gt; extent – check",""))</f>
        <v/>
      </c>
    </row>
    <row r="192">
      <c r="A192" s="12" t="n"/>
      <c r="B192" s="12" t="n"/>
      <c r="C192" s="12" t="n"/>
      <c r="D192" s="12" t="n"/>
      <c r="E192" s="12" t="n"/>
      <c r="F192" s="14" t="n"/>
      <c r="G192" s="14" t="n"/>
      <c r="H192" s="14" t="n"/>
      <c r="I192" s="25">
        <f>IF(F192="","",N(G192)+N(H192))</f>
        <v/>
      </c>
      <c r="J192" s="26">
        <f>IF(N(F192)&gt;0,I192/F192,"")</f>
        <v/>
      </c>
      <c r="K192" s="30">
        <f>IF(J192="","",IF(J192&gt;=Setup!$B$12,"Yes","No"))</f>
        <v/>
      </c>
      <c r="L192" s="30">
        <f>IF(J192="","",IF(J192&gt;1.001,"Covered &gt; extent – check",""))</f>
        <v/>
      </c>
    </row>
    <row r="193">
      <c r="A193" s="12" t="n"/>
      <c r="B193" s="12" t="n"/>
      <c r="C193" s="12" t="n"/>
      <c r="D193" s="12" t="n"/>
      <c r="E193" s="12" t="n"/>
      <c r="F193" s="14" t="n"/>
      <c r="G193" s="14" t="n"/>
      <c r="H193" s="14" t="n"/>
      <c r="I193" s="25">
        <f>IF(F193="","",N(G193)+N(H193))</f>
        <v/>
      </c>
      <c r="J193" s="26">
        <f>IF(N(F193)&gt;0,I193/F193,"")</f>
        <v/>
      </c>
      <c r="K193" s="30">
        <f>IF(J193="","",IF(J193&gt;=Setup!$B$12,"Yes","No"))</f>
        <v/>
      </c>
      <c r="L193" s="30">
        <f>IF(J193="","",IF(J193&gt;1.001,"Covered &gt; extent – check",""))</f>
        <v/>
      </c>
    </row>
    <row r="194">
      <c r="A194" s="12" t="n"/>
      <c r="B194" s="12" t="n"/>
      <c r="C194" s="12" t="n"/>
      <c r="D194" s="12" t="n"/>
      <c r="E194" s="12" t="n"/>
      <c r="F194" s="14" t="n"/>
      <c r="G194" s="14" t="n"/>
      <c r="H194" s="14" t="n"/>
      <c r="I194" s="25">
        <f>IF(F194="","",N(G194)+N(H194))</f>
        <v/>
      </c>
      <c r="J194" s="26">
        <f>IF(N(F194)&gt;0,I194/F194,"")</f>
        <v/>
      </c>
      <c r="K194" s="30">
        <f>IF(J194="","",IF(J194&gt;=Setup!$B$12,"Yes","No"))</f>
        <v/>
      </c>
      <c r="L194" s="30">
        <f>IF(J194="","",IF(J194&gt;1.001,"Covered &gt; extent – check",""))</f>
        <v/>
      </c>
    </row>
    <row r="195">
      <c r="A195" s="12" t="n"/>
      <c r="B195" s="12" t="n"/>
      <c r="C195" s="12" t="n"/>
      <c r="D195" s="12" t="n"/>
      <c r="E195" s="12" t="n"/>
      <c r="F195" s="14" t="n"/>
      <c r="G195" s="14" t="n"/>
      <c r="H195" s="14" t="n"/>
      <c r="I195" s="25">
        <f>IF(F195="","",N(G195)+N(H195))</f>
        <v/>
      </c>
      <c r="J195" s="26">
        <f>IF(N(F195)&gt;0,I195/F195,"")</f>
        <v/>
      </c>
      <c r="K195" s="30">
        <f>IF(J195="","",IF(J195&gt;=Setup!$B$12,"Yes","No"))</f>
        <v/>
      </c>
      <c r="L195" s="30">
        <f>IF(J195="","",IF(J195&gt;1.001,"Covered &gt; extent – check",""))</f>
        <v/>
      </c>
    </row>
    <row r="196">
      <c r="A196" s="12" t="n"/>
      <c r="B196" s="12" t="n"/>
      <c r="C196" s="12" t="n"/>
      <c r="D196" s="12" t="n"/>
      <c r="E196" s="12" t="n"/>
      <c r="F196" s="14" t="n"/>
      <c r="G196" s="14" t="n"/>
      <c r="H196" s="14" t="n"/>
      <c r="I196" s="25">
        <f>IF(F196="","",N(G196)+N(H196))</f>
        <v/>
      </c>
      <c r="J196" s="26">
        <f>IF(N(F196)&gt;0,I196/F196,"")</f>
        <v/>
      </c>
      <c r="K196" s="30">
        <f>IF(J196="","",IF(J196&gt;=Setup!$B$12,"Yes","No"))</f>
        <v/>
      </c>
      <c r="L196" s="30">
        <f>IF(J196="","",IF(J196&gt;1.001,"Covered &gt; extent – check",""))</f>
        <v/>
      </c>
    </row>
    <row r="197">
      <c r="A197" s="12" t="n"/>
      <c r="B197" s="12" t="n"/>
      <c r="C197" s="12" t="n"/>
      <c r="D197" s="12" t="n"/>
      <c r="E197" s="12" t="n"/>
      <c r="F197" s="14" t="n"/>
      <c r="G197" s="14" t="n"/>
      <c r="H197" s="14" t="n"/>
      <c r="I197" s="25">
        <f>IF(F197="","",N(G197)+N(H197))</f>
        <v/>
      </c>
      <c r="J197" s="26">
        <f>IF(N(F197)&gt;0,I197/F197,"")</f>
        <v/>
      </c>
      <c r="K197" s="30">
        <f>IF(J197="","",IF(J197&gt;=Setup!$B$12,"Yes","No"))</f>
        <v/>
      </c>
      <c r="L197" s="30">
        <f>IF(J197="","",IF(J197&gt;1.001,"Covered &gt; extent – check",""))</f>
        <v/>
      </c>
    </row>
    <row r="198">
      <c r="A198" s="12" t="n"/>
      <c r="B198" s="12" t="n"/>
      <c r="C198" s="12" t="n"/>
      <c r="D198" s="12" t="n"/>
      <c r="E198" s="12" t="n"/>
      <c r="F198" s="14" t="n"/>
      <c r="G198" s="14" t="n"/>
      <c r="H198" s="14" t="n"/>
      <c r="I198" s="25">
        <f>IF(F198="","",N(G198)+N(H198))</f>
        <v/>
      </c>
      <c r="J198" s="26">
        <f>IF(N(F198)&gt;0,I198/F198,"")</f>
        <v/>
      </c>
      <c r="K198" s="30">
        <f>IF(J198="","",IF(J198&gt;=Setup!$B$12,"Yes","No"))</f>
        <v/>
      </c>
      <c r="L198" s="30">
        <f>IF(J198="","",IF(J198&gt;1.001,"Covered &gt; extent – check",""))</f>
        <v/>
      </c>
    </row>
    <row r="199">
      <c r="A199" s="12" t="n"/>
      <c r="B199" s="12" t="n"/>
      <c r="C199" s="12" t="n"/>
      <c r="D199" s="12" t="n"/>
      <c r="E199" s="12" t="n"/>
      <c r="F199" s="14" t="n"/>
      <c r="G199" s="14" t="n"/>
      <c r="H199" s="14" t="n"/>
      <c r="I199" s="25">
        <f>IF(F199="","",N(G199)+N(H199))</f>
        <v/>
      </c>
      <c r="J199" s="26">
        <f>IF(N(F199)&gt;0,I199/F199,"")</f>
        <v/>
      </c>
      <c r="K199" s="30">
        <f>IF(J199="","",IF(J199&gt;=Setup!$B$12,"Yes","No"))</f>
        <v/>
      </c>
      <c r="L199" s="30">
        <f>IF(J199="","",IF(J199&gt;1.001,"Covered &gt; extent – check",""))</f>
        <v/>
      </c>
    </row>
    <row r="200">
      <c r="A200" s="12" t="n"/>
      <c r="B200" s="12" t="n"/>
      <c r="C200" s="12" t="n"/>
      <c r="D200" s="12" t="n"/>
      <c r="E200" s="12" t="n"/>
      <c r="F200" s="14" t="n"/>
      <c r="G200" s="14" t="n"/>
      <c r="H200" s="14" t="n"/>
      <c r="I200" s="25">
        <f>IF(F200="","",N(G200)+N(H200))</f>
        <v/>
      </c>
      <c r="J200" s="26">
        <f>IF(N(F200)&gt;0,I200/F200,"")</f>
        <v/>
      </c>
      <c r="K200" s="30">
        <f>IF(J200="","",IF(J200&gt;=Setup!$B$12,"Yes","No"))</f>
        <v/>
      </c>
      <c r="L200" s="30">
        <f>IF(J200="","",IF(J200&gt;1.001,"Covered &gt; extent – check",""))</f>
        <v/>
      </c>
    </row>
    <row r="201">
      <c r="A201" s="12" t="n"/>
      <c r="B201" s="12" t="n"/>
      <c r="C201" s="12" t="n"/>
      <c r="D201" s="12" t="n"/>
      <c r="E201" s="12" t="n"/>
      <c r="F201" s="14" t="n"/>
      <c r="G201" s="14" t="n"/>
      <c r="H201" s="14" t="n"/>
      <c r="I201" s="25">
        <f>IF(F201="","",N(G201)+N(H201))</f>
        <v/>
      </c>
      <c r="J201" s="26">
        <f>IF(N(F201)&gt;0,I201/F201,"")</f>
        <v/>
      </c>
      <c r="K201" s="30">
        <f>IF(J201="","",IF(J201&gt;=Setup!$B$12,"Yes","No"))</f>
        <v/>
      </c>
      <c r="L201" s="30">
        <f>IF(J201="","",IF(J201&gt;1.001,"Covered &gt; extent – check",""))</f>
        <v/>
      </c>
    </row>
    <row r="202">
      <c r="A202" s="12" t="n"/>
      <c r="B202" s="12" t="n"/>
      <c r="C202" s="12" t="n"/>
      <c r="D202" s="12" t="n"/>
      <c r="E202" s="12" t="n"/>
      <c r="F202" s="14" t="n"/>
      <c r="G202" s="14" t="n"/>
      <c r="H202" s="14" t="n"/>
      <c r="I202" s="25">
        <f>IF(F202="","",N(G202)+N(H202))</f>
        <v/>
      </c>
      <c r="J202" s="26">
        <f>IF(N(F202)&gt;0,I202/F202,"")</f>
        <v/>
      </c>
      <c r="K202" s="30">
        <f>IF(J202="","",IF(J202&gt;=Setup!$B$12,"Yes","No"))</f>
        <v/>
      </c>
      <c r="L202" s="30">
        <f>IF(J202="","",IF(J202&gt;1.001,"Covered &gt; extent – check",""))</f>
        <v/>
      </c>
    </row>
    <row r="203">
      <c r="A203" s="12" t="n"/>
      <c r="B203" s="12" t="n"/>
      <c r="C203" s="12" t="n"/>
      <c r="D203" s="12" t="n"/>
      <c r="E203" s="12" t="n"/>
      <c r="F203" s="14" t="n"/>
      <c r="G203" s="14" t="n"/>
      <c r="H203" s="14" t="n"/>
      <c r="I203" s="25">
        <f>IF(F203="","",N(G203)+N(H203))</f>
        <v/>
      </c>
      <c r="J203" s="26">
        <f>IF(N(F203)&gt;0,I203/F203,"")</f>
        <v/>
      </c>
      <c r="K203" s="30">
        <f>IF(J203="","",IF(J203&gt;=Setup!$B$12,"Yes","No"))</f>
        <v/>
      </c>
      <c r="L203" s="30">
        <f>IF(J203="","",IF(J203&gt;1.001,"Covered &gt; extent – check",""))</f>
        <v/>
      </c>
    </row>
    <row r="204">
      <c r="A204" s="12" t="n"/>
      <c r="B204" s="12" t="n"/>
      <c r="C204" s="12" t="n"/>
      <c r="D204" s="12" t="n"/>
      <c r="E204" s="12" t="n"/>
      <c r="F204" s="14" t="n"/>
      <c r="G204" s="14" t="n"/>
      <c r="H204" s="14" t="n"/>
      <c r="I204" s="25">
        <f>IF(F204="","",N(G204)+N(H204))</f>
        <v/>
      </c>
      <c r="J204" s="26">
        <f>IF(N(F204)&gt;0,I204/F204,"")</f>
        <v/>
      </c>
      <c r="K204" s="30">
        <f>IF(J204="","",IF(J204&gt;=Setup!$B$12,"Yes","No"))</f>
        <v/>
      </c>
      <c r="L204" s="30">
        <f>IF(J204="","",IF(J204&gt;1.001,"Covered &gt; extent – check",""))</f>
        <v/>
      </c>
    </row>
    <row r="205">
      <c r="A205" s="12" t="n"/>
      <c r="B205" s="12" t="n"/>
      <c r="C205" s="12" t="n"/>
      <c r="D205" s="12" t="n"/>
      <c r="E205" s="12" t="n"/>
      <c r="F205" s="14" t="n"/>
      <c r="G205" s="14" t="n"/>
      <c r="H205" s="14" t="n"/>
      <c r="I205" s="25">
        <f>IF(F205="","",N(G205)+N(H205))</f>
        <v/>
      </c>
      <c r="J205" s="26">
        <f>IF(N(F205)&gt;0,I205/F205,"")</f>
        <v/>
      </c>
      <c r="K205" s="30">
        <f>IF(J205="","",IF(J205&gt;=Setup!$B$12,"Yes","No"))</f>
        <v/>
      </c>
      <c r="L205" s="30">
        <f>IF(J205="","",IF(J205&gt;1.001,"Covered &gt; extent – check",""))</f>
        <v/>
      </c>
    </row>
    <row r="206">
      <c r="A206" s="12" t="n"/>
      <c r="B206" s="12" t="n"/>
      <c r="C206" s="12" t="n"/>
      <c r="D206" s="12" t="n"/>
      <c r="E206" s="12" t="n"/>
      <c r="F206" s="14" t="n"/>
      <c r="G206" s="14" t="n"/>
      <c r="H206" s="14" t="n"/>
      <c r="I206" s="25">
        <f>IF(F206="","",N(G206)+N(H206))</f>
        <v/>
      </c>
      <c r="J206" s="26">
        <f>IF(N(F206)&gt;0,I206/F206,"")</f>
        <v/>
      </c>
      <c r="K206" s="30">
        <f>IF(J206="","",IF(J206&gt;=Setup!$B$12,"Yes","No"))</f>
        <v/>
      </c>
      <c r="L206" s="30">
        <f>IF(J206="","",IF(J206&gt;1.001,"Covered &gt; extent – check",""))</f>
        <v/>
      </c>
    </row>
    <row r="207">
      <c r="A207" s="12" t="n"/>
      <c r="B207" s="12" t="n"/>
      <c r="C207" s="12" t="n"/>
      <c r="D207" s="12" t="n"/>
      <c r="E207" s="12" t="n"/>
      <c r="F207" s="14" t="n"/>
      <c r="G207" s="14" t="n"/>
      <c r="H207" s="14" t="n"/>
      <c r="I207" s="25">
        <f>IF(F207="","",N(G207)+N(H207))</f>
        <v/>
      </c>
      <c r="J207" s="26">
        <f>IF(N(F207)&gt;0,I207/F207,"")</f>
        <v/>
      </c>
      <c r="K207" s="30">
        <f>IF(J207="","",IF(J207&gt;=Setup!$B$12,"Yes","No"))</f>
        <v/>
      </c>
      <c r="L207" s="30">
        <f>IF(J207="","",IF(J207&gt;1.001,"Covered &gt; extent – check",""))</f>
        <v/>
      </c>
    </row>
    <row r="208">
      <c r="A208" s="12" t="n"/>
      <c r="B208" s="12" t="n"/>
      <c r="C208" s="12" t="n"/>
      <c r="D208" s="12" t="n"/>
      <c r="E208" s="12" t="n"/>
      <c r="F208" s="14" t="n"/>
      <c r="G208" s="14" t="n"/>
      <c r="H208" s="14" t="n"/>
      <c r="I208" s="25">
        <f>IF(F208="","",N(G208)+N(H208))</f>
        <v/>
      </c>
      <c r="J208" s="26">
        <f>IF(N(F208)&gt;0,I208/F208,"")</f>
        <v/>
      </c>
      <c r="K208" s="30">
        <f>IF(J208="","",IF(J208&gt;=Setup!$B$12,"Yes","No"))</f>
        <v/>
      </c>
      <c r="L208" s="30">
        <f>IF(J208="","",IF(J208&gt;1.001,"Covered &gt; extent – check",""))</f>
        <v/>
      </c>
    </row>
    <row r="209">
      <c r="A209" s="12" t="n"/>
      <c r="B209" s="12" t="n"/>
      <c r="C209" s="12" t="n"/>
      <c r="D209" s="12" t="n"/>
      <c r="E209" s="12" t="n"/>
      <c r="F209" s="14" t="n"/>
      <c r="G209" s="14" t="n"/>
      <c r="H209" s="14" t="n"/>
      <c r="I209" s="25">
        <f>IF(F209="","",N(G209)+N(H209))</f>
        <v/>
      </c>
      <c r="J209" s="26">
        <f>IF(N(F209)&gt;0,I209/F209,"")</f>
        <v/>
      </c>
      <c r="K209" s="30">
        <f>IF(J209="","",IF(J209&gt;=Setup!$B$12,"Yes","No"))</f>
        <v/>
      </c>
      <c r="L209" s="30">
        <f>IF(J209="","",IF(J209&gt;1.001,"Covered &gt; extent – check",""))</f>
        <v/>
      </c>
    </row>
    <row r="210">
      <c r="A210" s="12" t="n"/>
      <c r="B210" s="12" t="n"/>
      <c r="C210" s="12" t="n"/>
      <c r="D210" s="12" t="n"/>
      <c r="E210" s="12" t="n"/>
      <c r="F210" s="14" t="n"/>
      <c r="G210" s="14" t="n"/>
      <c r="H210" s="14" t="n"/>
      <c r="I210" s="25">
        <f>IF(F210="","",N(G210)+N(H210))</f>
        <v/>
      </c>
      <c r="J210" s="26">
        <f>IF(N(F210)&gt;0,I210/F210,"")</f>
        <v/>
      </c>
      <c r="K210" s="30">
        <f>IF(J210="","",IF(J210&gt;=Setup!$B$12,"Yes","No"))</f>
        <v/>
      </c>
      <c r="L210" s="30">
        <f>IF(J210="","",IF(J210&gt;1.001,"Covered &gt; extent – check",""))</f>
        <v/>
      </c>
    </row>
    <row r="211">
      <c r="A211" s="12" t="n"/>
      <c r="B211" s="12" t="n"/>
      <c r="C211" s="12" t="n"/>
      <c r="D211" s="12" t="n"/>
      <c r="E211" s="12" t="n"/>
      <c r="F211" s="14" t="n"/>
      <c r="G211" s="14" t="n"/>
      <c r="H211" s="14" t="n"/>
      <c r="I211" s="25">
        <f>IF(F211="","",N(G211)+N(H211))</f>
        <v/>
      </c>
      <c r="J211" s="26">
        <f>IF(N(F211)&gt;0,I211/F211,"")</f>
        <v/>
      </c>
      <c r="K211" s="30">
        <f>IF(J211="","",IF(J211&gt;=Setup!$B$12,"Yes","No"))</f>
        <v/>
      </c>
      <c r="L211" s="30">
        <f>IF(J211="","",IF(J211&gt;1.001,"Covered &gt; extent – check",""))</f>
        <v/>
      </c>
    </row>
    <row r="212">
      <c r="A212" s="12" t="n"/>
      <c r="B212" s="12" t="n"/>
      <c r="C212" s="12" t="n"/>
      <c r="D212" s="12" t="n"/>
      <c r="E212" s="12" t="n"/>
      <c r="F212" s="14" t="n"/>
      <c r="G212" s="14" t="n"/>
      <c r="H212" s="14" t="n"/>
      <c r="I212" s="25">
        <f>IF(F212="","",N(G212)+N(H212))</f>
        <v/>
      </c>
      <c r="J212" s="26">
        <f>IF(N(F212)&gt;0,I212/F212,"")</f>
        <v/>
      </c>
      <c r="K212" s="30">
        <f>IF(J212="","",IF(J212&gt;=Setup!$B$12,"Yes","No"))</f>
        <v/>
      </c>
      <c r="L212" s="30">
        <f>IF(J212="","",IF(J212&gt;1.001,"Covered &gt; extent – check",""))</f>
        <v/>
      </c>
    </row>
    <row r="213">
      <c r="A213" s="12" t="n"/>
      <c r="B213" s="12" t="n"/>
      <c r="C213" s="12" t="n"/>
      <c r="D213" s="12" t="n"/>
      <c r="E213" s="12" t="n"/>
      <c r="F213" s="14" t="n"/>
      <c r="G213" s="14" t="n"/>
      <c r="H213" s="14" t="n"/>
      <c r="I213" s="25">
        <f>IF(F213="","",N(G213)+N(H213))</f>
        <v/>
      </c>
      <c r="J213" s="26">
        <f>IF(N(F213)&gt;0,I213/F213,"")</f>
        <v/>
      </c>
      <c r="K213" s="30">
        <f>IF(J213="","",IF(J213&gt;=Setup!$B$12,"Yes","No"))</f>
        <v/>
      </c>
      <c r="L213" s="30">
        <f>IF(J213="","",IF(J213&gt;1.001,"Covered &gt; extent – check",""))</f>
        <v/>
      </c>
    </row>
    <row r="214">
      <c r="A214" s="12" t="n"/>
      <c r="B214" s="12" t="n"/>
      <c r="C214" s="12" t="n"/>
      <c r="D214" s="12" t="n"/>
      <c r="E214" s="12" t="n"/>
      <c r="F214" s="14" t="n"/>
      <c r="G214" s="14" t="n"/>
      <c r="H214" s="14" t="n"/>
      <c r="I214" s="25">
        <f>IF(F214="","",N(G214)+N(H214))</f>
        <v/>
      </c>
      <c r="J214" s="26">
        <f>IF(N(F214)&gt;0,I214/F214,"")</f>
        <v/>
      </c>
      <c r="K214" s="30">
        <f>IF(J214="","",IF(J214&gt;=Setup!$B$12,"Yes","No"))</f>
        <v/>
      </c>
      <c r="L214" s="30">
        <f>IF(J214="","",IF(J214&gt;1.001,"Covered &gt; extent – check",""))</f>
        <v/>
      </c>
    </row>
    <row r="215">
      <c r="A215" s="12" t="n"/>
      <c r="B215" s="12" t="n"/>
      <c r="C215" s="12" t="n"/>
      <c r="D215" s="12" t="n"/>
      <c r="E215" s="12" t="n"/>
      <c r="F215" s="14" t="n"/>
      <c r="G215" s="14" t="n"/>
      <c r="H215" s="14" t="n"/>
      <c r="I215" s="25">
        <f>IF(F215="","",N(G215)+N(H215))</f>
        <v/>
      </c>
      <c r="J215" s="26">
        <f>IF(N(F215)&gt;0,I215/F215,"")</f>
        <v/>
      </c>
      <c r="K215" s="30">
        <f>IF(J215="","",IF(J215&gt;=Setup!$B$12,"Yes","No"))</f>
        <v/>
      </c>
      <c r="L215" s="30">
        <f>IF(J215="","",IF(J215&gt;1.001,"Covered &gt; extent – check",""))</f>
        <v/>
      </c>
    </row>
    <row r="216">
      <c r="A216" s="12" t="n"/>
      <c r="B216" s="12" t="n"/>
      <c r="C216" s="12" t="n"/>
      <c r="D216" s="12" t="n"/>
      <c r="E216" s="12" t="n"/>
      <c r="F216" s="14" t="n"/>
      <c r="G216" s="14" t="n"/>
      <c r="H216" s="14" t="n"/>
      <c r="I216" s="25">
        <f>IF(F216="","",N(G216)+N(H216))</f>
        <v/>
      </c>
      <c r="J216" s="26">
        <f>IF(N(F216)&gt;0,I216/F216,"")</f>
        <v/>
      </c>
      <c r="K216" s="30">
        <f>IF(J216="","",IF(J216&gt;=Setup!$B$12,"Yes","No"))</f>
        <v/>
      </c>
      <c r="L216" s="30">
        <f>IF(J216="","",IF(J216&gt;1.001,"Covered &gt; extent – check",""))</f>
        <v/>
      </c>
    </row>
    <row r="217">
      <c r="A217" s="12" t="n"/>
      <c r="B217" s="12" t="n"/>
      <c r="C217" s="12" t="n"/>
      <c r="D217" s="12" t="n"/>
      <c r="E217" s="12" t="n"/>
      <c r="F217" s="14" t="n"/>
      <c r="G217" s="14" t="n"/>
      <c r="H217" s="14" t="n"/>
      <c r="I217" s="25">
        <f>IF(F217="","",N(G217)+N(H217))</f>
        <v/>
      </c>
      <c r="J217" s="26">
        <f>IF(N(F217)&gt;0,I217/F217,"")</f>
        <v/>
      </c>
      <c r="K217" s="30">
        <f>IF(J217="","",IF(J217&gt;=Setup!$B$12,"Yes","No"))</f>
        <v/>
      </c>
      <c r="L217" s="30">
        <f>IF(J217="","",IF(J217&gt;1.001,"Covered &gt; extent – check",""))</f>
        <v/>
      </c>
    </row>
    <row r="218">
      <c r="A218" s="12" t="n"/>
      <c r="B218" s="12" t="n"/>
      <c r="C218" s="12" t="n"/>
      <c r="D218" s="12" t="n"/>
      <c r="E218" s="12" t="n"/>
      <c r="F218" s="14" t="n"/>
      <c r="G218" s="14" t="n"/>
      <c r="H218" s="14" t="n"/>
      <c r="I218" s="25">
        <f>IF(F218="","",N(G218)+N(H218))</f>
        <v/>
      </c>
      <c r="J218" s="26">
        <f>IF(N(F218)&gt;0,I218/F218,"")</f>
        <v/>
      </c>
      <c r="K218" s="30">
        <f>IF(J218="","",IF(J218&gt;=Setup!$B$12,"Yes","No"))</f>
        <v/>
      </c>
      <c r="L218" s="30">
        <f>IF(J218="","",IF(J218&gt;1.001,"Covered &gt; extent – check",""))</f>
        <v/>
      </c>
    </row>
    <row r="219">
      <c r="A219" s="12" t="n"/>
      <c r="B219" s="12" t="n"/>
      <c r="C219" s="12" t="n"/>
      <c r="D219" s="12" t="n"/>
      <c r="E219" s="12" t="n"/>
      <c r="F219" s="14" t="n"/>
      <c r="G219" s="14" t="n"/>
      <c r="H219" s="14" t="n"/>
      <c r="I219" s="25">
        <f>IF(F219="","",N(G219)+N(H219))</f>
        <v/>
      </c>
      <c r="J219" s="26">
        <f>IF(N(F219)&gt;0,I219/F219,"")</f>
        <v/>
      </c>
      <c r="K219" s="30">
        <f>IF(J219="","",IF(J219&gt;=Setup!$B$12,"Yes","No"))</f>
        <v/>
      </c>
      <c r="L219" s="30">
        <f>IF(J219="","",IF(J219&gt;1.001,"Covered &gt; extent – check",""))</f>
        <v/>
      </c>
    </row>
    <row r="220">
      <c r="A220" s="12" t="n"/>
      <c r="B220" s="12" t="n"/>
      <c r="C220" s="12" t="n"/>
      <c r="D220" s="12" t="n"/>
      <c r="E220" s="12" t="n"/>
      <c r="F220" s="14" t="n"/>
      <c r="G220" s="14" t="n"/>
      <c r="H220" s="14" t="n"/>
      <c r="I220" s="25">
        <f>IF(F220="","",N(G220)+N(H220))</f>
        <v/>
      </c>
      <c r="J220" s="26">
        <f>IF(N(F220)&gt;0,I220/F220,"")</f>
        <v/>
      </c>
      <c r="K220" s="30">
        <f>IF(J220="","",IF(J220&gt;=Setup!$B$12,"Yes","No"))</f>
        <v/>
      </c>
      <c r="L220" s="30">
        <f>IF(J220="","",IF(J220&gt;1.001,"Covered &gt; extent – check",""))</f>
        <v/>
      </c>
    </row>
    <row r="221">
      <c r="A221" s="12" t="n"/>
      <c r="B221" s="12" t="n"/>
      <c r="C221" s="12" t="n"/>
      <c r="D221" s="12" t="n"/>
      <c r="E221" s="12" t="n"/>
      <c r="F221" s="14" t="n"/>
      <c r="G221" s="14" t="n"/>
      <c r="H221" s="14" t="n"/>
      <c r="I221" s="25">
        <f>IF(F221="","",N(G221)+N(H221))</f>
        <v/>
      </c>
      <c r="J221" s="26">
        <f>IF(N(F221)&gt;0,I221/F221,"")</f>
        <v/>
      </c>
      <c r="K221" s="30">
        <f>IF(J221="","",IF(J221&gt;=Setup!$B$12,"Yes","No"))</f>
        <v/>
      </c>
      <c r="L221" s="30">
        <f>IF(J221="","",IF(J221&gt;1.001,"Covered &gt; extent – check",""))</f>
        <v/>
      </c>
    </row>
    <row r="222">
      <c r="A222" s="12" t="n"/>
      <c r="B222" s="12" t="n"/>
      <c r="C222" s="12" t="n"/>
      <c r="D222" s="12" t="n"/>
      <c r="E222" s="12" t="n"/>
      <c r="F222" s="14" t="n"/>
      <c r="G222" s="14" t="n"/>
      <c r="H222" s="14" t="n"/>
      <c r="I222" s="25">
        <f>IF(F222="","",N(G222)+N(H222))</f>
        <v/>
      </c>
      <c r="J222" s="26">
        <f>IF(N(F222)&gt;0,I222/F222,"")</f>
        <v/>
      </c>
      <c r="K222" s="30">
        <f>IF(J222="","",IF(J222&gt;=Setup!$B$12,"Yes","No"))</f>
        <v/>
      </c>
      <c r="L222" s="30">
        <f>IF(J222="","",IF(J222&gt;1.001,"Covered &gt; extent – check",""))</f>
        <v/>
      </c>
    </row>
    <row r="223">
      <c r="A223" s="12" t="n"/>
      <c r="B223" s="12" t="n"/>
      <c r="C223" s="12" t="n"/>
      <c r="D223" s="12" t="n"/>
      <c r="E223" s="12" t="n"/>
      <c r="F223" s="14" t="n"/>
      <c r="G223" s="14" t="n"/>
      <c r="H223" s="14" t="n"/>
      <c r="I223" s="25">
        <f>IF(F223="","",N(G223)+N(H223))</f>
        <v/>
      </c>
      <c r="J223" s="26">
        <f>IF(N(F223)&gt;0,I223/F223,"")</f>
        <v/>
      </c>
      <c r="K223" s="30">
        <f>IF(J223="","",IF(J223&gt;=Setup!$B$12,"Yes","No"))</f>
        <v/>
      </c>
      <c r="L223" s="30">
        <f>IF(J223="","",IF(J223&gt;1.001,"Covered &gt; extent – check",""))</f>
        <v/>
      </c>
    </row>
    <row r="224">
      <c r="A224" s="12" t="n"/>
      <c r="B224" s="12" t="n"/>
      <c r="C224" s="12" t="n"/>
      <c r="D224" s="12" t="n"/>
      <c r="E224" s="12" t="n"/>
      <c r="F224" s="14" t="n"/>
      <c r="G224" s="14" t="n"/>
      <c r="H224" s="14" t="n"/>
      <c r="I224" s="25">
        <f>IF(F224="","",N(G224)+N(H224))</f>
        <v/>
      </c>
      <c r="J224" s="26">
        <f>IF(N(F224)&gt;0,I224/F224,"")</f>
        <v/>
      </c>
      <c r="K224" s="30">
        <f>IF(J224="","",IF(J224&gt;=Setup!$B$12,"Yes","No"))</f>
        <v/>
      </c>
      <c r="L224" s="30">
        <f>IF(J224="","",IF(J224&gt;1.001,"Covered &gt; extent – check",""))</f>
        <v/>
      </c>
    </row>
    <row r="225">
      <c r="A225" s="12" t="n"/>
      <c r="B225" s="12" t="n"/>
      <c r="C225" s="12" t="n"/>
      <c r="D225" s="12" t="n"/>
      <c r="E225" s="12" t="n"/>
      <c r="F225" s="14" t="n"/>
      <c r="G225" s="14" t="n"/>
      <c r="H225" s="14" t="n"/>
      <c r="I225" s="25">
        <f>IF(F225="","",N(G225)+N(H225))</f>
        <v/>
      </c>
      <c r="J225" s="26">
        <f>IF(N(F225)&gt;0,I225/F225,"")</f>
        <v/>
      </c>
      <c r="K225" s="30">
        <f>IF(J225="","",IF(J225&gt;=Setup!$B$12,"Yes","No"))</f>
        <v/>
      </c>
      <c r="L225" s="30">
        <f>IF(J225="","",IF(J225&gt;1.001,"Covered &gt; extent – check",""))</f>
        <v/>
      </c>
    </row>
    <row r="226">
      <c r="A226" s="12" t="n"/>
      <c r="B226" s="12" t="n"/>
      <c r="C226" s="12" t="n"/>
      <c r="D226" s="12" t="n"/>
      <c r="E226" s="12" t="n"/>
      <c r="F226" s="14" t="n"/>
      <c r="G226" s="14" t="n"/>
      <c r="H226" s="14" t="n"/>
      <c r="I226" s="25">
        <f>IF(F226="","",N(G226)+N(H226))</f>
        <v/>
      </c>
      <c r="J226" s="26">
        <f>IF(N(F226)&gt;0,I226/F226,"")</f>
        <v/>
      </c>
      <c r="K226" s="30">
        <f>IF(J226="","",IF(J226&gt;=Setup!$B$12,"Yes","No"))</f>
        <v/>
      </c>
      <c r="L226" s="30">
        <f>IF(J226="","",IF(J226&gt;1.001,"Covered &gt; extent – check",""))</f>
        <v/>
      </c>
    </row>
    <row r="227">
      <c r="A227" s="12" t="n"/>
      <c r="B227" s="12" t="n"/>
      <c r="C227" s="12" t="n"/>
      <c r="D227" s="12" t="n"/>
      <c r="E227" s="12" t="n"/>
      <c r="F227" s="14" t="n"/>
      <c r="G227" s="14" t="n"/>
      <c r="H227" s="14" t="n"/>
      <c r="I227" s="25">
        <f>IF(F227="","",N(G227)+N(H227))</f>
        <v/>
      </c>
      <c r="J227" s="26">
        <f>IF(N(F227)&gt;0,I227/F227,"")</f>
        <v/>
      </c>
      <c r="K227" s="30">
        <f>IF(J227="","",IF(J227&gt;=Setup!$B$12,"Yes","No"))</f>
        <v/>
      </c>
      <c r="L227" s="30">
        <f>IF(J227="","",IF(J227&gt;1.001,"Covered &gt; extent – check",""))</f>
        <v/>
      </c>
    </row>
    <row r="228">
      <c r="A228" s="12" t="n"/>
      <c r="B228" s="12" t="n"/>
      <c r="C228" s="12" t="n"/>
      <c r="D228" s="12" t="n"/>
      <c r="E228" s="12" t="n"/>
      <c r="F228" s="14" t="n"/>
      <c r="G228" s="14" t="n"/>
      <c r="H228" s="14" t="n"/>
      <c r="I228" s="25">
        <f>IF(F228="","",N(G228)+N(H228))</f>
        <v/>
      </c>
      <c r="J228" s="26">
        <f>IF(N(F228)&gt;0,I228/F228,"")</f>
        <v/>
      </c>
      <c r="K228" s="30">
        <f>IF(J228="","",IF(J228&gt;=Setup!$B$12,"Yes","No"))</f>
        <v/>
      </c>
      <c r="L228" s="30">
        <f>IF(J228="","",IF(J228&gt;1.001,"Covered &gt; extent – check",""))</f>
        <v/>
      </c>
    </row>
    <row r="229">
      <c r="A229" s="12" t="n"/>
      <c r="B229" s="12" t="n"/>
      <c r="C229" s="12" t="n"/>
      <c r="D229" s="12" t="n"/>
      <c r="E229" s="12" t="n"/>
      <c r="F229" s="14" t="n"/>
      <c r="G229" s="14" t="n"/>
      <c r="H229" s="14" t="n"/>
      <c r="I229" s="25">
        <f>IF(F229="","",N(G229)+N(H229))</f>
        <v/>
      </c>
      <c r="J229" s="26">
        <f>IF(N(F229)&gt;0,I229/F229,"")</f>
        <v/>
      </c>
      <c r="K229" s="30">
        <f>IF(J229="","",IF(J229&gt;=Setup!$B$12,"Yes","No"))</f>
        <v/>
      </c>
      <c r="L229" s="30">
        <f>IF(J229="","",IF(J229&gt;1.001,"Covered &gt; extent – check",""))</f>
        <v/>
      </c>
    </row>
    <row r="230">
      <c r="A230" s="12" t="n"/>
      <c r="B230" s="12" t="n"/>
      <c r="C230" s="12" t="n"/>
      <c r="D230" s="12" t="n"/>
      <c r="E230" s="12" t="n"/>
      <c r="F230" s="14" t="n"/>
      <c r="G230" s="14" t="n"/>
      <c r="H230" s="14" t="n"/>
      <c r="I230" s="25">
        <f>IF(F230="","",N(G230)+N(H230))</f>
        <v/>
      </c>
      <c r="J230" s="26">
        <f>IF(N(F230)&gt;0,I230/F230,"")</f>
        <v/>
      </c>
      <c r="K230" s="30">
        <f>IF(J230="","",IF(J230&gt;=Setup!$B$12,"Yes","No"))</f>
        <v/>
      </c>
      <c r="L230" s="30">
        <f>IF(J230="","",IF(J230&gt;1.001,"Covered &gt; extent – check",""))</f>
        <v/>
      </c>
    </row>
    <row r="231">
      <c r="A231" s="12" t="n"/>
      <c r="B231" s="12" t="n"/>
      <c r="C231" s="12" t="n"/>
      <c r="D231" s="12" t="n"/>
      <c r="E231" s="12" t="n"/>
      <c r="F231" s="14" t="n"/>
      <c r="G231" s="14" t="n"/>
      <c r="H231" s="14" t="n"/>
      <c r="I231" s="25">
        <f>IF(F231="","",N(G231)+N(H231))</f>
        <v/>
      </c>
      <c r="J231" s="26">
        <f>IF(N(F231)&gt;0,I231/F231,"")</f>
        <v/>
      </c>
      <c r="K231" s="30">
        <f>IF(J231="","",IF(J231&gt;=Setup!$B$12,"Yes","No"))</f>
        <v/>
      </c>
      <c r="L231" s="30">
        <f>IF(J231="","",IF(J231&gt;1.001,"Covered &gt; extent – check",""))</f>
        <v/>
      </c>
    </row>
    <row r="232">
      <c r="A232" s="12" t="n"/>
      <c r="B232" s="12" t="n"/>
      <c r="C232" s="12" t="n"/>
      <c r="D232" s="12" t="n"/>
      <c r="E232" s="12" t="n"/>
      <c r="F232" s="14" t="n"/>
      <c r="G232" s="14" t="n"/>
      <c r="H232" s="14" t="n"/>
      <c r="I232" s="25">
        <f>IF(F232="","",N(G232)+N(H232))</f>
        <v/>
      </c>
      <c r="J232" s="26">
        <f>IF(N(F232)&gt;0,I232/F232,"")</f>
        <v/>
      </c>
      <c r="K232" s="30">
        <f>IF(J232="","",IF(J232&gt;=Setup!$B$12,"Yes","No"))</f>
        <v/>
      </c>
      <c r="L232" s="30">
        <f>IF(J232="","",IF(J232&gt;1.001,"Covered &gt; extent – check",""))</f>
        <v/>
      </c>
    </row>
    <row r="233">
      <c r="A233" s="12" t="n"/>
      <c r="B233" s="12" t="n"/>
      <c r="C233" s="12" t="n"/>
      <c r="D233" s="12" t="n"/>
      <c r="E233" s="12" t="n"/>
      <c r="F233" s="14" t="n"/>
      <c r="G233" s="14" t="n"/>
      <c r="H233" s="14" t="n"/>
      <c r="I233" s="25">
        <f>IF(F233="","",N(G233)+N(H233))</f>
        <v/>
      </c>
      <c r="J233" s="26">
        <f>IF(N(F233)&gt;0,I233/F233,"")</f>
        <v/>
      </c>
      <c r="K233" s="30">
        <f>IF(J233="","",IF(J233&gt;=Setup!$B$12,"Yes","No"))</f>
        <v/>
      </c>
      <c r="L233" s="30">
        <f>IF(J233="","",IF(J233&gt;1.001,"Covered &gt; extent – check",""))</f>
        <v/>
      </c>
    </row>
    <row r="234">
      <c r="A234" s="12" t="n"/>
      <c r="B234" s="12" t="n"/>
      <c r="C234" s="12" t="n"/>
      <c r="D234" s="12" t="n"/>
      <c r="E234" s="12" t="n"/>
      <c r="F234" s="14" t="n"/>
      <c r="G234" s="14" t="n"/>
      <c r="H234" s="14" t="n"/>
      <c r="I234" s="25">
        <f>IF(F234="","",N(G234)+N(H234))</f>
        <v/>
      </c>
      <c r="J234" s="26">
        <f>IF(N(F234)&gt;0,I234/F234,"")</f>
        <v/>
      </c>
      <c r="K234" s="30">
        <f>IF(J234="","",IF(J234&gt;=Setup!$B$12,"Yes","No"))</f>
        <v/>
      </c>
      <c r="L234" s="30">
        <f>IF(J234="","",IF(J234&gt;1.001,"Covered &gt; extent – check",""))</f>
        <v/>
      </c>
    </row>
    <row r="235">
      <c r="A235" s="12" t="n"/>
      <c r="B235" s="12" t="n"/>
      <c r="C235" s="12" t="n"/>
      <c r="D235" s="12" t="n"/>
      <c r="E235" s="12" t="n"/>
      <c r="F235" s="14" t="n"/>
      <c r="G235" s="14" t="n"/>
      <c r="H235" s="14" t="n"/>
      <c r="I235" s="25">
        <f>IF(F235="","",N(G235)+N(H235))</f>
        <v/>
      </c>
      <c r="J235" s="26">
        <f>IF(N(F235)&gt;0,I235/F235,"")</f>
        <v/>
      </c>
      <c r="K235" s="30">
        <f>IF(J235="","",IF(J235&gt;=Setup!$B$12,"Yes","No"))</f>
        <v/>
      </c>
      <c r="L235" s="30">
        <f>IF(J235="","",IF(J235&gt;1.001,"Covered &gt; extent – check",""))</f>
        <v/>
      </c>
    </row>
    <row r="236">
      <c r="A236" s="12" t="n"/>
      <c r="B236" s="12" t="n"/>
      <c r="C236" s="12" t="n"/>
      <c r="D236" s="12" t="n"/>
      <c r="E236" s="12" t="n"/>
      <c r="F236" s="14" t="n"/>
      <c r="G236" s="14" t="n"/>
      <c r="H236" s="14" t="n"/>
      <c r="I236" s="25">
        <f>IF(F236="","",N(G236)+N(H236))</f>
        <v/>
      </c>
      <c r="J236" s="26">
        <f>IF(N(F236)&gt;0,I236/F236,"")</f>
        <v/>
      </c>
      <c r="K236" s="30">
        <f>IF(J236="","",IF(J236&gt;=Setup!$B$12,"Yes","No"))</f>
        <v/>
      </c>
      <c r="L236" s="30">
        <f>IF(J236="","",IF(J236&gt;1.001,"Covered &gt; extent – check",""))</f>
        <v/>
      </c>
    </row>
    <row r="237">
      <c r="A237" s="12" t="n"/>
      <c r="B237" s="12" t="n"/>
      <c r="C237" s="12" t="n"/>
      <c r="D237" s="12" t="n"/>
      <c r="E237" s="12" t="n"/>
      <c r="F237" s="14" t="n"/>
      <c r="G237" s="14" t="n"/>
      <c r="H237" s="14" t="n"/>
      <c r="I237" s="25">
        <f>IF(F237="","",N(G237)+N(H237))</f>
        <v/>
      </c>
      <c r="J237" s="26">
        <f>IF(N(F237)&gt;0,I237/F237,"")</f>
        <v/>
      </c>
      <c r="K237" s="30">
        <f>IF(J237="","",IF(J237&gt;=Setup!$B$12,"Yes","No"))</f>
        <v/>
      </c>
      <c r="L237" s="30">
        <f>IF(J237="","",IF(J237&gt;1.001,"Covered &gt; extent – check",""))</f>
        <v/>
      </c>
    </row>
    <row r="238">
      <c r="A238" s="12" t="n"/>
      <c r="B238" s="12" t="n"/>
      <c r="C238" s="12" t="n"/>
      <c r="D238" s="12" t="n"/>
      <c r="E238" s="12" t="n"/>
      <c r="F238" s="14" t="n"/>
      <c r="G238" s="14" t="n"/>
      <c r="H238" s="14" t="n"/>
      <c r="I238" s="25">
        <f>IF(F238="","",N(G238)+N(H238))</f>
        <v/>
      </c>
      <c r="J238" s="26">
        <f>IF(N(F238)&gt;0,I238/F238,"")</f>
        <v/>
      </c>
      <c r="K238" s="30">
        <f>IF(J238="","",IF(J238&gt;=Setup!$B$12,"Yes","No"))</f>
        <v/>
      </c>
      <c r="L238" s="30">
        <f>IF(J238="","",IF(J238&gt;1.001,"Covered &gt; extent – check",""))</f>
        <v/>
      </c>
    </row>
    <row r="239">
      <c r="A239" s="12" t="n"/>
      <c r="B239" s="12" t="n"/>
      <c r="C239" s="12" t="n"/>
      <c r="D239" s="12" t="n"/>
      <c r="E239" s="12" t="n"/>
      <c r="F239" s="14" t="n"/>
      <c r="G239" s="14" t="n"/>
      <c r="H239" s="14" t="n"/>
      <c r="I239" s="25">
        <f>IF(F239="","",N(G239)+N(H239))</f>
        <v/>
      </c>
      <c r="J239" s="26">
        <f>IF(N(F239)&gt;0,I239/F239,"")</f>
        <v/>
      </c>
      <c r="K239" s="30">
        <f>IF(J239="","",IF(J239&gt;=Setup!$B$12,"Yes","No"))</f>
        <v/>
      </c>
      <c r="L239" s="30">
        <f>IF(J239="","",IF(J239&gt;1.001,"Covered &gt; extent – check",""))</f>
        <v/>
      </c>
    </row>
    <row r="240">
      <c r="A240" s="12" t="n"/>
      <c r="B240" s="12" t="n"/>
      <c r="C240" s="12" t="n"/>
      <c r="D240" s="12" t="n"/>
      <c r="E240" s="12" t="n"/>
      <c r="F240" s="14" t="n"/>
      <c r="G240" s="14" t="n"/>
      <c r="H240" s="14" t="n"/>
      <c r="I240" s="25">
        <f>IF(F240="","",N(G240)+N(H240))</f>
        <v/>
      </c>
      <c r="J240" s="26">
        <f>IF(N(F240)&gt;0,I240/F240,"")</f>
        <v/>
      </c>
      <c r="K240" s="30">
        <f>IF(J240="","",IF(J240&gt;=Setup!$B$12,"Yes","No"))</f>
        <v/>
      </c>
      <c r="L240" s="30">
        <f>IF(J240="","",IF(J240&gt;1.001,"Covered &gt; extent – check",""))</f>
        <v/>
      </c>
    </row>
    <row r="241">
      <c r="A241" s="12" t="n"/>
      <c r="B241" s="12" t="n"/>
      <c r="C241" s="12" t="n"/>
      <c r="D241" s="12" t="n"/>
      <c r="E241" s="12" t="n"/>
      <c r="F241" s="14" t="n"/>
      <c r="G241" s="14" t="n"/>
      <c r="H241" s="14" t="n"/>
      <c r="I241" s="25">
        <f>IF(F241="","",N(G241)+N(H241))</f>
        <v/>
      </c>
      <c r="J241" s="26">
        <f>IF(N(F241)&gt;0,I241/F241,"")</f>
        <v/>
      </c>
      <c r="K241" s="30">
        <f>IF(J241="","",IF(J241&gt;=Setup!$B$12,"Yes","No"))</f>
        <v/>
      </c>
      <c r="L241" s="30">
        <f>IF(J241="","",IF(J241&gt;1.001,"Covered &gt; extent – check",""))</f>
        <v/>
      </c>
    </row>
    <row r="242">
      <c r="A242" s="12" t="n"/>
      <c r="B242" s="12" t="n"/>
      <c r="C242" s="12" t="n"/>
      <c r="D242" s="12" t="n"/>
      <c r="E242" s="12" t="n"/>
      <c r="F242" s="14" t="n"/>
      <c r="G242" s="14" t="n"/>
      <c r="H242" s="14" t="n"/>
      <c r="I242" s="25">
        <f>IF(F242="","",N(G242)+N(H242))</f>
        <v/>
      </c>
      <c r="J242" s="26">
        <f>IF(N(F242)&gt;0,I242/F242,"")</f>
        <v/>
      </c>
      <c r="K242" s="30">
        <f>IF(J242="","",IF(J242&gt;=Setup!$B$12,"Yes","No"))</f>
        <v/>
      </c>
      <c r="L242" s="30">
        <f>IF(J242="","",IF(J242&gt;1.001,"Covered &gt; extent – check",""))</f>
        <v/>
      </c>
    </row>
    <row r="243">
      <c r="A243" s="12" t="n"/>
      <c r="B243" s="12" t="n"/>
      <c r="C243" s="12" t="n"/>
      <c r="D243" s="12" t="n"/>
      <c r="E243" s="12" t="n"/>
      <c r="F243" s="14" t="n"/>
      <c r="G243" s="14" t="n"/>
      <c r="H243" s="14" t="n"/>
      <c r="I243" s="25">
        <f>IF(F243="","",N(G243)+N(H243))</f>
        <v/>
      </c>
      <c r="J243" s="26">
        <f>IF(N(F243)&gt;0,I243/F243,"")</f>
        <v/>
      </c>
      <c r="K243" s="30">
        <f>IF(J243="","",IF(J243&gt;=Setup!$B$12,"Yes","No"))</f>
        <v/>
      </c>
      <c r="L243" s="30">
        <f>IF(J243="","",IF(J243&gt;1.001,"Covered &gt; extent – check",""))</f>
        <v/>
      </c>
    </row>
    <row r="244">
      <c r="A244" s="12" t="n"/>
      <c r="B244" s="12" t="n"/>
      <c r="C244" s="12" t="n"/>
      <c r="D244" s="12" t="n"/>
      <c r="E244" s="12" t="n"/>
      <c r="F244" s="14" t="n"/>
      <c r="G244" s="14" t="n"/>
      <c r="H244" s="14" t="n"/>
      <c r="I244" s="25">
        <f>IF(F244="","",N(G244)+N(H244))</f>
        <v/>
      </c>
      <c r="J244" s="26">
        <f>IF(N(F244)&gt;0,I244/F244,"")</f>
        <v/>
      </c>
      <c r="K244" s="30">
        <f>IF(J244="","",IF(J244&gt;=Setup!$B$12,"Yes","No"))</f>
        <v/>
      </c>
      <c r="L244" s="30">
        <f>IF(J244="","",IF(J244&gt;1.001,"Covered &gt; extent – check",""))</f>
        <v/>
      </c>
    </row>
    <row r="245">
      <c r="A245" s="12" t="n"/>
      <c r="B245" s="12" t="n"/>
      <c r="C245" s="12" t="n"/>
      <c r="D245" s="12" t="n"/>
      <c r="E245" s="12" t="n"/>
      <c r="F245" s="14" t="n"/>
      <c r="G245" s="14" t="n"/>
      <c r="H245" s="14" t="n"/>
      <c r="I245" s="25">
        <f>IF(F245="","",N(G245)+N(H245))</f>
        <v/>
      </c>
      <c r="J245" s="26">
        <f>IF(N(F245)&gt;0,I245/F245,"")</f>
        <v/>
      </c>
      <c r="K245" s="30">
        <f>IF(J245="","",IF(J245&gt;=Setup!$B$12,"Yes","No"))</f>
        <v/>
      </c>
      <c r="L245" s="30">
        <f>IF(J245="","",IF(J245&gt;1.001,"Covered &gt; extent – check",""))</f>
        <v/>
      </c>
    </row>
    <row r="246">
      <c r="A246" s="12" t="n"/>
      <c r="B246" s="12" t="n"/>
      <c r="C246" s="12" t="n"/>
      <c r="D246" s="12" t="n"/>
      <c r="E246" s="12" t="n"/>
      <c r="F246" s="14" t="n"/>
      <c r="G246" s="14" t="n"/>
      <c r="H246" s="14" t="n"/>
      <c r="I246" s="25">
        <f>IF(F246="","",N(G246)+N(H246))</f>
        <v/>
      </c>
      <c r="J246" s="26">
        <f>IF(N(F246)&gt;0,I246/F246,"")</f>
        <v/>
      </c>
      <c r="K246" s="30">
        <f>IF(J246="","",IF(J246&gt;=Setup!$B$12,"Yes","No"))</f>
        <v/>
      </c>
      <c r="L246" s="30">
        <f>IF(J246="","",IF(J246&gt;1.001,"Covered &gt; extent – check",""))</f>
        <v/>
      </c>
    </row>
    <row r="247">
      <c r="A247" s="12" t="n"/>
      <c r="B247" s="12" t="n"/>
      <c r="C247" s="12" t="n"/>
      <c r="D247" s="12" t="n"/>
      <c r="E247" s="12" t="n"/>
      <c r="F247" s="14" t="n"/>
      <c r="G247" s="14" t="n"/>
      <c r="H247" s="14" t="n"/>
      <c r="I247" s="25">
        <f>IF(F247="","",N(G247)+N(H247))</f>
        <v/>
      </c>
      <c r="J247" s="26">
        <f>IF(N(F247)&gt;0,I247/F247,"")</f>
        <v/>
      </c>
      <c r="K247" s="30">
        <f>IF(J247="","",IF(J247&gt;=Setup!$B$12,"Yes","No"))</f>
        <v/>
      </c>
      <c r="L247" s="30">
        <f>IF(J247="","",IF(J247&gt;1.001,"Covered &gt; extent – check",""))</f>
        <v/>
      </c>
    </row>
    <row r="248">
      <c r="A248" s="12" t="n"/>
      <c r="B248" s="12" t="n"/>
      <c r="C248" s="12" t="n"/>
      <c r="D248" s="12" t="n"/>
      <c r="E248" s="12" t="n"/>
      <c r="F248" s="14" t="n"/>
      <c r="G248" s="14" t="n"/>
      <c r="H248" s="14" t="n"/>
      <c r="I248" s="25">
        <f>IF(F248="","",N(G248)+N(H248))</f>
        <v/>
      </c>
      <c r="J248" s="26">
        <f>IF(N(F248)&gt;0,I248/F248,"")</f>
        <v/>
      </c>
      <c r="K248" s="30">
        <f>IF(J248="","",IF(J248&gt;=Setup!$B$12,"Yes","No"))</f>
        <v/>
      </c>
      <c r="L248" s="30">
        <f>IF(J248="","",IF(J248&gt;1.001,"Covered &gt; extent – check",""))</f>
        <v/>
      </c>
    </row>
    <row r="249">
      <c r="A249" s="12" t="n"/>
      <c r="B249" s="12" t="n"/>
      <c r="C249" s="12" t="n"/>
      <c r="D249" s="12" t="n"/>
      <c r="E249" s="12" t="n"/>
      <c r="F249" s="14" t="n"/>
      <c r="G249" s="14" t="n"/>
      <c r="H249" s="14" t="n"/>
      <c r="I249" s="25">
        <f>IF(F249="","",N(G249)+N(H249))</f>
        <v/>
      </c>
      <c r="J249" s="26">
        <f>IF(N(F249)&gt;0,I249/F249,"")</f>
        <v/>
      </c>
      <c r="K249" s="30">
        <f>IF(J249="","",IF(J249&gt;=Setup!$B$12,"Yes","No"))</f>
        <v/>
      </c>
      <c r="L249" s="30">
        <f>IF(J249="","",IF(J249&gt;1.001,"Covered &gt; extent – check",""))</f>
        <v/>
      </c>
    </row>
    <row r="250">
      <c r="A250" s="12" t="n"/>
      <c r="B250" s="12" t="n"/>
      <c r="C250" s="12" t="n"/>
      <c r="D250" s="12" t="n"/>
      <c r="E250" s="12" t="n"/>
      <c r="F250" s="14" t="n"/>
      <c r="G250" s="14" t="n"/>
      <c r="H250" s="14" t="n"/>
      <c r="I250" s="25">
        <f>IF(F250="","",N(G250)+N(H250))</f>
        <v/>
      </c>
      <c r="J250" s="26">
        <f>IF(N(F250)&gt;0,I250/F250,"")</f>
        <v/>
      </c>
      <c r="K250" s="30">
        <f>IF(J250="","",IF(J250&gt;=Setup!$B$12,"Yes","No"))</f>
        <v/>
      </c>
      <c r="L250" s="30">
        <f>IF(J250="","",IF(J250&gt;1.001,"Covered &gt; extent – check",""))</f>
        <v/>
      </c>
    </row>
    <row r="251">
      <c r="A251" s="12" t="n"/>
      <c r="B251" s="12" t="n"/>
      <c r="C251" s="12" t="n"/>
      <c r="D251" s="12" t="n"/>
      <c r="E251" s="12" t="n"/>
      <c r="F251" s="14" t="n"/>
      <c r="G251" s="14" t="n"/>
      <c r="H251" s="14" t="n"/>
      <c r="I251" s="25">
        <f>IF(F251="","",N(G251)+N(H251))</f>
        <v/>
      </c>
      <c r="J251" s="26">
        <f>IF(N(F251)&gt;0,I251/F251,"")</f>
        <v/>
      </c>
      <c r="K251" s="30">
        <f>IF(J251="","",IF(J251&gt;=Setup!$B$12,"Yes","No"))</f>
        <v/>
      </c>
      <c r="L251" s="30">
        <f>IF(J251="","",IF(J251&gt;1.001,"Covered &gt; extent – check",""))</f>
        <v/>
      </c>
    </row>
    <row r="252">
      <c r="A252" s="12" t="n"/>
      <c r="B252" s="12" t="n"/>
      <c r="C252" s="12" t="n"/>
      <c r="D252" s="12" t="n"/>
      <c r="E252" s="12" t="n"/>
      <c r="F252" s="14" t="n"/>
      <c r="G252" s="14" t="n"/>
      <c r="H252" s="14" t="n"/>
      <c r="I252" s="25">
        <f>IF(F252="","",N(G252)+N(H252))</f>
        <v/>
      </c>
      <c r="J252" s="26">
        <f>IF(N(F252)&gt;0,I252/F252,"")</f>
        <v/>
      </c>
      <c r="K252" s="30">
        <f>IF(J252="","",IF(J252&gt;=Setup!$B$12,"Yes","No"))</f>
        <v/>
      </c>
      <c r="L252" s="30">
        <f>IF(J252="","",IF(J252&gt;1.001,"Covered &gt; extent – check",""))</f>
        <v/>
      </c>
    </row>
    <row r="253">
      <c r="A253" s="12" t="n"/>
      <c r="B253" s="12" t="n"/>
      <c r="C253" s="12" t="n"/>
      <c r="D253" s="12" t="n"/>
      <c r="E253" s="12" t="n"/>
      <c r="F253" s="14" t="n"/>
      <c r="G253" s="14" t="n"/>
      <c r="H253" s="14" t="n"/>
      <c r="I253" s="25">
        <f>IF(F253="","",N(G253)+N(H253))</f>
        <v/>
      </c>
      <c r="J253" s="26">
        <f>IF(N(F253)&gt;0,I253/F253,"")</f>
        <v/>
      </c>
      <c r="K253" s="30">
        <f>IF(J253="","",IF(J253&gt;=Setup!$B$12,"Yes","No"))</f>
        <v/>
      </c>
      <c r="L253" s="30">
        <f>IF(J253="","",IF(J253&gt;1.001,"Covered &gt; extent – check",""))</f>
        <v/>
      </c>
    </row>
    <row r="254">
      <c r="A254" s="12" t="n"/>
      <c r="B254" s="12" t="n"/>
      <c r="C254" s="12" t="n"/>
      <c r="D254" s="12" t="n"/>
      <c r="E254" s="12" t="n"/>
      <c r="F254" s="14" t="n"/>
      <c r="G254" s="14" t="n"/>
      <c r="H254" s="14" t="n"/>
      <c r="I254" s="25">
        <f>IF(F254="","",N(G254)+N(H254))</f>
        <v/>
      </c>
      <c r="J254" s="26">
        <f>IF(N(F254)&gt;0,I254/F254,"")</f>
        <v/>
      </c>
      <c r="K254" s="30">
        <f>IF(J254="","",IF(J254&gt;=Setup!$B$12,"Yes","No"))</f>
        <v/>
      </c>
      <c r="L254" s="30">
        <f>IF(J254="","",IF(J254&gt;1.001,"Covered &gt; extent – check",""))</f>
        <v/>
      </c>
    </row>
    <row r="255">
      <c r="A255" s="12" t="n"/>
      <c r="B255" s="12" t="n"/>
      <c r="C255" s="12" t="n"/>
      <c r="D255" s="12" t="n"/>
      <c r="E255" s="12" t="n"/>
      <c r="F255" s="14" t="n"/>
      <c r="G255" s="14" t="n"/>
      <c r="H255" s="14" t="n"/>
      <c r="I255" s="25">
        <f>IF(F255="","",N(G255)+N(H255))</f>
        <v/>
      </c>
      <c r="J255" s="26">
        <f>IF(N(F255)&gt;0,I255/F255,"")</f>
        <v/>
      </c>
      <c r="K255" s="30">
        <f>IF(J255="","",IF(J255&gt;=Setup!$B$12,"Yes","No"))</f>
        <v/>
      </c>
      <c r="L255" s="30">
        <f>IF(J255="","",IF(J255&gt;1.001,"Covered &gt; extent – check",""))</f>
        <v/>
      </c>
    </row>
    <row r="256">
      <c r="A256" s="12" t="n"/>
      <c r="B256" s="12" t="n"/>
      <c r="C256" s="12" t="n"/>
      <c r="D256" s="12" t="n"/>
      <c r="E256" s="12" t="n"/>
      <c r="F256" s="14" t="n"/>
      <c r="G256" s="14" t="n"/>
      <c r="H256" s="14" t="n"/>
      <c r="I256" s="25">
        <f>IF(F256="","",N(G256)+N(H256))</f>
        <v/>
      </c>
      <c r="J256" s="26">
        <f>IF(N(F256)&gt;0,I256/F256,"")</f>
        <v/>
      </c>
      <c r="K256" s="30">
        <f>IF(J256="","",IF(J256&gt;=Setup!$B$12,"Yes","No"))</f>
        <v/>
      </c>
      <c r="L256" s="30">
        <f>IF(J256="","",IF(J256&gt;1.001,"Covered &gt; extent – check",""))</f>
        <v/>
      </c>
    </row>
    <row r="257">
      <c r="A257" s="12" t="n"/>
      <c r="B257" s="12" t="n"/>
      <c r="C257" s="12" t="n"/>
      <c r="D257" s="12" t="n"/>
      <c r="E257" s="12" t="n"/>
      <c r="F257" s="14" t="n"/>
      <c r="G257" s="14" t="n"/>
      <c r="H257" s="14" t="n"/>
      <c r="I257" s="25">
        <f>IF(F257="","",N(G257)+N(H257))</f>
        <v/>
      </c>
      <c r="J257" s="26">
        <f>IF(N(F257)&gt;0,I257/F257,"")</f>
        <v/>
      </c>
      <c r="K257" s="30">
        <f>IF(J257="","",IF(J257&gt;=Setup!$B$12,"Yes","No"))</f>
        <v/>
      </c>
      <c r="L257" s="30">
        <f>IF(J257="","",IF(J257&gt;1.001,"Covered &gt; extent – check",""))</f>
        <v/>
      </c>
    </row>
    <row r="258">
      <c r="A258" s="12" t="n"/>
      <c r="B258" s="12" t="n"/>
      <c r="C258" s="12" t="n"/>
      <c r="D258" s="12" t="n"/>
      <c r="E258" s="12" t="n"/>
      <c r="F258" s="14" t="n"/>
      <c r="G258" s="14" t="n"/>
      <c r="H258" s="14" t="n"/>
      <c r="I258" s="25">
        <f>IF(F258="","",N(G258)+N(H258))</f>
        <v/>
      </c>
      <c r="J258" s="26">
        <f>IF(N(F258)&gt;0,I258/F258,"")</f>
        <v/>
      </c>
      <c r="K258" s="30">
        <f>IF(J258="","",IF(J258&gt;=Setup!$B$12,"Yes","No"))</f>
        <v/>
      </c>
      <c r="L258" s="30">
        <f>IF(J258="","",IF(J258&gt;1.001,"Covered &gt; extent – check",""))</f>
        <v/>
      </c>
    </row>
    <row r="259">
      <c r="A259" s="12" t="n"/>
      <c r="B259" s="12" t="n"/>
      <c r="C259" s="12" t="n"/>
      <c r="D259" s="12" t="n"/>
      <c r="E259" s="12" t="n"/>
      <c r="F259" s="14" t="n"/>
      <c r="G259" s="14" t="n"/>
      <c r="H259" s="14" t="n"/>
      <c r="I259" s="25">
        <f>IF(F259="","",N(G259)+N(H259))</f>
        <v/>
      </c>
      <c r="J259" s="26">
        <f>IF(N(F259)&gt;0,I259/F259,"")</f>
        <v/>
      </c>
      <c r="K259" s="30">
        <f>IF(J259="","",IF(J259&gt;=Setup!$B$12,"Yes","No"))</f>
        <v/>
      </c>
      <c r="L259" s="30">
        <f>IF(J259="","",IF(J259&gt;1.001,"Covered &gt; extent – check",""))</f>
        <v/>
      </c>
    </row>
    <row r="260">
      <c r="A260" s="12" t="n"/>
      <c r="B260" s="12" t="n"/>
      <c r="C260" s="12" t="n"/>
      <c r="D260" s="12" t="n"/>
      <c r="E260" s="12" t="n"/>
      <c r="F260" s="14" t="n"/>
      <c r="G260" s="14" t="n"/>
      <c r="H260" s="14" t="n"/>
      <c r="I260" s="25">
        <f>IF(F260="","",N(G260)+N(H260))</f>
        <v/>
      </c>
      <c r="J260" s="26">
        <f>IF(N(F260)&gt;0,I260/F260,"")</f>
        <v/>
      </c>
      <c r="K260" s="30">
        <f>IF(J260="","",IF(J260&gt;=Setup!$B$12,"Yes","No"))</f>
        <v/>
      </c>
      <c r="L260" s="30">
        <f>IF(J260="","",IF(J260&gt;1.001,"Covered &gt; extent – check",""))</f>
        <v/>
      </c>
    </row>
    <row r="261">
      <c r="A261" s="12" t="n"/>
      <c r="B261" s="12" t="n"/>
      <c r="C261" s="12" t="n"/>
      <c r="D261" s="12" t="n"/>
      <c r="E261" s="12" t="n"/>
      <c r="F261" s="14" t="n"/>
      <c r="G261" s="14" t="n"/>
      <c r="H261" s="14" t="n"/>
      <c r="I261" s="25">
        <f>IF(F261="","",N(G261)+N(H261))</f>
        <v/>
      </c>
      <c r="J261" s="26">
        <f>IF(N(F261)&gt;0,I261/F261,"")</f>
        <v/>
      </c>
      <c r="K261" s="30">
        <f>IF(J261="","",IF(J261&gt;=Setup!$B$12,"Yes","No"))</f>
        <v/>
      </c>
      <c r="L261" s="30">
        <f>IF(J261="","",IF(J261&gt;1.001,"Covered &gt; extent – check",""))</f>
        <v/>
      </c>
    </row>
    <row r="262">
      <c r="A262" s="12" t="n"/>
      <c r="B262" s="12" t="n"/>
      <c r="C262" s="12" t="n"/>
      <c r="D262" s="12" t="n"/>
      <c r="E262" s="12" t="n"/>
      <c r="F262" s="14" t="n"/>
      <c r="G262" s="14" t="n"/>
      <c r="H262" s="14" t="n"/>
      <c r="I262" s="25">
        <f>IF(F262="","",N(G262)+N(H262))</f>
        <v/>
      </c>
      <c r="J262" s="26">
        <f>IF(N(F262)&gt;0,I262/F262,"")</f>
        <v/>
      </c>
      <c r="K262" s="30">
        <f>IF(J262="","",IF(J262&gt;=Setup!$B$12,"Yes","No"))</f>
        <v/>
      </c>
      <c r="L262" s="30">
        <f>IF(J262="","",IF(J262&gt;1.001,"Covered &gt; extent – check",""))</f>
        <v/>
      </c>
    </row>
    <row r="263">
      <c r="A263" s="12" t="n"/>
      <c r="B263" s="12" t="n"/>
      <c r="C263" s="12" t="n"/>
      <c r="D263" s="12" t="n"/>
      <c r="E263" s="12" t="n"/>
      <c r="F263" s="14" t="n"/>
      <c r="G263" s="14" t="n"/>
      <c r="H263" s="14" t="n"/>
      <c r="I263" s="25">
        <f>IF(F263="","",N(G263)+N(H263))</f>
        <v/>
      </c>
      <c r="J263" s="26">
        <f>IF(N(F263)&gt;0,I263/F263,"")</f>
        <v/>
      </c>
      <c r="K263" s="30">
        <f>IF(J263="","",IF(J263&gt;=Setup!$B$12,"Yes","No"))</f>
        <v/>
      </c>
      <c r="L263" s="30">
        <f>IF(J263="","",IF(J263&gt;1.001,"Covered &gt; extent – check",""))</f>
        <v/>
      </c>
    </row>
    <row r="264">
      <c r="A264" s="12" t="n"/>
      <c r="B264" s="12" t="n"/>
      <c r="C264" s="12" t="n"/>
      <c r="D264" s="12" t="n"/>
      <c r="E264" s="12" t="n"/>
      <c r="F264" s="14" t="n"/>
      <c r="G264" s="14" t="n"/>
      <c r="H264" s="14" t="n"/>
      <c r="I264" s="25">
        <f>IF(F264="","",N(G264)+N(H264))</f>
        <v/>
      </c>
      <c r="J264" s="26">
        <f>IF(N(F264)&gt;0,I264/F264,"")</f>
        <v/>
      </c>
      <c r="K264" s="30">
        <f>IF(J264="","",IF(J264&gt;=Setup!$B$12,"Yes","No"))</f>
        <v/>
      </c>
      <c r="L264" s="30">
        <f>IF(J264="","",IF(J264&gt;1.001,"Covered &gt; extent – check",""))</f>
        <v/>
      </c>
    </row>
    <row r="265">
      <c r="A265" s="12" t="n"/>
      <c r="B265" s="12" t="n"/>
      <c r="C265" s="12" t="n"/>
      <c r="D265" s="12" t="n"/>
      <c r="E265" s="12" t="n"/>
      <c r="F265" s="14" t="n"/>
      <c r="G265" s="14" t="n"/>
      <c r="H265" s="14" t="n"/>
      <c r="I265" s="25">
        <f>IF(F265="","",N(G265)+N(H265))</f>
        <v/>
      </c>
      <c r="J265" s="26">
        <f>IF(N(F265)&gt;0,I265/F265,"")</f>
        <v/>
      </c>
      <c r="K265" s="30">
        <f>IF(J265="","",IF(J265&gt;=Setup!$B$12,"Yes","No"))</f>
        <v/>
      </c>
      <c r="L265" s="30">
        <f>IF(J265="","",IF(J265&gt;1.001,"Covered &gt; extent – check",""))</f>
        <v/>
      </c>
    </row>
    <row r="266">
      <c r="A266" s="12" t="n"/>
      <c r="B266" s="12" t="n"/>
      <c r="C266" s="12" t="n"/>
      <c r="D266" s="12" t="n"/>
      <c r="E266" s="12" t="n"/>
      <c r="F266" s="14" t="n"/>
      <c r="G266" s="14" t="n"/>
      <c r="H266" s="14" t="n"/>
      <c r="I266" s="25">
        <f>IF(F266="","",N(G266)+N(H266))</f>
        <v/>
      </c>
      <c r="J266" s="26">
        <f>IF(N(F266)&gt;0,I266/F266,"")</f>
        <v/>
      </c>
      <c r="K266" s="30">
        <f>IF(J266="","",IF(J266&gt;=Setup!$B$12,"Yes","No"))</f>
        <v/>
      </c>
      <c r="L266" s="30">
        <f>IF(J266="","",IF(J266&gt;1.001,"Covered &gt; extent – check",""))</f>
        <v/>
      </c>
    </row>
    <row r="267">
      <c r="A267" s="12" t="n"/>
      <c r="B267" s="12" t="n"/>
      <c r="C267" s="12" t="n"/>
      <c r="D267" s="12" t="n"/>
      <c r="E267" s="12" t="n"/>
      <c r="F267" s="14" t="n"/>
      <c r="G267" s="14" t="n"/>
      <c r="H267" s="14" t="n"/>
      <c r="I267" s="25">
        <f>IF(F267="","",N(G267)+N(H267))</f>
        <v/>
      </c>
      <c r="J267" s="26">
        <f>IF(N(F267)&gt;0,I267/F267,"")</f>
        <v/>
      </c>
      <c r="K267" s="30">
        <f>IF(J267="","",IF(J267&gt;=Setup!$B$12,"Yes","No"))</f>
        <v/>
      </c>
      <c r="L267" s="30">
        <f>IF(J267="","",IF(J267&gt;1.001,"Covered &gt; extent – check",""))</f>
        <v/>
      </c>
    </row>
    <row r="268">
      <c r="A268" s="12" t="n"/>
      <c r="B268" s="12" t="n"/>
      <c r="C268" s="12" t="n"/>
      <c r="D268" s="12" t="n"/>
      <c r="E268" s="12" t="n"/>
      <c r="F268" s="14" t="n"/>
      <c r="G268" s="14" t="n"/>
      <c r="H268" s="14" t="n"/>
      <c r="I268" s="25">
        <f>IF(F268="","",N(G268)+N(H268))</f>
        <v/>
      </c>
      <c r="J268" s="26">
        <f>IF(N(F268)&gt;0,I268/F268,"")</f>
        <v/>
      </c>
      <c r="K268" s="30">
        <f>IF(J268="","",IF(J268&gt;=Setup!$B$12,"Yes","No"))</f>
        <v/>
      </c>
      <c r="L268" s="30">
        <f>IF(J268="","",IF(J268&gt;1.001,"Covered &gt; extent – check",""))</f>
        <v/>
      </c>
    </row>
    <row r="269">
      <c r="A269" s="12" t="n"/>
      <c r="B269" s="12" t="n"/>
      <c r="C269" s="12" t="n"/>
      <c r="D269" s="12" t="n"/>
      <c r="E269" s="12" t="n"/>
      <c r="F269" s="14" t="n"/>
      <c r="G269" s="14" t="n"/>
      <c r="H269" s="14" t="n"/>
      <c r="I269" s="25">
        <f>IF(F269="","",N(G269)+N(H269))</f>
        <v/>
      </c>
      <c r="J269" s="26">
        <f>IF(N(F269)&gt;0,I269/F269,"")</f>
        <v/>
      </c>
      <c r="K269" s="30">
        <f>IF(J269="","",IF(J269&gt;=Setup!$B$12,"Yes","No"))</f>
        <v/>
      </c>
      <c r="L269" s="30">
        <f>IF(J269="","",IF(J269&gt;1.001,"Covered &gt; extent – check",""))</f>
        <v/>
      </c>
    </row>
    <row r="270">
      <c r="A270" s="12" t="n"/>
      <c r="B270" s="12" t="n"/>
      <c r="C270" s="12" t="n"/>
      <c r="D270" s="12" t="n"/>
      <c r="E270" s="12" t="n"/>
      <c r="F270" s="14" t="n"/>
      <c r="G270" s="14" t="n"/>
      <c r="H270" s="14" t="n"/>
      <c r="I270" s="25">
        <f>IF(F270="","",N(G270)+N(H270))</f>
        <v/>
      </c>
      <c r="J270" s="26">
        <f>IF(N(F270)&gt;0,I270/F270,"")</f>
        <v/>
      </c>
      <c r="K270" s="30">
        <f>IF(J270="","",IF(J270&gt;=Setup!$B$12,"Yes","No"))</f>
        <v/>
      </c>
      <c r="L270" s="30">
        <f>IF(J270="","",IF(J270&gt;1.001,"Covered &gt; extent – check",""))</f>
        <v/>
      </c>
    </row>
    <row r="271">
      <c r="A271" s="12" t="n"/>
      <c r="B271" s="12" t="n"/>
      <c r="C271" s="12" t="n"/>
      <c r="D271" s="12" t="n"/>
      <c r="E271" s="12" t="n"/>
      <c r="F271" s="14" t="n"/>
      <c r="G271" s="14" t="n"/>
      <c r="H271" s="14" t="n"/>
      <c r="I271" s="25">
        <f>IF(F271="","",N(G271)+N(H271))</f>
        <v/>
      </c>
      <c r="J271" s="26">
        <f>IF(N(F271)&gt;0,I271/F271,"")</f>
        <v/>
      </c>
      <c r="K271" s="30">
        <f>IF(J271="","",IF(J271&gt;=Setup!$B$12,"Yes","No"))</f>
        <v/>
      </c>
      <c r="L271" s="30">
        <f>IF(J271="","",IF(J271&gt;1.001,"Covered &gt; extent – check",""))</f>
        <v/>
      </c>
    </row>
    <row r="272">
      <c r="A272" s="12" t="n"/>
      <c r="B272" s="12" t="n"/>
      <c r="C272" s="12" t="n"/>
      <c r="D272" s="12" t="n"/>
      <c r="E272" s="12" t="n"/>
      <c r="F272" s="14" t="n"/>
      <c r="G272" s="14" t="n"/>
      <c r="H272" s="14" t="n"/>
      <c r="I272" s="25">
        <f>IF(F272="","",N(G272)+N(H272))</f>
        <v/>
      </c>
      <c r="J272" s="26">
        <f>IF(N(F272)&gt;0,I272/F272,"")</f>
        <v/>
      </c>
      <c r="K272" s="30">
        <f>IF(J272="","",IF(J272&gt;=Setup!$B$12,"Yes","No"))</f>
        <v/>
      </c>
      <c r="L272" s="30">
        <f>IF(J272="","",IF(J272&gt;1.001,"Covered &gt; extent – check",""))</f>
        <v/>
      </c>
    </row>
    <row r="273">
      <c r="A273" s="12" t="n"/>
      <c r="B273" s="12" t="n"/>
      <c r="C273" s="12" t="n"/>
      <c r="D273" s="12" t="n"/>
      <c r="E273" s="12" t="n"/>
      <c r="F273" s="14" t="n"/>
      <c r="G273" s="14" t="n"/>
      <c r="H273" s="14" t="n"/>
      <c r="I273" s="25">
        <f>IF(F273="","",N(G273)+N(H273))</f>
        <v/>
      </c>
      <c r="J273" s="26">
        <f>IF(N(F273)&gt;0,I273/F273,"")</f>
        <v/>
      </c>
      <c r="K273" s="30">
        <f>IF(J273="","",IF(J273&gt;=Setup!$B$12,"Yes","No"))</f>
        <v/>
      </c>
      <c r="L273" s="30">
        <f>IF(J273="","",IF(J273&gt;1.001,"Covered &gt; extent – check",""))</f>
        <v/>
      </c>
    </row>
    <row r="274">
      <c r="A274" s="12" t="n"/>
      <c r="B274" s="12" t="n"/>
      <c r="C274" s="12" t="n"/>
      <c r="D274" s="12" t="n"/>
      <c r="E274" s="12" t="n"/>
      <c r="F274" s="14" t="n"/>
      <c r="G274" s="14" t="n"/>
      <c r="H274" s="14" t="n"/>
      <c r="I274" s="25">
        <f>IF(F274="","",N(G274)+N(H274))</f>
        <v/>
      </c>
      <c r="J274" s="26">
        <f>IF(N(F274)&gt;0,I274/F274,"")</f>
        <v/>
      </c>
      <c r="K274" s="30">
        <f>IF(J274="","",IF(J274&gt;=Setup!$B$12,"Yes","No"))</f>
        <v/>
      </c>
      <c r="L274" s="30">
        <f>IF(J274="","",IF(J274&gt;1.001,"Covered &gt; extent – check",""))</f>
        <v/>
      </c>
    </row>
    <row r="275">
      <c r="A275" s="12" t="n"/>
      <c r="B275" s="12" t="n"/>
      <c r="C275" s="12" t="n"/>
      <c r="D275" s="12" t="n"/>
      <c r="E275" s="12" t="n"/>
      <c r="F275" s="14" t="n"/>
      <c r="G275" s="14" t="n"/>
      <c r="H275" s="14" t="n"/>
      <c r="I275" s="25">
        <f>IF(F275="","",N(G275)+N(H275))</f>
        <v/>
      </c>
      <c r="J275" s="26">
        <f>IF(N(F275)&gt;0,I275/F275,"")</f>
        <v/>
      </c>
      <c r="K275" s="30">
        <f>IF(J275="","",IF(J275&gt;=Setup!$B$12,"Yes","No"))</f>
        <v/>
      </c>
      <c r="L275" s="30">
        <f>IF(J275="","",IF(J275&gt;1.001,"Covered &gt; extent – check",""))</f>
        <v/>
      </c>
    </row>
    <row r="276">
      <c r="A276" s="12" t="n"/>
      <c r="B276" s="12" t="n"/>
      <c r="C276" s="12" t="n"/>
      <c r="D276" s="12" t="n"/>
      <c r="E276" s="12" t="n"/>
      <c r="F276" s="14" t="n"/>
      <c r="G276" s="14" t="n"/>
      <c r="H276" s="14" t="n"/>
      <c r="I276" s="25">
        <f>IF(F276="","",N(G276)+N(H276))</f>
        <v/>
      </c>
      <c r="J276" s="26">
        <f>IF(N(F276)&gt;0,I276/F276,"")</f>
        <v/>
      </c>
      <c r="K276" s="30">
        <f>IF(J276="","",IF(J276&gt;=Setup!$B$12,"Yes","No"))</f>
        <v/>
      </c>
      <c r="L276" s="30">
        <f>IF(J276="","",IF(J276&gt;1.001,"Covered &gt; extent – check",""))</f>
        <v/>
      </c>
    </row>
    <row r="277">
      <c r="A277" s="12" t="n"/>
      <c r="B277" s="12" t="n"/>
      <c r="C277" s="12" t="n"/>
      <c r="D277" s="12" t="n"/>
      <c r="E277" s="12" t="n"/>
      <c r="F277" s="14" t="n"/>
      <c r="G277" s="14" t="n"/>
      <c r="H277" s="14" t="n"/>
      <c r="I277" s="25">
        <f>IF(F277="","",N(G277)+N(H277))</f>
        <v/>
      </c>
      <c r="J277" s="26">
        <f>IF(N(F277)&gt;0,I277/F277,"")</f>
        <v/>
      </c>
      <c r="K277" s="30">
        <f>IF(J277="","",IF(J277&gt;=Setup!$B$12,"Yes","No"))</f>
        <v/>
      </c>
      <c r="L277" s="30">
        <f>IF(J277="","",IF(J277&gt;1.001,"Covered &gt; extent – check",""))</f>
        <v/>
      </c>
    </row>
    <row r="278">
      <c r="A278" s="12" t="n"/>
      <c r="B278" s="12" t="n"/>
      <c r="C278" s="12" t="n"/>
      <c r="D278" s="12" t="n"/>
      <c r="E278" s="12" t="n"/>
      <c r="F278" s="14" t="n"/>
      <c r="G278" s="14" t="n"/>
      <c r="H278" s="14" t="n"/>
      <c r="I278" s="25">
        <f>IF(F278="","",N(G278)+N(H278))</f>
        <v/>
      </c>
      <c r="J278" s="26">
        <f>IF(N(F278)&gt;0,I278/F278,"")</f>
        <v/>
      </c>
      <c r="K278" s="30">
        <f>IF(J278="","",IF(J278&gt;=Setup!$B$12,"Yes","No"))</f>
        <v/>
      </c>
      <c r="L278" s="30">
        <f>IF(J278="","",IF(J278&gt;1.001,"Covered &gt; extent – check",""))</f>
        <v/>
      </c>
    </row>
    <row r="279">
      <c r="A279" s="12" t="n"/>
      <c r="B279" s="12" t="n"/>
      <c r="C279" s="12" t="n"/>
      <c r="D279" s="12" t="n"/>
      <c r="E279" s="12" t="n"/>
      <c r="F279" s="14" t="n"/>
      <c r="G279" s="14" t="n"/>
      <c r="H279" s="14" t="n"/>
      <c r="I279" s="25">
        <f>IF(F279="","",N(G279)+N(H279))</f>
        <v/>
      </c>
      <c r="J279" s="26">
        <f>IF(N(F279)&gt;0,I279/F279,"")</f>
        <v/>
      </c>
      <c r="K279" s="30">
        <f>IF(J279="","",IF(J279&gt;=Setup!$B$12,"Yes","No"))</f>
        <v/>
      </c>
      <c r="L279" s="30">
        <f>IF(J279="","",IF(J279&gt;1.001,"Covered &gt; extent – check",""))</f>
        <v/>
      </c>
    </row>
    <row r="280">
      <c r="A280" s="12" t="n"/>
      <c r="B280" s="12" t="n"/>
      <c r="C280" s="12" t="n"/>
      <c r="D280" s="12" t="n"/>
      <c r="E280" s="12" t="n"/>
      <c r="F280" s="14" t="n"/>
      <c r="G280" s="14" t="n"/>
      <c r="H280" s="14" t="n"/>
      <c r="I280" s="25">
        <f>IF(F280="","",N(G280)+N(H280))</f>
        <v/>
      </c>
      <c r="J280" s="26">
        <f>IF(N(F280)&gt;0,I280/F280,"")</f>
        <v/>
      </c>
      <c r="K280" s="30">
        <f>IF(J280="","",IF(J280&gt;=Setup!$B$12,"Yes","No"))</f>
        <v/>
      </c>
      <c r="L280" s="30">
        <f>IF(J280="","",IF(J280&gt;1.001,"Covered &gt; extent – check",""))</f>
        <v/>
      </c>
    </row>
    <row r="281">
      <c r="A281" s="12" t="n"/>
      <c r="B281" s="12" t="n"/>
      <c r="C281" s="12" t="n"/>
      <c r="D281" s="12" t="n"/>
      <c r="E281" s="12" t="n"/>
      <c r="F281" s="14" t="n"/>
      <c r="G281" s="14" t="n"/>
      <c r="H281" s="14" t="n"/>
      <c r="I281" s="25">
        <f>IF(F281="","",N(G281)+N(H281))</f>
        <v/>
      </c>
      <c r="J281" s="26">
        <f>IF(N(F281)&gt;0,I281/F281,"")</f>
        <v/>
      </c>
      <c r="K281" s="30">
        <f>IF(J281="","",IF(J281&gt;=Setup!$B$12,"Yes","No"))</f>
        <v/>
      </c>
      <c r="L281" s="30">
        <f>IF(J281="","",IF(J281&gt;1.001,"Covered &gt; extent – check",""))</f>
        <v/>
      </c>
    </row>
    <row r="282">
      <c r="A282" s="12" t="n"/>
      <c r="B282" s="12" t="n"/>
      <c r="C282" s="12" t="n"/>
      <c r="D282" s="12" t="n"/>
      <c r="E282" s="12" t="n"/>
      <c r="F282" s="14" t="n"/>
      <c r="G282" s="14" t="n"/>
      <c r="H282" s="14" t="n"/>
      <c r="I282" s="25">
        <f>IF(F282="","",N(G282)+N(H282))</f>
        <v/>
      </c>
      <c r="J282" s="26">
        <f>IF(N(F282)&gt;0,I282/F282,"")</f>
        <v/>
      </c>
      <c r="K282" s="30">
        <f>IF(J282="","",IF(J282&gt;=Setup!$B$12,"Yes","No"))</f>
        <v/>
      </c>
      <c r="L282" s="30">
        <f>IF(J282="","",IF(J282&gt;1.001,"Covered &gt; extent – check",""))</f>
        <v/>
      </c>
    </row>
    <row r="283">
      <c r="A283" s="12" t="n"/>
      <c r="B283" s="12" t="n"/>
      <c r="C283" s="12" t="n"/>
      <c r="D283" s="12" t="n"/>
      <c r="E283" s="12" t="n"/>
      <c r="F283" s="14" t="n"/>
      <c r="G283" s="14" t="n"/>
      <c r="H283" s="14" t="n"/>
      <c r="I283" s="25">
        <f>IF(F283="","",N(G283)+N(H283))</f>
        <v/>
      </c>
      <c r="J283" s="26">
        <f>IF(N(F283)&gt;0,I283/F283,"")</f>
        <v/>
      </c>
      <c r="K283" s="30">
        <f>IF(J283="","",IF(J283&gt;=Setup!$B$12,"Yes","No"))</f>
        <v/>
      </c>
      <c r="L283" s="30">
        <f>IF(J283="","",IF(J283&gt;1.001,"Covered &gt; extent – check",""))</f>
        <v/>
      </c>
    </row>
    <row r="284">
      <c r="A284" s="12" t="n"/>
      <c r="B284" s="12" t="n"/>
      <c r="C284" s="12" t="n"/>
      <c r="D284" s="12" t="n"/>
      <c r="E284" s="12" t="n"/>
      <c r="F284" s="14" t="n"/>
      <c r="G284" s="14" t="n"/>
      <c r="H284" s="14" t="n"/>
      <c r="I284" s="25">
        <f>IF(F284="","",N(G284)+N(H284))</f>
        <v/>
      </c>
      <c r="J284" s="26">
        <f>IF(N(F284)&gt;0,I284/F284,"")</f>
        <v/>
      </c>
      <c r="K284" s="30">
        <f>IF(J284="","",IF(J284&gt;=Setup!$B$12,"Yes","No"))</f>
        <v/>
      </c>
      <c r="L284" s="30">
        <f>IF(J284="","",IF(J284&gt;1.001,"Covered &gt; extent – check",""))</f>
        <v/>
      </c>
    </row>
    <row r="285">
      <c r="A285" s="12" t="n"/>
      <c r="B285" s="12" t="n"/>
      <c r="C285" s="12" t="n"/>
      <c r="D285" s="12" t="n"/>
      <c r="E285" s="12" t="n"/>
      <c r="F285" s="14" t="n"/>
      <c r="G285" s="14" t="n"/>
      <c r="H285" s="14" t="n"/>
      <c r="I285" s="25">
        <f>IF(F285="","",N(G285)+N(H285))</f>
        <v/>
      </c>
      <c r="J285" s="26">
        <f>IF(N(F285)&gt;0,I285/F285,"")</f>
        <v/>
      </c>
      <c r="K285" s="30">
        <f>IF(J285="","",IF(J285&gt;=Setup!$B$12,"Yes","No"))</f>
        <v/>
      </c>
      <c r="L285" s="30">
        <f>IF(J285="","",IF(J285&gt;1.001,"Covered &gt; extent – check",""))</f>
        <v/>
      </c>
    </row>
    <row r="286">
      <c r="A286" s="12" t="n"/>
      <c r="B286" s="12" t="n"/>
      <c r="C286" s="12" t="n"/>
      <c r="D286" s="12" t="n"/>
      <c r="E286" s="12" t="n"/>
      <c r="F286" s="14" t="n"/>
      <c r="G286" s="14" t="n"/>
      <c r="H286" s="14" t="n"/>
      <c r="I286" s="25">
        <f>IF(F286="","",N(G286)+N(H286))</f>
        <v/>
      </c>
      <c r="J286" s="26">
        <f>IF(N(F286)&gt;0,I286/F286,"")</f>
        <v/>
      </c>
      <c r="K286" s="30">
        <f>IF(J286="","",IF(J286&gt;=Setup!$B$12,"Yes","No"))</f>
        <v/>
      </c>
      <c r="L286" s="30">
        <f>IF(J286="","",IF(J286&gt;1.001,"Covered &gt; extent – check",""))</f>
        <v/>
      </c>
    </row>
    <row r="287">
      <c r="A287" s="12" t="n"/>
      <c r="B287" s="12" t="n"/>
      <c r="C287" s="12" t="n"/>
      <c r="D287" s="12" t="n"/>
      <c r="E287" s="12" t="n"/>
      <c r="F287" s="14" t="n"/>
      <c r="G287" s="14" t="n"/>
      <c r="H287" s="14" t="n"/>
      <c r="I287" s="25">
        <f>IF(F287="","",N(G287)+N(H287))</f>
        <v/>
      </c>
      <c r="J287" s="26">
        <f>IF(N(F287)&gt;0,I287/F287,"")</f>
        <v/>
      </c>
      <c r="K287" s="30">
        <f>IF(J287="","",IF(J287&gt;=Setup!$B$12,"Yes","No"))</f>
        <v/>
      </c>
      <c r="L287" s="30">
        <f>IF(J287="","",IF(J287&gt;1.001,"Covered &gt; extent – check",""))</f>
        <v/>
      </c>
    </row>
    <row r="288">
      <c r="A288" s="12" t="n"/>
      <c r="B288" s="12" t="n"/>
      <c r="C288" s="12" t="n"/>
      <c r="D288" s="12" t="n"/>
      <c r="E288" s="12" t="n"/>
      <c r="F288" s="14" t="n"/>
      <c r="G288" s="14" t="n"/>
      <c r="H288" s="14" t="n"/>
      <c r="I288" s="25">
        <f>IF(F288="","",N(G288)+N(H288))</f>
        <v/>
      </c>
      <c r="J288" s="26">
        <f>IF(N(F288)&gt;0,I288/F288,"")</f>
        <v/>
      </c>
      <c r="K288" s="30">
        <f>IF(J288="","",IF(J288&gt;=Setup!$B$12,"Yes","No"))</f>
        <v/>
      </c>
      <c r="L288" s="30">
        <f>IF(J288="","",IF(J288&gt;1.001,"Covered &gt; extent – check",""))</f>
        <v/>
      </c>
    </row>
    <row r="289">
      <c r="A289" s="12" t="n"/>
      <c r="B289" s="12" t="n"/>
      <c r="C289" s="12" t="n"/>
      <c r="D289" s="12" t="n"/>
      <c r="E289" s="12" t="n"/>
      <c r="F289" s="14" t="n"/>
      <c r="G289" s="14" t="n"/>
      <c r="H289" s="14" t="n"/>
      <c r="I289" s="25">
        <f>IF(F289="","",N(G289)+N(H289))</f>
        <v/>
      </c>
      <c r="J289" s="26">
        <f>IF(N(F289)&gt;0,I289/F289,"")</f>
        <v/>
      </c>
      <c r="K289" s="30">
        <f>IF(J289="","",IF(J289&gt;=Setup!$B$12,"Yes","No"))</f>
        <v/>
      </c>
      <c r="L289" s="30">
        <f>IF(J289="","",IF(J289&gt;1.001,"Covered &gt; extent – check",""))</f>
        <v/>
      </c>
    </row>
    <row r="290">
      <c r="A290" s="12" t="n"/>
      <c r="B290" s="12" t="n"/>
      <c r="C290" s="12" t="n"/>
      <c r="D290" s="12" t="n"/>
      <c r="E290" s="12" t="n"/>
      <c r="F290" s="14" t="n"/>
      <c r="G290" s="14" t="n"/>
      <c r="H290" s="14" t="n"/>
      <c r="I290" s="25">
        <f>IF(F290="","",N(G290)+N(H290))</f>
        <v/>
      </c>
      <c r="J290" s="26">
        <f>IF(N(F290)&gt;0,I290/F290,"")</f>
        <v/>
      </c>
      <c r="K290" s="30">
        <f>IF(J290="","",IF(J290&gt;=Setup!$B$12,"Yes","No"))</f>
        <v/>
      </c>
      <c r="L290" s="30">
        <f>IF(J290="","",IF(J290&gt;1.001,"Covered &gt; extent – check",""))</f>
        <v/>
      </c>
    </row>
    <row r="291">
      <c r="A291" s="12" t="n"/>
      <c r="B291" s="12" t="n"/>
      <c r="C291" s="12" t="n"/>
      <c r="D291" s="12" t="n"/>
      <c r="E291" s="12" t="n"/>
      <c r="F291" s="14" t="n"/>
      <c r="G291" s="14" t="n"/>
      <c r="H291" s="14" t="n"/>
      <c r="I291" s="25">
        <f>IF(F291="","",N(G291)+N(H291))</f>
        <v/>
      </c>
      <c r="J291" s="26">
        <f>IF(N(F291)&gt;0,I291/F291,"")</f>
        <v/>
      </c>
      <c r="K291" s="30">
        <f>IF(J291="","",IF(J291&gt;=Setup!$B$12,"Yes","No"))</f>
        <v/>
      </c>
      <c r="L291" s="30">
        <f>IF(J291="","",IF(J291&gt;1.001,"Covered &gt; extent – check",""))</f>
        <v/>
      </c>
    </row>
    <row r="292">
      <c r="A292" s="12" t="n"/>
      <c r="B292" s="12" t="n"/>
      <c r="C292" s="12" t="n"/>
      <c r="D292" s="12" t="n"/>
      <c r="E292" s="12" t="n"/>
      <c r="F292" s="14" t="n"/>
      <c r="G292" s="14" t="n"/>
      <c r="H292" s="14" t="n"/>
      <c r="I292" s="25">
        <f>IF(F292="","",N(G292)+N(H292))</f>
        <v/>
      </c>
      <c r="J292" s="26">
        <f>IF(N(F292)&gt;0,I292/F292,"")</f>
        <v/>
      </c>
      <c r="K292" s="30">
        <f>IF(J292="","",IF(J292&gt;=Setup!$B$12,"Yes","No"))</f>
        <v/>
      </c>
      <c r="L292" s="30">
        <f>IF(J292="","",IF(J292&gt;1.001,"Covered &gt; extent – check",""))</f>
        <v/>
      </c>
    </row>
    <row r="293">
      <c r="A293" s="12" t="n"/>
      <c r="B293" s="12" t="n"/>
      <c r="C293" s="12" t="n"/>
      <c r="D293" s="12" t="n"/>
      <c r="E293" s="12" t="n"/>
      <c r="F293" s="14" t="n"/>
      <c r="G293" s="14" t="n"/>
      <c r="H293" s="14" t="n"/>
      <c r="I293" s="25">
        <f>IF(F293="","",N(G293)+N(H293))</f>
        <v/>
      </c>
      <c r="J293" s="26">
        <f>IF(N(F293)&gt;0,I293/F293,"")</f>
        <v/>
      </c>
      <c r="K293" s="30">
        <f>IF(J293="","",IF(J293&gt;=Setup!$B$12,"Yes","No"))</f>
        <v/>
      </c>
      <c r="L293" s="30">
        <f>IF(J293="","",IF(J293&gt;1.001,"Covered &gt; extent – check",""))</f>
        <v/>
      </c>
    </row>
    <row r="294">
      <c r="A294" s="12" t="n"/>
      <c r="B294" s="12" t="n"/>
      <c r="C294" s="12" t="n"/>
      <c r="D294" s="12" t="n"/>
      <c r="E294" s="12" t="n"/>
      <c r="F294" s="14" t="n"/>
      <c r="G294" s="14" t="n"/>
      <c r="H294" s="14" t="n"/>
      <c r="I294" s="25">
        <f>IF(F294="","",N(G294)+N(H294))</f>
        <v/>
      </c>
      <c r="J294" s="26">
        <f>IF(N(F294)&gt;0,I294/F294,"")</f>
        <v/>
      </c>
      <c r="K294" s="30">
        <f>IF(J294="","",IF(J294&gt;=Setup!$B$12,"Yes","No"))</f>
        <v/>
      </c>
      <c r="L294" s="30">
        <f>IF(J294="","",IF(J294&gt;1.001,"Covered &gt; extent – check",""))</f>
        <v/>
      </c>
    </row>
    <row r="295">
      <c r="A295" s="12" t="n"/>
      <c r="B295" s="12" t="n"/>
      <c r="C295" s="12" t="n"/>
      <c r="D295" s="12" t="n"/>
      <c r="E295" s="12" t="n"/>
      <c r="F295" s="14" t="n"/>
      <c r="G295" s="14" t="n"/>
      <c r="H295" s="14" t="n"/>
      <c r="I295" s="25">
        <f>IF(F295="","",N(G295)+N(H295))</f>
        <v/>
      </c>
      <c r="J295" s="26">
        <f>IF(N(F295)&gt;0,I295/F295,"")</f>
        <v/>
      </c>
      <c r="K295" s="30">
        <f>IF(J295="","",IF(J295&gt;=Setup!$B$12,"Yes","No"))</f>
        <v/>
      </c>
      <c r="L295" s="30">
        <f>IF(J295="","",IF(J295&gt;1.001,"Covered &gt; extent – check",""))</f>
        <v/>
      </c>
    </row>
    <row r="296">
      <c r="A296" s="12" t="n"/>
      <c r="B296" s="12" t="n"/>
      <c r="C296" s="12" t="n"/>
      <c r="D296" s="12" t="n"/>
      <c r="E296" s="12" t="n"/>
      <c r="F296" s="14" t="n"/>
      <c r="G296" s="14" t="n"/>
      <c r="H296" s="14" t="n"/>
      <c r="I296" s="25">
        <f>IF(F296="","",N(G296)+N(H296))</f>
        <v/>
      </c>
      <c r="J296" s="26">
        <f>IF(N(F296)&gt;0,I296/F296,"")</f>
        <v/>
      </c>
      <c r="K296" s="30">
        <f>IF(J296="","",IF(J296&gt;=Setup!$B$12,"Yes","No"))</f>
        <v/>
      </c>
      <c r="L296" s="30">
        <f>IF(J296="","",IF(J296&gt;1.001,"Covered &gt; extent – check",""))</f>
        <v/>
      </c>
    </row>
    <row r="297">
      <c r="A297" s="12" t="n"/>
      <c r="B297" s="12" t="n"/>
      <c r="C297" s="12" t="n"/>
      <c r="D297" s="12" t="n"/>
      <c r="E297" s="12" t="n"/>
      <c r="F297" s="14" t="n"/>
      <c r="G297" s="14" t="n"/>
      <c r="H297" s="14" t="n"/>
      <c r="I297" s="25">
        <f>IF(F297="","",N(G297)+N(H297))</f>
        <v/>
      </c>
      <c r="J297" s="26">
        <f>IF(N(F297)&gt;0,I297/F297,"")</f>
        <v/>
      </c>
      <c r="K297" s="30">
        <f>IF(J297="","",IF(J297&gt;=Setup!$B$12,"Yes","No"))</f>
        <v/>
      </c>
      <c r="L297" s="30">
        <f>IF(J297="","",IF(J297&gt;1.001,"Covered &gt; extent – check",""))</f>
        <v/>
      </c>
    </row>
    <row r="298">
      <c r="A298" s="12" t="n"/>
      <c r="B298" s="12" t="n"/>
      <c r="C298" s="12" t="n"/>
      <c r="D298" s="12" t="n"/>
      <c r="E298" s="12" t="n"/>
      <c r="F298" s="14" t="n"/>
      <c r="G298" s="14" t="n"/>
      <c r="H298" s="14" t="n"/>
      <c r="I298" s="25">
        <f>IF(F298="","",N(G298)+N(H298))</f>
        <v/>
      </c>
      <c r="J298" s="26">
        <f>IF(N(F298)&gt;0,I298/F298,"")</f>
        <v/>
      </c>
      <c r="K298" s="30">
        <f>IF(J298="","",IF(J298&gt;=Setup!$B$12,"Yes","No"))</f>
        <v/>
      </c>
      <c r="L298" s="30">
        <f>IF(J298="","",IF(J298&gt;1.001,"Covered &gt; extent – check",""))</f>
        <v/>
      </c>
    </row>
    <row r="299">
      <c r="A299" s="12" t="n"/>
      <c r="B299" s="12" t="n"/>
      <c r="C299" s="12" t="n"/>
      <c r="D299" s="12" t="n"/>
      <c r="E299" s="12" t="n"/>
      <c r="F299" s="14" t="n"/>
      <c r="G299" s="14" t="n"/>
      <c r="H299" s="14" t="n"/>
      <c r="I299" s="25">
        <f>IF(F299="","",N(G299)+N(H299))</f>
        <v/>
      </c>
      <c r="J299" s="26">
        <f>IF(N(F299)&gt;0,I299/F299,"")</f>
        <v/>
      </c>
      <c r="K299" s="30">
        <f>IF(J299="","",IF(J299&gt;=Setup!$B$12,"Yes","No"))</f>
        <v/>
      </c>
      <c r="L299" s="30">
        <f>IF(J299="","",IF(J299&gt;1.001,"Covered &gt; extent – check",""))</f>
        <v/>
      </c>
    </row>
    <row r="300">
      <c r="A300" s="12" t="n"/>
      <c r="B300" s="12" t="n"/>
      <c r="C300" s="12" t="n"/>
      <c r="D300" s="12" t="n"/>
      <c r="E300" s="12" t="n"/>
      <c r="F300" s="14" t="n"/>
      <c r="G300" s="14" t="n"/>
      <c r="H300" s="14" t="n"/>
      <c r="I300" s="25">
        <f>IF(F300="","",N(G300)+N(H300))</f>
        <v/>
      </c>
      <c r="J300" s="26">
        <f>IF(N(F300)&gt;0,I300/F300,"")</f>
        <v/>
      </c>
      <c r="K300" s="30">
        <f>IF(J300="","",IF(J300&gt;=Setup!$B$12,"Yes","No"))</f>
        <v/>
      </c>
      <c r="L300" s="30">
        <f>IF(J300="","",IF(J300&gt;1.001,"Covered &gt; extent – check",""))</f>
        <v/>
      </c>
    </row>
    <row r="301">
      <c r="A301" s="12" t="n"/>
      <c r="B301" s="12" t="n"/>
      <c r="C301" s="12" t="n"/>
      <c r="D301" s="12" t="n"/>
      <c r="E301" s="12" t="n"/>
      <c r="F301" s="14" t="n"/>
      <c r="G301" s="14" t="n"/>
      <c r="H301" s="14" t="n"/>
      <c r="I301" s="25">
        <f>IF(F301="","",N(G301)+N(H301))</f>
        <v/>
      </c>
      <c r="J301" s="26">
        <f>IF(N(F301)&gt;0,I301/F301,"")</f>
        <v/>
      </c>
      <c r="K301" s="30">
        <f>IF(J301="","",IF(J301&gt;=Setup!$B$12,"Yes","No"))</f>
        <v/>
      </c>
      <c r="L301" s="30">
        <f>IF(J301="","",IF(J301&gt;1.001,"Covered &gt; extent – check",""))</f>
        <v/>
      </c>
    </row>
    <row r="302">
      <c r="A302" s="12" t="n"/>
      <c r="B302" s="12" t="n"/>
      <c r="C302" s="12" t="n"/>
      <c r="D302" s="12" t="n"/>
      <c r="E302" s="12" t="n"/>
      <c r="F302" s="14" t="n"/>
      <c r="G302" s="14" t="n"/>
      <c r="H302" s="14" t="n"/>
      <c r="I302" s="25">
        <f>IF(F302="","",N(G302)+N(H302))</f>
        <v/>
      </c>
      <c r="J302" s="26">
        <f>IF(N(F302)&gt;0,I302/F302,"")</f>
        <v/>
      </c>
      <c r="K302" s="30">
        <f>IF(J302="","",IF(J302&gt;=Setup!$B$12,"Yes","No"))</f>
        <v/>
      </c>
      <c r="L302" s="30">
        <f>IF(J302="","",IF(J302&gt;1.001,"Covered &gt; extent – check",""))</f>
        <v/>
      </c>
    </row>
    <row r="303">
      <c r="A303" s="12" t="n"/>
      <c r="B303" s="12" t="n"/>
      <c r="C303" s="12" t="n"/>
      <c r="D303" s="12" t="n"/>
      <c r="E303" s="12" t="n"/>
      <c r="F303" s="14" t="n"/>
      <c r="G303" s="14" t="n"/>
      <c r="H303" s="14" t="n"/>
      <c r="I303" s="25">
        <f>IF(F303="","",N(G303)+N(H303))</f>
        <v/>
      </c>
      <c r="J303" s="26">
        <f>IF(N(F303)&gt;0,I303/F303,"")</f>
        <v/>
      </c>
      <c r="K303" s="30">
        <f>IF(J303="","",IF(J303&gt;=Setup!$B$12,"Yes","No"))</f>
        <v/>
      </c>
      <c r="L303" s="30">
        <f>IF(J303="","",IF(J303&gt;1.001,"Covered &gt; extent – check",""))</f>
        <v/>
      </c>
    </row>
    <row r="304">
      <c r="A304" s="12" t="n"/>
      <c r="B304" s="12" t="n"/>
      <c r="C304" s="12" t="n"/>
      <c r="D304" s="12" t="n"/>
      <c r="E304" s="12" t="n"/>
      <c r="F304" s="14" t="n"/>
      <c r="G304" s="14" t="n"/>
      <c r="H304" s="14" t="n"/>
      <c r="I304" s="25">
        <f>IF(F304="","",N(G304)+N(H304))</f>
        <v/>
      </c>
      <c r="J304" s="26">
        <f>IF(N(F304)&gt;0,I304/F304,"")</f>
        <v/>
      </c>
      <c r="K304" s="30">
        <f>IF(J304="","",IF(J304&gt;=Setup!$B$12,"Yes","No"))</f>
        <v/>
      </c>
      <c r="L304" s="30">
        <f>IF(J304="","",IF(J304&gt;1.001,"Covered &gt; extent – check",""))</f>
        <v/>
      </c>
    </row>
    <row r="305">
      <c r="A305" s="12" t="n"/>
      <c r="B305" s="12" t="n"/>
      <c r="C305" s="12" t="n"/>
      <c r="D305" s="12" t="n"/>
      <c r="E305" s="12" t="n"/>
      <c r="F305" s="14" t="n"/>
      <c r="G305" s="14" t="n"/>
      <c r="H305" s="14" t="n"/>
      <c r="I305" s="25">
        <f>IF(F305="","",N(G305)+N(H305))</f>
        <v/>
      </c>
      <c r="J305" s="26">
        <f>IF(N(F305)&gt;0,I305/F305,"")</f>
        <v/>
      </c>
      <c r="K305" s="30">
        <f>IF(J305="","",IF(J305&gt;=Setup!$B$12,"Yes","No"))</f>
        <v/>
      </c>
      <c r="L305" s="30">
        <f>IF(J305="","",IF(J305&gt;1.001,"Covered &gt; extent – check",""))</f>
        <v/>
      </c>
    </row>
    <row r="306">
      <c r="A306" s="12" t="n"/>
      <c r="B306" s="12" t="n"/>
      <c r="C306" s="12" t="n"/>
      <c r="D306" s="12" t="n"/>
      <c r="E306" s="12" t="n"/>
      <c r="F306" s="14" t="n"/>
      <c r="G306" s="14" t="n"/>
      <c r="H306" s="14" t="n"/>
      <c r="I306" s="25">
        <f>IF(F306="","",N(G306)+N(H306))</f>
        <v/>
      </c>
      <c r="J306" s="26">
        <f>IF(N(F306)&gt;0,I306/F306,"")</f>
        <v/>
      </c>
      <c r="K306" s="30">
        <f>IF(J306="","",IF(J306&gt;=Setup!$B$12,"Yes","No"))</f>
        <v/>
      </c>
      <c r="L306" s="30">
        <f>IF(J306="","",IF(J306&gt;1.001,"Covered &gt; extent – check",""))</f>
        <v/>
      </c>
    </row>
    <row r="307">
      <c r="A307" s="12" t="n"/>
      <c r="B307" s="12" t="n"/>
      <c r="C307" s="12" t="n"/>
      <c r="D307" s="12" t="n"/>
      <c r="E307" s="12" t="n"/>
      <c r="F307" s="14" t="n"/>
      <c r="G307" s="14" t="n"/>
      <c r="H307" s="14" t="n"/>
      <c r="I307" s="25">
        <f>IF(F307="","",N(G307)+N(H307))</f>
        <v/>
      </c>
      <c r="J307" s="26">
        <f>IF(N(F307)&gt;0,I307/F307,"")</f>
        <v/>
      </c>
      <c r="K307" s="30">
        <f>IF(J307="","",IF(J307&gt;=Setup!$B$12,"Yes","No"))</f>
        <v/>
      </c>
      <c r="L307" s="30">
        <f>IF(J307="","",IF(J307&gt;1.001,"Covered &gt; extent – check",""))</f>
        <v/>
      </c>
    </row>
    <row r="308">
      <c r="A308" s="12" t="n"/>
      <c r="B308" s="12" t="n"/>
      <c r="C308" s="12" t="n"/>
      <c r="D308" s="12" t="n"/>
      <c r="E308" s="12" t="n"/>
      <c r="F308" s="14" t="n"/>
      <c r="G308" s="14" t="n"/>
      <c r="H308" s="14" t="n"/>
      <c r="I308" s="25">
        <f>IF(F308="","",N(G308)+N(H308))</f>
        <v/>
      </c>
      <c r="J308" s="26">
        <f>IF(N(F308)&gt;0,I308/F308,"")</f>
        <v/>
      </c>
      <c r="K308" s="30">
        <f>IF(J308="","",IF(J308&gt;=Setup!$B$12,"Yes","No"))</f>
        <v/>
      </c>
      <c r="L308" s="30">
        <f>IF(J308="","",IF(J308&gt;1.001,"Covered &gt; extent – check",""))</f>
        <v/>
      </c>
    </row>
    <row r="309">
      <c r="A309" s="12" t="n"/>
      <c r="B309" s="12" t="n"/>
      <c r="C309" s="12" t="n"/>
      <c r="D309" s="12" t="n"/>
      <c r="E309" s="12" t="n"/>
      <c r="F309" s="14" t="n"/>
      <c r="G309" s="14" t="n"/>
      <c r="H309" s="14" t="n"/>
      <c r="I309" s="25">
        <f>IF(F309="","",N(G309)+N(H309))</f>
        <v/>
      </c>
      <c r="J309" s="26">
        <f>IF(N(F309)&gt;0,I309/F309,"")</f>
        <v/>
      </c>
      <c r="K309" s="30">
        <f>IF(J309="","",IF(J309&gt;=Setup!$B$12,"Yes","No"))</f>
        <v/>
      </c>
      <c r="L309" s="30">
        <f>IF(J309="","",IF(J309&gt;1.001,"Covered &gt; extent – check",""))</f>
        <v/>
      </c>
    </row>
    <row r="310">
      <c r="A310" s="12" t="n"/>
      <c r="B310" s="12" t="n"/>
      <c r="C310" s="12" t="n"/>
      <c r="D310" s="12" t="n"/>
      <c r="E310" s="12" t="n"/>
      <c r="F310" s="14" t="n"/>
      <c r="G310" s="14" t="n"/>
      <c r="H310" s="14" t="n"/>
      <c r="I310" s="25">
        <f>IF(F310="","",N(G310)+N(H310))</f>
        <v/>
      </c>
      <c r="J310" s="26">
        <f>IF(N(F310)&gt;0,I310/F310,"")</f>
        <v/>
      </c>
      <c r="K310" s="30">
        <f>IF(J310="","",IF(J310&gt;=Setup!$B$12,"Yes","No"))</f>
        <v/>
      </c>
      <c r="L310" s="30">
        <f>IF(J310="","",IF(J310&gt;1.001,"Covered &gt; extent – check",""))</f>
        <v/>
      </c>
    </row>
    <row r="311">
      <c r="A311" s="12" t="n"/>
      <c r="B311" s="12" t="n"/>
      <c r="C311" s="12" t="n"/>
      <c r="D311" s="12" t="n"/>
      <c r="E311" s="12" t="n"/>
      <c r="F311" s="14" t="n"/>
      <c r="G311" s="14" t="n"/>
      <c r="H311" s="14" t="n"/>
      <c r="I311" s="25">
        <f>IF(F311="","",N(G311)+N(H311))</f>
        <v/>
      </c>
      <c r="J311" s="26">
        <f>IF(N(F311)&gt;0,I311/F311,"")</f>
        <v/>
      </c>
      <c r="K311" s="30">
        <f>IF(J311="","",IF(J311&gt;=Setup!$B$12,"Yes","No"))</f>
        <v/>
      </c>
      <c r="L311" s="30">
        <f>IF(J311="","",IF(J311&gt;1.001,"Covered &gt; extent – check",""))</f>
        <v/>
      </c>
    </row>
    <row r="312">
      <c r="A312" s="12" t="n"/>
      <c r="B312" s="12" t="n"/>
      <c r="C312" s="12" t="n"/>
      <c r="D312" s="12" t="n"/>
      <c r="E312" s="12" t="n"/>
      <c r="F312" s="14" t="n"/>
      <c r="G312" s="14" t="n"/>
      <c r="H312" s="14" t="n"/>
      <c r="I312" s="25">
        <f>IF(F312="","",N(G312)+N(H312))</f>
        <v/>
      </c>
      <c r="J312" s="26">
        <f>IF(N(F312)&gt;0,I312/F312,"")</f>
        <v/>
      </c>
      <c r="K312" s="30">
        <f>IF(J312="","",IF(J312&gt;=Setup!$B$12,"Yes","No"))</f>
        <v/>
      </c>
      <c r="L312" s="30">
        <f>IF(J312="","",IF(J312&gt;1.001,"Covered &gt; extent – check",""))</f>
        <v/>
      </c>
    </row>
    <row r="313">
      <c r="A313" s="12" t="n"/>
      <c r="B313" s="12" t="n"/>
      <c r="C313" s="12" t="n"/>
      <c r="D313" s="12" t="n"/>
      <c r="E313" s="12" t="n"/>
      <c r="F313" s="14" t="n"/>
      <c r="G313" s="14" t="n"/>
      <c r="H313" s="14" t="n"/>
      <c r="I313" s="25">
        <f>IF(F313="","",N(G313)+N(H313))</f>
        <v/>
      </c>
      <c r="J313" s="26">
        <f>IF(N(F313)&gt;0,I313/F313,"")</f>
        <v/>
      </c>
      <c r="K313" s="30">
        <f>IF(J313="","",IF(J313&gt;=Setup!$B$12,"Yes","No"))</f>
        <v/>
      </c>
      <c r="L313" s="30">
        <f>IF(J313="","",IF(J313&gt;1.001,"Covered &gt; extent – check",""))</f>
        <v/>
      </c>
    </row>
    <row r="314">
      <c r="A314" s="12" t="n"/>
      <c r="B314" s="12" t="n"/>
      <c r="C314" s="12" t="n"/>
      <c r="D314" s="12" t="n"/>
      <c r="E314" s="12" t="n"/>
      <c r="F314" s="14" t="n"/>
      <c r="G314" s="14" t="n"/>
      <c r="H314" s="14" t="n"/>
      <c r="I314" s="25">
        <f>IF(F314="","",N(G314)+N(H314))</f>
        <v/>
      </c>
      <c r="J314" s="26">
        <f>IF(N(F314)&gt;0,I314/F314,"")</f>
        <v/>
      </c>
      <c r="K314" s="30">
        <f>IF(J314="","",IF(J314&gt;=Setup!$B$12,"Yes","No"))</f>
        <v/>
      </c>
      <c r="L314" s="30">
        <f>IF(J314="","",IF(J314&gt;1.001,"Covered &gt; extent – check",""))</f>
        <v/>
      </c>
    </row>
    <row r="315">
      <c r="A315" s="12" t="n"/>
      <c r="B315" s="12" t="n"/>
      <c r="C315" s="12" t="n"/>
      <c r="D315" s="12" t="n"/>
      <c r="E315" s="12" t="n"/>
      <c r="F315" s="14" t="n"/>
      <c r="G315" s="14" t="n"/>
      <c r="H315" s="14" t="n"/>
      <c r="I315" s="25">
        <f>IF(F315="","",N(G315)+N(H315))</f>
        <v/>
      </c>
      <c r="J315" s="26">
        <f>IF(N(F315)&gt;0,I315/F315,"")</f>
        <v/>
      </c>
      <c r="K315" s="30">
        <f>IF(J315="","",IF(J315&gt;=Setup!$B$12,"Yes","No"))</f>
        <v/>
      </c>
      <c r="L315" s="30">
        <f>IF(J315="","",IF(J315&gt;1.001,"Covered &gt; extent – check",""))</f>
        <v/>
      </c>
    </row>
    <row r="316">
      <c r="A316" s="12" t="n"/>
      <c r="B316" s="12" t="n"/>
      <c r="C316" s="12" t="n"/>
      <c r="D316" s="12" t="n"/>
      <c r="E316" s="12" t="n"/>
      <c r="F316" s="14" t="n"/>
      <c r="G316" s="14" t="n"/>
      <c r="H316" s="14" t="n"/>
      <c r="I316" s="25">
        <f>IF(F316="","",N(G316)+N(H316))</f>
        <v/>
      </c>
      <c r="J316" s="26">
        <f>IF(N(F316)&gt;0,I316/F316,"")</f>
        <v/>
      </c>
      <c r="K316" s="30">
        <f>IF(J316="","",IF(J316&gt;=Setup!$B$12,"Yes","No"))</f>
        <v/>
      </c>
      <c r="L316" s="30">
        <f>IF(J316="","",IF(J316&gt;1.001,"Covered &gt; extent – check",""))</f>
        <v/>
      </c>
    </row>
    <row r="317">
      <c r="A317" s="12" t="n"/>
      <c r="B317" s="12" t="n"/>
      <c r="C317" s="12" t="n"/>
      <c r="D317" s="12" t="n"/>
      <c r="E317" s="12" t="n"/>
      <c r="F317" s="14" t="n"/>
      <c r="G317" s="14" t="n"/>
      <c r="H317" s="14" t="n"/>
      <c r="I317" s="25">
        <f>IF(F317="","",N(G317)+N(H317))</f>
        <v/>
      </c>
      <c r="J317" s="26">
        <f>IF(N(F317)&gt;0,I317/F317,"")</f>
        <v/>
      </c>
      <c r="K317" s="30">
        <f>IF(J317="","",IF(J317&gt;=Setup!$B$12,"Yes","No"))</f>
        <v/>
      </c>
      <c r="L317" s="30">
        <f>IF(J317="","",IF(J317&gt;1.001,"Covered &gt; extent – check",""))</f>
        <v/>
      </c>
    </row>
    <row r="318">
      <c r="A318" s="12" t="n"/>
      <c r="B318" s="12" t="n"/>
      <c r="C318" s="12" t="n"/>
      <c r="D318" s="12" t="n"/>
      <c r="E318" s="12" t="n"/>
      <c r="F318" s="14" t="n"/>
      <c r="G318" s="14" t="n"/>
      <c r="H318" s="14" t="n"/>
      <c r="I318" s="25">
        <f>IF(F318="","",N(G318)+N(H318))</f>
        <v/>
      </c>
      <c r="J318" s="26">
        <f>IF(N(F318)&gt;0,I318/F318,"")</f>
        <v/>
      </c>
      <c r="K318" s="30">
        <f>IF(J318="","",IF(J318&gt;=Setup!$B$12,"Yes","No"))</f>
        <v/>
      </c>
      <c r="L318" s="30">
        <f>IF(J318="","",IF(J318&gt;1.001,"Covered &gt; extent – check",""))</f>
        <v/>
      </c>
    </row>
    <row r="319">
      <c r="A319" s="12" t="n"/>
      <c r="B319" s="12" t="n"/>
      <c r="C319" s="12" t="n"/>
      <c r="D319" s="12" t="n"/>
      <c r="E319" s="12" t="n"/>
      <c r="F319" s="14" t="n"/>
      <c r="G319" s="14" t="n"/>
      <c r="H319" s="14" t="n"/>
      <c r="I319" s="25">
        <f>IF(F319="","",N(G319)+N(H319))</f>
        <v/>
      </c>
      <c r="J319" s="26">
        <f>IF(N(F319)&gt;0,I319/F319,"")</f>
        <v/>
      </c>
      <c r="K319" s="30">
        <f>IF(J319="","",IF(J319&gt;=Setup!$B$12,"Yes","No"))</f>
        <v/>
      </c>
      <c r="L319" s="30">
        <f>IF(J319="","",IF(J319&gt;1.001,"Covered &gt; extent – check",""))</f>
        <v/>
      </c>
    </row>
    <row r="320">
      <c r="A320" s="12" t="n"/>
      <c r="B320" s="12" t="n"/>
      <c r="C320" s="12" t="n"/>
      <c r="D320" s="12" t="n"/>
      <c r="E320" s="12" t="n"/>
      <c r="F320" s="14" t="n"/>
      <c r="G320" s="14" t="n"/>
      <c r="H320" s="14" t="n"/>
      <c r="I320" s="25">
        <f>IF(F320="","",N(G320)+N(H320))</f>
        <v/>
      </c>
      <c r="J320" s="26">
        <f>IF(N(F320)&gt;0,I320/F320,"")</f>
        <v/>
      </c>
      <c r="K320" s="30">
        <f>IF(J320="","",IF(J320&gt;=Setup!$B$12,"Yes","No"))</f>
        <v/>
      </c>
      <c r="L320" s="30">
        <f>IF(J320="","",IF(J320&gt;1.001,"Covered &gt; extent – check",""))</f>
        <v/>
      </c>
    </row>
    <row r="321">
      <c r="A321" s="12" t="n"/>
      <c r="B321" s="12" t="n"/>
      <c r="C321" s="12" t="n"/>
      <c r="D321" s="12" t="n"/>
      <c r="E321" s="12" t="n"/>
      <c r="F321" s="14" t="n"/>
      <c r="G321" s="14" t="n"/>
      <c r="H321" s="14" t="n"/>
      <c r="I321" s="25">
        <f>IF(F321="","",N(G321)+N(H321))</f>
        <v/>
      </c>
      <c r="J321" s="26">
        <f>IF(N(F321)&gt;0,I321/F321,"")</f>
        <v/>
      </c>
      <c r="K321" s="30">
        <f>IF(J321="","",IF(J321&gt;=Setup!$B$12,"Yes","No"))</f>
        <v/>
      </c>
      <c r="L321" s="30">
        <f>IF(J321="","",IF(J321&gt;1.001,"Covered &gt; extent – check",""))</f>
        <v/>
      </c>
    </row>
    <row r="322">
      <c r="A322" s="12" t="n"/>
      <c r="B322" s="12" t="n"/>
      <c r="C322" s="12" t="n"/>
      <c r="D322" s="12" t="n"/>
      <c r="E322" s="12" t="n"/>
      <c r="F322" s="14" t="n"/>
      <c r="G322" s="14" t="n"/>
      <c r="H322" s="14" t="n"/>
      <c r="I322" s="25">
        <f>IF(F322="","",N(G322)+N(H322))</f>
        <v/>
      </c>
      <c r="J322" s="26">
        <f>IF(N(F322)&gt;0,I322/F322,"")</f>
        <v/>
      </c>
      <c r="K322" s="30">
        <f>IF(J322="","",IF(J322&gt;=Setup!$B$12,"Yes","No"))</f>
        <v/>
      </c>
      <c r="L322" s="30">
        <f>IF(J322="","",IF(J322&gt;1.001,"Covered &gt; extent – check",""))</f>
        <v/>
      </c>
    </row>
    <row r="323">
      <c r="A323" s="12" t="n"/>
      <c r="B323" s="12" t="n"/>
      <c r="C323" s="12" t="n"/>
      <c r="D323" s="12" t="n"/>
      <c r="E323" s="12" t="n"/>
      <c r="F323" s="14" t="n"/>
      <c r="G323" s="14" t="n"/>
      <c r="H323" s="14" t="n"/>
      <c r="I323" s="25">
        <f>IF(F323="","",N(G323)+N(H323))</f>
        <v/>
      </c>
      <c r="J323" s="26">
        <f>IF(N(F323)&gt;0,I323/F323,"")</f>
        <v/>
      </c>
      <c r="K323" s="30">
        <f>IF(J323="","",IF(J323&gt;=Setup!$B$12,"Yes","No"))</f>
        <v/>
      </c>
      <c r="L323" s="30">
        <f>IF(J323="","",IF(J323&gt;1.001,"Covered &gt; extent – check",""))</f>
        <v/>
      </c>
    </row>
    <row r="324">
      <c r="A324" s="12" t="n"/>
      <c r="B324" s="12" t="n"/>
      <c r="C324" s="12" t="n"/>
      <c r="D324" s="12" t="n"/>
      <c r="E324" s="12" t="n"/>
      <c r="F324" s="14" t="n"/>
      <c r="G324" s="14" t="n"/>
      <c r="H324" s="14" t="n"/>
      <c r="I324" s="25">
        <f>IF(F324="","",N(G324)+N(H324))</f>
        <v/>
      </c>
      <c r="J324" s="26">
        <f>IF(N(F324)&gt;0,I324/F324,"")</f>
        <v/>
      </c>
      <c r="K324" s="30">
        <f>IF(J324="","",IF(J324&gt;=Setup!$B$12,"Yes","No"))</f>
        <v/>
      </c>
      <c r="L324" s="30">
        <f>IF(J324="","",IF(J324&gt;1.001,"Covered &gt; extent – check",""))</f>
        <v/>
      </c>
    </row>
    <row r="325">
      <c r="A325" s="12" t="n"/>
      <c r="B325" s="12" t="n"/>
      <c r="C325" s="12" t="n"/>
      <c r="D325" s="12" t="n"/>
      <c r="E325" s="12" t="n"/>
      <c r="F325" s="14" t="n"/>
      <c r="G325" s="14" t="n"/>
      <c r="H325" s="14" t="n"/>
      <c r="I325" s="25">
        <f>IF(F325="","",N(G325)+N(H325))</f>
        <v/>
      </c>
      <c r="J325" s="26">
        <f>IF(N(F325)&gt;0,I325/F325,"")</f>
        <v/>
      </c>
      <c r="K325" s="30">
        <f>IF(J325="","",IF(J325&gt;=Setup!$B$12,"Yes","No"))</f>
        <v/>
      </c>
      <c r="L325" s="30">
        <f>IF(J325="","",IF(J325&gt;1.001,"Covered &gt; extent – check",""))</f>
        <v/>
      </c>
    </row>
    <row r="326">
      <c r="A326" s="12" t="n"/>
      <c r="B326" s="12" t="n"/>
      <c r="C326" s="12" t="n"/>
      <c r="D326" s="12" t="n"/>
      <c r="E326" s="12" t="n"/>
      <c r="F326" s="14" t="n"/>
      <c r="G326" s="14" t="n"/>
      <c r="H326" s="14" t="n"/>
      <c r="I326" s="25">
        <f>IF(F326="","",N(G326)+N(H326))</f>
        <v/>
      </c>
      <c r="J326" s="26">
        <f>IF(N(F326)&gt;0,I326/F326,"")</f>
        <v/>
      </c>
      <c r="K326" s="30">
        <f>IF(J326="","",IF(J326&gt;=Setup!$B$12,"Yes","No"))</f>
        <v/>
      </c>
      <c r="L326" s="30">
        <f>IF(J326="","",IF(J326&gt;1.001,"Covered &gt; extent – check",""))</f>
        <v/>
      </c>
    </row>
    <row r="327">
      <c r="A327" s="12" t="n"/>
      <c r="B327" s="12" t="n"/>
      <c r="C327" s="12" t="n"/>
      <c r="D327" s="12" t="n"/>
      <c r="E327" s="12" t="n"/>
      <c r="F327" s="14" t="n"/>
      <c r="G327" s="14" t="n"/>
      <c r="H327" s="14" t="n"/>
      <c r="I327" s="25">
        <f>IF(F327="","",N(G327)+N(H327))</f>
        <v/>
      </c>
      <c r="J327" s="26">
        <f>IF(N(F327)&gt;0,I327/F327,"")</f>
        <v/>
      </c>
      <c r="K327" s="30">
        <f>IF(J327="","",IF(J327&gt;=Setup!$B$12,"Yes","No"))</f>
        <v/>
      </c>
      <c r="L327" s="30">
        <f>IF(J327="","",IF(J327&gt;1.001,"Covered &gt; extent – check",""))</f>
        <v/>
      </c>
    </row>
    <row r="328">
      <c r="A328" s="12" t="n"/>
      <c r="B328" s="12" t="n"/>
      <c r="C328" s="12" t="n"/>
      <c r="D328" s="12" t="n"/>
      <c r="E328" s="12" t="n"/>
      <c r="F328" s="14" t="n"/>
      <c r="G328" s="14" t="n"/>
      <c r="H328" s="14" t="n"/>
      <c r="I328" s="25">
        <f>IF(F328="","",N(G328)+N(H328))</f>
        <v/>
      </c>
      <c r="J328" s="26">
        <f>IF(N(F328)&gt;0,I328/F328,"")</f>
        <v/>
      </c>
      <c r="K328" s="30">
        <f>IF(J328="","",IF(J328&gt;=Setup!$B$12,"Yes","No"))</f>
        <v/>
      </c>
      <c r="L328" s="30">
        <f>IF(J328="","",IF(J328&gt;1.001,"Covered &gt; extent – check",""))</f>
        <v/>
      </c>
    </row>
    <row r="329">
      <c r="A329" s="12" t="n"/>
      <c r="B329" s="12" t="n"/>
      <c r="C329" s="12" t="n"/>
      <c r="D329" s="12" t="n"/>
      <c r="E329" s="12" t="n"/>
      <c r="F329" s="14" t="n"/>
      <c r="G329" s="14" t="n"/>
      <c r="H329" s="14" t="n"/>
      <c r="I329" s="25">
        <f>IF(F329="","",N(G329)+N(H329))</f>
        <v/>
      </c>
      <c r="J329" s="26">
        <f>IF(N(F329)&gt;0,I329/F329,"")</f>
        <v/>
      </c>
      <c r="K329" s="30">
        <f>IF(J329="","",IF(J329&gt;=Setup!$B$12,"Yes","No"))</f>
        <v/>
      </c>
      <c r="L329" s="30">
        <f>IF(J329="","",IF(J329&gt;1.001,"Covered &gt; extent – check",""))</f>
        <v/>
      </c>
    </row>
    <row r="330">
      <c r="A330" s="12" t="n"/>
      <c r="B330" s="12" t="n"/>
      <c r="C330" s="12" t="n"/>
      <c r="D330" s="12" t="n"/>
      <c r="E330" s="12" t="n"/>
      <c r="F330" s="14" t="n"/>
      <c r="G330" s="14" t="n"/>
      <c r="H330" s="14" t="n"/>
      <c r="I330" s="25">
        <f>IF(F330="","",N(G330)+N(H330))</f>
        <v/>
      </c>
      <c r="J330" s="26">
        <f>IF(N(F330)&gt;0,I330/F330,"")</f>
        <v/>
      </c>
      <c r="K330" s="30">
        <f>IF(J330="","",IF(J330&gt;=Setup!$B$12,"Yes","No"))</f>
        <v/>
      </c>
      <c r="L330" s="30">
        <f>IF(J330="","",IF(J330&gt;1.001,"Covered &gt; extent – check",""))</f>
        <v/>
      </c>
    </row>
    <row r="331">
      <c r="A331" s="12" t="n"/>
      <c r="B331" s="12" t="n"/>
      <c r="C331" s="12" t="n"/>
      <c r="D331" s="12" t="n"/>
      <c r="E331" s="12" t="n"/>
      <c r="F331" s="14" t="n"/>
      <c r="G331" s="14" t="n"/>
      <c r="H331" s="14" t="n"/>
      <c r="I331" s="25">
        <f>IF(F331="","",N(G331)+N(H331))</f>
        <v/>
      </c>
      <c r="J331" s="26">
        <f>IF(N(F331)&gt;0,I331/F331,"")</f>
        <v/>
      </c>
      <c r="K331" s="30">
        <f>IF(J331="","",IF(J331&gt;=Setup!$B$12,"Yes","No"))</f>
        <v/>
      </c>
      <c r="L331" s="30">
        <f>IF(J331="","",IF(J331&gt;1.001,"Covered &gt; extent – check",""))</f>
        <v/>
      </c>
    </row>
    <row r="332">
      <c r="A332" s="12" t="n"/>
      <c r="B332" s="12" t="n"/>
      <c r="C332" s="12" t="n"/>
      <c r="D332" s="12" t="n"/>
      <c r="E332" s="12" t="n"/>
      <c r="F332" s="14" t="n"/>
      <c r="G332" s="14" t="n"/>
      <c r="H332" s="14" t="n"/>
      <c r="I332" s="25">
        <f>IF(F332="","",N(G332)+N(H332))</f>
        <v/>
      </c>
      <c r="J332" s="26">
        <f>IF(N(F332)&gt;0,I332/F332,"")</f>
        <v/>
      </c>
      <c r="K332" s="30">
        <f>IF(J332="","",IF(J332&gt;=Setup!$B$12,"Yes","No"))</f>
        <v/>
      </c>
      <c r="L332" s="30">
        <f>IF(J332="","",IF(J332&gt;1.001,"Covered &gt; extent – check",""))</f>
        <v/>
      </c>
    </row>
    <row r="333">
      <c r="A333" s="12" t="n"/>
      <c r="B333" s="12" t="n"/>
      <c r="C333" s="12" t="n"/>
      <c r="D333" s="12" t="n"/>
      <c r="E333" s="12" t="n"/>
      <c r="F333" s="14" t="n"/>
      <c r="G333" s="14" t="n"/>
      <c r="H333" s="14" t="n"/>
      <c r="I333" s="25">
        <f>IF(F333="","",N(G333)+N(H333))</f>
        <v/>
      </c>
      <c r="J333" s="26">
        <f>IF(N(F333)&gt;0,I333/F333,"")</f>
        <v/>
      </c>
      <c r="K333" s="30">
        <f>IF(J333="","",IF(J333&gt;=Setup!$B$12,"Yes","No"))</f>
        <v/>
      </c>
      <c r="L333" s="30">
        <f>IF(J333="","",IF(J333&gt;1.001,"Covered &gt; extent – check",""))</f>
        <v/>
      </c>
    </row>
    <row r="334">
      <c r="A334" s="12" t="n"/>
      <c r="B334" s="12" t="n"/>
      <c r="C334" s="12" t="n"/>
      <c r="D334" s="12" t="n"/>
      <c r="E334" s="12" t="n"/>
      <c r="F334" s="14" t="n"/>
      <c r="G334" s="14" t="n"/>
      <c r="H334" s="14" t="n"/>
      <c r="I334" s="25">
        <f>IF(F334="","",N(G334)+N(H334))</f>
        <v/>
      </c>
      <c r="J334" s="26">
        <f>IF(N(F334)&gt;0,I334/F334,"")</f>
        <v/>
      </c>
      <c r="K334" s="30">
        <f>IF(J334="","",IF(J334&gt;=Setup!$B$12,"Yes","No"))</f>
        <v/>
      </c>
      <c r="L334" s="30">
        <f>IF(J334="","",IF(J334&gt;1.001,"Covered &gt; extent – check",""))</f>
        <v/>
      </c>
    </row>
    <row r="335">
      <c r="A335" s="12" t="n"/>
      <c r="B335" s="12" t="n"/>
      <c r="C335" s="12" t="n"/>
      <c r="D335" s="12" t="n"/>
      <c r="E335" s="12" t="n"/>
      <c r="F335" s="14" t="n"/>
      <c r="G335" s="14" t="n"/>
      <c r="H335" s="14" t="n"/>
      <c r="I335" s="25">
        <f>IF(F335="","",N(G335)+N(H335))</f>
        <v/>
      </c>
      <c r="J335" s="26">
        <f>IF(N(F335)&gt;0,I335/F335,"")</f>
        <v/>
      </c>
      <c r="K335" s="30">
        <f>IF(J335="","",IF(J335&gt;=Setup!$B$12,"Yes","No"))</f>
        <v/>
      </c>
      <c r="L335" s="30">
        <f>IF(J335="","",IF(J335&gt;1.001,"Covered &gt; extent – check",""))</f>
        <v/>
      </c>
    </row>
    <row r="336">
      <c r="A336" s="12" t="n"/>
      <c r="B336" s="12" t="n"/>
      <c r="C336" s="12" t="n"/>
      <c r="D336" s="12" t="n"/>
      <c r="E336" s="12" t="n"/>
      <c r="F336" s="14" t="n"/>
      <c r="G336" s="14" t="n"/>
      <c r="H336" s="14" t="n"/>
      <c r="I336" s="25">
        <f>IF(F336="","",N(G336)+N(H336))</f>
        <v/>
      </c>
      <c r="J336" s="26">
        <f>IF(N(F336)&gt;0,I336/F336,"")</f>
        <v/>
      </c>
      <c r="K336" s="30">
        <f>IF(J336="","",IF(J336&gt;=Setup!$B$12,"Yes","No"))</f>
        <v/>
      </c>
      <c r="L336" s="30">
        <f>IF(J336="","",IF(J336&gt;1.001,"Covered &gt; extent – check",""))</f>
        <v/>
      </c>
    </row>
    <row r="337">
      <c r="A337" s="12" t="n"/>
      <c r="B337" s="12" t="n"/>
      <c r="C337" s="12" t="n"/>
      <c r="D337" s="12" t="n"/>
      <c r="E337" s="12" t="n"/>
      <c r="F337" s="14" t="n"/>
      <c r="G337" s="14" t="n"/>
      <c r="H337" s="14" t="n"/>
      <c r="I337" s="25">
        <f>IF(F337="","",N(G337)+N(H337))</f>
        <v/>
      </c>
      <c r="J337" s="26">
        <f>IF(N(F337)&gt;0,I337/F337,"")</f>
        <v/>
      </c>
      <c r="K337" s="30">
        <f>IF(J337="","",IF(J337&gt;=Setup!$B$12,"Yes","No"))</f>
        <v/>
      </c>
      <c r="L337" s="30">
        <f>IF(J337="","",IF(J337&gt;1.001,"Covered &gt; extent – check",""))</f>
        <v/>
      </c>
    </row>
    <row r="338">
      <c r="A338" s="12" t="n"/>
      <c r="B338" s="12" t="n"/>
      <c r="C338" s="12" t="n"/>
      <c r="D338" s="12" t="n"/>
      <c r="E338" s="12" t="n"/>
      <c r="F338" s="14" t="n"/>
      <c r="G338" s="14" t="n"/>
      <c r="H338" s="14" t="n"/>
      <c r="I338" s="25">
        <f>IF(F338="","",N(G338)+N(H338))</f>
        <v/>
      </c>
      <c r="J338" s="26">
        <f>IF(N(F338)&gt;0,I338/F338,"")</f>
        <v/>
      </c>
      <c r="K338" s="30">
        <f>IF(J338="","",IF(J338&gt;=Setup!$B$12,"Yes","No"))</f>
        <v/>
      </c>
      <c r="L338" s="30">
        <f>IF(J338="","",IF(J338&gt;1.001,"Covered &gt; extent – check",""))</f>
        <v/>
      </c>
    </row>
    <row r="339">
      <c r="A339" s="12" t="n"/>
      <c r="B339" s="12" t="n"/>
      <c r="C339" s="12" t="n"/>
      <c r="D339" s="12" t="n"/>
      <c r="E339" s="12" t="n"/>
      <c r="F339" s="14" t="n"/>
      <c r="G339" s="14" t="n"/>
      <c r="H339" s="14" t="n"/>
      <c r="I339" s="25">
        <f>IF(F339="","",N(G339)+N(H339))</f>
        <v/>
      </c>
      <c r="J339" s="26">
        <f>IF(N(F339)&gt;0,I339/F339,"")</f>
        <v/>
      </c>
      <c r="K339" s="30">
        <f>IF(J339="","",IF(J339&gt;=Setup!$B$12,"Yes","No"))</f>
        <v/>
      </c>
      <c r="L339" s="30">
        <f>IF(J339="","",IF(J339&gt;1.001,"Covered &gt; extent – check",""))</f>
        <v/>
      </c>
    </row>
    <row r="340">
      <c r="A340" s="12" t="n"/>
      <c r="B340" s="12" t="n"/>
      <c r="C340" s="12" t="n"/>
      <c r="D340" s="12" t="n"/>
      <c r="E340" s="12" t="n"/>
      <c r="F340" s="14" t="n"/>
      <c r="G340" s="14" t="n"/>
      <c r="H340" s="14" t="n"/>
      <c r="I340" s="25">
        <f>IF(F340="","",N(G340)+N(H340))</f>
        <v/>
      </c>
      <c r="J340" s="26">
        <f>IF(N(F340)&gt;0,I340/F340,"")</f>
        <v/>
      </c>
      <c r="K340" s="30">
        <f>IF(J340="","",IF(J340&gt;=Setup!$B$12,"Yes","No"))</f>
        <v/>
      </c>
      <c r="L340" s="30">
        <f>IF(J340="","",IF(J340&gt;1.001,"Covered &gt; extent – check",""))</f>
        <v/>
      </c>
    </row>
    <row r="341">
      <c r="A341" s="12" t="n"/>
      <c r="B341" s="12" t="n"/>
      <c r="C341" s="12" t="n"/>
      <c r="D341" s="12" t="n"/>
      <c r="E341" s="12" t="n"/>
      <c r="F341" s="14" t="n"/>
      <c r="G341" s="14" t="n"/>
      <c r="H341" s="14" t="n"/>
      <c r="I341" s="25">
        <f>IF(F341="","",N(G341)+N(H341))</f>
        <v/>
      </c>
      <c r="J341" s="26">
        <f>IF(N(F341)&gt;0,I341/F341,"")</f>
        <v/>
      </c>
      <c r="K341" s="30">
        <f>IF(J341="","",IF(J341&gt;=Setup!$B$12,"Yes","No"))</f>
        <v/>
      </c>
      <c r="L341" s="30">
        <f>IF(J341="","",IF(J341&gt;1.001,"Covered &gt; extent – check",""))</f>
        <v/>
      </c>
    </row>
    <row r="342">
      <c r="A342" s="12" t="n"/>
      <c r="B342" s="12" t="n"/>
      <c r="C342" s="12" t="n"/>
      <c r="D342" s="12" t="n"/>
      <c r="E342" s="12" t="n"/>
      <c r="F342" s="14" t="n"/>
      <c r="G342" s="14" t="n"/>
      <c r="H342" s="14" t="n"/>
      <c r="I342" s="25">
        <f>IF(F342="","",N(G342)+N(H342))</f>
        <v/>
      </c>
      <c r="J342" s="26">
        <f>IF(N(F342)&gt;0,I342/F342,"")</f>
        <v/>
      </c>
      <c r="K342" s="30">
        <f>IF(J342="","",IF(J342&gt;=Setup!$B$12,"Yes","No"))</f>
        <v/>
      </c>
      <c r="L342" s="30">
        <f>IF(J342="","",IF(J342&gt;1.001,"Covered &gt; extent – check",""))</f>
        <v/>
      </c>
    </row>
    <row r="343">
      <c r="A343" s="12" t="n"/>
      <c r="B343" s="12" t="n"/>
      <c r="C343" s="12" t="n"/>
      <c r="D343" s="12" t="n"/>
      <c r="E343" s="12" t="n"/>
      <c r="F343" s="14" t="n"/>
      <c r="G343" s="14" t="n"/>
      <c r="H343" s="14" t="n"/>
      <c r="I343" s="25">
        <f>IF(F343="","",N(G343)+N(H343))</f>
        <v/>
      </c>
      <c r="J343" s="26">
        <f>IF(N(F343)&gt;0,I343/F343,"")</f>
        <v/>
      </c>
      <c r="K343" s="30">
        <f>IF(J343="","",IF(J343&gt;=Setup!$B$12,"Yes","No"))</f>
        <v/>
      </c>
      <c r="L343" s="30">
        <f>IF(J343="","",IF(J343&gt;1.001,"Covered &gt; extent – check",""))</f>
        <v/>
      </c>
    </row>
    <row r="344">
      <c r="A344" s="12" t="n"/>
      <c r="B344" s="12" t="n"/>
      <c r="C344" s="12" t="n"/>
      <c r="D344" s="12" t="n"/>
      <c r="E344" s="12" t="n"/>
      <c r="F344" s="14" t="n"/>
      <c r="G344" s="14" t="n"/>
      <c r="H344" s="14" t="n"/>
      <c r="I344" s="25">
        <f>IF(F344="","",N(G344)+N(H344))</f>
        <v/>
      </c>
      <c r="J344" s="26">
        <f>IF(N(F344)&gt;0,I344/F344,"")</f>
        <v/>
      </c>
      <c r="K344" s="30">
        <f>IF(J344="","",IF(J344&gt;=Setup!$B$12,"Yes","No"))</f>
        <v/>
      </c>
      <c r="L344" s="30">
        <f>IF(J344="","",IF(J344&gt;1.001,"Covered &gt; extent – check",""))</f>
        <v/>
      </c>
    </row>
    <row r="345">
      <c r="A345" s="12" t="n"/>
      <c r="B345" s="12" t="n"/>
      <c r="C345" s="12" t="n"/>
      <c r="D345" s="12" t="n"/>
      <c r="E345" s="12" t="n"/>
      <c r="F345" s="14" t="n"/>
      <c r="G345" s="14" t="n"/>
      <c r="H345" s="14" t="n"/>
      <c r="I345" s="25">
        <f>IF(F345="","",N(G345)+N(H345))</f>
        <v/>
      </c>
      <c r="J345" s="26">
        <f>IF(N(F345)&gt;0,I345/F345,"")</f>
        <v/>
      </c>
      <c r="K345" s="30">
        <f>IF(J345="","",IF(J345&gt;=Setup!$B$12,"Yes","No"))</f>
        <v/>
      </c>
      <c r="L345" s="30">
        <f>IF(J345="","",IF(J345&gt;1.001,"Covered &gt; extent – check",""))</f>
        <v/>
      </c>
    </row>
    <row r="346">
      <c r="A346" s="12" t="n"/>
      <c r="B346" s="12" t="n"/>
      <c r="C346" s="12" t="n"/>
      <c r="D346" s="12" t="n"/>
      <c r="E346" s="12" t="n"/>
      <c r="F346" s="14" t="n"/>
      <c r="G346" s="14" t="n"/>
      <c r="H346" s="14" t="n"/>
      <c r="I346" s="25">
        <f>IF(F346="","",N(G346)+N(H346))</f>
        <v/>
      </c>
      <c r="J346" s="26">
        <f>IF(N(F346)&gt;0,I346/F346,"")</f>
        <v/>
      </c>
      <c r="K346" s="30">
        <f>IF(J346="","",IF(J346&gt;=Setup!$B$12,"Yes","No"))</f>
        <v/>
      </c>
      <c r="L346" s="30">
        <f>IF(J346="","",IF(J346&gt;1.001,"Covered &gt; extent – check",""))</f>
        <v/>
      </c>
    </row>
    <row r="347">
      <c r="A347" s="12" t="n"/>
      <c r="B347" s="12" t="n"/>
      <c r="C347" s="12" t="n"/>
      <c r="D347" s="12" t="n"/>
      <c r="E347" s="12" t="n"/>
      <c r="F347" s="14" t="n"/>
      <c r="G347" s="14" t="n"/>
      <c r="H347" s="14" t="n"/>
      <c r="I347" s="25">
        <f>IF(F347="","",N(G347)+N(H347))</f>
        <v/>
      </c>
      <c r="J347" s="26">
        <f>IF(N(F347)&gt;0,I347/F347,"")</f>
        <v/>
      </c>
      <c r="K347" s="30">
        <f>IF(J347="","",IF(J347&gt;=Setup!$B$12,"Yes","No"))</f>
        <v/>
      </c>
      <c r="L347" s="30">
        <f>IF(J347="","",IF(J347&gt;1.001,"Covered &gt; extent – check",""))</f>
        <v/>
      </c>
    </row>
    <row r="348">
      <c r="A348" s="12" t="n"/>
      <c r="B348" s="12" t="n"/>
      <c r="C348" s="12" t="n"/>
      <c r="D348" s="12" t="n"/>
      <c r="E348" s="12" t="n"/>
      <c r="F348" s="14" t="n"/>
      <c r="G348" s="14" t="n"/>
      <c r="H348" s="14" t="n"/>
      <c r="I348" s="25">
        <f>IF(F348="","",N(G348)+N(H348))</f>
        <v/>
      </c>
      <c r="J348" s="26">
        <f>IF(N(F348)&gt;0,I348/F348,"")</f>
        <v/>
      </c>
      <c r="K348" s="30">
        <f>IF(J348="","",IF(J348&gt;=Setup!$B$12,"Yes","No"))</f>
        <v/>
      </c>
      <c r="L348" s="30">
        <f>IF(J348="","",IF(J348&gt;1.001,"Covered &gt; extent – check",""))</f>
        <v/>
      </c>
    </row>
    <row r="349">
      <c r="A349" s="12" t="n"/>
      <c r="B349" s="12" t="n"/>
      <c r="C349" s="12" t="n"/>
      <c r="D349" s="12" t="n"/>
      <c r="E349" s="12" t="n"/>
      <c r="F349" s="14" t="n"/>
      <c r="G349" s="14" t="n"/>
      <c r="H349" s="14" t="n"/>
      <c r="I349" s="25">
        <f>IF(F349="","",N(G349)+N(H349))</f>
        <v/>
      </c>
      <c r="J349" s="26">
        <f>IF(N(F349)&gt;0,I349/F349,"")</f>
        <v/>
      </c>
      <c r="K349" s="30">
        <f>IF(J349="","",IF(J349&gt;=Setup!$B$12,"Yes","No"))</f>
        <v/>
      </c>
      <c r="L349" s="30">
        <f>IF(J349="","",IF(J349&gt;1.001,"Covered &gt; extent – check",""))</f>
        <v/>
      </c>
    </row>
    <row r="350">
      <c r="A350" s="12" t="n"/>
      <c r="B350" s="12" t="n"/>
      <c r="C350" s="12" t="n"/>
      <c r="D350" s="12" t="n"/>
      <c r="E350" s="12" t="n"/>
      <c r="F350" s="14" t="n"/>
      <c r="G350" s="14" t="n"/>
      <c r="H350" s="14" t="n"/>
      <c r="I350" s="25">
        <f>IF(F350="","",N(G350)+N(H350))</f>
        <v/>
      </c>
      <c r="J350" s="26">
        <f>IF(N(F350)&gt;0,I350/F350,"")</f>
        <v/>
      </c>
      <c r="K350" s="30">
        <f>IF(J350="","",IF(J350&gt;=Setup!$B$12,"Yes","No"))</f>
        <v/>
      </c>
      <c r="L350" s="30">
        <f>IF(J350="","",IF(J350&gt;1.001,"Covered &gt; extent – check",""))</f>
        <v/>
      </c>
    </row>
    <row r="351">
      <c r="A351" s="12" t="n"/>
      <c r="B351" s="12" t="n"/>
      <c r="C351" s="12" t="n"/>
      <c r="D351" s="12" t="n"/>
      <c r="E351" s="12" t="n"/>
      <c r="F351" s="14" t="n"/>
      <c r="G351" s="14" t="n"/>
      <c r="H351" s="14" t="n"/>
      <c r="I351" s="25">
        <f>IF(F351="","",N(G351)+N(H351))</f>
        <v/>
      </c>
      <c r="J351" s="26">
        <f>IF(N(F351)&gt;0,I351/F351,"")</f>
        <v/>
      </c>
      <c r="K351" s="30">
        <f>IF(J351="","",IF(J351&gt;=Setup!$B$12,"Yes","No"))</f>
        <v/>
      </c>
      <c r="L351" s="30">
        <f>IF(J351="","",IF(J351&gt;1.001,"Covered &gt; extent – check",""))</f>
        <v/>
      </c>
    </row>
    <row r="352">
      <c r="A352" s="12" t="n"/>
      <c r="B352" s="12" t="n"/>
      <c r="C352" s="12" t="n"/>
      <c r="D352" s="12" t="n"/>
      <c r="E352" s="12" t="n"/>
      <c r="F352" s="14" t="n"/>
      <c r="G352" s="14" t="n"/>
      <c r="H352" s="14" t="n"/>
      <c r="I352" s="25">
        <f>IF(F352="","",N(G352)+N(H352))</f>
        <v/>
      </c>
      <c r="J352" s="26">
        <f>IF(N(F352)&gt;0,I352/F352,"")</f>
        <v/>
      </c>
      <c r="K352" s="30">
        <f>IF(J352="","",IF(J352&gt;=Setup!$B$12,"Yes","No"))</f>
        <v/>
      </c>
      <c r="L352" s="30">
        <f>IF(J352="","",IF(J352&gt;1.001,"Covered &gt; extent – check",""))</f>
        <v/>
      </c>
    </row>
    <row r="353">
      <c r="A353" s="12" t="n"/>
      <c r="B353" s="12" t="n"/>
      <c r="C353" s="12" t="n"/>
      <c r="D353" s="12" t="n"/>
      <c r="E353" s="12" t="n"/>
      <c r="F353" s="14" t="n"/>
      <c r="G353" s="14" t="n"/>
      <c r="H353" s="14" t="n"/>
      <c r="I353" s="25">
        <f>IF(F353="","",N(G353)+N(H353))</f>
        <v/>
      </c>
      <c r="J353" s="26">
        <f>IF(N(F353)&gt;0,I353/F353,"")</f>
        <v/>
      </c>
      <c r="K353" s="30">
        <f>IF(J353="","",IF(J353&gt;=Setup!$B$12,"Yes","No"))</f>
        <v/>
      </c>
      <c r="L353" s="30">
        <f>IF(J353="","",IF(J353&gt;1.001,"Covered &gt; extent – check",""))</f>
        <v/>
      </c>
    </row>
    <row r="354">
      <c r="A354" s="12" t="n"/>
      <c r="B354" s="12" t="n"/>
      <c r="C354" s="12" t="n"/>
      <c r="D354" s="12" t="n"/>
      <c r="E354" s="12" t="n"/>
      <c r="F354" s="14" t="n"/>
      <c r="G354" s="14" t="n"/>
      <c r="H354" s="14" t="n"/>
      <c r="I354" s="25">
        <f>IF(F354="","",N(G354)+N(H354))</f>
        <v/>
      </c>
      <c r="J354" s="26">
        <f>IF(N(F354)&gt;0,I354/F354,"")</f>
        <v/>
      </c>
      <c r="K354" s="30">
        <f>IF(J354="","",IF(J354&gt;=Setup!$B$12,"Yes","No"))</f>
        <v/>
      </c>
      <c r="L354" s="30">
        <f>IF(J354="","",IF(J354&gt;1.001,"Covered &gt; extent – check",""))</f>
        <v/>
      </c>
    </row>
    <row r="355">
      <c r="A355" s="12" t="n"/>
      <c r="B355" s="12" t="n"/>
      <c r="C355" s="12" t="n"/>
      <c r="D355" s="12" t="n"/>
      <c r="E355" s="12" t="n"/>
      <c r="F355" s="14" t="n"/>
      <c r="G355" s="14" t="n"/>
      <c r="H355" s="14" t="n"/>
      <c r="I355" s="25">
        <f>IF(F355="","",N(G355)+N(H355))</f>
        <v/>
      </c>
      <c r="J355" s="26">
        <f>IF(N(F355)&gt;0,I355/F355,"")</f>
        <v/>
      </c>
      <c r="K355" s="30">
        <f>IF(J355="","",IF(J355&gt;=Setup!$B$12,"Yes","No"))</f>
        <v/>
      </c>
      <c r="L355" s="30">
        <f>IF(J355="","",IF(J355&gt;1.001,"Covered &gt; extent – check",""))</f>
        <v/>
      </c>
    </row>
    <row r="356">
      <c r="A356" s="12" t="n"/>
      <c r="B356" s="12" t="n"/>
      <c r="C356" s="12" t="n"/>
      <c r="D356" s="12" t="n"/>
      <c r="E356" s="12" t="n"/>
      <c r="F356" s="14" t="n"/>
      <c r="G356" s="14" t="n"/>
      <c r="H356" s="14" t="n"/>
      <c r="I356" s="25">
        <f>IF(F356="","",N(G356)+N(H356))</f>
        <v/>
      </c>
      <c r="J356" s="26">
        <f>IF(N(F356)&gt;0,I356/F356,"")</f>
        <v/>
      </c>
      <c r="K356" s="30">
        <f>IF(J356="","",IF(J356&gt;=Setup!$B$12,"Yes","No"))</f>
        <v/>
      </c>
      <c r="L356" s="30">
        <f>IF(J356="","",IF(J356&gt;1.001,"Covered &gt; extent – check",""))</f>
        <v/>
      </c>
    </row>
    <row r="357">
      <c r="A357" s="12" t="n"/>
      <c r="B357" s="12" t="n"/>
      <c r="C357" s="12" t="n"/>
      <c r="D357" s="12" t="n"/>
      <c r="E357" s="12" t="n"/>
      <c r="F357" s="14" t="n"/>
      <c r="G357" s="14" t="n"/>
      <c r="H357" s="14" t="n"/>
      <c r="I357" s="25">
        <f>IF(F357="","",N(G357)+N(H357))</f>
        <v/>
      </c>
      <c r="J357" s="26">
        <f>IF(N(F357)&gt;0,I357/F357,"")</f>
        <v/>
      </c>
      <c r="K357" s="30">
        <f>IF(J357="","",IF(J357&gt;=Setup!$B$12,"Yes","No"))</f>
        <v/>
      </c>
      <c r="L357" s="30">
        <f>IF(J357="","",IF(J357&gt;1.001,"Covered &gt; extent – check",""))</f>
        <v/>
      </c>
    </row>
  </sheetData>
  <conditionalFormatting sqref="J6:J30">
    <cfRule type="expression" priority="1" dxfId="0">
      <formula>AND(ISNUMBER(J6),J6&gt;=Setup!$B$12)</formula>
    </cfRule>
  </conditionalFormatting>
  <conditionalFormatting sqref="J58:J357">
    <cfRule type="expression" priority="2" dxfId="0">
      <formula>AND(ISNUMBER(J58),J58&gt;=Setup!$B$12)</formula>
    </cfRule>
  </conditionalFormatting>
  <dataValidations count="4">
    <dataValidation sqref="D6:D30" showDropDown="0" showInputMessage="0" showErrorMessage="0" allowBlank="1" errorTitle="Invalid entry" error="Choose a value from the list." type="list">
      <formula1>=Lists!$H$4:$H$5</formula1>
    </dataValidation>
    <dataValidation sqref="A58:A357" showDropDown="0" showInputMessage="0" showErrorMessage="0" allowBlank="1" errorTitle="Invalid entry" error="Choose a value from the list." type="list">
      <formula1>=Lists!$L$4:$L$9</formula1>
    </dataValidation>
    <dataValidation sqref="D58:D357" showDropDown="0" showInputMessage="0" showErrorMessage="0" allowBlank="1" errorTitle="Invalid entry" error="Choose a value from the list." type="list">
      <formula1>=Lists!$M$4:$M$28</formula1>
    </dataValidation>
    <dataValidation sqref="E58:E35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51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13" customWidth="1" min="3" max="3"/>
    <col width="13" customWidth="1" min="4" max="4"/>
    <col width="11" customWidth="1" min="5" max="5"/>
    <col width="11" customWidth="1" min="6" max="6"/>
    <col width="11" customWidth="1" min="7" max="7"/>
    <col width="15" customWidth="1" min="8" max="8"/>
    <col width="15" customWidth="1" min="9" max="9"/>
    <col width="10" customWidth="1" min="10" max="10"/>
    <col width="14" customWidth="1" min="11" max="11"/>
    <col width="13" customWidth="1" min="12" max="12"/>
    <col width="13" customWidth="1" min="13" max="13"/>
    <col width="13" customWidth="1" min="14" max="14"/>
    <col width="13" customWidth="1" min="15" max="15"/>
    <col width="36" customWidth="1" min="16" max="16"/>
  </cols>
  <sheetData>
    <row r="1">
      <c r="A1" s="1" t="inlineStr">
        <is>
          <t>5. Coverage of Key Biodiversity Areas by PAs and/or OECMs</t>
        </is>
      </c>
    </row>
    <row r="2">
      <c r="A2" s="2" t="inlineStr">
        <is>
          <t>Indicator = mean % of each KBA covered (Butchart et al. 2012, 2015). Overlaps: intersect each KBA with the flat PA layer and the PA-erased OECM layer.</t>
        </is>
      </c>
    </row>
    <row r="3"/>
    <row r="4">
      <c r="A4" s="3" t="inlineStr">
        <is>
          <t>A. Summary (aligned with SDG 14.5.1 marine, 15.1.2 terrestrial &amp; freshwater, 15.4.1 mountain)</t>
        </is>
      </c>
      <c r="B4" s="4" t="n"/>
      <c r="C4" s="4" t="n"/>
      <c r="D4" s="4" t="n"/>
      <c r="E4" s="4" t="n"/>
      <c r="F4" s="4" t="n"/>
      <c r="G4" s="4" t="n"/>
      <c r="H4" s="4" t="n"/>
      <c r="I4" s="4" t="n"/>
      <c r="J4" s="4" t="n"/>
      <c r="K4" s="4" t="n"/>
    </row>
    <row r="5" ht="55" customHeight="1">
      <c r="A5" s="11" t="inlineStr">
        <is>
          <t>KBA group</t>
        </is>
      </c>
      <c r="B5" s="11" t="inlineStr">
        <is>
          <t>Related SDG indicator</t>
        </is>
      </c>
      <c r="C5" s="11" t="inlineStr">
        <is>
          <t>Number of KBAs</t>
        </is>
      </c>
      <c r="D5" s="11" t="inlineStr">
        <is>
          <t>Mean % covered by PAs + OECMs</t>
        </is>
      </c>
      <c r="E5" s="11" t="inlineStr">
        <is>
          <t>Mean % covered by PAs only</t>
        </is>
      </c>
      <c r="F5" s="11" t="inlineStr">
        <is>
          <t>Mean additional % from OECMs</t>
        </is>
      </c>
      <c r="G5" s="11" t="inlineStr">
        <is>
          <t>KBAs with no coverage</t>
        </is>
      </c>
      <c r="H5" s="11" t="inlineStr">
        <is>
          <t>KBAs partially covered</t>
        </is>
      </c>
      <c r="I5" s="11" t="inlineStr">
        <is>
          <t>KBAs completely covered</t>
        </is>
      </c>
      <c r="J5" s="11" t="inlineStr">
        <is>
          <t>% of KBAs completely covered</t>
        </is>
      </c>
    </row>
    <row r="6">
      <c r="A6" s="5" t="inlineStr">
        <is>
          <t>All KBAs</t>
        </is>
      </c>
      <c r="B6" s="6" t="inlineStr">
        <is>
          <t>—</t>
        </is>
      </c>
      <c r="C6" s="33">
        <f>COUNTIFS($L$16:$L$515,"&gt;=0")</f>
        <v/>
      </c>
      <c r="D6" s="27">
        <f>IFERROR(AVERAGEIFS($L$16:$L$515,$L$16:$L$515,"&gt;=0"),"")</f>
        <v/>
      </c>
      <c r="E6" s="26">
        <f>IFERROR(AVERAGEIFS($M$16:$M$515,$L$16:$L$515,"&gt;=0"),"")</f>
        <v/>
      </c>
      <c r="F6" s="26">
        <f>IF(D6="","",D6-E6)</f>
        <v/>
      </c>
      <c r="G6" s="33">
        <f>COUNTIFS($O$16:$O$515,"None")</f>
        <v/>
      </c>
      <c r="H6" s="33">
        <f>COUNTIFS($O$16:$O$515,"Partial")</f>
        <v/>
      </c>
      <c r="I6" s="33">
        <f>COUNTIFS($O$16:$O$515,"Complete")</f>
        <v/>
      </c>
      <c r="J6" s="26">
        <f>IF(C6&gt;0,I6/C6,"")</f>
        <v/>
      </c>
    </row>
    <row r="7">
      <c r="A7" s="5" t="inlineStr">
        <is>
          <t>Terrestrial KBAs</t>
        </is>
      </c>
      <c r="B7" s="6" t="inlineStr">
        <is>
          <t>SDG 15.1.2</t>
        </is>
      </c>
      <c r="C7" s="33">
        <f>COUNTIFS($L$16:$L$515,"&gt;=0",$E$16:$E$515,"Y")</f>
        <v/>
      </c>
      <c r="D7" s="27">
        <f>IFERROR(AVERAGEIFS($L$16:$L$515,$L$16:$L$515,"&gt;=0",$E$16:$E$515,"Y"),"")</f>
        <v/>
      </c>
      <c r="E7" s="26">
        <f>IFERROR(AVERAGEIFS($M$16:$M$515,$L$16:$L$515,"&gt;=0",$E$16:$E$515,"Y"),"")</f>
        <v/>
      </c>
      <c r="F7" s="26">
        <f>IF(D7="","",D7-E7)</f>
        <v/>
      </c>
      <c r="G7" s="33">
        <f>COUNTIFS($O$16:$O$515,"None",$E$16:$E$515,"Y")</f>
        <v/>
      </c>
      <c r="H7" s="33">
        <f>COUNTIFS($O$16:$O$515,"Partial",$E$16:$E$515,"Y")</f>
        <v/>
      </c>
      <c r="I7" s="33">
        <f>COUNTIFS($O$16:$O$515,"Complete",$E$16:$E$515,"Y")</f>
        <v/>
      </c>
      <c r="J7" s="26">
        <f>IF(C7&gt;0,I7/C7,"")</f>
        <v/>
      </c>
    </row>
    <row r="8">
      <c r="A8" s="5" t="inlineStr">
        <is>
          <t>Freshwater KBAs</t>
        </is>
      </c>
      <c r="B8" s="6" t="inlineStr">
        <is>
          <t>SDG 15.1.2</t>
        </is>
      </c>
      <c r="C8" s="33">
        <f>COUNTIFS($L$16:$L$515,"&gt;=0",$F$16:$F$515,"Y")</f>
        <v/>
      </c>
      <c r="D8" s="27">
        <f>IFERROR(AVERAGEIFS($L$16:$L$515,$L$16:$L$515,"&gt;=0",$F$16:$F$515,"Y"),"")</f>
        <v/>
      </c>
      <c r="E8" s="26">
        <f>IFERROR(AVERAGEIFS($M$16:$M$515,$L$16:$L$515,"&gt;=0",$F$16:$F$515,"Y"),"")</f>
        <v/>
      </c>
      <c r="F8" s="26">
        <f>IF(D8="","",D8-E8)</f>
        <v/>
      </c>
      <c r="G8" s="33">
        <f>COUNTIFS($O$16:$O$515,"None",$F$16:$F$515,"Y")</f>
        <v/>
      </c>
      <c r="H8" s="33">
        <f>COUNTIFS($O$16:$O$515,"Partial",$F$16:$F$515,"Y")</f>
        <v/>
      </c>
      <c r="I8" s="33">
        <f>COUNTIFS($O$16:$O$515,"Complete",$F$16:$F$515,"Y")</f>
        <v/>
      </c>
      <c r="J8" s="26">
        <f>IF(C8&gt;0,I8/C8,"")</f>
        <v/>
      </c>
    </row>
    <row r="9">
      <c r="A9" s="5" t="inlineStr">
        <is>
          <t>Marine KBAs (≥ threshold ocean overlap)</t>
        </is>
      </c>
      <c r="B9" s="6" t="inlineStr">
        <is>
          <t>SDG 14.5.1</t>
        </is>
      </c>
      <c r="C9" s="33">
        <f>COUNTIFS($L$16:$L$515,"&gt;=0",$J$16:$J$515,"Y")</f>
        <v/>
      </c>
      <c r="D9" s="27">
        <f>IFERROR(AVERAGEIFS($L$16:$L$515,$L$16:$L$515,"&gt;=0",$J$16:$J$515,"Y"),"")</f>
        <v/>
      </c>
      <c r="E9" s="26">
        <f>IFERROR(AVERAGEIFS($M$16:$M$515,$L$16:$L$515,"&gt;=0",$J$16:$J$515,"Y"),"")</f>
        <v/>
      </c>
      <c r="F9" s="26">
        <f>IF(D9="","",D9-E9)</f>
        <v/>
      </c>
      <c r="G9" s="33">
        <f>COUNTIFS($O$16:$O$515,"None",$J$16:$J$515,"Y")</f>
        <v/>
      </c>
      <c r="H9" s="33">
        <f>COUNTIFS($O$16:$O$515,"Partial",$J$16:$J$515,"Y")</f>
        <v/>
      </c>
      <c r="I9" s="33">
        <f>COUNTIFS($O$16:$O$515,"Complete",$J$16:$J$515,"Y")</f>
        <v/>
      </c>
      <c r="J9" s="26">
        <f>IF(C9&gt;0,I9/C9,"")</f>
        <v/>
      </c>
    </row>
    <row r="10">
      <c r="A10" s="5" t="inlineStr">
        <is>
          <t>Mountain KBAs</t>
        </is>
      </c>
      <c r="B10" s="6" t="inlineStr">
        <is>
          <t>SDG 15.4.1</t>
        </is>
      </c>
      <c r="C10" s="33">
        <f>COUNTIFS($L$16:$L$515,"&gt;=0",$G$16:$G$515,"Y")</f>
        <v/>
      </c>
      <c r="D10" s="27">
        <f>IFERROR(AVERAGEIFS($L$16:$L$515,$L$16:$L$515,"&gt;=0",$G$16:$G$515,"Y"),"")</f>
        <v/>
      </c>
      <c r="E10" s="26">
        <f>IFERROR(AVERAGEIFS($M$16:$M$515,$L$16:$L$515,"&gt;=0",$G$16:$G$515,"Y"),"")</f>
        <v/>
      </c>
      <c r="F10" s="26">
        <f>IF(D10="","",D10-E10)</f>
        <v/>
      </c>
      <c r="G10" s="33">
        <f>COUNTIFS($O$16:$O$515,"None",$G$16:$G$515,"Y")</f>
        <v/>
      </c>
      <c r="H10" s="33">
        <f>COUNTIFS($O$16:$O$515,"Partial",$G$16:$G$515,"Y")</f>
        <v/>
      </c>
      <c r="I10" s="33">
        <f>COUNTIFS($O$16:$O$515,"Complete",$G$16:$G$515,"Y")</f>
        <v/>
      </c>
      <c r="J10" s="26">
        <f>IF(C10&gt;0,I10/C10,"")</f>
        <v/>
      </c>
    </row>
    <row r="11"/>
    <row r="12">
      <c r="A12" s="16" t="inlineStr">
        <is>
          <t>A KBA can belong to several groups (e.g. terrestrial and freshwater; marine and terrestrial) and is then counted in each, as in the metadata. 'Complete' uses the threshold in Setup (B23).</t>
        </is>
      </c>
    </row>
    <row r="13"/>
    <row r="14">
      <c r="A14" s="3" t="inlineStr">
        <is>
          <t>B. KBA list – one row per KBA (World Database of KBAs SitRecID)</t>
        </is>
      </c>
      <c r="B14" s="4" t="n"/>
      <c r="C14" s="4" t="n"/>
      <c r="D14" s="4" t="n"/>
      <c r="E14" s="4" t="n"/>
      <c r="F14" s="4" t="n"/>
      <c r="G14" s="4" t="n"/>
      <c r="H14" s="4" t="n"/>
      <c r="I14" s="4" t="n"/>
      <c r="J14" s="4" t="n"/>
      <c r="K14" s="4" t="n"/>
      <c r="L14" s="4" t="n"/>
      <c r="M14" s="4" t="n"/>
      <c r="N14" s="4" t="n"/>
      <c r="O14" s="4" t="n"/>
      <c r="P14" s="4" t="n"/>
    </row>
    <row r="15" ht="60" customHeight="1">
      <c r="A15" s="11" t="inlineStr">
        <is>
          <t>SitRecID</t>
        </is>
      </c>
      <c r="B15" s="11" t="inlineStr">
        <is>
          <t>KBA name</t>
        </is>
      </c>
      <c r="C15" s="11" t="inlineStr">
        <is>
          <t>KBA area (km²)</t>
        </is>
      </c>
      <c r="D15" s="11" t="inlineStr">
        <is>
          <t>Fraction overlapping ocean (0–1)</t>
        </is>
      </c>
      <c r="E15" s="11" t="inlineStr">
        <is>
          <t>Terrestrial? (Y/N)</t>
        </is>
      </c>
      <c r="F15" s="11" t="inlineStr">
        <is>
          <t>Freshwater? (Y/N)</t>
        </is>
      </c>
      <c r="G15" s="11" t="inlineStr">
        <is>
          <t>Mountain? (Y/N)</t>
        </is>
      </c>
      <c r="H15" s="11" t="inlineStr">
        <is>
          <t>Area covered by PAs (km², flattened)</t>
        </is>
      </c>
      <c r="I15" s="11" t="inlineStr">
        <is>
          <t>Area covered by OECMs (km², PA-erased)</t>
        </is>
      </c>
      <c r="J15" s="11" t="inlineStr">
        <is>
          <t>Marine? (auto)</t>
        </is>
      </c>
      <c r="K15" s="11" t="inlineStr">
        <is>
          <t>PA + OECM covered (km²)</t>
        </is>
      </c>
      <c r="L15" s="11" t="inlineStr">
        <is>
          <t>% covered (PA+OECM)</t>
        </is>
      </c>
      <c r="M15" s="11" t="inlineStr">
        <is>
          <t>% covered (PA only)</t>
        </is>
      </c>
      <c r="N15" s="11" t="inlineStr">
        <is>
          <t>% added by OECMs</t>
        </is>
      </c>
      <c r="O15" s="11" t="inlineStr">
        <is>
          <t>Coverage class</t>
        </is>
      </c>
      <c r="P15" s="11" t="inlineStr">
        <is>
          <t>QC</t>
        </is>
      </c>
    </row>
    <row r="16">
      <c r="A16" s="12" t="n">
        <v>6156</v>
      </c>
      <c r="B16" s="12" t="inlineStr">
        <is>
          <t>Lac Oubeïra</t>
        </is>
      </c>
      <c r="C16" s="14" t="n">
        <v>21.531</v>
      </c>
      <c r="D16" s="34" t="n">
        <v>0</v>
      </c>
      <c r="E16" s="12" t="inlineStr">
        <is>
          <t>Y</t>
        </is>
      </c>
      <c r="F16" s="12" t="inlineStr">
        <is>
          <t>Y</t>
        </is>
      </c>
      <c r="G16" s="12" t="inlineStr">
        <is>
          <t>N</t>
        </is>
      </c>
      <c r="H16" s="14" t="n">
        <v>21.531</v>
      </c>
      <c r="I16" s="14" t="n">
        <v>0</v>
      </c>
      <c r="J16" s="30">
        <f>IF(C16="","",IF(N(D16)&gt;=Setup!$B$22,"Y","N"))</f>
        <v/>
      </c>
      <c r="K16" s="25">
        <f>IF(C16="","",N(H16)+N(I16))</f>
        <v/>
      </c>
      <c r="L16" s="26">
        <f>IF(N(C16)&gt;0,MIN(1,K16/C16),"")</f>
        <v/>
      </c>
      <c r="M16" s="26">
        <f>IF(N(C16)&gt;0,MIN(1,N(H16)/C16),"")</f>
        <v/>
      </c>
      <c r="N16" s="26">
        <f>IF(L16="","",L16-M16)</f>
        <v/>
      </c>
      <c r="O16" s="30">
        <f>IF(L16="","",IF(L16&gt;=Setup!$B$23,"Complete",IF(L16&gt;0,"Partial","None")))</f>
        <v/>
      </c>
      <c r="P16" s="30">
        <f>IF(C16="","",IF(K16&gt;C16*1.01,"Covered area &gt; KBA area – check overlap; ","")&amp;IF(AND(E16&lt;&gt;"Y",F16&lt;&gt;"Y",J16&lt;&gt;"Y"),"No realm assigned; ",""))</f>
        <v/>
      </c>
    </row>
    <row r="17">
      <c r="A17" s="12" t="n">
        <v>6157</v>
      </c>
      <c r="B17" s="12" t="inlineStr">
        <is>
          <t>Lac Tonga</t>
        </is>
      </c>
      <c r="C17" s="14" t="n">
        <v>26.65</v>
      </c>
      <c r="D17" s="34" t="n">
        <v>0</v>
      </c>
      <c r="E17" s="12" t="inlineStr">
        <is>
          <t>Y</t>
        </is>
      </c>
      <c r="F17" s="12" t="inlineStr">
        <is>
          <t>Y</t>
        </is>
      </c>
      <c r="G17" s="12" t="inlineStr">
        <is>
          <t>N</t>
        </is>
      </c>
      <c r="H17" s="14" t="n">
        <v>26.65</v>
      </c>
      <c r="I17" s="14" t="n">
        <v>0</v>
      </c>
      <c r="J17" s="30">
        <f>IF(C17="","",IF(N(D17)&gt;=Setup!$B$22,"Y","N"))</f>
        <v/>
      </c>
      <c r="K17" s="25">
        <f>IF(C17="","",N(H17)+N(I17))</f>
        <v/>
      </c>
      <c r="L17" s="26">
        <f>IF(N(C17)&gt;0,MIN(1,K17/C17),"")</f>
        <v/>
      </c>
      <c r="M17" s="26">
        <f>IF(N(C17)&gt;0,MIN(1,N(H17)/C17),"")</f>
        <v/>
      </c>
      <c r="N17" s="26">
        <f>IF(L17="","",L17-M17)</f>
        <v/>
      </c>
      <c r="O17" s="30">
        <f>IF(L17="","",IF(L17&gt;=Setup!$B$23,"Complete",IF(L17&gt;0,"Partial","None")))</f>
        <v/>
      </c>
      <c r="P17" s="30">
        <f>IF(C17="","",IF(K17&gt;C17*1.01,"Covered area &gt; KBA area – check overlap; ","")&amp;IF(AND(E17&lt;&gt;"Y",F17&lt;&gt;"Y",J17&lt;&gt;"Y"),"No realm assigned; ",""))</f>
        <v/>
      </c>
    </row>
    <row r="18">
      <c r="A18" s="12" t="n">
        <v>6158</v>
      </c>
      <c r="B18" s="12" t="inlineStr">
        <is>
          <t>Lac Melah</t>
        </is>
      </c>
      <c r="C18" s="14" t="n">
        <v>9.231</v>
      </c>
      <c r="D18" s="34" t="n">
        <v>0</v>
      </c>
      <c r="E18" s="12" t="inlineStr">
        <is>
          <t>Y</t>
        </is>
      </c>
      <c r="F18" s="12" t="inlineStr">
        <is>
          <t>Y</t>
        </is>
      </c>
      <c r="G18" s="12" t="inlineStr">
        <is>
          <t>N</t>
        </is>
      </c>
      <c r="H18" s="14" t="n">
        <v>9.231</v>
      </c>
      <c r="I18" s="14" t="n">
        <v>0</v>
      </c>
      <c r="J18" s="30">
        <f>IF(C18="","",IF(N(D18)&gt;=Setup!$B$22,"Y","N"))</f>
        <v/>
      </c>
      <c r="K18" s="25">
        <f>IF(C18="","",N(H18)+N(I18))</f>
        <v/>
      </c>
      <c r="L18" s="26">
        <f>IF(N(C18)&gt;0,MIN(1,K18/C18),"")</f>
        <v/>
      </c>
      <c r="M18" s="26">
        <f>IF(N(C18)&gt;0,MIN(1,N(H18)/C18),"")</f>
        <v/>
      </c>
      <c r="N18" s="26">
        <f>IF(L18="","",L18-M18)</f>
        <v/>
      </c>
      <c r="O18" s="30">
        <f>IF(L18="","",IF(L18&gt;=Setup!$B$23,"Complete",IF(L18&gt;0,"Partial","None")))</f>
        <v/>
      </c>
      <c r="P18" s="30">
        <f>IF(C18="","",IF(K18&gt;C18*1.01,"Covered area &gt; KBA area – check overlap; ","")&amp;IF(AND(E18&lt;&gt;"Y",F18&lt;&gt;"Y",J18&lt;&gt;"Y"),"No realm assigned; ",""))</f>
        <v/>
      </c>
    </row>
    <row r="19">
      <c r="A19" s="12" t="n">
        <v>6159</v>
      </c>
      <c r="B19" s="12" t="inlineStr">
        <is>
          <t>Bou Redim</t>
        </is>
      </c>
      <c r="C19" s="14" t="n">
        <v>0.156</v>
      </c>
      <c r="D19" s="34" t="n">
        <v>0</v>
      </c>
      <c r="E19" s="12" t="inlineStr">
        <is>
          <t>Y</t>
        </is>
      </c>
      <c r="F19" s="12" t="inlineStr">
        <is>
          <t>Y</t>
        </is>
      </c>
      <c r="G19" s="12" t="inlineStr">
        <is>
          <t>N</t>
        </is>
      </c>
      <c r="H19" s="14" t="n">
        <v>0.156</v>
      </c>
      <c r="I19" s="14" t="n">
        <v>0</v>
      </c>
      <c r="J19" s="30">
        <f>IF(C19="","",IF(N(D19)&gt;=Setup!$B$22,"Y","N"))</f>
        <v/>
      </c>
      <c r="K19" s="25">
        <f>IF(C19="","",N(H19)+N(I19))</f>
        <v/>
      </c>
      <c r="L19" s="26">
        <f>IF(N(C19)&gt;0,MIN(1,K19/C19),"")</f>
        <v/>
      </c>
      <c r="M19" s="26">
        <f>IF(N(C19)&gt;0,MIN(1,N(H19)/C19),"")</f>
        <v/>
      </c>
      <c r="N19" s="26">
        <f>IF(L19="","",L19-M19)</f>
        <v/>
      </c>
      <c r="O19" s="30">
        <f>IF(L19="","",IF(L19&gt;=Setup!$B$23,"Complete",IF(L19&gt;0,"Partial","None")))</f>
        <v/>
      </c>
      <c r="P19" s="30">
        <f>IF(C19="","",IF(K19&gt;C19*1.01,"Covered area &gt; KBA area – check overlap; ","")&amp;IF(AND(E19&lt;&gt;"Y",F19&lt;&gt;"Y",J19&lt;&gt;"Y"),"No realm assigned; ",""))</f>
        <v/>
      </c>
    </row>
    <row r="20">
      <c r="A20" s="12" t="n">
        <v>6163</v>
      </c>
      <c r="B20" s="12" t="inlineStr">
        <is>
          <t>Lac Fetzara</t>
        </is>
      </c>
      <c r="C20" s="14" t="n">
        <v>75.482</v>
      </c>
      <c r="D20" s="34" t="n">
        <v>0</v>
      </c>
      <c r="E20" s="12" t="inlineStr">
        <is>
          <t>Y</t>
        </is>
      </c>
      <c r="F20" s="12" t="inlineStr">
        <is>
          <t>Y</t>
        </is>
      </c>
      <c r="G20" s="12" t="inlineStr">
        <is>
          <t>N</t>
        </is>
      </c>
      <c r="H20" s="14" t="n">
        <v>75.477</v>
      </c>
      <c r="I20" s="14" t="n">
        <v>0</v>
      </c>
      <c r="J20" s="30">
        <f>IF(C20="","",IF(N(D20)&gt;=Setup!$B$22,"Y","N"))</f>
        <v/>
      </c>
      <c r="K20" s="25">
        <f>IF(C20="","",N(H20)+N(I20))</f>
        <v/>
      </c>
      <c r="L20" s="26">
        <f>IF(N(C20)&gt;0,MIN(1,K20/C20),"")</f>
        <v/>
      </c>
      <c r="M20" s="26">
        <f>IF(N(C20)&gt;0,MIN(1,N(H20)/C20),"")</f>
        <v/>
      </c>
      <c r="N20" s="26">
        <f>IF(L20="","",L20-M20)</f>
        <v/>
      </c>
      <c r="O20" s="30">
        <f>IF(L20="","",IF(L20&gt;=Setup!$B$23,"Complete",IF(L20&gt;0,"Partial","None")))</f>
        <v/>
      </c>
      <c r="P20" s="30">
        <f>IF(C20="","",IF(K20&gt;C20*1.01,"Covered area &gt; KBA area – check overlap; ","")&amp;IF(AND(E20&lt;&gt;"Y",F20&lt;&gt;"Y",J20&lt;&gt;"Y"),"No realm assigned; ",""))</f>
        <v/>
      </c>
    </row>
    <row r="21">
      <c r="A21" s="12" t="n">
        <v>6164</v>
      </c>
      <c r="B21" s="12" t="inlineStr">
        <is>
          <t>Complexe de zones humides de la plaine de Guerbes - Sanhadja</t>
        </is>
      </c>
      <c r="C21" s="14" t="n">
        <v>399.812</v>
      </c>
      <c r="D21" s="34" t="n">
        <v>0.005</v>
      </c>
      <c r="E21" s="12" t="inlineStr">
        <is>
          <t>Y</t>
        </is>
      </c>
      <c r="F21" s="12" t="inlineStr">
        <is>
          <t>Y</t>
        </is>
      </c>
      <c r="G21" s="12" t="inlineStr">
        <is>
          <t>Y</t>
        </is>
      </c>
      <c r="H21" s="14" t="n">
        <v>272.562</v>
      </c>
      <c r="I21" s="14" t="n">
        <v>0</v>
      </c>
      <c r="J21" s="30">
        <f>IF(C21="","",IF(N(D21)&gt;=Setup!$B$22,"Y","N"))</f>
        <v/>
      </c>
      <c r="K21" s="25">
        <f>IF(C21="","",N(H21)+N(I21))</f>
        <v/>
      </c>
      <c r="L21" s="26">
        <f>IF(N(C21)&gt;0,MIN(1,K21/C21),"")</f>
        <v/>
      </c>
      <c r="M21" s="26">
        <f>IF(N(C21)&gt;0,MIN(1,N(H21)/C21),"")</f>
        <v/>
      </c>
      <c r="N21" s="26">
        <f>IF(L21="","",L21-M21)</f>
        <v/>
      </c>
      <c r="O21" s="30">
        <f>IF(L21="","",IF(L21&gt;=Setup!$B$23,"Complete",IF(L21&gt;0,"Partial","None")))</f>
        <v/>
      </c>
      <c r="P21" s="30">
        <f>IF(C21="","",IF(K21&gt;C21*1.01,"Covered area &gt; KBA area – check overlap; ","")&amp;IF(AND(E21&lt;&gt;"Y",F21&lt;&gt;"Y",J21&lt;&gt;"Y"),"No realm assigned; ",""))</f>
        <v/>
      </c>
    </row>
    <row r="22">
      <c r="A22" s="12" t="n">
        <v>6165</v>
      </c>
      <c r="B22" s="12" t="inlineStr">
        <is>
          <t>Sebkhet Baker</t>
        </is>
      </c>
      <c r="C22" s="14" t="n">
        <v>15.157</v>
      </c>
      <c r="D22" s="34" t="n">
        <v>0</v>
      </c>
      <c r="E22" s="12" t="inlineStr">
        <is>
          <t>Y</t>
        </is>
      </c>
      <c r="F22" s="12" t="inlineStr">
        <is>
          <t>N</t>
        </is>
      </c>
      <c r="G22" s="12" t="inlineStr">
        <is>
          <t>N</t>
        </is>
      </c>
      <c r="H22" s="14" t="n">
        <v>15.157</v>
      </c>
      <c r="I22" s="14" t="n">
        <v>0</v>
      </c>
      <c r="J22" s="30">
        <f>IF(C22="","",IF(N(D22)&gt;=Setup!$B$22,"Y","N"))</f>
        <v/>
      </c>
      <c r="K22" s="25">
        <f>IF(C22="","",N(H22)+N(I22))</f>
        <v/>
      </c>
      <c r="L22" s="26">
        <f>IF(N(C22)&gt;0,MIN(1,K22/C22),"")</f>
        <v/>
      </c>
      <c r="M22" s="26">
        <f>IF(N(C22)&gt;0,MIN(1,N(H22)/C22),"")</f>
        <v/>
      </c>
      <c r="N22" s="26">
        <f>IF(L22="","",L22-M22)</f>
        <v/>
      </c>
      <c r="O22" s="30">
        <f>IF(L22="","",IF(L22&gt;=Setup!$B$23,"Complete",IF(L22&gt;0,"Partial","None")))</f>
        <v/>
      </c>
      <c r="P22" s="30">
        <f>IF(C22="","",IF(K22&gt;C22*1.01,"Covered area &gt; KBA area – check overlap; ","")&amp;IF(AND(E22&lt;&gt;"Y",F22&lt;&gt;"Y",J22&lt;&gt;"Y"),"No realm assigned; ",""))</f>
        <v/>
      </c>
    </row>
    <row r="23">
      <c r="A23" s="12" t="n">
        <v>6166</v>
      </c>
      <c r="B23" s="12" t="inlineStr">
        <is>
          <t>Chott de Tinnsilt</t>
        </is>
      </c>
      <c r="C23" s="14" t="n">
        <v>20.042</v>
      </c>
      <c r="D23" s="34" t="n">
        <v>0</v>
      </c>
      <c r="E23" s="12" t="inlineStr">
        <is>
          <t>Y</t>
        </is>
      </c>
      <c r="F23" s="12" t="inlineStr">
        <is>
          <t>Y</t>
        </is>
      </c>
      <c r="G23" s="12" t="inlineStr">
        <is>
          <t>N</t>
        </is>
      </c>
      <c r="H23" s="14" t="n">
        <v>16.311</v>
      </c>
      <c r="I23" s="14" t="n">
        <v>0</v>
      </c>
      <c r="J23" s="30">
        <f>IF(C23="","",IF(N(D23)&gt;=Setup!$B$22,"Y","N"))</f>
        <v/>
      </c>
      <c r="K23" s="25">
        <f>IF(C23="","",N(H23)+N(I23))</f>
        <v/>
      </c>
      <c r="L23" s="26">
        <f>IF(N(C23)&gt;0,MIN(1,K23/C23),"")</f>
        <v/>
      </c>
      <c r="M23" s="26">
        <f>IF(N(C23)&gt;0,MIN(1,N(H23)/C23),"")</f>
        <v/>
      </c>
      <c r="N23" s="26">
        <f>IF(L23="","",L23-M23)</f>
        <v/>
      </c>
      <c r="O23" s="30">
        <f>IF(L23="","",IF(L23&gt;=Setup!$B$23,"Complete",IF(L23&gt;0,"Partial","None")))</f>
        <v/>
      </c>
      <c r="P23" s="30">
        <f>IF(C23="","",IF(K23&gt;C23*1.01,"Covered area &gt; KBA area – check overlap; ","")&amp;IF(AND(E23&lt;&gt;"Y",F23&lt;&gt;"Y",J23&lt;&gt;"Y"),"No realm assigned; ",""))</f>
        <v/>
      </c>
    </row>
    <row r="24">
      <c r="A24" s="12" t="n">
        <v>6167</v>
      </c>
      <c r="B24" s="12" t="inlineStr">
        <is>
          <t>Sebkhet Ez-Zemoul</t>
        </is>
      </c>
      <c r="C24" s="14" t="n">
        <v>50.573</v>
      </c>
      <c r="D24" s="34" t="n">
        <v>0</v>
      </c>
      <c r="E24" s="12" t="inlineStr">
        <is>
          <t>Y</t>
        </is>
      </c>
      <c r="F24" s="12" t="inlineStr">
        <is>
          <t>Y</t>
        </is>
      </c>
      <c r="G24" s="12" t="inlineStr">
        <is>
          <t>N</t>
        </is>
      </c>
      <c r="H24" s="14" t="n">
        <v>50.463</v>
      </c>
      <c r="I24" s="14" t="n">
        <v>0</v>
      </c>
      <c r="J24" s="30">
        <f>IF(C24="","",IF(N(D24)&gt;=Setup!$B$22,"Y","N"))</f>
        <v/>
      </c>
      <c r="K24" s="25">
        <f>IF(C24="","",N(H24)+N(I24))</f>
        <v/>
      </c>
      <c r="L24" s="26">
        <f>IF(N(C24)&gt;0,MIN(1,K24/C24),"")</f>
        <v/>
      </c>
      <c r="M24" s="26">
        <f>IF(N(C24)&gt;0,MIN(1,N(H24)/C24),"")</f>
        <v/>
      </c>
      <c r="N24" s="26">
        <f>IF(L24="","",L24-M24)</f>
        <v/>
      </c>
      <c r="O24" s="30">
        <f>IF(L24="","",IF(L24&gt;=Setup!$B$23,"Complete",IF(L24&gt;0,"Partial","None")))</f>
        <v/>
      </c>
      <c r="P24" s="30">
        <f>IF(C24="","",IF(K24&gt;C24*1.01,"Covered area &gt; KBA area – check overlap; ","")&amp;IF(AND(E24&lt;&gt;"Y",F24&lt;&gt;"Y",J24&lt;&gt;"Y"),"No realm assigned; ",""))</f>
        <v/>
      </c>
    </row>
    <row r="25">
      <c r="A25" s="12" t="n">
        <v>6168</v>
      </c>
      <c r="B25" s="12" t="inlineStr">
        <is>
          <t>Sebkhet Djendli</t>
        </is>
      </c>
      <c r="C25" s="14" t="n">
        <v>32.959</v>
      </c>
      <c r="D25" s="34" t="n">
        <v>0</v>
      </c>
      <c r="E25" s="12" t="inlineStr">
        <is>
          <t>Y</t>
        </is>
      </c>
      <c r="F25" s="12" t="inlineStr">
        <is>
          <t>Y</t>
        </is>
      </c>
      <c r="G25" s="12" t="inlineStr">
        <is>
          <t>N</t>
        </is>
      </c>
      <c r="H25" s="14" t="n">
        <v>0</v>
      </c>
      <c r="I25" s="14" t="n">
        <v>0</v>
      </c>
      <c r="J25" s="30">
        <f>IF(C25="","",IF(N(D25)&gt;=Setup!$B$22,"Y","N"))</f>
        <v/>
      </c>
      <c r="K25" s="25">
        <f>IF(C25="","",N(H25)+N(I25))</f>
        <v/>
      </c>
      <c r="L25" s="26">
        <f>IF(N(C25)&gt;0,MIN(1,K25/C25),"")</f>
        <v/>
      </c>
      <c r="M25" s="26">
        <f>IF(N(C25)&gt;0,MIN(1,N(H25)/C25),"")</f>
        <v/>
      </c>
      <c r="N25" s="26">
        <f>IF(L25="","",L25-M25)</f>
        <v/>
      </c>
      <c r="O25" s="30">
        <f>IF(L25="","",IF(L25&gt;=Setup!$B$23,"Complete",IF(L25&gt;0,"Partial","None")))</f>
        <v/>
      </c>
      <c r="P25" s="30">
        <f>IF(C25="","",IF(K25&gt;C25*1.01,"Covered area &gt; KBA area – check overlap; ","")&amp;IF(AND(E25&lt;&gt;"Y",F25&lt;&gt;"Y",J25&lt;&gt;"Y"),"No realm assigned; ",""))</f>
        <v/>
      </c>
    </row>
    <row r="26">
      <c r="A26" s="12" t="n">
        <v>6169</v>
      </c>
      <c r="B26" s="12" t="inlineStr">
        <is>
          <t>Garaet et-Tarf</t>
        </is>
      </c>
      <c r="C26" s="14" t="n">
        <v>232.489</v>
      </c>
      <c r="D26" s="34" t="n">
        <v>0</v>
      </c>
      <c r="E26" s="12" t="inlineStr">
        <is>
          <t>Y</t>
        </is>
      </c>
      <c r="F26" s="12" t="inlineStr">
        <is>
          <t>Y</t>
        </is>
      </c>
      <c r="G26" s="12" t="inlineStr">
        <is>
          <t>N</t>
        </is>
      </c>
      <c r="H26" s="14" t="n">
        <v>230.77</v>
      </c>
      <c r="I26" s="14" t="n">
        <v>0</v>
      </c>
      <c r="J26" s="30">
        <f>IF(C26="","",IF(N(D26)&gt;=Setup!$B$22,"Y","N"))</f>
        <v/>
      </c>
      <c r="K26" s="25">
        <f>IF(C26="","",N(H26)+N(I26))</f>
        <v/>
      </c>
      <c r="L26" s="26">
        <f>IF(N(C26)&gt;0,MIN(1,K26/C26),"")</f>
        <v/>
      </c>
      <c r="M26" s="26">
        <f>IF(N(C26)&gt;0,MIN(1,N(H26)/C26),"")</f>
        <v/>
      </c>
      <c r="N26" s="26">
        <f>IF(L26="","",L26-M26)</f>
        <v/>
      </c>
      <c r="O26" s="30">
        <f>IF(L26="","",IF(L26&gt;=Setup!$B$23,"Complete",IF(L26&gt;0,"Partial","None")))</f>
        <v/>
      </c>
      <c r="P26" s="30">
        <f>IF(C26="","",IF(K26&gt;C26*1.01,"Covered area &gt; KBA area – check overlap; ","")&amp;IF(AND(E26&lt;&gt;"Y",F26&lt;&gt;"Y",J26&lt;&gt;"Y"),"No realm assigned; ",""))</f>
        <v/>
      </c>
    </row>
    <row r="27">
      <c r="A27" s="12" t="n">
        <v>6170</v>
      </c>
      <c r="B27" s="12" t="inlineStr">
        <is>
          <t>Barrage de Boughzoul</t>
        </is>
      </c>
      <c r="C27" s="14" t="n">
        <v>225.89</v>
      </c>
      <c r="D27" s="34" t="n">
        <v>0</v>
      </c>
      <c r="E27" s="12" t="inlineStr">
        <is>
          <t>Y</t>
        </is>
      </c>
      <c r="F27" s="12" t="inlineStr">
        <is>
          <t>Y</t>
        </is>
      </c>
      <c r="G27" s="12" t="inlineStr">
        <is>
          <t>N</t>
        </is>
      </c>
      <c r="H27" s="14" t="n">
        <v>60.14</v>
      </c>
      <c r="I27" s="14" t="n">
        <v>0</v>
      </c>
      <c r="J27" s="30">
        <f>IF(C27="","",IF(N(D27)&gt;=Setup!$B$22,"Y","N"))</f>
        <v/>
      </c>
      <c r="K27" s="25">
        <f>IF(C27="","",N(H27)+N(I27))</f>
        <v/>
      </c>
      <c r="L27" s="26">
        <f>IF(N(C27)&gt;0,MIN(1,K27/C27),"")</f>
        <v/>
      </c>
      <c r="M27" s="26">
        <f>IF(N(C27)&gt;0,MIN(1,N(H27)/C27),"")</f>
        <v/>
      </c>
      <c r="N27" s="26">
        <f>IF(L27="","",L27-M27)</f>
        <v/>
      </c>
      <c r="O27" s="30">
        <f>IF(L27="","",IF(L27&gt;=Setup!$B$23,"Complete",IF(L27&gt;0,"Partial","None")))</f>
        <v/>
      </c>
      <c r="P27" s="30">
        <f>IF(C27="","",IF(K27&gt;C27*1.01,"Covered area &gt; KBA area – check overlap; ","")&amp;IF(AND(E27&lt;&gt;"Y",F27&lt;&gt;"Y",J27&lt;&gt;"Y"),"No realm assigned; ",""))</f>
        <v/>
      </c>
    </row>
    <row r="28">
      <c r="A28" s="12" t="n">
        <v>6171</v>
      </c>
      <c r="B28" s="12" t="inlineStr">
        <is>
          <t>Dayet El Ferd</t>
        </is>
      </c>
      <c r="C28" s="14" t="n">
        <v>10.897</v>
      </c>
      <c r="D28" s="34" t="n">
        <v>0</v>
      </c>
      <c r="E28" s="12" t="inlineStr">
        <is>
          <t>Y</t>
        </is>
      </c>
      <c r="F28" s="12" t="inlineStr">
        <is>
          <t>Y</t>
        </is>
      </c>
      <c r="G28" s="12" t="inlineStr">
        <is>
          <t>N</t>
        </is>
      </c>
      <c r="H28" s="14" t="n">
        <v>10.897</v>
      </c>
      <c r="I28" s="14" t="n">
        <v>0</v>
      </c>
      <c r="J28" s="30">
        <f>IF(C28="","",IF(N(D28)&gt;=Setup!$B$22,"Y","N"))</f>
        <v/>
      </c>
      <c r="K28" s="25">
        <f>IF(C28="","",N(H28)+N(I28))</f>
        <v/>
      </c>
      <c r="L28" s="26">
        <f>IF(N(C28)&gt;0,MIN(1,K28/C28),"")</f>
        <v/>
      </c>
      <c r="M28" s="26">
        <f>IF(N(C28)&gt;0,MIN(1,N(H28)/C28),"")</f>
        <v/>
      </c>
      <c r="N28" s="26">
        <f>IF(L28="","",L28-M28)</f>
        <v/>
      </c>
      <c r="O28" s="30">
        <f>IF(L28="","",IF(L28&gt;=Setup!$B$23,"Complete",IF(L28&gt;0,"Partial","None")))</f>
        <v/>
      </c>
      <c r="P28" s="30">
        <f>IF(C28="","",IF(K28&gt;C28*1.01,"Covered area &gt; KBA area – check overlap; ","")&amp;IF(AND(E28&lt;&gt;"Y",F28&lt;&gt;"Y",J28&lt;&gt;"Y"),"No realm assigned; ",""))</f>
        <v/>
      </c>
    </row>
    <row r="29">
      <c r="A29" s="12" t="n">
        <v>6172</v>
      </c>
      <c r="B29" s="12" t="inlineStr">
        <is>
          <t>Marais de la Macta</t>
        </is>
      </c>
      <c r="C29" s="14" t="n">
        <v>446.817</v>
      </c>
      <c r="D29" s="34" t="n">
        <v>0</v>
      </c>
      <c r="E29" s="12" t="inlineStr">
        <is>
          <t>Y</t>
        </is>
      </c>
      <c r="F29" s="12" t="inlineStr">
        <is>
          <t>Y</t>
        </is>
      </c>
      <c r="G29" s="12" t="inlineStr">
        <is>
          <t>N</t>
        </is>
      </c>
      <c r="H29" s="14" t="n">
        <v>382.845</v>
      </c>
      <c r="I29" s="14" t="n">
        <v>0</v>
      </c>
      <c r="J29" s="30">
        <f>IF(C29="","",IF(N(D29)&gt;=Setup!$B$22,"Y","N"))</f>
        <v/>
      </c>
      <c r="K29" s="25">
        <f>IF(C29="","",N(H29)+N(I29))</f>
        <v/>
      </c>
      <c r="L29" s="26">
        <f>IF(N(C29)&gt;0,MIN(1,K29/C29),"")</f>
        <v/>
      </c>
      <c r="M29" s="26">
        <f>IF(N(C29)&gt;0,MIN(1,N(H29)/C29),"")</f>
        <v/>
      </c>
      <c r="N29" s="26">
        <f>IF(L29="","",L29-M29)</f>
        <v/>
      </c>
      <c r="O29" s="30">
        <f>IF(L29="","",IF(L29&gt;=Setup!$B$23,"Complete",IF(L29&gt;0,"Partial","None")))</f>
        <v/>
      </c>
      <c r="P29" s="30">
        <f>IF(C29="","",IF(K29&gt;C29*1.01,"Covered area &gt; KBA area – check overlap; ","")&amp;IF(AND(E29&lt;&gt;"Y",F29&lt;&gt;"Y",J29&lt;&gt;"Y"),"No realm assigned; ",""))</f>
        <v/>
      </c>
    </row>
    <row r="30">
      <c r="A30" s="12" t="n">
        <v>6173</v>
      </c>
      <c r="B30" s="12" t="inlineStr">
        <is>
          <t>Sebkha d'Oran</t>
        </is>
      </c>
      <c r="C30" s="14" t="n">
        <v>358.371</v>
      </c>
      <c r="D30" s="34" t="n">
        <v>0</v>
      </c>
      <c r="E30" s="12" t="inlineStr">
        <is>
          <t>Y</t>
        </is>
      </c>
      <c r="F30" s="12" t="inlineStr">
        <is>
          <t>N</t>
        </is>
      </c>
      <c r="G30" s="12" t="inlineStr">
        <is>
          <t>N</t>
        </is>
      </c>
      <c r="H30" s="14" t="n">
        <v>358.324</v>
      </c>
      <c r="I30" s="14" t="n">
        <v>0</v>
      </c>
      <c r="J30" s="30">
        <f>IF(C30="","",IF(N(D30)&gt;=Setup!$B$22,"Y","N"))</f>
        <v/>
      </c>
      <c r="K30" s="25">
        <f>IF(C30="","",N(H30)+N(I30))</f>
        <v/>
      </c>
      <c r="L30" s="26">
        <f>IF(N(C30)&gt;0,MIN(1,K30/C30),"")</f>
        <v/>
      </c>
      <c r="M30" s="26">
        <f>IF(N(C30)&gt;0,MIN(1,N(H30)/C30),"")</f>
        <v/>
      </c>
      <c r="N30" s="26">
        <f>IF(L30="","",L30-M30)</f>
        <v/>
      </c>
      <c r="O30" s="30">
        <f>IF(L30="","",IF(L30&gt;=Setup!$B$23,"Complete",IF(L30&gt;0,"Partial","None")))</f>
        <v/>
      </c>
      <c r="P30" s="30">
        <f>IF(C30="","",IF(K30&gt;C30*1.01,"Covered area &gt; KBA area – check overlap; ","")&amp;IF(AND(E30&lt;&gt;"Y",F30&lt;&gt;"Y",J30&lt;&gt;"Y"),"No realm assigned; ",""))</f>
        <v/>
      </c>
    </row>
    <row r="31">
      <c r="A31" s="12" t="n">
        <v>6174</v>
      </c>
      <c r="B31" s="12" t="inlineStr">
        <is>
          <t>Chott Merouane et Oued Khrouf</t>
        </is>
      </c>
      <c r="C31" s="14" t="n">
        <v>1015.894</v>
      </c>
      <c r="D31" s="34" t="n">
        <v>0</v>
      </c>
      <c r="E31" s="12" t="inlineStr">
        <is>
          <t>Y</t>
        </is>
      </c>
      <c r="F31" s="12" t="inlineStr">
        <is>
          <t>Y</t>
        </is>
      </c>
      <c r="G31" s="12" t="inlineStr">
        <is>
          <t>N</t>
        </is>
      </c>
      <c r="H31" s="14" t="n">
        <v>993.36</v>
      </c>
      <c r="I31" s="14" t="n">
        <v>0</v>
      </c>
      <c r="J31" s="30">
        <f>IF(C31="","",IF(N(D31)&gt;=Setup!$B$22,"Y","N"))</f>
        <v/>
      </c>
      <c r="K31" s="25">
        <f>IF(C31="","",N(H31)+N(I31))</f>
        <v/>
      </c>
      <c r="L31" s="26">
        <f>IF(N(C31)&gt;0,MIN(1,K31/C31),"")</f>
        <v/>
      </c>
      <c r="M31" s="26">
        <f>IF(N(C31)&gt;0,MIN(1,N(H31)/C31),"")</f>
        <v/>
      </c>
      <c r="N31" s="26">
        <f>IF(L31="","",L31-M31)</f>
        <v/>
      </c>
      <c r="O31" s="30">
        <f>IF(L31="","",IF(L31&gt;=Setup!$B$23,"Complete",IF(L31&gt;0,"Partial","None")))</f>
        <v/>
      </c>
      <c r="P31" s="30">
        <f>IF(C31="","",IF(K31&gt;C31*1.01,"Covered area &gt; KBA area – check overlap; ","")&amp;IF(AND(E31&lt;&gt;"Y",F31&lt;&gt;"Y",J31&lt;&gt;"Y"),"No realm assigned; ",""))</f>
        <v/>
      </c>
    </row>
    <row r="32">
      <c r="A32" s="12" t="n">
        <v>6176</v>
      </c>
      <c r="B32" s="12" t="inlineStr">
        <is>
          <t>Djebel Babor et Tababort</t>
        </is>
      </c>
      <c r="C32" s="14" t="n">
        <v>245.343</v>
      </c>
      <c r="D32" s="34" t="n">
        <v>0</v>
      </c>
      <c r="E32" s="12" t="inlineStr">
        <is>
          <t>Y</t>
        </is>
      </c>
      <c r="F32" s="12" t="inlineStr">
        <is>
          <t>N</t>
        </is>
      </c>
      <c r="G32" s="12" t="inlineStr">
        <is>
          <t>Y</t>
        </is>
      </c>
      <c r="H32" s="14" t="n">
        <v>180.711</v>
      </c>
      <c r="I32" s="14" t="n">
        <v>0</v>
      </c>
      <c r="J32" s="30">
        <f>IF(C32="","",IF(N(D32)&gt;=Setup!$B$22,"Y","N"))</f>
        <v/>
      </c>
      <c r="K32" s="25">
        <f>IF(C32="","",N(H32)+N(I32))</f>
        <v/>
      </c>
      <c r="L32" s="26">
        <f>IF(N(C32)&gt;0,MIN(1,K32/C32),"")</f>
        <v/>
      </c>
      <c r="M32" s="26">
        <f>IF(N(C32)&gt;0,MIN(1,N(H32)/C32),"")</f>
        <v/>
      </c>
      <c r="N32" s="26">
        <f>IF(L32="","",L32-M32)</f>
        <v/>
      </c>
      <c r="O32" s="30">
        <f>IF(L32="","",IF(L32&gt;=Setup!$B$23,"Complete",IF(L32&gt;0,"Partial","None")))</f>
        <v/>
      </c>
      <c r="P32" s="30">
        <f>IF(C32="","",IF(K32&gt;C32*1.01,"Covered area &gt; KBA area – check overlap; ","")&amp;IF(AND(E32&lt;&gt;"Y",F32&lt;&gt;"Y",J32&lt;&gt;"Y"),"No realm assigned; ",""))</f>
        <v/>
      </c>
    </row>
    <row r="33">
      <c r="A33" s="12" t="n">
        <v>6177</v>
      </c>
      <c r="B33" s="12" t="inlineStr">
        <is>
          <t>Taza</t>
        </is>
      </c>
      <c r="C33" s="14" t="n">
        <v>70.715</v>
      </c>
      <c r="D33" s="34" t="n">
        <v>0.062</v>
      </c>
      <c r="E33" s="12" t="inlineStr">
        <is>
          <t>Y</t>
        </is>
      </c>
      <c r="F33" s="12" t="inlineStr">
        <is>
          <t>Y</t>
        </is>
      </c>
      <c r="G33" s="12" t="inlineStr">
        <is>
          <t>Y</t>
        </is>
      </c>
      <c r="H33" s="14" t="n">
        <v>37.128</v>
      </c>
      <c r="I33" s="14" t="n">
        <v>0</v>
      </c>
      <c r="J33" s="30">
        <f>IF(C33="","",IF(N(D33)&gt;=Setup!$B$22,"Y","N"))</f>
        <v/>
      </c>
      <c r="K33" s="25">
        <f>IF(C33="","",N(H33)+N(I33))</f>
        <v/>
      </c>
      <c r="L33" s="26">
        <f>IF(N(C33)&gt;0,MIN(1,K33/C33),"")</f>
        <v/>
      </c>
      <c r="M33" s="26">
        <f>IF(N(C33)&gt;0,MIN(1,N(H33)/C33),"")</f>
        <v/>
      </c>
      <c r="N33" s="26">
        <f>IF(L33="","",L33-M33)</f>
        <v/>
      </c>
      <c r="O33" s="30">
        <f>IF(L33="","",IF(L33&gt;=Setup!$B$23,"Complete",IF(L33&gt;0,"Partial","None")))</f>
        <v/>
      </c>
      <c r="P33" s="30">
        <f>IF(C33="","",IF(K33&gt;C33*1.01,"Covered area &gt; KBA area – check overlap; ","")&amp;IF(AND(E33&lt;&gt;"Y",F33&lt;&gt;"Y",J33&lt;&gt;"Y"),"No realm assigned; ",""))</f>
        <v/>
      </c>
    </row>
    <row r="34">
      <c r="A34" s="12" t="n">
        <v>6178</v>
      </c>
      <c r="B34" s="12" t="inlineStr">
        <is>
          <t>Massif Djurdjura</t>
        </is>
      </c>
      <c r="C34" s="14" t="n">
        <v>294.839</v>
      </c>
      <c r="D34" s="34" t="n">
        <v>0</v>
      </c>
      <c r="E34" s="12" t="inlineStr">
        <is>
          <t>Y</t>
        </is>
      </c>
      <c r="F34" s="12" t="inlineStr">
        <is>
          <t>Y</t>
        </is>
      </c>
      <c r="G34" s="12" t="inlineStr">
        <is>
          <t>Y</t>
        </is>
      </c>
      <c r="H34" s="14" t="n">
        <v>184.912</v>
      </c>
      <c r="I34" s="14" t="n">
        <v>0</v>
      </c>
      <c r="J34" s="30">
        <f>IF(C34="","",IF(N(D34)&gt;=Setup!$B$22,"Y","N"))</f>
        <v/>
      </c>
      <c r="K34" s="25">
        <f>IF(C34="","",N(H34)+N(I34))</f>
        <v/>
      </c>
      <c r="L34" s="26">
        <f>IF(N(C34)&gt;0,MIN(1,K34/C34),"")</f>
        <v/>
      </c>
      <c r="M34" s="26">
        <f>IF(N(C34)&gt;0,MIN(1,N(H34)/C34),"")</f>
        <v/>
      </c>
      <c r="N34" s="26">
        <f>IF(L34="","",L34-M34)</f>
        <v/>
      </c>
      <c r="O34" s="30">
        <f>IF(L34="","",IF(L34&gt;=Setup!$B$23,"Complete",IF(L34&gt;0,"Partial","None")))</f>
        <v/>
      </c>
      <c r="P34" s="30">
        <f>IF(C34="","",IF(K34&gt;C34*1.01,"Covered area &gt; KBA area – check overlap; ","")&amp;IF(AND(E34&lt;&gt;"Y",F34&lt;&gt;"Y",J34&lt;&gt;"Y"),"No realm assigned; ",""))</f>
        <v/>
      </c>
    </row>
    <row r="35">
      <c r="A35" s="12" t="n">
        <v>6179</v>
      </c>
      <c r="B35" s="12" t="inlineStr">
        <is>
          <t>Belezma</t>
        </is>
      </c>
      <c r="C35" s="14" t="n">
        <v>329.1</v>
      </c>
      <c r="D35" s="34" t="n">
        <v>0</v>
      </c>
      <c r="E35" s="12" t="inlineStr">
        <is>
          <t>Y</t>
        </is>
      </c>
      <c r="F35" s="12" t="inlineStr">
        <is>
          <t>N</t>
        </is>
      </c>
      <c r="G35" s="12" t="inlineStr">
        <is>
          <t>Y</t>
        </is>
      </c>
      <c r="H35" s="14" t="n">
        <v>257.485</v>
      </c>
      <c r="I35" s="14" t="n">
        <v>0</v>
      </c>
      <c r="J35" s="30">
        <f>IF(C35="","",IF(N(D35)&gt;=Setup!$B$22,"Y","N"))</f>
        <v/>
      </c>
      <c r="K35" s="25">
        <f>IF(C35="","",N(H35)+N(I35))</f>
        <v/>
      </c>
      <c r="L35" s="26">
        <f>IF(N(C35)&gt;0,MIN(1,K35/C35),"")</f>
        <v/>
      </c>
      <c r="M35" s="26">
        <f>IF(N(C35)&gt;0,MIN(1,N(H35)/C35),"")</f>
        <v/>
      </c>
      <c r="N35" s="26">
        <f>IF(L35="","",L35-M35)</f>
        <v/>
      </c>
      <c r="O35" s="30">
        <f>IF(L35="","",IF(L35&gt;=Setup!$B$23,"Complete",IF(L35&gt;0,"Partial","None")))</f>
        <v/>
      </c>
      <c r="P35" s="30">
        <f>IF(C35="","",IF(K35&gt;C35*1.01,"Covered area &gt; KBA area – check overlap; ","")&amp;IF(AND(E35&lt;&gt;"Y",F35&lt;&gt;"Y",J35&lt;&gt;"Y"),"No realm assigned; ",""))</f>
        <v/>
      </c>
    </row>
    <row r="36">
      <c r="A36" s="12" t="n">
        <v>6180</v>
      </c>
      <c r="B36" s="12" t="inlineStr">
        <is>
          <t>El Bayadh</t>
        </is>
      </c>
      <c r="C36" s="14" t="n">
        <v>1.587</v>
      </c>
      <c r="D36" s="34" t="n">
        <v>0</v>
      </c>
      <c r="E36" s="12" t="inlineStr">
        <is>
          <t>Y</t>
        </is>
      </c>
      <c r="F36" s="12" t="inlineStr">
        <is>
          <t>N</t>
        </is>
      </c>
      <c r="G36" s="12" t="inlineStr">
        <is>
          <t>N</t>
        </is>
      </c>
      <c r="H36" s="14" t="n">
        <v>0</v>
      </c>
      <c r="I36" s="14" t="n">
        <v>1.587</v>
      </c>
      <c r="J36" s="30">
        <f>IF(C36="","",IF(N(D36)&gt;=Setup!$B$22,"Y","N"))</f>
        <v/>
      </c>
      <c r="K36" s="25">
        <f>IF(C36="","",N(H36)+N(I36))</f>
        <v/>
      </c>
      <c r="L36" s="26">
        <f>IF(N(C36)&gt;0,MIN(1,K36/C36),"")</f>
        <v/>
      </c>
      <c r="M36" s="26">
        <f>IF(N(C36)&gt;0,MIN(1,N(H36)/C36),"")</f>
        <v/>
      </c>
      <c r="N36" s="26">
        <f>IF(L36="","",L36-M36)</f>
        <v/>
      </c>
      <c r="O36" s="30">
        <f>IF(L36="","",IF(L36&gt;=Setup!$B$23,"Complete",IF(L36&gt;0,"Partial","None")))</f>
        <v/>
      </c>
      <c r="P36" s="30">
        <f>IF(C36="","",IF(K36&gt;C36*1.01,"Covered area &gt; KBA area – check overlap; ","")&amp;IF(AND(E36&lt;&gt;"Y",F36&lt;&gt;"Y",J36&lt;&gt;"Y"),"No realm assigned; ",""))</f>
        <v/>
      </c>
    </row>
    <row r="37">
      <c r="A37" s="12" t="n">
        <v>6181</v>
      </c>
      <c r="B37" s="12" t="inlineStr">
        <is>
          <t>Djebel Aissa</t>
        </is>
      </c>
      <c r="C37" s="14" t="n">
        <v>6306.209</v>
      </c>
      <c r="D37" s="34" t="n">
        <v>0</v>
      </c>
      <c r="E37" s="12" t="inlineStr">
        <is>
          <t>Y</t>
        </is>
      </c>
      <c r="F37" s="12" t="inlineStr">
        <is>
          <t>N</t>
        </is>
      </c>
      <c r="G37" s="12" t="inlineStr">
        <is>
          <t>Y</t>
        </is>
      </c>
      <c r="H37" s="14" t="n">
        <v>1937.716</v>
      </c>
      <c r="I37" s="14" t="n">
        <v>3824.676</v>
      </c>
      <c r="J37" s="30">
        <f>IF(C37="","",IF(N(D37)&gt;=Setup!$B$22,"Y","N"))</f>
        <v/>
      </c>
      <c r="K37" s="25">
        <f>IF(C37="","",N(H37)+N(I37))</f>
        <v/>
      </c>
      <c r="L37" s="26">
        <f>IF(N(C37)&gt;0,MIN(1,K37/C37),"")</f>
        <v/>
      </c>
      <c r="M37" s="26">
        <f>IF(N(C37)&gt;0,MIN(1,N(H37)/C37),"")</f>
        <v/>
      </c>
      <c r="N37" s="26">
        <f>IF(L37="","",L37-M37)</f>
        <v/>
      </c>
      <c r="O37" s="30">
        <f>IF(L37="","",IF(L37&gt;=Setup!$B$23,"Complete",IF(L37&gt;0,"Partial","None")))</f>
        <v/>
      </c>
      <c r="P37" s="30">
        <f>IF(C37="","",IF(K37&gt;C37*1.01,"Covered area &gt; KBA area – check overlap; ","")&amp;IF(AND(E37&lt;&gt;"Y",F37&lt;&gt;"Y",J37&lt;&gt;"Y"),"No realm assigned; ",""))</f>
        <v/>
      </c>
    </row>
    <row r="38">
      <c r="A38" s="12" t="n">
        <v>6183</v>
      </c>
      <c r="B38" s="12" t="inlineStr">
        <is>
          <t>Parc National du Tassili N'Ajjer</t>
        </is>
      </c>
      <c r="C38" s="14" t="n">
        <v>99331.336</v>
      </c>
      <c r="D38" s="34" t="n">
        <v>0.001</v>
      </c>
      <c r="E38" s="12" t="inlineStr">
        <is>
          <t>Y</t>
        </is>
      </c>
      <c r="F38" s="12" t="inlineStr">
        <is>
          <t>N</t>
        </is>
      </c>
      <c r="G38" s="12" t="inlineStr">
        <is>
          <t>Y</t>
        </is>
      </c>
      <c r="H38" s="14" t="n">
        <v>75571.557</v>
      </c>
      <c r="I38" s="14" t="n">
        <v>23655.828</v>
      </c>
      <c r="J38" s="30">
        <f>IF(C38="","",IF(N(D38)&gt;=Setup!$B$22,"Y","N"))</f>
        <v/>
      </c>
      <c r="K38" s="25">
        <f>IF(C38="","",N(H38)+N(I38))</f>
        <v/>
      </c>
      <c r="L38" s="26">
        <f>IF(N(C38)&gt;0,MIN(1,K38/C38),"")</f>
        <v/>
      </c>
      <c r="M38" s="26">
        <f>IF(N(C38)&gt;0,MIN(1,N(H38)/C38),"")</f>
        <v/>
      </c>
      <c r="N38" s="26">
        <f>IF(L38="","",L38-M38)</f>
        <v/>
      </c>
      <c r="O38" s="30">
        <f>IF(L38="","",IF(L38&gt;=Setup!$B$23,"Complete",IF(L38&gt;0,"Partial","None")))</f>
        <v/>
      </c>
      <c r="P38" s="30">
        <f>IF(C38="","",IF(K38&gt;C38*1.01,"Covered area &gt; KBA area – check overlap; ","")&amp;IF(AND(E38&lt;&gt;"Y",F38&lt;&gt;"Y",J38&lt;&gt;"Y"),"No realm assigned; ",""))</f>
        <v/>
      </c>
    </row>
    <row r="39">
      <c r="A39" s="12" t="n">
        <v>6184</v>
      </c>
      <c r="B39" s="12" t="inlineStr">
        <is>
          <t>Parc National de l'Ahaggar</t>
        </is>
      </c>
      <c r="C39" s="14" t="n">
        <v>64308.89</v>
      </c>
      <c r="D39" s="34" t="n">
        <v>0</v>
      </c>
      <c r="E39" s="12" t="inlineStr">
        <is>
          <t>Y</t>
        </is>
      </c>
      <c r="F39" s="12" t="inlineStr">
        <is>
          <t>N</t>
        </is>
      </c>
      <c r="G39" s="12" t="inlineStr">
        <is>
          <t>Y</t>
        </is>
      </c>
      <c r="H39" s="14" t="n">
        <v>536.054</v>
      </c>
      <c r="I39" s="14" t="n">
        <v>63772.835</v>
      </c>
      <c r="J39" s="30">
        <f>IF(C39="","",IF(N(D39)&gt;=Setup!$B$22,"Y","N"))</f>
        <v/>
      </c>
      <c r="K39" s="25">
        <f>IF(C39="","",N(H39)+N(I39))</f>
        <v/>
      </c>
      <c r="L39" s="26">
        <f>IF(N(C39)&gt;0,MIN(1,K39/C39),"")</f>
        <v/>
      </c>
      <c r="M39" s="26">
        <f>IF(N(C39)&gt;0,MIN(1,N(H39)/C39),"")</f>
        <v/>
      </c>
      <c r="N39" s="26">
        <f>IF(L39="","",L39-M39)</f>
        <v/>
      </c>
      <c r="O39" s="30">
        <f>IF(L39="","",IF(L39&gt;=Setup!$B$23,"Complete",IF(L39&gt;0,"Partial","None")))</f>
        <v/>
      </c>
      <c r="P39" s="30">
        <f>IF(C39="","",IF(K39&gt;C39*1.01,"Covered area &gt; KBA area – check overlap; ","")&amp;IF(AND(E39&lt;&gt;"Y",F39&lt;&gt;"Y",J39&lt;&gt;"Y"),"No realm assigned; ",""))</f>
        <v/>
      </c>
    </row>
    <row r="40">
      <c r="A40" s="12" t="n">
        <v>6185</v>
      </c>
      <c r="B40" s="12" t="inlineStr">
        <is>
          <t>Îles Habibas</t>
        </is>
      </c>
      <c r="C40" s="14" t="n">
        <v>0.628</v>
      </c>
      <c r="D40" s="34" t="n">
        <v>1</v>
      </c>
      <c r="E40" s="12" t="inlineStr">
        <is>
          <t>N</t>
        </is>
      </c>
      <c r="F40" s="12" t="inlineStr">
        <is>
          <t>N</t>
        </is>
      </c>
      <c r="G40" s="12" t="inlineStr">
        <is>
          <t>N</t>
        </is>
      </c>
      <c r="H40" s="14" t="n">
        <v>0.628</v>
      </c>
      <c r="I40" s="14" t="n">
        <v>0</v>
      </c>
      <c r="J40" s="30">
        <f>IF(C40="","",IF(N(D40)&gt;=Setup!$B$22,"Y","N"))</f>
        <v/>
      </c>
      <c r="K40" s="25">
        <f>IF(C40="","",N(H40)+N(I40))</f>
        <v/>
      </c>
      <c r="L40" s="26">
        <f>IF(N(C40)&gt;0,MIN(1,K40/C40),"")</f>
        <v/>
      </c>
      <c r="M40" s="26">
        <f>IF(N(C40)&gt;0,MIN(1,N(H40)/C40),"")</f>
        <v/>
      </c>
      <c r="N40" s="26">
        <f>IF(L40="","",L40-M40)</f>
        <v/>
      </c>
      <c r="O40" s="30">
        <f>IF(L40="","",IF(L40&gt;=Setup!$B$23,"Complete",IF(L40&gt;0,"Partial","None")))</f>
        <v/>
      </c>
      <c r="P40" s="30">
        <f>IF(C40="","",IF(K40&gt;C40*1.01,"Covered area &gt; KBA area – check overlap; ","")&amp;IF(AND(E40&lt;&gt;"Y",F40&lt;&gt;"Y",J40&lt;&gt;"Y"),"No realm assigned; ",""))</f>
        <v/>
      </c>
    </row>
    <row r="41">
      <c r="A41" s="12" t="n">
        <v>6186</v>
      </c>
      <c r="B41" s="12" t="inlineStr">
        <is>
          <t>Île Rachgoune</t>
        </is>
      </c>
      <c r="C41" s="14" t="n">
        <v>0.272</v>
      </c>
      <c r="D41" s="34" t="n">
        <v>1</v>
      </c>
      <c r="E41" s="12" t="inlineStr">
        <is>
          <t>N</t>
        </is>
      </c>
      <c r="F41" s="12" t="inlineStr">
        <is>
          <t>N</t>
        </is>
      </c>
      <c r="G41" s="12" t="inlineStr">
        <is>
          <t>N</t>
        </is>
      </c>
      <c r="H41" s="14" t="n">
        <v>0.063</v>
      </c>
      <c r="I41" s="14" t="n">
        <v>0</v>
      </c>
      <c r="J41" s="30">
        <f>IF(C41="","",IF(N(D41)&gt;=Setup!$B$22,"Y","N"))</f>
        <v/>
      </c>
      <c r="K41" s="25">
        <f>IF(C41="","",N(H41)+N(I41))</f>
        <v/>
      </c>
      <c r="L41" s="26">
        <f>IF(N(C41)&gt;0,MIN(1,K41/C41),"")</f>
        <v/>
      </c>
      <c r="M41" s="26">
        <f>IF(N(C41)&gt;0,MIN(1,N(H41)/C41),"")</f>
        <v/>
      </c>
      <c r="N41" s="26">
        <f>IF(L41="","",L41-M41)</f>
        <v/>
      </c>
      <c r="O41" s="30">
        <f>IF(L41="","",IF(L41&gt;=Setup!$B$23,"Complete",IF(L41&gt;0,"Partial","None")))</f>
        <v/>
      </c>
      <c r="P41" s="30">
        <f>IF(C41="","",IF(K41&gt;C41*1.01,"Covered area &gt; KBA area – check overlap; ","")&amp;IF(AND(E41&lt;&gt;"Y",F41&lt;&gt;"Y",J41&lt;&gt;"Y"),"No realm assigned; ",""))</f>
        <v/>
      </c>
    </row>
    <row r="42">
      <c r="A42" s="12" t="n">
        <v>31665</v>
      </c>
      <c r="B42" s="12" t="inlineStr">
        <is>
          <t>Forêt d'Akfadou</t>
        </is>
      </c>
      <c r="C42" s="14" t="n">
        <v>282.954</v>
      </c>
      <c r="D42" s="34" t="n">
        <v>0</v>
      </c>
      <c r="E42" s="12" t="inlineStr">
        <is>
          <t>Y</t>
        </is>
      </c>
      <c r="F42" s="12" t="inlineStr">
        <is>
          <t>N</t>
        </is>
      </c>
      <c r="G42" s="12" t="inlineStr">
        <is>
          <t>Y</t>
        </is>
      </c>
      <c r="H42" s="14" t="n">
        <v>0.002</v>
      </c>
      <c r="I42" s="14" t="n">
        <v>0</v>
      </c>
      <c r="J42" s="30">
        <f>IF(C42="","",IF(N(D42)&gt;=Setup!$B$22,"Y","N"))</f>
        <v/>
      </c>
      <c r="K42" s="25">
        <f>IF(C42="","",N(H42)+N(I42))</f>
        <v/>
      </c>
      <c r="L42" s="26">
        <f>IF(N(C42)&gt;0,MIN(1,K42/C42),"")</f>
        <v/>
      </c>
      <c r="M42" s="26">
        <f>IF(N(C42)&gt;0,MIN(1,N(H42)/C42),"")</f>
        <v/>
      </c>
      <c r="N42" s="26">
        <f>IF(L42="","",L42-M42)</f>
        <v/>
      </c>
      <c r="O42" s="30">
        <f>IF(L42="","",IF(L42&gt;=Setup!$B$23,"Complete",IF(L42&gt;0,"Partial","None")))</f>
        <v/>
      </c>
      <c r="P42" s="30">
        <f>IF(C42="","",IF(K42&gt;C42*1.01,"Covered area &gt; KBA area – check overlap; ","")&amp;IF(AND(E42&lt;&gt;"Y",F42&lt;&gt;"Y",J42&lt;&gt;"Y"),"No realm assigned; ",""))</f>
        <v/>
      </c>
    </row>
    <row r="43">
      <c r="A43" s="12" t="n">
        <v>31673</v>
      </c>
      <c r="B43" s="12" t="inlineStr">
        <is>
          <t>Chott El Hodna</t>
        </is>
      </c>
      <c r="C43" s="14" t="n">
        <v>625.407</v>
      </c>
      <c r="D43" s="34" t="n">
        <v>0</v>
      </c>
      <c r="E43" s="12" t="inlineStr">
        <is>
          <t>Y</t>
        </is>
      </c>
      <c r="F43" s="12" t="inlineStr">
        <is>
          <t>Y</t>
        </is>
      </c>
      <c r="G43" s="12" t="inlineStr">
        <is>
          <t>N</t>
        </is>
      </c>
      <c r="H43" s="14" t="n">
        <v>625.407</v>
      </c>
      <c r="I43" s="14" t="n">
        <v>0</v>
      </c>
      <c r="J43" s="30">
        <f>IF(C43="","",IF(N(D43)&gt;=Setup!$B$22,"Y","N"))</f>
        <v/>
      </c>
      <c r="K43" s="25">
        <f>IF(C43="","",N(H43)+N(I43))</f>
        <v/>
      </c>
      <c r="L43" s="26">
        <f>IF(N(C43)&gt;0,MIN(1,K43/C43),"")</f>
        <v/>
      </c>
      <c r="M43" s="26">
        <f>IF(N(C43)&gt;0,MIN(1,N(H43)/C43),"")</f>
        <v/>
      </c>
      <c r="N43" s="26">
        <f>IF(L43="","",L43-M43)</f>
        <v/>
      </c>
      <c r="O43" s="30">
        <f>IF(L43="","",IF(L43&gt;=Setup!$B$23,"Complete",IF(L43&gt;0,"Partial","None")))</f>
        <v/>
      </c>
      <c r="P43" s="30">
        <f>IF(C43="","",IF(K43&gt;C43*1.01,"Covered area &gt; KBA area – check overlap; ","")&amp;IF(AND(E43&lt;&gt;"Y",F43&lt;&gt;"Y",J43&lt;&gt;"Y"),"No realm assigned; ",""))</f>
        <v/>
      </c>
    </row>
    <row r="44">
      <c r="A44" s="12" t="n">
        <v>31674</v>
      </c>
      <c r="B44" s="12" t="inlineStr">
        <is>
          <t>Chréa</t>
        </is>
      </c>
      <c r="C44" s="14" t="n">
        <v>1164.068</v>
      </c>
      <c r="D44" s="34" t="n">
        <v>0</v>
      </c>
      <c r="E44" s="12" t="inlineStr">
        <is>
          <t>Y</t>
        </is>
      </c>
      <c r="F44" s="12" t="inlineStr">
        <is>
          <t>Y</t>
        </is>
      </c>
      <c r="G44" s="12" t="inlineStr">
        <is>
          <t>Y</t>
        </is>
      </c>
      <c r="H44" s="14" t="n">
        <v>274.769</v>
      </c>
      <c r="I44" s="14" t="n">
        <v>0</v>
      </c>
      <c r="J44" s="30">
        <f>IF(C44="","",IF(N(D44)&gt;=Setup!$B$22,"Y","N"))</f>
        <v/>
      </c>
      <c r="K44" s="25">
        <f>IF(C44="","",N(H44)+N(I44))</f>
        <v/>
      </c>
      <c r="L44" s="26">
        <f>IF(N(C44)&gt;0,MIN(1,K44/C44),"")</f>
        <v/>
      </c>
      <c r="M44" s="26">
        <f>IF(N(C44)&gt;0,MIN(1,N(H44)/C44),"")</f>
        <v/>
      </c>
      <c r="N44" s="26">
        <f>IF(L44="","",L44-M44)</f>
        <v/>
      </c>
      <c r="O44" s="30">
        <f>IF(L44="","",IF(L44&gt;=Setup!$B$23,"Complete",IF(L44&gt;0,"Partial","None")))</f>
        <v/>
      </c>
      <c r="P44" s="30">
        <f>IF(C44="","",IF(K44&gt;C44*1.01,"Covered area &gt; KBA area – check overlap; ","")&amp;IF(AND(E44&lt;&gt;"Y",F44&lt;&gt;"Y",J44&lt;&gt;"Y"),"No realm assigned; ",""))</f>
        <v/>
      </c>
    </row>
    <row r="45">
      <c r="A45" s="12" t="n">
        <v>31676</v>
      </c>
      <c r="B45" s="12" t="inlineStr">
        <is>
          <t>Presqu'île de Collo</t>
        </is>
      </c>
      <c r="C45" s="14" t="n">
        <v>518.402</v>
      </c>
      <c r="D45" s="34" t="n">
        <v>0.04</v>
      </c>
      <c r="E45" s="12" t="inlineStr">
        <is>
          <t>Y</t>
        </is>
      </c>
      <c r="F45" s="12" t="inlineStr">
        <is>
          <t>Y</t>
        </is>
      </c>
      <c r="G45" s="12" t="inlineStr">
        <is>
          <t>Y</t>
        </is>
      </c>
      <c r="H45" s="14" t="n">
        <v>0</v>
      </c>
      <c r="I45" s="14" t="n">
        <v>0</v>
      </c>
      <c r="J45" s="30">
        <f>IF(C45="","",IF(N(D45)&gt;=Setup!$B$22,"Y","N"))</f>
        <v/>
      </c>
      <c r="K45" s="25">
        <f>IF(C45="","",N(H45)+N(I45))</f>
        <v/>
      </c>
      <c r="L45" s="26">
        <f>IF(N(C45)&gt;0,MIN(1,K45/C45),"")</f>
        <v/>
      </c>
      <c r="M45" s="26">
        <f>IF(N(C45)&gt;0,MIN(1,N(H45)/C45),"")</f>
        <v/>
      </c>
      <c r="N45" s="26">
        <f>IF(L45="","",L45-M45)</f>
        <v/>
      </c>
      <c r="O45" s="30">
        <f>IF(L45="","",IF(L45&gt;=Setup!$B$23,"Complete",IF(L45&gt;0,"Partial","None")))</f>
        <v/>
      </c>
      <c r="P45" s="30">
        <f>IF(C45="","",IF(K45&gt;C45*1.01,"Covered area &gt; KBA area – check overlap; ","")&amp;IF(AND(E45&lt;&gt;"Y",F45&lt;&gt;"Y",J45&lt;&gt;"Y"),"No realm assigned; ",""))</f>
        <v/>
      </c>
    </row>
    <row r="46">
      <c r="A46" s="12" t="n">
        <v>31677</v>
      </c>
      <c r="B46" s="12" t="inlineStr">
        <is>
          <t>Constantine</t>
        </is>
      </c>
      <c r="C46" s="14" t="n">
        <v>286.324</v>
      </c>
      <c r="D46" s="34" t="n">
        <v>0</v>
      </c>
      <c r="E46" s="12" t="inlineStr">
        <is>
          <t>Y</t>
        </is>
      </c>
      <c r="F46" s="12" t="inlineStr">
        <is>
          <t>N</t>
        </is>
      </c>
      <c r="G46" s="12" t="inlineStr">
        <is>
          <t>Y</t>
        </is>
      </c>
      <c r="H46" s="14" t="n">
        <v>0</v>
      </c>
      <c r="I46" s="14" t="n">
        <v>0</v>
      </c>
      <c r="J46" s="30">
        <f>IF(C46="","",IF(N(D46)&gt;=Setup!$B$22,"Y","N"))</f>
        <v/>
      </c>
      <c r="K46" s="25">
        <f>IF(C46="","",N(H46)+N(I46))</f>
        <v/>
      </c>
      <c r="L46" s="26">
        <f>IF(N(C46)&gt;0,MIN(1,K46/C46),"")</f>
        <v/>
      </c>
      <c r="M46" s="26">
        <f>IF(N(C46)&gt;0,MIN(1,N(H46)/C46),"")</f>
        <v/>
      </c>
      <c r="N46" s="26">
        <f>IF(L46="","",L46-M46)</f>
        <v/>
      </c>
      <c r="O46" s="30">
        <f>IF(L46="","",IF(L46&gt;=Setup!$B$23,"Complete",IF(L46&gt;0,"Partial","None")))</f>
        <v/>
      </c>
      <c r="P46" s="30">
        <f>IF(C46="","",IF(K46&gt;C46*1.01,"Covered area &gt; KBA area – check overlap; ","")&amp;IF(AND(E46&lt;&gt;"Y",F46&lt;&gt;"Y",J46&lt;&gt;"Y"),"No realm assigned; ",""))</f>
        <v/>
      </c>
    </row>
    <row r="47">
      <c r="A47" s="12" t="n">
        <v>31680</v>
      </c>
      <c r="B47" s="12" t="inlineStr">
        <is>
          <t>Djebel Mégriss</t>
        </is>
      </c>
      <c r="C47" s="14" t="n">
        <v>66.81399999999999</v>
      </c>
      <c r="D47" s="34" t="n">
        <v>0</v>
      </c>
      <c r="E47" s="12" t="inlineStr">
        <is>
          <t>Y</t>
        </is>
      </c>
      <c r="F47" s="12" t="inlineStr">
        <is>
          <t>N</t>
        </is>
      </c>
      <c r="G47" s="12" t="inlineStr">
        <is>
          <t>Y</t>
        </is>
      </c>
      <c r="H47" s="14" t="n">
        <v>0</v>
      </c>
      <c r="I47" s="14" t="n">
        <v>0</v>
      </c>
      <c r="J47" s="30">
        <f>IF(C47="","",IF(N(D47)&gt;=Setup!$B$22,"Y","N"))</f>
        <v/>
      </c>
      <c r="K47" s="25">
        <f>IF(C47="","",N(H47)+N(I47))</f>
        <v/>
      </c>
      <c r="L47" s="26">
        <f>IF(N(C47)&gt;0,MIN(1,K47/C47),"")</f>
        <v/>
      </c>
      <c r="M47" s="26">
        <f>IF(N(C47)&gt;0,MIN(1,N(H47)/C47),"")</f>
        <v/>
      </c>
      <c r="N47" s="26">
        <f>IF(L47="","",L47-M47)</f>
        <v/>
      </c>
      <c r="O47" s="30">
        <f>IF(L47="","",IF(L47&gt;=Setup!$B$23,"Complete",IF(L47&gt;0,"Partial","None")))</f>
        <v/>
      </c>
      <c r="P47" s="30">
        <f>IF(C47="","",IF(K47&gt;C47*1.01,"Covered area &gt; KBA area – check overlap; ","")&amp;IF(AND(E47&lt;&gt;"Y",F47&lt;&gt;"Y",J47&lt;&gt;"Y"),"No realm assigned; ",""))</f>
        <v/>
      </c>
    </row>
    <row r="48">
      <c r="A48" s="12" t="n">
        <v>31685</v>
      </c>
      <c r="B48" s="12" t="inlineStr">
        <is>
          <t>Presqu'ile de l'Edough</t>
        </is>
      </c>
      <c r="C48" s="14" t="n">
        <v>615.489</v>
      </c>
      <c r="D48" s="34" t="n">
        <v>0.021</v>
      </c>
      <c r="E48" s="12" t="inlineStr">
        <is>
          <t>Y</t>
        </is>
      </c>
      <c r="F48" s="12" t="inlineStr">
        <is>
          <t>Y</t>
        </is>
      </c>
      <c r="G48" s="12" t="inlineStr">
        <is>
          <t>Y</t>
        </is>
      </c>
      <c r="H48" s="14" t="n">
        <v>4.297</v>
      </c>
      <c r="I48" s="14" t="n">
        <v>0</v>
      </c>
      <c r="J48" s="30">
        <f>IF(C48="","",IF(N(D48)&gt;=Setup!$B$22,"Y","N"))</f>
        <v/>
      </c>
      <c r="K48" s="25">
        <f>IF(C48="","",N(H48)+N(I48))</f>
        <v/>
      </c>
      <c r="L48" s="26">
        <f>IF(N(C48)&gt;0,MIN(1,K48/C48),"")</f>
        <v/>
      </c>
      <c r="M48" s="26">
        <f>IF(N(C48)&gt;0,MIN(1,N(H48)/C48),"")</f>
        <v/>
      </c>
      <c r="N48" s="26">
        <f>IF(L48="","",L48-M48)</f>
        <v/>
      </c>
      <c r="O48" s="30">
        <f>IF(L48="","",IF(L48&gt;=Setup!$B$23,"Complete",IF(L48&gt;0,"Partial","None")))</f>
        <v/>
      </c>
      <c r="P48" s="30">
        <f>IF(C48="","",IF(K48&gt;C48*1.01,"Covered area &gt; KBA area – check overlap; ","")&amp;IF(AND(E48&lt;&gt;"Y",F48&lt;&gt;"Y",J48&lt;&gt;"Y"),"No realm assigned; ",""))</f>
        <v/>
      </c>
    </row>
    <row r="49">
      <c r="A49" s="12" t="n">
        <v>31688</v>
      </c>
      <c r="B49" s="12" t="inlineStr">
        <is>
          <t>Gouraya</t>
        </is>
      </c>
      <c r="C49" s="14" t="n">
        <v>23.99</v>
      </c>
      <c r="D49" s="34" t="n">
        <v>0.029</v>
      </c>
      <c r="E49" s="12" t="inlineStr">
        <is>
          <t>Y</t>
        </is>
      </c>
      <c r="F49" s="12" t="inlineStr">
        <is>
          <t>N</t>
        </is>
      </c>
      <c r="G49" s="12" t="inlineStr">
        <is>
          <t>Y</t>
        </is>
      </c>
      <c r="H49" s="14" t="n">
        <v>19.805</v>
      </c>
      <c r="I49" s="14" t="n">
        <v>0</v>
      </c>
      <c r="J49" s="30">
        <f>IF(C49="","",IF(N(D49)&gt;=Setup!$B$22,"Y","N"))</f>
        <v/>
      </c>
      <c r="K49" s="25">
        <f>IF(C49="","",N(H49)+N(I49))</f>
        <v/>
      </c>
      <c r="L49" s="26">
        <f>IF(N(C49)&gt;0,MIN(1,K49/C49),"")</f>
        <v/>
      </c>
      <c r="M49" s="26">
        <f>IF(N(C49)&gt;0,MIN(1,N(H49)/C49),"")</f>
        <v/>
      </c>
      <c r="N49" s="26">
        <f>IF(L49="","",L49-M49)</f>
        <v/>
      </c>
      <c r="O49" s="30">
        <f>IF(L49="","",IF(L49&gt;=Setup!$B$23,"Complete",IF(L49&gt;0,"Partial","None")))</f>
        <v/>
      </c>
      <c r="P49" s="30">
        <f>IF(C49="","",IF(K49&gt;C49*1.01,"Covered area &gt; KBA area – check overlap; ","")&amp;IF(AND(E49&lt;&gt;"Y",F49&lt;&gt;"Y",J49&lt;&gt;"Y"),"No realm assigned; ",""))</f>
        <v/>
      </c>
    </row>
    <row r="50">
      <c r="A50" s="12" t="n">
        <v>31703</v>
      </c>
      <c r="B50" s="12" t="inlineStr">
        <is>
          <t>Levasseur</t>
        </is>
      </c>
      <c r="C50" s="14" t="n">
        <v>842.028</v>
      </c>
      <c r="D50" s="34" t="n">
        <v>0</v>
      </c>
      <c r="E50" s="12" t="inlineStr">
        <is>
          <t>Y</t>
        </is>
      </c>
      <c r="F50" s="12" t="inlineStr">
        <is>
          <t>N</t>
        </is>
      </c>
      <c r="G50" s="12" t="inlineStr">
        <is>
          <t>Y</t>
        </is>
      </c>
      <c r="H50" s="14" t="n">
        <v>0</v>
      </c>
      <c r="I50" s="14" t="n">
        <v>0</v>
      </c>
      <c r="J50" s="30">
        <f>IF(C50="","",IF(N(D50)&gt;=Setup!$B$22,"Y","N"))</f>
        <v/>
      </c>
      <c r="K50" s="25">
        <f>IF(C50="","",N(H50)+N(I50))</f>
        <v/>
      </c>
      <c r="L50" s="26">
        <f>IF(N(C50)&gt;0,MIN(1,K50/C50),"")</f>
        <v/>
      </c>
      <c r="M50" s="26">
        <f>IF(N(C50)&gt;0,MIN(1,N(H50)/C50),"")</f>
        <v/>
      </c>
      <c r="N50" s="26">
        <f>IF(L50="","",L50-M50)</f>
        <v/>
      </c>
      <c r="O50" s="30">
        <f>IF(L50="","",IF(L50&gt;=Setup!$B$23,"Complete",IF(L50&gt;0,"Partial","None")))</f>
        <v/>
      </c>
      <c r="P50" s="30">
        <f>IF(C50="","",IF(K50&gt;C50*1.01,"Covered area &gt; KBA area – check overlap; ","")&amp;IF(AND(E50&lt;&gt;"Y",F50&lt;&gt;"Y",J50&lt;&gt;"Y"),"No realm assigned; ",""))</f>
        <v/>
      </c>
    </row>
    <row r="51">
      <c r="A51" s="12" t="n">
        <v>31707</v>
      </c>
      <c r="B51" s="12" t="inlineStr">
        <is>
          <t>Mergueb</t>
        </is>
      </c>
      <c r="C51" s="14" t="n">
        <v>252.059</v>
      </c>
      <c r="D51" s="34" t="n">
        <v>0</v>
      </c>
      <c r="E51" s="12" t="inlineStr">
        <is>
          <t>Y</t>
        </is>
      </c>
      <c r="F51" s="12" t="inlineStr">
        <is>
          <t>N</t>
        </is>
      </c>
      <c r="G51" s="12" t="inlineStr">
        <is>
          <t>N</t>
        </is>
      </c>
      <c r="H51" s="14" t="n">
        <v>0</v>
      </c>
      <c r="I51" s="14" t="n">
        <v>241.572</v>
      </c>
      <c r="J51" s="30">
        <f>IF(C51="","",IF(N(D51)&gt;=Setup!$B$22,"Y","N"))</f>
        <v/>
      </c>
      <c r="K51" s="25">
        <f>IF(C51="","",N(H51)+N(I51))</f>
        <v/>
      </c>
      <c r="L51" s="26">
        <f>IF(N(C51)&gt;0,MIN(1,K51/C51),"")</f>
        <v/>
      </c>
      <c r="M51" s="26">
        <f>IF(N(C51)&gt;0,MIN(1,N(H51)/C51),"")</f>
        <v/>
      </c>
      <c r="N51" s="26">
        <f>IF(L51="","",L51-M51)</f>
        <v/>
      </c>
      <c r="O51" s="30">
        <f>IF(L51="","",IF(L51&gt;=Setup!$B$23,"Complete",IF(L51&gt;0,"Partial","None")))</f>
        <v/>
      </c>
      <c r="P51" s="30">
        <f>IF(C51="","",IF(K51&gt;C51*1.01,"Covered area &gt; KBA area – check overlap; ","")&amp;IF(AND(E51&lt;&gt;"Y",F51&lt;&gt;"Y",J51&lt;&gt;"Y"),"No realm assigned; ",""))</f>
        <v/>
      </c>
    </row>
    <row r="52">
      <c r="A52" s="12" t="n">
        <v>31751</v>
      </c>
      <c r="B52" s="12" t="inlineStr">
        <is>
          <t>El Kala - Tarf</t>
        </is>
      </c>
      <c r="C52" s="14" t="n">
        <v>2539.875</v>
      </c>
      <c r="D52" s="34" t="n">
        <v>0.031</v>
      </c>
      <c r="E52" s="12" t="inlineStr">
        <is>
          <t>Y</t>
        </is>
      </c>
      <c r="F52" s="12" t="inlineStr">
        <is>
          <t>Y</t>
        </is>
      </c>
      <c r="G52" s="12" t="inlineStr">
        <is>
          <t>Y</t>
        </is>
      </c>
      <c r="H52" s="14" t="n">
        <v>831.968</v>
      </c>
      <c r="I52" s="14" t="n">
        <v>0</v>
      </c>
      <c r="J52" s="30">
        <f>IF(C52="","",IF(N(D52)&gt;=Setup!$B$22,"Y","N"))</f>
        <v/>
      </c>
      <c r="K52" s="25">
        <f>IF(C52="","",N(H52)+N(I52))</f>
        <v/>
      </c>
      <c r="L52" s="26">
        <f>IF(N(C52)&gt;0,MIN(1,K52/C52),"")</f>
        <v/>
      </c>
      <c r="M52" s="26">
        <f>IF(N(C52)&gt;0,MIN(1,N(H52)/C52),"")</f>
        <v/>
      </c>
      <c r="N52" s="26">
        <f>IF(L52="","",L52-M52)</f>
        <v/>
      </c>
      <c r="O52" s="30">
        <f>IF(L52="","",IF(L52&gt;=Setup!$B$23,"Complete",IF(L52&gt;0,"Partial","None")))</f>
        <v/>
      </c>
      <c r="P52" s="30">
        <f>IF(C52="","",IF(K52&gt;C52*1.01,"Covered area &gt; KBA area – check overlap; ","")&amp;IF(AND(E52&lt;&gt;"Y",F52&lt;&gt;"Y",J52&lt;&gt;"Y"),"No realm assigned; ",""))</f>
        <v/>
      </c>
    </row>
    <row r="53">
      <c r="A53" s="12" t="n">
        <v>31790</v>
      </c>
      <c r="B53" s="12" t="inlineStr">
        <is>
          <t>Djebel Chenoua</t>
        </is>
      </c>
      <c r="C53" s="14" t="n">
        <v>79.06699999999999</v>
      </c>
      <c r="D53" s="34" t="n">
        <v>0.011</v>
      </c>
      <c r="E53" s="12" t="inlineStr">
        <is>
          <t>Y</t>
        </is>
      </c>
      <c r="F53" s="12" t="inlineStr">
        <is>
          <t>N</t>
        </is>
      </c>
      <c r="G53" s="12" t="inlineStr">
        <is>
          <t>Y</t>
        </is>
      </c>
      <c r="H53" s="14" t="n">
        <v>0</v>
      </c>
      <c r="I53" s="14" t="n">
        <v>0</v>
      </c>
      <c r="J53" s="30">
        <f>IF(C53="","",IF(N(D53)&gt;=Setup!$B$22,"Y","N"))</f>
        <v/>
      </c>
      <c r="K53" s="25">
        <f>IF(C53="","",N(H53)+N(I53))</f>
        <v/>
      </c>
      <c r="L53" s="26">
        <f>IF(N(C53)&gt;0,MIN(1,K53/C53),"")</f>
        <v/>
      </c>
      <c r="M53" s="26">
        <f>IF(N(C53)&gt;0,MIN(1,N(H53)/C53),"")</f>
        <v/>
      </c>
      <c r="N53" s="26">
        <f>IF(L53="","",L53-M53)</f>
        <v/>
      </c>
      <c r="O53" s="30">
        <f>IF(L53="","",IF(L53&gt;=Setup!$B$23,"Complete",IF(L53&gt;0,"Partial","None")))</f>
        <v/>
      </c>
      <c r="P53" s="30">
        <f>IF(C53="","",IF(K53&gt;C53*1.01,"Covered area &gt; KBA area – check overlap; ","")&amp;IF(AND(E53&lt;&gt;"Y",F53&lt;&gt;"Y",J53&lt;&gt;"Y"),"No realm assigned; ",""))</f>
        <v/>
      </c>
    </row>
    <row r="54">
      <c r="A54" s="12" t="n">
        <v>31803</v>
      </c>
      <c r="B54" s="12" t="inlineStr">
        <is>
          <t>El Abiod Sidi Cheikh</t>
        </is>
      </c>
      <c r="C54" s="14" t="n">
        <v>1150.352</v>
      </c>
      <c r="D54" s="34" t="n">
        <v>0</v>
      </c>
      <c r="E54" s="12" t="inlineStr">
        <is>
          <t>Y</t>
        </is>
      </c>
      <c r="F54" s="12" t="inlineStr">
        <is>
          <t>N</t>
        </is>
      </c>
      <c r="G54" s="12" t="inlineStr">
        <is>
          <t>N</t>
        </is>
      </c>
      <c r="H54" s="14" t="n">
        <v>0</v>
      </c>
      <c r="I54" s="14" t="n">
        <v>728.595</v>
      </c>
      <c r="J54" s="30">
        <f>IF(C54="","",IF(N(D54)&gt;=Setup!$B$22,"Y","N"))</f>
        <v/>
      </c>
      <c r="K54" s="25">
        <f>IF(C54="","",N(H54)+N(I54))</f>
        <v/>
      </c>
      <c r="L54" s="26">
        <f>IF(N(C54)&gt;0,MIN(1,K54/C54),"")</f>
        <v/>
      </c>
      <c r="M54" s="26">
        <f>IF(N(C54)&gt;0,MIN(1,N(H54)/C54),"")</f>
        <v/>
      </c>
      <c r="N54" s="26">
        <f>IF(L54="","",L54-M54)</f>
        <v/>
      </c>
      <c r="O54" s="30">
        <f>IF(L54="","",IF(L54&gt;=Setup!$B$23,"Complete",IF(L54&gt;0,"Partial","None")))</f>
        <v/>
      </c>
      <c r="P54" s="30">
        <f>IF(C54="","",IF(K54&gt;C54*1.01,"Covered area &gt; KBA area – check overlap; ","")&amp;IF(AND(E54&lt;&gt;"Y",F54&lt;&gt;"Y",J54&lt;&gt;"Y"),"No realm assigned; ",""))</f>
        <v/>
      </c>
    </row>
    <row r="55">
      <c r="A55" s="12" t="n">
        <v>31963</v>
      </c>
      <c r="B55" s="12" t="inlineStr">
        <is>
          <t>Théniet El Had</t>
        </is>
      </c>
      <c r="C55" s="14" t="n">
        <v>1231.992</v>
      </c>
      <c r="D55" s="34" t="n">
        <v>0</v>
      </c>
      <c r="E55" s="12" t="inlineStr">
        <is>
          <t>Y</t>
        </is>
      </c>
      <c r="F55" s="12" t="inlineStr">
        <is>
          <t>N</t>
        </is>
      </c>
      <c r="G55" s="12" t="inlineStr">
        <is>
          <t>Y</t>
        </is>
      </c>
      <c r="H55" s="14" t="n">
        <v>8.331</v>
      </c>
      <c r="I55" s="14" t="n">
        <v>0</v>
      </c>
      <c r="J55" s="30">
        <f>IF(C55="","",IF(N(D55)&gt;=Setup!$B$22,"Y","N"))</f>
        <v/>
      </c>
      <c r="K55" s="25">
        <f>IF(C55="","",N(H55)+N(I55))</f>
        <v/>
      </c>
      <c r="L55" s="26">
        <f>IF(N(C55)&gt;0,MIN(1,K55/C55),"")</f>
        <v/>
      </c>
      <c r="M55" s="26">
        <f>IF(N(C55)&gt;0,MIN(1,N(H55)/C55),"")</f>
        <v/>
      </c>
      <c r="N55" s="26">
        <f>IF(L55="","",L55-M55)</f>
        <v/>
      </c>
      <c r="O55" s="30">
        <f>IF(L55="","",IF(L55&gt;=Setup!$B$23,"Complete",IF(L55&gt;0,"Partial","None")))</f>
        <v/>
      </c>
      <c r="P55" s="30">
        <f>IF(C55="","",IF(K55&gt;C55*1.01,"Covered area &gt; KBA area – check overlap; ","")&amp;IF(AND(E55&lt;&gt;"Y",F55&lt;&gt;"Y",J55&lt;&gt;"Y"),"No realm assigned; ",""))</f>
        <v/>
      </c>
    </row>
    <row r="56">
      <c r="A56" s="12" t="n">
        <v>46577</v>
      </c>
      <c r="B56" s="12" t="inlineStr">
        <is>
          <t>Aures - Chelia</t>
        </is>
      </c>
      <c r="C56" s="14" t="n">
        <v>4845.379</v>
      </c>
      <c r="D56" s="34" t="n">
        <v>0</v>
      </c>
      <c r="E56" s="12" t="inlineStr">
        <is>
          <t>Y</t>
        </is>
      </c>
      <c r="F56" s="12" t="inlineStr">
        <is>
          <t>N</t>
        </is>
      </c>
      <c r="G56" s="12" t="inlineStr">
        <is>
          <t>Y</t>
        </is>
      </c>
      <c r="H56" s="14" t="n">
        <v>0</v>
      </c>
      <c r="I56" s="14" t="n">
        <v>0</v>
      </c>
      <c r="J56" s="30">
        <f>IF(C56="","",IF(N(D56)&gt;=Setup!$B$22,"Y","N"))</f>
        <v/>
      </c>
      <c r="K56" s="25">
        <f>IF(C56="","",N(H56)+N(I56))</f>
        <v/>
      </c>
      <c r="L56" s="26">
        <f>IF(N(C56)&gt;0,MIN(1,K56/C56),"")</f>
        <v/>
      </c>
      <c r="M56" s="26">
        <f>IF(N(C56)&gt;0,MIN(1,N(H56)/C56),"")</f>
        <v/>
      </c>
      <c r="N56" s="26">
        <f>IF(L56="","",L56-M56)</f>
        <v/>
      </c>
      <c r="O56" s="30">
        <f>IF(L56="","",IF(L56&gt;=Setup!$B$23,"Complete",IF(L56&gt;0,"Partial","None")))</f>
        <v/>
      </c>
      <c r="P56" s="30">
        <f>IF(C56="","",IF(K56&gt;C56*1.01,"Covered area &gt; KBA area – check overlap; ","")&amp;IF(AND(E56&lt;&gt;"Y",F56&lt;&gt;"Y",J56&lt;&gt;"Y"),"No realm assigned; ",""))</f>
        <v/>
      </c>
    </row>
    <row r="57">
      <c r="A57" s="12" t="n">
        <v>46578</v>
      </c>
      <c r="B57" s="12" t="inlineStr">
        <is>
          <t>Cap Tenes</t>
        </is>
      </c>
      <c r="C57" s="14" t="n">
        <v>13.645</v>
      </c>
      <c r="D57" s="34" t="n">
        <v>0.053</v>
      </c>
      <c r="E57" s="12" t="inlineStr">
        <is>
          <t>Y</t>
        </is>
      </c>
      <c r="F57" s="12" t="inlineStr">
        <is>
          <t>N</t>
        </is>
      </c>
      <c r="G57" s="12" t="inlineStr">
        <is>
          <t>Y</t>
        </is>
      </c>
      <c r="H57" s="14" t="n">
        <v>0</v>
      </c>
      <c r="I57" s="14" t="n">
        <v>0</v>
      </c>
      <c r="J57" s="30">
        <f>IF(C57="","",IF(N(D57)&gt;=Setup!$B$22,"Y","N"))</f>
        <v/>
      </c>
      <c r="K57" s="25">
        <f>IF(C57="","",N(H57)+N(I57))</f>
        <v/>
      </c>
      <c r="L57" s="26">
        <f>IF(N(C57)&gt;0,MIN(1,K57/C57),"")</f>
        <v/>
      </c>
      <c r="M57" s="26">
        <f>IF(N(C57)&gt;0,MIN(1,N(H57)/C57),"")</f>
        <v/>
      </c>
      <c r="N57" s="26">
        <f>IF(L57="","",L57-M57)</f>
        <v/>
      </c>
      <c r="O57" s="30">
        <f>IF(L57="","",IF(L57&gt;=Setup!$B$23,"Complete",IF(L57&gt;0,"Partial","None")))</f>
        <v/>
      </c>
      <c r="P57" s="30">
        <f>IF(C57="","",IF(K57&gt;C57*1.01,"Covered area &gt; KBA area – check overlap; ","")&amp;IF(AND(E57&lt;&gt;"Y",F57&lt;&gt;"Y",J57&lt;&gt;"Y"),"No realm assigned; ",""))</f>
        <v/>
      </c>
    </row>
    <row r="58">
      <c r="A58" s="12" t="n">
        <v>46579</v>
      </c>
      <c r="B58" s="12" t="inlineStr">
        <is>
          <t>Chaîne du Dahra</t>
        </is>
      </c>
      <c r="C58" s="14" t="n">
        <v>3414.55</v>
      </c>
      <c r="D58" s="34" t="n">
        <v>0.016</v>
      </c>
      <c r="E58" s="12" t="inlineStr">
        <is>
          <t>Y</t>
        </is>
      </c>
      <c r="F58" s="12" t="inlineStr">
        <is>
          <t>N</t>
        </is>
      </c>
      <c r="G58" s="12" t="inlineStr">
        <is>
          <t>Y</t>
        </is>
      </c>
      <c r="H58" s="14" t="n">
        <v>0</v>
      </c>
      <c r="I58" s="14" t="n">
        <v>0</v>
      </c>
      <c r="J58" s="30">
        <f>IF(C58="","",IF(N(D58)&gt;=Setup!$B$22,"Y","N"))</f>
        <v/>
      </c>
      <c r="K58" s="25">
        <f>IF(C58="","",N(H58)+N(I58))</f>
        <v/>
      </c>
      <c r="L58" s="26">
        <f>IF(N(C58)&gt;0,MIN(1,K58/C58),"")</f>
        <v/>
      </c>
      <c r="M58" s="26">
        <f>IF(N(C58)&gt;0,MIN(1,N(H58)/C58),"")</f>
        <v/>
      </c>
      <c r="N58" s="26">
        <f>IF(L58="","",L58-M58)</f>
        <v/>
      </c>
      <c r="O58" s="30">
        <f>IF(L58="","",IF(L58&gt;=Setup!$B$23,"Complete",IF(L58&gt;0,"Partial","None")))</f>
        <v/>
      </c>
      <c r="P58" s="30">
        <f>IF(C58="","",IF(K58&gt;C58*1.01,"Covered area &gt; KBA area – check overlap; ","")&amp;IF(AND(E58&lt;&gt;"Y",F58&lt;&gt;"Y",J58&lt;&gt;"Y"),"No realm assigned; ",""))</f>
        <v/>
      </c>
    </row>
    <row r="59">
      <c r="A59" s="12" t="n">
        <v>46580</v>
      </c>
      <c r="B59" s="12" t="inlineStr">
        <is>
          <t>Chott Ech Chergui</t>
        </is>
      </c>
      <c r="C59" s="14" t="n">
        <v>4001.245</v>
      </c>
      <c r="D59" s="34" t="n">
        <v>0</v>
      </c>
      <c r="E59" s="12" t="inlineStr">
        <is>
          <t>Y</t>
        </is>
      </c>
      <c r="F59" s="12" t="inlineStr">
        <is>
          <t>N</t>
        </is>
      </c>
      <c r="G59" s="12" t="inlineStr">
        <is>
          <t>N</t>
        </is>
      </c>
      <c r="H59" s="14" t="n">
        <v>3988.186</v>
      </c>
      <c r="I59" s="14" t="n">
        <v>0</v>
      </c>
      <c r="J59" s="30">
        <f>IF(C59="","",IF(N(D59)&gt;=Setup!$B$22,"Y","N"))</f>
        <v/>
      </c>
      <c r="K59" s="25">
        <f>IF(C59="","",N(H59)+N(I59))</f>
        <v/>
      </c>
      <c r="L59" s="26">
        <f>IF(N(C59)&gt;0,MIN(1,K59/C59),"")</f>
        <v/>
      </c>
      <c r="M59" s="26">
        <f>IF(N(C59)&gt;0,MIN(1,N(H59)/C59),"")</f>
        <v/>
      </c>
      <c r="N59" s="26">
        <f>IF(L59="","",L59-M59)</f>
        <v/>
      </c>
      <c r="O59" s="30">
        <f>IF(L59="","",IF(L59&gt;=Setup!$B$23,"Complete",IF(L59&gt;0,"Partial","None")))</f>
        <v/>
      </c>
      <c r="P59" s="30">
        <f>IF(C59="","",IF(K59&gt;C59*1.01,"Covered area &gt; KBA area – check overlap; ","")&amp;IF(AND(E59&lt;&gt;"Y",F59&lt;&gt;"Y",J59&lt;&gt;"Y"),"No realm assigned; ",""))</f>
        <v/>
      </c>
    </row>
    <row r="60">
      <c r="A60" s="12" t="n">
        <v>46581</v>
      </c>
      <c r="B60" s="12" t="inlineStr">
        <is>
          <t>Djebel Amour</t>
        </is>
      </c>
      <c r="C60" s="14" t="n">
        <v>12753.84</v>
      </c>
      <c r="D60" s="34" t="n">
        <v>0</v>
      </c>
      <c r="E60" s="12" t="inlineStr">
        <is>
          <t>Y</t>
        </is>
      </c>
      <c r="F60" s="12" t="inlineStr">
        <is>
          <t>N</t>
        </is>
      </c>
      <c r="G60" s="12" t="inlineStr">
        <is>
          <t>Y</t>
        </is>
      </c>
      <c r="H60" s="14" t="n">
        <v>0</v>
      </c>
      <c r="I60" s="14" t="n">
        <v>12753.84</v>
      </c>
      <c r="J60" s="30">
        <f>IF(C60="","",IF(N(D60)&gt;=Setup!$B$22,"Y","N"))</f>
        <v/>
      </c>
      <c r="K60" s="25">
        <f>IF(C60="","",N(H60)+N(I60))</f>
        <v/>
      </c>
      <c r="L60" s="26">
        <f>IF(N(C60)&gt;0,MIN(1,K60/C60),"")</f>
        <v/>
      </c>
      <c r="M60" s="26">
        <f>IF(N(C60)&gt;0,MIN(1,N(H60)/C60),"")</f>
        <v/>
      </c>
      <c r="N60" s="26">
        <f>IF(L60="","",L60-M60)</f>
        <v/>
      </c>
      <c r="O60" s="30">
        <f>IF(L60="","",IF(L60&gt;=Setup!$B$23,"Complete",IF(L60&gt;0,"Partial","None")))</f>
        <v/>
      </c>
      <c r="P60" s="30">
        <f>IF(C60="","",IF(K60&gt;C60*1.01,"Covered area &gt; KBA area – check overlap; ","")&amp;IF(AND(E60&lt;&gt;"Y",F60&lt;&gt;"Y",J60&lt;&gt;"Y"),"No realm assigned; ",""))</f>
        <v/>
      </c>
    </row>
    <row r="61">
      <c r="A61" s="12" t="n">
        <v>46582</v>
      </c>
      <c r="B61" s="12" t="inlineStr">
        <is>
          <t>Djebel Boutaleb (Hodna)</t>
        </is>
      </c>
      <c r="C61" s="14" t="n">
        <v>295.113</v>
      </c>
      <c r="D61" s="34" t="n">
        <v>0</v>
      </c>
      <c r="E61" s="12" t="inlineStr">
        <is>
          <t>Y</t>
        </is>
      </c>
      <c r="F61" s="12" t="inlineStr">
        <is>
          <t>N</t>
        </is>
      </c>
      <c r="G61" s="12" t="inlineStr">
        <is>
          <t>Y</t>
        </is>
      </c>
      <c r="H61" s="14" t="n">
        <v>0</v>
      </c>
      <c r="I61" s="14" t="n">
        <v>0</v>
      </c>
      <c r="J61" s="30">
        <f>IF(C61="","",IF(N(D61)&gt;=Setup!$B$22,"Y","N"))</f>
        <v/>
      </c>
      <c r="K61" s="25">
        <f>IF(C61="","",N(H61)+N(I61))</f>
        <v/>
      </c>
      <c r="L61" s="26">
        <f>IF(N(C61)&gt;0,MIN(1,K61/C61),"")</f>
        <v/>
      </c>
      <c r="M61" s="26">
        <f>IF(N(C61)&gt;0,MIN(1,N(H61)/C61),"")</f>
        <v/>
      </c>
      <c r="N61" s="26">
        <f>IF(L61="","",L61-M61)</f>
        <v/>
      </c>
      <c r="O61" s="30">
        <f>IF(L61="","",IF(L61&gt;=Setup!$B$23,"Complete",IF(L61&gt;0,"Partial","None")))</f>
        <v/>
      </c>
      <c r="P61" s="30">
        <f>IF(C61="","",IF(K61&gt;C61*1.01,"Covered area &gt; KBA area – check overlap; ","")&amp;IF(AND(E61&lt;&gt;"Y",F61&lt;&gt;"Y",J61&lt;&gt;"Y"),"No realm assigned; ",""))</f>
        <v/>
      </c>
    </row>
    <row r="62">
      <c r="A62" s="12" t="n">
        <v>46583</v>
      </c>
      <c r="B62" s="12" t="inlineStr">
        <is>
          <t>Djebel Takoucht</t>
        </is>
      </c>
      <c r="C62" s="14" t="n">
        <v>4.562</v>
      </c>
      <c r="D62" s="34" t="n">
        <v>0</v>
      </c>
      <c r="E62" s="12" t="inlineStr">
        <is>
          <t>Y</t>
        </is>
      </c>
      <c r="F62" s="12" t="inlineStr">
        <is>
          <t>N</t>
        </is>
      </c>
      <c r="G62" s="12" t="inlineStr">
        <is>
          <t>Y</t>
        </is>
      </c>
      <c r="H62" s="14" t="n">
        <v>0</v>
      </c>
      <c r="I62" s="14" t="n">
        <v>0</v>
      </c>
      <c r="J62" s="30">
        <f>IF(C62="","",IF(N(D62)&gt;=Setup!$B$22,"Y","N"))</f>
        <v/>
      </c>
      <c r="K62" s="25">
        <f>IF(C62="","",N(H62)+N(I62))</f>
        <v/>
      </c>
      <c r="L62" s="26">
        <f>IF(N(C62)&gt;0,MIN(1,K62/C62),"")</f>
        <v/>
      </c>
      <c r="M62" s="26">
        <f>IF(N(C62)&gt;0,MIN(1,N(H62)/C62),"")</f>
        <v/>
      </c>
      <c r="N62" s="26">
        <f>IF(L62="","",L62-M62)</f>
        <v/>
      </c>
      <c r="O62" s="30">
        <f>IF(L62="","",IF(L62&gt;=Setup!$B$23,"Complete",IF(L62&gt;0,"Partial","None")))</f>
        <v/>
      </c>
      <c r="P62" s="30">
        <f>IF(C62="","",IF(K62&gt;C62*1.01,"Covered area &gt; KBA area – check overlap; ","")&amp;IF(AND(E62&lt;&gt;"Y",F62&lt;&gt;"Y",J62&lt;&gt;"Y"),"No realm assigned; ",""))</f>
        <v/>
      </c>
    </row>
    <row r="63">
      <c r="A63" s="12" t="n">
        <v>46584</v>
      </c>
      <c r="B63" s="12" t="inlineStr">
        <is>
          <t>Djebel Zaccar</t>
        </is>
      </c>
      <c r="C63" s="14" t="n">
        <v>773.098</v>
      </c>
      <c r="D63" s="34" t="n">
        <v>0</v>
      </c>
      <c r="E63" s="12" t="inlineStr">
        <is>
          <t>Y</t>
        </is>
      </c>
      <c r="F63" s="12" t="inlineStr">
        <is>
          <t>N</t>
        </is>
      </c>
      <c r="G63" s="12" t="inlineStr">
        <is>
          <t>Y</t>
        </is>
      </c>
      <c r="H63" s="14" t="n">
        <v>0</v>
      </c>
      <c r="I63" s="14" t="n">
        <v>0</v>
      </c>
      <c r="J63" s="30">
        <f>IF(C63="","",IF(N(D63)&gt;=Setup!$B$22,"Y","N"))</f>
        <v/>
      </c>
      <c r="K63" s="25">
        <f>IF(C63="","",N(H63)+N(I63))</f>
        <v/>
      </c>
      <c r="L63" s="26">
        <f>IF(N(C63)&gt;0,MIN(1,K63/C63),"")</f>
        <v/>
      </c>
      <c r="M63" s="26">
        <f>IF(N(C63)&gt;0,MIN(1,N(H63)/C63),"")</f>
        <v/>
      </c>
      <c r="N63" s="26">
        <f>IF(L63="","",L63-M63)</f>
        <v/>
      </c>
      <c r="O63" s="30">
        <f>IF(L63="","",IF(L63&gt;=Setup!$B$23,"Complete",IF(L63&gt;0,"Partial","None")))</f>
        <v/>
      </c>
      <c r="P63" s="30">
        <f>IF(C63="","",IF(K63&gt;C63*1.01,"Covered area &gt; KBA area – check overlap; ","")&amp;IF(AND(E63&lt;&gt;"Y",F63&lt;&gt;"Y",J63&lt;&gt;"Y"),"No realm assigned; ",""))</f>
        <v/>
      </c>
    </row>
    <row r="64">
      <c r="A64" s="12" t="n">
        <v>46585</v>
      </c>
      <c r="B64" s="12" t="inlineStr">
        <is>
          <t>Ghar Rouban</t>
        </is>
      </c>
      <c r="C64" s="14" t="n">
        <v>667.58</v>
      </c>
      <c r="D64" s="34" t="n">
        <v>0.005</v>
      </c>
      <c r="E64" s="12" t="inlineStr">
        <is>
          <t>Y</t>
        </is>
      </c>
      <c r="F64" s="12" t="inlineStr">
        <is>
          <t>N</t>
        </is>
      </c>
      <c r="G64" s="12" t="inlineStr">
        <is>
          <t>Y</t>
        </is>
      </c>
      <c r="H64" s="14" t="n">
        <v>21.669</v>
      </c>
      <c r="I64" s="14" t="n">
        <v>0</v>
      </c>
      <c r="J64" s="30">
        <f>IF(C64="","",IF(N(D64)&gt;=Setup!$B$22,"Y","N"))</f>
        <v/>
      </c>
      <c r="K64" s="25">
        <f>IF(C64="","",N(H64)+N(I64))</f>
        <v/>
      </c>
      <c r="L64" s="26">
        <f>IF(N(C64)&gt;0,MIN(1,K64/C64),"")</f>
        <v/>
      </c>
      <c r="M64" s="26">
        <f>IF(N(C64)&gt;0,MIN(1,N(H64)/C64),"")</f>
        <v/>
      </c>
      <c r="N64" s="26">
        <f>IF(L64="","",L64-M64)</f>
        <v/>
      </c>
      <c r="O64" s="30">
        <f>IF(L64="","",IF(L64&gt;=Setup!$B$23,"Complete",IF(L64&gt;0,"Partial","None")))</f>
        <v/>
      </c>
      <c r="P64" s="30">
        <f>IF(C64="","",IF(K64&gt;C64*1.01,"Covered area &gt; KBA area – check overlap; ","")&amp;IF(AND(E64&lt;&gt;"Y",F64&lt;&gt;"Y",J64&lt;&gt;"Y"),"No realm assigned; ",""))</f>
        <v/>
      </c>
    </row>
    <row r="65">
      <c r="A65" s="12" t="n">
        <v>46586</v>
      </c>
      <c r="B65" s="12" t="inlineStr">
        <is>
          <t>Massif de Ghazoul</t>
        </is>
      </c>
      <c r="C65" s="14" t="n">
        <v>55.299</v>
      </c>
      <c r="D65" s="34" t="n">
        <v>0</v>
      </c>
      <c r="E65" s="12" t="inlineStr">
        <is>
          <t>Y</t>
        </is>
      </c>
      <c r="F65" s="12" t="inlineStr">
        <is>
          <t>N</t>
        </is>
      </c>
      <c r="G65" s="12" t="inlineStr">
        <is>
          <t>Y</t>
        </is>
      </c>
      <c r="H65" s="14" t="n">
        <v>0</v>
      </c>
      <c r="I65" s="14" t="n">
        <v>0</v>
      </c>
      <c r="J65" s="30">
        <f>IF(C65="","",IF(N(D65)&gt;=Setup!$B$22,"Y","N"))</f>
        <v/>
      </c>
      <c r="K65" s="25">
        <f>IF(C65="","",N(H65)+N(I65))</f>
        <v/>
      </c>
      <c r="L65" s="26">
        <f>IF(N(C65)&gt;0,MIN(1,K65/C65),"")</f>
        <v/>
      </c>
      <c r="M65" s="26">
        <f>IF(N(C65)&gt;0,MIN(1,N(H65)/C65),"")</f>
        <v/>
      </c>
      <c r="N65" s="26">
        <f>IF(L65="","",L65-M65)</f>
        <v/>
      </c>
      <c r="O65" s="30">
        <f>IF(L65="","",IF(L65&gt;=Setup!$B$23,"Complete",IF(L65&gt;0,"Partial","None")))</f>
        <v/>
      </c>
      <c r="P65" s="30">
        <f>IF(C65="","",IF(K65&gt;C65*1.01,"Covered area &gt; KBA area – check overlap; ","")&amp;IF(AND(E65&lt;&gt;"Y",F65&lt;&gt;"Y",J65&lt;&gt;"Y"),"No realm assigned; ",""))</f>
        <v/>
      </c>
    </row>
    <row r="66">
      <c r="A66" s="12" t="n">
        <v>46587</v>
      </c>
      <c r="B66" s="12" t="inlineStr">
        <is>
          <t>Mont de Dréat</t>
        </is>
      </c>
      <c r="C66" s="14" t="n">
        <v>55.027</v>
      </c>
      <c r="D66" s="34" t="n">
        <v>0</v>
      </c>
      <c r="E66" s="12" t="inlineStr">
        <is>
          <t>Y</t>
        </is>
      </c>
      <c r="F66" s="12" t="inlineStr">
        <is>
          <t>N</t>
        </is>
      </c>
      <c r="G66" s="12" t="inlineStr">
        <is>
          <t>Y</t>
        </is>
      </c>
      <c r="H66" s="14" t="n">
        <v>0</v>
      </c>
      <c r="I66" s="14" t="n">
        <v>0</v>
      </c>
      <c r="J66" s="30">
        <f>IF(C66="","",IF(N(D66)&gt;=Setup!$B$22,"Y","N"))</f>
        <v/>
      </c>
      <c r="K66" s="25">
        <f>IF(C66="","",N(H66)+N(I66))</f>
        <v/>
      </c>
      <c r="L66" s="26">
        <f>IF(N(C66)&gt;0,MIN(1,K66/C66),"")</f>
        <v/>
      </c>
      <c r="M66" s="26">
        <f>IF(N(C66)&gt;0,MIN(1,N(H66)/C66),"")</f>
        <v/>
      </c>
      <c r="N66" s="26">
        <f>IF(L66="","",L66-M66)</f>
        <v/>
      </c>
      <c r="O66" s="30">
        <f>IF(L66="","",IF(L66&gt;=Setup!$B$23,"Complete",IF(L66&gt;0,"Partial","None")))</f>
        <v/>
      </c>
      <c r="P66" s="30">
        <f>IF(C66="","",IF(K66&gt;C66*1.01,"Covered area &gt; KBA area – check overlap; ","")&amp;IF(AND(E66&lt;&gt;"Y",F66&lt;&gt;"Y",J66&lt;&gt;"Y"),"No realm assigned; ",""))</f>
        <v/>
      </c>
    </row>
    <row r="67">
      <c r="A67" s="12" t="n">
        <v>46588</v>
      </c>
      <c r="B67" s="12" t="inlineStr">
        <is>
          <t>Numidie occidentale</t>
        </is>
      </c>
      <c r="C67" s="14" t="n">
        <v>424.565</v>
      </c>
      <c r="D67" s="34" t="n">
        <v>0</v>
      </c>
      <c r="E67" s="12" t="inlineStr">
        <is>
          <t>Y</t>
        </is>
      </c>
      <c r="F67" s="12" t="inlineStr">
        <is>
          <t>Y</t>
        </is>
      </c>
      <c r="G67" s="12" t="inlineStr">
        <is>
          <t>Y</t>
        </is>
      </c>
      <c r="H67" s="14" t="n">
        <v>61.235</v>
      </c>
      <c r="I67" s="14" t="n">
        <v>0</v>
      </c>
      <c r="J67" s="30">
        <f>IF(C67="","",IF(N(D67)&gt;=Setup!$B$22,"Y","N"))</f>
        <v/>
      </c>
      <c r="K67" s="25">
        <f>IF(C67="","",N(H67)+N(I67))</f>
        <v/>
      </c>
      <c r="L67" s="26">
        <f>IF(N(C67)&gt;0,MIN(1,K67/C67),"")</f>
        <v/>
      </c>
      <c r="M67" s="26">
        <f>IF(N(C67)&gt;0,MIN(1,N(H67)/C67),"")</f>
        <v/>
      </c>
      <c r="N67" s="26">
        <f>IF(L67="","",L67-M67)</f>
        <v/>
      </c>
      <c r="O67" s="30">
        <f>IF(L67="","",IF(L67&gt;=Setup!$B$23,"Complete",IF(L67&gt;0,"Partial","None")))</f>
        <v/>
      </c>
      <c r="P67" s="30">
        <f>IF(C67="","",IF(K67&gt;C67*1.01,"Covered area &gt; KBA area – check overlap; ","")&amp;IF(AND(E67&lt;&gt;"Y",F67&lt;&gt;"Y",J67&lt;&gt;"Y"),"No realm assigned; ",""))</f>
        <v/>
      </c>
    </row>
    <row r="68">
      <c r="A68" s="12" t="n">
        <v>46589</v>
      </c>
      <c r="B68" s="12" t="inlineStr">
        <is>
          <t>Ouenza Sud</t>
        </is>
      </c>
      <c r="C68" s="14" t="n">
        <v>283.733</v>
      </c>
      <c r="D68" s="34" t="n">
        <v>0</v>
      </c>
      <c r="E68" s="12" t="inlineStr">
        <is>
          <t>Y</t>
        </is>
      </c>
      <c r="F68" s="12" t="inlineStr">
        <is>
          <t>Y</t>
        </is>
      </c>
      <c r="G68" s="12" t="inlineStr">
        <is>
          <t>Y</t>
        </is>
      </c>
      <c r="H68" s="14" t="n">
        <v>0</v>
      </c>
      <c r="I68" s="14" t="n">
        <v>0</v>
      </c>
      <c r="J68" s="30">
        <f>IF(C68="","",IF(N(D68)&gt;=Setup!$B$22,"Y","N"))</f>
        <v/>
      </c>
      <c r="K68" s="25">
        <f>IF(C68="","",N(H68)+N(I68))</f>
        <v/>
      </c>
      <c r="L68" s="26">
        <f>IF(N(C68)&gt;0,MIN(1,K68/C68),"")</f>
        <v/>
      </c>
      <c r="M68" s="26">
        <f>IF(N(C68)&gt;0,MIN(1,N(H68)/C68),"")</f>
        <v/>
      </c>
      <c r="N68" s="26">
        <f>IF(L68="","",L68-M68)</f>
        <v/>
      </c>
      <c r="O68" s="30">
        <f>IF(L68="","",IF(L68&gt;=Setup!$B$23,"Complete",IF(L68&gt;0,"Partial","None")))</f>
        <v/>
      </c>
      <c r="P68" s="30">
        <f>IF(C68="","",IF(K68&gt;C68*1.01,"Covered area &gt; KBA area – check overlap; ","")&amp;IF(AND(E68&lt;&gt;"Y",F68&lt;&gt;"Y",J68&lt;&gt;"Y"),"No realm assigned; ",""))</f>
        <v/>
      </c>
    </row>
    <row r="69">
      <c r="A69" s="12" t="n">
        <v>46590</v>
      </c>
      <c r="B69" s="12" t="inlineStr">
        <is>
          <t>Sahel d'Arzew</t>
        </is>
      </c>
      <c r="C69" s="14" t="n">
        <v>118.355</v>
      </c>
      <c r="D69" s="34" t="n">
        <v>0.018</v>
      </c>
      <c r="E69" s="12" t="inlineStr">
        <is>
          <t>Y</t>
        </is>
      </c>
      <c r="F69" s="12" t="inlineStr">
        <is>
          <t>N</t>
        </is>
      </c>
      <c r="G69" s="12" t="inlineStr">
        <is>
          <t>Y</t>
        </is>
      </c>
      <c r="H69" s="14" t="n">
        <v>0</v>
      </c>
      <c r="I69" s="14" t="n">
        <v>0</v>
      </c>
      <c r="J69" s="30">
        <f>IF(C69="","",IF(N(D69)&gt;=Setup!$B$22,"Y","N"))</f>
        <v/>
      </c>
      <c r="K69" s="25">
        <f>IF(C69="","",N(H69)+N(I69))</f>
        <v/>
      </c>
      <c r="L69" s="26">
        <f>IF(N(C69)&gt;0,MIN(1,K69/C69),"")</f>
        <v/>
      </c>
      <c r="M69" s="26">
        <f>IF(N(C69)&gt;0,MIN(1,N(H69)/C69),"")</f>
        <v/>
      </c>
      <c r="N69" s="26">
        <f>IF(L69="","",L69-M69)</f>
        <v/>
      </c>
      <c r="O69" s="30">
        <f>IF(L69="","",IF(L69&gt;=Setup!$B$23,"Complete",IF(L69&gt;0,"Partial","None")))</f>
        <v/>
      </c>
      <c r="P69" s="30">
        <f>IF(C69="","",IF(K69&gt;C69*1.01,"Covered area &gt; KBA area – check overlap; ","")&amp;IF(AND(E69&lt;&gt;"Y",F69&lt;&gt;"Y",J69&lt;&gt;"Y"),"No realm assigned; ",""))</f>
        <v/>
      </c>
    </row>
    <row r="70">
      <c r="A70" s="12" t="n">
        <v>46591</v>
      </c>
      <c r="B70" s="12" t="inlineStr">
        <is>
          <t>Tamesguida - Djendjen</t>
        </is>
      </c>
      <c r="C70" s="14" t="n">
        <v>58.945</v>
      </c>
      <c r="D70" s="34" t="n">
        <v>0</v>
      </c>
      <c r="E70" s="12" t="inlineStr">
        <is>
          <t>Y</t>
        </is>
      </c>
      <c r="F70" s="12" t="inlineStr">
        <is>
          <t>N</t>
        </is>
      </c>
      <c r="G70" s="12" t="inlineStr">
        <is>
          <t>Y</t>
        </is>
      </c>
      <c r="H70" s="14" t="n">
        <v>0</v>
      </c>
      <c r="I70" s="14" t="n">
        <v>0</v>
      </c>
      <c r="J70" s="30">
        <f>IF(C70="","",IF(N(D70)&gt;=Setup!$B$22,"Y","N"))</f>
        <v/>
      </c>
      <c r="K70" s="25">
        <f>IF(C70="","",N(H70)+N(I70))</f>
        <v/>
      </c>
      <c r="L70" s="26">
        <f>IF(N(C70)&gt;0,MIN(1,K70/C70),"")</f>
        <v/>
      </c>
      <c r="M70" s="26">
        <f>IF(N(C70)&gt;0,MIN(1,N(H70)/C70),"")</f>
        <v/>
      </c>
      <c r="N70" s="26">
        <f>IF(L70="","",L70-M70)</f>
        <v/>
      </c>
      <c r="O70" s="30">
        <f>IF(L70="","",IF(L70&gt;=Setup!$B$23,"Complete",IF(L70&gt;0,"Partial","None")))</f>
        <v/>
      </c>
      <c r="P70" s="30">
        <f>IF(C70="","",IF(K70&gt;C70*1.01,"Covered area &gt; KBA area – check overlap; ","")&amp;IF(AND(E70&lt;&gt;"Y",F70&lt;&gt;"Y",J70&lt;&gt;"Y"),"No realm assigned; ",""))</f>
        <v/>
      </c>
    </row>
    <row r="71">
      <c r="A71" s="12" t="n">
        <v>46592</v>
      </c>
      <c r="B71" s="12" t="inlineStr">
        <is>
          <t>Theniet El Had IPA</t>
        </is>
      </c>
      <c r="C71" s="14" t="n">
        <v>45.736</v>
      </c>
      <c r="D71" s="34" t="n">
        <v>0</v>
      </c>
      <c r="E71" s="12" t="inlineStr">
        <is>
          <t>Y</t>
        </is>
      </c>
      <c r="F71" s="12" t="inlineStr">
        <is>
          <t>N</t>
        </is>
      </c>
      <c r="G71" s="12" t="inlineStr">
        <is>
          <t>Y</t>
        </is>
      </c>
      <c r="H71" s="14" t="n">
        <v>32.225</v>
      </c>
      <c r="I71" s="14" t="n">
        <v>0</v>
      </c>
      <c r="J71" s="30">
        <f>IF(C71="","",IF(N(D71)&gt;=Setup!$B$22,"Y","N"))</f>
        <v/>
      </c>
      <c r="K71" s="25">
        <f>IF(C71="","",N(H71)+N(I71))</f>
        <v/>
      </c>
      <c r="L71" s="26">
        <f>IF(N(C71)&gt;0,MIN(1,K71/C71),"")</f>
        <v/>
      </c>
      <c r="M71" s="26">
        <f>IF(N(C71)&gt;0,MIN(1,N(H71)/C71),"")</f>
        <v/>
      </c>
      <c r="N71" s="26">
        <f>IF(L71="","",L71-M71)</f>
        <v/>
      </c>
      <c r="O71" s="30">
        <f>IF(L71="","",IF(L71&gt;=Setup!$B$23,"Complete",IF(L71&gt;0,"Partial","None")))</f>
        <v/>
      </c>
      <c r="P71" s="30">
        <f>IF(C71="","",IF(K71&gt;C71*1.01,"Covered area &gt; KBA area – check overlap; ","")&amp;IF(AND(E71&lt;&gt;"Y",F71&lt;&gt;"Y",J71&lt;&gt;"Y"),"No realm assigned; ",""))</f>
        <v/>
      </c>
    </row>
    <row r="72">
      <c r="A72" s="12" t="n">
        <v>46633</v>
      </c>
      <c r="B72" s="12" t="inlineStr">
        <is>
          <t>Chaîne des Bibans</t>
        </is>
      </c>
      <c r="C72" s="14" t="n">
        <v>1052.842</v>
      </c>
      <c r="D72" s="34" t="n">
        <v>0</v>
      </c>
      <c r="E72" s="12" t="inlineStr">
        <is>
          <t>Y</t>
        </is>
      </c>
      <c r="F72" s="12" t="inlineStr">
        <is>
          <t>N</t>
        </is>
      </c>
      <c r="G72" s="12" t="inlineStr">
        <is>
          <t>Y</t>
        </is>
      </c>
      <c r="H72" s="14" t="n">
        <v>0</v>
      </c>
      <c r="I72" s="14" t="n">
        <v>0</v>
      </c>
      <c r="J72" s="30">
        <f>IF(C72="","",IF(N(D72)&gt;=Setup!$B$22,"Y","N"))</f>
        <v/>
      </c>
      <c r="K72" s="25">
        <f>IF(C72="","",N(H72)+N(I72))</f>
        <v/>
      </c>
      <c r="L72" s="26">
        <f>IF(N(C72)&gt;0,MIN(1,K72/C72),"")</f>
        <v/>
      </c>
      <c r="M72" s="26">
        <f>IF(N(C72)&gt;0,MIN(1,N(H72)/C72),"")</f>
        <v/>
      </c>
      <c r="N72" s="26">
        <f>IF(L72="","",L72-M72)</f>
        <v/>
      </c>
      <c r="O72" s="30">
        <f>IF(L72="","",IF(L72&gt;=Setup!$B$23,"Complete",IF(L72&gt;0,"Partial","None")))</f>
        <v/>
      </c>
      <c r="P72" s="30">
        <f>IF(C72="","",IF(K72&gt;C72*1.01,"Covered area &gt; KBA area – check overlap; ","")&amp;IF(AND(E72&lt;&gt;"Y",F72&lt;&gt;"Y",J72&lt;&gt;"Y"),"No realm assigned; ",""))</f>
        <v/>
      </c>
    </row>
    <row r="73">
      <c r="A73" s="12" t="n">
        <v>46634</v>
      </c>
      <c r="B73" s="12" t="inlineStr">
        <is>
          <t>Djebel Ouarsseniss</t>
        </is>
      </c>
      <c r="C73" s="14" t="n">
        <v>19.123</v>
      </c>
      <c r="D73" s="34" t="n">
        <v>0</v>
      </c>
      <c r="E73" s="12" t="inlineStr">
        <is>
          <t>Y</t>
        </is>
      </c>
      <c r="F73" s="12" t="inlineStr">
        <is>
          <t>N</t>
        </is>
      </c>
      <c r="G73" s="12" t="inlineStr">
        <is>
          <t>Y</t>
        </is>
      </c>
      <c r="H73" s="14" t="n">
        <v>0</v>
      </c>
      <c r="I73" s="14" t="n">
        <v>0</v>
      </c>
      <c r="J73" s="30">
        <f>IF(C73="","",IF(N(D73)&gt;=Setup!$B$22,"Y","N"))</f>
        <v/>
      </c>
      <c r="K73" s="25">
        <f>IF(C73="","",N(H73)+N(I73))</f>
        <v/>
      </c>
      <c r="L73" s="26">
        <f>IF(N(C73)&gt;0,MIN(1,K73/C73),"")</f>
        <v/>
      </c>
      <c r="M73" s="26">
        <f>IF(N(C73)&gt;0,MIN(1,N(H73)/C73),"")</f>
        <v/>
      </c>
      <c r="N73" s="26">
        <f>IF(L73="","",L73-M73)</f>
        <v/>
      </c>
      <c r="O73" s="30">
        <f>IF(L73="","",IF(L73&gt;=Setup!$B$23,"Complete",IF(L73&gt;0,"Partial","None")))</f>
        <v/>
      </c>
      <c r="P73" s="30">
        <f>IF(C73="","",IF(K73&gt;C73*1.01,"Covered area &gt; KBA area – check overlap; ","")&amp;IF(AND(E73&lt;&gt;"Y",F73&lt;&gt;"Y",J73&lt;&gt;"Y"),"No realm assigned; ",""))</f>
        <v/>
      </c>
    </row>
    <row r="74">
      <c r="A74" s="12" t="n">
        <v>46635</v>
      </c>
      <c r="B74" s="12" t="inlineStr">
        <is>
          <t>Forêt de Bainem (collines de la Bouzareah)</t>
        </is>
      </c>
      <c r="C74" s="14" t="n">
        <v>4.959</v>
      </c>
      <c r="D74" s="34" t="n">
        <v>0</v>
      </c>
      <c r="E74" s="12" t="inlineStr">
        <is>
          <t>Y</t>
        </is>
      </c>
      <c r="F74" s="12" t="inlineStr">
        <is>
          <t>N</t>
        </is>
      </c>
      <c r="G74" s="12" t="inlineStr">
        <is>
          <t>N</t>
        </is>
      </c>
      <c r="H74" s="14" t="n">
        <v>0</v>
      </c>
      <c r="I74" s="14" t="n">
        <v>0</v>
      </c>
      <c r="J74" s="30">
        <f>IF(C74="","",IF(N(D74)&gt;=Setup!$B$22,"Y","N"))</f>
        <v/>
      </c>
      <c r="K74" s="25">
        <f>IF(C74="","",N(H74)+N(I74))</f>
        <v/>
      </c>
      <c r="L74" s="26">
        <f>IF(N(C74)&gt;0,MIN(1,K74/C74),"")</f>
        <v/>
      </c>
      <c r="M74" s="26">
        <f>IF(N(C74)&gt;0,MIN(1,N(H74)/C74),"")</f>
        <v/>
      </c>
      <c r="N74" s="26">
        <f>IF(L74="","",L74-M74)</f>
        <v/>
      </c>
      <c r="O74" s="30">
        <f>IF(L74="","",IF(L74&gt;=Setup!$B$23,"Complete",IF(L74&gt;0,"Partial","None")))</f>
        <v/>
      </c>
      <c r="P74" s="30">
        <f>IF(C74="","",IF(K74&gt;C74*1.01,"Covered area &gt; KBA area – check overlap; ","")&amp;IF(AND(E74&lt;&gt;"Y",F74&lt;&gt;"Y",J74&lt;&gt;"Y"),"No realm assigned; ",""))</f>
        <v/>
      </c>
    </row>
    <row r="75">
      <c r="A75" s="12" t="n">
        <v>46636</v>
      </c>
      <c r="B75" s="12" t="inlineStr">
        <is>
          <t>Forêt de Djimla</t>
        </is>
      </c>
      <c r="C75" s="14" t="n">
        <v>11.992</v>
      </c>
      <c r="D75" s="34" t="n">
        <v>0</v>
      </c>
      <c r="E75" s="12" t="inlineStr">
        <is>
          <t>Y</t>
        </is>
      </c>
      <c r="F75" s="12" t="inlineStr">
        <is>
          <t>N</t>
        </is>
      </c>
      <c r="G75" s="12" t="inlineStr">
        <is>
          <t>Y</t>
        </is>
      </c>
      <c r="H75" s="14" t="n">
        <v>0</v>
      </c>
      <c r="I75" s="14" t="n">
        <v>0</v>
      </c>
      <c r="J75" s="30">
        <f>IF(C75="","",IF(N(D75)&gt;=Setup!$B$22,"Y","N"))</f>
        <v/>
      </c>
      <c r="K75" s="25">
        <f>IF(C75="","",N(H75)+N(I75))</f>
        <v/>
      </c>
      <c r="L75" s="26">
        <f>IF(N(C75)&gt;0,MIN(1,K75/C75),"")</f>
        <v/>
      </c>
      <c r="M75" s="26">
        <f>IF(N(C75)&gt;0,MIN(1,N(H75)/C75),"")</f>
        <v/>
      </c>
      <c r="N75" s="26">
        <f>IF(L75="","",L75-M75)</f>
        <v/>
      </c>
      <c r="O75" s="30">
        <f>IF(L75="","",IF(L75&gt;=Setup!$B$23,"Complete",IF(L75&gt;0,"Partial","None")))</f>
        <v/>
      </c>
      <c r="P75" s="30">
        <f>IF(C75="","",IF(K75&gt;C75*1.01,"Covered area &gt; KBA area – check overlap; ","")&amp;IF(AND(E75&lt;&gt;"Y",F75&lt;&gt;"Y",J75&lt;&gt;"Y"),"No realm assigned; ",""))</f>
        <v/>
      </c>
    </row>
    <row r="76">
      <c r="A76" s="12" t="n">
        <v>46637</v>
      </c>
      <c r="B76" s="12" t="inlineStr">
        <is>
          <t>Forêt de Tamentout</t>
        </is>
      </c>
      <c r="C76" s="14" t="n">
        <v>56.358</v>
      </c>
      <c r="D76" s="34" t="n">
        <v>0</v>
      </c>
      <c r="E76" s="12" t="inlineStr">
        <is>
          <t>Y</t>
        </is>
      </c>
      <c r="F76" s="12" t="inlineStr">
        <is>
          <t>N</t>
        </is>
      </c>
      <c r="G76" s="12" t="inlineStr">
        <is>
          <t>Y</t>
        </is>
      </c>
      <c r="H76" s="14" t="n">
        <v>0</v>
      </c>
      <c r="I76" s="14" t="n">
        <v>0</v>
      </c>
      <c r="J76" s="30">
        <f>IF(C76="","",IF(N(D76)&gt;=Setup!$B$22,"Y","N"))</f>
        <v/>
      </c>
      <c r="K76" s="25">
        <f>IF(C76="","",N(H76)+N(I76))</f>
        <v/>
      </c>
      <c r="L76" s="26">
        <f>IF(N(C76)&gt;0,MIN(1,K76/C76),"")</f>
        <v/>
      </c>
      <c r="M76" s="26">
        <f>IF(N(C76)&gt;0,MIN(1,N(H76)/C76),"")</f>
        <v/>
      </c>
      <c r="N76" s="26">
        <f>IF(L76="","",L76-M76)</f>
        <v/>
      </c>
      <c r="O76" s="30">
        <f>IF(L76="","",IF(L76&gt;=Setup!$B$23,"Complete",IF(L76&gt;0,"Partial","None")))</f>
        <v/>
      </c>
      <c r="P76" s="30">
        <f>IF(C76="","",IF(K76&gt;C76*1.01,"Covered area &gt; KBA area – check overlap; ","")&amp;IF(AND(E76&lt;&gt;"Y",F76&lt;&gt;"Y",J76&lt;&gt;"Y"),"No realm assigned; ",""))</f>
        <v/>
      </c>
    </row>
    <row r="77">
      <c r="A77" s="12" t="n">
        <v>46638</v>
      </c>
      <c r="B77" s="12" t="inlineStr">
        <is>
          <t>Haut Seybouse</t>
        </is>
      </c>
      <c r="C77" s="14" t="n">
        <v>1200.319</v>
      </c>
      <c r="D77" s="34" t="n">
        <v>0</v>
      </c>
      <c r="E77" s="12" t="inlineStr">
        <is>
          <t>Y</t>
        </is>
      </c>
      <c r="F77" s="12" t="inlineStr">
        <is>
          <t>Y</t>
        </is>
      </c>
      <c r="G77" s="12" t="inlineStr">
        <is>
          <t>Y</t>
        </is>
      </c>
      <c r="H77" s="14" t="n">
        <v>0</v>
      </c>
      <c r="I77" s="14" t="n">
        <v>0</v>
      </c>
      <c r="J77" s="30">
        <f>IF(C77="","",IF(N(D77)&gt;=Setup!$B$22,"Y","N"))</f>
        <v/>
      </c>
      <c r="K77" s="25">
        <f>IF(C77="","",N(H77)+N(I77))</f>
        <v/>
      </c>
      <c r="L77" s="26">
        <f>IF(N(C77)&gt;0,MIN(1,K77/C77),"")</f>
        <v/>
      </c>
      <c r="M77" s="26">
        <f>IF(N(C77)&gt;0,MIN(1,N(H77)/C77),"")</f>
        <v/>
      </c>
      <c r="N77" s="26">
        <f>IF(L77="","",L77-M77)</f>
        <v/>
      </c>
      <c r="O77" s="30">
        <f>IF(L77="","",IF(L77&gt;=Setup!$B$23,"Complete",IF(L77&gt;0,"Partial","None")))</f>
        <v/>
      </c>
      <c r="P77" s="30">
        <f>IF(C77="","",IF(K77&gt;C77*1.01,"Covered area &gt; KBA area – check overlap; ","")&amp;IF(AND(E77&lt;&gt;"Y",F77&lt;&gt;"Y",J77&lt;&gt;"Y"),"No realm assigned; ",""))</f>
        <v/>
      </c>
    </row>
    <row r="78">
      <c r="A78" s="12" t="n">
        <v>46639</v>
      </c>
      <c r="B78" s="12" t="inlineStr">
        <is>
          <t>Ouenza Nord</t>
        </is>
      </c>
      <c r="C78" s="14" t="n">
        <v>646.612</v>
      </c>
      <c r="D78" s="34" t="n">
        <v>0.004</v>
      </c>
      <c r="E78" s="12" t="inlineStr">
        <is>
          <t>Y</t>
        </is>
      </c>
      <c r="F78" s="12" t="inlineStr">
        <is>
          <t>N</t>
        </is>
      </c>
      <c r="G78" s="12" t="inlineStr">
        <is>
          <t>Y</t>
        </is>
      </c>
      <c r="H78" s="14" t="n">
        <v>0</v>
      </c>
      <c r="I78" s="14" t="n">
        <v>0</v>
      </c>
      <c r="J78" s="30">
        <f>IF(C78="","",IF(N(D78)&gt;=Setup!$B$22,"Y","N"))</f>
        <v/>
      </c>
      <c r="K78" s="25">
        <f>IF(C78="","",N(H78)+N(I78))</f>
        <v/>
      </c>
      <c r="L78" s="26">
        <f>IF(N(C78)&gt;0,MIN(1,K78/C78),"")</f>
        <v/>
      </c>
      <c r="M78" s="26">
        <f>IF(N(C78)&gt;0,MIN(1,N(H78)/C78),"")</f>
        <v/>
      </c>
      <c r="N78" s="26">
        <f>IF(L78="","",L78-M78)</f>
        <v/>
      </c>
      <c r="O78" s="30">
        <f>IF(L78="","",IF(L78&gt;=Setup!$B$23,"Complete",IF(L78&gt;0,"Partial","None")))</f>
        <v/>
      </c>
      <c r="P78" s="30">
        <f>IF(C78="","",IF(K78&gt;C78*1.01,"Covered area &gt; KBA area – check overlap; ","")&amp;IF(AND(E78&lt;&gt;"Y",F78&lt;&gt;"Y",J78&lt;&gt;"Y"),"No realm assigned; ",""))</f>
        <v/>
      </c>
    </row>
    <row r="79">
      <c r="A79" s="12" t="n">
        <v>46640</v>
      </c>
      <c r="B79" s="12" t="inlineStr">
        <is>
          <t>Sahel d'Oran</t>
        </is>
      </c>
      <c r="C79" s="14" t="n">
        <v>286.98</v>
      </c>
      <c r="D79" s="34" t="n">
        <v>0.022</v>
      </c>
      <c r="E79" s="12" t="inlineStr">
        <is>
          <t>Y</t>
        </is>
      </c>
      <c r="F79" s="12" t="inlineStr">
        <is>
          <t>N</t>
        </is>
      </c>
      <c r="G79" s="12" t="inlineStr">
        <is>
          <t>Y</t>
        </is>
      </c>
      <c r="H79" s="14" t="n">
        <v>0</v>
      </c>
      <c r="I79" s="14" t="n">
        <v>0</v>
      </c>
      <c r="J79" s="30">
        <f>IF(C79="","",IF(N(D79)&gt;=Setup!$B$22,"Y","N"))</f>
        <v/>
      </c>
      <c r="K79" s="25">
        <f>IF(C79="","",N(H79)+N(I79))</f>
        <v/>
      </c>
      <c r="L79" s="26">
        <f>IF(N(C79)&gt;0,MIN(1,K79/C79),"")</f>
        <v/>
      </c>
      <c r="M79" s="26">
        <f>IF(N(C79)&gt;0,MIN(1,N(H79)/C79),"")</f>
        <v/>
      </c>
      <c r="N79" s="26">
        <f>IF(L79="","",L79-M79)</f>
        <v/>
      </c>
      <c r="O79" s="30">
        <f>IF(L79="","",IF(L79&gt;=Setup!$B$23,"Complete",IF(L79&gt;0,"Partial","None")))</f>
        <v/>
      </c>
      <c r="P79" s="30">
        <f>IF(C79="","",IF(K79&gt;C79*1.01,"Covered area &gt; KBA area – check overlap; ","")&amp;IF(AND(E79&lt;&gt;"Y",F79&lt;&gt;"Y",J79&lt;&gt;"Y"),"No realm assigned; ",""))</f>
        <v/>
      </c>
    </row>
    <row r="80">
      <c r="A80" s="12" t="n">
        <v>46656</v>
      </c>
      <c r="B80" s="12" t="inlineStr">
        <is>
          <t>Monts des Traras</t>
        </is>
      </c>
      <c r="C80" s="14" t="n">
        <v>1686.577</v>
      </c>
      <c r="D80" s="34" t="n">
        <v>0.016</v>
      </c>
      <c r="E80" s="12" t="inlineStr">
        <is>
          <t>Y</t>
        </is>
      </c>
      <c r="F80" s="12" t="inlineStr">
        <is>
          <t>N</t>
        </is>
      </c>
      <c r="G80" s="12" t="inlineStr">
        <is>
          <t>Y</t>
        </is>
      </c>
      <c r="H80" s="14" t="n">
        <v>0</v>
      </c>
      <c r="I80" s="14" t="n">
        <v>0</v>
      </c>
      <c r="J80" s="30">
        <f>IF(C80="","",IF(N(D80)&gt;=Setup!$B$22,"Y","N"))</f>
        <v/>
      </c>
      <c r="K80" s="25">
        <f>IF(C80="","",N(H80)+N(I80))</f>
        <v/>
      </c>
      <c r="L80" s="26">
        <f>IF(N(C80)&gt;0,MIN(1,K80/C80),"")</f>
        <v/>
      </c>
      <c r="M80" s="26">
        <f>IF(N(C80)&gt;0,MIN(1,N(H80)/C80),"")</f>
        <v/>
      </c>
      <c r="N80" s="26">
        <f>IF(L80="","",L80-M80)</f>
        <v/>
      </c>
      <c r="O80" s="30">
        <f>IF(L80="","",IF(L80&gt;=Setup!$B$23,"Complete",IF(L80&gt;0,"Partial","None")))</f>
        <v/>
      </c>
      <c r="P80" s="30">
        <f>IF(C80="","",IF(K80&gt;C80*1.01,"Covered area &gt; KBA area – check overlap; ","")&amp;IF(AND(E80&lt;&gt;"Y",F80&lt;&gt;"Y",J80&lt;&gt;"Y"),"No realm assigned; ",""))</f>
        <v/>
      </c>
    </row>
    <row r="81">
      <c r="A81" s="12" t="n"/>
      <c r="B81" s="12" t="n"/>
      <c r="C81" s="14" t="n"/>
      <c r="D81" s="34" t="n"/>
      <c r="E81" s="12" t="n"/>
      <c r="F81" s="12" t="n"/>
      <c r="G81" s="12" t="n"/>
      <c r="H81" s="14" t="n"/>
      <c r="I81" s="14" t="n"/>
      <c r="J81" s="30">
        <f>IF(C81="","",IF(N(D81)&gt;=Setup!$B$22,"Y","N"))</f>
        <v/>
      </c>
      <c r="K81" s="25">
        <f>IF(C81="","",N(H81)+N(I81))</f>
        <v/>
      </c>
      <c r="L81" s="26">
        <f>IF(N(C81)&gt;0,MIN(1,K81/C81),"")</f>
        <v/>
      </c>
      <c r="M81" s="26">
        <f>IF(N(C81)&gt;0,MIN(1,N(H81)/C81),"")</f>
        <v/>
      </c>
      <c r="N81" s="26">
        <f>IF(L81="","",L81-M81)</f>
        <v/>
      </c>
      <c r="O81" s="30">
        <f>IF(L81="","",IF(L81&gt;=Setup!$B$23,"Complete",IF(L81&gt;0,"Partial","None")))</f>
        <v/>
      </c>
      <c r="P81" s="30">
        <f>IF(C81="","",IF(K81&gt;C81*1.01,"Covered area &gt; KBA area – check overlap; ","")&amp;IF(AND(E81&lt;&gt;"Y",F81&lt;&gt;"Y",J81&lt;&gt;"Y"),"No realm assigned; ",""))</f>
        <v/>
      </c>
    </row>
    <row r="82">
      <c r="A82" s="12" t="n"/>
      <c r="B82" s="12" t="n"/>
      <c r="C82" s="14" t="n"/>
      <c r="D82" s="34" t="n"/>
      <c r="E82" s="12" t="n"/>
      <c r="F82" s="12" t="n"/>
      <c r="G82" s="12" t="n"/>
      <c r="H82" s="14" t="n"/>
      <c r="I82" s="14" t="n"/>
      <c r="J82" s="30">
        <f>IF(C82="","",IF(N(D82)&gt;=Setup!$B$22,"Y","N"))</f>
        <v/>
      </c>
      <c r="K82" s="25">
        <f>IF(C82="","",N(H82)+N(I82))</f>
        <v/>
      </c>
      <c r="L82" s="26">
        <f>IF(N(C82)&gt;0,MIN(1,K82/C82),"")</f>
        <v/>
      </c>
      <c r="M82" s="26">
        <f>IF(N(C82)&gt;0,MIN(1,N(H82)/C82),"")</f>
        <v/>
      </c>
      <c r="N82" s="26">
        <f>IF(L82="","",L82-M82)</f>
        <v/>
      </c>
      <c r="O82" s="30">
        <f>IF(L82="","",IF(L82&gt;=Setup!$B$23,"Complete",IF(L82&gt;0,"Partial","None")))</f>
        <v/>
      </c>
      <c r="P82" s="30">
        <f>IF(C82="","",IF(K82&gt;C82*1.01,"Covered area &gt; KBA area – check overlap; ","")&amp;IF(AND(E82&lt;&gt;"Y",F82&lt;&gt;"Y",J82&lt;&gt;"Y"),"No realm assigned; ",""))</f>
        <v/>
      </c>
    </row>
    <row r="83">
      <c r="A83" s="12" t="n"/>
      <c r="B83" s="12" t="n"/>
      <c r="C83" s="14" t="n"/>
      <c r="D83" s="34" t="n"/>
      <c r="E83" s="12" t="n"/>
      <c r="F83" s="12" t="n"/>
      <c r="G83" s="12" t="n"/>
      <c r="H83" s="14" t="n"/>
      <c r="I83" s="14" t="n"/>
      <c r="J83" s="30">
        <f>IF(C83="","",IF(N(D83)&gt;=Setup!$B$22,"Y","N"))</f>
        <v/>
      </c>
      <c r="K83" s="25">
        <f>IF(C83="","",N(H83)+N(I83))</f>
        <v/>
      </c>
      <c r="L83" s="26">
        <f>IF(N(C83)&gt;0,MIN(1,K83/C83),"")</f>
        <v/>
      </c>
      <c r="M83" s="26">
        <f>IF(N(C83)&gt;0,MIN(1,N(H83)/C83),"")</f>
        <v/>
      </c>
      <c r="N83" s="26">
        <f>IF(L83="","",L83-M83)</f>
        <v/>
      </c>
      <c r="O83" s="30">
        <f>IF(L83="","",IF(L83&gt;=Setup!$B$23,"Complete",IF(L83&gt;0,"Partial","None")))</f>
        <v/>
      </c>
      <c r="P83" s="30">
        <f>IF(C83="","",IF(K83&gt;C83*1.01,"Covered area &gt; KBA area – check overlap; ","")&amp;IF(AND(E83&lt;&gt;"Y",F83&lt;&gt;"Y",J83&lt;&gt;"Y"),"No realm assigned; ",""))</f>
        <v/>
      </c>
    </row>
    <row r="84">
      <c r="A84" s="12" t="n"/>
      <c r="B84" s="12" t="n"/>
      <c r="C84" s="14" t="n"/>
      <c r="D84" s="34" t="n"/>
      <c r="E84" s="12" t="n"/>
      <c r="F84" s="12" t="n"/>
      <c r="G84" s="12" t="n"/>
      <c r="H84" s="14" t="n"/>
      <c r="I84" s="14" t="n"/>
      <c r="J84" s="30">
        <f>IF(C84="","",IF(N(D84)&gt;=Setup!$B$22,"Y","N"))</f>
        <v/>
      </c>
      <c r="K84" s="25">
        <f>IF(C84="","",N(H84)+N(I84))</f>
        <v/>
      </c>
      <c r="L84" s="26">
        <f>IF(N(C84)&gt;0,MIN(1,K84/C84),"")</f>
        <v/>
      </c>
      <c r="M84" s="26">
        <f>IF(N(C84)&gt;0,MIN(1,N(H84)/C84),"")</f>
        <v/>
      </c>
      <c r="N84" s="26">
        <f>IF(L84="","",L84-M84)</f>
        <v/>
      </c>
      <c r="O84" s="30">
        <f>IF(L84="","",IF(L84&gt;=Setup!$B$23,"Complete",IF(L84&gt;0,"Partial","None")))</f>
        <v/>
      </c>
      <c r="P84" s="30">
        <f>IF(C84="","",IF(K84&gt;C84*1.01,"Covered area &gt; KBA area – check overlap; ","")&amp;IF(AND(E84&lt;&gt;"Y",F84&lt;&gt;"Y",J84&lt;&gt;"Y"),"No realm assigned; ",""))</f>
        <v/>
      </c>
    </row>
    <row r="85">
      <c r="A85" s="12" t="n"/>
      <c r="B85" s="12" t="n"/>
      <c r="C85" s="14" t="n"/>
      <c r="D85" s="34" t="n"/>
      <c r="E85" s="12" t="n"/>
      <c r="F85" s="12" t="n"/>
      <c r="G85" s="12" t="n"/>
      <c r="H85" s="14" t="n"/>
      <c r="I85" s="14" t="n"/>
      <c r="J85" s="30">
        <f>IF(C85="","",IF(N(D85)&gt;=Setup!$B$22,"Y","N"))</f>
        <v/>
      </c>
      <c r="K85" s="25">
        <f>IF(C85="","",N(H85)+N(I85))</f>
        <v/>
      </c>
      <c r="L85" s="26">
        <f>IF(N(C85)&gt;0,MIN(1,K85/C85),"")</f>
        <v/>
      </c>
      <c r="M85" s="26">
        <f>IF(N(C85)&gt;0,MIN(1,N(H85)/C85),"")</f>
        <v/>
      </c>
      <c r="N85" s="26">
        <f>IF(L85="","",L85-M85)</f>
        <v/>
      </c>
      <c r="O85" s="30">
        <f>IF(L85="","",IF(L85&gt;=Setup!$B$23,"Complete",IF(L85&gt;0,"Partial","None")))</f>
        <v/>
      </c>
      <c r="P85" s="30">
        <f>IF(C85="","",IF(K85&gt;C85*1.01,"Covered area &gt; KBA area – check overlap; ","")&amp;IF(AND(E85&lt;&gt;"Y",F85&lt;&gt;"Y",J85&lt;&gt;"Y"),"No realm assigned; ",""))</f>
        <v/>
      </c>
    </row>
    <row r="86">
      <c r="A86" s="12" t="n"/>
      <c r="B86" s="12" t="n"/>
      <c r="C86" s="14" t="n"/>
      <c r="D86" s="34" t="n"/>
      <c r="E86" s="12" t="n"/>
      <c r="F86" s="12" t="n"/>
      <c r="G86" s="12" t="n"/>
      <c r="H86" s="14" t="n"/>
      <c r="I86" s="14" t="n"/>
      <c r="J86" s="30">
        <f>IF(C86="","",IF(N(D86)&gt;=Setup!$B$22,"Y","N"))</f>
        <v/>
      </c>
      <c r="K86" s="25">
        <f>IF(C86="","",N(H86)+N(I86))</f>
        <v/>
      </c>
      <c r="L86" s="26">
        <f>IF(N(C86)&gt;0,MIN(1,K86/C86),"")</f>
        <v/>
      </c>
      <c r="M86" s="26">
        <f>IF(N(C86)&gt;0,MIN(1,N(H86)/C86),"")</f>
        <v/>
      </c>
      <c r="N86" s="26">
        <f>IF(L86="","",L86-M86)</f>
        <v/>
      </c>
      <c r="O86" s="30">
        <f>IF(L86="","",IF(L86&gt;=Setup!$B$23,"Complete",IF(L86&gt;0,"Partial","None")))</f>
        <v/>
      </c>
      <c r="P86" s="30">
        <f>IF(C86="","",IF(K86&gt;C86*1.01,"Covered area &gt; KBA area – check overlap; ","")&amp;IF(AND(E86&lt;&gt;"Y",F86&lt;&gt;"Y",J86&lt;&gt;"Y"),"No realm assigned; ",""))</f>
        <v/>
      </c>
    </row>
    <row r="87">
      <c r="A87" s="12" t="n"/>
      <c r="B87" s="12" t="n"/>
      <c r="C87" s="14" t="n"/>
      <c r="D87" s="34" t="n"/>
      <c r="E87" s="12" t="n"/>
      <c r="F87" s="12" t="n"/>
      <c r="G87" s="12" t="n"/>
      <c r="H87" s="14" t="n"/>
      <c r="I87" s="14" t="n"/>
      <c r="J87" s="30">
        <f>IF(C87="","",IF(N(D87)&gt;=Setup!$B$22,"Y","N"))</f>
        <v/>
      </c>
      <c r="K87" s="25">
        <f>IF(C87="","",N(H87)+N(I87))</f>
        <v/>
      </c>
      <c r="L87" s="26">
        <f>IF(N(C87)&gt;0,MIN(1,K87/C87),"")</f>
        <v/>
      </c>
      <c r="M87" s="26">
        <f>IF(N(C87)&gt;0,MIN(1,N(H87)/C87),"")</f>
        <v/>
      </c>
      <c r="N87" s="26">
        <f>IF(L87="","",L87-M87)</f>
        <v/>
      </c>
      <c r="O87" s="30">
        <f>IF(L87="","",IF(L87&gt;=Setup!$B$23,"Complete",IF(L87&gt;0,"Partial","None")))</f>
        <v/>
      </c>
      <c r="P87" s="30">
        <f>IF(C87="","",IF(K87&gt;C87*1.01,"Covered area &gt; KBA area – check overlap; ","")&amp;IF(AND(E87&lt;&gt;"Y",F87&lt;&gt;"Y",J87&lt;&gt;"Y"),"No realm assigned; ",""))</f>
        <v/>
      </c>
    </row>
    <row r="88">
      <c r="A88" s="12" t="n"/>
      <c r="B88" s="12" t="n"/>
      <c r="C88" s="14" t="n"/>
      <c r="D88" s="34" t="n"/>
      <c r="E88" s="12" t="n"/>
      <c r="F88" s="12" t="n"/>
      <c r="G88" s="12" t="n"/>
      <c r="H88" s="14" t="n"/>
      <c r="I88" s="14" t="n"/>
      <c r="J88" s="30">
        <f>IF(C88="","",IF(N(D88)&gt;=Setup!$B$22,"Y","N"))</f>
        <v/>
      </c>
      <c r="K88" s="25">
        <f>IF(C88="","",N(H88)+N(I88))</f>
        <v/>
      </c>
      <c r="L88" s="26">
        <f>IF(N(C88)&gt;0,MIN(1,K88/C88),"")</f>
        <v/>
      </c>
      <c r="M88" s="26">
        <f>IF(N(C88)&gt;0,MIN(1,N(H88)/C88),"")</f>
        <v/>
      </c>
      <c r="N88" s="26">
        <f>IF(L88="","",L88-M88)</f>
        <v/>
      </c>
      <c r="O88" s="30">
        <f>IF(L88="","",IF(L88&gt;=Setup!$B$23,"Complete",IF(L88&gt;0,"Partial","None")))</f>
        <v/>
      </c>
      <c r="P88" s="30">
        <f>IF(C88="","",IF(K88&gt;C88*1.01,"Covered area &gt; KBA area – check overlap; ","")&amp;IF(AND(E88&lt;&gt;"Y",F88&lt;&gt;"Y",J88&lt;&gt;"Y"),"No realm assigned; ",""))</f>
        <v/>
      </c>
    </row>
    <row r="89">
      <c r="A89" s="12" t="n"/>
      <c r="B89" s="12" t="n"/>
      <c r="C89" s="14" t="n"/>
      <c r="D89" s="34" t="n"/>
      <c r="E89" s="12" t="n"/>
      <c r="F89" s="12" t="n"/>
      <c r="G89" s="12" t="n"/>
      <c r="H89" s="14" t="n"/>
      <c r="I89" s="14" t="n"/>
      <c r="J89" s="30">
        <f>IF(C89="","",IF(N(D89)&gt;=Setup!$B$22,"Y","N"))</f>
        <v/>
      </c>
      <c r="K89" s="25">
        <f>IF(C89="","",N(H89)+N(I89))</f>
        <v/>
      </c>
      <c r="L89" s="26">
        <f>IF(N(C89)&gt;0,MIN(1,K89/C89),"")</f>
        <v/>
      </c>
      <c r="M89" s="26">
        <f>IF(N(C89)&gt;0,MIN(1,N(H89)/C89),"")</f>
        <v/>
      </c>
      <c r="N89" s="26">
        <f>IF(L89="","",L89-M89)</f>
        <v/>
      </c>
      <c r="O89" s="30">
        <f>IF(L89="","",IF(L89&gt;=Setup!$B$23,"Complete",IF(L89&gt;0,"Partial","None")))</f>
        <v/>
      </c>
      <c r="P89" s="30">
        <f>IF(C89="","",IF(K89&gt;C89*1.01,"Covered area &gt; KBA area – check overlap; ","")&amp;IF(AND(E89&lt;&gt;"Y",F89&lt;&gt;"Y",J89&lt;&gt;"Y"),"No realm assigned; ",""))</f>
        <v/>
      </c>
    </row>
    <row r="90">
      <c r="A90" s="12" t="n"/>
      <c r="B90" s="12" t="n"/>
      <c r="C90" s="14" t="n"/>
      <c r="D90" s="34" t="n"/>
      <c r="E90" s="12" t="n"/>
      <c r="F90" s="12" t="n"/>
      <c r="G90" s="12" t="n"/>
      <c r="H90" s="14" t="n"/>
      <c r="I90" s="14" t="n"/>
      <c r="J90" s="30">
        <f>IF(C90="","",IF(N(D90)&gt;=Setup!$B$22,"Y","N"))</f>
        <v/>
      </c>
      <c r="K90" s="25">
        <f>IF(C90="","",N(H90)+N(I90))</f>
        <v/>
      </c>
      <c r="L90" s="26">
        <f>IF(N(C90)&gt;0,MIN(1,K90/C90),"")</f>
        <v/>
      </c>
      <c r="M90" s="26">
        <f>IF(N(C90)&gt;0,MIN(1,N(H90)/C90),"")</f>
        <v/>
      </c>
      <c r="N90" s="26">
        <f>IF(L90="","",L90-M90)</f>
        <v/>
      </c>
      <c r="O90" s="30">
        <f>IF(L90="","",IF(L90&gt;=Setup!$B$23,"Complete",IF(L90&gt;0,"Partial","None")))</f>
        <v/>
      </c>
      <c r="P90" s="30">
        <f>IF(C90="","",IF(K90&gt;C90*1.01,"Covered area &gt; KBA area – check overlap; ","")&amp;IF(AND(E90&lt;&gt;"Y",F90&lt;&gt;"Y",J90&lt;&gt;"Y"),"No realm assigned; ",""))</f>
        <v/>
      </c>
    </row>
    <row r="91">
      <c r="A91" s="12" t="n"/>
      <c r="B91" s="12" t="n"/>
      <c r="C91" s="14" t="n"/>
      <c r="D91" s="34" t="n"/>
      <c r="E91" s="12" t="n"/>
      <c r="F91" s="12" t="n"/>
      <c r="G91" s="12" t="n"/>
      <c r="H91" s="14" t="n"/>
      <c r="I91" s="14" t="n"/>
      <c r="J91" s="30">
        <f>IF(C91="","",IF(N(D91)&gt;=Setup!$B$22,"Y","N"))</f>
        <v/>
      </c>
      <c r="K91" s="25">
        <f>IF(C91="","",N(H91)+N(I91))</f>
        <v/>
      </c>
      <c r="L91" s="26">
        <f>IF(N(C91)&gt;0,MIN(1,K91/C91),"")</f>
        <v/>
      </c>
      <c r="M91" s="26">
        <f>IF(N(C91)&gt;0,MIN(1,N(H91)/C91),"")</f>
        <v/>
      </c>
      <c r="N91" s="26">
        <f>IF(L91="","",L91-M91)</f>
        <v/>
      </c>
      <c r="O91" s="30">
        <f>IF(L91="","",IF(L91&gt;=Setup!$B$23,"Complete",IF(L91&gt;0,"Partial","None")))</f>
        <v/>
      </c>
      <c r="P91" s="30">
        <f>IF(C91="","",IF(K91&gt;C91*1.01,"Covered area &gt; KBA area – check overlap; ","")&amp;IF(AND(E91&lt;&gt;"Y",F91&lt;&gt;"Y",J91&lt;&gt;"Y"),"No realm assigned; ",""))</f>
        <v/>
      </c>
    </row>
    <row r="92">
      <c r="A92" s="12" t="n"/>
      <c r="B92" s="12" t="n"/>
      <c r="C92" s="14" t="n"/>
      <c r="D92" s="34" t="n"/>
      <c r="E92" s="12" t="n"/>
      <c r="F92" s="12" t="n"/>
      <c r="G92" s="12" t="n"/>
      <c r="H92" s="14" t="n"/>
      <c r="I92" s="14" t="n"/>
      <c r="J92" s="30">
        <f>IF(C92="","",IF(N(D92)&gt;=Setup!$B$22,"Y","N"))</f>
        <v/>
      </c>
      <c r="K92" s="25">
        <f>IF(C92="","",N(H92)+N(I92))</f>
        <v/>
      </c>
      <c r="L92" s="26">
        <f>IF(N(C92)&gt;0,MIN(1,K92/C92),"")</f>
        <v/>
      </c>
      <c r="M92" s="26">
        <f>IF(N(C92)&gt;0,MIN(1,N(H92)/C92),"")</f>
        <v/>
      </c>
      <c r="N92" s="26">
        <f>IF(L92="","",L92-M92)</f>
        <v/>
      </c>
      <c r="O92" s="30">
        <f>IF(L92="","",IF(L92&gt;=Setup!$B$23,"Complete",IF(L92&gt;0,"Partial","None")))</f>
        <v/>
      </c>
      <c r="P92" s="30">
        <f>IF(C92="","",IF(K92&gt;C92*1.01,"Covered area &gt; KBA area – check overlap; ","")&amp;IF(AND(E92&lt;&gt;"Y",F92&lt;&gt;"Y",J92&lt;&gt;"Y"),"No realm assigned; ",""))</f>
        <v/>
      </c>
    </row>
    <row r="93">
      <c r="A93" s="12" t="n"/>
      <c r="B93" s="12" t="n"/>
      <c r="C93" s="14" t="n"/>
      <c r="D93" s="34" t="n"/>
      <c r="E93" s="12" t="n"/>
      <c r="F93" s="12" t="n"/>
      <c r="G93" s="12" t="n"/>
      <c r="H93" s="14" t="n"/>
      <c r="I93" s="14" t="n"/>
      <c r="J93" s="30">
        <f>IF(C93="","",IF(N(D93)&gt;=Setup!$B$22,"Y","N"))</f>
        <v/>
      </c>
      <c r="K93" s="25">
        <f>IF(C93="","",N(H93)+N(I93))</f>
        <v/>
      </c>
      <c r="L93" s="26">
        <f>IF(N(C93)&gt;0,MIN(1,K93/C93),"")</f>
        <v/>
      </c>
      <c r="M93" s="26">
        <f>IF(N(C93)&gt;0,MIN(1,N(H93)/C93),"")</f>
        <v/>
      </c>
      <c r="N93" s="26">
        <f>IF(L93="","",L93-M93)</f>
        <v/>
      </c>
      <c r="O93" s="30">
        <f>IF(L93="","",IF(L93&gt;=Setup!$B$23,"Complete",IF(L93&gt;0,"Partial","None")))</f>
        <v/>
      </c>
      <c r="P93" s="30">
        <f>IF(C93="","",IF(K93&gt;C93*1.01,"Covered area &gt; KBA area – check overlap; ","")&amp;IF(AND(E93&lt;&gt;"Y",F93&lt;&gt;"Y",J93&lt;&gt;"Y"),"No realm assigned; ",""))</f>
        <v/>
      </c>
    </row>
    <row r="94">
      <c r="A94" s="12" t="n"/>
      <c r="B94" s="12" t="n"/>
      <c r="C94" s="14" t="n"/>
      <c r="D94" s="34" t="n"/>
      <c r="E94" s="12" t="n"/>
      <c r="F94" s="12" t="n"/>
      <c r="G94" s="12" t="n"/>
      <c r="H94" s="14" t="n"/>
      <c r="I94" s="14" t="n"/>
      <c r="J94" s="30">
        <f>IF(C94="","",IF(N(D94)&gt;=Setup!$B$22,"Y","N"))</f>
        <v/>
      </c>
      <c r="K94" s="25">
        <f>IF(C94="","",N(H94)+N(I94))</f>
        <v/>
      </c>
      <c r="L94" s="26">
        <f>IF(N(C94)&gt;0,MIN(1,K94/C94),"")</f>
        <v/>
      </c>
      <c r="M94" s="26">
        <f>IF(N(C94)&gt;0,MIN(1,N(H94)/C94),"")</f>
        <v/>
      </c>
      <c r="N94" s="26">
        <f>IF(L94="","",L94-M94)</f>
        <v/>
      </c>
      <c r="O94" s="30">
        <f>IF(L94="","",IF(L94&gt;=Setup!$B$23,"Complete",IF(L94&gt;0,"Partial","None")))</f>
        <v/>
      </c>
      <c r="P94" s="30">
        <f>IF(C94="","",IF(K94&gt;C94*1.01,"Covered area &gt; KBA area – check overlap; ","")&amp;IF(AND(E94&lt;&gt;"Y",F94&lt;&gt;"Y",J94&lt;&gt;"Y"),"No realm assigned; ",""))</f>
        <v/>
      </c>
    </row>
    <row r="95">
      <c r="A95" s="12" t="n"/>
      <c r="B95" s="12" t="n"/>
      <c r="C95" s="14" t="n"/>
      <c r="D95" s="34" t="n"/>
      <c r="E95" s="12" t="n"/>
      <c r="F95" s="12" t="n"/>
      <c r="G95" s="12" t="n"/>
      <c r="H95" s="14" t="n"/>
      <c r="I95" s="14" t="n"/>
      <c r="J95" s="30">
        <f>IF(C95="","",IF(N(D95)&gt;=Setup!$B$22,"Y","N"))</f>
        <v/>
      </c>
      <c r="K95" s="25">
        <f>IF(C95="","",N(H95)+N(I95))</f>
        <v/>
      </c>
      <c r="L95" s="26">
        <f>IF(N(C95)&gt;0,MIN(1,K95/C95),"")</f>
        <v/>
      </c>
      <c r="M95" s="26">
        <f>IF(N(C95)&gt;0,MIN(1,N(H95)/C95),"")</f>
        <v/>
      </c>
      <c r="N95" s="26">
        <f>IF(L95="","",L95-M95)</f>
        <v/>
      </c>
      <c r="O95" s="30">
        <f>IF(L95="","",IF(L95&gt;=Setup!$B$23,"Complete",IF(L95&gt;0,"Partial","None")))</f>
        <v/>
      </c>
      <c r="P95" s="30">
        <f>IF(C95="","",IF(K95&gt;C95*1.01,"Covered area &gt; KBA area – check overlap; ","")&amp;IF(AND(E95&lt;&gt;"Y",F95&lt;&gt;"Y",J95&lt;&gt;"Y"),"No realm assigned; ",""))</f>
        <v/>
      </c>
    </row>
    <row r="96">
      <c r="A96" s="12" t="n"/>
      <c r="B96" s="12" t="n"/>
      <c r="C96" s="14" t="n"/>
      <c r="D96" s="34" t="n"/>
      <c r="E96" s="12" t="n"/>
      <c r="F96" s="12" t="n"/>
      <c r="G96" s="12" t="n"/>
      <c r="H96" s="14" t="n"/>
      <c r="I96" s="14" t="n"/>
      <c r="J96" s="30">
        <f>IF(C96="","",IF(N(D96)&gt;=Setup!$B$22,"Y","N"))</f>
        <v/>
      </c>
      <c r="K96" s="25">
        <f>IF(C96="","",N(H96)+N(I96))</f>
        <v/>
      </c>
      <c r="L96" s="26">
        <f>IF(N(C96)&gt;0,MIN(1,K96/C96),"")</f>
        <v/>
      </c>
      <c r="M96" s="26">
        <f>IF(N(C96)&gt;0,MIN(1,N(H96)/C96),"")</f>
        <v/>
      </c>
      <c r="N96" s="26">
        <f>IF(L96="","",L96-M96)</f>
        <v/>
      </c>
      <c r="O96" s="30">
        <f>IF(L96="","",IF(L96&gt;=Setup!$B$23,"Complete",IF(L96&gt;0,"Partial","None")))</f>
        <v/>
      </c>
      <c r="P96" s="30">
        <f>IF(C96="","",IF(K96&gt;C96*1.01,"Covered area &gt; KBA area – check overlap; ","")&amp;IF(AND(E96&lt;&gt;"Y",F96&lt;&gt;"Y",J96&lt;&gt;"Y"),"No realm assigned; ",""))</f>
        <v/>
      </c>
    </row>
    <row r="97">
      <c r="A97" s="12" t="n"/>
      <c r="B97" s="12" t="n"/>
      <c r="C97" s="14" t="n"/>
      <c r="D97" s="34" t="n"/>
      <c r="E97" s="12" t="n"/>
      <c r="F97" s="12" t="n"/>
      <c r="G97" s="12" t="n"/>
      <c r="H97" s="14" t="n"/>
      <c r="I97" s="14" t="n"/>
      <c r="J97" s="30">
        <f>IF(C97="","",IF(N(D97)&gt;=Setup!$B$22,"Y","N"))</f>
        <v/>
      </c>
      <c r="K97" s="25">
        <f>IF(C97="","",N(H97)+N(I97))</f>
        <v/>
      </c>
      <c r="L97" s="26">
        <f>IF(N(C97)&gt;0,MIN(1,K97/C97),"")</f>
        <v/>
      </c>
      <c r="M97" s="26">
        <f>IF(N(C97)&gt;0,MIN(1,N(H97)/C97),"")</f>
        <v/>
      </c>
      <c r="N97" s="26">
        <f>IF(L97="","",L97-M97)</f>
        <v/>
      </c>
      <c r="O97" s="30">
        <f>IF(L97="","",IF(L97&gt;=Setup!$B$23,"Complete",IF(L97&gt;0,"Partial","None")))</f>
        <v/>
      </c>
      <c r="P97" s="30">
        <f>IF(C97="","",IF(K97&gt;C97*1.01,"Covered area &gt; KBA area – check overlap; ","")&amp;IF(AND(E97&lt;&gt;"Y",F97&lt;&gt;"Y",J97&lt;&gt;"Y"),"No realm assigned; ",""))</f>
        <v/>
      </c>
    </row>
    <row r="98">
      <c r="A98" s="12" t="n"/>
      <c r="B98" s="12" t="n"/>
      <c r="C98" s="14" t="n"/>
      <c r="D98" s="34" t="n"/>
      <c r="E98" s="12" t="n"/>
      <c r="F98" s="12" t="n"/>
      <c r="G98" s="12" t="n"/>
      <c r="H98" s="14" t="n"/>
      <c r="I98" s="14" t="n"/>
      <c r="J98" s="30">
        <f>IF(C98="","",IF(N(D98)&gt;=Setup!$B$22,"Y","N"))</f>
        <v/>
      </c>
      <c r="K98" s="25">
        <f>IF(C98="","",N(H98)+N(I98))</f>
        <v/>
      </c>
      <c r="L98" s="26">
        <f>IF(N(C98)&gt;0,MIN(1,K98/C98),"")</f>
        <v/>
      </c>
      <c r="M98" s="26">
        <f>IF(N(C98)&gt;0,MIN(1,N(H98)/C98),"")</f>
        <v/>
      </c>
      <c r="N98" s="26">
        <f>IF(L98="","",L98-M98)</f>
        <v/>
      </c>
      <c r="O98" s="30">
        <f>IF(L98="","",IF(L98&gt;=Setup!$B$23,"Complete",IF(L98&gt;0,"Partial","None")))</f>
        <v/>
      </c>
      <c r="P98" s="30">
        <f>IF(C98="","",IF(K98&gt;C98*1.01,"Covered area &gt; KBA area – check overlap; ","")&amp;IF(AND(E98&lt;&gt;"Y",F98&lt;&gt;"Y",J98&lt;&gt;"Y"),"No realm assigned; ",""))</f>
        <v/>
      </c>
    </row>
    <row r="99">
      <c r="A99" s="12" t="n"/>
      <c r="B99" s="12" t="n"/>
      <c r="C99" s="14" t="n"/>
      <c r="D99" s="34" t="n"/>
      <c r="E99" s="12" t="n"/>
      <c r="F99" s="12" t="n"/>
      <c r="G99" s="12" t="n"/>
      <c r="H99" s="14" t="n"/>
      <c r="I99" s="14" t="n"/>
      <c r="J99" s="30">
        <f>IF(C99="","",IF(N(D99)&gt;=Setup!$B$22,"Y","N"))</f>
        <v/>
      </c>
      <c r="K99" s="25">
        <f>IF(C99="","",N(H99)+N(I99))</f>
        <v/>
      </c>
      <c r="L99" s="26">
        <f>IF(N(C99)&gt;0,MIN(1,K99/C99),"")</f>
        <v/>
      </c>
      <c r="M99" s="26">
        <f>IF(N(C99)&gt;0,MIN(1,N(H99)/C99),"")</f>
        <v/>
      </c>
      <c r="N99" s="26">
        <f>IF(L99="","",L99-M99)</f>
        <v/>
      </c>
      <c r="O99" s="30">
        <f>IF(L99="","",IF(L99&gt;=Setup!$B$23,"Complete",IF(L99&gt;0,"Partial","None")))</f>
        <v/>
      </c>
      <c r="P99" s="30">
        <f>IF(C99="","",IF(K99&gt;C99*1.01,"Covered area &gt; KBA area – check overlap; ","")&amp;IF(AND(E99&lt;&gt;"Y",F99&lt;&gt;"Y",J99&lt;&gt;"Y"),"No realm assigned; ",""))</f>
        <v/>
      </c>
    </row>
    <row r="100">
      <c r="A100" s="12" t="n"/>
      <c r="B100" s="12" t="n"/>
      <c r="C100" s="14" t="n"/>
      <c r="D100" s="34" t="n"/>
      <c r="E100" s="12" t="n"/>
      <c r="F100" s="12" t="n"/>
      <c r="G100" s="12" t="n"/>
      <c r="H100" s="14" t="n"/>
      <c r="I100" s="14" t="n"/>
      <c r="J100" s="30">
        <f>IF(C100="","",IF(N(D100)&gt;=Setup!$B$22,"Y","N"))</f>
        <v/>
      </c>
      <c r="K100" s="25">
        <f>IF(C100="","",N(H100)+N(I100))</f>
        <v/>
      </c>
      <c r="L100" s="26">
        <f>IF(N(C100)&gt;0,MIN(1,K100/C100),"")</f>
        <v/>
      </c>
      <c r="M100" s="26">
        <f>IF(N(C100)&gt;0,MIN(1,N(H100)/C100),"")</f>
        <v/>
      </c>
      <c r="N100" s="26">
        <f>IF(L100="","",L100-M100)</f>
        <v/>
      </c>
      <c r="O100" s="30">
        <f>IF(L100="","",IF(L100&gt;=Setup!$B$23,"Complete",IF(L100&gt;0,"Partial","None")))</f>
        <v/>
      </c>
      <c r="P100" s="30">
        <f>IF(C100="","",IF(K100&gt;C100*1.01,"Covered area &gt; KBA area – check overlap; ","")&amp;IF(AND(E100&lt;&gt;"Y",F100&lt;&gt;"Y",J100&lt;&gt;"Y"),"No realm assigned; ",""))</f>
        <v/>
      </c>
    </row>
    <row r="101">
      <c r="A101" s="12" t="n"/>
      <c r="B101" s="12" t="n"/>
      <c r="C101" s="14" t="n"/>
      <c r="D101" s="34" t="n"/>
      <c r="E101" s="12" t="n"/>
      <c r="F101" s="12" t="n"/>
      <c r="G101" s="12" t="n"/>
      <c r="H101" s="14" t="n"/>
      <c r="I101" s="14" t="n"/>
      <c r="J101" s="30">
        <f>IF(C101="","",IF(N(D101)&gt;=Setup!$B$22,"Y","N"))</f>
        <v/>
      </c>
      <c r="K101" s="25">
        <f>IF(C101="","",N(H101)+N(I101))</f>
        <v/>
      </c>
      <c r="L101" s="26">
        <f>IF(N(C101)&gt;0,MIN(1,K101/C101),"")</f>
        <v/>
      </c>
      <c r="M101" s="26">
        <f>IF(N(C101)&gt;0,MIN(1,N(H101)/C101),"")</f>
        <v/>
      </c>
      <c r="N101" s="26">
        <f>IF(L101="","",L101-M101)</f>
        <v/>
      </c>
      <c r="O101" s="30">
        <f>IF(L101="","",IF(L101&gt;=Setup!$B$23,"Complete",IF(L101&gt;0,"Partial","None")))</f>
        <v/>
      </c>
      <c r="P101" s="30">
        <f>IF(C101="","",IF(K101&gt;C101*1.01,"Covered area &gt; KBA area – check overlap; ","")&amp;IF(AND(E101&lt;&gt;"Y",F101&lt;&gt;"Y",J101&lt;&gt;"Y"),"No realm assigned; ",""))</f>
        <v/>
      </c>
    </row>
    <row r="102">
      <c r="A102" s="12" t="n"/>
      <c r="B102" s="12" t="n"/>
      <c r="C102" s="14" t="n"/>
      <c r="D102" s="34" t="n"/>
      <c r="E102" s="12" t="n"/>
      <c r="F102" s="12" t="n"/>
      <c r="G102" s="12" t="n"/>
      <c r="H102" s="14" t="n"/>
      <c r="I102" s="14" t="n"/>
      <c r="J102" s="30">
        <f>IF(C102="","",IF(N(D102)&gt;=Setup!$B$22,"Y","N"))</f>
        <v/>
      </c>
      <c r="K102" s="25">
        <f>IF(C102="","",N(H102)+N(I102))</f>
        <v/>
      </c>
      <c r="L102" s="26">
        <f>IF(N(C102)&gt;0,MIN(1,K102/C102),"")</f>
        <v/>
      </c>
      <c r="M102" s="26">
        <f>IF(N(C102)&gt;0,MIN(1,N(H102)/C102),"")</f>
        <v/>
      </c>
      <c r="N102" s="26">
        <f>IF(L102="","",L102-M102)</f>
        <v/>
      </c>
      <c r="O102" s="30">
        <f>IF(L102="","",IF(L102&gt;=Setup!$B$23,"Complete",IF(L102&gt;0,"Partial","None")))</f>
        <v/>
      </c>
      <c r="P102" s="30">
        <f>IF(C102="","",IF(K102&gt;C102*1.01,"Covered area &gt; KBA area – check overlap; ","")&amp;IF(AND(E102&lt;&gt;"Y",F102&lt;&gt;"Y",J102&lt;&gt;"Y"),"No realm assigned; ",""))</f>
        <v/>
      </c>
    </row>
    <row r="103">
      <c r="A103" s="12" t="n"/>
      <c r="B103" s="12" t="n"/>
      <c r="C103" s="14" t="n"/>
      <c r="D103" s="34" t="n"/>
      <c r="E103" s="12" t="n"/>
      <c r="F103" s="12" t="n"/>
      <c r="G103" s="12" t="n"/>
      <c r="H103" s="14" t="n"/>
      <c r="I103" s="14" t="n"/>
      <c r="J103" s="30">
        <f>IF(C103="","",IF(N(D103)&gt;=Setup!$B$22,"Y","N"))</f>
        <v/>
      </c>
      <c r="K103" s="25">
        <f>IF(C103="","",N(H103)+N(I103))</f>
        <v/>
      </c>
      <c r="L103" s="26">
        <f>IF(N(C103)&gt;0,MIN(1,K103/C103),"")</f>
        <v/>
      </c>
      <c r="M103" s="26">
        <f>IF(N(C103)&gt;0,MIN(1,N(H103)/C103),"")</f>
        <v/>
      </c>
      <c r="N103" s="26">
        <f>IF(L103="","",L103-M103)</f>
        <v/>
      </c>
      <c r="O103" s="30">
        <f>IF(L103="","",IF(L103&gt;=Setup!$B$23,"Complete",IF(L103&gt;0,"Partial","None")))</f>
        <v/>
      </c>
      <c r="P103" s="30">
        <f>IF(C103="","",IF(K103&gt;C103*1.01,"Covered area &gt; KBA area – check overlap; ","")&amp;IF(AND(E103&lt;&gt;"Y",F103&lt;&gt;"Y",J103&lt;&gt;"Y"),"No realm assigned; ",""))</f>
        <v/>
      </c>
    </row>
    <row r="104">
      <c r="A104" s="12" t="n"/>
      <c r="B104" s="12" t="n"/>
      <c r="C104" s="14" t="n"/>
      <c r="D104" s="34" t="n"/>
      <c r="E104" s="12" t="n"/>
      <c r="F104" s="12" t="n"/>
      <c r="G104" s="12" t="n"/>
      <c r="H104" s="14" t="n"/>
      <c r="I104" s="14" t="n"/>
      <c r="J104" s="30">
        <f>IF(C104="","",IF(N(D104)&gt;=Setup!$B$22,"Y","N"))</f>
        <v/>
      </c>
      <c r="K104" s="25">
        <f>IF(C104="","",N(H104)+N(I104))</f>
        <v/>
      </c>
      <c r="L104" s="26">
        <f>IF(N(C104)&gt;0,MIN(1,K104/C104),"")</f>
        <v/>
      </c>
      <c r="M104" s="26">
        <f>IF(N(C104)&gt;0,MIN(1,N(H104)/C104),"")</f>
        <v/>
      </c>
      <c r="N104" s="26">
        <f>IF(L104="","",L104-M104)</f>
        <v/>
      </c>
      <c r="O104" s="30">
        <f>IF(L104="","",IF(L104&gt;=Setup!$B$23,"Complete",IF(L104&gt;0,"Partial","None")))</f>
        <v/>
      </c>
      <c r="P104" s="30">
        <f>IF(C104="","",IF(K104&gt;C104*1.01,"Covered area &gt; KBA area – check overlap; ","")&amp;IF(AND(E104&lt;&gt;"Y",F104&lt;&gt;"Y",J104&lt;&gt;"Y"),"No realm assigned; ",""))</f>
        <v/>
      </c>
    </row>
    <row r="105">
      <c r="A105" s="12" t="n"/>
      <c r="B105" s="12" t="n"/>
      <c r="C105" s="14" t="n"/>
      <c r="D105" s="34" t="n"/>
      <c r="E105" s="12" t="n"/>
      <c r="F105" s="12" t="n"/>
      <c r="G105" s="12" t="n"/>
      <c r="H105" s="14" t="n"/>
      <c r="I105" s="14" t="n"/>
      <c r="J105" s="30">
        <f>IF(C105="","",IF(N(D105)&gt;=Setup!$B$22,"Y","N"))</f>
        <v/>
      </c>
      <c r="K105" s="25">
        <f>IF(C105="","",N(H105)+N(I105))</f>
        <v/>
      </c>
      <c r="L105" s="26">
        <f>IF(N(C105)&gt;0,MIN(1,K105/C105),"")</f>
        <v/>
      </c>
      <c r="M105" s="26">
        <f>IF(N(C105)&gt;0,MIN(1,N(H105)/C105),"")</f>
        <v/>
      </c>
      <c r="N105" s="26">
        <f>IF(L105="","",L105-M105)</f>
        <v/>
      </c>
      <c r="O105" s="30">
        <f>IF(L105="","",IF(L105&gt;=Setup!$B$23,"Complete",IF(L105&gt;0,"Partial","None")))</f>
        <v/>
      </c>
      <c r="P105" s="30">
        <f>IF(C105="","",IF(K105&gt;C105*1.01,"Covered area &gt; KBA area – check overlap; ","")&amp;IF(AND(E105&lt;&gt;"Y",F105&lt;&gt;"Y",J105&lt;&gt;"Y"),"No realm assigned; ",""))</f>
        <v/>
      </c>
    </row>
    <row r="106">
      <c r="A106" s="12" t="n"/>
      <c r="B106" s="12" t="n"/>
      <c r="C106" s="14" t="n"/>
      <c r="D106" s="34" t="n"/>
      <c r="E106" s="12" t="n"/>
      <c r="F106" s="12" t="n"/>
      <c r="G106" s="12" t="n"/>
      <c r="H106" s="14" t="n"/>
      <c r="I106" s="14" t="n"/>
      <c r="J106" s="30">
        <f>IF(C106="","",IF(N(D106)&gt;=Setup!$B$22,"Y","N"))</f>
        <v/>
      </c>
      <c r="K106" s="25">
        <f>IF(C106="","",N(H106)+N(I106))</f>
        <v/>
      </c>
      <c r="L106" s="26">
        <f>IF(N(C106)&gt;0,MIN(1,K106/C106),"")</f>
        <v/>
      </c>
      <c r="M106" s="26">
        <f>IF(N(C106)&gt;0,MIN(1,N(H106)/C106),"")</f>
        <v/>
      </c>
      <c r="N106" s="26">
        <f>IF(L106="","",L106-M106)</f>
        <v/>
      </c>
      <c r="O106" s="30">
        <f>IF(L106="","",IF(L106&gt;=Setup!$B$23,"Complete",IF(L106&gt;0,"Partial","None")))</f>
        <v/>
      </c>
      <c r="P106" s="30">
        <f>IF(C106="","",IF(K106&gt;C106*1.01,"Covered area &gt; KBA area – check overlap; ","")&amp;IF(AND(E106&lt;&gt;"Y",F106&lt;&gt;"Y",J106&lt;&gt;"Y"),"No realm assigned; ",""))</f>
        <v/>
      </c>
    </row>
    <row r="107">
      <c r="A107" s="12" t="n"/>
      <c r="B107" s="12" t="n"/>
      <c r="C107" s="14" t="n"/>
      <c r="D107" s="34" t="n"/>
      <c r="E107" s="12" t="n"/>
      <c r="F107" s="12" t="n"/>
      <c r="G107" s="12" t="n"/>
      <c r="H107" s="14" t="n"/>
      <c r="I107" s="14" t="n"/>
      <c r="J107" s="30">
        <f>IF(C107="","",IF(N(D107)&gt;=Setup!$B$22,"Y","N"))</f>
        <v/>
      </c>
      <c r="K107" s="25">
        <f>IF(C107="","",N(H107)+N(I107))</f>
        <v/>
      </c>
      <c r="L107" s="26">
        <f>IF(N(C107)&gt;0,MIN(1,K107/C107),"")</f>
        <v/>
      </c>
      <c r="M107" s="26">
        <f>IF(N(C107)&gt;0,MIN(1,N(H107)/C107),"")</f>
        <v/>
      </c>
      <c r="N107" s="26">
        <f>IF(L107="","",L107-M107)</f>
        <v/>
      </c>
      <c r="O107" s="30">
        <f>IF(L107="","",IF(L107&gt;=Setup!$B$23,"Complete",IF(L107&gt;0,"Partial","None")))</f>
        <v/>
      </c>
      <c r="P107" s="30">
        <f>IF(C107="","",IF(K107&gt;C107*1.01,"Covered area &gt; KBA area – check overlap; ","")&amp;IF(AND(E107&lt;&gt;"Y",F107&lt;&gt;"Y",J107&lt;&gt;"Y"),"No realm assigned; ",""))</f>
        <v/>
      </c>
    </row>
    <row r="108">
      <c r="A108" s="12" t="n"/>
      <c r="B108" s="12" t="n"/>
      <c r="C108" s="14" t="n"/>
      <c r="D108" s="34" t="n"/>
      <c r="E108" s="12" t="n"/>
      <c r="F108" s="12" t="n"/>
      <c r="G108" s="12" t="n"/>
      <c r="H108" s="14" t="n"/>
      <c r="I108" s="14" t="n"/>
      <c r="J108" s="30">
        <f>IF(C108="","",IF(N(D108)&gt;=Setup!$B$22,"Y","N"))</f>
        <v/>
      </c>
      <c r="K108" s="25">
        <f>IF(C108="","",N(H108)+N(I108))</f>
        <v/>
      </c>
      <c r="L108" s="26">
        <f>IF(N(C108)&gt;0,MIN(1,K108/C108),"")</f>
        <v/>
      </c>
      <c r="M108" s="26">
        <f>IF(N(C108)&gt;0,MIN(1,N(H108)/C108),"")</f>
        <v/>
      </c>
      <c r="N108" s="26">
        <f>IF(L108="","",L108-M108)</f>
        <v/>
      </c>
      <c r="O108" s="30">
        <f>IF(L108="","",IF(L108&gt;=Setup!$B$23,"Complete",IF(L108&gt;0,"Partial","None")))</f>
        <v/>
      </c>
      <c r="P108" s="30">
        <f>IF(C108="","",IF(K108&gt;C108*1.01,"Covered area &gt; KBA area – check overlap; ","")&amp;IF(AND(E108&lt;&gt;"Y",F108&lt;&gt;"Y",J108&lt;&gt;"Y"),"No realm assigned; ",""))</f>
        <v/>
      </c>
    </row>
    <row r="109">
      <c r="A109" s="12" t="n"/>
      <c r="B109" s="12" t="n"/>
      <c r="C109" s="14" t="n"/>
      <c r="D109" s="34" t="n"/>
      <c r="E109" s="12" t="n"/>
      <c r="F109" s="12" t="n"/>
      <c r="G109" s="12" t="n"/>
      <c r="H109" s="14" t="n"/>
      <c r="I109" s="14" t="n"/>
      <c r="J109" s="30">
        <f>IF(C109="","",IF(N(D109)&gt;=Setup!$B$22,"Y","N"))</f>
        <v/>
      </c>
      <c r="K109" s="25">
        <f>IF(C109="","",N(H109)+N(I109))</f>
        <v/>
      </c>
      <c r="L109" s="26">
        <f>IF(N(C109)&gt;0,MIN(1,K109/C109),"")</f>
        <v/>
      </c>
      <c r="M109" s="26">
        <f>IF(N(C109)&gt;0,MIN(1,N(H109)/C109),"")</f>
        <v/>
      </c>
      <c r="N109" s="26">
        <f>IF(L109="","",L109-M109)</f>
        <v/>
      </c>
      <c r="O109" s="30">
        <f>IF(L109="","",IF(L109&gt;=Setup!$B$23,"Complete",IF(L109&gt;0,"Partial","None")))</f>
        <v/>
      </c>
      <c r="P109" s="30">
        <f>IF(C109="","",IF(K109&gt;C109*1.01,"Covered area &gt; KBA area – check overlap; ","")&amp;IF(AND(E109&lt;&gt;"Y",F109&lt;&gt;"Y",J109&lt;&gt;"Y"),"No realm assigned; ",""))</f>
        <v/>
      </c>
    </row>
    <row r="110">
      <c r="A110" s="12" t="n"/>
      <c r="B110" s="12" t="n"/>
      <c r="C110" s="14" t="n"/>
      <c r="D110" s="34" t="n"/>
      <c r="E110" s="12" t="n"/>
      <c r="F110" s="12" t="n"/>
      <c r="G110" s="12" t="n"/>
      <c r="H110" s="14" t="n"/>
      <c r="I110" s="14" t="n"/>
      <c r="J110" s="30">
        <f>IF(C110="","",IF(N(D110)&gt;=Setup!$B$22,"Y","N"))</f>
        <v/>
      </c>
      <c r="K110" s="25">
        <f>IF(C110="","",N(H110)+N(I110))</f>
        <v/>
      </c>
      <c r="L110" s="26">
        <f>IF(N(C110)&gt;0,MIN(1,K110/C110),"")</f>
        <v/>
      </c>
      <c r="M110" s="26">
        <f>IF(N(C110)&gt;0,MIN(1,N(H110)/C110),"")</f>
        <v/>
      </c>
      <c r="N110" s="26">
        <f>IF(L110="","",L110-M110)</f>
        <v/>
      </c>
      <c r="O110" s="30">
        <f>IF(L110="","",IF(L110&gt;=Setup!$B$23,"Complete",IF(L110&gt;0,"Partial","None")))</f>
        <v/>
      </c>
      <c r="P110" s="30">
        <f>IF(C110="","",IF(K110&gt;C110*1.01,"Covered area &gt; KBA area – check overlap; ","")&amp;IF(AND(E110&lt;&gt;"Y",F110&lt;&gt;"Y",J110&lt;&gt;"Y"),"No realm assigned; ",""))</f>
        <v/>
      </c>
    </row>
    <row r="111">
      <c r="A111" s="12" t="n"/>
      <c r="B111" s="12" t="n"/>
      <c r="C111" s="14" t="n"/>
      <c r="D111" s="34" t="n"/>
      <c r="E111" s="12" t="n"/>
      <c r="F111" s="12" t="n"/>
      <c r="G111" s="12" t="n"/>
      <c r="H111" s="14" t="n"/>
      <c r="I111" s="14" t="n"/>
      <c r="J111" s="30">
        <f>IF(C111="","",IF(N(D111)&gt;=Setup!$B$22,"Y","N"))</f>
        <v/>
      </c>
      <c r="K111" s="25">
        <f>IF(C111="","",N(H111)+N(I111))</f>
        <v/>
      </c>
      <c r="L111" s="26">
        <f>IF(N(C111)&gt;0,MIN(1,K111/C111),"")</f>
        <v/>
      </c>
      <c r="M111" s="26">
        <f>IF(N(C111)&gt;0,MIN(1,N(H111)/C111),"")</f>
        <v/>
      </c>
      <c r="N111" s="26">
        <f>IF(L111="","",L111-M111)</f>
        <v/>
      </c>
      <c r="O111" s="30">
        <f>IF(L111="","",IF(L111&gt;=Setup!$B$23,"Complete",IF(L111&gt;0,"Partial","None")))</f>
        <v/>
      </c>
      <c r="P111" s="30">
        <f>IF(C111="","",IF(K111&gt;C111*1.01,"Covered area &gt; KBA area – check overlap; ","")&amp;IF(AND(E111&lt;&gt;"Y",F111&lt;&gt;"Y",J111&lt;&gt;"Y"),"No realm assigned; ",""))</f>
        <v/>
      </c>
    </row>
    <row r="112">
      <c r="A112" s="12" t="n"/>
      <c r="B112" s="12" t="n"/>
      <c r="C112" s="14" t="n"/>
      <c r="D112" s="34" t="n"/>
      <c r="E112" s="12" t="n"/>
      <c r="F112" s="12" t="n"/>
      <c r="G112" s="12" t="n"/>
      <c r="H112" s="14" t="n"/>
      <c r="I112" s="14" t="n"/>
      <c r="J112" s="30">
        <f>IF(C112="","",IF(N(D112)&gt;=Setup!$B$22,"Y","N"))</f>
        <v/>
      </c>
      <c r="K112" s="25">
        <f>IF(C112="","",N(H112)+N(I112))</f>
        <v/>
      </c>
      <c r="L112" s="26">
        <f>IF(N(C112)&gt;0,MIN(1,K112/C112),"")</f>
        <v/>
      </c>
      <c r="M112" s="26">
        <f>IF(N(C112)&gt;0,MIN(1,N(H112)/C112),"")</f>
        <v/>
      </c>
      <c r="N112" s="26">
        <f>IF(L112="","",L112-M112)</f>
        <v/>
      </c>
      <c r="O112" s="30">
        <f>IF(L112="","",IF(L112&gt;=Setup!$B$23,"Complete",IF(L112&gt;0,"Partial","None")))</f>
        <v/>
      </c>
      <c r="P112" s="30">
        <f>IF(C112="","",IF(K112&gt;C112*1.01,"Covered area &gt; KBA area – check overlap; ","")&amp;IF(AND(E112&lt;&gt;"Y",F112&lt;&gt;"Y",J112&lt;&gt;"Y"),"No realm assigned; ",""))</f>
        <v/>
      </c>
    </row>
    <row r="113">
      <c r="A113" s="12" t="n"/>
      <c r="B113" s="12" t="n"/>
      <c r="C113" s="14" t="n"/>
      <c r="D113" s="34" t="n"/>
      <c r="E113" s="12" t="n"/>
      <c r="F113" s="12" t="n"/>
      <c r="G113" s="12" t="n"/>
      <c r="H113" s="14" t="n"/>
      <c r="I113" s="14" t="n"/>
      <c r="J113" s="30">
        <f>IF(C113="","",IF(N(D113)&gt;=Setup!$B$22,"Y","N"))</f>
        <v/>
      </c>
      <c r="K113" s="25">
        <f>IF(C113="","",N(H113)+N(I113))</f>
        <v/>
      </c>
      <c r="L113" s="26">
        <f>IF(N(C113)&gt;0,MIN(1,K113/C113),"")</f>
        <v/>
      </c>
      <c r="M113" s="26">
        <f>IF(N(C113)&gt;0,MIN(1,N(H113)/C113),"")</f>
        <v/>
      </c>
      <c r="N113" s="26">
        <f>IF(L113="","",L113-M113)</f>
        <v/>
      </c>
      <c r="O113" s="30">
        <f>IF(L113="","",IF(L113&gt;=Setup!$B$23,"Complete",IF(L113&gt;0,"Partial","None")))</f>
        <v/>
      </c>
      <c r="P113" s="30">
        <f>IF(C113="","",IF(K113&gt;C113*1.01,"Covered area &gt; KBA area – check overlap; ","")&amp;IF(AND(E113&lt;&gt;"Y",F113&lt;&gt;"Y",J113&lt;&gt;"Y"),"No realm assigned; ",""))</f>
        <v/>
      </c>
    </row>
    <row r="114">
      <c r="A114" s="12" t="n"/>
      <c r="B114" s="12" t="n"/>
      <c r="C114" s="14" t="n"/>
      <c r="D114" s="34" t="n"/>
      <c r="E114" s="12" t="n"/>
      <c r="F114" s="12" t="n"/>
      <c r="G114" s="12" t="n"/>
      <c r="H114" s="14" t="n"/>
      <c r="I114" s="14" t="n"/>
      <c r="J114" s="30">
        <f>IF(C114="","",IF(N(D114)&gt;=Setup!$B$22,"Y","N"))</f>
        <v/>
      </c>
      <c r="K114" s="25">
        <f>IF(C114="","",N(H114)+N(I114))</f>
        <v/>
      </c>
      <c r="L114" s="26">
        <f>IF(N(C114)&gt;0,MIN(1,K114/C114),"")</f>
        <v/>
      </c>
      <c r="M114" s="26">
        <f>IF(N(C114)&gt;0,MIN(1,N(H114)/C114),"")</f>
        <v/>
      </c>
      <c r="N114" s="26">
        <f>IF(L114="","",L114-M114)</f>
        <v/>
      </c>
      <c r="O114" s="30">
        <f>IF(L114="","",IF(L114&gt;=Setup!$B$23,"Complete",IF(L114&gt;0,"Partial","None")))</f>
        <v/>
      </c>
      <c r="P114" s="30">
        <f>IF(C114="","",IF(K114&gt;C114*1.01,"Covered area &gt; KBA area – check overlap; ","")&amp;IF(AND(E114&lt;&gt;"Y",F114&lt;&gt;"Y",J114&lt;&gt;"Y"),"No realm assigned; ",""))</f>
        <v/>
      </c>
    </row>
    <row r="115">
      <c r="A115" s="12" t="n"/>
      <c r="B115" s="12" t="n"/>
      <c r="C115" s="14" t="n"/>
      <c r="D115" s="34" t="n"/>
      <c r="E115" s="12" t="n"/>
      <c r="F115" s="12" t="n"/>
      <c r="G115" s="12" t="n"/>
      <c r="H115" s="14" t="n"/>
      <c r="I115" s="14" t="n"/>
      <c r="J115" s="30">
        <f>IF(C115="","",IF(N(D115)&gt;=Setup!$B$22,"Y","N"))</f>
        <v/>
      </c>
      <c r="K115" s="25">
        <f>IF(C115="","",N(H115)+N(I115))</f>
        <v/>
      </c>
      <c r="L115" s="26">
        <f>IF(N(C115)&gt;0,MIN(1,K115/C115),"")</f>
        <v/>
      </c>
      <c r="M115" s="26">
        <f>IF(N(C115)&gt;0,MIN(1,N(H115)/C115),"")</f>
        <v/>
      </c>
      <c r="N115" s="26">
        <f>IF(L115="","",L115-M115)</f>
        <v/>
      </c>
      <c r="O115" s="30">
        <f>IF(L115="","",IF(L115&gt;=Setup!$B$23,"Complete",IF(L115&gt;0,"Partial","None")))</f>
        <v/>
      </c>
      <c r="P115" s="30">
        <f>IF(C115="","",IF(K115&gt;C115*1.01,"Covered area &gt; KBA area – check overlap; ","")&amp;IF(AND(E115&lt;&gt;"Y",F115&lt;&gt;"Y",J115&lt;&gt;"Y"),"No realm assigned; ",""))</f>
        <v/>
      </c>
    </row>
    <row r="116">
      <c r="A116" s="12" t="n"/>
      <c r="B116" s="12" t="n"/>
      <c r="C116" s="14" t="n"/>
      <c r="D116" s="34" t="n"/>
      <c r="E116" s="12" t="n"/>
      <c r="F116" s="12" t="n"/>
      <c r="G116" s="12" t="n"/>
      <c r="H116" s="14" t="n"/>
      <c r="I116" s="14" t="n"/>
      <c r="J116" s="30">
        <f>IF(C116="","",IF(N(D116)&gt;=Setup!$B$22,"Y","N"))</f>
        <v/>
      </c>
      <c r="K116" s="25">
        <f>IF(C116="","",N(H116)+N(I116))</f>
        <v/>
      </c>
      <c r="L116" s="26">
        <f>IF(N(C116)&gt;0,MIN(1,K116/C116),"")</f>
        <v/>
      </c>
      <c r="M116" s="26">
        <f>IF(N(C116)&gt;0,MIN(1,N(H116)/C116),"")</f>
        <v/>
      </c>
      <c r="N116" s="26">
        <f>IF(L116="","",L116-M116)</f>
        <v/>
      </c>
      <c r="O116" s="30">
        <f>IF(L116="","",IF(L116&gt;=Setup!$B$23,"Complete",IF(L116&gt;0,"Partial","None")))</f>
        <v/>
      </c>
      <c r="P116" s="30">
        <f>IF(C116="","",IF(K116&gt;C116*1.01,"Covered area &gt; KBA area – check overlap; ","")&amp;IF(AND(E116&lt;&gt;"Y",F116&lt;&gt;"Y",J116&lt;&gt;"Y"),"No realm assigned; ",""))</f>
        <v/>
      </c>
    </row>
    <row r="117">
      <c r="A117" s="12" t="n"/>
      <c r="B117" s="12" t="n"/>
      <c r="C117" s="14" t="n"/>
      <c r="D117" s="34" t="n"/>
      <c r="E117" s="12" t="n"/>
      <c r="F117" s="12" t="n"/>
      <c r="G117" s="12" t="n"/>
      <c r="H117" s="14" t="n"/>
      <c r="I117" s="14" t="n"/>
      <c r="J117" s="30">
        <f>IF(C117="","",IF(N(D117)&gt;=Setup!$B$22,"Y","N"))</f>
        <v/>
      </c>
      <c r="K117" s="25">
        <f>IF(C117="","",N(H117)+N(I117))</f>
        <v/>
      </c>
      <c r="L117" s="26">
        <f>IF(N(C117)&gt;0,MIN(1,K117/C117),"")</f>
        <v/>
      </c>
      <c r="M117" s="26">
        <f>IF(N(C117)&gt;0,MIN(1,N(H117)/C117),"")</f>
        <v/>
      </c>
      <c r="N117" s="26">
        <f>IF(L117="","",L117-M117)</f>
        <v/>
      </c>
      <c r="O117" s="30">
        <f>IF(L117="","",IF(L117&gt;=Setup!$B$23,"Complete",IF(L117&gt;0,"Partial","None")))</f>
        <v/>
      </c>
      <c r="P117" s="30">
        <f>IF(C117="","",IF(K117&gt;C117*1.01,"Covered area &gt; KBA area – check overlap; ","")&amp;IF(AND(E117&lt;&gt;"Y",F117&lt;&gt;"Y",J117&lt;&gt;"Y"),"No realm assigned; ",""))</f>
        <v/>
      </c>
    </row>
    <row r="118">
      <c r="A118" s="12" t="n"/>
      <c r="B118" s="12" t="n"/>
      <c r="C118" s="14" t="n"/>
      <c r="D118" s="34" t="n"/>
      <c r="E118" s="12" t="n"/>
      <c r="F118" s="12" t="n"/>
      <c r="G118" s="12" t="n"/>
      <c r="H118" s="14" t="n"/>
      <c r="I118" s="14" t="n"/>
      <c r="J118" s="30">
        <f>IF(C118="","",IF(N(D118)&gt;=Setup!$B$22,"Y","N"))</f>
        <v/>
      </c>
      <c r="K118" s="25">
        <f>IF(C118="","",N(H118)+N(I118))</f>
        <v/>
      </c>
      <c r="L118" s="26">
        <f>IF(N(C118)&gt;0,MIN(1,K118/C118),"")</f>
        <v/>
      </c>
      <c r="M118" s="26">
        <f>IF(N(C118)&gt;0,MIN(1,N(H118)/C118),"")</f>
        <v/>
      </c>
      <c r="N118" s="26">
        <f>IF(L118="","",L118-M118)</f>
        <v/>
      </c>
      <c r="O118" s="30">
        <f>IF(L118="","",IF(L118&gt;=Setup!$B$23,"Complete",IF(L118&gt;0,"Partial","None")))</f>
        <v/>
      </c>
      <c r="P118" s="30">
        <f>IF(C118="","",IF(K118&gt;C118*1.01,"Covered area &gt; KBA area – check overlap; ","")&amp;IF(AND(E118&lt;&gt;"Y",F118&lt;&gt;"Y",J118&lt;&gt;"Y"),"No realm assigned; ",""))</f>
        <v/>
      </c>
    </row>
    <row r="119">
      <c r="A119" s="12" t="n"/>
      <c r="B119" s="12" t="n"/>
      <c r="C119" s="14" t="n"/>
      <c r="D119" s="34" t="n"/>
      <c r="E119" s="12" t="n"/>
      <c r="F119" s="12" t="n"/>
      <c r="G119" s="12" t="n"/>
      <c r="H119" s="14" t="n"/>
      <c r="I119" s="14" t="n"/>
      <c r="J119" s="30">
        <f>IF(C119="","",IF(N(D119)&gt;=Setup!$B$22,"Y","N"))</f>
        <v/>
      </c>
      <c r="K119" s="25">
        <f>IF(C119="","",N(H119)+N(I119))</f>
        <v/>
      </c>
      <c r="L119" s="26">
        <f>IF(N(C119)&gt;0,MIN(1,K119/C119),"")</f>
        <v/>
      </c>
      <c r="M119" s="26">
        <f>IF(N(C119)&gt;0,MIN(1,N(H119)/C119),"")</f>
        <v/>
      </c>
      <c r="N119" s="26">
        <f>IF(L119="","",L119-M119)</f>
        <v/>
      </c>
      <c r="O119" s="30">
        <f>IF(L119="","",IF(L119&gt;=Setup!$B$23,"Complete",IF(L119&gt;0,"Partial","None")))</f>
        <v/>
      </c>
      <c r="P119" s="30">
        <f>IF(C119="","",IF(K119&gt;C119*1.01,"Covered area &gt; KBA area – check overlap; ","")&amp;IF(AND(E119&lt;&gt;"Y",F119&lt;&gt;"Y",J119&lt;&gt;"Y"),"No realm assigned; ",""))</f>
        <v/>
      </c>
    </row>
    <row r="120">
      <c r="A120" s="12" t="n"/>
      <c r="B120" s="12" t="n"/>
      <c r="C120" s="14" t="n"/>
      <c r="D120" s="34" t="n"/>
      <c r="E120" s="12" t="n"/>
      <c r="F120" s="12" t="n"/>
      <c r="G120" s="12" t="n"/>
      <c r="H120" s="14" t="n"/>
      <c r="I120" s="14" t="n"/>
      <c r="J120" s="30">
        <f>IF(C120="","",IF(N(D120)&gt;=Setup!$B$22,"Y","N"))</f>
        <v/>
      </c>
      <c r="K120" s="25">
        <f>IF(C120="","",N(H120)+N(I120))</f>
        <v/>
      </c>
      <c r="L120" s="26">
        <f>IF(N(C120)&gt;0,MIN(1,K120/C120),"")</f>
        <v/>
      </c>
      <c r="M120" s="26">
        <f>IF(N(C120)&gt;0,MIN(1,N(H120)/C120),"")</f>
        <v/>
      </c>
      <c r="N120" s="26">
        <f>IF(L120="","",L120-M120)</f>
        <v/>
      </c>
      <c r="O120" s="30">
        <f>IF(L120="","",IF(L120&gt;=Setup!$B$23,"Complete",IF(L120&gt;0,"Partial","None")))</f>
        <v/>
      </c>
      <c r="P120" s="30">
        <f>IF(C120="","",IF(K120&gt;C120*1.01,"Covered area &gt; KBA area – check overlap; ","")&amp;IF(AND(E120&lt;&gt;"Y",F120&lt;&gt;"Y",J120&lt;&gt;"Y"),"No realm assigned; ",""))</f>
        <v/>
      </c>
    </row>
    <row r="121">
      <c r="A121" s="12" t="n"/>
      <c r="B121" s="12" t="n"/>
      <c r="C121" s="14" t="n"/>
      <c r="D121" s="34" t="n"/>
      <c r="E121" s="12" t="n"/>
      <c r="F121" s="12" t="n"/>
      <c r="G121" s="12" t="n"/>
      <c r="H121" s="14" t="n"/>
      <c r="I121" s="14" t="n"/>
      <c r="J121" s="30">
        <f>IF(C121="","",IF(N(D121)&gt;=Setup!$B$22,"Y","N"))</f>
        <v/>
      </c>
      <c r="K121" s="25">
        <f>IF(C121="","",N(H121)+N(I121))</f>
        <v/>
      </c>
      <c r="L121" s="26">
        <f>IF(N(C121)&gt;0,MIN(1,K121/C121),"")</f>
        <v/>
      </c>
      <c r="M121" s="26">
        <f>IF(N(C121)&gt;0,MIN(1,N(H121)/C121),"")</f>
        <v/>
      </c>
      <c r="N121" s="26">
        <f>IF(L121="","",L121-M121)</f>
        <v/>
      </c>
      <c r="O121" s="30">
        <f>IF(L121="","",IF(L121&gt;=Setup!$B$23,"Complete",IF(L121&gt;0,"Partial","None")))</f>
        <v/>
      </c>
      <c r="P121" s="30">
        <f>IF(C121="","",IF(K121&gt;C121*1.01,"Covered area &gt; KBA area – check overlap; ","")&amp;IF(AND(E121&lt;&gt;"Y",F121&lt;&gt;"Y",J121&lt;&gt;"Y"),"No realm assigned; ",""))</f>
        <v/>
      </c>
    </row>
    <row r="122">
      <c r="A122" s="12" t="n"/>
      <c r="B122" s="12" t="n"/>
      <c r="C122" s="14" t="n"/>
      <c r="D122" s="34" t="n"/>
      <c r="E122" s="12" t="n"/>
      <c r="F122" s="12" t="n"/>
      <c r="G122" s="12" t="n"/>
      <c r="H122" s="14" t="n"/>
      <c r="I122" s="14" t="n"/>
      <c r="J122" s="30">
        <f>IF(C122="","",IF(N(D122)&gt;=Setup!$B$22,"Y","N"))</f>
        <v/>
      </c>
      <c r="K122" s="25">
        <f>IF(C122="","",N(H122)+N(I122))</f>
        <v/>
      </c>
      <c r="L122" s="26">
        <f>IF(N(C122)&gt;0,MIN(1,K122/C122),"")</f>
        <v/>
      </c>
      <c r="M122" s="26">
        <f>IF(N(C122)&gt;0,MIN(1,N(H122)/C122),"")</f>
        <v/>
      </c>
      <c r="N122" s="26">
        <f>IF(L122="","",L122-M122)</f>
        <v/>
      </c>
      <c r="O122" s="30">
        <f>IF(L122="","",IF(L122&gt;=Setup!$B$23,"Complete",IF(L122&gt;0,"Partial","None")))</f>
        <v/>
      </c>
      <c r="P122" s="30">
        <f>IF(C122="","",IF(K122&gt;C122*1.01,"Covered area &gt; KBA area – check overlap; ","")&amp;IF(AND(E122&lt;&gt;"Y",F122&lt;&gt;"Y",J122&lt;&gt;"Y"),"No realm assigned; ",""))</f>
        <v/>
      </c>
    </row>
    <row r="123">
      <c r="A123" s="12" t="n"/>
      <c r="B123" s="12" t="n"/>
      <c r="C123" s="14" t="n"/>
      <c r="D123" s="34" t="n"/>
      <c r="E123" s="12" t="n"/>
      <c r="F123" s="12" t="n"/>
      <c r="G123" s="12" t="n"/>
      <c r="H123" s="14" t="n"/>
      <c r="I123" s="14" t="n"/>
      <c r="J123" s="30">
        <f>IF(C123="","",IF(N(D123)&gt;=Setup!$B$22,"Y","N"))</f>
        <v/>
      </c>
      <c r="K123" s="25">
        <f>IF(C123="","",N(H123)+N(I123))</f>
        <v/>
      </c>
      <c r="L123" s="26">
        <f>IF(N(C123)&gt;0,MIN(1,K123/C123),"")</f>
        <v/>
      </c>
      <c r="M123" s="26">
        <f>IF(N(C123)&gt;0,MIN(1,N(H123)/C123),"")</f>
        <v/>
      </c>
      <c r="N123" s="26">
        <f>IF(L123="","",L123-M123)</f>
        <v/>
      </c>
      <c r="O123" s="30">
        <f>IF(L123="","",IF(L123&gt;=Setup!$B$23,"Complete",IF(L123&gt;0,"Partial","None")))</f>
        <v/>
      </c>
      <c r="P123" s="30">
        <f>IF(C123="","",IF(K123&gt;C123*1.01,"Covered area &gt; KBA area – check overlap; ","")&amp;IF(AND(E123&lt;&gt;"Y",F123&lt;&gt;"Y",J123&lt;&gt;"Y"),"No realm assigned; ",""))</f>
        <v/>
      </c>
    </row>
    <row r="124">
      <c r="A124" s="12" t="n"/>
      <c r="B124" s="12" t="n"/>
      <c r="C124" s="14" t="n"/>
      <c r="D124" s="34" t="n"/>
      <c r="E124" s="12" t="n"/>
      <c r="F124" s="12" t="n"/>
      <c r="G124" s="12" t="n"/>
      <c r="H124" s="14" t="n"/>
      <c r="I124" s="14" t="n"/>
      <c r="J124" s="30">
        <f>IF(C124="","",IF(N(D124)&gt;=Setup!$B$22,"Y","N"))</f>
        <v/>
      </c>
      <c r="K124" s="25">
        <f>IF(C124="","",N(H124)+N(I124))</f>
        <v/>
      </c>
      <c r="L124" s="26">
        <f>IF(N(C124)&gt;0,MIN(1,K124/C124),"")</f>
        <v/>
      </c>
      <c r="M124" s="26">
        <f>IF(N(C124)&gt;0,MIN(1,N(H124)/C124),"")</f>
        <v/>
      </c>
      <c r="N124" s="26">
        <f>IF(L124="","",L124-M124)</f>
        <v/>
      </c>
      <c r="O124" s="30">
        <f>IF(L124="","",IF(L124&gt;=Setup!$B$23,"Complete",IF(L124&gt;0,"Partial","None")))</f>
        <v/>
      </c>
      <c r="P124" s="30">
        <f>IF(C124="","",IF(K124&gt;C124*1.01,"Covered area &gt; KBA area – check overlap; ","")&amp;IF(AND(E124&lt;&gt;"Y",F124&lt;&gt;"Y",J124&lt;&gt;"Y"),"No realm assigned; ",""))</f>
        <v/>
      </c>
    </row>
    <row r="125">
      <c r="A125" s="12" t="n"/>
      <c r="B125" s="12" t="n"/>
      <c r="C125" s="14" t="n"/>
      <c r="D125" s="34" t="n"/>
      <c r="E125" s="12" t="n"/>
      <c r="F125" s="12" t="n"/>
      <c r="G125" s="12" t="n"/>
      <c r="H125" s="14" t="n"/>
      <c r="I125" s="14" t="n"/>
      <c r="J125" s="30">
        <f>IF(C125="","",IF(N(D125)&gt;=Setup!$B$22,"Y","N"))</f>
        <v/>
      </c>
      <c r="K125" s="25">
        <f>IF(C125="","",N(H125)+N(I125))</f>
        <v/>
      </c>
      <c r="L125" s="26">
        <f>IF(N(C125)&gt;0,MIN(1,K125/C125),"")</f>
        <v/>
      </c>
      <c r="M125" s="26">
        <f>IF(N(C125)&gt;0,MIN(1,N(H125)/C125),"")</f>
        <v/>
      </c>
      <c r="N125" s="26">
        <f>IF(L125="","",L125-M125)</f>
        <v/>
      </c>
      <c r="O125" s="30">
        <f>IF(L125="","",IF(L125&gt;=Setup!$B$23,"Complete",IF(L125&gt;0,"Partial","None")))</f>
        <v/>
      </c>
      <c r="P125" s="30">
        <f>IF(C125="","",IF(K125&gt;C125*1.01,"Covered area &gt; KBA area – check overlap; ","")&amp;IF(AND(E125&lt;&gt;"Y",F125&lt;&gt;"Y",J125&lt;&gt;"Y"),"No realm assigned; ",""))</f>
        <v/>
      </c>
    </row>
    <row r="126">
      <c r="A126" s="12" t="n"/>
      <c r="B126" s="12" t="n"/>
      <c r="C126" s="14" t="n"/>
      <c r="D126" s="34" t="n"/>
      <c r="E126" s="12" t="n"/>
      <c r="F126" s="12" t="n"/>
      <c r="G126" s="12" t="n"/>
      <c r="H126" s="14" t="n"/>
      <c r="I126" s="14" t="n"/>
      <c r="J126" s="30">
        <f>IF(C126="","",IF(N(D126)&gt;=Setup!$B$22,"Y","N"))</f>
        <v/>
      </c>
      <c r="K126" s="25">
        <f>IF(C126="","",N(H126)+N(I126))</f>
        <v/>
      </c>
      <c r="L126" s="26">
        <f>IF(N(C126)&gt;0,MIN(1,K126/C126),"")</f>
        <v/>
      </c>
      <c r="M126" s="26">
        <f>IF(N(C126)&gt;0,MIN(1,N(H126)/C126),"")</f>
        <v/>
      </c>
      <c r="N126" s="26">
        <f>IF(L126="","",L126-M126)</f>
        <v/>
      </c>
      <c r="O126" s="30">
        <f>IF(L126="","",IF(L126&gt;=Setup!$B$23,"Complete",IF(L126&gt;0,"Partial","None")))</f>
        <v/>
      </c>
      <c r="P126" s="30">
        <f>IF(C126="","",IF(K126&gt;C126*1.01,"Covered area &gt; KBA area – check overlap; ","")&amp;IF(AND(E126&lt;&gt;"Y",F126&lt;&gt;"Y",J126&lt;&gt;"Y"),"No realm assigned; ",""))</f>
        <v/>
      </c>
    </row>
    <row r="127">
      <c r="A127" s="12" t="n"/>
      <c r="B127" s="12" t="n"/>
      <c r="C127" s="14" t="n"/>
      <c r="D127" s="34" t="n"/>
      <c r="E127" s="12" t="n"/>
      <c r="F127" s="12" t="n"/>
      <c r="G127" s="12" t="n"/>
      <c r="H127" s="14" t="n"/>
      <c r="I127" s="14" t="n"/>
      <c r="J127" s="30">
        <f>IF(C127="","",IF(N(D127)&gt;=Setup!$B$22,"Y","N"))</f>
        <v/>
      </c>
      <c r="K127" s="25">
        <f>IF(C127="","",N(H127)+N(I127))</f>
        <v/>
      </c>
      <c r="L127" s="26">
        <f>IF(N(C127)&gt;0,MIN(1,K127/C127),"")</f>
        <v/>
      </c>
      <c r="M127" s="26">
        <f>IF(N(C127)&gt;0,MIN(1,N(H127)/C127),"")</f>
        <v/>
      </c>
      <c r="N127" s="26">
        <f>IF(L127="","",L127-M127)</f>
        <v/>
      </c>
      <c r="O127" s="30">
        <f>IF(L127="","",IF(L127&gt;=Setup!$B$23,"Complete",IF(L127&gt;0,"Partial","None")))</f>
        <v/>
      </c>
      <c r="P127" s="30">
        <f>IF(C127="","",IF(K127&gt;C127*1.01,"Covered area &gt; KBA area – check overlap; ","")&amp;IF(AND(E127&lt;&gt;"Y",F127&lt;&gt;"Y",J127&lt;&gt;"Y"),"No realm assigned; ",""))</f>
        <v/>
      </c>
    </row>
    <row r="128">
      <c r="A128" s="12" t="n"/>
      <c r="B128" s="12" t="n"/>
      <c r="C128" s="14" t="n"/>
      <c r="D128" s="34" t="n"/>
      <c r="E128" s="12" t="n"/>
      <c r="F128" s="12" t="n"/>
      <c r="G128" s="12" t="n"/>
      <c r="H128" s="14" t="n"/>
      <c r="I128" s="14" t="n"/>
      <c r="J128" s="30">
        <f>IF(C128="","",IF(N(D128)&gt;=Setup!$B$22,"Y","N"))</f>
        <v/>
      </c>
      <c r="K128" s="25">
        <f>IF(C128="","",N(H128)+N(I128))</f>
        <v/>
      </c>
      <c r="L128" s="26">
        <f>IF(N(C128)&gt;0,MIN(1,K128/C128),"")</f>
        <v/>
      </c>
      <c r="M128" s="26">
        <f>IF(N(C128)&gt;0,MIN(1,N(H128)/C128),"")</f>
        <v/>
      </c>
      <c r="N128" s="26">
        <f>IF(L128="","",L128-M128)</f>
        <v/>
      </c>
      <c r="O128" s="30">
        <f>IF(L128="","",IF(L128&gt;=Setup!$B$23,"Complete",IF(L128&gt;0,"Partial","None")))</f>
        <v/>
      </c>
      <c r="P128" s="30">
        <f>IF(C128="","",IF(K128&gt;C128*1.01,"Covered area &gt; KBA area – check overlap; ","")&amp;IF(AND(E128&lt;&gt;"Y",F128&lt;&gt;"Y",J128&lt;&gt;"Y"),"No realm assigned; ",""))</f>
        <v/>
      </c>
    </row>
    <row r="129">
      <c r="A129" s="12" t="n"/>
      <c r="B129" s="12" t="n"/>
      <c r="C129" s="14" t="n"/>
      <c r="D129" s="34" t="n"/>
      <c r="E129" s="12" t="n"/>
      <c r="F129" s="12" t="n"/>
      <c r="G129" s="12" t="n"/>
      <c r="H129" s="14" t="n"/>
      <c r="I129" s="14" t="n"/>
      <c r="J129" s="30">
        <f>IF(C129="","",IF(N(D129)&gt;=Setup!$B$22,"Y","N"))</f>
        <v/>
      </c>
      <c r="K129" s="25">
        <f>IF(C129="","",N(H129)+N(I129))</f>
        <v/>
      </c>
      <c r="L129" s="26">
        <f>IF(N(C129)&gt;0,MIN(1,K129/C129),"")</f>
        <v/>
      </c>
      <c r="M129" s="26">
        <f>IF(N(C129)&gt;0,MIN(1,N(H129)/C129),"")</f>
        <v/>
      </c>
      <c r="N129" s="26">
        <f>IF(L129="","",L129-M129)</f>
        <v/>
      </c>
      <c r="O129" s="30">
        <f>IF(L129="","",IF(L129&gt;=Setup!$B$23,"Complete",IF(L129&gt;0,"Partial","None")))</f>
        <v/>
      </c>
      <c r="P129" s="30">
        <f>IF(C129="","",IF(K129&gt;C129*1.01,"Covered area &gt; KBA area – check overlap; ","")&amp;IF(AND(E129&lt;&gt;"Y",F129&lt;&gt;"Y",J129&lt;&gt;"Y"),"No realm assigned; ",""))</f>
        <v/>
      </c>
    </row>
    <row r="130">
      <c r="A130" s="12" t="n"/>
      <c r="B130" s="12" t="n"/>
      <c r="C130" s="14" t="n"/>
      <c r="D130" s="34" t="n"/>
      <c r="E130" s="12" t="n"/>
      <c r="F130" s="12" t="n"/>
      <c r="G130" s="12" t="n"/>
      <c r="H130" s="14" t="n"/>
      <c r="I130" s="14" t="n"/>
      <c r="J130" s="30">
        <f>IF(C130="","",IF(N(D130)&gt;=Setup!$B$22,"Y","N"))</f>
        <v/>
      </c>
      <c r="K130" s="25">
        <f>IF(C130="","",N(H130)+N(I130))</f>
        <v/>
      </c>
      <c r="L130" s="26">
        <f>IF(N(C130)&gt;0,MIN(1,K130/C130),"")</f>
        <v/>
      </c>
      <c r="M130" s="26">
        <f>IF(N(C130)&gt;0,MIN(1,N(H130)/C130),"")</f>
        <v/>
      </c>
      <c r="N130" s="26">
        <f>IF(L130="","",L130-M130)</f>
        <v/>
      </c>
      <c r="O130" s="30">
        <f>IF(L130="","",IF(L130&gt;=Setup!$B$23,"Complete",IF(L130&gt;0,"Partial","None")))</f>
        <v/>
      </c>
      <c r="P130" s="30">
        <f>IF(C130="","",IF(K130&gt;C130*1.01,"Covered area &gt; KBA area – check overlap; ","")&amp;IF(AND(E130&lt;&gt;"Y",F130&lt;&gt;"Y",J130&lt;&gt;"Y"),"No realm assigned; ",""))</f>
        <v/>
      </c>
    </row>
    <row r="131">
      <c r="A131" s="12" t="n"/>
      <c r="B131" s="12" t="n"/>
      <c r="C131" s="14" t="n"/>
      <c r="D131" s="34" t="n"/>
      <c r="E131" s="12" t="n"/>
      <c r="F131" s="12" t="n"/>
      <c r="G131" s="12" t="n"/>
      <c r="H131" s="14" t="n"/>
      <c r="I131" s="14" t="n"/>
      <c r="J131" s="30">
        <f>IF(C131="","",IF(N(D131)&gt;=Setup!$B$22,"Y","N"))</f>
        <v/>
      </c>
      <c r="K131" s="25">
        <f>IF(C131="","",N(H131)+N(I131))</f>
        <v/>
      </c>
      <c r="L131" s="26">
        <f>IF(N(C131)&gt;0,MIN(1,K131/C131),"")</f>
        <v/>
      </c>
      <c r="M131" s="26">
        <f>IF(N(C131)&gt;0,MIN(1,N(H131)/C131),"")</f>
        <v/>
      </c>
      <c r="N131" s="26">
        <f>IF(L131="","",L131-M131)</f>
        <v/>
      </c>
      <c r="O131" s="30">
        <f>IF(L131="","",IF(L131&gt;=Setup!$B$23,"Complete",IF(L131&gt;0,"Partial","None")))</f>
        <v/>
      </c>
      <c r="P131" s="30">
        <f>IF(C131="","",IF(K131&gt;C131*1.01,"Covered area &gt; KBA area – check overlap; ","")&amp;IF(AND(E131&lt;&gt;"Y",F131&lt;&gt;"Y",J131&lt;&gt;"Y"),"No realm assigned; ",""))</f>
        <v/>
      </c>
    </row>
    <row r="132">
      <c r="A132" s="12" t="n"/>
      <c r="B132" s="12" t="n"/>
      <c r="C132" s="14" t="n"/>
      <c r="D132" s="34" t="n"/>
      <c r="E132" s="12" t="n"/>
      <c r="F132" s="12" t="n"/>
      <c r="G132" s="12" t="n"/>
      <c r="H132" s="14" t="n"/>
      <c r="I132" s="14" t="n"/>
      <c r="J132" s="30">
        <f>IF(C132="","",IF(N(D132)&gt;=Setup!$B$22,"Y","N"))</f>
        <v/>
      </c>
      <c r="K132" s="25">
        <f>IF(C132="","",N(H132)+N(I132))</f>
        <v/>
      </c>
      <c r="L132" s="26">
        <f>IF(N(C132)&gt;0,MIN(1,K132/C132),"")</f>
        <v/>
      </c>
      <c r="M132" s="26">
        <f>IF(N(C132)&gt;0,MIN(1,N(H132)/C132),"")</f>
        <v/>
      </c>
      <c r="N132" s="26">
        <f>IF(L132="","",L132-M132)</f>
        <v/>
      </c>
      <c r="O132" s="30">
        <f>IF(L132="","",IF(L132&gt;=Setup!$B$23,"Complete",IF(L132&gt;0,"Partial","None")))</f>
        <v/>
      </c>
      <c r="P132" s="30">
        <f>IF(C132="","",IF(K132&gt;C132*1.01,"Covered area &gt; KBA area – check overlap; ","")&amp;IF(AND(E132&lt;&gt;"Y",F132&lt;&gt;"Y",J132&lt;&gt;"Y"),"No realm assigned; ",""))</f>
        <v/>
      </c>
    </row>
    <row r="133">
      <c r="A133" s="12" t="n"/>
      <c r="B133" s="12" t="n"/>
      <c r="C133" s="14" t="n"/>
      <c r="D133" s="34" t="n"/>
      <c r="E133" s="12" t="n"/>
      <c r="F133" s="12" t="n"/>
      <c r="G133" s="12" t="n"/>
      <c r="H133" s="14" t="n"/>
      <c r="I133" s="14" t="n"/>
      <c r="J133" s="30">
        <f>IF(C133="","",IF(N(D133)&gt;=Setup!$B$22,"Y","N"))</f>
        <v/>
      </c>
      <c r="K133" s="25">
        <f>IF(C133="","",N(H133)+N(I133))</f>
        <v/>
      </c>
      <c r="L133" s="26">
        <f>IF(N(C133)&gt;0,MIN(1,K133/C133),"")</f>
        <v/>
      </c>
      <c r="M133" s="26">
        <f>IF(N(C133)&gt;0,MIN(1,N(H133)/C133),"")</f>
        <v/>
      </c>
      <c r="N133" s="26">
        <f>IF(L133="","",L133-M133)</f>
        <v/>
      </c>
      <c r="O133" s="30">
        <f>IF(L133="","",IF(L133&gt;=Setup!$B$23,"Complete",IF(L133&gt;0,"Partial","None")))</f>
        <v/>
      </c>
      <c r="P133" s="30">
        <f>IF(C133="","",IF(K133&gt;C133*1.01,"Covered area &gt; KBA area – check overlap; ","")&amp;IF(AND(E133&lt;&gt;"Y",F133&lt;&gt;"Y",J133&lt;&gt;"Y"),"No realm assigned; ",""))</f>
        <v/>
      </c>
    </row>
    <row r="134">
      <c r="A134" s="12" t="n"/>
      <c r="B134" s="12" t="n"/>
      <c r="C134" s="14" t="n"/>
      <c r="D134" s="34" t="n"/>
      <c r="E134" s="12" t="n"/>
      <c r="F134" s="12" t="n"/>
      <c r="G134" s="12" t="n"/>
      <c r="H134" s="14" t="n"/>
      <c r="I134" s="14" t="n"/>
      <c r="J134" s="30">
        <f>IF(C134="","",IF(N(D134)&gt;=Setup!$B$22,"Y","N"))</f>
        <v/>
      </c>
      <c r="K134" s="25">
        <f>IF(C134="","",N(H134)+N(I134))</f>
        <v/>
      </c>
      <c r="L134" s="26">
        <f>IF(N(C134)&gt;0,MIN(1,K134/C134),"")</f>
        <v/>
      </c>
      <c r="M134" s="26">
        <f>IF(N(C134)&gt;0,MIN(1,N(H134)/C134),"")</f>
        <v/>
      </c>
      <c r="N134" s="26">
        <f>IF(L134="","",L134-M134)</f>
        <v/>
      </c>
      <c r="O134" s="30">
        <f>IF(L134="","",IF(L134&gt;=Setup!$B$23,"Complete",IF(L134&gt;0,"Partial","None")))</f>
        <v/>
      </c>
      <c r="P134" s="30">
        <f>IF(C134="","",IF(K134&gt;C134*1.01,"Covered area &gt; KBA area – check overlap; ","")&amp;IF(AND(E134&lt;&gt;"Y",F134&lt;&gt;"Y",J134&lt;&gt;"Y"),"No realm assigned; ",""))</f>
        <v/>
      </c>
    </row>
    <row r="135">
      <c r="A135" s="12" t="n"/>
      <c r="B135" s="12" t="n"/>
      <c r="C135" s="14" t="n"/>
      <c r="D135" s="34" t="n"/>
      <c r="E135" s="12" t="n"/>
      <c r="F135" s="12" t="n"/>
      <c r="G135" s="12" t="n"/>
      <c r="H135" s="14" t="n"/>
      <c r="I135" s="14" t="n"/>
      <c r="J135" s="30">
        <f>IF(C135="","",IF(N(D135)&gt;=Setup!$B$22,"Y","N"))</f>
        <v/>
      </c>
      <c r="K135" s="25">
        <f>IF(C135="","",N(H135)+N(I135))</f>
        <v/>
      </c>
      <c r="L135" s="26">
        <f>IF(N(C135)&gt;0,MIN(1,K135/C135),"")</f>
        <v/>
      </c>
      <c r="M135" s="26">
        <f>IF(N(C135)&gt;0,MIN(1,N(H135)/C135),"")</f>
        <v/>
      </c>
      <c r="N135" s="26">
        <f>IF(L135="","",L135-M135)</f>
        <v/>
      </c>
      <c r="O135" s="30">
        <f>IF(L135="","",IF(L135&gt;=Setup!$B$23,"Complete",IF(L135&gt;0,"Partial","None")))</f>
        <v/>
      </c>
      <c r="P135" s="30">
        <f>IF(C135="","",IF(K135&gt;C135*1.01,"Covered area &gt; KBA area – check overlap; ","")&amp;IF(AND(E135&lt;&gt;"Y",F135&lt;&gt;"Y",J135&lt;&gt;"Y"),"No realm assigned; ",""))</f>
        <v/>
      </c>
    </row>
    <row r="136">
      <c r="A136" s="12" t="n"/>
      <c r="B136" s="12" t="n"/>
      <c r="C136" s="14" t="n"/>
      <c r="D136" s="34" t="n"/>
      <c r="E136" s="12" t="n"/>
      <c r="F136" s="12" t="n"/>
      <c r="G136" s="12" t="n"/>
      <c r="H136" s="14" t="n"/>
      <c r="I136" s="14" t="n"/>
      <c r="J136" s="30">
        <f>IF(C136="","",IF(N(D136)&gt;=Setup!$B$22,"Y","N"))</f>
        <v/>
      </c>
      <c r="K136" s="25">
        <f>IF(C136="","",N(H136)+N(I136))</f>
        <v/>
      </c>
      <c r="L136" s="26">
        <f>IF(N(C136)&gt;0,MIN(1,K136/C136),"")</f>
        <v/>
      </c>
      <c r="M136" s="26">
        <f>IF(N(C136)&gt;0,MIN(1,N(H136)/C136),"")</f>
        <v/>
      </c>
      <c r="N136" s="26">
        <f>IF(L136="","",L136-M136)</f>
        <v/>
      </c>
      <c r="O136" s="30">
        <f>IF(L136="","",IF(L136&gt;=Setup!$B$23,"Complete",IF(L136&gt;0,"Partial","None")))</f>
        <v/>
      </c>
      <c r="P136" s="30">
        <f>IF(C136="","",IF(K136&gt;C136*1.01,"Covered area &gt; KBA area – check overlap; ","")&amp;IF(AND(E136&lt;&gt;"Y",F136&lt;&gt;"Y",J136&lt;&gt;"Y"),"No realm assigned; ",""))</f>
        <v/>
      </c>
    </row>
    <row r="137">
      <c r="A137" s="12" t="n"/>
      <c r="B137" s="12" t="n"/>
      <c r="C137" s="14" t="n"/>
      <c r="D137" s="34" t="n"/>
      <c r="E137" s="12" t="n"/>
      <c r="F137" s="12" t="n"/>
      <c r="G137" s="12" t="n"/>
      <c r="H137" s="14" t="n"/>
      <c r="I137" s="14" t="n"/>
      <c r="J137" s="30">
        <f>IF(C137="","",IF(N(D137)&gt;=Setup!$B$22,"Y","N"))</f>
        <v/>
      </c>
      <c r="K137" s="25">
        <f>IF(C137="","",N(H137)+N(I137))</f>
        <v/>
      </c>
      <c r="L137" s="26">
        <f>IF(N(C137)&gt;0,MIN(1,K137/C137),"")</f>
        <v/>
      </c>
      <c r="M137" s="26">
        <f>IF(N(C137)&gt;0,MIN(1,N(H137)/C137),"")</f>
        <v/>
      </c>
      <c r="N137" s="26">
        <f>IF(L137="","",L137-M137)</f>
        <v/>
      </c>
      <c r="O137" s="30">
        <f>IF(L137="","",IF(L137&gt;=Setup!$B$23,"Complete",IF(L137&gt;0,"Partial","None")))</f>
        <v/>
      </c>
      <c r="P137" s="30">
        <f>IF(C137="","",IF(K137&gt;C137*1.01,"Covered area &gt; KBA area – check overlap; ","")&amp;IF(AND(E137&lt;&gt;"Y",F137&lt;&gt;"Y",J137&lt;&gt;"Y"),"No realm assigned; ",""))</f>
        <v/>
      </c>
    </row>
    <row r="138">
      <c r="A138" s="12" t="n"/>
      <c r="B138" s="12" t="n"/>
      <c r="C138" s="14" t="n"/>
      <c r="D138" s="34" t="n"/>
      <c r="E138" s="12" t="n"/>
      <c r="F138" s="12" t="n"/>
      <c r="G138" s="12" t="n"/>
      <c r="H138" s="14" t="n"/>
      <c r="I138" s="14" t="n"/>
      <c r="J138" s="30">
        <f>IF(C138="","",IF(N(D138)&gt;=Setup!$B$22,"Y","N"))</f>
        <v/>
      </c>
      <c r="K138" s="25">
        <f>IF(C138="","",N(H138)+N(I138))</f>
        <v/>
      </c>
      <c r="L138" s="26">
        <f>IF(N(C138)&gt;0,MIN(1,K138/C138),"")</f>
        <v/>
      </c>
      <c r="M138" s="26">
        <f>IF(N(C138)&gt;0,MIN(1,N(H138)/C138),"")</f>
        <v/>
      </c>
      <c r="N138" s="26">
        <f>IF(L138="","",L138-M138)</f>
        <v/>
      </c>
      <c r="O138" s="30">
        <f>IF(L138="","",IF(L138&gt;=Setup!$B$23,"Complete",IF(L138&gt;0,"Partial","None")))</f>
        <v/>
      </c>
      <c r="P138" s="30">
        <f>IF(C138="","",IF(K138&gt;C138*1.01,"Covered area &gt; KBA area – check overlap; ","")&amp;IF(AND(E138&lt;&gt;"Y",F138&lt;&gt;"Y",J138&lt;&gt;"Y"),"No realm assigned; ",""))</f>
        <v/>
      </c>
    </row>
    <row r="139">
      <c r="A139" s="12" t="n"/>
      <c r="B139" s="12" t="n"/>
      <c r="C139" s="14" t="n"/>
      <c r="D139" s="34" t="n"/>
      <c r="E139" s="12" t="n"/>
      <c r="F139" s="12" t="n"/>
      <c r="G139" s="12" t="n"/>
      <c r="H139" s="14" t="n"/>
      <c r="I139" s="14" t="n"/>
      <c r="J139" s="30">
        <f>IF(C139="","",IF(N(D139)&gt;=Setup!$B$22,"Y","N"))</f>
        <v/>
      </c>
      <c r="K139" s="25">
        <f>IF(C139="","",N(H139)+N(I139))</f>
        <v/>
      </c>
      <c r="L139" s="26">
        <f>IF(N(C139)&gt;0,MIN(1,K139/C139),"")</f>
        <v/>
      </c>
      <c r="M139" s="26">
        <f>IF(N(C139)&gt;0,MIN(1,N(H139)/C139),"")</f>
        <v/>
      </c>
      <c r="N139" s="26">
        <f>IF(L139="","",L139-M139)</f>
        <v/>
      </c>
      <c r="O139" s="30">
        <f>IF(L139="","",IF(L139&gt;=Setup!$B$23,"Complete",IF(L139&gt;0,"Partial","None")))</f>
        <v/>
      </c>
      <c r="P139" s="30">
        <f>IF(C139="","",IF(K139&gt;C139*1.01,"Covered area &gt; KBA area – check overlap; ","")&amp;IF(AND(E139&lt;&gt;"Y",F139&lt;&gt;"Y",J139&lt;&gt;"Y"),"No realm assigned; ",""))</f>
        <v/>
      </c>
    </row>
    <row r="140">
      <c r="A140" s="12" t="n"/>
      <c r="B140" s="12" t="n"/>
      <c r="C140" s="14" t="n"/>
      <c r="D140" s="34" t="n"/>
      <c r="E140" s="12" t="n"/>
      <c r="F140" s="12" t="n"/>
      <c r="G140" s="12" t="n"/>
      <c r="H140" s="14" t="n"/>
      <c r="I140" s="14" t="n"/>
      <c r="J140" s="30">
        <f>IF(C140="","",IF(N(D140)&gt;=Setup!$B$22,"Y","N"))</f>
        <v/>
      </c>
      <c r="K140" s="25">
        <f>IF(C140="","",N(H140)+N(I140))</f>
        <v/>
      </c>
      <c r="L140" s="26">
        <f>IF(N(C140)&gt;0,MIN(1,K140/C140),"")</f>
        <v/>
      </c>
      <c r="M140" s="26">
        <f>IF(N(C140)&gt;0,MIN(1,N(H140)/C140),"")</f>
        <v/>
      </c>
      <c r="N140" s="26">
        <f>IF(L140="","",L140-M140)</f>
        <v/>
      </c>
      <c r="O140" s="30">
        <f>IF(L140="","",IF(L140&gt;=Setup!$B$23,"Complete",IF(L140&gt;0,"Partial","None")))</f>
        <v/>
      </c>
      <c r="P140" s="30">
        <f>IF(C140="","",IF(K140&gt;C140*1.01,"Covered area &gt; KBA area – check overlap; ","")&amp;IF(AND(E140&lt;&gt;"Y",F140&lt;&gt;"Y",J140&lt;&gt;"Y"),"No realm assigned; ",""))</f>
        <v/>
      </c>
    </row>
    <row r="141">
      <c r="A141" s="12" t="n"/>
      <c r="B141" s="12" t="n"/>
      <c r="C141" s="14" t="n"/>
      <c r="D141" s="34" t="n"/>
      <c r="E141" s="12" t="n"/>
      <c r="F141" s="12" t="n"/>
      <c r="G141" s="12" t="n"/>
      <c r="H141" s="14" t="n"/>
      <c r="I141" s="14" t="n"/>
      <c r="J141" s="30">
        <f>IF(C141="","",IF(N(D141)&gt;=Setup!$B$22,"Y","N"))</f>
        <v/>
      </c>
      <c r="K141" s="25">
        <f>IF(C141="","",N(H141)+N(I141))</f>
        <v/>
      </c>
      <c r="L141" s="26">
        <f>IF(N(C141)&gt;0,MIN(1,K141/C141),"")</f>
        <v/>
      </c>
      <c r="M141" s="26">
        <f>IF(N(C141)&gt;0,MIN(1,N(H141)/C141),"")</f>
        <v/>
      </c>
      <c r="N141" s="26">
        <f>IF(L141="","",L141-M141)</f>
        <v/>
      </c>
      <c r="O141" s="30">
        <f>IF(L141="","",IF(L141&gt;=Setup!$B$23,"Complete",IF(L141&gt;0,"Partial","None")))</f>
        <v/>
      </c>
      <c r="P141" s="30">
        <f>IF(C141="","",IF(K141&gt;C141*1.01,"Covered area &gt; KBA area – check overlap; ","")&amp;IF(AND(E141&lt;&gt;"Y",F141&lt;&gt;"Y",J141&lt;&gt;"Y"),"No realm assigned; ",""))</f>
        <v/>
      </c>
    </row>
    <row r="142">
      <c r="A142" s="12" t="n"/>
      <c r="B142" s="12" t="n"/>
      <c r="C142" s="14" t="n"/>
      <c r="D142" s="34" t="n"/>
      <c r="E142" s="12" t="n"/>
      <c r="F142" s="12" t="n"/>
      <c r="G142" s="12" t="n"/>
      <c r="H142" s="14" t="n"/>
      <c r="I142" s="14" t="n"/>
      <c r="J142" s="30">
        <f>IF(C142="","",IF(N(D142)&gt;=Setup!$B$22,"Y","N"))</f>
        <v/>
      </c>
      <c r="K142" s="25">
        <f>IF(C142="","",N(H142)+N(I142))</f>
        <v/>
      </c>
      <c r="L142" s="26">
        <f>IF(N(C142)&gt;0,MIN(1,K142/C142),"")</f>
        <v/>
      </c>
      <c r="M142" s="26">
        <f>IF(N(C142)&gt;0,MIN(1,N(H142)/C142),"")</f>
        <v/>
      </c>
      <c r="N142" s="26">
        <f>IF(L142="","",L142-M142)</f>
        <v/>
      </c>
      <c r="O142" s="30">
        <f>IF(L142="","",IF(L142&gt;=Setup!$B$23,"Complete",IF(L142&gt;0,"Partial","None")))</f>
        <v/>
      </c>
      <c r="P142" s="30">
        <f>IF(C142="","",IF(K142&gt;C142*1.01,"Covered area &gt; KBA area – check overlap; ","")&amp;IF(AND(E142&lt;&gt;"Y",F142&lt;&gt;"Y",J142&lt;&gt;"Y"),"No realm assigned; ",""))</f>
        <v/>
      </c>
    </row>
    <row r="143">
      <c r="A143" s="12" t="n"/>
      <c r="B143" s="12" t="n"/>
      <c r="C143" s="14" t="n"/>
      <c r="D143" s="34" t="n"/>
      <c r="E143" s="12" t="n"/>
      <c r="F143" s="12" t="n"/>
      <c r="G143" s="12" t="n"/>
      <c r="H143" s="14" t="n"/>
      <c r="I143" s="14" t="n"/>
      <c r="J143" s="30">
        <f>IF(C143="","",IF(N(D143)&gt;=Setup!$B$22,"Y","N"))</f>
        <v/>
      </c>
      <c r="K143" s="25">
        <f>IF(C143="","",N(H143)+N(I143))</f>
        <v/>
      </c>
      <c r="L143" s="26">
        <f>IF(N(C143)&gt;0,MIN(1,K143/C143),"")</f>
        <v/>
      </c>
      <c r="M143" s="26">
        <f>IF(N(C143)&gt;0,MIN(1,N(H143)/C143),"")</f>
        <v/>
      </c>
      <c r="N143" s="26">
        <f>IF(L143="","",L143-M143)</f>
        <v/>
      </c>
      <c r="O143" s="30">
        <f>IF(L143="","",IF(L143&gt;=Setup!$B$23,"Complete",IF(L143&gt;0,"Partial","None")))</f>
        <v/>
      </c>
      <c r="P143" s="30">
        <f>IF(C143="","",IF(K143&gt;C143*1.01,"Covered area &gt; KBA area – check overlap; ","")&amp;IF(AND(E143&lt;&gt;"Y",F143&lt;&gt;"Y",J143&lt;&gt;"Y"),"No realm assigned; ",""))</f>
        <v/>
      </c>
    </row>
    <row r="144">
      <c r="A144" s="12" t="n"/>
      <c r="B144" s="12" t="n"/>
      <c r="C144" s="14" t="n"/>
      <c r="D144" s="34" t="n"/>
      <c r="E144" s="12" t="n"/>
      <c r="F144" s="12" t="n"/>
      <c r="G144" s="12" t="n"/>
      <c r="H144" s="14" t="n"/>
      <c r="I144" s="14" t="n"/>
      <c r="J144" s="30">
        <f>IF(C144="","",IF(N(D144)&gt;=Setup!$B$22,"Y","N"))</f>
        <v/>
      </c>
      <c r="K144" s="25">
        <f>IF(C144="","",N(H144)+N(I144))</f>
        <v/>
      </c>
      <c r="L144" s="26">
        <f>IF(N(C144)&gt;0,MIN(1,K144/C144),"")</f>
        <v/>
      </c>
      <c r="M144" s="26">
        <f>IF(N(C144)&gt;0,MIN(1,N(H144)/C144),"")</f>
        <v/>
      </c>
      <c r="N144" s="26">
        <f>IF(L144="","",L144-M144)</f>
        <v/>
      </c>
      <c r="O144" s="30">
        <f>IF(L144="","",IF(L144&gt;=Setup!$B$23,"Complete",IF(L144&gt;0,"Partial","None")))</f>
        <v/>
      </c>
      <c r="P144" s="30">
        <f>IF(C144="","",IF(K144&gt;C144*1.01,"Covered area &gt; KBA area – check overlap; ","")&amp;IF(AND(E144&lt;&gt;"Y",F144&lt;&gt;"Y",J144&lt;&gt;"Y"),"No realm assigned; ",""))</f>
        <v/>
      </c>
    </row>
    <row r="145">
      <c r="A145" s="12" t="n"/>
      <c r="B145" s="12" t="n"/>
      <c r="C145" s="14" t="n"/>
      <c r="D145" s="34" t="n"/>
      <c r="E145" s="12" t="n"/>
      <c r="F145" s="12" t="n"/>
      <c r="G145" s="12" t="n"/>
      <c r="H145" s="14" t="n"/>
      <c r="I145" s="14" t="n"/>
      <c r="J145" s="30">
        <f>IF(C145="","",IF(N(D145)&gt;=Setup!$B$22,"Y","N"))</f>
        <v/>
      </c>
      <c r="K145" s="25">
        <f>IF(C145="","",N(H145)+N(I145))</f>
        <v/>
      </c>
      <c r="L145" s="26">
        <f>IF(N(C145)&gt;0,MIN(1,K145/C145),"")</f>
        <v/>
      </c>
      <c r="M145" s="26">
        <f>IF(N(C145)&gt;0,MIN(1,N(H145)/C145),"")</f>
        <v/>
      </c>
      <c r="N145" s="26">
        <f>IF(L145="","",L145-M145)</f>
        <v/>
      </c>
      <c r="O145" s="30">
        <f>IF(L145="","",IF(L145&gt;=Setup!$B$23,"Complete",IF(L145&gt;0,"Partial","None")))</f>
        <v/>
      </c>
      <c r="P145" s="30">
        <f>IF(C145="","",IF(K145&gt;C145*1.01,"Covered area &gt; KBA area – check overlap; ","")&amp;IF(AND(E145&lt;&gt;"Y",F145&lt;&gt;"Y",J145&lt;&gt;"Y"),"No realm assigned; ",""))</f>
        <v/>
      </c>
    </row>
    <row r="146">
      <c r="A146" s="12" t="n"/>
      <c r="B146" s="12" t="n"/>
      <c r="C146" s="14" t="n"/>
      <c r="D146" s="34" t="n"/>
      <c r="E146" s="12" t="n"/>
      <c r="F146" s="12" t="n"/>
      <c r="G146" s="12" t="n"/>
      <c r="H146" s="14" t="n"/>
      <c r="I146" s="14" t="n"/>
      <c r="J146" s="30">
        <f>IF(C146="","",IF(N(D146)&gt;=Setup!$B$22,"Y","N"))</f>
        <v/>
      </c>
      <c r="K146" s="25">
        <f>IF(C146="","",N(H146)+N(I146))</f>
        <v/>
      </c>
      <c r="L146" s="26">
        <f>IF(N(C146)&gt;0,MIN(1,K146/C146),"")</f>
        <v/>
      </c>
      <c r="M146" s="26">
        <f>IF(N(C146)&gt;0,MIN(1,N(H146)/C146),"")</f>
        <v/>
      </c>
      <c r="N146" s="26">
        <f>IF(L146="","",L146-M146)</f>
        <v/>
      </c>
      <c r="O146" s="30">
        <f>IF(L146="","",IF(L146&gt;=Setup!$B$23,"Complete",IF(L146&gt;0,"Partial","None")))</f>
        <v/>
      </c>
      <c r="P146" s="30">
        <f>IF(C146="","",IF(K146&gt;C146*1.01,"Covered area &gt; KBA area – check overlap; ","")&amp;IF(AND(E146&lt;&gt;"Y",F146&lt;&gt;"Y",J146&lt;&gt;"Y"),"No realm assigned; ",""))</f>
        <v/>
      </c>
    </row>
    <row r="147">
      <c r="A147" s="12" t="n"/>
      <c r="B147" s="12" t="n"/>
      <c r="C147" s="14" t="n"/>
      <c r="D147" s="34" t="n"/>
      <c r="E147" s="12" t="n"/>
      <c r="F147" s="12" t="n"/>
      <c r="G147" s="12" t="n"/>
      <c r="H147" s="14" t="n"/>
      <c r="I147" s="14" t="n"/>
      <c r="J147" s="30">
        <f>IF(C147="","",IF(N(D147)&gt;=Setup!$B$22,"Y","N"))</f>
        <v/>
      </c>
      <c r="K147" s="25">
        <f>IF(C147="","",N(H147)+N(I147))</f>
        <v/>
      </c>
      <c r="L147" s="26">
        <f>IF(N(C147)&gt;0,MIN(1,K147/C147),"")</f>
        <v/>
      </c>
      <c r="M147" s="26">
        <f>IF(N(C147)&gt;0,MIN(1,N(H147)/C147),"")</f>
        <v/>
      </c>
      <c r="N147" s="26">
        <f>IF(L147="","",L147-M147)</f>
        <v/>
      </c>
      <c r="O147" s="30">
        <f>IF(L147="","",IF(L147&gt;=Setup!$B$23,"Complete",IF(L147&gt;0,"Partial","None")))</f>
        <v/>
      </c>
      <c r="P147" s="30">
        <f>IF(C147="","",IF(K147&gt;C147*1.01,"Covered area &gt; KBA area – check overlap; ","")&amp;IF(AND(E147&lt;&gt;"Y",F147&lt;&gt;"Y",J147&lt;&gt;"Y"),"No realm assigned; ",""))</f>
        <v/>
      </c>
    </row>
    <row r="148">
      <c r="A148" s="12" t="n"/>
      <c r="B148" s="12" t="n"/>
      <c r="C148" s="14" t="n"/>
      <c r="D148" s="34" t="n"/>
      <c r="E148" s="12" t="n"/>
      <c r="F148" s="12" t="n"/>
      <c r="G148" s="12" t="n"/>
      <c r="H148" s="14" t="n"/>
      <c r="I148" s="14" t="n"/>
      <c r="J148" s="30">
        <f>IF(C148="","",IF(N(D148)&gt;=Setup!$B$22,"Y","N"))</f>
        <v/>
      </c>
      <c r="K148" s="25">
        <f>IF(C148="","",N(H148)+N(I148))</f>
        <v/>
      </c>
      <c r="L148" s="26">
        <f>IF(N(C148)&gt;0,MIN(1,K148/C148),"")</f>
        <v/>
      </c>
      <c r="M148" s="26">
        <f>IF(N(C148)&gt;0,MIN(1,N(H148)/C148),"")</f>
        <v/>
      </c>
      <c r="N148" s="26">
        <f>IF(L148="","",L148-M148)</f>
        <v/>
      </c>
      <c r="O148" s="30">
        <f>IF(L148="","",IF(L148&gt;=Setup!$B$23,"Complete",IF(L148&gt;0,"Partial","None")))</f>
        <v/>
      </c>
      <c r="P148" s="30">
        <f>IF(C148="","",IF(K148&gt;C148*1.01,"Covered area &gt; KBA area – check overlap; ","")&amp;IF(AND(E148&lt;&gt;"Y",F148&lt;&gt;"Y",J148&lt;&gt;"Y"),"No realm assigned; ",""))</f>
        <v/>
      </c>
    </row>
    <row r="149">
      <c r="A149" s="12" t="n"/>
      <c r="B149" s="12" t="n"/>
      <c r="C149" s="14" t="n"/>
      <c r="D149" s="34" t="n"/>
      <c r="E149" s="12" t="n"/>
      <c r="F149" s="12" t="n"/>
      <c r="G149" s="12" t="n"/>
      <c r="H149" s="14" t="n"/>
      <c r="I149" s="14" t="n"/>
      <c r="J149" s="30">
        <f>IF(C149="","",IF(N(D149)&gt;=Setup!$B$22,"Y","N"))</f>
        <v/>
      </c>
      <c r="K149" s="25">
        <f>IF(C149="","",N(H149)+N(I149))</f>
        <v/>
      </c>
      <c r="L149" s="26">
        <f>IF(N(C149)&gt;0,MIN(1,K149/C149),"")</f>
        <v/>
      </c>
      <c r="M149" s="26">
        <f>IF(N(C149)&gt;0,MIN(1,N(H149)/C149),"")</f>
        <v/>
      </c>
      <c r="N149" s="26">
        <f>IF(L149="","",L149-M149)</f>
        <v/>
      </c>
      <c r="O149" s="30">
        <f>IF(L149="","",IF(L149&gt;=Setup!$B$23,"Complete",IF(L149&gt;0,"Partial","None")))</f>
        <v/>
      </c>
      <c r="P149" s="30">
        <f>IF(C149="","",IF(K149&gt;C149*1.01,"Covered area &gt; KBA area – check overlap; ","")&amp;IF(AND(E149&lt;&gt;"Y",F149&lt;&gt;"Y",J149&lt;&gt;"Y"),"No realm assigned; ",""))</f>
        <v/>
      </c>
    </row>
    <row r="150">
      <c r="A150" s="12" t="n"/>
      <c r="B150" s="12" t="n"/>
      <c r="C150" s="14" t="n"/>
      <c r="D150" s="34" t="n"/>
      <c r="E150" s="12" t="n"/>
      <c r="F150" s="12" t="n"/>
      <c r="G150" s="12" t="n"/>
      <c r="H150" s="14" t="n"/>
      <c r="I150" s="14" t="n"/>
      <c r="J150" s="30">
        <f>IF(C150="","",IF(N(D150)&gt;=Setup!$B$22,"Y","N"))</f>
        <v/>
      </c>
      <c r="K150" s="25">
        <f>IF(C150="","",N(H150)+N(I150))</f>
        <v/>
      </c>
      <c r="L150" s="26">
        <f>IF(N(C150)&gt;0,MIN(1,K150/C150),"")</f>
        <v/>
      </c>
      <c r="M150" s="26">
        <f>IF(N(C150)&gt;0,MIN(1,N(H150)/C150),"")</f>
        <v/>
      </c>
      <c r="N150" s="26">
        <f>IF(L150="","",L150-M150)</f>
        <v/>
      </c>
      <c r="O150" s="30">
        <f>IF(L150="","",IF(L150&gt;=Setup!$B$23,"Complete",IF(L150&gt;0,"Partial","None")))</f>
        <v/>
      </c>
      <c r="P150" s="30">
        <f>IF(C150="","",IF(K150&gt;C150*1.01,"Covered area &gt; KBA area – check overlap; ","")&amp;IF(AND(E150&lt;&gt;"Y",F150&lt;&gt;"Y",J150&lt;&gt;"Y"),"No realm assigned; ",""))</f>
        <v/>
      </c>
    </row>
    <row r="151">
      <c r="A151" s="12" t="n"/>
      <c r="B151" s="12" t="n"/>
      <c r="C151" s="14" t="n"/>
      <c r="D151" s="34" t="n"/>
      <c r="E151" s="12" t="n"/>
      <c r="F151" s="12" t="n"/>
      <c r="G151" s="12" t="n"/>
      <c r="H151" s="14" t="n"/>
      <c r="I151" s="14" t="n"/>
      <c r="J151" s="30">
        <f>IF(C151="","",IF(N(D151)&gt;=Setup!$B$22,"Y","N"))</f>
        <v/>
      </c>
      <c r="K151" s="25">
        <f>IF(C151="","",N(H151)+N(I151))</f>
        <v/>
      </c>
      <c r="L151" s="26">
        <f>IF(N(C151)&gt;0,MIN(1,K151/C151),"")</f>
        <v/>
      </c>
      <c r="M151" s="26">
        <f>IF(N(C151)&gt;0,MIN(1,N(H151)/C151),"")</f>
        <v/>
      </c>
      <c r="N151" s="26">
        <f>IF(L151="","",L151-M151)</f>
        <v/>
      </c>
      <c r="O151" s="30">
        <f>IF(L151="","",IF(L151&gt;=Setup!$B$23,"Complete",IF(L151&gt;0,"Partial","None")))</f>
        <v/>
      </c>
      <c r="P151" s="30">
        <f>IF(C151="","",IF(K151&gt;C151*1.01,"Covered area &gt; KBA area – check overlap; ","")&amp;IF(AND(E151&lt;&gt;"Y",F151&lt;&gt;"Y",J151&lt;&gt;"Y"),"No realm assigned; ",""))</f>
        <v/>
      </c>
    </row>
    <row r="152">
      <c r="A152" s="12" t="n"/>
      <c r="B152" s="12" t="n"/>
      <c r="C152" s="14" t="n"/>
      <c r="D152" s="34" t="n"/>
      <c r="E152" s="12" t="n"/>
      <c r="F152" s="12" t="n"/>
      <c r="G152" s="12" t="n"/>
      <c r="H152" s="14" t="n"/>
      <c r="I152" s="14" t="n"/>
      <c r="J152" s="30">
        <f>IF(C152="","",IF(N(D152)&gt;=Setup!$B$22,"Y","N"))</f>
        <v/>
      </c>
      <c r="K152" s="25">
        <f>IF(C152="","",N(H152)+N(I152))</f>
        <v/>
      </c>
      <c r="L152" s="26">
        <f>IF(N(C152)&gt;0,MIN(1,K152/C152),"")</f>
        <v/>
      </c>
      <c r="M152" s="26">
        <f>IF(N(C152)&gt;0,MIN(1,N(H152)/C152),"")</f>
        <v/>
      </c>
      <c r="N152" s="26">
        <f>IF(L152="","",L152-M152)</f>
        <v/>
      </c>
      <c r="O152" s="30">
        <f>IF(L152="","",IF(L152&gt;=Setup!$B$23,"Complete",IF(L152&gt;0,"Partial","None")))</f>
        <v/>
      </c>
      <c r="P152" s="30">
        <f>IF(C152="","",IF(K152&gt;C152*1.01,"Covered area &gt; KBA area – check overlap; ","")&amp;IF(AND(E152&lt;&gt;"Y",F152&lt;&gt;"Y",J152&lt;&gt;"Y"),"No realm assigned; ",""))</f>
        <v/>
      </c>
    </row>
    <row r="153">
      <c r="A153" s="12" t="n"/>
      <c r="B153" s="12" t="n"/>
      <c r="C153" s="14" t="n"/>
      <c r="D153" s="34" t="n"/>
      <c r="E153" s="12" t="n"/>
      <c r="F153" s="12" t="n"/>
      <c r="G153" s="12" t="n"/>
      <c r="H153" s="14" t="n"/>
      <c r="I153" s="14" t="n"/>
      <c r="J153" s="30">
        <f>IF(C153="","",IF(N(D153)&gt;=Setup!$B$22,"Y","N"))</f>
        <v/>
      </c>
      <c r="K153" s="25">
        <f>IF(C153="","",N(H153)+N(I153))</f>
        <v/>
      </c>
      <c r="L153" s="26">
        <f>IF(N(C153)&gt;0,MIN(1,K153/C153),"")</f>
        <v/>
      </c>
      <c r="M153" s="26">
        <f>IF(N(C153)&gt;0,MIN(1,N(H153)/C153),"")</f>
        <v/>
      </c>
      <c r="N153" s="26">
        <f>IF(L153="","",L153-M153)</f>
        <v/>
      </c>
      <c r="O153" s="30">
        <f>IF(L153="","",IF(L153&gt;=Setup!$B$23,"Complete",IF(L153&gt;0,"Partial","None")))</f>
        <v/>
      </c>
      <c r="P153" s="30">
        <f>IF(C153="","",IF(K153&gt;C153*1.01,"Covered area &gt; KBA area – check overlap; ","")&amp;IF(AND(E153&lt;&gt;"Y",F153&lt;&gt;"Y",J153&lt;&gt;"Y"),"No realm assigned; ",""))</f>
        <v/>
      </c>
    </row>
    <row r="154">
      <c r="A154" s="12" t="n"/>
      <c r="B154" s="12" t="n"/>
      <c r="C154" s="14" t="n"/>
      <c r="D154" s="34" t="n"/>
      <c r="E154" s="12" t="n"/>
      <c r="F154" s="12" t="n"/>
      <c r="G154" s="12" t="n"/>
      <c r="H154" s="14" t="n"/>
      <c r="I154" s="14" t="n"/>
      <c r="J154" s="30">
        <f>IF(C154="","",IF(N(D154)&gt;=Setup!$B$22,"Y","N"))</f>
        <v/>
      </c>
      <c r="K154" s="25">
        <f>IF(C154="","",N(H154)+N(I154))</f>
        <v/>
      </c>
      <c r="L154" s="26">
        <f>IF(N(C154)&gt;0,MIN(1,K154/C154),"")</f>
        <v/>
      </c>
      <c r="M154" s="26">
        <f>IF(N(C154)&gt;0,MIN(1,N(H154)/C154),"")</f>
        <v/>
      </c>
      <c r="N154" s="26">
        <f>IF(L154="","",L154-M154)</f>
        <v/>
      </c>
      <c r="O154" s="30">
        <f>IF(L154="","",IF(L154&gt;=Setup!$B$23,"Complete",IF(L154&gt;0,"Partial","None")))</f>
        <v/>
      </c>
      <c r="P154" s="30">
        <f>IF(C154="","",IF(K154&gt;C154*1.01,"Covered area &gt; KBA area – check overlap; ","")&amp;IF(AND(E154&lt;&gt;"Y",F154&lt;&gt;"Y",J154&lt;&gt;"Y"),"No realm assigned; ",""))</f>
        <v/>
      </c>
    </row>
    <row r="155">
      <c r="A155" s="12" t="n"/>
      <c r="B155" s="12" t="n"/>
      <c r="C155" s="14" t="n"/>
      <c r="D155" s="34" t="n"/>
      <c r="E155" s="12" t="n"/>
      <c r="F155" s="12" t="n"/>
      <c r="G155" s="12" t="n"/>
      <c r="H155" s="14" t="n"/>
      <c r="I155" s="14" t="n"/>
      <c r="J155" s="30">
        <f>IF(C155="","",IF(N(D155)&gt;=Setup!$B$22,"Y","N"))</f>
        <v/>
      </c>
      <c r="K155" s="25">
        <f>IF(C155="","",N(H155)+N(I155))</f>
        <v/>
      </c>
      <c r="L155" s="26">
        <f>IF(N(C155)&gt;0,MIN(1,K155/C155),"")</f>
        <v/>
      </c>
      <c r="M155" s="26">
        <f>IF(N(C155)&gt;0,MIN(1,N(H155)/C155),"")</f>
        <v/>
      </c>
      <c r="N155" s="26">
        <f>IF(L155="","",L155-M155)</f>
        <v/>
      </c>
      <c r="O155" s="30">
        <f>IF(L155="","",IF(L155&gt;=Setup!$B$23,"Complete",IF(L155&gt;0,"Partial","None")))</f>
        <v/>
      </c>
      <c r="P155" s="30">
        <f>IF(C155="","",IF(K155&gt;C155*1.01,"Covered area &gt; KBA area – check overlap; ","")&amp;IF(AND(E155&lt;&gt;"Y",F155&lt;&gt;"Y",J155&lt;&gt;"Y"),"No realm assigned; ",""))</f>
        <v/>
      </c>
    </row>
    <row r="156">
      <c r="A156" s="12" t="n"/>
      <c r="B156" s="12" t="n"/>
      <c r="C156" s="14" t="n"/>
      <c r="D156" s="34" t="n"/>
      <c r="E156" s="12" t="n"/>
      <c r="F156" s="12" t="n"/>
      <c r="G156" s="12" t="n"/>
      <c r="H156" s="14" t="n"/>
      <c r="I156" s="14" t="n"/>
      <c r="J156" s="30">
        <f>IF(C156="","",IF(N(D156)&gt;=Setup!$B$22,"Y","N"))</f>
        <v/>
      </c>
      <c r="K156" s="25">
        <f>IF(C156="","",N(H156)+N(I156))</f>
        <v/>
      </c>
      <c r="L156" s="26">
        <f>IF(N(C156)&gt;0,MIN(1,K156/C156),"")</f>
        <v/>
      </c>
      <c r="M156" s="26">
        <f>IF(N(C156)&gt;0,MIN(1,N(H156)/C156),"")</f>
        <v/>
      </c>
      <c r="N156" s="26">
        <f>IF(L156="","",L156-M156)</f>
        <v/>
      </c>
      <c r="O156" s="30">
        <f>IF(L156="","",IF(L156&gt;=Setup!$B$23,"Complete",IF(L156&gt;0,"Partial","None")))</f>
        <v/>
      </c>
      <c r="P156" s="30">
        <f>IF(C156="","",IF(K156&gt;C156*1.01,"Covered area &gt; KBA area – check overlap; ","")&amp;IF(AND(E156&lt;&gt;"Y",F156&lt;&gt;"Y",J156&lt;&gt;"Y"),"No realm assigned; ",""))</f>
        <v/>
      </c>
    </row>
    <row r="157">
      <c r="A157" s="12" t="n"/>
      <c r="B157" s="12" t="n"/>
      <c r="C157" s="14" t="n"/>
      <c r="D157" s="34" t="n"/>
      <c r="E157" s="12" t="n"/>
      <c r="F157" s="12" t="n"/>
      <c r="G157" s="12" t="n"/>
      <c r="H157" s="14" t="n"/>
      <c r="I157" s="14" t="n"/>
      <c r="J157" s="30">
        <f>IF(C157="","",IF(N(D157)&gt;=Setup!$B$22,"Y","N"))</f>
        <v/>
      </c>
      <c r="K157" s="25">
        <f>IF(C157="","",N(H157)+N(I157))</f>
        <v/>
      </c>
      <c r="L157" s="26">
        <f>IF(N(C157)&gt;0,MIN(1,K157/C157),"")</f>
        <v/>
      </c>
      <c r="M157" s="26">
        <f>IF(N(C157)&gt;0,MIN(1,N(H157)/C157),"")</f>
        <v/>
      </c>
      <c r="N157" s="26">
        <f>IF(L157="","",L157-M157)</f>
        <v/>
      </c>
      <c r="O157" s="30">
        <f>IF(L157="","",IF(L157&gt;=Setup!$B$23,"Complete",IF(L157&gt;0,"Partial","None")))</f>
        <v/>
      </c>
      <c r="P157" s="30">
        <f>IF(C157="","",IF(K157&gt;C157*1.01,"Covered area &gt; KBA area – check overlap; ","")&amp;IF(AND(E157&lt;&gt;"Y",F157&lt;&gt;"Y",J157&lt;&gt;"Y"),"No realm assigned; ",""))</f>
        <v/>
      </c>
    </row>
    <row r="158">
      <c r="A158" s="12" t="n"/>
      <c r="B158" s="12" t="n"/>
      <c r="C158" s="14" t="n"/>
      <c r="D158" s="34" t="n"/>
      <c r="E158" s="12" t="n"/>
      <c r="F158" s="12" t="n"/>
      <c r="G158" s="12" t="n"/>
      <c r="H158" s="14" t="n"/>
      <c r="I158" s="14" t="n"/>
      <c r="J158" s="30">
        <f>IF(C158="","",IF(N(D158)&gt;=Setup!$B$22,"Y","N"))</f>
        <v/>
      </c>
      <c r="K158" s="25">
        <f>IF(C158="","",N(H158)+N(I158))</f>
        <v/>
      </c>
      <c r="L158" s="26">
        <f>IF(N(C158)&gt;0,MIN(1,K158/C158),"")</f>
        <v/>
      </c>
      <c r="M158" s="26">
        <f>IF(N(C158)&gt;0,MIN(1,N(H158)/C158),"")</f>
        <v/>
      </c>
      <c r="N158" s="26">
        <f>IF(L158="","",L158-M158)</f>
        <v/>
      </c>
      <c r="O158" s="30">
        <f>IF(L158="","",IF(L158&gt;=Setup!$B$23,"Complete",IF(L158&gt;0,"Partial","None")))</f>
        <v/>
      </c>
      <c r="P158" s="30">
        <f>IF(C158="","",IF(K158&gt;C158*1.01,"Covered area &gt; KBA area – check overlap; ","")&amp;IF(AND(E158&lt;&gt;"Y",F158&lt;&gt;"Y",J158&lt;&gt;"Y"),"No realm assigned; ",""))</f>
        <v/>
      </c>
    </row>
    <row r="159">
      <c r="A159" s="12" t="n"/>
      <c r="B159" s="12" t="n"/>
      <c r="C159" s="14" t="n"/>
      <c r="D159" s="34" t="n"/>
      <c r="E159" s="12" t="n"/>
      <c r="F159" s="12" t="n"/>
      <c r="G159" s="12" t="n"/>
      <c r="H159" s="14" t="n"/>
      <c r="I159" s="14" t="n"/>
      <c r="J159" s="30">
        <f>IF(C159="","",IF(N(D159)&gt;=Setup!$B$22,"Y","N"))</f>
        <v/>
      </c>
      <c r="K159" s="25">
        <f>IF(C159="","",N(H159)+N(I159))</f>
        <v/>
      </c>
      <c r="L159" s="26">
        <f>IF(N(C159)&gt;0,MIN(1,K159/C159),"")</f>
        <v/>
      </c>
      <c r="M159" s="26">
        <f>IF(N(C159)&gt;0,MIN(1,N(H159)/C159),"")</f>
        <v/>
      </c>
      <c r="N159" s="26">
        <f>IF(L159="","",L159-M159)</f>
        <v/>
      </c>
      <c r="O159" s="30">
        <f>IF(L159="","",IF(L159&gt;=Setup!$B$23,"Complete",IF(L159&gt;0,"Partial","None")))</f>
        <v/>
      </c>
      <c r="P159" s="30">
        <f>IF(C159="","",IF(K159&gt;C159*1.01,"Covered area &gt; KBA area – check overlap; ","")&amp;IF(AND(E159&lt;&gt;"Y",F159&lt;&gt;"Y",J159&lt;&gt;"Y"),"No realm assigned; ",""))</f>
        <v/>
      </c>
    </row>
    <row r="160">
      <c r="A160" s="12" t="n"/>
      <c r="B160" s="12" t="n"/>
      <c r="C160" s="14" t="n"/>
      <c r="D160" s="34" t="n"/>
      <c r="E160" s="12" t="n"/>
      <c r="F160" s="12" t="n"/>
      <c r="G160" s="12" t="n"/>
      <c r="H160" s="14" t="n"/>
      <c r="I160" s="14" t="n"/>
      <c r="J160" s="30">
        <f>IF(C160="","",IF(N(D160)&gt;=Setup!$B$22,"Y","N"))</f>
        <v/>
      </c>
      <c r="K160" s="25">
        <f>IF(C160="","",N(H160)+N(I160))</f>
        <v/>
      </c>
      <c r="L160" s="26">
        <f>IF(N(C160)&gt;0,MIN(1,K160/C160),"")</f>
        <v/>
      </c>
      <c r="M160" s="26">
        <f>IF(N(C160)&gt;0,MIN(1,N(H160)/C160),"")</f>
        <v/>
      </c>
      <c r="N160" s="26">
        <f>IF(L160="","",L160-M160)</f>
        <v/>
      </c>
      <c r="O160" s="30">
        <f>IF(L160="","",IF(L160&gt;=Setup!$B$23,"Complete",IF(L160&gt;0,"Partial","None")))</f>
        <v/>
      </c>
      <c r="P160" s="30">
        <f>IF(C160="","",IF(K160&gt;C160*1.01,"Covered area &gt; KBA area – check overlap; ","")&amp;IF(AND(E160&lt;&gt;"Y",F160&lt;&gt;"Y",J160&lt;&gt;"Y"),"No realm assigned; ",""))</f>
        <v/>
      </c>
    </row>
    <row r="161">
      <c r="A161" s="12" t="n"/>
      <c r="B161" s="12" t="n"/>
      <c r="C161" s="14" t="n"/>
      <c r="D161" s="34" t="n"/>
      <c r="E161" s="12" t="n"/>
      <c r="F161" s="12" t="n"/>
      <c r="G161" s="12" t="n"/>
      <c r="H161" s="14" t="n"/>
      <c r="I161" s="14" t="n"/>
      <c r="J161" s="30">
        <f>IF(C161="","",IF(N(D161)&gt;=Setup!$B$22,"Y","N"))</f>
        <v/>
      </c>
      <c r="K161" s="25">
        <f>IF(C161="","",N(H161)+N(I161))</f>
        <v/>
      </c>
      <c r="L161" s="26">
        <f>IF(N(C161)&gt;0,MIN(1,K161/C161),"")</f>
        <v/>
      </c>
      <c r="M161" s="26">
        <f>IF(N(C161)&gt;0,MIN(1,N(H161)/C161),"")</f>
        <v/>
      </c>
      <c r="N161" s="26">
        <f>IF(L161="","",L161-M161)</f>
        <v/>
      </c>
      <c r="O161" s="30">
        <f>IF(L161="","",IF(L161&gt;=Setup!$B$23,"Complete",IF(L161&gt;0,"Partial","None")))</f>
        <v/>
      </c>
      <c r="P161" s="30">
        <f>IF(C161="","",IF(K161&gt;C161*1.01,"Covered area &gt; KBA area – check overlap; ","")&amp;IF(AND(E161&lt;&gt;"Y",F161&lt;&gt;"Y",J161&lt;&gt;"Y"),"No realm assigned; ",""))</f>
        <v/>
      </c>
    </row>
    <row r="162">
      <c r="A162" s="12" t="n"/>
      <c r="B162" s="12" t="n"/>
      <c r="C162" s="14" t="n"/>
      <c r="D162" s="34" t="n"/>
      <c r="E162" s="12" t="n"/>
      <c r="F162" s="12" t="n"/>
      <c r="G162" s="12" t="n"/>
      <c r="H162" s="14" t="n"/>
      <c r="I162" s="14" t="n"/>
      <c r="J162" s="30">
        <f>IF(C162="","",IF(N(D162)&gt;=Setup!$B$22,"Y","N"))</f>
        <v/>
      </c>
      <c r="K162" s="25">
        <f>IF(C162="","",N(H162)+N(I162))</f>
        <v/>
      </c>
      <c r="L162" s="26">
        <f>IF(N(C162)&gt;0,MIN(1,K162/C162),"")</f>
        <v/>
      </c>
      <c r="M162" s="26">
        <f>IF(N(C162)&gt;0,MIN(1,N(H162)/C162),"")</f>
        <v/>
      </c>
      <c r="N162" s="26">
        <f>IF(L162="","",L162-M162)</f>
        <v/>
      </c>
      <c r="O162" s="30">
        <f>IF(L162="","",IF(L162&gt;=Setup!$B$23,"Complete",IF(L162&gt;0,"Partial","None")))</f>
        <v/>
      </c>
      <c r="P162" s="30">
        <f>IF(C162="","",IF(K162&gt;C162*1.01,"Covered area &gt; KBA area – check overlap; ","")&amp;IF(AND(E162&lt;&gt;"Y",F162&lt;&gt;"Y",J162&lt;&gt;"Y"),"No realm assigned; ",""))</f>
        <v/>
      </c>
    </row>
    <row r="163">
      <c r="A163" s="12" t="n"/>
      <c r="B163" s="12" t="n"/>
      <c r="C163" s="14" t="n"/>
      <c r="D163" s="34" t="n"/>
      <c r="E163" s="12" t="n"/>
      <c r="F163" s="12" t="n"/>
      <c r="G163" s="12" t="n"/>
      <c r="H163" s="14" t="n"/>
      <c r="I163" s="14" t="n"/>
      <c r="J163" s="30">
        <f>IF(C163="","",IF(N(D163)&gt;=Setup!$B$22,"Y","N"))</f>
        <v/>
      </c>
      <c r="K163" s="25">
        <f>IF(C163="","",N(H163)+N(I163))</f>
        <v/>
      </c>
      <c r="L163" s="26">
        <f>IF(N(C163)&gt;0,MIN(1,K163/C163),"")</f>
        <v/>
      </c>
      <c r="M163" s="26">
        <f>IF(N(C163)&gt;0,MIN(1,N(H163)/C163),"")</f>
        <v/>
      </c>
      <c r="N163" s="26">
        <f>IF(L163="","",L163-M163)</f>
        <v/>
      </c>
      <c r="O163" s="30">
        <f>IF(L163="","",IF(L163&gt;=Setup!$B$23,"Complete",IF(L163&gt;0,"Partial","None")))</f>
        <v/>
      </c>
      <c r="P163" s="30">
        <f>IF(C163="","",IF(K163&gt;C163*1.01,"Covered area &gt; KBA area – check overlap; ","")&amp;IF(AND(E163&lt;&gt;"Y",F163&lt;&gt;"Y",J163&lt;&gt;"Y"),"No realm assigned; ",""))</f>
        <v/>
      </c>
    </row>
    <row r="164">
      <c r="A164" s="12" t="n"/>
      <c r="B164" s="12" t="n"/>
      <c r="C164" s="14" t="n"/>
      <c r="D164" s="34" t="n"/>
      <c r="E164" s="12" t="n"/>
      <c r="F164" s="12" t="n"/>
      <c r="G164" s="12" t="n"/>
      <c r="H164" s="14" t="n"/>
      <c r="I164" s="14" t="n"/>
      <c r="J164" s="30">
        <f>IF(C164="","",IF(N(D164)&gt;=Setup!$B$22,"Y","N"))</f>
        <v/>
      </c>
      <c r="K164" s="25">
        <f>IF(C164="","",N(H164)+N(I164))</f>
        <v/>
      </c>
      <c r="L164" s="26">
        <f>IF(N(C164)&gt;0,MIN(1,K164/C164),"")</f>
        <v/>
      </c>
      <c r="M164" s="26">
        <f>IF(N(C164)&gt;0,MIN(1,N(H164)/C164),"")</f>
        <v/>
      </c>
      <c r="N164" s="26">
        <f>IF(L164="","",L164-M164)</f>
        <v/>
      </c>
      <c r="O164" s="30">
        <f>IF(L164="","",IF(L164&gt;=Setup!$B$23,"Complete",IF(L164&gt;0,"Partial","None")))</f>
        <v/>
      </c>
      <c r="P164" s="30">
        <f>IF(C164="","",IF(K164&gt;C164*1.01,"Covered area &gt; KBA area – check overlap; ","")&amp;IF(AND(E164&lt;&gt;"Y",F164&lt;&gt;"Y",J164&lt;&gt;"Y"),"No realm assigned; ",""))</f>
        <v/>
      </c>
    </row>
    <row r="165">
      <c r="A165" s="12" t="n"/>
      <c r="B165" s="12" t="n"/>
      <c r="C165" s="14" t="n"/>
      <c r="D165" s="34" t="n"/>
      <c r="E165" s="12" t="n"/>
      <c r="F165" s="12" t="n"/>
      <c r="G165" s="12" t="n"/>
      <c r="H165" s="14" t="n"/>
      <c r="I165" s="14" t="n"/>
      <c r="J165" s="30">
        <f>IF(C165="","",IF(N(D165)&gt;=Setup!$B$22,"Y","N"))</f>
        <v/>
      </c>
      <c r="K165" s="25">
        <f>IF(C165="","",N(H165)+N(I165))</f>
        <v/>
      </c>
      <c r="L165" s="26">
        <f>IF(N(C165)&gt;0,MIN(1,K165/C165),"")</f>
        <v/>
      </c>
      <c r="M165" s="26">
        <f>IF(N(C165)&gt;0,MIN(1,N(H165)/C165),"")</f>
        <v/>
      </c>
      <c r="N165" s="26">
        <f>IF(L165="","",L165-M165)</f>
        <v/>
      </c>
      <c r="O165" s="30">
        <f>IF(L165="","",IF(L165&gt;=Setup!$B$23,"Complete",IF(L165&gt;0,"Partial","None")))</f>
        <v/>
      </c>
      <c r="P165" s="30">
        <f>IF(C165="","",IF(K165&gt;C165*1.01,"Covered area &gt; KBA area – check overlap; ","")&amp;IF(AND(E165&lt;&gt;"Y",F165&lt;&gt;"Y",J165&lt;&gt;"Y"),"No realm assigned; ",""))</f>
        <v/>
      </c>
    </row>
    <row r="166">
      <c r="A166" s="12" t="n"/>
      <c r="B166" s="12" t="n"/>
      <c r="C166" s="14" t="n"/>
      <c r="D166" s="34" t="n"/>
      <c r="E166" s="12" t="n"/>
      <c r="F166" s="12" t="n"/>
      <c r="G166" s="12" t="n"/>
      <c r="H166" s="14" t="n"/>
      <c r="I166" s="14" t="n"/>
      <c r="J166" s="30">
        <f>IF(C166="","",IF(N(D166)&gt;=Setup!$B$22,"Y","N"))</f>
        <v/>
      </c>
      <c r="K166" s="25">
        <f>IF(C166="","",N(H166)+N(I166))</f>
        <v/>
      </c>
      <c r="L166" s="26">
        <f>IF(N(C166)&gt;0,MIN(1,K166/C166),"")</f>
        <v/>
      </c>
      <c r="M166" s="26">
        <f>IF(N(C166)&gt;0,MIN(1,N(H166)/C166),"")</f>
        <v/>
      </c>
      <c r="N166" s="26">
        <f>IF(L166="","",L166-M166)</f>
        <v/>
      </c>
      <c r="O166" s="30">
        <f>IF(L166="","",IF(L166&gt;=Setup!$B$23,"Complete",IF(L166&gt;0,"Partial","None")))</f>
        <v/>
      </c>
      <c r="P166" s="30">
        <f>IF(C166="","",IF(K166&gt;C166*1.01,"Covered area &gt; KBA area – check overlap; ","")&amp;IF(AND(E166&lt;&gt;"Y",F166&lt;&gt;"Y",J166&lt;&gt;"Y"),"No realm assigned; ",""))</f>
        <v/>
      </c>
    </row>
    <row r="167">
      <c r="A167" s="12" t="n"/>
      <c r="B167" s="12" t="n"/>
      <c r="C167" s="14" t="n"/>
      <c r="D167" s="34" t="n"/>
      <c r="E167" s="12" t="n"/>
      <c r="F167" s="12" t="n"/>
      <c r="G167" s="12" t="n"/>
      <c r="H167" s="14" t="n"/>
      <c r="I167" s="14" t="n"/>
      <c r="J167" s="30">
        <f>IF(C167="","",IF(N(D167)&gt;=Setup!$B$22,"Y","N"))</f>
        <v/>
      </c>
      <c r="K167" s="25">
        <f>IF(C167="","",N(H167)+N(I167))</f>
        <v/>
      </c>
      <c r="L167" s="26">
        <f>IF(N(C167)&gt;0,MIN(1,K167/C167),"")</f>
        <v/>
      </c>
      <c r="M167" s="26">
        <f>IF(N(C167)&gt;0,MIN(1,N(H167)/C167),"")</f>
        <v/>
      </c>
      <c r="N167" s="26">
        <f>IF(L167="","",L167-M167)</f>
        <v/>
      </c>
      <c r="O167" s="30">
        <f>IF(L167="","",IF(L167&gt;=Setup!$B$23,"Complete",IF(L167&gt;0,"Partial","None")))</f>
        <v/>
      </c>
      <c r="P167" s="30">
        <f>IF(C167="","",IF(K167&gt;C167*1.01,"Covered area &gt; KBA area – check overlap; ","")&amp;IF(AND(E167&lt;&gt;"Y",F167&lt;&gt;"Y",J167&lt;&gt;"Y"),"No realm assigned; ",""))</f>
        <v/>
      </c>
    </row>
    <row r="168">
      <c r="A168" s="12" t="n"/>
      <c r="B168" s="12" t="n"/>
      <c r="C168" s="14" t="n"/>
      <c r="D168" s="34" t="n"/>
      <c r="E168" s="12" t="n"/>
      <c r="F168" s="12" t="n"/>
      <c r="G168" s="12" t="n"/>
      <c r="H168" s="14" t="n"/>
      <c r="I168" s="14" t="n"/>
      <c r="J168" s="30">
        <f>IF(C168="","",IF(N(D168)&gt;=Setup!$B$22,"Y","N"))</f>
        <v/>
      </c>
      <c r="K168" s="25">
        <f>IF(C168="","",N(H168)+N(I168))</f>
        <v/>
      </c>
      <c r="L168" s="26">
        <f>IF(N(C168)&gt;0,MIN(1,K168/C168),"")</f>
        <v/>
      </c>
      <c r="M168" s="26">
        <f>IF(N(C168)&gt;0,MIN(1,N(H168)/C168),"")</f>
        <v/>
      </c>
      <c r="N168" s="26">
        <f>IF(L168="","",L168-M168)</f>
        <v/>
      </c>
      <c r="O168" s="30">
        <f>IF(L168="","",IF(L168&gt;=Setup!$B$23,"Complete",IF(L168&gt;0,"Partial","None")))</f>
        <v/>
      </c>
      <c r="P168" s="30">
        <f>IF(C168="","",IF(K168&gt;C168*1.01,"Covered area &gt; KBA area – check overlap; ","")&amp;IF(AND(E168&lt;&gt;"Y",F168&lt;&gt;"Y",J168&lt;&gt;"Y"),"No realm assigned; ",""))</f>
        <v/>
      </c>
    </row>
    <row r="169">
      <c r="A169" s="12" t="n"/>
      <c r="B169" s="12" t="n"/>
      <c r="C169" s="14" t="n"/>
      <c r="D169" s="34" t="n"/>
      <c r="E169" s="12" t="n"/>
      <c r="F169" s="12" t="n"/>
      <c r="G169" s="12" t="n"/>
      <c r="H169" s="14" t="n"/>
      <c r="I169" s="14" t="n"/>
      <c r="J169" s="30">
        <f>IF(C169="","",IF(N(D169)&gt;=Setup!$B$22,"Y","N"))</f>
        <v/>
      </c>
      <c r="K169" s="25">
        <f>IF(C169="","",N(H169)+N(I169))</f>
        <v/>
      </c>
      <c r="L169" s="26">
        <f>IF(N(C169)&gt;0,MIN(1,K169/C169),"")</f>
        <v/>
      </c>
      <c r="M169" s="26">
        <f>IF(N(C169)&gt;0,MIN(1,N(H169)/C169),"")</f>
        <v/>
      </c>
      <c r="N169" s="26">
        <f>IF(L169="","",L169-M169)</f>
        <v/>
      </c>
      <c r="O169" s="30">
        <f>IF(L169="","",IF(L169&gt;=Setup!$B$23,"Complete",IF(L169&gt;0,"Partial","None")))</f>
        <v/>
      </c>
      <c r="P169" s="30">
        <f>IF(C169="","",IF(K169&gt;C169*1.01,"Covered area &gt; KBA area – check overlap; ","")&amp;IF(AND(E169&lt;&gt;"Y",F169&lt;&gt;"Y",J169&lt;&gt;"Y"),"No realm assigned; ",""))</f>
        <v/>
      </c>
    </row>
    <row r="170">
      <c r="A170" s="12" t="n"/>
      <c r="B170" s="12" t="n"/>
      <c r="C170" s="14" t="n"/>
      <c r="D170" s="34" t="n"/>
      <c r="E170" s="12" t="n"/>
      <c r="F170" s="12" t="n"/>
      <c r="G170" s="12" t="n"/>
      <c r="H170" s="14" t="n"/>
      <c r="I170" s="14" t="n"/>
      <c r="J170" s="30">
        <f>IF(C170="","",IF(N(D170)&gt;=Setup!$B$22,"Y","N"))</f>
        <v/>
      </c>
      <c r="K170" s="25">
        <f>IF(C170="","",N(H170)+N(I170))</f>
        <v/>
      </c>
      <c r="L170" s="26">
        <f>IF(N(C170)&gt;0,MIN(1,K170/C170),"")</f>
        <v/>
      </c>
      <c r="M170" s="26">
        <f>IF(N(C170)&gt;0,MIN(1,N(H170)/C170),"")</f>
        <v/>
      </c>
      <c r="N170" s="26">
        <f>IF(L170="","",L170-M170)</f>
        <v/>
      </c>
      <c r="O170" s="30">
        <f>IF(L170="","",IF(L170&gt;=Setup!$B$23,"Complete",IF(L170&gt;0,"Partial","None")))</f>
        <v/>
      </c>
      <c r="P170" s="30">
        <f>IF(C170="","",IF(K170&gt;C170*1.01,"Covered area &gt; KBA area – check overlap; ","")&amp;IF(AND(E170&lt;&gt;"Y",F170&lt;&gt;"Y",J170&lt;&gt;"Y"),"No realm assigned; ",""))</f>
        <v/>
      </c>
    </row>
    <row r="171">
      <c r="A171" s="12" t="n"/>
      <c r="B171" s="12" t="n"/>
      <c r="C171" s="14" t="n"/>
      <c r="D171" s="34" t="n"/>
      <c r="E171" s="12" t="n"/>
      <c r="F171" s="12" t="n"/>
      <c r="G171" s="12" t="n"/>
      <c r="H171" s="14" t="n"/>
      <c r="I171" s="14" t="n"/>
      <c r="J171" s="30">
        <f>IF(C171="","",IF(N(D171)&gt;=Setup!$B$22,"Y","N"))</f>
        <v/>
      </c>
      <c r="K171" s="25">
        <f>IF(C171="","",N(H171)+N(I171))</f>
        <v/>
      </c>
      <c r="L171" s="26">
        <f>IF(N(C171)&gt;0,MIN(1,K171/C171),"")</f>
        <v/>
      </c>
      <c r="M171" s="26">
        <f>IF(N(C171)&gt;0,MIN(1,N(H171)/C171),"")</f>
        <v/>
      </c>
      <c r="N171" s="26">
        <f>IF(L171="","",L171-M171)</f>
        <v/>
      </c>
      <c r="O171" s="30">
        <f>IF(L171="","",IF(L171&gt;=Setup!$B$23,"Complete",IF(L171&gt;0,"Partial","None")))</f>
        <v/>
      </c>
      <c r="P171" s="30">
        <f>IF(C171="","",IF(K171&gt;C171*1.01,"Covered area &gt; KBA area – check overlap; ","")&amp;IF(AND(E171&lt;&gt;"Y",F171&lt;&gt;"Y",J171&lt;&gt;"Y"),"No realm assigned; ",""))</f>
        <v/>
      </c>
    </row>
    <row r="172">
      <c r="A172" s="12" t="n"/>
      <c r="B172" s="12" t="n"/>
      <c r="C172" s="14" t="n"/>
      <c r="D172" s="34" t="n"/>
      <c r="E172" s="12" t="n"/>
      <c r="F172" s="12" t="n"/>
      <c r="G172" s="12" t="n"/>
      <c r="H172" s="14" t="n"/>
      <c r="I172" s="14" t="n"/>
      <c r="J172" s="30">
        <f>IF(C172="","",IF(N(D172)&gt;=Setup!$B$22,"Y","N"))</f>
        <v/>
      </c>
      <c r="K172" s="25">
        <f>IF(C172="","",N(H172)+N(I172))</f>
        <v/>
      </c>
      <c r="L172" s="26">
        <f>IF(N(C172)&gt;0,MIN(1,K172/C172),"")</f>
        <v/>
      </c>
      <c r="M172" s="26">
        <f>IF(N(C172)&gt;0,MIN(1,N(H172)/C172),"")</f>
        <v/>
      </c>
      <c r="N172" s="26">
        <f>IF(L172="","",L172-M172)</f>
        <v/>
      </c>
      <c r="O172" s="30">
        <f>IF(L172="","",IF(L172&gt;=Setup!$B$23,"Complete",IF(L172&gt;0,"Partial","None")))</f>
        <v/>
      </c>
      <c r="P172" s="30">
        <f>IF(C172="","",IF(K172&gt;C172*1.01,"Covered area &gt; KBA area – check overlap; ","")&amp;IF(AND(E172&lt;&gt;"Y",F172&lt;&gt;"Y",J172&lt;&gt;"Y"),"No realm assigned; ",""))</f>
        <v/>
      </c>
    </row>
    <row r="173">
      <c r="A173" s="12" t="n"/>
      <c r="B173" s="12" t="n"/>
      <c r="C173" s="14" t="n"/>
      <c r="D173" s="34" t="n"/>
      <c r="E173" s="12" t="n"/>
      <c r="F173" s="12" t="n"/>
      <c r="G173" s="12" t="n"/>
      <c r="H173" s="14" t="n"/>
      <c r="I173" s="14" t="n"/>
      <c r="J173" s="30">
        <f>IF(C173="","",IF(N(D173)&gt;=Setup!$B$22,"Y","N"))</f>
        <v/>
      </c>
      <c r="K173" s="25">
        <f>IF(C173="","",N(H173)+N(I173))</f>
        <v/>
      </c>
      <c r="L173" s="26">
        <f>IF(N(C173)&gt;0,MIN(1,K173/C173),"")</f>
        <v/>
      </c>
      <c r="M173" s="26">
        <f>IF(N(C173)&gt;0,MIN(1,N(H173)/C173),"")</f>
        <v/>
      </c>
      <c r="N173" s="26">
        <f>IF(L173="","",L173-M173)</f>
        <v/>
      </c>
      <c r="O173" s="30">
        <f>IF(L173="","",IF(L173&gt;=Setup!$B$23,"Complete",IF(L173&gt;0,"Partial","None")))</f>
        <v/>
      </c>
      <c r="P173" s="30">
        <f>IF(C173="","",IF(K173&gt;C173*1.01,"Covered area &gt; KBA area – check overlap; ","")&amp;IF(AND(E173&lt;&gt;"Y",F173&lt;&gt;"Y",J173&lt;&gt;"Y"),"No realm assigned; ",""))</f>
        <v/>
      </c>
    </row>
    <row r="174">
      <c r="A174" s="12" t="n"/>
      <c r="B174" s="12" t="n"/>
      <c r="C174" s="14" t="n"/>
      <c r="D174" s="34" t="n"/>
      <c r="E174" s="12" t="n"/>
      <c r="F174" s="12" t="n"/>
      <c r="G174" s="12" t="n"/>
      <c r="H174" s="14" t="n"/>
      <c r="I174" s="14" t="n"/>
      <c r="J174" s="30">
        <f>IF(C174="","",IF(N(D174)&gt;=Setup!$B$22,"Y","N"))</f>
        <v/>
      </c>
      <c r="K174" s="25">
        <f>IF(C174="","",N(H174)+N(I174))</f>
        <v/>
      </c>
      <c r="L174" s="26">
        <f>IF(N(C174)&gt;0,MIN(1,K174/C174),"")</f>
        <v/>
      </c>
      <c r="M174" s="26">
        <f>IF(N(C174)&gt;0,MIN(1,N(H174)/C174),"")</f>
        <v/>
      </c>
      <c r="N174" s="26">
        <f>IF(L174="","",L174-M174)</f>
        <v/>
      </c>
      <c r="O174" s="30">
        <f>IF(L174="","",IF(L174&gt;=Setup!$B$23,"Complete",IF(L174&gt;0,"Partial","None")))</f>
        <v/>
      </c>
      <c r="P174" s="30">
        <f>IF(C174="","",IF(K174&gt;C174*1.01,"Covered area &gt; KBA area – check overlap; ","")&amp;IF(AND(E174&lt;&gt;"Y",F174&lt;&gt;"Y",J174&lt;&gt;"Y"),"No realm assigned; ",""))</f>
        <v/>
      </c>
    </row>
    <row r="175">
      <c r="A175" s="12" t="n"/>
      <c r="B175" s="12" t="n"/>
      <c r="C175" s="14" t="n"/>
      <c r="D175" s="34" t="n"/>
      <c r="E175" s="12" t="n"/>
      <c r="F175" s="12" t="n"/>
      <c r="G175" s="12" t="n"/>
      <c r="H175" s="14" t="n"/>
      <c r="I175" s="14" t="n"/>
      <c r="J175" s="30">
        <f>IF(C175="","",IF(N(D175)&gt;=Setup!$B$22,"Y","N"))</f>
        <v/>
      </c>
      <c r="K175" s="25">
        <f>IF(C175="","",N(H175)+N(I175))</f>
        <v/>
      </c>
      <c r="L175" s="26">
        <f>IF(N(C175)&gt;0,MIN(1,K175/C175),"")</f>
        <v/>
      </c>
      <c r="M175" s="26">
        <f>IF(N(C175)&gt;0,MIN(1,N(H175)/C175),"")</f>
        <v/>
      </c>
      <c r="N175" s="26">
        <f>IF(L175="","",L175-M175)</f>
        <v/>
      </c>
      <c r="O175" s="30">
        <f>IF(L175="","",IF(L175&gt;=Setup!$B$23,"Complete",IF(L175&gt;0,"Partial","None")))</f>
        <v/>
      </c>
      <c r="P175" s="30">
        <f>IF(C175="","",IF(K175&gt;C175*1.01,"Covered area &gt; KBA area – check overlap; ","")&amp;IF(AND(E175&lt;&gt;"Y",F175&lt;&gt;"Y",J175&lt;&gt;"Y"),"No realm assigned; ",""))</f>
        <v/>
      </c>
    </row>
    <row r="176">
      <c r="A176" s="12" t="n"/>
      <c r="B176" s="12" t="n"/>
      <c r="C176" s="14" t="n"/>
      <c r="D176" s="34" t="n"/>
      <c r="E176" s="12" t="n"/>
      <c r="F176" s="12" t="n"/>
      <c r="G176" s="12" t="n"/>
      <c r="H176" s="14" t="n"/>
      <c r="I176" s="14" t="n"/>
      <c r="J176" s="30">
        <f>IF(C176="","",IF(N(D176)&gt;=Setup!$B$22,"Y","N"))</f>
        <v/>
      </c>
      <c r="K176" s="25">
        <f>IF(C176="","",N(H176)+N(I176))</f>
        <v/>
      </c>
      <c r="L176" s="26">
        <f>IF(N(C176)&gt;0,MIN(1,K176/C176),"")</f>
        <v/>
      </c>
      <c r="M176" s="26">
        <f>IF(N(C176)&gt;0,MIN(1,N(H176)/C176),"")</f>
        <v/>
      </c>
      <c r="N176" s="26">
        <f>IF(L176="","",L176-M176)</f>
        <v/>
      </c>
      <c r="O176" s="30">
        <f>IF(L176="","",IF(L176&gt;=Setup!$B$23,"Complete",IF(L176&gt;0,"Partial","None")))</f>
        <v/>
      </c>
      <c r="P176" s="30">
        <f>IF(C176="","",IF(K176&gt;C176*1.01,"Covered area &gt; KBA area – check overlap; ","")&amp;IF(AND(E176&lt;&gt;"Y",F176&lt;&gt;"Y",J176&lt;&gt;"Y"),"No realm assigned; ",""))</f>
        <v/>
      </c>
    </row>
    <row r="177">
      <c r="A177" s="12" t="n"/>
      <c r="B177" s="12" t="n"/>
      <c r="C177" s="14" t="n"/>
      <c r="D177" s="34" t="n"/>
      <c r="E177" s="12" t="n"/>
      <c r="F177" s="12" t="n"/>
      <c r="G177" s="12" t="n"/>
      <c r="H177" s="14" t="n"/>
      <c r="I177" s="14" t="n"/>
      <c r="J177" s="30">
        <f>IF(C177="","",IF(N(D177)&gt;=Setup!$B$22,"Y","N"))</f>
        <v/>
      </c>
      <c r="K177" s="25">
        <f>IF(C177="","",N(H177)+N(I177))</f>
        <v/>
      </c>
      <c r="L177" s="26">
        <f>IF(N(C177)&gt;0,MIN(1,K177/C177),"")</f>
        <v/>
      </c>
      <c r="M177" s="26">
        <f>IF(N(C177)&gt;0,MIN(1,N(H177)/C177),"")</f>
        <v/>
      </c>
      <c r="N177" s="26">
        <f>IF(L177="","",L177-M177)</f>
        <v/>
      </c>
      <c r="O177" s="30">
        <f>IF(L177="","",IF(L177&gt;=Setup!$B$23,"Complete",IF(L177&gt;0,"Partial","None")))</f>
        <v/>
      </c>
      <c r="P177" s="30">
        <f>IF(C177="","",IF(K177&gt;C177*1.01,"Covered area &gt; KBA area – check overlap; ","")&amp;IF(AND(E177&lt;&gt;"Y",F177&lt;&gt;"Y",J177&lt;&gt;"Y"),"No realm assigned; ",""))</f>
        <v/>
      </c>
    </row>
    <row r="178">
      <c r="A178" s="12" t="n"/>
      <c r="B178" s="12" t="n"/>
      <c r="C178" s="14" t="n"/>
      <c r="D178" s="34" t="n"/>
      <c r="E178" s="12" t="n"/>
      <c r="F178" s="12" t="n"/>
      <c r="G178" s="12" t="n"/>
      <c r="H178" s="14" t="n"/>
      <c r="I178" s="14" t="n"/>
      <c r="J178" s="30">
        <f>IF(C178="","",IF(N(D178)&gt;=Setup!$B$22,"Y","N"))</f>
        <v/>
      </c>
      <c r="K178" s="25">
        <f>IF(C178="","",N(H178)+N(I178))</f>
        <v/>
      </c>
      <c r="L178" s="26">
        <f>IF(N(C178)&gt;0,MIN(1,K178/C178),"")</f>
        <v/>
      </c>
      <c r="M178" s="26">
        <f>IF(N(C178)&gt;0,MIN(1,N(H178)/C178),"")</f>
        <v/>
      </c>
      <c r="N178" s="26">
        <f>IF(L178="","",L178-M178)</f>
        <v/>
      </c>
      <c r="O178" s="30">
        <f>IF(L178="","",IF(L178&gt;=Setup!$B$23,"Complete",IF(L178&gt;0,"Partial","None")))</f>
        <v/>
      </c>
      <c r="P178" s="30">
        <f>IF(C178="","",IF(K178&gt;C178*1.01,"Covered area &gt; KBA area – check overlap; ","")&amp;IF(AND(E178&lt;&gt;"Y",F178&lt;&gt;"Y",J178&lt;&gt;"Y"),"No realm assigned; ",""))</f>
        <v/>
      </c>
    </row>
    <row r="179">
      <c r="A179" s="12" t="n"/>
      <c r="B179" s="12" t="n"/>
      <c r="C179" s="14" t="n"/>
      <c r="D179" s="34" t="n"/>
      <c r="E179" s="12" t="n"/>
      <c r="F179" s="12" t="n"/>
      <c r="G179" s="12" t="n"/>
      <c r="H179" s="14" t="n"/>
      <c r="I179" s="14" t="n"/>
      <c r="J179" s="30">
        <f>IF(C179="","",IF(N(D179)&gt;=Setup!$B$22,"Y","N"))</f>
        <v/>
      </c>
      <c r="K179" s="25">
        <f>IF(C179="","",N(H179)+N(I179))</f>
        <v/>
      </c>
      <c r="L179" s="26">
        <f>IF(N(C179)&gt;0,MIN(1,K179/C179),"")</f>
        <v/>
      </c>
      <c r="M179" s="26">
        <f>IF(N(C179)&gt;0,MIN(1,N(H179)/C179),"")</f>
        <v/>
      </c>
      <c r="N179" s="26">
        <f>IF(L179="","",L179-M179)</f>
        <v/>
      </c>
      <c r="O179" s="30">
        <f>IF(L179="","",IF(L179&gt;=Setup!$B$23,"Complete",IF(L179&gt;0,"Partial","None")))</f>
        <v/>
      </c>
      <c r="P179" s="30">
        <f>IF(C179="","",IF(K179&gt;C179*1.01,"Covered area &gt; KBA area – check overlap; ","")&amp;IF(AND(E179&lt;&gt;"Y",F179&lt;&gt;"Y",J179&lt;&gt;"Y"),"No realm assigned; ",""))</f>
        <v/>
      </c>
    </row>
    <row r="180">
      <c r="A180" s="12" t="n"/>
      <c r="B180" s="12" t="n"/>
      <c r="C180" s="14" t="n"/>
      <c r="D180" s="34" t="n"/>
      <c r="E180" s="12" t="n"/>
      <c r="F180" s="12" t="n"/>
      <c r="G180" s="12" t="n"/>
      <c r="H180" s="14" t="n"/>
      <c r="I180" s="14" t="n"/>
      <c r="J180" s="30">
        <f>IF(C180="","",IF(N(D180)&gt;=Setup!$B$22,"Y","N"))</f>
        <v/>
      </c>
      <c r="K180" s="25">
        <f>IF(C180="","",N(H180)+N(I180))</f>
        <v/>
      </c>
      <c r="L180" s="26">
        <f>IF(N(C180)&gt;0,MIN(1,K180/C180),"")</f>
        <v/>
      </c>
      <c r="M180" s="26">
        <f>IF(N(C180)&gt;0,MIN(1,N(H180)/C180),"")</f>
        <v/>
      </c>
      <c r="N180" s="26">
        <f>IF(L180="","",L180-M180)</f>
        <v/>
      </c>
      <c r="O180" s="30">
        <f>IF(L180="","",IF(L180&gt;=Setup!$B$23,"Complete",IF(L180&gt;0,"Partial","None")))</f>
        <v/>
      </c>
      <c r="P180" s="30">
        <f>IF(C180="","",IF(K180&gt;C180*1.01,"Covered area &gt; KBA area – check overlap; ","")&amp;IF(AND(E180&lt;&gt;"Y",F180&lt;&gt;"Y",J180&lt;&gt;"Y"),"No realm assigned; ",""))</f>
        <v/>
      </c>
    </row>
    <row r="181">
      <c r="A181" s="12" t="n"/>
      <c r="B181" s="12" t="n"/>
      <c r="C181" s="14" t="n"/>
      <c r="D181" s="34" t="n"/>
      <c r="E181" s="12" t="n"/>
      <c r="F181" s="12" t="n"/>
      <c r="G181" s="12" t="n"/>
      <c r="H181" s="14" t="n"/>
      <c r="I181" s="14" t="n"/>
      <c r="J181" s="30">
        <f>IF(C181="","",IF(N(D181)&gt;=Setup!$B$22,"Y","N"))</f>
        <v/>
      </c>
      <c r="K181" s="25">
        <f>IF(C181="","",N(H181)+N(I181))</f>
        <v/>
      </c>
      <c r="L181" s="26">
        <f>IF(N(C181)&gt;0,MIN(1,K181/C181),"")</f>
        <v/>
      </c>
      <c r="M181" s="26">
        <f>IF(N(C181)&gt;0,MIN(1,N(H181)/C181),"")</f>
        <v/>
      </c>
      <c r="N181" s="26">
        <f>IF(L181="","",L181-M181)</f>
        <v/>
      </c>
      <c r="O181" s="30">
        <f>IF(L181="","",IF(L181&gt;=Setup!$B$23,"Complete",IF(L181&gt;0,"Partial","None")))</f>
        <v/>
      </c>
      <c r="P181" s="30">
        <f>IF(C181="","",IF(K181&gt;C181*1.01,"Covered area &gt; KBA area – check overlap; ","")&amp;IF(AND(E181&lt;&gt;"Y",F181&lt;&gt;"Y",J181&lt;&gt;"Y"),"No realm assigned; ",""))</f>
        <v/>
      </c>
    </row>
    <row r="182">
      <c r="A182" s="12" t="n"/>
      <c r="B182" s="12" t="n"/>
      <c r="C182" s="14" t="n"/>
      <c r="D182" s="34" t="n"/>
      <c r="E182" s="12" t="n"/>
      <c r="F182" s="12" t="n"/>
      <c r="G182" s="12" t="n"/>
      <c r="H182" s="14" t="n"/>
      <c r="I182" s="14" t="n"/>
      <c r="J182" s="30">
        <f>IF(C182="","",IF(N(D182)&gt;=Setup!$B$22,"Y","N"))</f>
        <v/>
      </c>
      <c r="K182" s="25">
        <f>IF(C182="","",N(H182)+N(I182))</f>
        <v/>
      </c>
      <c r="L182" s="26">
        <f>IF(N(C182)&gt;0,MIN(1,K182/C182),"")</f>
        <v/>
      </c>
      <c r="M182" s="26">
        <f>IF(N(C182)&gt;0,MIN(1,N(H182)/C182),"")</f>
        <v/>
      </c>
      <c r="N182" s="26">
        <f>IF(L182="","",L182-M182)</f>
        <v/>
      </c>
      <c r="O182" s="30">
        <f>IF(L182="","",IF(L182&gt;=Setup!$B$23,"Complete",IF(L182&gt;0,"Partial","None")))</f>
        <v/>
      </c>
      <c r="P182" s="30">
        <f>IF(C182="","",IF(K182&gt;C182*1.01,"Covered area &gt; KBA area – check overlap; ","")&amp;IF(AND(E182&lt;&gt;"Y",F182&lt;&gt;"Y",J182&lt;&gt;"Y"),"No realm assigned; ",""))</f>
        <v/>
      </c>
    </row>
    <row r="183">
      <c r="A183" s="12" t="n"/>
      <c r="B183" s="12" t="n"/>
      <c r="C183" s="14" t="n"/>
      <c r="D183" s="34" t="n"/>
      <c r="E183" s="12" t="n"/>
      <c r="F183" s="12" t="n"/>
      <c r="G183" s="12" t="n"/>
      <c r="H183" s="14" t="n"/>
      <c r="I183" s="14" t="n"/>
      <c r="J183" s="30">
        <f>IF(C183="","",IF(N(D183)&gt;=Setup!$B$22,"Y","N"))</f>
        <v/>
      </c>
      <c r="K183" s="25">
        <f>IF(C183="","",N(H183)+N(I183))</f>
        <v/>
      </c>
      <c r="L183" s="26">
        <f>IF(N(C183)&gt;0,MIN(1,K183/C183),"")</f>
        <v/>
      </c>
      <c r="M183" s="26">
        <f>IF(N(C183)&gt;0,MIN(1,N(H183)/C183),"")</f>
        <v/>
      </c>
      <c r="N183" s="26">
        <f>IF(L183="","",L183-M183)</f>
        <v/>
      </c>
      <c r="O183" s="30">
        <f>IF(L183="","",IF(L183&gt;=Setup!$B$23,"Complete",IF(L183&gt;0,"Partial","None")))</f>
        <v/>
      </c>
      <c r="P183" s="30">
        <f>IF(C183="","",IF(K183&gt;C183*1.01,"Covered area &gt; KBA area – check overlap; ","")&amp;IF(AND(E183&lt;&gt;"Y",F183&lt;&gt;"Y",J183&lt;&gt;"Y"),"No realm assigned; ",""))</f>
        <v/>
      </c>
    </row>
    <row r="184">
      <c r="A184" s="12" t="n"/>
      <c r="B184" s="12" t="n"/>
      <c r="C184" s="14" t="n"/>
      <c r="D184" s="34" t="n"/>
      <c r="E184" s="12" t="n"/>
      <c r="F184" s="12" t="n"/>
      <c r="G184" s="12" t="n"/>
      <c r="H184" s="14" t="n"/>
      <c r="I184" s="14" t="n"/>
      <c r="J184" s="30">
        <f>IF(C184="","",IF(N(D184)&gt;=Setup!$B$22,"Y","N"))</f>
        <v/>
      </c>
      <c r="K184" s="25">
        <f>IF(C184="","",N(H184)+N(I184))</f>
        <v/>
      </c>
      <c r="L184" s="26">
        <f>IF(N(C184)&gt;0,MIN(1,K184/C184),"")</f>
        <v/>
      </c>
      <c r="M184" s="26">
        <f>IF(N(C184)&gt;0,MIN(1,N(H184)/C184),"")</f>
        <v/>
      </c>
      <c r="N184" s="26">
        <f>IF(L184="","",L184-M184)</f>
        <v/>
      </c>
      <c r="O184" s="30">
        <f>IF(L184="","",IF(L184&gt;=Setup!$B$23,"Complete",IF(L184&gt;0,"Partial","None")))</f>
        <v/>
      </c>
      <c r="P184" s="30">
        <f>IF(C184="","",IF(K184&gt;C184*1.01,"Covered area &gt; KBA area – check overlap; ","")&amp;IF(AND(E184&lt;&gt;"Y",F184&lt;&gt;"Y",J184&lt;&gt;"Y"),"No realm assigned; ",""))</f>
        <v/>
      </c>
    </row>
    <row r="185">
      <c r="A185" s="12" t="n"/>
      <c r="B185" s="12" t="n"/>
      <c r="C185" s="14" t="n"/>
      <c r="D185" s="34" t="n"/>
      <c r="E185" s="12" t="n"/>
      <c r="F185" s="12" t="n"/>
      <c r="G185" s="12" t="n"/>
      <c r="H185" s="14" t="n"/>
      <c r="I185" s="14" t="n"/>
      <c r="J185" s="30">
        <f>IF(C185="","",IF(N(D185)&gt;=Setup!$B$22,"Y","N"))</f>
        <v/>
      </c>
      <c r="K185" s="25">
        <f>IF(C185="","",N(H185)+N(I185))</f>
        <v/>
      </c>
      <c r="L185" s="26">
        <f>IF(N(C185)&gt;0,MIN(1,K185/C185),"")</f>
        <v/>
      </c>
      <c r="M185" s="26">
        <f>IF(N(C185)&gt;0,MIN(1,N(H185)/C185),"")</f>
        <v/>
      </c>
      <c r="N185" s="26">
        <f>IF(L185="","",L185-M185)</f>
        <v/>
      </c>
      <c r="O185" s="30">
        <f>IF(L185="","",IF(L185&gt;=Setup!$B$23,"Complete",IF(L185&gt;0,"Partial","None")))</f>
        <v/>
      </c>
      <c r="P185" s="30">
        <f>IF(C185="","",IF(K185&gt;C185*1.01,"Covered area &gt; KBA area – check overlap; ","")&amp;IF(AND(E185&lt;&gt;"Y",F185&lt;&gt;"Y",J185&lt;&gt;"Y"),"No realm assigned; ",""))</f>
        <v/>
      </c>
    </row>
    <row r="186">
      <c r="A186" s="12" t="n"/>
      <c r="B186" s="12" t="n"/>
      <c r="C186" s="14" t="n"/>
      <c r="D186" s="34" t="n"/>
      <c r="E186" s="12" t="n"/>
      <c r="F186" s="12" t="n"/>
      <c r="G186" s="12" t="n"/>
      <c r="H186" s="14" t="n"/>
      <c r="I186" s="14" t="n"/>
      <c r="J186" s="30">
        <f>IF(C186="","",IF(N(D186)&gt;=Setup!$B$22,"Y","N"))</f>
        <v/>
      </c>
      <c r="K186" s="25">
        <f>IF(C186="","",N(H186)+N(I186))</f>
        <v/>
      </c>
      <c r="L186" s="26">
        <f>IF(N(C186)&gt;0,MIN(1,K186/C186),"")</f>
        <v/>
      </c>
      <c r="M186" s="26">
        <f>IF(N(C186)&gt;0,MIN(1,N(H186)/C186),"")</f>
        <v/>
      </c>
      <c r="N186" s="26">
        <f>IF(L186="","",L186-M186)</f>
        <v/>
      </c>
      <c r="O186" s="30">
        <f>IF(L186="","",IF(L186&gt;=Setup!$B$23,"Complete",IF(L186&gt;0,"Partial","None")))</f>
        <v/>
      </c>
      <c r="P186" s="30">
        <f>IF(C186="","",IF(K186&gt;C186*1.01,"Covered area &gt; KBA area – check overlap; ","")&amp;IF(AND(E186&lt;&gt;"Y",F186&lt;&gt;"Y",J186&lt;&gt;"Y"),"No realm assigned; ",""))</f>
        <v/>
      </c>
    </row>
    <row r="187">
      <c r="A187" s="12" t="n"/>
      <c r="B187" s="12" t="n"/>
      <c r="C187" s="14" t="n"/>
      <c r="D187" s="34" t="n"/>
      <c r="E187" s="12" t="n"/>
      <c r="F187" s="12" t="n"/>
      <c r="G187" s="12" t="n"/>
      <c r="H187" s="14" t="n"/>
      <c r="I187" s="14" t="n"/>
      <c r="J187" s="30">
        <f>IF(C187="","",IF(N(D187)&gt;=Setup!$B$22,"Y","N"))</f>
        <v/>
      </c>
      <c r="K187" s="25">
        <f>IF(C187="","",N(H187)+N(I187))</f>
        <v/>
      </c>
      <c r="L187" s="26">
        <f>IF(N(C187)&gt;0,MIN(1,K187/C187),"")</f>
        <v/>
      </c>
      <c r="M187" s="26">
        <f>IF(N(C187)&gt;0,MIN(1,N(H187)/C187),"")</f>
        <v/>
      </c>
      <c r="N187" s="26">
        <f>IF(L187="","",L187-M187)</f>
        <v/>
      </c>
      <c r="O187" s="30">
        <f>IF(L187="","",IF(L187&gt;=Setup!$B$23,"Complete",IF(L187&gt;0,"Partial","None")))</f>
        <v/>
      </c>
      <c r="P187" s="30">
        <f>IF(C187="","",IF(K187&gt;C187*1.01,"Covered area &gt; KBA area – check overlap; ","")&amp;IF(AND(E187&lt;&gt;"Y",F187&lt;&gt;"Y",J187&lt;&gt;"Y"),"No realm assigned; ",""))</f>
        <v/>
      </c>
    </row>
    <row r="188">
      <c r="A188" s="12" t="n"/>
      <c r="B188" s="12" t="n"/>
      <c r="C188" s="14" t="n"/>
      <c r="D188" s="34" t="n"/>
      <c r="E188" s="12" t="n"/>
      <c r="F188" s="12" t="n"/>
      <c r="G188" s="12" t="n"/>
      <c r="H188" s="14" t="n"/>
      <c r="I188" s="14" t="n"/>
      <c r="J188" s="30">
        <f>IF(C188="","",IF(N(D188)&gt;=Setup!$B$22,"Y","N"))</f>
        <v/>
      </c>
      <c r="K188" s="25">
        <f>IF(C188="","",N(H188)+N(I188))</f>
        <v/>
      </c>
      <c r="L188" s="26">
        <f>IF(N(C188)&gt;0,MIN(1,K188/C188),"")</f>
        <v/>
      </c>
      <c r="M188" s="26">
        <f>IF(N(C188)&gt;0,MIN(1,N(H188)/C188),"")</f>
        <v/>
      </c>
      <c r="N188" s="26">
        <f>IF(L188="","",L188-M188)</f>
        <v/>
      </c>
      <c r="O188" s="30">
        <f>IF(L188="","",IF(L188&gt;=Setup!$B$23,"Complete",IF(L188&gt;0,"Partial","None")))</f>
        <v/>
      </c>
      <c r="P188" s="30">
        <f>IF(C188="","",IF(K188&gt;C188*1.01,"Covered area &gt; KBA area – check overlap; ","")&amp;IF(AND(E188&lt;&gt;"Y",F188&lt;&gt;"Y",J188&lt;&gt;"Y"),"No realm assigned; ",""))</f>
        <v/>
      </c>
    </row>
    <row r="189">
      <c r="A189" s="12" t="n"/>
      <c r="B189" s="12" t="n"/>
      <c r="C189" s="14" t="n"/>
      <c r="D189" s="34" t="n"/>
      <c r="E189" s="12" t="n"/>
      <c r="F189" s="12" t="n"/>
      <c r="G189" s="12" t="n"/>
      <c r="H189" s="14" t="n"/>
      <c r="I189" s="14" t="n"/>
      <c r="J189" s="30">
        <f>IF(C189="","",IF(N(D189)&gt;=Setup!$B$22,"Y","N"))</f>
        <v/>
      </c>
      <c r="K189" s="25">
        <f>IF(C189="","",N(H189)+N(I189))</f>
        <v/>
      </c>
      <c r="L189" s="26">
        <f>IF(N(C189)&gt;0,MIN(1,K189/C189),"")</f>
        <v/>
      </c>
      <c r="M189" s="26">
        <f>IF(N(C189)&gt;0,MIN(1,N(H189)/C189),"")</f>
        <v/>
      </c>
      <c r="N189" s="26">
        <f>IF(L189="","",L189-M189)</f>
        <v/>
      </c>
      <c r="O189" s="30">
        <f>IF(L189="","",IF(L189&gt;=Setup!$B$23,"Complete",IF(L189&gt;0,"Partial","None")))</f>
        <v/>
      </c>
      <c r="P189" s="30">
        <f>IF(C189="","",IF(K189&gt;C189*1.01,"Covered area &gt; KBA area – check overlap; ","")&amp;IF(AND(E189&lt;&gt;"Y",F189&lt;&gt;"Y",J189&lt;&gt;"Y"),"No realm assigned; ",""))</f>
        <v/>
      </c>
    </row>
    <row r="190">
      <c r="A190" s="12" t="n"/>
      <c r="B190" s="12" t="n"/>
      <c r="C190" s="14" t="n"/>
      <c r="D190" s="34" t="n"/>
      <c r="E190" s="12" t="n"/>
      <c r="F190" s="12" t="n"/>
      <c r="G190" s="12" t="n"/>
      <c r="H190" s="14" t="n"/>
      <c r="I190" s="14" t="n"/>
      <c r="J190" s="30">
        <f>IF(C190="","",IF(N(D190)&gt;=Setup!$B$22,"Y","N"))</f>
        <v/>
      </c>
      <c r="K190" s="25">
        <f>IF(C190="","",N(H190)+N(I190))</f>
        <v/>
      </c>
      <c r="L190" s="26">
        <f>IF(N(C190)&gt;0,MIN(1,K190/C190),"")</f>
        <v/>
      </c>
      <c r="M190" s="26">
        <f>IF(N(C190)&gt;0,MIN(1,N(H190)/C190),"")</f>
        <v/>
      </c>
      <c r="N190" s="26">
        <f>IF(L190="","",L190-M190)</f>
        <v/>
      </c>
      <c r="O190" s="30">
        <f>IF(L190="","",IF(L190&gt;=Setup!$B$23,"Complete",IF(L190&gt;0,"Partial","None")))</f>
        <v/>
      </c>
      <c r="P190" s="30">
        <f>IF(C190="","",IF(K190&gt;C190*1.01,"Covered area &gt; KBA area – check overlap; ","")&amp;IF(AND(E190&lt;&gt;"Y",F190&lt;&gt;"Y",J190&lt;&gt;"Y"),"No realm assigned; ",""))</f>
        <v/>
      </c>
    </row>
    <row r="191">
      <c r="A191" s="12" t="n"/>
      <c r="B191" s="12" t="n"/>
      <c r="C191" s="14" t="n"/>
      <c r="D191" s="34" t="n"/>
      <c r="E191" s="12" t="n"/>
      <c r="F191" s="12" t="n"/>
      <c r="G191" s="12" t="n"/>
      <c r="H191" s="14" t="n"/>
      <c r="I191" s="14" t="n"/>
      <c r="J191" s="30">
        <f>IF(C191="","",IF(N(D191)&gt;=Setup!$B$22,"Y","N"))</f>
        <v/>
      </c>
      <c r="K191" s="25">
        <f>IF(C191="","",N(H191)+N(I191))</f>
        <v/>
      </c>
      <c r="L191" s="26">
        <f>IF(N(C191)&gt;0,MIN(1,K191/C191),"")</f>
        <v/>
      </c>
      <c r="M191" s="26">
        <f>IF(N(C191)&gt;0,MIN(1,N(H191)/C191),"")</f>
        <v/>
      </c>
      <c r="N191" s="26">
        <f>IF(L191="","",L191-M191)</f>
        <v/>
      </c>
      <c r="O191" s="30">
        <f>IF(L191="","",IF(L191&gt;=Setup!$B$23,"Complete",IF(L191&gt;0,"Partial","None")))</f>
        <v/>
      </c>
      <c r="P191" s="30">
        <f>IF(C191="","",IF(K191&gt;C191*1.01,"Covered area &gt; KBA area – check overlap; ","")&amp;IF(AND(E191&lt;&gt;"Y",F191&lt;&gt;"Y",J191&lt;&gt;"Y"),"No realm assigned; ",""))</f>
        <v/>
      </c>
    </row>
    <row r="192">
      <c r="A192" s="12" t="n"/>
      <c r="B192" s="12" t="n"/>
      <c r="C192" s="14" t="n"/>
      <c r="D192" s="34" t="n"/>
      <c r="E192" s="12" t="n"/>
      <c r="F192" s="12" t="n"/>
      <c r="G192" s="12" t="n"/>
      <c r="H192" s="14" t="n"/>
      <c r="I192" s="14" t="n"/>
      <c r="J192" s="30">
        <f>IF(C192="","",IF(N(D192)&gt;=Setup!$B$22,"Y","N"))</f>
        <v/>
      </c>
      <c r="K192" s="25">
        <f>IF(C192="","",N(H192)+N(I192))</f>
        <v/>
      </c>
      <c r="L192" s="26">
        <f>IF(N(C192)&gt;0,MIN(1,K192/C192),"")</f>
        <v/>
      </c>
      <c r="M192" s="26">
        <f>IF(N(C192)&gt;0,MIN(1,N(H192)/C192),"")</f>
        <v/>
      </c>
      <c r="N192" s="26">
        <f>IF(L192="","",L192-M192)</f>
        <v/>
      </c>
      <c r="O192" s="30">
        <f>IF(L192="","",IF(L192&gt;=Setup!$B$23,"Complete",IF(L192&gt;0,"Partial","None")))</f>
        <v/>
      </c>
      <c r="P192" s="30">
        <f>IF(C192="","",IF(K192&gt;C192*1.01,"Covered area &gt; KBA area – check overlap; ","")&amp;IF(AND(E192&lt;&gt;"Y",F192&lt;&gt;"Y",J192&lt;&gt;"Y"),"No realm assigned; ",""))</f>
        <v/>
      </c>
    </row>
    <row r="193">
      <c r="A193" s="12" t="n"/>
      <c r="B193" s="12" t="n"/>
      <c r="C193" s="14" t="n"/>
      <c r="D193" s="34" t="n"/>
      <c r="E193" s="12" t="n"/>
      <c r="F193" s="12" t="n"/>
      <c r="G193" s="12" t="n"/>
      <c r="H193" s="14" t="n"/>
      <c r="I193" s="14" t="n"/>
      <c r="J193" s="30">
        <f>IF(C193="","",IF(N(D193)&gt;=Setup!$B$22,"Y","N"))</f>
        <v/>
      </c>
      <c r="K193" s="25">
        <f>IF(C193="","",N(H193)+N(I193))</f>
        <v/>
      </c>
      <c r="L193" s="26">
        <f>IF(N(C193)&gt;0,MIN(1,K193/C193),"")</f>
        <v/>
      </c>
      <c r="M193" s="26">
        <f>IF(N(C193)&gt;0,MIN(1,N(H193)/C193),"")</f>
        <v/>
      </c>
      <c r="N193" s="26">
        <f>IF(L193="","",L193-M193)</f>
        <v/>
      </c>
      <c r="O193" s="30">
        <f>IF(L193="","",IF(L193&gt;=Setup!$B$23,"Complete",IF(L193&gt;0,"Partial","None")))</f>
        <v/>
      </c>
      <c r="P193" s="30">
        <f>IF(C193="","",IF(K193&gt;C193*1.01,"Covered area &gt; KBA area – check overlap; ","")&amp;IF(AND(E193&lt;&gt;"Y",F193&lt;&gt;"Y",J193&lt;&gt;"Y"),"No realm assigned; ",""))</f>
        <v/>
      </c>
    </row>
    <row r="194">
      <c r="A194" s="12" t="n"/>
      <c r="B194" s="12" t="n"/>
      <c r="C194" s="14" t="n"/>
      <c r="D194" s="34" t="n"/>
      <c r="E194" s="12" t="n"/>
      <c r="F194" s="12" t="n"/>
      <c r="G194" s="12" t="n"/>
      <c r="H194" s="14" t="n"/>
      <c r="I194" s="14" t="n"/>
      <c r="J194" s="30">
        <f>IF(C194="","",IF(N(D194)&gt;=Setup!$B$22,"Y","N"))</f>
        <v/>
      </c>
      <c r="K194" s="25">
        <f>IF(C194="","",N(H194)+N(I194))</f>
        <v/>
      </c>
      <c r="L194" s="26">
        <f>IF(N(C194)&gt;0,MIN(1,K194/C194),"")</f>
        <v/>
      </c>
      <c r="M194" s="26">
        <f>IF(N(C194)&gt;0,MIN(1,N(H194)/C194),"")</f>
        <v/>
      </c>
      <c r="N194" s="26">
        <f>IF(L194="","",L194-M194)</f>
        <v/>
      </c>
      <c r="O194" s="30">
        <f>IF(L194="","",IF(L194&gt;=Setup!$B$23,"Complete",IF(L194&gt;0,"Partial","None")))</f>
        <v/>
      </c>
      <c r="P194" s="30">
        <f>IF(C194="","",IF(K194&gt;C194*1.01,"Covered area &gt; KBA area – check overlap; ","")&amp;IF(AND(E194&lt;&gt;"Y",F194&lt;&gt;"Y",J194&lt;&gt;"Y"),"No realm assigned; ",""))</f>
        <v/>
      </c>
    </row>
    <row r="195">
      <c r="A195" s="12" t="n"/>
      <c r="B195" s="12" t="n"/>
      <c r="C195" s="14" t="n"/>
      <c r="D195" s="34" t="n"/>
      <c r="E195" s="12" t="n"/>
      <c r="F195" s="12" t="n"/>
      <c r="G195" s="12" t="n"/>
      <c r="H195" s="14" t="n"/>
      <c r="I195" s="14" t="n"/>
      <c r="J195" s="30">
        <f>IF(C195="","",IF(N(D195)&gt;=Setup!$B$22,"Y","N"))</f>
        <v/>
      </c>
      <c r="K195" s="25">
        <f>IF(C195="","",N(H195)+N(I195))</f>
        <v/>
      </c>
      <c r="L195" s="26">
        <f>IF(N(C195)&gt;0,MIN(1,K195/C195),"")</f>
        <v/>
      </c>
      <c r="M195" s="26">
        <f>IF(N(C195)&gt;0,MIN(1,N(H195)/C195),"")</f>
        <v/>
      </c>
      <c r="N195" s="26">
        <f>IF(L195="","",L195-M195)</f>
        <v/>
      </c>
      <c r="O195" s="30">
        <f>IF(L195="","",IF(L195&gt;=Setup!$B$23,"Complete",IF(L195&gt;0,"Partial","None")))</f>
        <v/>
      </c>
      <c r="P195" s="30">
        <f>IF(C195="","",IF(K195&gt;C195*1.01,"Covered area &gt; KBA area – check overlap; ","")&amp;IF(AND(E195&lt;&gt;"Y",F195&lt;&gt;"Y",J195&lt;&gt;"Y"),"No realm assigned; ",""))</f>
        <v/>
      </c>
    </row>
    <row r="196">
      <c r="A196" s="12" t="n"/>
      <c r="B196" s="12" t="n"/>
      <c r="C196" s="14" t="n"/>
      <c r="D196" s="34" t="n"/>
      <c r="E196" s="12" t="n"/>
      <c r="F196" s="12" t="n"/>
      <c r="G196" s="12" t="n"/>
      <c r="H196" s="14" t="n"/>
      <c r="I196" s="14" t="n"/>
      <c r="J196" s="30">
        <f>IF(C196="","",IF(N(D196)&gt;=Setup!$B$22,"Y","N"))</f>
        <v/>
      </c>
      <c r="K196" s="25">
        <f>IF(C196="","",N(H196)+N(I196))</f>
        <v/>
      </c>
      <c r="L196" s="26">
        <f>IF(N(C196)&gt;0,MIN(1,K196/C196),"")</f>
        <v/>
      </c>
      <c r="M196" s="26">
        <f>IF(N(C196)&gt;0,MIN(1,N(H196)/C196),"")</f>
        <v/>
      </c>
      <c r="N196" s="26">
        <f>IF(L196="","",L196-M196)</f>
        <v/>
      </c>
      <c r="O196" s="30">
        <f>IF(L196="","",IF(L196&gt;=Setup!$B$23,"Complete",IF(L196&gt;0,"Partial","None")))</f>
        <v/>
      </c>
      <c r="P196" s="30">
        <f>IF(C196="","",IF(K196&gt;C196*1.01,"Covered area &gt; KBA area – check overlap; ","")&amp;IF(AND(E196&lt;&gt;"Y",F196&lt;&gt;"Y",J196&lt;&gt;"Y"),"No realm assigned; ",""))</f>
        <v/>
      </c>
    </row>
    <row r="197">
      <c r="A197" s="12" t="n"/>
      <c r="B197" s="12" t="n"/>
      <c r="C197" s="14" t="n"/>
      <c r="D197" s="34" t="n"/>
      <c r="E197" s="12" t="n"/>
      <c r="F197" s="12" t="n"/>
      <c r="G197" s="12" t="n"/>
      <c r="H197" s="14" t="n"/>
      <c r="I197" s="14" t="n"/>
      <c r="J197" s="30">
        <f>IF(C197="","",IF(N(D197)&gt;=Setup!$B$22,"Y","N"))</f>
        <v/>
      </c>
      <c r="K197" s="25">
        <f>IF(C197="","",N(H197)+N(I197))</f>
        <v/>
      </c>
      <c r="L197" s="26">
        <f>IF(N(C197)&gt;0,MIN(1,K197/C197),"")</f>
        <v/>
      </c>
      <c r="M197" s="26">
        <f>IF(N(C197)&gt;0,MIN(1,N(H197)/C197),"")</f>
        <v/>
      </c>
      <c r="N197" s="26">
        <f>IF(L197="","",L197-M197)</f>
        <v/>
      </c>
      <c r="O197" s="30">
        <f>IF(L197="","",IF(L197&gt;=Setup!$B$23,"Complete",IF(L197&gt;0,"Partial","None")))</f>
        <v/>
      </c>
      <c r="P197" s="30">
        <f>IF(C197="","",IF(K197&gt;C197*1.01,"Covered area &gt; KBA area – check overlap; ","")&amp;IF(AND(E197&lt;&gt;"Y",F197&lt;&gt;"Y",J197&lt;&gt;"Y"),"No realm assigned; ",""))</f>
        <v/>
      </c>
    </row>
    <row r="198">
      <c r="A198" s="12" t="n"/>
      <c r="B198" s="12" t="n"/>
      <c r="C198" s="14" t="n"/>
      <c r="D198" s="34" t="n"/>
      <c r="E198" s="12" t="n"/>
      <c r="F198" s="12" t="n"/>
      <c r="G198" s="12" t="n"/>
      <c r="H198" s="14" t="n"/>
      <c r="I198" s="14" t="n"/>
      <c r="J198" s="30">
        <f>IF(C198="","",IF(N(D198)&gt;=Setup!$B$22,"Y","N"))</f>
        <v/>
      </c>
      <c r="K198" s="25">
        <f>IF(C198="","",N(H198)+N(I198))</f>
        <v/>
      </c>
      <c r="L198" s="26">
        <f>IF(N(C198)&gt;0,MIN(1,K198/C198),"")</f>
        <v/>
      </c>
      <c r="M198" s="26">
        <f>IF(N(C198)&gt;0,MIN(1,N(H198)/C198),"")</f>
        <v/>
      </c>
      <c r="N198" s="26">
        <f>IF(L198="","",L198-M198)</f>
        <v/>
      </c>
      <c r="O198" s="30">
        <f>IF(L198="","",IF(L198&gt;=Setup!$B$23,"Complete",IF(L198&gt;0,"Partial","None")))</f>
        <v/>
      </c>
      <c r="P198" s="30">
        <f>IF(C198="","",IF(K198&gt;C198*1.01,"Covered area &gt; KBA area – check overlap; ","")&amp;IF(AND(E198&lt;&gt;"Y",F198&lt;&gt;"Y",J198&lt;&gt;"Y"),"No realm assigned; ",""))</f>
        <v/>
      </c>
    </row>
    <row r="199">
      <c r="A199" s="12" t="n"/>
      <c r="B199" s="12" t="n"/>
      <c r="C199" s="14" t="n"/>
      <c r="D199" s="34" t="n"/>
      <c r="E199" s="12" t="n"/>
      <c r="F199" s="12" t="n"/>
      <c r="G199" s="12" t="n"/>
      <c r="H199" s="14" t="n"/>
      <c r="I199" s="14" t="n"/>
      <c r="J199" s="30">
        <f>IF(C199="","",IF(N(D199)&gt;=Setup!$B$22,"Y","N"))</f>
        <v/>
      </c>
      <c r="K199" s="25">
        <f>IF(C199="","",N(H199)+N(I199))</f>
        <v/>
      </c>
      <c r="L199" s="26">
        <f>IF(N(C199)&gt;0,MIN(1,K199/C199),"")</f>
        <v/>
      </c>
      <c r="M199" s="26">
        <f>IF(N(C199)&gt;0,MIN(1,N(H199)/C199),"")</f>
        <v/>
      </c>
      <c r="N199" s="26">
        <f>IF(L199="","",L199-M199)</f>
        <v/>
      </c>
      <c r="O199" s="30">
        <f>IF(L199="","",IF(L199&gt;=Setup!$B$23,"Complete",IF(L199&gt;0,"Partial","None")))</f>
        <v/>
      </c>
      <c r="P199" s="30">
        <f>IF(C199="","",IF(K199&gt;C199*1.01,"Covered area &gt; KBA area – check overlap; ","")&amp;IF(AND(E199&lt;&gt;"Y",F199&lt;&gt;"Y",J199&lt;&gt;"Y"),"No realm assigned; ",""))</f>
        <v/>
      </c>
    </row>
    <row r="200">
      <c r="A200" s="12" t="n"/>
      <c r="B200" s="12" t="n"/>
      <c r="C200" s="14" t="n"/>
      <c r="D200" s="34" t="n"/>
      <c r="E200" s="12" t="n"/>
      <c r="F200" s="12" t="n"/>
      <c r="G200" s="12" t="n"/>
      <c r="H200" s="14" t="n"/>
      <c r="I200" s="14" t="n"/>
      <c r="J200" s="30">
        <f>IF(C200="","",IF(N(D200)&gt;=Setup!$B$22,"Y","N"))</f>
        <v/>
      </c>
      <c r="K200" s="25">
        <f>IF(C200="","",N(H200)+N(I200))</f>
        <v/>
      </c>
      <c r="L200" s="26">
        <f>IF(N(C200)&gt;0,MIN(1,K200/C200),"")</f>
        <v/>
      </c>
      <c r="M200" s="26">
        <f>IF(N(C200)&gt;0,MIN(1,N(H200)/C200),"")</f>
        <v/>
      </c>
      <c r="N200" s="26">
        <f>IF(L200="","",L200-M200)</f>
        <v/>
      </c>
      <c r="O200" s="30">
        <f>IF(L200="","",IF(L200&gt;=Setup!$B$23,"Complete",IF(L200&gt;0,"Partial","None")))</f>
        <v/>
      </c>
      <c r="P200" s="30">
        <f>IF(C200="","",IF(K200&gt;C200*1.01,"Covered area &gt; KBA area – check overlap; ","")&amp;IF(AND(E200&lt;&gt;"Y",F200&lt;&gt;"Y",J200&lt;&gt;"Y"),"No realm assigned; ",""))</f>
        <v/>
      </c>
    </row>
    <row r="201">
      <c r="A201" s="12" t="n"/>
      <c r="B201" s="12" t="n"/>
      <c r="C201" s="14" t="n"/>
      <c r="D201" s="34" t="n"/>
      <c r="E201" s="12" t="n"/>
      <c r="F201" s="12" t="n"/>
      <c r="G201" s="12" t="n"/>
      <c r="H201" s="14" t="n"/>
      <c r="I201" s="14" t="n"/>
      <c r="J201" s="30">
        <f>IF(C201="","",IF(N(D201)&gt;=Setup!$B$22,"Y","N"))</f>
        <v/>
      </c>
      <c r="K201" s="25">
        <f>IF(C201="","",N(H201)+N(I201))</f>
        <v/>
      </c>
      <c r="L201" s="26">
        <f>IF(N(C201)&gt;0,MIN(1,K201/C201),"")</f>
        <v/>
      </c>
      <c r="M201" s="26">
        <f>IF(N(C201)&gt;0,MIN(1,N(H201)/C201),"")</f>
        <v/>
      </c>
      <c r="N201" s="26">
        <f>IF(L201="","",L201-M201)</f>
        <v/>
      </c>
      <c r="O201" s="30">
        <f>IF(L201="","",IF(L201&gt;=Setup!$B$23,"Complete",IF(L201&gt;0,"Partial","None")))</f>
        <v/>
      </c>
      <c r="P201" s="30">
        <f>IF(C201="","",IF(K201&gt;C201*1.01,"Covered area &gt; KBA area – check overlap; ","")&amp;IF(AND(E201&lt;&gt;"Y",F201&lt;&gt;"Y",J201&lt;&gt;"Y"),"No realm assigned; ",""))</f>
        <v/>
      </c>
    </row>
    <row r="202">
      <c r="A202" s="12" t="n"/>
      <c r="B202" s="12" t="n"/>
      <c r="C202" s="14" t="n"/>
      <c r="D202" s="34" t="n"/>
      <c r="E202" s="12" t="n"/>
      <c r="F202" s="12" t="n"/>
      <c r="G202" s="12" t="n"/>
      <c r="H202" s="14" t="n"/>
      <c r="I202" s="14" t="n"/>
      <c r="J202" s="30">
        <f>IF(C202="","",IF(N(D202)&gt;=Setup!$B$22,"Y","N"))</f>
        <v/>
      </c>
      <c r="K202" s="25">
        <f>IF(C202="","",N(H202)+N(I202))</f>
        <v/>
      </c>
      <c r="L202" s="26">
        <f>IF(N(C202)&gt;0,MIN(1,K202/C202),"")</f>
        <v/>
      </c>
      <c r="M202" s="26">
        <f>IF(N(C202)&gt;0,MIN(1,N(H202)/C202),"")</f>
        <v/>
      </c>
      <c r="N202" s="26">
        <f>IF(L202="","",L202-M202)</f>
        <v/>
      </c>
      <c r="O202" s="30">
        <f>IF(L202="","",IF(L202&gt;=Setup!$B$23,"Complete",IF(L202&gt;0,"Partial","None")))</f>
        <v/>
      </c>
      <c r="P202" s="30">
        <f>IF(C202="","",IF(K202&gt;C202*1.01,"Covered area &gt; KBA area – check overlap; ","")&amp;IF(AND(E202&lt;&gt;"Y",F202&lt;&gt;"Y",J202&lt;&gt;"Y"),"No realm assigned; ",""))</f>
        <v/>
      </c>
    </row>
    <row r="203">
      <c r="A203" s="12" t="n"/>
      <c r="B203" s="12" t="n"/>
      <c r="C203" s="14" t="n"/>
      <c r="D203" s="34" t="n"/>
      <c r="E203" s="12" t="n"/>
      <c r="F203" s="12" t="n"/>
      <c r="G203" s="12" t="n"/>
      <c r="H203" s="14" t="n"/>
      <c r="I203" s="14" t="n"/>
      <c r="J203" s="30">
        <f>IF(C203="","",IF(N(D203)&gt;=Setup!$B$22,"Y","N"))</f>
        <v/>
      </c>
      <c r="K203" s="25">
        <f>IF(C203="","",N(H203)+N(I203))</f>
        <v/>
      </c>
      <c r="L203" s="26">
        <f>IF(N(C203)&gt;0,MIN(1,K203/C203),"")</f>
        <v/>
      </c>
      <c r="M203" s="26">
        <f>IF(N(C203)&gt;0,MIN(1,N(H203)/C203),"")</f>
        <v/>
      </c>
      <c r="N203" s="26">
        <f>IF(L203="","",L203-M203)</f>
        <v/>
      </c>
      <c r="O203" s="30">
        <f>IF(L203="","",IF(L203&gt;=Setup!$B$23,"Complete",IF(L203&gt;0,"Partial","None")))</f>
        <v/>
      </c>
      <c r="P203" s="30">
        <f>IF(C203="","",IF(K203&gt;C203*1.01,"Covered area &gt; KBA area – check overlap; ","")&amp;IF(AND(E203&lt;&gt;"Y",F203&lt;&gt;"Y",J203&lt;&gt;"Y"),"No realm assigned; ",""))</f>
        <v/>
      </c>
    </row>
    <row r="204">
      <c r="A204" s="12" t="n"/>
      <c r="B204" s="12" t="n"/>
      <c r="C204" s="14" t="n"/>
      <c r="D204" s="34" t="n"/>
      <c r="E204" s="12" t="n"/>
      <c r="F204" s="12" t="n"/>
      <c r="G204" s="12" t="n"/>
      <c r="H204" s="14" t="n"/>
      <c r="I204" s="14" t="n"/>
      <c r="J204" s="30">
        <f>IF(C204="","",IF(N(D204)&gt;=Setup!$B$22,"Y","N"))</f>
        <v/>
      </c>
      <c r="K204" s="25">
        <f>IF(C204="","",N(H204)+N(I204))</f>
        <v/>
      </c>
      <c r="L204" s="26">
        <f>IF(N(C204)&gt;0,MIN(1,K204/C204),"")</f>
        <v/>
      </c>
      <c r="M204" s="26">
        <f>IF(N(C204)&gt;0,MIN(1,N(H204)/C204),"")</f>
        <v/>
      </c>
      <c r="N204" s="26">
        <f>IF(L204="","",L204-M204)</f>
        <v/>
      </c>
      <c r="O204" s="30">
        <f>IF(L204="","",IF(L204&gt;=Setup!$B$23,"Complete",IF(L204&gt;0,"Partial","None")))</f>
        <v/>
      </c>
      <c r="P204" s="30">
        <f>IF(C204="","",IF(K204&gt;C204*1.01,"Covered area &gt; KBA area – check overlap; ","")&amp;IF(AND(E204&lt;&gt;"Y",F204&lt;&gt;"Y",J204&lt;&gt;"Y"),"No realm assigned; ",""))</f>
        <v/>
      </c>
    </row>
    <row r="205">
      <c r="A205" s="12" t="n"/>
      <c r="B205" s="12" t="n"/>
      <c r="C205" s="14" t="n"/>
      <c r="D205" s="34" t="n"/>
      <c r="E205" s="12" t="n"/>
      <c r="F205" s="12" t="n"/>
      <c r="G205" s="12" t="n"/>
      <c r="H205" s="14" t="n"/>
      <c r="I205" s="14" t="n"/>
      <c r="J205" s="30">
        <f>IF(C205="","",IF(N(D205)&gt;=Setup!$B$22,"Y","N"))</f>
        <v/>
      </c>
      <c r="K205" s="25">
        <f>IF(C205="","",N(H205)+N(I205))</f>
        <v/>
      </c>
      <c r="L205" s="26">
        <f>IF(N(C205)&gt;0,MIN(1,K205/C205),"")</f>
        <v/>
      </c>
      <c r="M205" s="26">
        <f>IF(N(C205)&gt;0,MIN(1,N(H205)/C205),"")</f>
        <v/>
      </c>
      <c r="N205" s="26">
        <f>IF(L205="","",L205-M205)</f>
        <v/>
      </c>
      <c r="O205" s="30">
        <f>IF(L205="","",IF(L205&gt;=Setup!$B$23,"Complete",IF(L205&gt;0,"Partial","None")))</f>
        <v/>
      </c>
      <c r="P205" s="30">
        <f>IF(C205="","",IF(K205&gt;C205*1.01,"Covered area &gt; KBA area – check overlap; ","")&amp;IF(AND(E205&lt;&gt;"Y",F205&lt;&gt;"Y",J205&lt;&gt;"Y"),"No realm assigned; ",""))</f>
        <v/>
      </c>
    </row>
    <row r="206">
      <c r="A206" s="12" t="n"/>
      <c r="B206" s="12" t="n"/>
      <c r="C206" s="14" t="n"/>
      <c r="D206" s="34" t="n"/>
      <c r="E206" s="12" t="n"/>
      <c r="F206" s="12" t="n"/>
      <c r="G206" s="12" t="n"/>
      <c r="H206" s="14" t="n"/>
      <c r="I206" s="14" t="n"/>
      <c r="J206" s="30">
        <f>IF(C206="","",IF(N(D206)&gt;=Setup!$B$22,"Y","N"))</f>
        <v/>
      </c>
      <c r="K206" s="25">
        <f>IF(C206="","",N(H206)+N(I206))</f>
        <v/>
      </c>
      <c r="L206" s="26">
        <f>IF(N(C206)&gt;0,MIN(1,K206/C206),"")</f>
        <v/>
      </c>
      <c r="M206" s="26">
        <f>IF(N(C206)&gt;0,MIN(1,N(H206)/C206),"")</f>
        <v/>
      </c>
      <c r="N206" s="26">
        <f>IF(L206="","",L206-M206)</f>
        <v/>
      </c>
      <c r="O206" s="30">
        <f>IF(L206="","",IF(L206&gt;=Setup!$B$23,"Complete",IF(L206&gt;0,"Partial","None")))</f>
        <v/>
      </c>
      <c r="P206" s="30">
        <f>IF(C206="","",IF(K206&gt;C206*1.01,"Covered area &gt; KBA area – check overlap; ","")&amp;IF(AND(E206&lt;&gt;"Y",F206&lt;&gt;"Y",J206&lt;&gt;"Y"),"No realm assigned; ",""))</f>
        <v/>
      </c>
    </row>
    <row r="207">
      <c r="A207" s="12" t="n"/>
      <c r="B207" s="12" t="n"/>
      <c r="C207" s="14" t="n"/>
      <c r="D207" s="34" t="n"/>
      <c r="E207" s="12" t="n"/>
      <c r="F207" s="12" t="n"/>
      <c r="G207" s="12" t="n"/>
      <c r="H207" s="14" t="n"/>
      <c r="I207" s="14" t="n"/>
      <c r="J207" s="30">
        <f>IF(C207="","",IF(N(D207)&gt;=Setup!$B$22,"Y","N"))</f>
        <v/>
      </c>
      <c r="K207" s="25">
        <f>IF(C207="","",N(H207)+N(I207))</f>
        <v/>
      </c>
      <c r="L207" s="26">
        <f>IF(N(C207)&gt;0,MIN(1,K207/C207),"")</f>
        <v/>
      </c>
      <c r="M207" s="26">
        <f>IF(N(C207)&gt;0,MIN(1,N(H207)/C207),"")</f>
        <v/>
      </c>
      <c r="N207" s="26">
        <f>IF(L207="","",L207-M207)</f>
        <v/>
      </c>
      <c r="O207" s="30">
        <f>IF(L207="","",IF(L207&gt;=Setup!$B$23,"Complete",IF(L207&gt;0,"Partial","None")))</f>
        <v/>
      </c>
      <c r="P207" s="30">
        <f>IF(C207="","",IF(K207&gt;C207*1.01,"Covered area &gt; KBA area – check overlap; ","")&amp;IF(AND(E207&lt;&gt;"Y",F207&lt;&gt;"Y",J207&lt;&gt;"Y"),"No realm assigned; ",""))</f>
        <v/>
      </c>
    </row>
    <row r="208">
      <c r="A208" s="12" t="n"/>
      <c r="B208" s="12" t="n"/>
      <c r="C208" s="14" t="n"/>
      <c r="D208" s="34" t="n"/>
      <c r="E208" s="12" t="n"/>
      <c r="F208" s="12" t="n"/>
      <c r="G208" s="12" t="n"/>
      <c r="H208" s="14" t="n"/>
      <c r="I208" s="14" t="n"/>
      <c r="J208" s="30">
        <f>IF(C208="","",IF(N(D208)&gt;=Setup!$B$22,"Y","N"))</f>
        <v/>
      </c>
      <c r="K208" s="25">
        <f>IF(C208="","",N(H208)+N(I208))</f>
        <v/>
      </c>
      <c r="L208" s="26">
        <f>IF(N(C208)&gt;0,MIN(1,K208/C208),"")</f>
        <v/>
      </c>
      <c r="M208" s="26">
        <f>IF(N(C208)&gt;0,MIN(1,N(H208)/C208),"")</f>
        <v/>
      </c>
      <c r="N208" s="26">
        <f>IF(L208="","",L208-M208)</f>
        <v/>
      </c>
      <c r="O208" s="30">
        <f>IF(L208="","",IF(L208&gt;=Setup!$B$23,"Complete",IF(L208&gt;0,"Partial","None")))</f>
        <v/>
      </c>
      <c r="P208" s="30">
        <f>IF(C208="","",IF(K208&gt;C208*1.01,"Covered area &gt; KBA area – check overlap; ","")&amp;IF(AND(E208&lt;&gt;"Y",F208&lt;&gt;"Y",J208&lt;&gt;"Y"),"No realm assigned; ",""))</f>
        <v/>
      </c>
    </row>
    <row r="209">
      <c r="A209" s="12" t="n"/>
      <c r="B209" s="12" t="n"/>
      <c r="C209" s="14" t="n"/>
      <c r="D209" s="34" t="n"/>
      <c r="E209" s="12" t="n"/>
      <c r="F209" s="12" t="n"/>
      <c r="G209" s="12" t="n"/>
      <c r="H209" s="14" t="n"/>
      <c r="I209" s="14" t="n"/>
      <c r="J209" s="30">
        <f>IF(C209="","",IF(N(D209)&gt;=Setup!$B$22,"Y","N"))</f>
        <v/>
      </c>
      <c r="K209" s="25">
        <f>IF(C209="","",N(H209)+N(I209))</f>
        <v/>
      </c>
      <c r="L209" s="26">
        <f>IF(N(C209)&gt;0,MIN(1,K209/C209),"")</f>
        <v/>
      </c>
      <c r="M209" s="26">
        <f>IF(N(C209)&gt;0,MIN(1,N(H209)/C209),"")</f>
        <v/>
      </c>
      <c r="N209" s="26">
        <f>IF(L209="","",L209-M209)</f>
        <v/>
      </c>
      <c r="O209" s="30">
        <f>IF(L209="","",IF(L209&gt;=Setup!$B$23,"Complete",IF(L209&gt;0,"Partial","None")))</f>
        <v/>
      </c>
      <c r="P209" s="30">
        <f>IF(C209="","",IF(K209&gt;C209*1.01,"Covered area &gt; KBA area – check overlap; ","")&amp;IF(AND(E209&lt;&gt;"Y",F209&lt;&gt;"Y",J209&lt;&gt;"Y"),"No realm assigned; ",""))</f>
        <v/>
      </c>
    </row>
    <row r="210">
      <c r="A210" s="12" t="n"/>
      <c r="B210" s="12" t="n"/>
      <c r="C210" s="14" t="n"/>
      <c r="D210" s="34" t="n"/>
      <c r="E210" s="12" t="n"/>
      <c r="F210" s="12" t="n"/>
      <c r="G210" s="12" t="n"/>
      <c r="H210" s="14" t="n"/>
      <c r="I210" s="14" t="n"/>
      <c r="J210" s="30">
        <f>IF(C210="","",IF(N(D210)&gt;=Setup!$B$22,"Y","N"))</f>
        <v/>
      </c>
      <c r="K210" s="25">
        <f>IF(C210="","",N(H210)+N(I210))</f>
        <v/>
      </c>
      <c r="L210" s="26">
        <f>IF(N(C210)&gt;0,MIN(1,K210/C210),"")</f>
        <v/>
      </c>
      <c r="M210" s="26">
        <f>IF(N(C210)&gt;0,MIN(1,N(H210)/C210),"")</f>
        <v/>
      </c>
      <c r="N210" s="26">
        <f>IF(L210="","",L210-M210)</f>
        <v/>
      </c>
      <c r="O210" s="30">
        <f>IF(L210="","",IF(L210&gt;=Setup!$B$23,"Complete",IF(L210&gt;0,"Partial","None")))</f>
        <v/>
      </c>
      <c r="P210" s="30">
        <f>IF(C210="","",IF(K210&gt;C210*1.01,"Covered area &gt; KBA area – check overlap; ","")&amp;IF(AND(E210&lt;&gt;"Y",F210&lt;&gt;"Y",J210&lt;&gt;"Y"),"No realm assigned; ",""))</f>
        <v/>
      </c>
    </row>
    <row r="211">
      <c r="A211" s="12" t="n"/>
      <c r="B211" s="12" t="n"/>
      <c r="C211" s="14" t="n"/>
      <c r="D211" s="34" t="n"/>
      <c r="E211" s="12" t="n"/>
      <c r="F211" s="12" t="n"/>
      <c r="G211" s="12" t="n"/>
      <c r="H211" s="14" t="n"/>
      <c r="I211" s="14" t="n"/>
      <c r="J211" s="30">
        <f>IF(C211="","",IF(N(D211)&gt;=Setup!$B$22,"Y","N"))</f>
        <v/>
      </c>
      <c r="K211" s="25">
        <f>IF(C211="","",N(H211)+N(I211))</f>
        <v/>
      </c>
      <c r="L211" s="26">
        <f>IF(N(C211)&gt;0,MIN(1,K211/C211),"")</f>
        <v/>
      </c>
      <c r="M211" s="26">
        <f>IF(N(C211)&gt;0,MIN(1,N(H211)/C211),"")</f>
        <v/>
      </c>
      <c r="N211" s="26">
        <f>IF(L211="","",L211-M211)</f>
        <v/>
      </c>
      <c r="O211" s="30">
        <f>IF(L211="","",IF(L211&gt;=Setup!$B$23,"Complete",IF(L211&gt;0,"Partial","None")))</f>
        <v/>
      </c>
      <c r="P211" s="30">
        <f>IF(C211="","",IF(K211&gt;C211*1.01,"Covered area &gt; KBA area – check overlap; ","")&amp;IF(AND(E211&lt;&gt;"Y",F211&lt;&gt;"Y",J211&lt;&gt;"Y"),"No realm assigned; ",""))</f>
        <v/>
      </c>
    </row>
    <row r="212">
      <c r="A212" s="12" t="n"/>
      <c r="B212" s="12" t="n"/>
      <c r="C212" s="14" t="n"/>
      <c r="D212" s="34" t="n"/>
      <c r="E212" s="12" t="n"/>
      <c r="F212" s="12" t="n"/>
      <c r="G212" s="12" t="n"/>
      <c r="H212" s="14" t="n"/>
      <c r="I212" s="14" t="n"/>
      <c r="J212" s="30">
        <f>IF(C212="","",IF(N(D212)&gt;=Setup!$B$22,"Y","N"))</f>
        <v/>
      </c>
      <c r="K212" s="25">
        <f>IF(C212="","",N(H212)+N(I212))</f>
        <v/>
      </c>
      <c r="L212" s="26">
        <f>IF(N(C212)&gt;0,MIN(1,K212/C212),"")</f>
        <v/>
      </c>
      <c r="M212" s="26">
        <f>IF(N(C212)&gt;0,MIN(1,N(H212)/C212),"")</f>
        <v/>
      </c>
      <c r="N212" s="26">
        <f>IF(L212="","",L212-M212)</f>
        <v/>
      </c>
      <c r="O212" s="30">
        <f>IF(L212="","",IF(L212&gt;=Setup!$B$23,"Complete",IF(L212&gt;0,"Partial","None")))</f>
        <v/>
      </c>
      <c r="P212" s="30">
        <f>IF(C212="","",IF(K212&gt;C212*1.01,"Covered area &gt; KBA area – check overlap; ","")&amp;IF(AND(E212&lt;&gt;"Y",F212&lt;&gt;"Y",J212&lt;&gt;"Y"),"No realm assigned; ",""))</f>
        <v/>
      </c>
    </row>
    <row r="213">
      <c r="A213" s="12" t="n"/>
      <c r="B213" s="12" t="n"/>
      <c r="C213" s="14" t="n"/>
      <c r="D213" s="34" t="n"/>
      <c r="E213" s="12" t="n"/>
      <c r="F213" s="12" t="n"/>
      <c r="G213" s="12" t="n"/>
      <c r="H213" s="14" t="n"/>
      <c r="I213" s="14" t="n"/>
      <c r="J213" s="30">
        <f>IF(C213="","",IF(N(D213)&gt;=Setup!$B$22,"Y","N"))</f>
        <v/>
      </c>
      <c r="K213" s="25">
        <f>IF(C213="","",N(H213)+N(I213))</f>
        <v/>
      </c>
      <c r="L213" s="26">
        <f>IF(N(C213)&gt;0,MIN(1,K213/C213),"")</f>
        <v/>
      </c>
      <c r="M213" s="26">
        <f>IF(N(C213)&gt;0,MIN(1,N(H213)/C213),"")</f>
        <v/>
      </c>
      <c r="N213" s="26">
        <f>IF(L213="","",L213-M213)</f>
        <v/>
      </c>
      <c r="O213" s="30">
        <f>IF(L213="","",IF(L213&gt;=Setup!$B$23,"Complete",IF(L213&gt;0,"Partial","None")))</f>
        <v/>
      </c>
      <c r="P213" s="30">
        <f>IF(C213="","",IF(K213&gt;C213*1.01,"Covered area &gt; KBA area – check overlap; ","")&amp;IF(AND(E213&lt;&gt;"Y",F213&lt;&gt;"Y",J213&lt;&gt;"Y"),"No realm assigned; ",""))</f>
        <v/>
      </c>
    </row>
    <row r="214">
      <c r="A214" s="12" t="n"/>
      <c r="B214" s="12" t="n"/>
      <c r="C214" s="14" t="n"/>
      <c r="D214" s="34" t="n"/>
      <c r="E214" s="12" t="n"/>
      <c r="F214" s="12" t="n"/>
      <c r="G214" s="12" t="n"/>
      <c r="H214" s="14" t="n"/>
      <c r="I214" s="14" t="n"/>
      <c r="J214" s="30">
        <f>IF(C214="","",IF(N(D214)&gt;=Setup!$B$22,"Y","N"))</f>
        <v/>
      </c>
      <c r="K214" s="25">
        <f>IF(C214="","",N(H214)+N(I214))</f>
        <v/>
      </c>
      <c r="L214" s="26">
        <f>IF(N(C214)&gt;0,MIN(1,K214/C214),"")</f>
        <v/>
      </c>
      <c r="M214" s="26">
        <f>IF(N(C214)&gt;0,MIN(1,N(H214)/C214),"")</f>
        <v/>
      </c>
      <c r="N214" s="26">
        <f>IF(L214="","",L214-M214)</f>
        <v/>
      </c>
      <c r="O214" s="30">
        <f>IF(L214="","",IF(L214&gt;=Setup!$B$23,"Complete",IF(L214&gt;0,"Partial","None")))</f>
        <v/>
      </c>
      <c r="P214" s="30">
        <f>IF(C214="","",IF(K214&gt;C214*1.01,"Covered area &gt; KBA area – check overlap; ","")&amp;IF(AND(E214&lt;&gt;"Y",F214&lt;&gt;"Y",J214&lt;&gt;"Y"),"No realm assigned; ",""))</f>
        <v/>
      </c>
    </row>
    <row r="215">
      <c r="A215" s="12" t="n"/>
      <c r="B215" s="12" t="n"/>
      <c r="C215" s="14" t="n"/>
      <c r="D215" s="34" t="n"/>
      <c r="E215" s="12" t="n"/>
      <c r="F215" s="12" t="n"/>
      <c r="G215" s="12" t="n"/>
      <c r="H215" s="14" t="n"/>
      <c r="I215" s="14" t="n"/>
      <c r="J215" s="30">
        <f>IF(C215="","",IF(N(D215)&gt;=Setup!$B$22,"Y","N"))</f>
        <v/>
      </c>
      <c r="K215" s="25">
        <f>IF(C215="","",N(H215)+N(I215))</f>
        <v/>
      </c>
      <c r="L215" s="26">
        <f>IF(N(C215)&gt;0,MIN(1,K215/C215),"")</f>
        <v/>
      </c>
      <c r="M215" s="26">
        <f>IF(N(C215)&gt;0,MIN(1,N(H215)/C215),"")</f>
        <v/>
      </c>
      <c r="N215" s="26">
        <f>IF(L215="","",L215-M215)</f>
        <v/>
      </c>
      <c r="O215" s="30">
        <f>IF(L215="","",IF(L215&gt;=Setup!$B$23,"Complete",IF(L215&gt;0,"Partial","None")))</f>
        <v/>
      </c>
      <c r="P215" s="30">
        <f>IF(C215="","",IF(K215&gt;C215*1.01,"Covered area &gt; KBA area – check overlap; ","")&amp;IF(AND(E215&lt;&gt;"Y",F215&lt;&gt;"Y",J215&lt;&gt;"Y"),"No realm assigned; ",""))</f>
        <v/>
      </c>
    </row>
    <row r="216">
      <c r="A216" s="12" t="n"/>
      <c r="B216" s="12" t="n"/>
      <c r="C216" s="14" t="n"/>
      <c r="D216" s="34" t="n"/>
      <c r="E216" s="12" t="n"/>
      <c r="F216" s="12" t="n"/>
      <c r="G216" s="12" t="n"/>
      <c r="H216" s="14" t="n"/>
      <c r="I216" s="14" t="n"/>
      <c r="J216" s="30">
        <f>IF(C216="","",IF(N(D216)&gt;=Setup!$B$22,"Y","N"))</f>
        <v/>
      </c>
      <c r="K216" s="25">
        <f>IF(C216="","",N(H216)+N(I216))</f>
        <v/>
      </c>
      <c r="L216" s="26">
        <f>IF(N(C216)&gt;0,MIN(1,K216/C216),"")</f>
        <v/>
      </c>
      <c r="M216" s="26">
        <f>IF(N(C216)&gt;0,MIN(1,N(H216)/C216),"")</f>
        <v/>
      </c>
      <c r="N216" s="26">
        <f>IF(L216="","",L216-M216)</f>
        <v/>
      </c>
      <c r="O216" s="30">
        <f>IF(L216="","",IF(L216&gt;=Setup!$B$23,"Complete",IF(L216&gt;0,"Partial","None")))</f>
        <v/>
      </c>
      <c r="P216" s="30">
        <f>IF(C216="","",IF(K216&gt;C216*1.01,"Covered area &gt; KBA area – check overlap; ","")&amp;IF(AND(E216&lt;&gt;"Y",F216&lt;&gt;"Y",J216&lt;&gt;"Y"),"No realm assigned; ",""))</f>
        <v/>
      </c>
    </row>
    <row r="217">
      <c r="A217" s="12" t="n"/>
      <c r="B217" s="12" t="n"/>
      <c r="C217" s="14" t="n"/>
      <c r="D217" s="34" t="n"/>
      <c r="E217" s="12" t="n"/>
      <c r="F217" s="12" t="n"/>
      <c r="G217" s="12" t="n"/>
      <c r="H217" s="14" t="n"/>
      <c r="I217" s="14" t="n"/>
      <c r="J217" s="30">
        <f>IF(C217="","",IF(N(D217)&gt;=Setup!$B$22,"Y","N"))</f>
        <v/>
      </c>
      <c r="K217" s="25">
        <f>IF(C217="","",N(H217)+N(I217))</f>
        <v/>
      </c>
      <c r="L217" s="26">
        <f>IF(N(C217)&gt;0,MIN(1,K217/C217),"")</f>
        <v/>
      </c>
      <c r="M217" s="26">
        <f>IF(N(C217)&gt;0,MIN(1,N(H217)/C217),"")</f>
        <v/>
      </c>
      <c r="N217" s="26">
        <f>IF(L217="","",L217-M217)</f>
        <v/>
      </c>
      <c r="O217" s="30">
        <f>IF(L217="","",IF(L217&gt;=Setup!$B$23,"Complete",IF(L217&gt;0,"Partial","None")))</f>
        <v/>
      </c>
      <c r="P217" s="30">
        <f>IF(C217="","",IF(K217&gt;C217*1.01,"Covered area &gt; KBA area – check overlap; ","")&amp;IF(AND(E217&lt;&gt;"Y",F217&lt;&gt;"Y",J217&lt;&gt;"Y"),"No realm assigned; ",""))</f>
        <v/>
      </c>
    </row>
    <row r="218">
      <c r="A218" s="12" t="n"/>
      <c r="B218" s="12" t="n"/>
      <c r="C218" s="14" t="n"/>
      <c r="D218" s="34" t="n"/>
      <c r="E218" s="12" t="n"/>
      <c r="F218" s="12" t="n"/>
      <c r="G218" s="12" t="n"/>
      <c r="H218" s="14" t="n"/>
      <c r="I218" s="14" t="n"/>
      <c r="J218" s="30">
        <f>IF(C218="","",IF(N(D218)&gt;=Setup!$B$22,"Y","N"))</f>
        <v/>
      </c>
      <c r="K218" s="25">
        <f>IF(C218="","",N(H218)+N(I218))</f>
        <v/>
      </c>
      <c r="L218" s="26">
        <f>IF(N(C218)&gt;0,MIN(1,K218/C218),"")</f>
        <v/>
      </c>
      <c r="M218" s="26">
        <f>IF(N(C218)&gt;0,MIN(1,N(H218)/C218),"")</f>
        <v/>
      </c>
      <c r="N218" s="26">
        <f>IF(L218="","",L218-M218)</f>
        <v/>
      </c>
      <c r="O218" s="30">
        <f>IF(L218="","",IF(L218&gt;=Setup!$B$23,"Complete",IF(L218&gt;0,"Partial","None")))</f>
        <v/>
      </c>
      <c r="P218" s="30">
        <f>IF(C218="","",IF(K218&gt;C218*1.01,"Covered area &gt; KBA area – check overlap; ","")&amp;IF(AND(E218&lt;&gt;"Y",F218&lt;&gt;"Y",J218&lt;&gt;"Y"),"No realm assigned; ",""))</f>
        <v/>
      </c>
    </row>
    <row r="219">
      <c r="A219" s="12" t="n"/>
      <c r="B219" s="12" t="n"/>
      <c r="C219" s="14" t="n"/>
      <c r="D219" s="34" t="n"/>
      <c r="E219" s="12" t="n"/>
      <c r="F219" s="12" t="n"/>
      <c r="G219" s="12" t="n"/>
      <c r="H219" s="14" t="n"/>
      <c r="I219" s="14" t="n"/>
      <c r="J219" s="30">
        <f>IF(C219="","",IF(N(D219)&gt;=Setup!$B$22,"Y","N"))</f>
        <v/>
      </c>
      <c r="K219" s="25">
        <f>IF(C219="","",N(H219)+N(I219))</f>
        <v/>
      </c>
      <c r="L219" s="26">
        <f>IF(N(C219)&gt;0,MIN(1,K219/C219),"")</f>
        <v/>
      </c>
      <c r="M219" s="26">
        <f>IF(N(C219)&gt;0,MIN(1,N(H219)/C219),"")</f>
        <v/>
      </c>
      <c r="N219" s="26">
        <f>IF(L219="","",L219-M219)</f>
        <v/>
      </c>
      <c r="O219" s="30">
        <f>IF(L219="","",IF(L219&gt;=Setup!$B$23,"Complete",IF(L219&gt;0,"Partial","None")))</f>
        <v/>
      </c>
      <c r="P219" s="30">
        <f>IF(C219="","",IF(K219&gt;C219*1.01,"Covered area &gt; KBA area – check overlap; ","")&amp;IF(AND(E219&lt;&gt;"Y",F219&lt;&gt;"Y",J219&lt;&gt;"Y"),"No realm assigned; ",""))</f>
        <v/>
      </c>
    </row>
    <row r="220">
      <c r="A220" s="12" t="n"/>
      <c r="B220" s="12" t="n"/>
      <c r="C220" s="14" t="n"/>
      <c r="D220" s="34" t="n"/>
      <c r="E220" s="12" t="n"/>
      <c r="F220" s="12" t="n"/>
      <c r="G220" s="12" t="n"/>
      <c r="H220" s="14" t="n"/>
      <c r="I220" s="14" t="n"/>
      <c r="J220" s="30">
        <f>IF(C220="","",IF(N(D220)&gt;=Setup!$B$22,"Y","N"))</f>
        <v/>
      </c>
      <c r="K220" s="25">
        <f>IF(C220="","",N(H220)+N(I220))</f>
        <v/>
      </c>
      <c r="L220" s="26">
        <f>IF(N(C220)&gt;0,MIN(1,K220/C220),"")</f>
        <v/>
      </c>
      <c r="M220" s="26">
        <f>IF(N(C220)&gt;0,MIN(1,N(H220)/C220),"")</f>
        <v/>
      </c>
      <c r="N220" s="26">
        <f>IF(L220="","",L220-M220)</f>
        <v/>
      </c>
      <c r="O220" s="30">
        <f>IF(L220="","",IF(L220&gt;=Setup!$B$23,"Complete",IF(L220&gt;0,"Partial","None")))</f>
        <v/>
      </c>
      <c r="P220" s="30">
        <f>IF(C220="","",IF(K220&gt;C220*1.01,"Covered area &gt; KBA area – check overlap; ","")&amp;IF(AND(E220&lt;&gt;"Y",F220&lt;&gt;"Y",J220&lt;&gt;"Y"),"No realm assigned; ",""))</f>
        <v/>
      </c>
    </row>
    <row r="221">
      <c r="A221" s="12" t="n"/>
      <c r="B221" s="12" t="n"/>
      <c r="C221" s="14" t="n"/>
      <c r="D221" s="34" t="n"/>
      <c r="E221" s="12" t="n"/>
      <c r="F221" s="12" t="n"/>
      <c r="G221" s="12" t="n"/>
      <c r="H221" s="14" t="n"/>
      <c r="I221" s="14" t="n"/>
      <c r="J221" s="30">
        <f>IF(C221="","",IF(N(D221)&gt;=Setup!$B$22,"Y","N"))</f>
        <v/>
      </c>
      <c r="K221" s="25">
        <f>IF(C221="","",N(H221)+N(I221))</f>
        <v/>
      </c>
      <c r="L221" s="26">
        <f>IF(N(C221)&gt;0,MIN(1,K221/C221),"")</f>
        <v/>
      </c>
      <c r="M221" s="26">
        <f>IF(N(C221)&gt;0,MIN(1,N(H221)/C221),"")</f>
        <v/>
      </c>
      <c r="N221" s="26">
        <f>IF(L221="","",L221-M221)</f>
        <v/>
      </c>
      <c r="O221" s="30">
        <f>IF(L221="","",IF(L221&gt;=Setup!$B$23,"Complete",IF(L221&gt;0,"Partial","None")))</f>
        <v/>
      </c>
      <c r="P221" s="30">
        <f>IF(C221="","",IF(K221&gt;C221*1.01,"Covered area &gt; KBA area – check overlap; ","")&amp;IF(AND(E221&lt;&gt;"Y",F221&lt;&gt;"Y",J221&lt;&gt;"Y"),"No realm assigned; ",""))</f>
        <v/>
      </c>
    </row>
    <row r="222">
      <c r="A222" s="12" t="n"/>
      <c r="B222" s="12" t="n"/>
      <c r="C222" s="14" t="n"/>
      <c r="D222" s="34" t="n"/>
      <c r="E222" s="12" t="n"/>
      <c r="F222" s="12" t="n"/>
      <c r="G222" s="12" t="n"/>
      <c r="H222" s="14" t="n"/>
      <c r="I222" s="14" t="n"/>
      <c r="J222" s="30">
        <f>IF(C222="","",IF(N(D222)&gt;=Setup!$B$22,"Y","N"))</f>
        <v/>
      </c>
      <c r="K222" s="25">
        <f>IF(C222="","",N(H222)+N(I222))</f>
        <v/>
      </c>
      <c r="L222" s="26">
        <f>IF(N(C222)&gt;0,MIN(1,K222/C222),"")</f>
        <v/>
      </c>
      <c r="M222" s="26">
        <f>IF(N(C222)&gt;0,MIN(1,N(H222)/C222),"")</f>
        <v/>
      </c>
      <c r="N222" s="26">
        <f>IF(L222="","",L222-M222)</f>
        <v/>
      </c>
      <c r="O222" s="30">
        <f>IF(L222="","",IF(L222&gt;=Setup!$B$23,"Complete",IF(L222&gt;0,"Partial","None")))</f>
        <v/>
      </c>
      <c r="P222" s="30">
        <f>IF(C222="","",IF(K222&gt;C222*1.01,"Covered area &gt; KBA area – check overlap; ","")&amp;IF(AND(E222&lt;&gt;"Y",F222&lt;&gt;"Y",J222&lt;&gt;"Y"),"No realm assigned; ",""))</f>
        <v/>
      </c>
    </row>
    <row r="223">
      <c r="A223" s="12" t="n"/>
      <c r="B223" s="12" t="n"/>
      <c r="C223" s="14" t="n"/>
      <c r="D223" s="34" t="n"/>
      <c r="E223" s="12" t="n"/>
      <c r="F223" s="12" t="n"/>
      <c r="G223" s="12" t="n"/>
      <c r="H223" s="14" t="n"/>
      <c r="I223" s="14" t="n"/>
      <c r="J223" s="30">
        <f>IF(C223="","",IF(N(D223)&gt;=Setup!$B$22,"Y","N"))</f>
        <v/>
      </c>
      <c r="K223" s="25">
        <f>IF(C223="","",N(H223)+N(I223))</f>
        <v/>
      </c>
      <c r="L223" s="26">
        <f>IF(N(C223)&gt;0,MIN(1,K223/C223),"")</f>
        <v/>
      </c>
      <c r="M223" s="26">
        <f>IF(N(C223)&gt;0,MIN(1,N(H223)/C223),"")</f>
        <v/>
      </c>
      <c r="N223" s="26">
        <f>IF(L223="","",L223-M223)</f>
        <v/>
      </c>
      <c r="O223" s="30">
        <f>IF(L223="","",IF(L223&gt;=Setup!$B$23,"Complete",IF(L223&gt;0,"Partial","None")))</f>
        <v/>
      </c>
      <c r="P223" s="30">
        <f>IF(C223="","",IF(K223&gt;C223*1.01,"Covered area &gt; KBA area – check overlap; ","")&amp;IF(AND(E223&lt;&gt;"Y",F223&lt;&gt;"Y",J223&lt;&gt;"Y"),"No realm assigned; ",""))</f>
        <v/>
      </c>
    </row>
    <row r="224">
      <c r="A224" s="12" t="n"/>
      <c r="B224" s="12" t="n"/>
      <c r="C224" s="14" t="n"/>
      <c r="D224" s="34" t="n"/>
      <c r="E224" s="12" t="n"/>
      <c r="F224" s="12" t="n"/>
      <c r="G224" s="12" t="n"/>
      <c r="H224" s="14" t="n"/>
      <c r="I224" s="14" t="n"/>
      <c r="J224" s="30">
        <f>IF(C224="","",IF(N(D224)&gt;=Setup!$B$22,"Y","N"))</f>
        <v/>
      </c>
      <c r="K224" s="25">
        <f>IF(C224="","",N(H224)+N(I224))</f>
        <v/>
      </c>
      <c r="L224" s="26">
        <f>IF(N(C224)&gt;0,MIN(1,K224/C224),"")</f>
        <v/>
      </c>
      <c r="M224" s="26">
        <f>IF(N(C224)&gt;0,MIN(1,N(H224)/C224),"")</f>
        <v/>
      </c>
      <c r="N224" s="26">
        <f>IF(L224="","",L224-M224)</f>
        <v/>
      </c>
      <c r="O224" s="30">
        <f>IF(L224="","",IF(L224&gt;=Setup!$B$23,"Complete",IF(L224&gt;0,"Partial","None")))</f>
        <v/>
      </c>
      <c r="P224" s="30">
        <f>IF(C224="","",IF(K224&gt;C224*1.01,"Covered area &gt; KBA area – check overlap; ","")&amp;IF(AND(E224&lt;&gt;"Y",F224&lt;&gt;"Y",J224&lt;&gt;"Y"),"No realm assigned; ",""))</f>
        <v/>
      </c>
    </row>
    <row r="225">
      <c r="A225" s="12" t="n"/>
      <c r="B225" s="12" t="n"/>
      <c r="C225" s="14" t="n"/>
      <c r="D225" s="34" t="n"/>
      <c r="E225" s="12" t="n"/>
      <c r="F225" s="12" t="n"/>
      <c r="G225" s="12" t="n"/>
      <c r="H225" s="14" t="n"/>
      <c r="I225" s="14" t="n"/>
      <c r="J225" s="30">
        <f>IF(C225="","",IF(N(D225)&gt;=Setup!$B$22,"Y","N"))</f>
        <v/>
      </c>
      <c r="K225" s="25">
        <f>IF(C225="","",N(H225)+N(I225))</f>
        <v/>
      </c>
      <c r="L225" s="26">
        <f>IF(N(C225)&gt;0,MIN(1,K225/C225),"")</f>
        <v/>
      </c>
      <c r="M225" s="26">
        <f>IF(N(C225)&gt;0,MIN(1,N(H225)/C225),"")</f>
        <v/>
      </c>
      <c r="N225" s="26">
        <f>IF(L225="","",L225-M225)</f>
        <v/>
      </c>
      <c r="O225" s="30">
        <f>IF(L225="","",IF(L225&gt;=Setup!$B$23,"Complete",IF(L225&gt;0,"Partial","None")))</f>
        <v/>
      </c>
      <c r="P225" s="30">
        <f>IF(C225="","",IF(K225&gt;C225*1.01,"Covered area &gt; KBA area – check overlap; ","")&amp;IF(AND(E225&lt;&gt;"Y",F225&lt;&gt;"Y",J225&lt;&gt;"Y"),"No realm assigned; ",""))</f>
        <v/>
      </c>
    </row>
    <row r="226">
      <c r="A226" s="12" t="n"/>
      <c r="B226" s="12" t="n"/>
      <c r="C226" s="14" t="n"/>
      <c r="D226" s="34" t="n"/>
      <c r="E226" s="12" t="n"/>
      <c r="F226" s="12" t="n"/>
      <c r="G226" s="12" t="n"/>
      <c r="H226" s="14" t="n"/>
      <c r="I226" s="14" t="n"/>
      <c r="J226" s="30">
        <f>IF(C226="","",IF(N(D226)&gt;=Setup!$B$22,"Y","N"))</f>
        <v/>
      </c>
      <c r="K226" s="25">
        <f>IF(C226="","",N(H226)+N(I226))</f>
        <v/>
      </c>
      <c r="L226" s="26">
        <f>IF(N(C226)&gt;0,MIN(1,K226/C226),"")</f>
        <v/>
      </c>
      <c r="M226" s="26">
        <f>IF(N(C226)&gt;0,MIN(1,N(H226)/C226),"")</f>
        <v/>
      </c>
      <c r="N226" s="26">
        <f>IF(L226="","",L226-M226)</f>
        <v/>
      </c>
      <c r="O226" s="30">
        <f>IF(L226="","",IF(L226&gt;=Setup!$B$23,"Complete",IF(L226&gt;0,"Partial","None")))</f>
        <v/>
      </c>
      <c r="P226" s="30">
        <f>IF(C226="","",IF(K226&gt;C226*1.01,"Covered area &gt; KBA area – check overlap; ","")&amp;IF(AND(E226&lt;&gt;"Y",F226&lt;&gt;"Y",J226&lt;&gt;"Y"),"No realm assigned; ",""))</f>
        <v/>
      </c>
    </row>
    <row r="227">
      <c r="A227" s="12" t="n"/>
      <c r="B227" s="12" t="n"/>
      <c r="C227" s="14" t="n"/>
      <c r="D227" s="34" t="n"/>
      <c r="E227" s="12" t="n"/>
      <c r="F227" s="12" t="n"/>
      <c r="G227" s="12" t="n"/>
      <c r="H227" s="14" t="n"/>
      <c r="I227" s="14" t="n"/>
      <c r="J227" s="30">
        <f>IF(C227="","",IF(N(D227)&gt;=Setup!$B$22,"Y","N"))</f>
        <v/>
      </c>
      <c r="K227" s="25">
        <f>IF(C227="","",N(H227)+N(I227))</f>
        <v/>
      </c>
      <c r="L227" s="26">
        <f>IF(N(C227)&gt;0,MIN(1,K227/C227),"")</f>
        <v/>
      </c>
      <c r="M227" s="26">
        <f>IF(N(C227)&gt;0,MIN(1,N(H227)/C227),"")</f>
        <v/>
      </c>
      <c r="N227" s="26">
        <f>IF(L227="","",L227-M227)</f>
        <v/>
      </c>
      <c r="O227" s="30">
        <f>IF(L227="","",IF(L227&gt;=Setup!$B$23,"Complete",IF(L227&gt;0,"Partial","None")))</f>
        <v/>
      </c>
      <c r="P227" s="30">
        <f>IF(C227="","",IF(K227&gt;C227*1.01,"Covered area &gt; KBA area – check overlap; ","")&amp;IF(AND(E227&lt;&gt;"Y",F227&lt;&gt;"Y",J227&lt;&gt;"Y"),"No realm assigned; ",""))</f>
        <v/>
      </c>
    </row>
    <row r="228">
      <c r="A228" s="12" t="n"/>
      <c r="B228" s="12" t="n"/>
      <c r="C228" s="14" t="n"/>
      <c r="D228" s="34" t="n"/>
      <c r="E228" s="12" t="n"/>
      <c r="F228" s="12" t="n"/>
      <c r="G228" s="12" t="n"/>
      <c r="H228" s="14" t="n"/>
      <c r="I228" s="14" t="n"/>
      <c r="J228" s="30">
        <f>IF(C228="","",IF(N(D228)&gt;=Setup!$B$22,"Y","N"))</f>
        <v/>
      </c>
      <c r="K228" s="25">
        <f>IF(C228="","",N(H228)+N(I228))</f>
        <v/>
      </c>
      <c r="L228" s="26">
        <f>IF(N(C228)&gt;0,MIN(1,K228/C228),"")</f>
        <v/>
      </c>
      <c r="M228" s="26">
        <f>IF(N(C228)&gt;0,MIN(1,N(H228)/C228),"")</f>
        <v/>
      </c>
      <c r="N228" s="26">
        <f>IF(L228="","",L228-M228)</f>
        <v/>
      </c>
      <c r="O228" s="30">
        <f>IF(L228="","",IF(L228&gt;=Setup!$B$23,"Complete",IF(L228&gt;0,"Partial","None")))</f>
        <v/>
      </c>
      <c r="P228" s="30">
        <f>IF(C228="","",IF(K228&gt;C228*1.01,"Covered area &gt; KBA area – check overlap; ","")&amp;IF(AND(E228&lt;&gt;"Y",F228&lt;&gt;"Y",J228&lt;&gt;"Y"),"No realm assigned; ",""))</f>
        <v/>
      </c>
    </row>
    <row r="229">
      <c r="A229" s="12" t="n"/>
      <c r="B229" s="12" t="n"/>
      <c r="C229" s="14" t="n"/>
      <c r="D229" s="34" t="n"/>
      <c r="E229" s="12" t="n"/>
      <c r="F229" s="12" t="n"/>
      <c r="G229" s="12" t="n"/>
      <c r="H229" s="14" t="n"/>
      <c r="I229" s="14" t="n"/>
      <c r="J229" s="30">
        <f>IF(C229="","",IF(N(D229)&gt;=Setup!$B$22,"Y","N"))</f>
        <v/>
      </c>
      <c r="K229" s="25">
        <f>IF(C229="","",N(H229)+N(I229))</f>
        <v/>
      </c>
      <c r="L229" s="26">
        <f>IF(N(C229)&gt;0,MIN(1,K229/C229),"")</f>
        <v/>
      </c>
      <c r="M229" s="26">
        <f>IF(N(C229)&gt;0,MIN(1,N(H229)/C229),"")</f>
        <v/>
      </c>
      <c r="N229" s="26">
        <f>IF(L229="","",L229-M229)</f>
        <v/>
      </c>
      <c r="O229" s="30">
        <f>IF(L229="","",IF(L229&gt;=Setup!$B$23,"Complete",IF(L229&gt;0,"Partial","None")))</f>
        <v/>
      </c>
      <c r="P229" s="30">
        <f>IF(C229="","",IF(K229&gt;C229*1.01,"Covered area &gt; KBA area – check overlap; ","")&amp;IF(AND(E229&lt;&gt;"Y",F229&lt;&gt;"Y",J229&lt;&gt;"Y"),"No realm assigned; ",""))</f>
        <v/>
      </c>
    </row>
    <row r="230">
      <c r="A230" s="12" t="n"/>
      <c r="B230" s="12" t="n"/>
      <c r="C230" s="14" t="n"/>
      <c r="D230" s="34" t="n"/>
      <c r="E230" s="12" t="n"/>
      <c r="F230" s="12" t="n"/>
      <c r="G230" s="12" t="n"/>
      <c r="H230" s="14" t="n"/>
      <c r="I230" s="14" t="n"/>
      <c r="J230" s="30">
        <f>IF(C230="","",IF(N(D230)&gt;=Setup!$B$22,"Y","N"))</f>
        <v/>
      </c>
      <c r="K230" s="25">
        <f>IF(C230="","",N(H230)+N(I230))</f>
        <v/>
      </c>
      <c r="L230" s="26">
        <f>IF(N(C230)&gt;0,MIN(1,K230/C230),"")</f>
        <v/>
      </c>
      <c r="M230" s="26">
        <f>IF(N(C230)&gt;0,MIN(1,N(H230)/C230),"")</f>
        <v/>
      </c>
      <c r="N230" s="26">
        <f>IF(L230="","",L230-M230)</f>
        <v/>
      </c>
      <c r="O230" s="30">
        <f>IF(L230="","",IF(L230&gt;=Setup!$B$23,"Complete",IF(L230&gt;0,"Partial","None")))</f>
        <v/>
      </c>
      <c r="P230" s="30">
        <f>IF(C230="","",IF(K230&gt;C230*1.01,"Covered area &gt; KBA area – check overlap; ","")&amp;IF(AND(E230&lt;&gt;"Y",F230&lt;&gt;"Y",J230&lt;&gt;"Y"),"No realm assigned; ",""))</f>
        <v/>
      </c>
    </row>
    <row r="231">
      <c r="A231" s="12" t="n"/>
      <c r="B231" s="12" t="n"/>
      <c r="C231" s="14" t="n"/>
      <c r="D231" s="34" t="n"/>
      <c r="E231" s="12" t="n"/>
      <c r="F231" s="12" t="n"/>
      <c r="G231" s="12" t="n"/>
      <c r="H231" s="14" t="n"/>
      <c r="I231" s="14" t="n"/>
      <c r="J231" s="30">
        <f>IF(C231="","",IF(N(D231)&gt;=Setup!$B$22,"Y","N"))</f>
        <v/>
      </c>
      <c r="K231" s="25">
        <f>IF(C231="","",N(H231)+N(I231))</f>
        <v/>
      </c>
      <c r="L231" s="26">
        <f>IF(N(C231)&gt;0,MIN(1,K231/C231),"")</f>
        <v/>
      </c>
      <c r="M231" s="26">
        <f>IF(N(C231)&gt;0,MIN(1,N(H231)/C231),"")</f>
        <v/>
      </c>
      <c r="N231" s="26">
        <f>IF(L231="","",L231-M231)</f>
        <v/>
      </c>
      <c r="O231" s="30">
        <f>IF(L231="","",IF(L231&gt;=Setup!$B$23,"Complete",IF(L231&gt;0,"Partial","None")))</f>
        <v/>
      </c>
      <c r="P231" s="30">
        <f>IF(C231="","",IF(K231&gt;C231*1.01,"Covered area &gt; KBA area – check overlap; ","")&amp;IF(AND(E231&lt;&gt;"Y",F231&lt;&gt;"Y",J231&lt;&gt;"Y"),"No realm assigned; ",""))</f>
        <v/>
      </c>
    </row>
    <row r="232">
      <c r="A232" s="12" t="n"/>
      <c r="B232" s="12" t="n"/>
      <c r="C232" s="14" t="n"/>
      <c r="D232" s="34" t="n"/>
      <c r="E232" s="12" t="n"/>
      <c r="F232" s="12" t="n"/>
      <c r="G232" s="12" t="n"/>
      <c r="H232" s="14" t="n"/>
      <c r="I232" s="14" t="n"/>
      <c r="J232" s="30">
        <f>IF(C232="","",IF(N(D232)&gt;=Setup!$B$22,"Y","N"))</f>
        <v/>
      </c>
      <c r="K232" s="25">
        <f>IF(C232="","",N(H232)+N(I232))</f>
        <v/>
      </c>
      <c r="L232" s="26">
        <f>IF(N(C232)&gt;0,MIN(1,K232/C232),"")</f>
        <v/>
      </c>
      <c r="M232" s="26">
        <f>IF(N(C232)&gt;0,MIN(1,N(H232)/C232),"")</f>
        <v/>
      </c>
      <c r="N232" s="26">
        <f>IF(L232="","",L232-M232)</f>
        <v/>
      </c>
      <c r="O232" s="30">
        <f>IF(L232="","",IF(L232&gt;=Setup!$B$23,"Complete",IF(L232&gt;0,"Partial","None")))</f>
        <v/>
      </c>
      <c r="P232" s="30">
        <f>IF(C232="","",IF(K232&gt;C232*1.01,"Covered area &gt; KBA area – check overlap; ","")&amp;IF(AND(E232&lt;&gt;"Y",F232&lt;&gt;"Y",J232&lt;&gt;"Y"),"No realm assigned; ",""))</f>
        <v/>
      </c>
    </row>
    <row r="233">
      <c r="A233" s="12" t="n"/>
      <c r="B233" s="12" t="n"/>
      <c r="C233" s="14" t="n"/>
      <c r="D233" s="34" t="n"/>
      <c r="E233" s="12" t="n"/>
      <c r="F233" s="12" t="n"/>
      <c r="G233" s="12" t="n"/>
      <c r="H233" s="14" t="n"/>
      <c r="I233" s="14" t="n"/>
      <c r="J233" s="30">
        <f>IF(C233="","",IF(N(D233)&gt;=Setup!$B$22,"Y","N"))</f>
        <v/>
      </c>
      <c r="K233" s="25">
        <f>IF(C233="","",N(H233)+N(I233))</f>
        <v/>
      </c>
      <c r="L233" s="26">
        <f>IF(N(C233)&gt;0,MIN(1,K233/C233),"")</f>
        <v/>
      </c>
      <c r="M233" s="26">
        <f>IF(N(C233)&gt;0,MIN(1,N(H233)/C233),"")</f>
        <v/>
      </c>
      <c r="N233" s="26">
        <f>IF(L233="","",L233-M233)</f>
        <v/>
      </c>
      <c r="O233" s="30">
        <f>IF(L233="","",IF(L233&gt;=Setup!$B$23,"Complete",IF(L233&gt;0,"Partial","None")))</f>
        <v/>
      </c>
      <c r="P233" s="30">
        <f>IF(C233="","",IF(K233&gt;C233*1.01,"Covered area &gt; KBA area – check overlap; ","")&amp;IF(AND(E233&lt;&gt;"Y",F233&lt;&gt;"Y",J233&lt;&gt;"Y"),"No realm assigned; ",""))</f>
        <v/>
      </c>
    </row>
    <row r="234">
      <c r="A234" s="12" t="n"/>
      <c r="B234" s="12" t="n"/>
      <c r="C234" s="14" t="n"/>
      <c r="D234" s="34" t="n"/>
      <c r="E234" s="12" t="n"/>
      <c r="F234" s="12" t="n"/>
      <c r="G234" s="12" t="n"/>
      <c r="H234" s="14" t="n"/>
      <c r="I234" s="14" t="n"/>
      <c r="J234" s="30">
        <f>IF(C234="","",IF(N(D234)&gt;=Setup!$B$22,"Y","N"))</f>
        <v/>
      </c>
      <c r="K234" s="25">
        <f>IF(C234="","",N(H234)+N(I234))</f>
        <v/>
      </c>
      <c r="L234" s="26">
        <f>IF(N(C234)&gt;0,MIN(1,K234/C234),"")</f>
        <v/>
      </c>
      <c r="M234" s="26">
        <f>IF(N(C234)&gt;0,MIN(1,N(H234)/C234),"")</f>
        <v/>
      </c>
      <c r="N234" s="26">
        <f>IF(L234="","",L234-M234)</f>
        <v/>
      </c>
      <c r="O234" s="30">
        <f>IF(L234="","",IF(L234&gt;=Setup!$B$23,"Complete",IF(L234&gt;0,"Partial","None")))</f>
        <v/>
      </c>
      <c r="P234" s="30">
        <f>IF(C234="","",IF(K234&gt;C234*1.01,"Covered area &gt; KBA area – check overlap; ","")&amp;IF(AND(E234&lt;&gt;"Y",F234&lt;&gt;"Y",J234&lt;&gt;"Y"),"No realm assigned; ",""))</f>
        <v/>
      </c>
    </row>
    <row r="235">
      <c r="A235" s="12" t="n"/>
      <c r="B235" s="12" t="n"/>
      <c r="C235" s="14" t="n"/>
      <c r="D235" s="34" t="n"/>
      <c r="E235" s="12" t="n"/>
      <c r="F235" s="12" t="n"/>
      <c r="G235" s="12" t="n"/>
      <c r="H235" s="14" t="n"/>
      <c r="I235" s="14" t="n"/>
      <c r="J235" s="30">
        <f>IF(C235="","",IF(N(D235)&gt;=Setup!$B$22,"Y","N"))</f>
        <v/>
      </c>
      <c r="K235" s="25">
        <f>IF(C235="","",N(H235)+N(I235))</f>
        <v/>
      </c>
      <c r="L235" s="26">
        <f>IF(N(C235)&gt;0,MIN(1,K235/C235),"")</f>
        <v/>
      </c>
      <c r="M235" s="26">
        <f>IF(N(C235)&gt;0,MIN(1,N(H235)/C235),"")</f>
        <v/>
      </c>
      <c r="N235" s="26">
        <f>IF(L235="","",L235-M235)</f>
        <v/>
      </c>
      <c r="O235" s="30">
        <f>IF(L235="","",IF(L235&gt;=Setup!$B$23,"Complete",IF(L235&gt;0,"Partial","None")))</f>
        <v/>
      </c>
      <c r="P235" s="30">
        <f>IF(C235="","",IF(K235&gt;C235*1.01,"Covered area &gt; KBA area – check overlap; ","")&amp;IF(AND(E235&lt;&gt;"Y",F235&lt;&gt;"Y",J235&lt;&gt;"Y"),"No realm assigned; ",""))</f>
        <v/>
      </c>
    </row>
    <row r="236">
      <c r="A236" s="12" t="n"/>
      <c r="B236" s="12" t="n"/>
      <c r="C236" s="14" t="n"/>
      <c r="D236" s="34" t="n"/>
      <c r="E236" s="12" t="n"/>
      <c r="F236" s="12" t="n"/>
      <c r="G236" s="12" t="n"/>
      <c r="H236" s="14" t="n"/>
      <c r="I236" s="14" t="n"/>
      <c r="J236" s="30">
        <f>IF(C236="","",IF(N(D236)&gt;=Setup!$B$22,"Y","N"))</f>
        <v/>
      </c>
      <c r="K236" s="25">
        <f>IF(C236="","",N(H236)+N(I236))</f>
        <v/>
      </c>
      <c r="L236" s="26">
        <f>IF(N(C236)&gt;0,MIN(1,K236/C236),"")</f>
        <v/>
      </c>
      <c r="M236" s="26">
        <f>IF(N(C236)&gt;0,MIN(1,N(H236)/C236),"")</f>
        <v/>
      </c>
      <c r="N236" s="26">
        <f>IF(L236="","",L236-M236)</f>
        <v/>
      </c>
      <c r="O236" s="30">
        <f>IF(L236="","",IF(L236&gt;=Setup!$B$23,"Complete",IF(L236&gt;0,"Partial","None")))</f>
        <v/>
      </c>
      <c r="P236" s="30">
        <f>IF(C236="","",IF(K236&gt;C236*1.01,"Covered area &gt; KBA area – check overlap; ","")&amp;IF(AND(E236&lt;&gt;"Y",F236&lt;&gt;"Y",J236&lt;&gt;"Y"),"No realm assigned; ",""))</f>
        <v/>
      </c>
    </row>
    <row r="237">
      <c r="A237" s="12" t="n"/>
      <c r="B237" s="12" t="n"/>
      <c r="C237" s="14" t="n"/>
      <c r="D237" s="34" t="n"/>
      <c r="E237" s="12" t="n"/>
      <c r="F237" s="12" t="n"/>
      <c r="G237" s="12" t="n"/>
      <c r="H237" s="14" t="n"/>
      <c r="I237" s="14" t="n"/>
      <c r="J237" s="30">
        <f>IF(C237="","",IF(N(D237)&gt;=Setup!$B$22,"Y","N"))</f>
        <v/>
      </c>
      <c r="K237" s="25">
        <f>IF(C237="","",N(H237)+N(I237))</f>
        <v/>
      </c>
      <c r="L237" s="26">
        <f>IF(N(C237)&gt;0,MIN(1,K237/C237),"")</f>
        <v/>
      </c>
      <c r="M237" s="26">
        <f>IF(N(C237)&gt;0,MIN(1,N(H237)/C237),"")</f>
        <v/>
      </c>
      <c r="N237" s="26">
        <f>IF(L237="","",L237-M237)</f>
        <v/>
      </c>
      <c r="O237" s="30">
        <f>IF(L237="","",IF(L237&gt;=Setup!$B$23,"Complete",IF(L237&gt;0,"Partial","None")))</f>
        <v/>
      </c>
      <c r="P237" s="30">
        <f>IF(C237="","",IF(K237&gt;C237*1.01,"Covered area &gt; KBA area – check overlap; ","")&amp;IF(AND(E237&lt;&gt;"Y",F237&lt;&gt;"Y",J237&lt;&gt;"Y"),"No realm assigned; ",""))</f>
        <v/>
      </c>
    </row>
    <row r="238">
      <c r="A238" s="12" t="n"/>
      <c r="B238" s="12" t="n"/>
      <c r="C238" s="14" t="n"/>
      <c r="D238" s="34" t="n"/>
      <c r="E238" s="12" t="n"/>
      <c r="F238" s="12" t="n"/>
      <c r="G238" s="12" t="n"/>
      <c r="H238" s="14" t="n"/>
      <c r="I238" s="14" t="n"/>
      <c r="J238" s="30">
        <f>IF(C238="","",IF(N(D238)&gt;=Setup!$B$22,"Y","N"))</f>
        <v/>
      </c>
      <c r="K238" s="25">
        <f>IF(C238="","",N(H238)+N(I238))</f>
        <v/>
      </c>
      <c r="L238" s="26">
        <f>IF(N(C238)&gt;0,MIN(1,K238/C238),"")</f>
        <v/>
      </c>
      <c r="M238" s="26">
        <f>IF(N(C238)&gt;0,MIN(1,N(H238)/C238),"")</f>
        <v/>
      </c>
      <c r="N238" s="26">
        <f>IF(L238="","",L238-M238)</f>
        <v/>
      </c>
      <c r="O238" s="30">
        <f>IF(L238="","",IF(L238&gt;=Setup!$B$23,"Complete",IF(L238&gt;0,"Partial","None")))</f>
        <v/>
      </c>
      <c r="P238" s="30">
        <f>IF(C238="","",IF(K238&gt;C238*1.01,"Covered area &gt; KBA area – check overlap; ","")&amp;IF(AND(E238&lt;&gt;"Y",F238&lt;&gt;"Y",J238&lt;&gt;"Y"),"No realm assigned; ",""))</f>
        <v/>
      </c>
    </row>
    <row r="239">
      <c r="A239" s="12" t="n"/>
      <c r="B239" s="12" t="n"/>
      <c r="C239" s="14" t="n"/>
      <c r="D239" s="34" t="n"/>
      <c r="E239" s="12" t="n"/>
      <c r="F239" s="12" t="n"/>
      <c r="G239" s="12" t="n"/>
      <c r="H239" s="14" t="n"/>
      <c r="I239" s="14" t="n"/>
      <c r="J239" s="30">
        <f>IF(C239="","",IF(N(D239)&gt;=Setup!$B$22,"Y","N"))</f>
        <v/>
      </c>
      <c r="K239" s="25">
        <f>IF(C239="","",N(H239)+N(I239))</f>
        <v/>
      </c>
      <c r="L239" s="26">
        <f>IF(N(C239)&gt;0,MIN(1,K239/C239),"")</f>
        <v/>
      </c>
      <c r="M239" s="26">
        <f>IF(N(C239)&gt;0,MIN(1,N(H239)/C239),"")</f>
        <v/>
      </c>
      <c r="N239" s="26">
        <f>IF(L239="","",L239-M239)</f>
        <v/>
      </c>
      <c r="O239" s="30">
        <f>IF(L239="","",IF(L239&gt;=Setup!$B$23,"Complete",IF(L239&gt;0,"Partial","None")))</f>
        <v/>
      </c>
      <c r="P239" s="30">
        <f>IF(C239="","",IF(K239&gt;C239*1.01,"Covered area &gt; KBA area – check overlap; ","")&amp;IF(AND(E239&lt;&gt;"Y",F239&lt;&gt;"Y",J239&lt;&gt;"Y"),"No realm assigned; ",""))</f>
        <v/>
      </c>
    </row>
    <row r="240">
      <c r="A240" s="12" t="n"/>
      <c r="B240" s="12" t="n"/>
      <c r="C240" s="14" t="n"/>
      <c r="D240" s="34" t="n"/>
      <c r="E240" s="12" t="n"/>
      <c r="F240" s="12" t="n"/>
      <c r="G240" s="12" t="n"/>
      <c r="H240" s="14" t="n"/>
      <c r="I240" s="14" t="n"/>
      <c r="J240" s="30">
        <f>IF(C240="","",IF(N(D240)&gt;=Setup!$B$22,"Y","N"))</f>
        <v/>
      </c>
      <c r="K240" s="25">
        <f>IF(C240="","",N(H240)+N(I240))</f>
        <v/>
      </c>
      <c r="L240" s="26">
        <f>IF(N(C240)&gt;0,MIN(1,K240/C240),"")</f>
        <v/>
      </c>
      <c r="M240" s="26">
        <f>IF(N(C240)&gt;0,MIN(1,N(H240)/C240),"")</f>
        <v/>
      </c>
      <c r="N240" s="26">
        <f>IF(L240="","",L240-M240)</f>
        <v/>
      </c>
      <c r="O240" s="30">
        <f>IF(L240="","",IF(L240&gt;=Setup!$B$23,"Complete",IF(L240&gt;0,"Partial","None")))</f>
        <v/>
      </c>
      <c r="P240" s="30">
        <f>IF(C240="","",IF(K240&gt;C240*1.01,"Covered area &gt; KBA area – check overlap; ","")&amp;IF(AND(E240&lt;&gt;"Y",F240&lt;&gt;"Y",J240&lt;&gt;"Y"),"No realm assigned; ",""))</f>
        <v/>
      </c>
    </row>
    <row r="241">
      <c r="A241" s="12" t="n"/>
      <c r="B241" s="12" t="n"/>
      <c r="C241" s="14" t="n"/>
      <c r="D241" s="34" t="n"/>
      <c r="E241" s="12" t="n"/>
      <c r="F241" s="12" t="n"/>
      <c r="G241" s="12" t="n"/>
      <c r="H241" s="14" t="n"/>
      <c r="I241" s="14" t="n"/>
      <c r="J241" s="30">
        <f>IF(C241="","",IF(N(D241)&gt;=Setup!$B$22,"Y","N"))</f>
        <v/>
      </c>
      <c r="K241" s="25">
        <f>IF(C241="","",N(H241)+N(I241))</f>
        <v/>
      </c>
      <c r="L241" s="26">
        <f>IF(N(C241)&gt;0,MIN(1,K241/C241),"")</f>
        <v/>
      </c>
      <c r="M241" s="26">
        <f>IF(N(C241)&gt;0,MIN(1,N(H241)/C241),"")</f>
        <v/>
      </c>
      <c r="N241" s="26">
        <f>IF(L241="","",L241-M241)</f>
        <v/>
      </c>
      <c r="O241" s="30">
        <f>IF(L241="","",IF(L241&gt;=Setup!$B$23,"Complete",IF(L241&gt;0,"Partial","None")))</f>
        <v/>
      </c>
      <c r="P241" s="30">
        <f>IF(C241="","",IF(K241&gt;C241*1.01,"Covered area &gt; KBA area – check overlap; ","")&amp;IF(AND(E241&lt;&gt;"Y",F241&lt;&gt;"Y",J241&lt;&gt;"Y"),"No realm assigned; ",""))</f>
        <v/>
      </c>
    </row>
    <row r="242">
      <c r="A242" s="12" t="n"/>
      <c r="B242" s="12" t="n"/>
      <c r="C242" s="14" t="n"/>
      <c r="D242" s="34" t="n"/>
      <c r="E242" s="12" t="n"/>
      <c r="F242" s="12" t="n"/>
      <c r="G242" s="12" t="n"/>
      <c r="H242" s="14" t="n"/>
      <c r="I242" s="14" t="n"/>
      <c r="J242" s="30">
        <f>IF(C242="","",IF(N(D242)&gt;=Setup!$B$22,"Y","N"))</f>
        <v/>
      </c>
      <c r="K242" s="25">
        <f>IF(C242="","",N(H242)+N(I242))</f>
        <v/>
      </c>
      <c r="L242" s="26">
        <f>IF(N(C242)&gt;0,MIN(1,K242/C242),"")</f>
        <v/>
      </c>
      <c r="M242" s="26">
        <f>IF(N(C242)&gt;0,MIN(1,N(H242)/C242),"")</f>
        <v/>
      </c>
      <c r="N242" s="26">
        <f>IF(L242="","",L242-M242)</f>
        <v/>
      </c>
      <c r="O242" s="30">
        <f>IF(L242="","",IF(L242&gt;=Setup!$B$23,"Complete",IF(L242&gt;0,"Partial","None")))</f>
        <v/>
      </c>
      <c r="P242" s="30">
        <f>IF(C242="","",IF(K242&gt;C242*1.01,"Covered area &gt; KBA area – check overlap; ","")&amp;IF(AND(E242&lt;&gt;"Y",F242&lt;&gt;"Y",J242&lt;&gt;"Y"),"No realm assigned; ",""))</f>
        <v/>
      </c>
    </row>
    <row r="243">
      <c r="A243" s="12" t="n"/>
      <c r="B243" s="12" t="n"/>
      <c r="C243" s="14" t="n"/>
      <c r="D243" s="34" t="n"/>
      <c r="E243" s="12" t="n"/>
      <c r="F243" s="12" t="n"/>
      <c r="G243" s="12" t="n"/>
      <c r="H243" s="14" t="n"/>
      <c r="I243" s="14" t="n"/>
      <c r="J243" s="30">
        <f>IF(C243="","",IF(N(D243)&gt;=Setup!$B$22,"Y","N"))</f>
        <v/>
      </c>
      <c r="K243" s="25">
        <f>IF(C243="","",N(H243)+N(I243))</f>
        <v/>
      </c>
      <c r="L243" s="26">
        <f>IF(N(C243)&gt;0,MIN(1,K243/C243),"")</f>
        <v/>
      </c>
      <c r="M243" s="26">
        <f>IF(N(C243)&gt;0,MIN(1,N(H243)/C243),"")</f>
        <v/>
      </c>
      <c r="N243" s="26">
        <f>IF(L243="","",L243-M243)</f>
        <v/>
      </c>
      <c r="O243" s="30">
        <f>IF(L243="","",IF(L243&gt;=Setup!$B$23,"Complete",IF(L243&gt;0,"Partial","None")))</f>
        <v/>
      </c>
      <c r="P243" s="30">
        <f>IF(C243="","",IF(K243&gt;C243*1.01,"Covered area &gt; KBA area – check overlap; ","")&amp;IF(AND(E243&lt;&gt;"Y",F243&lt;&gt;"Y",J243&lt;&gt;"Y"),"No realm assigned; ",""))</f>
        <v/>
      </c>
    </row>
    <row r="244">
      <c r="A244" s="12" t="n"/>
      <c r="B244" s="12" t="n"/>
      <c r="C244" s="14" t="n"/>
      <c r="D244" s="34" t="n"/>
      <c r="E244" s="12" t="n"/>
      <c r="F244" s="12" t="n"/>
      <c r="G244" s="12" t="n"/>
      <c r="H244" s="14" t="n"/>
      <c r="I244" s="14" t="n"/>
      <c r="J244" s="30">
        <f>IF(C244="","",IF(N(D244)&gt;=Setup!$B$22,"Y","N"))</f>
        <v/>
      </c>
      <c r="K244" s="25">
        <f>IF(C244="","",N(H244)+N(I244))</f>
        <v/>
      </c>
      <c r="L244" s="26">
        <f>IF(N(C244)&gt;0,MIN(1,K244/C244),"")</f>
        <v/>
      </c>
      <c r="M244" s="26">
        <f>IF(N(C244)&gt;0,MIN(1,N(H244)/C244),"")</f>
        <v/>
      </c>
      <c r="N244" s="26">
        <f>IF(L244="","",L244-M244)</f>
        <v/>
      </c>
      <c r="O244" s="30">
        <f>IF(L244="","",IF(L244&gt;=Setup!$B$23,"Complete",IF(L244&gt;0,"Partial","None")))</f>
        <v/>
      </c>
      <c r="P244" s="30">
        <f>IF(C244="","",IF(K244&gt;C244*1.01,"Covered area &gt; KBA area – check overlap; ","")&amp;IF(AND(E244&lt;&gt;"Y",F244&lt;&gt;"Y",J244&lt;&gt;"Y"),"No realm assigned; ",""))</f>
        <v/>
      </c>
    </row>
    <row r="245">
      <c r="A245" s="12" t="n"/>
      <c r="B245" s="12" t="n"/>
      <c r="C245" s="14" t="n"/>
      <c r="D245" s="34" t="n"/>
      <c r="E245" s="12" t="n"/>
      <c r="F245" s="12" t="n"/>
      <c r="G245" s="12" t="n"/>
      <c r="H245" s="14" t="n"/>
      <c r="I245" s="14" t="n"/>
      <c r="J245" s="30">
        <f>IF(C245="","",IF(N(D245)&gt;=Setup!$B$22,"Y","N"))</f>
        <v/>
      </c>
      <c r="K245" s="25">
        <f>IF(C245="","",N(H245)+N(I245))</f>
        <v/>
      </c>
      <c r="L245" s="26">
        <f>IF(N(C245)&gt;0,MIN(1,K245/C245),"")</f>
        <v/>
      </c>
      <c r="M245" s="26">
        <f>IF(N(C245)&gt;0,MIN(1,N(H245)/C245),"")</f>
        <v/>
      </c>
      <c r="N245" s="26">
        <f>IF(L245="","",L245-M245)</f>
        <v/>
      </c>
      <c r="O245" s="30">
        <f>IF(L245="","",IF(L245&gt;=Setup!$B$23,"Complete",IF(L245&gt;0,"Partial","None")))</f>
        <v/>
      </c>
      <c r="P245" s="30">
        <f>IF(C245="","",IF(K245&gt;C245*1.01,"Covered area &gt; KBA area – check overlap; ","")&amp;IF(AND(E245&lt;&gt;"Y",F245&lt;&gt;"Y",J245&lt;&gt;"Y"),"No realm assigned; ",""))</f>
        <v/>
      </c>
    </row>
    <row r="246">
      <c r="A246" s="12" t="n"/>
      <c r="B246" s="12" t="n"/>
      <c r="C246" s="14" t="n"/>
      <c r="D246" s="34" t="n"/>
      <c r="E246" s="12" t="n"/>
      <c r="F246" s="12" t="n"/>
      <c r="G246" s="12" t="n"/>
      <c r="H246" s="14" t="n"/>
      <c r="I246" s="14" t="n"/>
      <c r="J246" s="30">
        <f>IF(C246="","",IF(N(D246)&gt;=Setup!$B$22,"Y","N"))</f>
        <v/>
      </c>
      <c r="K246" s="25">
        <f>IF(C246="","",N(H246)+N(I246))</f>
        <v/>
      </c>
      <c r="L246" s="26">
        <f>IF(N(C246)&gt;0,MIN(1,K246/C246),"")</f>
        <v/>
      </c>
      <c r="M246" s="26">
        <f>IF(N(C246)&gt;0,MIN(1,N(H246)/C246),"")</f>
        <v/>
      </c>
      <c r="N246" s="26">
        <f>IF(L246="","",L246-M246)</f>
        <v/>
      </c>
      <c r="O246" s="30">
        <f>IF(L246="","",IF(L246&gt;=Setup!$B$23,"Complete",IF(L246&gt;0,"Partial","None")))</f>
        <v/>
      </c>
      <c r="P246" s="30">
        <f>IF(C246="","",IF(K246&gt;C246*1.01,"Covered area &gt; KBA area – check overlap; ","")&amp;IF(AND(E246&lt;&gt;"Y",F246&lt;&gt;"Y",J246&lt;&gt;"Y"),"No realm assigned; ",""))</f>
        <v/>
      </c>
    </row>
    <row r="247">
      <c r="A247" s="12" t="n"/>
      <c r="B247" s="12" t="n"/>
      <c r="C247" s="14" t="n"/>
      <c r="D247" s="34" t="n"/>
      <c r="E247" s="12" t="n"/>
      <c r="F247" s="12" t="n"/>
      <c r="G247" s="12" t="n"/>
      <c r="H247" s="14" t="n"/>
      <c r="I247" s="14" t="n"/>
      <c r="J247" s="30">
        <f>IF(C247="","",IF(N(D247)&gt;=Setup!$B$22,"Y","N"))</f>
        <v/>
      </c>
      <c r="K247" s="25">
        <f>IF(C247="","",N(H247)+N(I247))</f>
        <v/>
      </c>
      <c r="L247" s="26">
        <f>IF(N(C247)&gt;0,MIN(1,K247/C247),"")</f>
        <v/>
      </c>
      <c r="M247" s="26">
        <f>IF(N(C247)&gt;0,MIN(1,N(H247)/C247),"")</f>
        <v/>
      </c>
      <c r="N247" s="26">
        <f>IF(L247="","",L247-M247)</f>
        <v/>
      </c>
      <c r="O247" s="30">
        <f>IF(L247="","",IF(L247&gt;=Setup!$B$23,"Complete",IF(L247&gt;0,"Partial","None")))</f>
        <v/>
      </c>
      <c r="P247" s="30">
        <f>IF(C247="","",IF(K247&gt;C247*1.01,"Covered area &gt; KBA area – check overlap; ","")&amp;IF(AND(E247&lt;&gt;"Y",F247&lt;&gt;"Y",J247&lt;&gt;"Y"),"No realm assigned; ",""))</f>
        <v/>
      </c>
    </row>
    <row r="248">
      <c r="A248" s="12" t="n"/>
      <c r="B248" s="12" t="n"/>
      <c r="C248" s="14" t="n"/>
      <c r="D248" s="34" t="n"/>
      <c r="E248" s="12" t="n"/>
      <c r="F248" s="12" t="n"/>
      <c r="G248" s="12" t="n"/>
      <c r="H248" s="14" t="n"/>
      <c r="I248" s="14" t="n"/>
      <c r="J248" s="30">
        <f>IF(C248="","",IF(N(D248)&gt;=Setup!$B$22,"Y","N"))</f>
        <v/>
      </c>
      <c r="K248" s="25">
        <f>IF(C248="","",N(H248)+N(I248))</f>
        <v/>
      </c>
      <c r="L248" s="26">
        <f>IF(N(C248)&gt;0,MIN(1,K248/C248),"")</f>
        <v/>
      </c>
      <c r="M248" s="26">
        <f>IF(N(C248)&gt;0,MIN(1,N(H248)/C248),"")</f>
        <v/>
      </c>
      <c r="N248" s="26">
        <f>IF(L248="","",L248-M248)</f>
        <v/>
      </c>
      <c r="O248" s="30">
        <f>IF(L248="","",IF(L248&gt;=Setup!$B$23,"Complete",IF(L248&gt;0,"Partial","None")))</f>
        <v/>
      </c>
      <c r="P248" s="30">
        <f>IF(C248="","",IF(K248&gt;C248*1.01,"Covered area &gt; KBA area – check overlap; ","")&amp;IF(AND(E248&lt;&gt;"Y",F248&lt;&gt;"Y",J248&lt;&gt;"Y"),"No realm assigned; ",""))</f>
        <v/>
      </c>
    </row>
    <row r="249">
      <c r="A249" s="12" t="n"/>
      <c r="B249" s="12" t="n"/>
      <c r="C249" s="14" t="n"/>
      <c r="D249" s="34" t="n"/>
      <c r="E249" s="12" t="n"/>
      <c r="F249" s="12" t="n"/>
      <c r="G249" s="12" t="n"/>
      <c r="H249" s="14" t="n"/>
      <c r="I249" s="14" t="n"/>
      <c r="J249" s="30">
        <f>IF(C249="","",IF(N(D249)&gt;=Setup!$B$22,"Y","N"))</f>
        <v/>
      </c>
      <c r="K249" s="25">
        <f>IF(C249="","",N(H249)+N(I249))</f>
        <v/>
      </c>
      <c r="L249" s="26">
        <f>IF(N(C249)&gt;0,MIN(1,K249/C249),"")</f>
        <v/>
      </c>
      <c r="M249" s="26">
        <f>IF(N(C249)&gt;0,MIN(1,N(H249)/C249),"")</f>
        <v/>
      </c>
      <c r="N249" s="26">
        <f>IF(L249="","",L249-M249)</f>
        <v/>
      </c>
      <c r="O249" s="30">
        <f>IF(L249="","",IF(L249&gt;=Setup!$B$23,"Complete",IF(L249&gt;0,"Partial","None")))</f>
        <v/>
      </c>
      <c r="P249" s="30">
        <f>IF(C249="","",IF(K249&gt;C249*1.01,"Covered area &gt; KBA area – check overlap; ","")&amp;IF(AND(E249&lt;&gt;"Y",F249&lt;&gt;"Y",J249&lt;&gt;"Y"),"No realm assigned; ",""))</f>
        <v/>
      </c>
    </row>
    <row r="250">
      <c r="A250" s="12" t="n"/>
      <c r="B250" s="12" t="n"/>
      <c r="C250" s="14" t="n"/>
      <c r="D250" s="34" t="n"/>
      <c r="E250" s="12" t="n"/>
      <c r="F250" s="12" t="n"/>
      <c r="G250" s="12" t="n"/>
      <c r="H250" s="14" t="n"/>
      <c r="I250" s="14" t="n"/>
      <c r="J250" s="30">
        <f>IF(C250="","",IF(N(D250)&gt;=Setup!$B$22,"Y","N"))</f>
        <v/>
      </c>
      <c r="K250" s="25">
        <f>IF(C250="","",N(H250)+N(I250))</f>
        <v/>
      </c>
      <c r="L250" s="26">
        <f>IF(N(C250)&gt;0,MIN(1,K250/C250),"")</f>
        <v/>
      </c>
      <c r="M250" s="26">
        <f>IF(N(C250)&gt;0,MIN(1,N(H250)/C250),"")</f>
        <v/>
      </c>
      <c r="N250" s="26">
        <f>IF(L250="","",L250-M250)</f>
        <v/>
      </c>
      <c r="O250" s="30">
        <f>IF(L250="","",IF(L250&gt;=Setup!$B$23,"Complete",IF(L250&gt;0,"Partial","None")))</f>
        <v/>
      </c>
      <c r="P250" s="30">
        <f>IF(C250="","",IF(K250&gt;C250*1.01,"Covered area &gt; KBA area – check overlap; ","")&amp;IF(AND(E250&lt;&gt;"Y",F250&lt;&gt;"Y",J250&lt;&gt;"Y"),"No realm assigned; ",""))</f>
        <v/>
      </c>
    </row>
    <row r="251">
      <c r="A251" s="12" t="n"/>
      <c r="B251" s="12" t="n"/>
      <c r="C251" s="14" t="n"/>
      <c r="D251" s="34" t="n"/>
      <c r="E251" s="12" t="n"/>
      <c r="F251" s="12" t="n"/>
      <c r="G251" s="12" t="n"/>
      <c r="H251" s="14" t="n"/>
      <c r="I251" s="14" t="n"/>
      <c r="J251" s="30">
        <f>IF(C251="","",IF(N(D251)&gt;=Setup!$B$22,"Y","N"))</f>
        <v/>
      </c>
      <c r="K251" s="25">
        <f>IF(C251="","",N(H251)+N(I251))</f>
        <v/>
      </c>
      <c r="L251" s="26">
        <f>IF(N(C251)&gt;0,MIN(1,K251/C251),"")</f>
        <v/>
      </c>
      <c r="M251" s="26">
        <f>IF(N(C251)&gt;0,MIN(1,N(H251)/C251),"")</f>
        <v/>
      </c>
      <c r="N251" s="26">
        <f>IF(L251="","",L251-M251)</f>
        <v/>
      </c>
      <c r="O251" s="30">
        <f>IF(L251="","",IF(L251&gt;=Setup!$B$23,"Complete",IF(L251&gt;0,"Partial","None")))</f>
        <v/>
      </c>
      <c r="P251" s="30">
        <f>IF(C251="","",IF(K251&gt;C251*1.01,"Covered area &gt; KBA area – check overlap; ","")&amp;IF(AND(E251&lt;&gt;"Y",F251&lt;&gt;"Y",J251&lt;&gt;"Y"),"No realm assigned; ",""))</f>
        <v/>
      </c>
    </row>
    <row r="252">
      <c r="A252" s="12" t="n"/>
      <c r="B252" s="12" t="n"/>
      <c r="C252" s="14" t="n"/>
      <c r="D252" s="34" t="n"/>
      <c r="E252" s="12" t="n"/>
      <c r="F252" s="12" t="n"/>
      <c r="G252" s="12" t="n"/>
      <c r="H252" s="14" t="n"/>
      <c r="I252" s="14" t="n"/>
      <c r="J252" s="30">
        <f>IF(C252="","",IF(N(D252)&gt;=Setup!$B$22,"Y","N"))</f>
        <v/>
      </c>
      <c r="K252" s="25">
        <f>IF(C252="","",N(H252)+N(I252))</f>
        <v/>
      </c>
      <c r="L252" s="26">
        <f>IF(N(C252)&gt;0,MIN(1,K252/C252),"")</f>
        <v/>
      </c>
      <c r="M252" s="26">
        <f>IF(N(C252)&gt;0,MIN(1,N(H252)/C252),"")</f>
        <v/>
      </c>
      <c r="N252" s="26">
        <f>IF(L252="","",L252-M252)</f>
        <v/>
      </c>
      <c r="O252" s="30">
        <f>IF(L252="","",IF(L252&gt;=Setup!$B$23,"Complete",IF(L252&gt;0,"Partial","None")))</f>
        <v/>
      </c>
      <c r="P252" s="30">
        <f>IF(C252="","",IF(K252&gt;C252*1.01,"Covered area &gt; KBA area – check overlap; ","")&amp;IF(AND(E252&lt;&gt;"Y",F252&lt;&gt;"Y",J252&lt;&gt;"Y"),"No realm assigned; ",""))</f>
        <v/>
      </c>
    </row>
    <row r="253">
      <c r="A253" s="12" t="n"/>
      <c r="B253" s="12" t="n"/>
      <c r="C253" s="14" t="n"/>
      <c r="D253" s="34" t="n"/>
      <c r="E253" s="12" t="n"/>
      <c r="F253" s="12" t="n"/>
      <c r="G253" s="12" t="n"/>
      <c r="H253" s="14" t="n"/>
      <c r="I253" s="14" t="n"/>
      <c r="J253" s="30">
        <f>IF(C253="","",IF(N(D253)&gt;=Setup!$B$22,"Y","N"))</f>
        <v/>
      </c>
      <c r="K253" s="25">
        <f>IF(C253="","",N(H253)+N(I253))</f>
        <v/>
      </c>
      <c r="L253" s="26">
        <f>IF(N(C253)&gt;0,MIN(1,K253/C253),"")</f>
        <v/>
      </c>
      <c r="M253" s="26">
        <f>IF(N(C253)&gt;0,MIN(1,N(H253)/C253),"")</f>
        <v/>
      </c>
      <c r="N253" s="26">
        <f>IF(L253="","",L253-M253)</f>
        <v/>
      </c>
      <c r="O253" s="30">
        <f>IF(L253="","",IF(L253&gt;=Setup!$B$23,"Complete",IF(L253&gt;0,"Partial","None")))</f>
        <v/>
      </c>
      <c r="P253" s="30">
        <f>IF(C253="","",IF(K253&gt;C253*1.01,"Covered area &gt; KBA area – check overlap; ","")&amp;IF(AND(E253&lt;&gt;"Y",F253&lt;&gt;"Y",J253&lt;&gt;"Y"),"No realm assigned; ",""))</f>
        <v/>
      </c>
    </row>
    <row r="254">
      <c r="A254" s="12" t="n"/>
      <c r="B254" s="12" t="n"/>
      <c r="C254" s="14" t="n"/>
      <c r="D254" s="34" t="n"/>
      <c r="E254" s="12" t="n"/>
      <c r="F254" s="12" t="n"/>
      <c r="G254" s="12" t="n"/>
      <c r="H254" s="14" t="n"/>
      <c r="I254" s="14" t="n"/>
      <c r="J254" s="30">
        <f>IF(C254="","",IF(N(D254)&gt;=Setup!$B$22,"Y","N"))</f>
        <v/>
      </c>
      <c r="K254" s="25">
        <f>IF(C254="","",N(H254)+N(I254))</f>
        <v/>
      </c>
      <c r="L254" s="26">
        <f>IF(N(C254)&gt;0,MIN(1,K254/C254),"")</f>
        <v/>
      </c>
      <c r="M254" s="26">
        <f>IF(N(C254)&gt;0,MIN(1,N(H254)/C254),"")</f>
        <v/>
      </c>
      <c r="N254" s="26">
        <f>IF(L254="","",L254-M254)</f>
        <v/>
      </c>
      <c r="O254" s="30">
        <f>IF(L254="","",IF(L254&gt;=Setup!$B$23,"Complete",IF(L254&gt;0,"Partial","None")))</f>
        <v/>
      </c>
      <c r="P254" s="30">
        <f>IF(C254="","",IF(K254&gt;C254*1.01,"Covered area &gt; KBA area – check overlap; ","")&amp;IF(AND(E254&lt;&gt;"Y",F254&lt;&gt;"Y",J254&lt;&gt;"Y"),"No realm assigned; ",""))</f>
        <v/>
      </c>
    </row>
    <row r="255">
      <c r="A255" s="12" t="n"/>
      <c r="B255" s="12" t="n"/>
      <c r="C255" s="14" t="n"/>
      <c r="D255" s="34" t="n"/>
      <c r="E255" s="12" t="n"/>
      <c r="F255" s="12" t="n"/>
      <c r="G255" s="12" t="n"/>
      <c r="H255" s="14" t="n"/>
      <c r="I255" s="14" t="n"/>
      <c r="J255" s="30">
        <f>IF(C255="","",IF(N(D255)&gt;=Setup!$B$22,"Y","N"))</f>
        <v/>
      </c>
      <c r="K255" s="25">
        <f>IF(C255="","",N(H255)+N(I255))</f>
        <v/>
      </c>
      <c r="L255" s="26">
        <f>IF(N(C255)&gt;0,MIN(1,K255/C255),"")</f>
        <v/>
      </c>
      <c r="M255" s="26">
        <f>IF(N(C255)&gt;0,MIN(1,N(H255)/C255),"")</f>
        <v/>
      </c>
      <c r="N255" s="26">
        <f>IF(L255="","",L255-M255)</f>
        <v/>
      </c>
      <c r="O255" s="30">
        <f>IF(L255="","",IF(L255&gt;=Setup!$B$23,"Complete",IF(L255&gt;0,"Partial","None")))</f>
        <v/>
      </c>
      <c r="P255" s="30">
        <f>IF(C255="","",IF(K255&gt;C255*1.01,"Covered area &gt; KBA area – check overlap; ","")&amp;IF(AND(E255&lt;&gt;"Y",F255&lt;&gt;"Y",J255&lt;&gt;"Y"),"No realm assigned; ",""))</f>
        <v/>
      </c>
    </row>
    <row r="256">
      <c r="A256" s="12" t="n"/>
      <c r="B256" s="12" t="n"/>
      <c r="C256" s="14" t="n"/>
      <c r="D256" s="34" t="n"/>
      <c r="E256" s="12" t="n"/>
      <c r="F256" s="12" t="n"/>
      <c r="G256" s="12" t="n"/>
      <c r="H256" s="14" t="n"/>
      <c r="I256" s="14" t="n"/>
      <c r="J256" s="30">
        <f>IF(C256="","",IF(N(D256)&gt;=Setup!$B$22,"Y","N"))</f>
        <v/>
      </c>
      <c r="K256" s="25">
        <f>IF(C256="","",N(H256)+N(I256))</f>
        <v/>
      </c>
      <c r="L256" s="26">
        <f>IF(N(C256)&gt;0,MIN(1,K256/C256),"")</f>
        <v/>
      </c>
      <c r="M256" s="26">
        <f>IF(N(C256)&gt;0,MIN(1,N(H256)/C256),"")</f>
        <v/>
      </c>
      <c r="N256" s="26">
        <f>IF(L256="","",L256-M256)</f>
        <v/>
      </c>
      <c r="O256" s="30">
        <f>IF(L256="","",IF(L256&gt;=Setup!$B$23,"Complete",IF(L256&gt;0,"Partial","None")))</f>
        <v/>
      </c>
      <c r="P256" s="30">
        <f>IF(C256="","",IF(K256&gt;C256*1.01,"Covered area &gt; KBA area – check overlap; ","")&amp;IF(AND(E256&lt;&gt;"Y",F256&lt;&gt;"Y",J256&lt;&gt;"Y"),"No realm assigned; ",""))</f>
        <v/>
      </c>
    </row>
    <row r="257">
      <c r="A257" s="12" t="n"/>
      <c r="B257" s="12" t="n"/>
      <c r="C257" s="14" t="n"/>
      <c r="D257" s="34" t="n"/>
      <c r="E257" s="12" t="n"/>
      <c r="F257" s="12" t="n"/>
      <c r="G257" s="12" t="n"/>
      <c r="H257" s="14" t="n"/>
      <c r="I257" s="14" t="n"/>
      <c r="J257" s="30">
        <f>IF(C257="","",IF(N(D257)&gt;=Setup!$B$22,"Y","N"))</f>
        <v/>
      </c>
      <c r="K257" s="25">
        <f>IF(C257="","",N(H257)+N(I257))</f>
        <v/>
      </c>
      <c r="L257" s="26">
        <f>IF(N(C257)&gt;0,MIN(1,K257/C257),"")</f>
        <v/>
      </c>
      <c r="M257" s="26">
        <f>IF(N(C257)&gt;0,MIN(1,N(H257)/C257),"")</f>
        <v/>
      </c>
      <c r="N257" s="26">
        <f>IF(L257="","",L257-M257)</f>
        <v/>
      </c>
      <c r="O257" s="30">
        <f>IF(L257="","",IF(L257&gt;=Setup!$B$23,"Complete",IF(L257&gt;0,"Partial","None")))</f>
        <v/>
      </c>
      <c r="P257" s="30">
        <f>IF(C257="","",IF(K257&gt;C257*1.01,"Covered area &gt; KBA area – check overlap; ","")&amp;IF(AND(E257&lt;&gt;"Y",F257&lt;&gt;"Y",J257&lt;&gt;"Y"),"No realm assigned; ",""))</f>
        <v/>
      </c>
    </row>
    <row r="258">
      <c r="A258" s="12" t="n"/>
      <c r="B258" s="12" t="n"/>
      <c r="C258" s="14" t="n"/>
      <c r="D258" s="34" t="n"/>
      <c r="E258" s="12" t="n"/>
      <c r="F258" s="12" t="n"/>
      <c r="G258" s="12" t="n"/>
      <c r="H258" s="14" t="n"/>
      <c r="I258" s="14" t="n"/>
      <c r="J258" s="30">
        <f>IF(C258="","",IF(N(D258)&gt;=Setup!$B$22,"Y","N"))</f>
        <v/>
      </c>
      <c r="K258" s="25">
        <f>IF(C258="","",N(H258)+N(I258))</f>
        <v/>
      </c>
      <c r="L258" s="26">
        <f>IF(N(C258)&gt;0,MIN(1,K258/C258),"")</f>
        <v/>
      </c>
      <c r="M258" s="26">
        <f>IF(N(C258)&gt;0,MIN(1,N(H258)/C258),"")</f>
        <v/>
      </c>
      <c r="N258" s="26">
        <f>IF(L258="","",L258-M258)</f>
        <v/>
      </c>
      <c r="O258" s="30">
        <f>IF(L258="","",IF(L258&gt;=Setup!$B$23,"Complete",IF(L258&gt;0,"Partial","None")))</f>
        <v/>
      </c>
      <c r="P258" s="30">
        <f>IF(C258="","",IF(K258&gt;C258*1.01,"Covered area &gt; KBA area – check overlap; ","")&amp;IF(AND(E258&lt;&gt;"Y",F258&lt;&gt;"Y",J258&lt;&gt;"Y"),"No realm assigned; ",""))</f>
        <v/>
      </c>
    </row>
    <row r="259">
      <c r="A259" s="12" t="n"/>
      <c r="B259" s="12" t="n"/>
      <c r="C259" s="14" t="n"/>
      <c r="D259" s="34" t="n"/>
      <c r="E259" s="12" t="n"/>
      <c r="F259" s="12" t="n"/>
      <c r="G259" s="12" t="n"/>
      <c r="H259" s="14" t="n"/>
      <c r="I259" s="14" t="n"/>
      <c r="J259" s="30">
        <f>IF(C259="","",IF(N(D259)&gt;=Setup!$B$22,"Y","N"))</f>
        <v/>
      </c>
      <c r="K259" s="25">
        <f>IF(C259="","",N(H259)+N(I259))</f>
        <v/>
      </c>
      <c r="L259" s="26">
        <f>IF(N(C259)&gt;0,MIN(1,K259/C259),"")</f>
        <v/>
      </c>
      <c r="M259" s="26">
        <f>IF(N(C259)&gt;0,MIN(1,N(H259)/C259),"")</f>
        <v/>
      </c>
      <c r="N259" s="26">
        <f>IF(L259="","",L259-M259)</f>
        <v/>
      </c>
      <c r="O259" s="30">
        <f>IF(L259="","",IF(L259&gt;=Setup!$B$23,"Complete",IF(L259&gt;0,"Partial","None")))</f>
        <v/>
      </c>
      <c r="P259" s="30">
        <f>IF(C259="","",IF(K259&gt;C259*1.01,"Covered area &gt; KBA area – check overlap; ","")&amp;IF(AND(E259&lt;&gt;"Y",F259&lt;&gt;"Y",J259&lt;&gt;"Y"),"No realm assigned; ",""))</f>
        <v/>
      </c>
    </row>
    <row r="260">
      <c r="A260" s="12" t="n"/>
      <c r="B260" s="12" t="n"/>
      <c r="C260" s="14" t="n"/>
      <c r="D260" s="34" t="n"/>
      <c r="E260" s="12" t="n"/>
      <c r="F260" s="12" t="n"/>
      <c r="G260" s="12" t="n"/>
      <c r="H260" s="14" t="n"/>
      <c r="I260" s="14" t="n"/>
      <c r="J260" s="30">
        <f>IF(C260="","",IF(N(D260)&gt;=Setup!$B$22,"Y","N"))</f>
        <v/>
      </c>
      <c r="K260" s="25">
        <f>IF(C260="","",N(H260)+N(I260))</f>
        <v/>
      </c>
      <c r="L260" s="26">
        <f>IF(N(C260)&gt;0,MIN(1,K260/C260),"")</f>
        <v/>
      </c>
      <c r="M260" s="26">
        <f>IF(N(C260)&gt;0,MIN(1,N(H260)/C260),"")</f>
        <v/>
      </c>
      <c r="N260" s="26">
        <f>IF(L260="","",L260-M260)</f>
        <v/>
      </c>
      <c r="O260" s="30">
        <f>IF(L260="","",IF(L260&gt;=Setup!$B$23,"Complete",IF(L260&gt;0,"Partial","None")))</f>
        <v/>
      </c>
      <c r="P260" s="30">
        <f>IF(C260="","",IF(K260&gt;C260*1.01,"Covered area &gt; KBA area – check overlap; ","")&amp;IF(AND(E260&lt;&gt;"Y",F260&lt;&gt;"Y",J260&lt;&gt;"Y"),"No realm assigned; ",""))</f>
        <v/>
      </c>
    </row>
    <row r="261">
      <c r="A261" s="12" t="n"/>
      <c r="B261" s="12" t="n"/>
      <c r="C261" s="14" t="n"/>
      <c r="D261" s="34" t="n"/>
      <c r="E261" s="12" t="n"/>
      <c r="F261" s="12" t="n"/>
      <c r="G261" s="12" t="n"/>
      <c r="H261" s="14" t="n"/>
      <c r="I261" s="14" t="n"/>
      <c r="J261" s="30">
        <f>IF(C261="","",IF(N(D261)&gt;=Setup!$B$22,"Y","N"))</f>
        <v/>
      </c>
      <c r="K261" s="25">
        <f>IF(C261="","",N(H261)+N(I261))</f>
        <v/>
      </c>
      <c r="L261" s="26">
        <f>IF(N(C261)&gt;0,MIN(1,K261/C261),"")</f>
        <v/>
      </c>
      <c r="M261" s="26">
        <f>IF(N(C261)&gt;0,MIN(1,N(H261)/C261),"")</f>
        <v/>
      </c>
      <c r="N261" s="26">
        <f>IF(L261="","",L261-M261)</f>
        <v/>
      </c>
      <c r="O261" s="30">
        <f>IF(L261="","",IF(L261&gt;=Setup!$B$23,"Complete",IF(L261&gt;0,"Partial","None")))</f>
        <v/>
      </c>
      <c r="P261" s="30">
        <f>IF(C261="","",IF(K261&gt;C261*1.01,"Covered area &gt; KBA area – check overlap; ","")&amp;IF(AND(E261&lt;&gt;"Y",F261&lt;&gt;"Y",J261&lt;&gt;"Y"),"No realm assigned; ",""))</f>
        <v/>
      </c>
    </row>
    <row r="262">
      <c r="A262" s="12" t="n"/>
      <c r="B262" s="12" t="n"/>
      <c r="C262" s="14" t="n"/>
      <c r="D262" s="34" t="n"/>
      <c r="E262" s="12" t="n"/>
      <c r="F262" s="12" t="n"/>
      <c r="G262" s="12" t="n"/>
      <c r="H262" s="14" t="n"/>
      <c r="I262" s="14" t="n"/>
      <c r="J262" s="30">
        <f>IF(C262="","",IF(N(D262)&gt;=Setup!$B$22,"Y","N"))</f>
        <v/>
      </c>
      <c r="K262" s="25">
        <f>IF(C262="","",N(H262)+N(I262))</f>
        <v/>
      </c>
      <c r="L262" s="26">
        <f>IF(N(C262)&gt;0,MIN(1,K262/C262),"")</f>
        <v/>
      </c>
      <c r="M262" s="26">
        <f>IF(N(C262)&gt;0,MIN(1,N(H262)/C262),"")</f>
        <v/>
      </c>
      <c r="N262" s="26">
        <f>IF(L262="","",L262-M262)</f>
        <v/>
      </c>
      <c r="O262" s="30">
        <f>IF(L262="","",IF(L262&gt;=Setup!$B$23,"Complete",IF(L262&gt;0,"Partial","None")))</f>
        <v/>
      </c>
      <c r="P262" s="30">
        <f>IF(C262="","",IF(K262&gt;C262*1.01,"Covered area &gt; KBA area – check overlap; ","")&amp;IF(AND(E262&lt;&gt;"Y",F262&lt;&gt;"Y",J262&lt;&gt;"Y"),"No realm assigned; ",""))</f>
        <v/>
      </c>
    </row>
    <row r="263">
      <c r="A263" s="12" t="n"/>
      <c r="B263" s="12" t="n"/>
      <c r="C263" s="14" t="n"/>
      <c r="D263" s="34" t="n"/>
      <c r="E263" s="12" t="n"/>
      <c r="F263" s="12" t="n"/>
      <c r="G263" s="12" t="n"/>
      <c r="H263" s="14" t="n"/>
      <c r="I263" s="14" t="n"/>
      <c r="J263" s="30">
        <f>IF(C263="","",IF(N(D263)&gt;=Setup!$B$22,"Y","N"))</f>
        <v/>
      </c>
      <c r="K263" s="25">
        <f>IF(C263="","",N(H263)+N(I263))</f>
        <v/>
      </c>
      <c r="L263" s="26">
        <f>IF(N(C263)&gt;0,MIN(1,K263/C263),"")</f>
        <v/>
      </c>
      <c r="M263" s="26">
        <f>IF(N(C263)&gt;0,MIN(1,N(H263)/C263),"")</f>
        <v/>
      </c>
      <c r="N263" s="26">
        <f>IF(L263="","",L263-M263)</f>
        <v/>
      </c>
      <c r="O263" s="30">
        <f>IF(L263="","",IF(L263&gt;=Setup!$B$23,"Complete",IF(L263&gt;0,"Partial","None")))</f>
        <v/>
      </c>
      <c r="P263" s="30">
        <f>IF(C263="","",IF(K263&gt;C263*1.01,"Covered area &gt; KBA area – check overlap; ","")&amp;IF(AND(E263&lt;&gt;"Y",F263&lt;&gt;"Y",J263&lt;&gt;"Y"),"No realm assigned; ",""))</f>
        <v/>
      </c>
    </row>
    <row r="264">
      <c r="A264" s="12" t="n"/>
      <c r="B264" s="12" t="n"/>
      <c r="C264" s="14" t="n"/>
      <c r="D264" s="34" t="n"/>
      <c r="E264" s="12" t="n"/>
      <c r="F264" s="12" t="n"/>
      <c r="G264" s="12" t="n"/>
      <c r="H264" s="14" t="n"/>
      <c r="I264" s="14" t="n"/>
      <c r="J264" s="30">
        <f>IF(C264="","",IF(N(D264)&gt;=Setup!$B$22,"Y","N"))</f>
        <v/>
      </c>
      <c r="K264" s="25">
        <f>IF(C264="","",N(H264)+N(I264))</f>
        <v/>
      </c>
      <c r="L264" s="26">
        <f>IF(N(C264)&gt;0,MIN(1,K264/C264),"")</f>
        <v/>
      </c>
      <c r="M264" s="26">
        <f>IF(N(C264)&gt;0,MIN(1,N(H264)/C264),"")</f>
        <v/>
      </c>
      <c r="N264" s="26">
        <f>IF(L264="","",L264-M264)</f>
        <v/>
      </c>
      <c r="O264" s="30">
        <f>IF(L264="","",IF(L264&gt;=Setup!$B$23,"Complete",IF(L264&gt;0,"Partial","None")))</f>
        <v/>
      </c>
      <c r="P264" s="30">
        <f>IF(C264="","",IF(K264&gt;C264*1.01,"Covered area &gt; KBA area – check overlap; ","")&amp;IF(AND(E264&lt;&gt;"Y",F264&lt;&gt;"Y",J264&lt;&gt;"Y"),"No realm assigned; ",""))</f>
        <v/>
      </c>
    </row>
    <row r="265">
      <c r="A265" s="12" t="n"/>
      <c r="B265" s="12" t="n"/>
      <c r="C265" s="14" t="n"/>
      <c r="D265" s="34" t="n"/>
      <c r="E265" s="12" t="n"/>
      <c r="F265" s="12" t="n"/>
      <c r="G265" s="12" t="n"/>
      <c r="H265" s="14" t="n"/>
      <c r="I265" s="14" t="n"/>
      <c r="J265" s="30">
        <f>IF(C265="","",IF(N(D265)&gt;=Setup!$B$22,"Y","N"))</f>
        <v/>
      </c>
      <c r="K265" s="25">
        <f>IF(C265="","",N(H265)+N(I265))</f>
        <v/>
      </c>
      <c r="L265" s="26">
        <f>IF(N(C265)&gt;0,MIN(1,K265/C265),"")</f>
        <v/>
      </c>
      <c r="M265" s="26">
        <f>IF(N(C265)&gt;0,MIN(1,N(H265)/C265),"")</f>
        <v/>
      </c>
      <c r="N265" s="26">
        <f>IF(L265="","",L265-M265)</f>
        <v/>
      </c>
      <c r="O265" s="30">
        <f>IF(L265="","",IF(L265&gt;=Setup!$B$23,"Complete",IF(L265&gt;0,"Partial","None")))</f>
        <v/>
      </c>
      <c r="P265" s="30">
        <f>IF(C265="","",IF(K265&gt;C265*1.01,"Covered area &gt; KBA area – check overlap; ","")&amp;IF(AND(E265&lt;&gt;"Y",F265&lt;&gt;"Y",J265&lt;&gt;"Y"),"No realm assigned; ",""))</f>
        <v/>
      </c>
    </row>
    <row r="266">
      <c r="A266" s="12" t="n"/>
      <c r="B266" s="12" t="n"/>
      <c r="C266" s="14" t="n"/>
      <c r="D266" s="34" t="n"/>
      <c r="E266" s="12" t="n"/>
      <c r="F266" s="12" t="n"/>
      <c r="G266" s="12" t="n"/>
      <c r="H266" s="14" t="n"/>
      <c r="I266" s="14" t="n"/>
      <c r="J266" s="30">
        <f>IF(C266="","",IF(N(D266)&gt;=Setup!$B$22,"Y","N"))</f>
        <v/>
      </c>
      <c r="K266" s="25">
        <f>IF(C266="","",N(H266)+N(I266))</f>
        <v/>
      </c>
      <c r="L266" s="26">
        <f>IF(N(C266)&gt;0,MIN(1,K266/C266),"")</f>
        <v/>
      </c>
      <c r="M266" s="26">
        <f>IF(N(C266)&gt;0,MIN(1,N(H266)/C266),"")</f>
        <v/>
      </c>
      <c r="N266" s="26">
        <f>IF(L266="","",L266-M266)</f>
        <v/>
      </c>
      <c r="O266" s="30">
        <f>IF(L266="","",IF(L266&gt;=Setup!$B$23,"Complete",IF(L266&gt;0,"Partial","None")))</f>
        <v/>
      </c>
      <c r="P266" s="30">
        <f>IF(C266="","",IF(K266&gt;C266*1.01,"Covered area &gt; KBA area – check overlap; ","")&amp;IF(AND(E266&lt;&gt;"Y",F266&lt;&gt;"Y",J266&lt;&gt;"Y"),"No realm assigned; ",""))</f>
        <v/>
      </c>
    </row>
    <row r="267">
      <c r="A267" s="12" t="n"/>
      <c r="B267" s="12" t="n"/>
      <c r="C267" s="14" t="n"/>
      <c r="D267" s="34" t="n"/>
      <c r="E267" s="12" t="n"/>
      <c r="F267" s="12" t="n"/>
      <c r="G267" s="12" t="n"/>
      <c r="H267" s="14" t="n"/>
      <c r="I267" s="14" t="n"/>
      <c r="J267" s="30">
        <f>IF(C267="","",IF(N(D267)&gt;=Setup!$B$22,"Y","N"))</f>
        <v/>
      </c>
      <c r="K267" s="25">
        <f>IF(C267="","",N(H267)+N(I267))</f>
        <v/>
      </c>
      <c r="L267" s="26">
        <f>IF(N(C267)&gt;0,MIN(1,K267/C267),"")</f>
        <v/>
      </c>
      <c r="M267" s="26">
        <f>IF(N(C267)&gt;0,MIN(1,N(H267)/C267),"")</f>
        <v/>
      </c>
      <c r="N267" s="26">
        <f>IF(L267="","",L267-M267)</f>
        <v/>
      </c>
      <c r="O267" s="30">
        <f>IF(L267="","",IF(L267&gt;=Setup!$B$23,"Complete",IF(L267&gt;0,"Partial","None")))</f>
        <v/>
      </c>
      <c r="P267" s="30">
        <f>IF(C267="","",IF(K267&gt;C267*1.01,"Covered area &gt; KBA area – check overlap; ","")&amp;IF(AND(E267&lt;&gt;"Y",F267&lt;&gt;"Y",J267&lt;&gt;"Y"),"No realm assigned; ",""))</f>
        <v/>
      </c>
    </row>
    <row r="268">
      <c r="A268" s="12" t="n"/>
      <c r="B268" s="12" t="n"/>
      <c r="C268" s="14" t="n"/>
      <c r="D268" s="34" t="n"/>
      <c r="E268" s="12" t="n"/>
      <c r="F268" s="12" t="n"/>
      <c r="G268" s="12" t="n"/>
      <c r="H268" s="14" t="n"/>
      <c r="I268" s="14" t="n"/>
      <c r="J268" s="30">
        <f>IF(C268="","",IF(N(D268)&gt;=Setup!$B$22,"Y","N"))</f>
        <v/>
      </c>
      <c r="K268" s="25">
        <f>IF(C268="","",N(H268)+N(I268))</f>
        <v/>
      </c>
      <c r="L268" s="26">
        <f>IF(N(C268)&gt;0,MIN(1,K268/C268),"")</f>
        <v/>
      </c>
      <c r="M268" s="26">
        <f>IF(N(C268)&gt;0,MIN(1,N(H268)/C268),"")</f>
        <v/>
      </c>
      <c r="N268" s="26">
        <f>IF(L268="","",L268-M268)</f>
        <v/>
      </c>
      <c r="O268" s="30">
        <f>IF(L268="","",IF(L268&gt;=Setup!$B$23,"Complete",IF(L268&gt;0,"Partial","None")))</f>
        <v/>
      </c>
      <c r="P268" s="30">
        <f>IF(C268="","",IF(K268&gt;C268*1.01,"Covered area &gt; KBA area – check overlap; ","")&amp;IF(AND(E268&lt;&gt;"Y",F268&lt;&gt;"Y",J268&lt;&gt;"Y"),"No realm assigned; ",""))</f>
        <v/>
      </c>
    </row>
    <row r="269">
      <c r="A269" s="12" t="n"/>
      <c r="B269" s="12" t="n"/>
      <c r="C269" s="14" t="n"/>
      <c r="D269" s="34" t="n"/>
      <c r="E269" s="12" t="n"/>
      <c r="F269" s="12" t="n"/>
      <c r="G269" s="12" t="n"/>
      <c r="H269" s="14" t="n"/>
      <c r="I269" s="14" t="n"/>
      <c r="J269" s="30">
        <f>IF(C269="","",IF(N(D269)&gt;=Setup!$B$22,"Y","N"))</f>
        <v/>
      </c>
      <c r="K269" s="25">
        <f>IF(C269="","",N(H269)+N(I269))</f>
        <v/>
      </c>
      <c r="L269" s="26">
        <f>IF(N(C269)&gt;0,MIN(1,K269/C269),"")</f>
        <v/>
      </c>
      <c r="M269" s="26">
        <f>IF(N(C269)&gt;0,MIN(1,N(H269)/C269),"")</f>
        <v/>
      </c>
      <c r="N269" s="26">
        <f>IF(L269="","",L269-M269)</f>
        <v/>
      </c>
      <c r="O269" s="30">
        <f>IF(L269="","",IF(L269&gt;=Setup!$B$23,"Complete",IF(L269&gt;0,"Partial","None")))</f>
        <v/>
      </c>
      <c r="P269" s="30">
        <f>IF(C269="","",IF(K269&gt;C269*1.01,"Covered area &gt; KBA area – check overlap; ","")&amp;IF(AND(E269&lt;&gt;"Y",F269&lt;&gt;"Y",J269&lt;&gt;"Y"),"No realm assigned; ",""))</f>
        <v/>
      </c>
    </row>
    <row r="270">
      <c r="A270" s="12" t="n"/>
      <c r="B270" s="12" t="n"/>
      <c r="C270" s="14" t="n"/>
      <c r="D270" s="34" t="n"/>
      <c r="E270" s="12" t="n"/>
      <c r="F270" s="12" t="n"/>
      <c r="G270" s="12" t="n"/>
      <c r="H270" s="14" t="n"/>
      <c r="I270" s="14" t="n"/>
      <c r="J270" s="30">
        <f>IF(C270="","",IF(N(D270)&gt;=Setup!$B$22,"Y","N"))</f>
        <v/>
      </c>
      <c r="K270" s="25">
        <f>IF(C270="","",N(H270)+N(I270))</f>
        <v/>
      </c>
      <c r="L270" s="26">
        <f>IF(N(C270)&gt;0,MIN(1,K270/C270),"")</f>
        <v/>
      </c>
      <c r="M270" s="26">
        <f>IF(N(C270)&gt;0,MIN(1,N(H270)/C270),"")</f>
        <v/>
      </c>
      <c r="N270" s="26">
        <f>IF(L270="","",L270-M270)</f>
        <v/>
      </c>
      <c r="O270" s="30">
        <f>IF(L270="","",IF(L270&gt;=Setup!$B$23,"Complete",IF(L270&gt;0,"Partial","None")))</f>
        <v/>
      </c>
      <c r="P270" s="30">
        <f>IF(C270="","",IF(K270&gt;C270*1.01,"Covered area &gt; KBA area – check overlap; ","")&amp;IF(AND(E270&lt;&gt;"Y",F270&lt;&gt;"Y",J270&lt;&gt;"Y"),"No realm assigned; ",""))</f>
        <v/>
      </c>
    </row>
    <row r="271">
      <c r="A271" s="12" t="n"/>
      <c r="B271" s="12" t="n"/>
      <c r="C271" s="14" t="n"/>
      <c r="D271" s="34" t="n"/>
      <c r="E271" s="12" t="n"/>
      <c r="F271" s="12" t="n"/>
      <c r="G271" s="12" t="n"/>
      <c r="H271" s="14" t="n"/>
      <c r="I271" s="14" t="n"/>
      <c r="J271" s="30">
        <f>IF(C271="","",IF(N(D271)&gt;=Setup!$B$22,"Y","N"))</f>
        <v/>
      </c>
      <c r="K271" s="25">
        <f>IF(C271="","",N(H271)+N(I271))</f>
        <v/>
      </c>
      <c r="L271" s="26">
        <f>IF(N(C271)&gt;0,MIN(1,K271/C271),"")</f>
        <v/>
      </c>
      <c r="M271" s="26">
        <f>IF(N(C271)&gt;0,MIN(1,N(H271)/C271),"")</f>
        <v/>
      </c>
      <c r="N271" s="26">
        <f>IF(L271="","",L271-M271)</f>
        <v/>
      </c>
      <c r="O271" s="30">
        <f>IF(L271="","",IF(L271&gt;=Setup!$B$23,"Complete",IF(L271&gt;0,"Partial","None")))</f>
        <v/>
      </c>
      <c r="P271" s="30">
        <f>IF(C271="","",IF(K271&gt;C271*1.01,"Covered area &gt; KBA area – check overlap; ","")&amp;IF(AND(E271&lt;&gt;"Y",F271&lt;&gt;"Y",J271&lt;&gt;"Y"),"No realm assigned; ",""))</f>
        <v/>
      </c>
    </row>
    <row r="272">
      <c r="A272" s="12" t="n"/>
      <c r="B272" s="12" t="n"/>
      <c r="C272" s="14" t="n"/>
      <c r="D272" s="34" t="n"/>
      <c r="E272" s="12" t="n"/>
      <c r="F272" s="12" t="n"/>
      <c r="G272" s="12" t="n"/>
      <c r="H272" s="14" t="n"/>
      <c r="I272" s="14" t="n"/>
      <c r="J272" s="30">
        <f>IF(C272="","",IF(N(D272)&gt;=Setup!$B$22,"Y","N"))</f>
        <v/>
      </c>
      <c r="K272" s="25">
        <f>IF(C272="","",N(H272)+N(I272))</f>
        <v/>
      </c>
      <c r="L272" s="26">
        <f>IF(N(C272)&gt;0,MIN(1,K272/C272),"")</f>
        <v/>
      </c>
      <c r="M272" s="26">
        <f>IF(N(C272)&gt;0,MIN(1,N(H272)/C272),"")</f>
        <v/>
      </c>
      <c r="N272" s="26">
        <f>IF(L272="","",L272-M272)</f>
        <v/>
      </c>
      <c r="O272" s="30">
        <f>IF(L272="","",IF(L272&gt;=Setup!$B$23,"Complete",IF(L272&gt;0,"Partial","None")))</f>
        <v/>
      </c>
      <c r="P272" s="30">
        <f>IF(C272="","",IF(K272&gt;C272*1.01,"Covered area &gt; KBA area – check overlap; ","")&amp;IF(AND(E272&lt;&gt;"Y",F272&lt;&gt;"Y",J272&lt;&gt;"Y"),"No realm assigned; ",""))</f>
        <v/>
      </c>
    </row>
    <row r="273">
      <c r="A273" s="12" t="n"/>
      <c r="B273" s="12" t="n"/>
      <c r="C273" s="14" t="n"/>
      <c r="D273" s="34" t="n"/>
      <c r="E273" s="12" t="n"/>
      <c r="F273" s="12" t="n"/>
      <c r="G273" s="12" t="n"/>
      <c r="H273" s="14" t="n"/>
      <c r="I273" s="14" t="n"/>
      <c r="J273" s="30">
        <f>IF(C273="","",IF(N(D273)&gt;=Setup!$B$22,"Y","N"))</f>
        <v/>
      </c>
      <c r="K273" s="25">
        <f>IF(C273="","",N(H273)+N(I273))</f>
        <v/>
      </c>
      <c r="L273" s="26">
        <f>IF(N(C273)&gt;0,MIN(1,K273/C273),"")</f>
        <v/>
      </c>
      <c r="M273" s="26">
        <f>IF(N(C273)&gt;0,MIN(1,N(H273)/C273),"")</f>
        <v/>
      </c>
      <c r="N273" s="26">
        <f>IF(L273="","",L273-M273)</f>
        <v/>
      </c>
      <c r="O273" s="30">
        <f>IF(L273="","",IF(L273&gt;=Setup!$B$23,"Complete",IF(L273&gt;0,"Partial","None")))</f>
        <v/>
      </c>
      <c r="P273" s="30">
        <f>IF(C273="","",IF(K273&gt;C273*1.01,"Covered area &gt; KBA area – check overlap; ","")&amp;IF(AND(E273&lt;&gt;"Y",F273&lt;&gt;"Y",J273&lt;&gt;"Y"),"No realm assigned; ",""))</f>
        <v/>
      </c>
    </row>
    <row r="274">
      <c r="A274" s="12" t="n"/>
      <c r="B274" s="12" t="n"/>
      <c r="C274" s="14" t="n"/>
      <c r="D274" s="34" t="n"/>
      <c r="E274" s="12" t="n"/>
      <c r="F274" s="12" t="n"/>
      <c r="G274" s="12" t="n"/>
      <c r="H274" s="14" t="n"/>
      <c r="I274" s="14" t="n"/>
      <c r="J274" s="30">
        <f>IF(C274="","",IF(N(D274)&gt;=Setup!$B$22,"Y","N"))</f>
        <v/>
      </c>
      <c r="K274" s="25">
        <f>IF(C274="","",N(H274)+N(I274))</f>
        <v/>
      </c>
      <c r="L274" s="26">
        <f>IF(N(C274)&gt;0,MIN(1,K274/C274),"")</f>
        <v/>
      </c>
      <c r="M274" s="26">
        <f>IF(N(C274)&gt;0,MIN(1,N(H274)/C274),"")</f>
        <v/>
      </c>
      <c r="N274" s="26">
        <f>IF(L274="","",L274-M274)</f>
        <v/>
      </c>
      <c r="O274" s="30">
        <f>IF(L274="","",IF(L274&gt;=Setup!$B$23,"Complete",IF(L274&gt;0,"Partial","None")))</f>
        <v/>
      </c>
      <c r="P274" s="30">
        <f>IF(C274="","",IF(K274&gt;C274*1.01,"Covered area &gt; KBA area – check overlap; ","")&amp;IF(AND(E274&lt;&gt;"Y",F274&lt;&gt;"Y",J274&lt;&gt;"Y"),"No realm assigned; ",""))</f>
        <v/>
      </c>
    </row>
    <row r="275">
      <c r="A275" s="12" t="n"/>
      <c r="B275" s="12" t="n"/>
      <c r="C275" s="14" t="n"/>
      <c r="D275" s="34" t="n"/>
      <c r="E275" s="12" t="n"/>
      <c r="F275" s="12" t="n"/>
      <c r="G275" s="12" t="n"/>
      <c r="H275" s="14" t="n"/>
      <c r="I275" s="14" t="n"/>
      <c r="J275" s="30">
        <f>IF(C275="","",IF(N(D275)&gt;=Setup!$B$22,"Y","N"))</f>
        <v/>
      </c>
      <c r="K275" s="25">
        <f>IF(C275="","",N(H275)+N(I275))</f>
        <v/>
      </c>
      <c r="L275" s="26">
        <f>IF(N(C275)&gt;0,MIN(1,K275/C275),"")</f>
        <v/>
      </c>
      <c r="M275" s="26">
        <f>IF(N(C275)&gt;0,MIN(1,N(H275)/C275),"")</f>
        <v/>
      </c>
      <c r="N275" s="26">
        <f>IF(L275="","",L275-M275)</f>
        <v/>
      </c>
      <c r="O275" s="30">
        <f>IF(L275="","",IF(L275&gt;=Setup!$B$23,"Complete",IF(L275&gt;0,"Partial","None")))</f>
        <v/>
      </c>
      <c r="P275" s="30">
        <f>IF(C275="","",IF(K275&gt;C275*1.01,"Covered area &gt; KBA area – check overlap; ","")&amp;IF(AND(E275&lt;&gt;"Y",F275&lt;&gt;"Y",J275&lt;&gt;"Y"),"No realm assigned; ",""))</f>
        <v/>
      </c>
    </row>
    <row r="276">
      <c r="A276" s="12" t="n"/>
      <c r="B276" s="12" t="n"/>
      <c r="C276" s="14" t="n"/>
      <c r="D276" s="34" t="n"/>
      <c r="E276" s="12" t="n"/>
      <c r="F276" s="12" t="n"/>
      <c r="G276" s="12" t="n"/>
      <c r="H276" s="14" t="n"/>
      <c r="I276" s="14" t="n"/>
      <c r="J276" s="30">
        <f>IF(C276="","",IF(N(D276)&gt;=Setup!$B$22,"Y","N"))</f>
        <v/>
      </c>
      <c r="K276" s="25">
        <f>IF(C276="","",N(H276)+N(I276))</f>
        <v/>
      </c>
      <c r="L276" s="26">
        <f>IF(N(C276)&gt;0,MIN(1,K276/C276),"")</f>
        <v/>
      </c>
      <c r="M276" s="26">
        <f>IF(N(C276)&gt;0,MIN(1,N(H276)/C276),"")</f>
        <v/>
      </c>
      <c r="N276" s="26">
        <f>IF(L276="","",L276-M276)</f>
        <v/>
      </c>
      <c r="O276" s="30">
        <f>IF(L276="","",IF(L276&gt;=Setup!$B$23,"Complete",IF(L276&gt;0,"Partial","None")))</f>
        <v/>
      </c>
      <c r="P276" s="30">
        <f>IF(C276="","",IF(K276&gt;C276*1.01,"Covered area &gt; KBA area – check overlap; ","")&amp;IF(AND(E276&lt;&gt;"Y",F276&lt;&gt;"Y",J276&lt;&gt;"Y"),"No realm assigned; ",""))</f>
        <v/>
      </c>
    </row>
    <row r="277">
      <c r="A277" s="12" t="n"/>
      <c r="B277" s="12" t="n"/>
      <c r="C277" s="14" t="n"/>
      <c r="D277" s="34" t="n"/>
      <c r="E277" s="12" t="n"/>
      <c r="F277" s="12" t="n"/>
      <c r="G277" s="12" t="n"/>
      <c r="H277" s="14" t="n"/>
      <c r="I277" s="14" t="n"/>
      <c r="J277" s="30">
        <f>IF(C277="","",IF(N(D277)&gt;=Setup!$B$22,"Y","N"))</f>
        <v/>
      </c>
      <c r="K277" s="25">
        <f>IF(C277="","",N(H277)+N(I277))</f>
        <v/>
      </c>
      <c r="L277" s="26">
        <f>IF(N(C277)&gt;0,MIN(1,K277/C277),"")</f>
        <v/>
      </c>
      <c r="M277" s="26">
        <f>IF(N(C277)&gt;0,MIN(1,N(H277)/C277),"")</f>
        <v/>
      </c>
      <c r="N277" s="26">
        <f>IF(L277="","",L277-M277)</f>
        <v/>
      </c>
      <c r="O277" s="30">
        <f>IF(L277="","",IF(L277&gt;=Setup!$B$23,"Complete",IF(L277&gt;0,"Partial","None")))</f>
        <v/>
      </c>
      <c r="P277" s="30">
        <f>IF(C277="","",IF(K277&gt;C277*1.01,"Covered area &gt; KBA area – check overlap; ","")&amp;IF(AND(E277&lt;&gt;"Y",F277&lt;&gt;"Y",J277&lt;&gt;"Y"),"No realm assigned; ",""))</f>
        <v/>
      </c>
    </row>
    <row r="278">
      <c r="A278" s="12" t="n"/>
      <c r="B278" s="12" t="n"/>
      <c r="C278" s="14" t="n"/>
      <c r="D278" s="34" t="n"/>
      <c r="E278" s="12" t="n"/>
      <c r="F278" s="12" t="n"/>
      <c r="G278" s="12" t="n"/>
      <c r="H278" s="14" t="n"/>
      <c r="I278" s="14" t="n"/>
      <c r="J278" s="30">
        <f>IF(C278="","",IF(N(D278)&gt;=Setup!$B$22,"Y","N"))</f>
        <v/>
      </c>
      <c r="K278" s="25">
        <f>IF(C278="","",N(H278)+N(I278))</f>
        <v/>
      </c>
      <c r="L278" s="26">
        <f>IF(N(C278)&gt;0,MIN(1,K278/C278),"")</f>
        <v/>
      </c>
      <c r="M278" s="26">
        <f>IF(N(C278)&gt;0,MIN(1,N(H278)/C278),"")</f>
        <v/>
      </c>
      <c r="N278" s="26">
        <f>IF(L278="","",L278-M278)</f>
        <v/>
      </c>
      <c r="O278" s="30">
        <f>IF(L278="","",IF(L278&gt;=Setup!$B$23,"Complete",IF(L278&gt;0,"Partial","None")))</f>
        <v/>
      </c>
      <c r="P278" s="30">
        <f>IF(C278="","",IF(K278&gt;C278*1.01,"Covered area &gt; KBA area – check overlap; ","")&amp;IF(AND(E278&lt;&gt;"Y",F278&lt;&gt;"Y",J278&lt;&gt;"Y"),"No realm assigned; ",""))</f>
        <v/>
      </c>
    </row>
    <row r="279">
      <c r="A279" s="12" t="n"/>
      <c r="B279" s="12" t="n"/>
      <c r="C279" s="14" t="n"/>
      <c r="D279" s="34" t="n"/>
      <c r="E279" s="12" t="n"/>
      <c r="F279" s="12" t="n"/>
      <c r="G279" s="12" t="n"/>
      <c r="H279" s="14" t="n"/>
      <c r="I279" s="14" t="n"/>
      <c r="J279" s="30">
        <f>IF(C279="","",IF(N(D279)&gt;=Setup!$B$22,"Y","N"))</f>
        <v/>
      </c>
      <c r="K279" s="25">
        <f>IF(C279="","",N(H279)+N(I279))</f>
        <v/>
      </c>
      <c r="L279" s="26">
        <f>IF(N(C279)&gt;0,MIN(1,K279/C279),"")</f>
        <v/>
      </c>
      <c r="M279" s="26">
        <f>IF(N(C279)&gt;0,MIN(1,N(H279)/C279),"")</f>
        <v/>
      </c>
      <c r="N279" s="26">
        <f>IF(L279="","",L279-M279)</f>
        <v/>
      </c>
      <c r="O279" s="30">
        <f>IF(L279="","",IF(L279&gt;=Setup!$B$23,"Complete",IF(L279&gt;0,"Partial","None")))</f>
        <v/>
      </c>
      <c r="P279" s="30">
        <f>IF(C279="","",IF(K279&gt;C279*1.01,"Covered area &gt; KBA area – check overlap; ","")&amp;IF(AND(E279&lt;&gt;"Y",F279&lt;&gt;"Y",J279&lt;&gt;"Y"),"No realm assigned; ",""))</f>
        <v/>
      </c>
    </row>
    <row r="280">
      <c r="A280" s="12" t="n"/>
      <c r="B280" s="12" t="n"/>
      <c r="C280" s="14" t="n"/>
      <c r="D280" s="34" t="n"/>
      <c r="E280" s="12" t="n"/>
      <c r="F280" s="12" t="n"/>
      <c r="G280" s="12" t="n"/>
      <c r="H280" s="14" t="n"/>
      <c r="I280" s="14" t="n"/>
      <c r="J280" s="30">
        <f>IF(C280="","",IF(N(D280)&gt;=Setup!$B$22,"Y","N"))</f>
        <v/>
      </c>
      <c r="K280" s="25">
        <f>IF(C280="","",N(H280)+N(I280))</f>
        <v/>
      </c>
      <c r="L280" s="26">
        <f>IF(N(C280)&gt;0,MIN(1,K280/C280),"")</f>
        <v/>
      </c>
      <c r="M280" s="26">
        <f>IF(N(C280)&gt;0,MIN(1,N(H280)/C280),"")</f>
        <v/>
      </c>
      <c r="N280" s="26">
        <f>IF(L280="","",L280-M280)</f>
        <v/>
      </c>
      <c r="O280" s="30">
        <f>IF(L280="","",IF(L280&gt;=Setup!$B$23,"Complete",IF(L280&gt;0,"Partial","None")))</f>
        <v/>
      </c>
      <c r="P280" s="30">
        <f>IF(C280="","",IF(K280&gt;C280*1.01,"Covered area &gt; KBA area – check overlap; ","")&amp;IF(AND(E280&lt;&gt;"Y",F280&lt;&gt;"Y",J280&lt;&gt;"Y"),"No realm assigned; ",""))</f>
        <v/>
      </c>
    </row>
    <row r="281">
      <c r="A281" s="12" t="n"/>
      <c r="B281" s="12" t="n"/>
      <c r="C281" s="14" t="n"/>
      <c r="D281" s="34" t="n"/>
      <c r="E281" s="12" t="n"/>
      <c r="F281" s="12" t="n"/>
      <c r="G281" s="12" t="n"/>
      <c r="H281" s="14" t="n"/>
      <c r="I281" s="14" t="n"/>
      <c r="J281" s="30">
        <f>IF(C281="","",IF(N(D281)&gt;=Setup!$B$22,"Y","N"))</f>
        <v/>
      </c>
      <c r="K281" s="25">
        <f>IF(C281="","",N(H281)+N(I281))</f>
        <v/>
      </c>
      <c r="L281" s="26">
        <f>IF(N(C281)&gt;0,MIN(1,K281/C281),"")</f>
        <v/>
      </c>
      <c r="M281" s="26">
        <f>IF(N(C281)&gt;0,MIN(1,N(H281)/C281),"")</f>
        <v/>
      </c>
      <c r="N281" s="26">
        <f>IF(L281="","",L281-M281)</f>
        <v/>
      </c>
      <c r="O281" s="30">
        <f>IF(L281="","",IF(L281&gt;=Setup!$B$23,"Complete",IF(L281&gt;0,"Partial","None")))</f>
        <v/>
      </c>
      <c r="P281" s="30">
        <f>IF(C281="","",IF(K281&gt;C281*1.01,"Covered area &gt; KBA area – check overlap; ","")&amp;IF(AND(E281&lt;&gt;"Y",F281&lt;&gt;"Y",J281&lt;&gt;"Y"),"No realm assigned; ",""))</f>
        <v/>
      </c>
    </row>
    <row r="282">
      <c r="A282" s="12" t="n"/>
      <c r="B282" s="12" t="n"/>
      <c r="C282" s="14" t="n"/>
      <c r="D282" s="34" t="n"/>
      <c r="E282" s="12" t="n"/>
      <c r="F282" s="12" t="n"/>
      <c r="G282" s="12" t="n"/>
      <c r="H282" s="14" t="n"/>
      <c r="I282" s="14" t="n"/>
      <c r="J282" s="30">
        <f>IF(C282="","",IF(N(D282)&gt;=Setup!$B$22,"Y","N"))</f>
        <v/>
      </c>
      <c r="K282" s="25">
        <f>IF(C282="","",N(H282)+N(I282))</f>
        <v/>
      </c>
      <c r="L282" s="26">
        <f>IF(N(C282)&gt;0,MIN(1,K282/C282),"")</f>
        <v/>
      </c>
      <c r="M282" s="26">
        <f>IF(N(C282)&gt;0,MIN(1,N(H282)/C282),"")</f>
        <v/>
      </c>
      <c r="N282" s="26">
        <f>IF(L282="","",L282-M282)</f>
        <v/>
      </c>
      <c r="O282" s="30">
        <f>IF(L282="","",IF(L282&gt;=Setup!$B$23,"Complete",IF(L282&gt;0,"Partial","None")))</f>
        <v/>
      </c>
      <c r="P282" s="30">
        <f>IF(C282="","",IF(K282&gt;C282*1.01,"Covered area &gt; KBA area – check overlap; ","")&amp;IF(AND(E282&lt;&gt;"Y",F282&lt;&gt;"Y",J282&lt;&gt;"Y"),"No realm assigned; ",""))</f>
        <v/>
      </c>
    </row>
    <row r="283">
      <c r="A283" s="12" t="n"/>
      <c r="B283" s="12" t="n"/>
      <c r="C283" s="14" t="n"/>
      <c r="D283" s="34" t="n"/>
      <c r="E283" s="12" t="n"/>
      <c r="F283" s="12" t="n"/>
      <c r="G283" s="12" t="n"/>
      <c r="H283" s="14" t="n"/>
      <c r="I283" s="14" t="n"/>
      <c r="J283" s="30">
        <f>IF(C283="","",IF(N(D283)&gt;=Setup!$B$22,"Y","N"))</f>
        <v/>
      </c>
      <c r="K283" s="25">
        <f>IF(C283="","",N(H283)+N(I283))</f>
        <v/>
      </c>
      <c r="L283" s="26">
        <f>IF(N(C283)&gt;0,MIN(1,K283/C283),"")</f>
        <v/>
      </c>
      <c r="M283" s="26">
        <f>IF(N(C283)&gt;0,MIN(1,N(H283)/C283),"")</f>
        <v/>
      </c>
      <c r="N283" s="26">
        <f>IF(L283="","",L283-M283)</f>
        <v/>
      </c>
      <c r="O283" s="30">
        <f>IF(L283="","",IF(L283&gt;=Setup!$B$23,"Complete",IF(L283&gt;0,"Partial","None")))</f>
        <v/>
      </c>
      <c r="P283" s="30">
        <f>IF(C283="","",IF(K283&gt;C283*1.01,"Covered area &gt; KBA area – check overlap; ","")&amp;IF(AND(E283&lt;&gt;"Y",F283&lt;&gt;"Y",J283&lt;&gt;"Y"),"No realm assigned; ",""))</f>
        <v/>
      </c>
    </row>
    <row r="284">
      <c r="A284" s="12" t="n"/>
      <c r="B284" s="12" t="n"/>
      <c r="C284" s="14" t="n"/>
      <c r="D284" s="34" t="n"/>
      <c r="E284" s="12" t="n"/>
      <c r="F284" s="12" t="n"/>
      <c r="G284" s="12" t="n"/>
      <c r="H284" s="14" t="n"/>
      <c r="I284" s="14" t="n"/>
      <c r="J284" s="30">
        <f>IF(C284="","",IF(N(D284)&gt;=Setup!$B$22,"Y","N"))</f>
        <v/>
      </c>
      <c r="K284" s="25">
        <f>IF(C284="","",N(H284)+N(I284))</f>
        <v/>
      </c>
      <c r="L284" s="26">
        <f>IF(N(C284)&gt;0,MIN(1,K284/C284),"")</f>
        <v/>
      </c>
      <c r="M284" s="26">
        <f>IF(N(C284)&gt;0,MIN(1,N(H284)/C284),"")</f>
        <v/>
      </c>
      <c r="N284" s="26">
        <f>IF(L284="","",L284-M284)</f>
        <v/>
      </c>
      <c r="O284" s="30">
        <f>IF(L284="","",IF(L284&gt;=Setup!$B$23,"Complete",IF(L284&gt;0,"Partial","None")))</f>
        <v/>
      </c>
      <c r="P284" s="30">
        <f>IF(C284="","",IF(K284&gt;C284*1.01,"Covered area &gt; KBA area – check overlap; ","")&amp;IF(AND(E284&lt;&gt;"Y",F284&lt;&gt;"Y",J284&lt;&gt;"Y"),"No realm assigned; ",""))</f>
        <v/>
      </c>
    </row>
    <row r="285">
      <c r="A285" s="12" t="n"/>
      <c r="B285" s="12" t="n"/>
      <c r="C285" s="14" t="n"/>
      <c r="D285" s="34" t="n"/>
      <c r="E285" s="12" t="n"/>
      <c r="F285" s="12" t="n"/>
      <c r="G285" s="12" t="n"/>
      <c r="H285" s="14" t="n"/>
      <c r="I285" s="14" t="n"/>
      <c r="J285" s="30">
        <f>IF(C285="","",IF(N(D285)&gt;=Setup!$B$22,"Y","N"))</f>
        <v/>
      </c>
      <c r="K285" s="25">
        <f>IF(C285="","",N(H285)+N(I285))</f>
        <v/>
      </c>
      <c r="L285" s="26">
        <f>IF(N(C285)&gt;0,MIN(1,K285/C285),"")</f>
        <v/>
      </c>
      <c r="M285" s="26">
        <f>IF(N(C285)&gt;0,MIN(1,N(H285)/C285),"")</f>
        <v/>
      </c>
      <c r="N285" s="26">
        <f>IF(L285="","",L285-M285)</f>
        <v/>
      </c>
      <c r="O285" s="30">
        <f>IF(L285="","",IF(L285&gt;=Setup!$B$23,"Complete",IF(L285&gt;0,"Partial","None")))</f>
        <v/>
      </c>
      <c r="P285" s="30">
        <f>IF(C285="","",IF(K285&gt;C285*1.01,"Covered area &gt; KBA area – check overlap; ","")&amp;IF(AND(E285&lt;&gt;"Y",F285&lt;&gt;"Y",J285&lt;&gt;"Y"),"No realm assigned; ",""))</f>
        <v/>
      </c>
    </row>
    <row r="286">
      <c r="A286" s="12" t="n"/>
      <c r="B286" s="12" t="n"/>
      <c r="C286" s="14" t="n"/>
      <c r="D286" s="34" t="n"/>
      <c r="E286" s="12" t="n"/>
      <c r="F286" s="12" t="n"/>
      <c r="G286" s="12" t="n"/>
      <c r="H286" s="14" t="n"/>
      <c r="I286" s="14" t="n"/>
      <c r="J286" s="30">
        <f>IF(C286="","",IF(N(D286)&gt;=Setup!$B$22,"Y","N"))</f>
        <v/>
      </c>
      <c r="K286" s="25">
        <f>IF(C286="","",N(H286)+N(I286))</f>
        <v/>
      </c>
      <c r="L286" s="26">
        <f>IF(N(C286)&gt;0,MIN(1,K286/C286),"")</f>
        <v/>
      </c>
      <c r="M286" s="26">
        <f>IF(N(C286)&gt;0,MIN(1,N(H286)/C286),"")</f>
        <v/>
      </c>
      <c r="N286" s="26">
        <f>IF(L286="","",L286-M286)</f>
        <v/>
      </c>
      <c r="O286" s="30">
        <f>IF(L286="","",IF(L286&gt;=Setup!$B$23,"Complete",IF(L286&gt;0,"Partial","None")))</f>
        <v/>
      </c>
      <c r="P286" s="30">
        <f>IF(C286="","",IF(K286&gt;C286*1.01,"Covered area &gt; KBA area – check overlap; ","")&amp;IF(AND(E286&lt;&gt;"Y",F286&lt;&gt;"Y",J286&lt;&gt;"Y"),"No realm assigned; ",""))</f>
        <v/>
      </c>
    </row>
    <row r="287">
      <c r="A287" s="12" t="n"/>
      <c r="B287" s="12" t="n"/>
      <c r="C287" s="14" t="n"/>
      <c r="D287" s="34" t="n"/>
      <c r="E287" s="12" t="n"/>
      <c r="F287" s="12" t="n"/>
      <c r="G287" s="12" t="n"/>
      <c r="H287" s="14" t="n"/>
      <c r="I287" s="14" t="n"/>
      <c r="J287" s="30">
        <f>IF(C287="","",IF(N(D287)&gt;=Setup!$B$22,"Y","N"))</f>
        <v/>
      </c>
      <c r="K287" s="25">
        <f>IF(C287="","",N(H287)+N(I287))</f>
        <v/>
      </c>
      <c r="L287" s="26">
        <f>IF(N(C287)&gt;0,MIN(1,K287/C287),"")</f>
        <v/>
      </c>
      <c r="M287" s="26">
        <f>IF(N(C287)&gt;0,MIN(1,N(H287)/C287),"")</f>
        <v/>
      </c>
      <c r="N287" s="26">
        <f>IF(L287="","",L287-M287)</f>
        <v/>
      </c>
      <c r="O287" s="30">
        <f>IF(L287="","",IF(L287&gt;=Setup!$B$23,"Complete",IF(L287&gt;0,"Partial","None")))</f>
        <v/>
      </c>
      <c r="P287" s="30">
        <f>IF(C287="","",IF(K287&gt;C287*1.01,"Covered area &gt; KBA area – check overlap; ","")&amp;IF(AND(E287&lt;&gt;"Y",F287&lt;&gt;"Y",J287&lt;&gt;"Y"),"No realm assigned; ",""))</f>
        <v/>
      </c>
    </row>
    <row r="288">
      <c r="A288" s="12" t="n"/>
      <c r="B288" s="12" t="n"/>
      <c r="C288" s="14" t="n"/>
      <c r="D288" s="34" t="n"/>
      <c r="E288" s="12" t="n"/>
      <c r="F288" s="12" t="n"/>
      <c r="G288" s="12" t="n"/>
      <c r="H288" s="14" t="n"/>
      <c r="I288" s="14" t="n"/>
      <c r="J288" s="30">
        <f>IF(C288="","",IF(N(D288)&gt;=Setup!$B$22,"Y","N"))</f>
        <v/>
      </c>
      <c r="K288" s="25">
        <f>IF(C288="","",N(H288)+N(I288))</f>
        <v/>
      </c>
      <c r="L288" s="26">
        <f>IF(N(C288)&gt;0,MIN(1,K288/C288),"")</f>
        <v/>
      </c>
      <c r="M288" s="26">
        <f>IF(N(C288)&gt;0,MIN(1,N(H288)/C288),"")</f>
        <v/>
      </c>
      <c r="N288" s="26">
        <f>IF(L288="","",L288-M288)</f>
        <v/>
      </c>
      <c r="O288" s="30">
        <f>IF(L288="","",IF(L288&gt;=Setup!$B$23,"Complete",IF(L288&gt;0,"Partial","None")))</f>
        <v/>
      </c>
      <c r="P288" s="30">
        <f>IF(C288="","",IF(K288&gt;C288*1.01,"Covered area &gt; KBA area – check overlap; ","")&amp;IF(AND(E288&lt;&gt;"Y",F288&lt;&gt;"Y",J288&lt;&gt;"Y"),"No realm assigned; ",""))</f>
        <v/>
      </c>
    </row>
    <row r="289">
      <c r="A289" s="12" t="n"/>
      <c r="B289" s="12" t="n"/>
      <c r="C289" s="14" t="n"/>
      <c r="D289" s="34" t="n"/>
      <c r="E289" s="12" t="n"/>
      <c r="F289" s="12" t="n"/>
      <c r="G289" s="12" t="n"/>
      <c r="H289" s="14" t="n"/>
      <c r="I289" s="14" t="n"/>
      <c r="J289" s="30">
        <f>IF(C289="","",IF(N(D289)&gt;=Setup!$B$22,"Y","N"))</f>
        <v/>
      </c>
      <c r="K289" s="25">
        <f>IF(C289="","",N(H289)+N(I289))</f>
        <v/>
      </c>
      <c r="L289" s="26">
        <f>IF(N(C289)&gt;0,MIN(1,K289/C289),"")</f>
        <v/>
      </c>
      <c r="M289" s="26">
        <f>IF(N(C289)&gt;0,MIN(1,N(H289)/C289),"")</f>
        <v/>
      </c>
      <c r="N289" s="26">
        <f>IF(L289="","",L289-M289)</f>
        <v/>
      </c>
      <c r="O289" s="30">
        <f>IF(L289="","",IF(L289&gt;=Setup!$B$23,"Complete",IF(L289&gt;0,"Partial","None")))</f>
        <v/>
      </c>
      <c r="P289" s="30">
        <f>IF(C289="","",IF(K289&gt;C289*1.01,"Covered area &gt; KBA area – check overlap; ","")&amp;IF(AND(E289&lt;&gt;"Y",F289&lt;&gt;"Y",J289&lt;&gt;"Y"),"No realm assigned; ",""))</f>
        <v/>
      </c>
    </row>
    <row r="290">
      <c r="A290" s="12" t="n"/>
      <c r="B290" s="12" t="n"/>
      <c r="C290" s="14" t="n"/>
      <c r="D290" s="34" t="n"/>
      <c r="E290" s="12" t="n"/>
      <c r="F290" s="12" t="n"/>
      <c r="G290" s="12" t="n"/>
      <c r="H290" s="14" t="n"/>
      <c r="I290" s="14" t="n"/>
      <c r="J290" s="30">
        <f>IF(C290="","",IF(N(D290)&gt;=Setup!$B$22,"Y","N"))</f>
        <v/>
      </c>
      <c r="K290" s="25">
        <f>IF(C290="","",N(H290)+N(I290))</f>
        <v/>
      </c>
      <c r="L290" s="26">
        <f>IF(N(C290)&gt;0,MIN(1,K290/C290),"")</f>
        <v/>
      </c>
      <c r="M290" s="26">
        <f>IF(N(C290)&gt;0,MIN(1,N(H290)/C290),"")</f>
        <v/>
      </c>
      <c r="N290" s="26">
        <f>IF(L290="","",L290-M290)</f>
        <v/>
      </c>
      <c r="O290" s="30">
        <f>IF(L290="","",IF(L290&gt;=Setup!$B$23,"Complete",IF(L290&gt;0,"Partial","None")))</f>
        <v/>
      </c>
      <c r="P290" s="30">
        <f>IF(C290="","",IF(K290&gt;C290*1.01,"Covered area &gt; KBA area – check overlap; ","")&amp;IF(AND(E290&lt;&gt;"Y",F290&lt;&gt;"Y",J290&lt;&gt;"Y"),"No realm assigned; ",""))</f>
        <v/>
      </c>
    </row>
    <row r="291">
      <c r="A291" s="12" t="n"/>
      <c r="B291" s="12" t="n"/>
      <c r="C291" s="14" t="n"/>
      <c r="D291" s="34" t="n"/>
      <c r="E291" s="12" t="n"/>
      <c r="F291" s="12" t="n"/>
      <c r="G291" s="12" t="n"/>
      <c r="H291" s="14" t="n"/>
      <c r="I291" s="14" t="n"/>
      <c r="J291" s="30">
        <f>IF(C291="","",IF(N(D291)&gt;=Setup!$B$22,"Y","N"))</f>
        <v/>
      </c>
      <c r="K291" s="25">
        <f>IF(C291="","",N(H291)+N(I291))</f>
        <v/>
      </c>
      <c r="L291" s="26">
        <f>IF(N(C291)&gt;0,MIN(1,K291/C291),"")</f>
        <v/>
      </c>
      <c r="M291" s="26">
        <f>IF(N(C291)&gt;0,MIN(1,N(H291)/C291),"")</f>
        <v/>
      </c>
      <c r="N291" s="26">
        <f>IF(L291="","",L291-M291)</f>
        <v/>
      </c>
      <c r="O291" s="30">
        <f>IF(L291="","",IF(L291&gt;=Setup!$B$23,"Complete",IF(L291&gt;0,"Partial","None")))</f>
        <v/>
      </c>
      <c r="P291" s="30">
        <f>IF(C291="","",IF(K291&gt;C291*1.01,"Covered area &gt; KBA area – check overlap; ","")&amp;IF(AND(E291&lt;&gt;"Y",F291&lt;&gt;"Y",J291&lt;&gt;"Y"),"No realm assigned; ",""))</f>
        <v/>
      </c>
    </row>
    <row r="292">
      <c r="A292" s="12" t="n"/>
      <c r="B292" s="12" t="n"/>
      <c r="C292" s="14" t="n"/>
      <c r="D292" s="34" t="n"/>
      <c r="E292" s="12" t="n"/>
      <c r="F292" s="12" t="n"/>
      <c r="G292" s="12" t="n"/>
      <c r="H292" s="14" t="n"/>
      <c r="I292" s="14" t="n"/>
      <c r="J292" s="30">
        <f>IF(C292="","",IF(N(D292)&gt;=Setup!$B$22,"Y","N"))</f>
        <v/>
      </c>
      <c r="K292" s="25">
        <f>IF(C292="","",N(H292)+N(I292))</f>
        <v/>
      </c>
      <c r="L292" s="26">
        <f>IF(N(C292)&gt;0,MIN(1,K292/C292),"")</f>
        <v/>
      </c>
      <c r="M292" s="26">
        <f>IF(N(C292)&gt;0,MIN(1,N(H292)/C292),"")</f>
        <v/>
      </c>
      <c r="N292" s="26">
        <f>IF(L292="","",L292-M292)</f>
        <v/>
      </c>
      <c r="O292" s="30">
        <f>IF(L292="","",IF(L292&gt;=Setup!$B$23,"Complete",IF(L292&gt;0,"Partial","None")))</f>
        <v/>
      </c>
      <c r="P292" s="30">
        <f>IF(C292="","",IF(K292&gt;C292*1.01,"Covered area &gt; KBA area – check overlap; ","")&amp;IF(AND(E292&lt;&gt;"Y",F292&lt;&gt;"Y",J292&lt;&gt;"Y"),"No realm assigned; ",""))</f>
        <v/>
      </c>
    </row>
    <row r="293">
      <c r="A293" s="12" t="n"/>
      <c r="B293" s="12" t="n"/>
      <c r="C293" s="14" t="n"/>
      <c r="D293" s="34" t="n"/>
      <c r="E293" s="12" t="n"/>
      <c r="F293" s="12" t="n"/>
      <c r="G293" s="12" t="n"/>
      <c r="H293" s="14" t="n"/>
      <c r="I293" s="14" t="n"/>
      <c r="J293" s="30">
        <f>IF(C293="","",IF(N(D293)&gt;=Setup!$B$22,"Y","N"))</f>
        <v/>
      </c>
      <c r="K293" s="25">
        <f>IF(C293="","",N(H293)+N(I293))</f>
        <v/>
      </c>
      <c r="L293" s="26">
        <f>IF(N(C293)&gt;0,MIN(1,K293/C293),"")</f>
        <v/>
      </c>
      <c r="M293" s="26">
        <f>IF(N(C293)&gt;0,MIN(1,N(H293)/C293),"")</f>
        <v/>
      </c>
      <c r="N293" s="26">
        <f>IF(L293="","",L293-M293)</f>
        <v/>
      </c>
      <c r="O293" s="30">
        <f>IF(L293="","",IF(L293&gt;=Setup!$B$23,"Complete",IF(L293&gt;0,"Partial","None")))</f>
        <v/>
      </c>
      <c r="P293" s="30">
        <f>IF(C293="","",IF(K293&gt;C293*1.01,"Covered area &gt; KBA area – check overlap; ","")&amp;IF(AND(E293&lt;&gt;"Y",F293&lt;&gt;"Y",J293&lt;&gt;"Y"),"No realm assigned; ",""))</f>
        <v/>
      </c>
    </row>
    <row r="294">
      <c r="A294" s="12" t="n"/>
      <c r="B294" s="12" t="n"/>
      <c r="C294" s="14" t="n"/>
      <c r="D294" s="34" t="n"/>
      <c r="E294" s="12" t="n"/>
      <c r="F294" s="12" t="n"/>
      <c r="G294" s="12" t="n"/>
      <c r="H294" s="14" t="n"/>
      <c r="I294" s="14" t="n"/>
      <c r="J294" s="30">
        <f>IF(C294="","",IF(N(D294)&gt;=Setup!$B$22,"Y","N"))</f>
        <v/>
      </c>
      <c r="K294" s="25">
        <f>IF(C294="","",N(H294)+N(I294))</f>
        <v/>
      </c>
      <c r="L294" s="26">
        <f>IF(N(C294)&gt;0,MIN(1,K294/C294),"")</f>
        <v/>
      </c>
      <c r="M294" s="26">
        <f>IF(N(C294)&gt;0,MIN(1,N(H294)/C294),"")</f>
        <v/>
      </c>
      <c r="N294" s="26">
        <f>IF(L294="","",L294-M294)</f>
        <v/>
      </c>
      <c r="O294" s="30">
        <f>IF(L294="","",IF(L294&gt;=Setup!$B$23,"Complete",IF(L294&gt;0,"Partial","None")))</f>
        <v/>
      </c>
      <c r="P294" s="30">
        <f>IF(C294="","",IF(K294&gt;C294*1.01,"Covered area &gt; KBA area – check overlap; ","")&amp;IF(AND(E294&lt;&gt;"Y",F294&lt;&gt;"Y",J294&lt;&gt;"Y"),"No realm assigned; ",""))</f>
        <v/>
      </c>
    </row>
    <row r="295">
      <c r="A295" s="12" t="n"/>
      <c r="B295" s="12" t="n"/>
      <c r="C295" s="14" t="n"/>
      <c r="D295" s="34" t="n"/>
      <c r="E295" s="12" t="n"/>
      <c r="F295" s="12" t="n"/>
      <c r="G295" s="12" t="n"/>
      <c r="H295" s="14" t="n"/>
      <c r="I295" s="14" t="n"/>
      <c r="J295" s="30">
        <f>IF(C295="","",IF(N(D295)&gt;=Setup!$B$22,"Y","N"))</f>
        <v/>
      </c>
      <c r="K295" s="25">
        <f>IF(C295="","",N(H295)+N(I295))</f>
        <v/>
      </c>
      <c r="L295" s="26">
        <f>IF(N(C295)&gt;0,MIN(1,K295/C295),"")</f>
        <v/>
      </c>
      <c r="M295" s="26">
        <f>IF(N(C295)&gt;0,MIN(1,N(H295)/C295),"")</f>
        <v/>
      </c>
      <c r="N295" s="26">
        <f>IF(L295="","",L295-M295)</f>
        <v/>
      </c>
      <c r="O295" s="30">
        <f>IF(L295="","",IF(L295&gt;=Setup!$B$23,"Complete",IF(L295&gt;0,"Partial","None")))</f>
        <v/>
      </c>
      <c r="P295" s="30">
        <f>IF(C295="","",IF(K295&gt;C295*1.01,"Covered area &gt; KBA area – check overlap; ","")&amp;IF(AND(E295&lt;&gt;"Y",F295&lt;&gt;"Y",J295&lt;&gt;"Y"),"No realm assigned; ",""))</f>
        <v/>
      </c>
    </row>
    <row r="296">
      <c r="A296" s="12" t="n"/>
      <c r="B296" s="12" t="n"/>
      <c r="C296" s="14" t="n"/>
      <c r="D296" s="34" t="n"/>
      <c r="E296" s="12" t="n"/>
      <c r="F296" s="12" t="n"/>
      <c r="G296" s="12" t="n"/>
      <c r="H296" s="14" t="n"/>
      <c r="I296" s="14" t="n"/>
      <c r="J296" s="30">
        <f>IF(C296="","",IF(N(D296)&gt;=Setup!$B$22,"Y","N"))</f>
        <v/>
      </c>
      <c r="K296" s="25">
        <f>IF(C296="","",N(H296)+N(I296))</f>
        <v/>
      </c>
      <c r="L296" s="26">
        <f>IF(N(C296)&gt;0,MIN(1,K296/C296),"")</f>
        <v/>
      </c>
      <c r="M296" s="26">
        <f>IF(N(C296)&gt;0,MIN(1,N(H296)/C296),"")</f>
        <v/>
      </c>
      <c r="N296" s="26">
        <f>IF(L296="","",L296-M296)</f>
        <v/>
      </c>
      <c r="O296" s="30">
        <f>IF(L296="","",IF(L296&gt;=Setup!$B$23,"Complete",IF(L296&gt;0,"Partial","None")))</f>
        <v/>
      </c>
      <c r="P296" s="30">
        <f>IF(C296="","",IF(K296&gt;C296*1.01,"Covered area &gt; KBA area – check overlap; ","")&amp;IF(AND(E296&lt;&gt;"Y",F296&lt;&gt;"Y",J296&lt;&gt;"Y"),"No realm assigned; ",""))</f>
        <v/>
      </c>
    </row>
    <row r="297">
      <c r="A297" s="12" t="n"/>
      <c r="B297" s="12" t="n"/>
      <c r="C297" s="14" t="n"/>
      <c r="D297" s="34" t="n"/>
      <c r="E297" s="12" t="n"/>
      <c r="F297" s="12" t="n"/>
      <c r="G297" s="12" t="n"/>
      <c r="H297" s="14" t="n"/>
      <c r="I297" s="14" t="n"/>
      <c r="J297" s="30">
        <f>IF(C297="","",IF(N(D297)&gt;=Setup!$B$22,"Y","N"))</f>
        <v/>
      </c>
      <c r="K297" s="25">
        <f>IF(C297="","",N(H297)+N(I297))</f>
        <v/>
      </c>
      <c r="L297" s="26">
        <f>IF(N(C297)&gt;0,MIN(1,K297/C297),"")</f>
        <v/>
      </c>
      <c r="M297" s="26">
        <f>IF(N(C297)&gt;0,MIN(1,N(H297)/C297),"")</f>
        <v/>
      </c>
      <c r="N297" s="26">
        <f>IF(L297="","",L297-M297)</f>
        <v/>
      </c>
      <c r="O297" s="30">
        <f>IF(L297="","",IF(L297&gt;=Setup!$B$23,"Complete",IF(L297&gt;0,"Partial","None")))</f>
        <v/>
      </c>
      <c r="P297" s="30">
        <f>IF(C297="","",IF(K297&gt;C297*1.01,"Covered area &gt; KBA area – check overlap; ","")&amp;IF(AND(E297&lt;&gt;"Y",F297&lt;&gt;"Y",J297&lt;&gt;"Y"),"No realm assigned; ",""))</f>
        <v/>
      </c>
    </row>
    <row r="298">
      <c r="A298" s="12" t="n"/>
      <c r="B298" s="12" t="n"/>
      <c r="C298" s="14" t="n"/>
      <c r="D298" s="34" t="n"/>
      <c r="E298" s="12" t="n"/>
      <c r="F298" s="12" t="n"/>
      <c r="G298" s="12" t="n"/>
      <c r="H298" s="14" t="n"/>
      <c r="I298" s="14" t="n"/>
      <c r="J298" s="30">
        <f>IF(C298="","",IF(N(D298)&gt;=Setup!$B$22,"Y","N"))</f>
        <v/>
      </c>
      <c r="K298" s="25">
        <f>IF(C298="","",N(H298)+N(I298))</f>
        <v/>
      </c>
      <c r="L298" s="26">
        <f>IF(N(C298)&gt;0,MIN(1,K298/C298),"")</f>
        <v/>
      </c>
      <c r="M298" s="26">
        <f>IF(N(C298)&gt;0,MIN(1,N(H298)/C298),"")</f>
        <v/>
      </c>
      <c r="N298" s="26">
        <f>IF(L298="","",L298-M298)</f>
        <v/>
      </c>
      <c r="O298" s="30">
        <f>IF(L298="","",IF(L298&gt;=Setup!$B$23,"Complete",IF(L298&gt;0,"Partial","None")))</f>
        <v/>
      </c>
      <c r="P298" s="30">
        <f>IF(C298="","",IF(K298&gt;C298*1.01,"Covered area &gt; KBA area – check overlap; ","")&amp;IF(AND(E298&lt;&gt;"Y",F298&lt;&gt;"Y",J298&lt;&gt;"Y"),"No realm assigned; ",""))</f>
        <v/>
      </c>
    </row>
    <row r="299">
      <c r="A299" s="12" t="n"/>
      <c r="B299" s="12" t="n"/>
      <c r="C299" s="14" t="n"/>
      <c r="D299" s="34" t="n"/>
      <c r="E299" s="12" t="n"/>
      <c r="F299" s="12" t="n"/>
      <c r="G299" s="12" t="n"/>
      <c r="H299" s="14" t="n"/>
      <c r="I299" s="14" t="n"/>
      <c r="J299" s="30">
        <f>IF(C299="","",IF(N(D299)&gt;=Setup!$B$22,"Y","N"))</f>
        <v/>
      </c>
      <c r="K299" s="25">
        <f>IF(C299="","",N(H299)+N(I299))</f>
        <v/>
      </c>
      <c r="L299" s="26">
        <f>IF(N(C299)&gt;0,MIN(1,K299/C299),"")</f>
        <v/>
      </c>
      <c r="M299" s="26">
        <f>IF(N(C299)&gt;0,MIN(1,N(H299)/C299),"")</f>
        <v/>
      </c>
      <c r="N299" s="26">
        <f>IF(L299="","",L299-M299)</f>
        <v/>
      </c>
      <c r="O299" s="30">
        <f>IF(L299="","",IF(L299&gt;=Setup!$B$23,"Complete",IF(L299&gt;0,"Partial","None")))</f>
        <v/>
      </c>
      <c r="P299" s="30">
        <f>IF(C299="","",IF(K299&gt;C299*1.01,"Covered area &gt; KBA area – check overlap; ","")&amp;IF(AND(E299&lt;&gt;"Y",F299&lt;&gt;"Y",J299&lt;&gt;"Y"),"No realm assigned; ",""))</f>
        <v/>
      </c>
    </row>
    <row r="300">
      <c r="A300" s="12" t="n"/>
      <c r="B300" s="12" t="n"/>
      <c r="C300" s="14" t="n"/>
      <c r="D300" s="34" t="n"/>
      <c r="E300" s="12" t="n"/>
      <c r="F300" s="12" t="n"/>
      <c r="G300" s="12" t="n"/>
      <c r="H300" s="14" t="n"/>
      <c r="I300" s="14" t="n"/>
      <c r="J300" s="30">
        <f>IF(C300="","",IF(N(D300)&gt;=Setup!$B$22,"Y","N"))</f>
        <v/>
      </c>
      <c r="K300" s="25">
        <f>IF(C300="","",N(H300)+N(I300))</f>
        <v/>
      </c>
      <c r="L300" s="26">
        <f>IF(N(C300)&gt;0,MIN(1,K300/C300),"")</f>
        <v/>
      </c>
      <c r="M300" s="26">
        <f>IF(N(C300)&gt;0,MIN(1,N(H300)/C300),"")</f>
        <v/>
      </c>
      <c r="N300" s="26">
        <f>IF(L300="","",L300-M300)</f>
        <v/>
      </c>
      <c r="O300" s="30">
        <f>IF(L300="","",IF(L300&gt;=Setup!$B$23,"Complete",IF(L300&gt;0,"Partial","None")))</f>
        <v/>
      </c>
      <c r="P300" s="30">
        <f>IF(C300="","",IF(K300&gt;C300*1.01,"Covered area &gt; KBA area – check overlap; ","")&amp;IF(AND(E300&lt;&gt;"Y",F300&lt;&gt;"Y",J300&lt;&gt;"Y"),"No realm assigned; ",""))</f>
        <v/>
      </c>
    </row>
    <row r="301">
      <c r="A301" s="12" t="n"/>
      <c r="B301" s="12" t="n"/>
      <c r="C301" s="14" t="n"/>
      <c r="D301" s="34" t="n"/>
      <c r="E301" s="12" t="n"/>
      <c r="F301" s="12" t="n"/>
      <c r="G301" s="12" t="n"/>
      <c r="H301" s="14" t="n"/>
      <c r="I301" s="14" t="n"/>
      <c r="J301" s="30">
        <f>IF(C301="","",IF(N(D301)&gt;=Setup!$B$22,"Y","N"))</f>
        <v/>
      </c>
      <c r="K301" s="25">
        <f>IF(C301="","",N(H301)+N(I301))</f>
        <v/>
      </c>
      <c r="L301" s="26">
        <f>IF(N(C301)&gt;0,MIN(1,K301/C301),"")</f>
        <v/>
      </c>
      <c r="M301" s="26">
        <f>IF(N(C301)&gt;0,MIN(1,N(H301)/C301),"")</f>
        <v/>
      </c>
      <c r="N301" s="26">
        <f>IF(L301="","",L301-M301)</f>
        <v/>
      </c>
      <c r="O301" s="30">
        <f>IF(L301="","",IF(L301&gt;=Setup!$B$23,"Complete",IF(L301&gt;0,"Partial","None")))</f>
        <v/>
      </c>
      <c r="P301" s="30">
        <f>IF(C301="","",IF(K301&gt;C301*1.01,"Covered area &gt; KBA area – check overlap; ","")&amp;IF(AND(E301&lt;&gt;"Y",F301&lt;&gt;"Y",J301&lt;&gt;"Y"),"No realm assigned; ",""))</f>
        <v/>
      </c>
    </row>
    <row r="302">
      <c r="A302" s="12" t="n"/>
      <c r="B302" s="12" t="n"/>
      <c r="C302" s="14" t="n"/>
      <c r="D302" s="34" t="n"/>
      <c r="E302" s="12" t="n"/>
      <c r="F302" s="12" t="n"/>
      <c r="G302" s="12" t="n"/>
      <c r="H302" s="14" t="n"/>
      <c r="I302" s="14" t="n"/>
      <c r="J302" s="30">
        <f>IF(C302="","",IF(N(D302)&gt;=Setup!$B$22,"Y","N"))</f>
        <v/>
      </c>
      <c r="K302" s="25">
        <f>IF(C302="","",N(H302)+N(I302))</f>
        <v/>
      </c>
      <c r="L302" s="26">
        <f>IF(N(C302)&gt;0,MIN(1,K302/C302),"")</f>
        <v/>
      </c>
      <c r="M302" s="26">
        <f>IF(N(C302)&gt;0,MIN(1,N(H302)/C302),"")</f>
        <v/>
      </c>
      <c r="N302" s="26">
        <f>IF(L302="","",L302-M302)</f>
        <v/>
      </c>
      <c r="O302" s="30">
        <f>IF(L302="","",IF(L302&gt;=Setup!$B$23,"Complete",IF(L302&gt;0,"Partial","None")))</f>
        <v/>
      </c>
      <c r="P302" s="30">
        <f>IF(C302="","",IF(K302&gt;C302*1.01,"Covered area &gt; KBA area – check overlap; ","")&amp;IF(AND(E302&lt;&gt;"Y",F302&lt;&gt;"Y",J302&lt;&gt;"Y"),"No realm assigned; ",""))</f>
        <v/>
      </c>
    </row>
    <row r="303">
      <c r="A303" s="12" t="n"/>
      <c r="B303" s="12" t="n"/>
      <c r="C303" s="14" t="n"/>
      <c r="D303" s="34" t="n"/>
      <c r="E303" s="12" t="n"/>
      <c r="F303" s="12" t="n"/>
      <c r="G303" s="12" t="n"/>
      <c r="H303" s="14" t="n"/>
      <c r="I303" s="14" t="n"/>
      <c r="J303" s="30">
        <f>IF(C303="","",IF(N(D303)&gt;=Setup!$B$22,"Y","N"))</f>
        <v/>
      </c>
      <c r="K303" s="25">
        <f>IF(C303="","",N(H303)+N(I303))</f>
        <v/>
      </c>
      <c r="L303" s="26">
        <f>IF(N(C303)&gt;0,MIN(1,K303/C303),"")</f>
        <v/>
      </c>
      <c r="M303" s="26">
        <f>IF(N(C303)&gt;0,MIN(1,N(H303)/C303),"")</f>
        <v/>
      </c>
      <c r="N303" s="26">
        <f>IF(L303="","",L303-M303)</f>
        <v/>
      </c>
      <c r="O303" s="30">
        <f>IF(L303="","",IF(L303&gt;=Setup!$B$23,"Complete",IF(L303&gt;0,"Partial","None")))</f>
        <v/>
      </c>
      <c r="P303" s="30">
        <f>IF(C303="","",IF(K303&gt;C303*1.01,"Covered area &gt; KBA area – check overlap; ","")&amp;IF(AND(E303&lt;&gt;"Y",F303&lt;&gt;"Y",J303&lt;&gt;"Y"),"No realm assigned; ",""))</f>
        <v/>
      </c>
    </row>
    <row r="304">
      <c r="A304" s="12" t="n"/>
      <c r="B304" s="12" t="n"/>
      <c r="C304" s="14" t="n"/>
      <c r="D304" s="34" t="n"/>
      <c r="E304" s="12" t="n"/>
      <c r="F304" s="12" t="n"/>
      <c r="G304" s="12" t="n"/>
      <c r="H304" s="14" t="n"/>
      <c r="I304" s="14" t="n"/>
      <c r="J304" s="30">
        <f>IF(C304="","",IF(N(D304)&gt;=Setup!$B$22,"Y","N"))</f>
        <v/>
      </c>
      <c r="K304" s="25">
        <f>IF(C304="","",N(H304)+N(I304))</f>
        <v/>
      </c>
      <c r="L304" s="26">
        <f>IF(N(C304)&gt;0,MIN(1,K304/C304),"")</f>
        <v/>
      </c>
      <c r="M304" s="26">
        <f>IF(N(C304)&gt;0,MIN(1,N(H304)/C304),"")</f>
        <v/>
      </c>
      <c r="N304" s="26">
        <f>IF(L304="","",L304-M304)</f>
        <v/>
      </c>
      <c r="O304" s="30">
        <f>IF(L304="","",IF(L304&gt;=Setup!$B$23,"Complete",IF(L304&gt;0,"Partial","None")))</f>
        <v/>
      </c>
      <c r="P304" s="30">
        <f>IF(C304="","",IF(K304&gt;C304*1.01,"Covered area &gt; KBA area – check overlap; ","")&amp;IF(AND(E304&lt;&gt;"Y",F304&lt;&gt;"Y",J304&lt;&gt;"Y"),"No realm assigned; ",""))</f>
        <v/>
      </c>
    </row>
    <row r="305">
      <c r="A305" s="12" t="n"/>
      <c r="B305" s="12" t="n"/>
      <c r="C305" s="14" t="n"/>
      <c r="D305" s="34" t="n"/>
      <c r="E305" s="12" t="n"/>
      <c r="F305" s="12" t="n"/>
      <c r="G305" s="12" t="n"/>
      <c r="H305" s="14" t="n"/>
      <c r="I305" s="14" t="n"/>
      <c r="J305" s="30">
        <f>IF(C305="","",IF(N(D305)&gt;=Setup!$B$22,"Y","N"))</f>
        <v/>
      </c>
      <c r="K305" s="25">
        <f>IF(C305="","",N(H305)+N(I305))</f>
        <v/>
      </c>
      <c r="L305" s="26">
        <f>IF(N(C305)&gt;0,MIN(1,K305/C305),"")</f>
        <v/>
      </c>
      <c r="M305" s="26">
        <f>IF(N(C305)&gt;0,MIN(1,N(H305)/C305),"")</f>
        <v/>
      </c>
      <c r="N305" s="26">
        <f>IF(L305="","",L305-M305)</f>
        <v/>
      </c>
      <c r="O305" s="30">
        <f>IF(L305="","",IF(L305&gt;=Setup!$B$23,"Complete",IF(L305&gt;0,"Partial","None")))</f>
        <v/>
      </c>
      <c r="P305" s="30">
        <f>IF(C305="","",IF(K305&gt;C305*1.01,"Covered area &gt; KBA area – check overlap; ","")&amp;IF(AND(E305&lt;&gt;"Y",F305&lt;&gt;"Y",J305&lt;&gt;"Y"),"No realm assigned; ",""))</f>
        <v/>
      </c>
    </row>
    <row r="306">
      <c r="A306" s="12" t="n"/>
      <c r="B306" s="12" t="n"/>
      <c r="C306" s="14" t="n"/>
      <c r="D306" s="34" t="n"/>
      <c r="E306" s="12" t="n"/>
      <c r="F306" s="12" t="n"/>
      <c r="G306" s="12" t="n"/>
      <c r="H306" s="14" t="n"/>
      <c r="I306" s="14" t="n"/>
      <c r="J306" s="30">
        <f>IF(C306="","",IF(N(D306)&gt;=Setup!$B$22,"Y","N"))</f>
        <v/>
      </c>
      <c r="K306" s="25">
        <f>IF(C306="","",N(H306)+N(I306))</f>
        <v/>
      </c>
      <c r="L306" s="26">
        <f>IF(N(C306)&gt;0,MIN(1,K306/C306),"")</f>
        <v/>
      </c>
      <c r="M306" s="26">
        <f>IF(N(C306)&gt;0,MIN(1,N(H306)/C306),"")</f>
        <v/>
      </c>
      <c r="N306" s="26">
        <f>IF(L306="","",L306-M306)</f>
        <v/>
      </c>
      <c r="O306" s="30">
        <f>IF(L306="","",IF(L306&gt;=Setup!$B$23,"Complete",IF(L306&gt;0,"Partial","None")))</f>
        <v/>
      </c>
      <c r="P306" s="30">
        <f>IF(C306="","",IF(K306&gt;C306*1.01,"Covered area &gt; KBA area – check overlap; ","")&amp;IF(AND(E306&lt;&gt;"Y",F306&lt;&gt;"Y",J306&lt;&gt;"Y"),"No realm assigned; ",""))</f>
        <v/>
      </c>
    </row>
    <row r="307">
      <c r="A307" s="12" t="n"/>
      <c r="B307" s="12" t="n"/>
      <c r="C307" s="14" t="n"/>
      <c r="D307" s="34" t="n"/>
      <c r="E307" s="12" t="n"/>
      <c r="F307" s="12" t="n"/>
      <c r="G307" s="12" t="n"/>
      <c r="H307" s="14" t="n"/>
      <c r="I307" s="14" t="n"/>
      <c r="J307" s="30">
        <f>IF(C307="","",IF(N(D307)&gt;=Setup!$B$22,"Y","N"))</f>
        <v/>
      </c>
      <c r="K307" s="25">
        <f>IF(C307="","",N(H307)+N(I307))</f>
        <v/>
      </c>
      <c r="L307" s="26">
        <f>IF(N(C307)&gt;0,MIN(1,K307/C307),"")</f>
        <v/>
      </c>
      <c r="M307" s="26">
        <f>IF(N(C307)&gt;0,MIN(1,N(H307)/C307),"")</f>
        <v/>
      </c>
      <c r="N307" s="26">
        <f>IF(L307="","",L307-M307)</f>
        <v/>
      </c>
      <c r="O307" s="30">
        <f>IF(L307="","",IF(L307&gt;=Setup!$B$23,"Complete",IF(L307&gt;0,"Partial","None")))</f>
        <v/>
      </c>
      <c r="P307" s="30">
        <f>IF(C307="","",IF(K307&gt;C307*1.01,"Covered area &gt; KBA area – check overlap; ","")&amp;IF(AND(E307&lt;&gt;"Y",F307&lt;&gt;"Y",J307&lt;&gt;"Y"),"No realm assigned; ",""))</f>
        <v/>
      </c>
    </row>
    <row r="308">
      <c r="A308" s="12" t="n"/>
      <c r="B308" s="12" t="n"/>
      <c r="C308" s="14" t="n"/>
      <c r="D308" s="34" t="n"/>
      <c r="E308" s="12" t="n"/>
      <c r="F308" s="12" t="n"/>
      <c r="G308" s="12" t="n"/>
      <c r="H308" s="14" t="n"/>
      <c r="I308" s="14" t="n"/>
      <c r="J308" s="30">
        <f>IF(C308="","",IF(N(D308)&gt;=Setup!$B$22,"Y","N"))</f>
        <v/>
      </c>
      <c r="K308" s="25">
        <f>IF(C308="","",N(H308)+N(I308))</f>
        <v/>
      </c>
      <c r="L308" s="26">
        <f>IF(N(C308)&gt;0,MIN(1,K308/C308),"")</f>
        <v/>
      </c>
      <c r="M308" s="26">
        <f>IF(N(C308)&gt;0,MIN(1,N(H308)/C308),"")</f>
        <v/>
      </c>
      <c r="N308" s="26">
        <f>IF(L308="","",L308-M308)</f>
        <v/>
      </c>
      <c r="O308" s="30">
        <f>IF(L308="","",IF(L308&gt;=Setup!$B$23,"Complete",IF(L308&gt;0,"Partial","None")))</f>
        <v/>
      </c>
      <c r="P308" s="30">
        <f>IF(C308="","",IF(K308&gt;C308*1.01,"Covered area &gt; KBA area – check overlap; ","")&amp;IF(AND(E308&lt;&gt;"Y",F308&lt;&gt;"Y",J308&lt;&gt;"Y"),"No realm assigned; ",""))</f>
        <v/>
      </c>
    </row>
    <row r="309">
      <c r="A309" s="12" t="n"/>
      <c r="B309" s="12" t="n"/>
      <c r="C309" s="14" t="n"/>
      <c r="D309" s="34" t="n"/>
      <c r="E309" s="12" t="n"/>
      <c r="F309" s="12" t="n"/>
      <c r="G309" s="12" t="n"/>
      <c r="H309" s="14" t="n"/>
      <c r="I309" s="14" t="n"/>
      <c r="J309" s="30">
        <f>IF(C309="","",IF(N(D309)&gt;=Setup!$B$22,"Y","N"))</f>
        <v/>
      </c>
      <c r="K309" s="25">
        <f>IF(C309="","",N(H309)+N(I309))</f>
        <v/>
      </c>
      <c r="L309" s="26">
        <f>IF(N(C309)&gt;0,MIN(1,K309/C309),"")</f>
        <v/>
      </c>
      <c r="M309" s="26">
        <f>IF(N(C309)&gt;0,MIN(1,N(H309)/C309),"")</f>
        <v/>
      </c>
      <c r="N309" s="26">
        <f>IF(L309="","",L309-M309)</f>
        <v/>
      </c>
      <c r="O309" s="30">
        <f>IF(L309="","",IF(L309&gt;=Setup!$B$23,"Complete",IF(L309&gt;0,"Partial","None")))</f>
        <v/>
      </c>
      <c r="P309" s="30">
        <f>IF(C309="","",IF(K309&gt;C309*1.01,"Covered area &gt; KBA area – check overlap; ","")&amp;IF(AND(E309&lt;&gt;"Y",F309&lt;&gt;"Y",J309&lt;&gt;"Y"),"No realm assigned; ",""))</f>
        <v/>
      </c>
    </row>
    <row r="310">
      <c r="A310" s="12" t="n"/>
      <c r="B310" s="12" t="n"/>
      <c r="C310" s="14" t="n"/>
      <c r="D310" s="34" t="n"/>
      <c r="E310" s="12" t="n"/>
      <c r="F310" s="12" t="n"/>
      <c r="G310" s="12" t="n"/>
      <c r="H310" s="14" t="n"/>
      <c r="I310" s="14" t="n"/>
      <c r="J310" s="30">
        <f>IF(C310="","",IF(N(D310)&gt;=Setup!$B$22,"Y","N"))</f>
        <v/>
      </c>
      <c r="K310" s="25">
        <f>IF(C310="","",N(H310)+N(I310))</f>
        <v/>
      </c>
      <c r="L310" s="26">
        <f>IF(N(C310)&gt;0,MIN(1,K310/C310),"")</f>
        <v/>
      </c>
      <c r="M310" s="26">
        <f>IF(N(C310)&gt;0,MIN(1,N(H310)/C310),"")</f>
        <v/>
      </c>
      <c r="N310" s="26">
        <f>IF(L310="","",L310-M310)</f>
        <v/>
      </c>
      <c r="O310" s="30">
        <f>IF(L310="","",IF(L310&gt;=Setup!$B$23,"Complete",IF(L310&gt;0,"Partial","None")))</f>
        <v/>
      </c>
      <c r="P310" s="30">
        <f>IF(C310="","",IF(K310&gt;C310*1.01,"Covered area &gt; KBA area – check overlap; ","")&amp;IF(AND(E310&lt;&gt;"Y",F310&lt;&gt;"Y",J310&lt;&gt;"Y"),"No realm assigned; ",""))</f>
        <v/>
      </c>
    </row>
    <row r="311">
      <c r="A311" s="12" t="n"/>
      <c r="B311" s="12" t="n"/>
      <c r="C311" s="14" t="n"/>
      <c r="D311" s="34" t="n"/>
      <c r="E311" s="12" t="n"/>
      <c r="F311" s="12" t="n"/>
      <c r="G311" s="12" t="n"/>
      <c r="H311" s="14" t="n"/>
      <c r="I311" s="14" t="n"/>
      <c r="J311" s="30">
        <f>IF(C311="","",IF(N(D311)&gt;=Setup!$B$22,"Y","N"))</f>
        <v/>
      </c>
      <c r="K311" s="25">
        <f>IF(C311="","",N(H311)+N(I311))</f>
        <v/>
      </c>
      <c r="L311" s="26">
        <f>IF(N(C311)&gt;0,MIN(1,K311/C311),"")</f>
        <v/>
      </c>
      <c r="M311" s="26">
        <f>IF(N(C311)&gt;0,MIN(1,N(H311)/C311),"")</f>
        <v/>
      </c>
      <c r="N311" s="26">
        <f>IF(L311="","",L311-M311)</f>
        <v/>
      </c>
      <c r="O311" s="30">
        <f>IF(L311="","",IF(L311&gt;=Setup!$B$23,"Complete",IF(L311&gt;0,"Partial","None")))</f>
        <v/>
      </c>
      <c r="P311" s="30">
        <f>IF(C311="","",IF(K311&gt;C311*1.01,"Covered area &gt; KBA area – check overlap; ","")&amp;IF(AND(E311&lt;&gt;"Y",F311&lt;&gt;"Y",J311&lt;&gt;"Y"),"No realm assigned; ",""))</f>
        <v/>
      </c>
    </row>
    <row r="312">
      <c r="A312" s="12" t="n"/>
      <c r="B312" s="12" t="n"/>
      <c r="C312" s="14" t="n"/>
      <c r="D312" s="34" t="n"/>
      <c r="E312" s="12" t="n"/>
      <c r="F312" s="12" t="n"/>
      <c r="G312" s="12" t="n"/>
      <c r="H312" s="14" t="n"/>
      <c r="I312" s="14" t="n"/>
      <c r="J312" s="30">
        <f>IF(C312="","",IF(N(D312)&gt;=Setup!$B$22,"Y","N"))</f>
        <v/>
      </c>
      <c r="K312" s="25">
        <f>IF(C312="","",N(H312)+N(I312))</f>
        <v/>
      </c>
      <c r="L312" s="26">
        <f>IF(N(C312)&gt;0,MIN(1,K312/C312),"")</f>
        <v/>
      </c>
      <c r="M312" s="26">
        <f>IF(N(C312)&gt;0,MIN(1,N(H312)/C312),"")</f>
        <v/>
      </c>
      <c r="N312" s="26">
        <f>IF(L312="","",L312-M312)</f>
        <v/>
      </c>
      <c r="O312" s="30">
        <f>IF(L312="","",IF(L312&gt;=Setup!$B$23,"Complete",IF(L312&gt;0,"Partial","None")))</f>
        <v/>
      </c>
      <c r="P312" s="30">
        <f>IF(C312="","",IF(K312&gt;C312*1.01,"Covered area &gt; KBA area – check overlap; ","")&amp;IF(AND(E312&lt;&gt;"Y",F312&lt;&gt;"Y",J312&lt;&gt;"Y"),"No realm assigned; ",""))</f>
        <v/>
      </c>
    </row>
    <row r="313">
      <c r="A313" s="12" t="n"/>
      <c r="B313" s="12" t="n"/>
      <c r="C313" s="14" t="n"/>
      <c r="D313" s="34" t="n"/>
      <c r="E313" s="12" t="n"/>
      <c r="F313" s="12" t="n"/>
      <c r="G313" s="12" t="n"/>
      <c r="H313" s="14" t="n"/>
      <c r="I313" s="14" t="n"/>
      <c r="J313" s="30">
        <f>IF(C313="","",IF(N(D313)&gt;=Setup!$B$22,"Y","N"))</f>
        <v/>
      </c>
      <c r="K313" s="25">
        <f>IF(C313="","",N(H313)+N(I313))</f>
        <v/>
      </c>
      <c r="L313" s="26">
        <f>IF(N(C313)&gt;0,MIN(1,K313/C313),"")</f>
        <v/>
      </c>
      <c r="M313" s="26">
        <f>IF(N(C313)&gt;0,MIN(1,N(H313)/C313),"")</f>
        <v/>
      </c>
      <c r="N313" s="26">
        <f>IF(L313="","",L313-M313)</f>
        <v/>
      </c>
      <c r="O313" s="30">
        <f>IF(L313="","",IF(L313&gt;=Setup!$B$23,"Complete",IF(L313&gt;0,"Partial","None")))</f>
        <v/>
      </c>
      <c r="P313" s="30">
        <f>IF(C313="","",IF(K313&gt;C313*1.01,"Covered area &gt; KBA area – check overlap; ","")&amp;IF(AND(E313&lt;&gt;"Y",F313&lt;&gt;"Y",J313&lt;&gt;"Y"),"No realm assigned; ",""))</f>
        <v/>
      </c>
    </row>
    <row r="314">
      <c r="A314" s="12" t="n"/>
      <c r="B314" s="12" t="n"/>
      <c r="C314" s="14" t="n"/>
      <c r="D314" s="34" t="n"/>
      <c r="E314" s="12" t="n"/>
      <c r="F314" s="12" t="n"/>
      <c r="G314" s="12" t="n"/>
      <c r="H314" s="14" t="n"/>
      <c r="I314" s="14" t="n"/>
      <c r="J314" s="30">
        <f>IF(C314="","",IF(N(D314)&gt;=Setup!$B$22,"Y","N"))</f>
        <v/>
      </c>
      <c r="K314" s="25">
        <f>IF(C314="","",N(H314)+N(I314))</f>
        <v/>
      </c>
      <c r="L314" s="26">
        <f>IF(N(C314)&gt;0,MIN(1,K314/C314),"")</f>
        <v/>
      </c>
      <c r="M314" s="26">
        <f>IF(N(C314)&gt;0,MIN(1,N(H314)/C314),"")</f>
        <v/>
      </c>
      <c r="N314" s="26">
        <f>IF(L314="","",L314-M314)</f>
        <v/>
      </c>
      <c r="O314" s="30">
        <f>IF(L314="","",IF(L314&gt;=Setup!$B$23,"Complete",IF(L314&gt;0,"Partial","None")))</f>
        <v/>
      </c>
      <c r="P314" s="30">
        <f>IF(C314="","",IF(K314&gt;C314*1.01,"Covered area &gt; KBA area – check overlap; ","")&amp;IF(AND(E314&lt;&gt;"Y",F314&lt;&gt;"Y",J314&lt;&gt;"Y"),"No realm assigned; ",""))</f>
        <v/>
      </c>
    </row>
    <row r="315">
      <c r="A315" s="12" t="n"/>
      <c r="B315" s="12" t="n"/>
      <c r="C315" s="14" t="n"/>
      <c r="D315" s="34" t="n"/>
      <c r="E315" s="12" t="n"/>
      <c r="F315" s="12" t="n"/>
      <c r="G315" s="12" t="n"/>
      <c r="H315" s="14" t="n"/>
      <c r="I315" s="14" t="n"/>
      <c r="J315" s="30">
        <f>IF(C315="","",IF(N(D315)&gt;=Setup!$B$22,"Y","N"))</f>
        <v/>
      </c>
      <c r="K315" s="25">
        <f>IF(C315="","",N(H315)+N(I315))</f>
        <v/>
      </c>
      <c r="L315" s="26">
        <f>IF(N(C315)&gt;0,MIN(1,K315/C315),"")</f>
        <v/>
      </c>
      <c r="M315" s="26">
        <f>IF(N(C315)&gt;0,MIN(1,N(H315)/C315),"")</f>
        <v/>
      </c>
      <c r="N315" s="26">
        <f>IF(L315="","",L315-M315)</f>
        <v/>
      </c>
      <c r="O315" s="30">
        <f>IF(L315="","",IF(L315&gt;=Setup!$B$23,"Complete",IF(L315&gt;0,"Partial","None")))</f>
        <v/>
      </c>
      <c r="P315" s="30">
        <f>IF(C315="","",IF(K315&gt;C315*1.01,"Covered area &gt; KBA area – check overlap; ","")&amp;IF(AND(E315&lt;&gt;"Y",F315&lt;&gt;"Y",J315&lt;&gt;"Y"),"No realm assigned; ",""))</f>
        <v/>
      </c>
    </row>
    <row r="316">
      <c r="A316" s="12" t="n"/>
      <c r="B316" s="12" t="n"/>
      <c r="C316" s="14" t="n"/>
      <c r="D316" s="34" t="n"/>
      <c r="E316" s="12" t="n"/>
      <c r="F316" s="12" t="n"/>
      <c r="G316" s="12" t="n"/>
      <c r="H316" s="14" t="n"/>
      <c r="I316" s="14" t="n"/>
      <c r="J316" s="30">
        <f>IF(C316="","",IF(N(D316)&gt;=Setup!$B$22,"Y","N"))</f>
        <v/>
      </c>
      <c r="K316" s="25">
        <f>IF(C316="","",N(H316)+N(I316))</f>
        <v/>
      </c>
      <c r="L316" s="26">
        <f>IF(N(C316)&gt;0,MIN(1,K316/C316),"")</f>
        <v/>
      </c>
      <c r="M316" s="26">
        <f>IF(N(C316)&gt;0,MIN(1,N(H316)/C316),"")</f>
        <v/>
      </c>
      <c r="N316" s="26">
        <f>IF(L316="","",L316-M316)</f>
        <v/>
      </c>
      <c r="O316" s="30">
        <f>IF(L316="","",IF(L316&gt;=Setup!$B$23,"Complete",IF(L316&gt;0,"Partial","None")))</f>
        <v/>
      </c>
      <c r="P316" s="30">
        <f>IF(C316="","",IF(K316&gt;C316*1.01,"Covered area &gt; KBA area – check overlap; ","")&amp;IF(AND(E316&lt;&gt;"Y",F316&lt;&gt;"Y",J316&lt;&gt;"Y"),"No realm assigned; ",""))</f>
        <v/>
      </c>
    </row>
    <row r="317">
      <c r="A317" s="12" t="n"/>
      <c r="B317" s="12" t="n"/>
      <c r="C317" s="14" t="n"/>
      <c r="D317" s="34" t="n"/>
      <c r="E317" s="12" t="n"/>
      <c r="F317" s="12" t="n"/>
      <c r="G317" s="12" t="n"/>
      <c r="H317" s="14" t="n"/>
      <c r="I317" s="14" t="n"/>
      <c r="J317" s="30">
        <f>IF(C317="","",IF(N(D317)&gt;=Setup!$B$22,"Y","N"))</f>
        <v/>
      </c>
      <c r="K317" s="25">
        <f>IF(C317="","",N(H317)+N(I317))</f>
        <v/>
      </c>
      <c r="L317" s="26">
        <f>IF(N(C317)&gt;0,MIN(1,K317/C317),"")</f>
        <v/>
      </c>
      <c r="M317" s="26">
        <f>IF(N(C317)&gt;0,MIN(1,N(H317)/C317),"")</f>
        <v/>
      </c>
      <c r="N317" s="26">
        <f>IF(L317="","",L317-M317)</f>
        <v/>
      </c>
      <c r="O317" s="30">
        <f>IF(L317="","",IF(L317&gt;=Setup!$B$23,"Complete",IF(L317&gt;0,"Partial","None")))</f>
        <v/>
      </c>
      <c r="P317" s="30">
        <f>IF(C317="","",IF(K317&gt;C317*1.01,"Covered area &gt; KBA area – check overlap; ","")&amp;IF(AND(E317&lt;&gt;"Y",F317&lt;&gt;"Y",J317&lt;&gt;"Y"),"No realm assigned; ",""))</f>
        <v/>
      </c>
    </row>
    <row r="318">
      <c r="A318" s="12" t="n"/>
      <c r="B318" s="12" t="n"/>
      <c r="C318" s="14" t="n"/>
      <c r="D318" s="34" t="n"/>
      <c r="E318" s="12" t="n"/>
      <c r="F318" s="12" t="n"/>
      <c r="G318" s="12" t="n"/>
      <c r="H318" s="14" t="n"/>
      <c r="I318" s="14" t="n"/>
      <c r="J318" s="30">
        <f>IF(C318="","",IF(N(D318)&gt;=Setup!$B$22,"Y","N"))</f>
        <v/>
      </c>
      <c r="K318" s="25">
        <f>IF(C318="","",N(H318)+N(I318))</f>
        <v/>
      </c>
      <c r="L318" s="26">
        <f>IF(N(C318)&gt;0,MIN(1,K318/C318),"")</f>
        <v/>
      </c>
      <c r="M318" s="26">
        <f>IF(N(C318)&gt;0,MIN(1,N(H318)/C318),"")</f>
        <v/>
      </c>
      <c r="N318" s="26">
        <f>IF(L318="","",L318-M318)</f>
        <v/>
      </c>
      <c r="O318" s="30">
        <f>IF(L318="","",IF(L318&gt;=Setup!$B$23,"Complete",IF(L318&gt;0,"Partial","None")))</f>
        <v/>
      </c>
      <c r="P318" s="30">
        <f>IF(C318="","",IF(K318&gt;C318*1.01,"Covered area &gt; KBA area – check overlap; ","")&amp;IF(AND(E318&lt;&gt;"Y",F318&lt;&gt;"Y",J318&lt;&gt;"Y"),"No realm assigned; ",""))</f>
        <v/>
      </c>
    </row>
    <row r="319">
      <c r="A319" s="12" t="n"/>
      <c r="B319" s="12" t="n"/>
      <c r="C319" s="14" t="n"/>
      <c r="D319" s="34" t="n"/>
      <c r="E319" s="12" t="n"/>
      <c r="F319" s="12" t="n"/>
      <c r="G319" s="12" t="n"/>
      <c r="H319" s="14" t="n"/>
      <c r="I319" s="14" t="n"/>
      <c r="J319" s="30">
        <f>IF(C319="","",IF(N(D319)&gt;=Setup!$B$22,"Y","N"))</f>
        <v/>
      </c>
      <c r="K319" s="25">
        <f>IF(C319="","",N(H319)+N(I319))</f>
        <v/>
      </c>
      <c r="L319" s="26">
        <f>IF(N(C319)&gt;0,MIN(1,K319/C319),"")</f>
        <v/>
      </c>
      <c r="M319" s="26">
        <f>IF(N(C319)&gt;0,MIN(1,N(H319)/C319),"")</f>
        <v/>
      </c>
      <c r="N319" s="26">
        <f>IF(L319="","",L319-M319)</f>
        <v/>
      </c>
      <c r="O319" s="30">
        <f>IF(L319="","",IF(L319&gt;=Setup!$B$23,"Complete",IF(L319&gt;0,"Partial","None")))</f>
        <v/>
      </c>
      <c r="P319" s="30">
        <f>IF(C319="","",IF(K319&gt;C319*1.01,"Covered area &gt; KBA area – check overlap; ","")&amp;IF(AND(E319&lt;&gt;"Y",F319&lt;&gt;"Y",J319&lt;&gt;"Y"),"No realm assigned; ",""))</f>
        <v/>
      </c>
    </row>
    <row r="320">
      <c r="A320" s="12" t="n"/>
      <c r="B320" s="12" t="n"/>
      <c r="C320" s="14" t="n"/>
      <c r="D320" s="34" t="n"/>
      <c r="E320" s="12" t="n"/>
      <c r="F320" s="12" t="n"/>
      <c r="G320" s="12" t="n"/>
      <c r="H320" s="14" t="n"/>
      <c r="I320" s="14" t="n"/>
      <c r="J320" s="30">
        <f>IF(C320="","",IF(N(D320)&gt;=Setup!$B$22,"Y","N"))</f>
        <v/>
      </c>
      <c r="K320" s="25">
        <f>IF(C320="","",N(H320)+N(I320))</f>
        <v/>
      </c>
      <c r="L320" s="26">
        <f>IF(N(C320)&gt;0,MIN(1,K320/C320),"")</f>
        <v/>
      </c>
      <c r="M320" s="26">
        <f>IF(N(C320)&gt;0,MIN(1,N(H320)/C320),"")</f>
        <v/>
      </c>
      <c r="N320" s="26">
        <f>IF(L320="","",L320-M320)</f>
        <v/>
      </c>
      <c r="O320" s="30">
        <f>IF(L320="","",IF(L320&gt;=Setup!$B$23,"Complete",IF(L320&gt;0,"Partial","None")))</f>
        <v/>
      </c>
      <c r="P320" s="30">
        <f>IF(C320="","",IF(K320&gt;C320*1.01,"Covered area &gt; KBA area – check overlap; ","")&amp;IF(AND(E320&lt;&gt;"Y",F320&lt;&gt;"Y",J320&lt;&gt;"Y"),"No realm assigned; ",""))</f>
        <v/>
      </c>
    </row>
    <row r="321">
      <c r="A321" s="12" t="n"/>
      <c r="B321" s="12" t="n"/>
      <c r="C321" s="14" t="n"/>
      <c r="D321" s="34" t="n"/>
      <c r="E321" s="12" t="n"/>
      <c r="F321" s="12" t="n"/>
      <c r="G321" s="12" t="n"/>
      <c r="H321" s="14" t="n"/>
      <c r="I321" s="14" t="n"/>
      <c r="J321" s="30">
        <f>IF(C321="","",IF(N(D321)&gt;=Setup!$B$22,"Y","N"))</f>
        <v/>
      </c>
      <c r="K321" s="25">
        <f>IF(C321="","",N(H321)+N(I321))</f>
        <v/>
      </c>
      <c r="L321" s="26">
        <f>IF(N(C321)&gt;0,MIN(1,K321/C321),"")</f>
        <v/>
      </c>
      <c r="M321" s="26">
        <f>IF(N(C321)&gt;0,MIN(1,N(H321)/C321),"")</f>
        <v/>
      </c>
      <c r="N321" s="26">
        <f>IF(L321="","",L321-M321)</f>
        <v/>
      </c>
      <c r="O321" s="30">
        <f>IF(L321="","",IF(L321&gt;=Setup!$B$23,"Complete",IF(L321&gt;0,"Partial","None")))</f>
        <v/>
      </c>
      <c r="P321" s="30">
        <f>IF(C321="","",IF(K321&gt;C321*1.01,"Covered area &gt; KBA area – check overlap; ","")&amp;IF(AND(E321&lt;&gt;"Y",F321&lt;&gt;"Y",J321&lt;&gt;"Y"),"No realm assigned; ",""))</f>
        <v/>
      </c>
    </row>
    <row r="322">
      <c r="A322" s="12" t="n"/>
      <c r="B322" s="12" t="n"/>
      <c r="C322" s="14" t="n"/>
      <c r="D322" s="34" t="n"/>
      <c r="E322" s="12" t="n"/>
      <c r="F322" s="12" t="n"/>
      <c r="G322" s="12" t="n"/>
      <c r="H322" s="14" t="n"/>
      <c r="I322" s="14" t="n"/>
      <c r="J322" s="30">
        <f>IF(C322="","",IF(N(D322)&gt;=Setup!$B$22,"Y","N"))</f>
        <v/>
      </c>
      <c r="K322" s="25">
        <f>IF(C322="","",N(H322)+N(I322))</f>
        <v/>
      </c>
      <c r="L322" s="26">
        <f>IF(N(C322)&gt;0,MIN(1,K322/C322),"")</f>
        <v/>
      </c>
      <c r="M322" s="26">
        <f>IF(N(C322)&gt;0,MIN(1,N(H322)/C322),"")</f>
        <v/>
      </c>
      <c r="N322" s="26">
        <f>IF(L322="","",L322-M322)</f>
        <v/>
      </c>
      <c r="O322" s="30">
        <f>IF(L322="","",IF(L322&gt;=Setup!$B$23,"Complete",IF(L322&gt;0,"Partial","None")))</f>
        <v/>
      </c>
      <c r="P322" s="30">
        <f>IF(C322="","",IF(K322&gt;C322*1.01,"Covered area &gt; KBA area – check overlap; ","")&amp;IF(AND(E322&lt;&gt;"Y",F322&lt;&gt;"Y",J322&lt;&gt;"Y"),"No realm assigned; ",""))</f>
        <v/>
      </c>
    </row>
    <row r="323">
      <c r="A323" s="12" t="n"/>
      <c r="B323" s="12" t="n"/>
      <c r="C323" s="14" t="n"/>
      <c r="D323" s="34" t="n"/>
      <c r="E323" s="12" t="n"/>
      <c r="F323" s="12" t="n"/>
      <c r="G323" s="12" t="n"/>
      <c r="H323" s="14" t="n"/>
      <c r="I323" s="14" t="n"/>
      <c r="J323" s="30">
        <f>IF(C323="","",IF(N(D323)&gt;=Setup!$B$22,"Y","N"))</f>
        <v/>
      </c>
      <c r="K323" s="25">
        <f>IF(C323="","",N(H323)+N(I323))</f>
        <v/>
      </c>
      <c r="L323" s="26">
        <f>IF(N(C323)&gt;0,MIN(1,K323/C323),"")</f>
        <v/>
      </c>
      <c r="M323" s="26">
        <f>IF(N(C323)&gt;0,MIN(1,N(H323)/C323),"")</f>
        <v/>
      </c>
      <c r="N323" s="26">
        <f>IF(L323="","",L323-M323)</f>
        <v/>
      </c>
      <c r="O323" s="30">
        <f>IF(L323="","",IF(L323&gt;=Setup!$B$23,"Complete",IF(L323&gt;0,"Partial","None")))</f>
        <v/>
      </c>
      <c r="P323" s="30">
        <f>IF(C323="","",IF(K323&gt;C323*1.01,"Covered area &gt; KBA area – check overlap; ","")&amp;IF(AND(E323&lt;&gt;"Y",F323&lt;&gt;"Y",J323&lt;&gt;"Y"),"No realm assigned; ",""))</f>
        <v/>
      </c>
    </row>
    <row r="324">
      <c r="A324" s="12" t="n"/>
      <c r="B324" s="12" t="n"/>
      <c r="C324" s="14" t="n"/>
      <c r="D324" s="34" t="n"/>
      <c r="E324" s="12" t="n"/>
      <c r="F324" s="12" t="n"/>
      <c r="G324" s="12" t="n"/>
      <c r="H324" s="14" t="n"/>
      <c r="I324" s="14" t="n"/>
      <c r="J324" s="30">
        <f>IF(C324="","",IF(N(D324)&gt;=Setup!$B$22,"Y","N"))</f>
        <v/>
      </c>
      <c r="K324" s="25">
        <f>IF(C324="","",N(H324)+N(I324))</f>
        <v/>
      </c>
      <c r="L324" s="26">
        <f>IF(N(C324)&gt;0,MIN(1,K324/C324),"")</f>
        <v/>
      </c>
      <c r="M324" s="26">
        <f>IF(N(C324)&gt;0,MIN(1,N(H324)/C324),"")</f>
        <v/>
      </c>
      <c r="N324" s="26">
        <f>IF(L324="","",L324-M324)</f>
        <v/>
      </c>
      <c r="O324" s="30">
        <f>IF(L324="","",IF(L324&gt;=Setup!$B$23,"Complete",IF(L324&gt;0,"Partial","None")))</f>
        <v/>
      </c>
      <c r="P324" s="30">
        <f>IF(C324="","",IF(K324&gt;C324*1.01,"Covered area &gt; KBA area – check overlap; ","")&amp;IF(AND(E324&lt;&gt;"Y",F324&lt;&gt;"Y",J324&lt;&gt;"Y"),"No realm assigned; ",""))</f>
        <v/>
      </c>
    </row>
    <row r="325">
      <c r="A325" s="12" t="n"/>
      <c r="B325" s="12" t="n"/>
      <c r="C325" s="14" t="n"/>
      <c r="D325" s="34" t="n"/>
      <c r="E325" s="12" t="n"/>
      <c r="F325" s="12" t="n"/>
      <c r="G325" s="12" t="n"/>
      <c r="H325" s="14" t="n"/>
      <c r="I325" s="14" t="n"/>
      <c r="J325" s="30">
        <f>IF(C325="","",IF(N(D325)&gt;=Setup!$B$22,"Y","N"))</f>
        <v/>
      </c>
      <c r="K325" s="25">
        <f>IF(C325="","",N(H325)+N(I325))</f>
        <v/>
      </c>
      <c r="L325" s="26">
        <f>IF(N(C325)&gt;0,MIN(1,K325/C325),"")</f>
        <v/>
      </c>
      <c r="M325" s="26">
        <f>IF(N(C325)&gt;0,MIN(1,N(H325)/C325),"")</f>
        <v/>
      </c>
      <c r="N325" s="26">
        <f>IF(L325="","",L325-M325)</f>
        <v/>
      </c>
      <c r="O325" s="30">
        <f>IF(L325="","",IF(L325&gt;=Setup!$B$23,"Complete",IF(L325&gt;0,"Partial","None")))</f>
        <v/>
      </c>
      <c r="P325" s="30">
        <f>IF(C325="","",IF(K325&gt;C325*1.01,"Covered area &gt; KBA area – check overlap; ","")&amp;IF(AND(E325&lt;&gt;"Y",F325&lt;&gt;"Y",J325&lt;&gt;"Y"),"No realm assigned; ",""))</f>
        <v/>
      </c>
    </row>
    <row r="326">
      <c r="A326" s="12" t="n"/>
      <c r="B326" s="12" t="n"/>
      <c r="C326" s="14" t="n"/>
      <c r="D326" s="34" t="n"/>
      <c r="E326" s="12" t="n"/>
      <c r="F326" s="12" t="n"/>
      <c r="G326" s="12" t="n"/>
      <c r="H326" s="14" t="n"/>
      <c r="I326" s="14" t="n"/>
      <c r="J326" s="30">
        <f>IF(C326="","",IF(N(D326)&gt;=Setup!$B$22,"Y","N"))</f>
        <v/>
      </c>
      <c r="K326" s="25">
        <f>IF(C326="","",N(H326)+N(I326))</f>
        <v/>
      </c>
      <c r="L326" s="26">
        <f>IF(N(C326)&gt;0,MIN(1,K326/C326),"")</f>
        <v/>
      </c>
      <c r="M326" s="26">
        <f>IF(N(C326)&gt;0,MIN(1,N(H326)/C326),"")</f>
        <v/>
      </c>
      <c r="N326" s="26">
        <f>IF(L326="","",L326-M326)</f>
        <v/>
      </c>
      <c r="O326" s="30">
        <f>IF(L326="","",IF(L326&gt;=Setup!$B$23,"Complete",IF(L326&gt;0,"Partial","None")))</f>
        <v/>
      </c>
      <c r="P326" s="30">
        <f>IF(C326="","",IF(K326&gt;C326*1.01,"Covered area &gt; KBA area – check overlap; ","")&amp;IF(AND(E326&lt;&gt;"Y",F326&lt;&gt;"Y",J326&lt;&gt;"Y"),"No realm assigned; ",""))</f>
        <v/>
      </c>
    </row>
    <row r="327">
      <c r="A327" s="12" t="n"/>
      <c r="B327" s="12" t="n"/>
      <c r="C327" s="14" t="n"/>
      <c r="D327" s="34" t="n"/>
      <c r="E327" s="12" t="n"/>
      <c r="F327" s="12" t="n"/>
      <c r="G327" s="12" t="n"/>
      <c r="H327" s="14" t="n"/>
      <c r="I327" s="14" t="n"/>
      <c r="J327" s="30">
        <f>IF(C327="","",IF(N(D327)&gt;=Setup!$B$22,"Y","N"))</f>
        <v/>
      </c>
      <c r="K327" s="25">
        <f>IF(C327="","",N(H327)+N(I327))</f>
        <v/>
      </c>
      <c r="L327" s="26">
        <f>IF(N(C327)&gt;0,MIN(1,K327/C327),"")</f>
        <v/>
      </c>
      <c r="M327" s="26">
        <f>IF(N(C327)&gt;0,MIN(1,N(H327)/C327),"")</f>
        <v/>
      </c>
      <c r="N327" s="26">
        <f>IF(L327="","",L327-M327)</f>
        <v/>
      </c>
      <c r="O327" s="30">
        <f>IF(L327="","",IF(L327&gt;=Setup!$B$23,"Complete",IF(L327&gt;0,"Partial","None")))</f>
        <v/>
      </c>
      <c r="P327" s="30">
        <f>IF(C327="","",IF(K327&gt;C327*1.01,"Covered area &gt; KBA area – check overlap; ","")&amp;IF(AND(E327&lt;&gt;"Y",F327&lt;&gt;"Y",J327&lt;&gt;"Y"),"No realm assigned; ",""))</f>
        <v/>
      </c>
    </row>
    <row r="328">
      <c r="A328" s="12" t="n"/>
      <c r="B328" s="12" t="n"/>
      <c r="C328" s="14" t="n"/>
      <c r="D328" s="34" t="n"/>
      <c r="E328" s="12" t="n"/>
      <c r="F328" s="12" t="n"/>
      <c r="G328" s="12" t="n"/>
      <c r="H328" s="14" t="n"/>
      <c r="I328" s="14" t="n"/>
      <c r="J328" s="30">
        <f>IF(C328="","",IF(N(D328)&gt;=Setup!$B$22,"Y","N"))</f>
        <v/>
      </c>
      <c r="K328" s="25">
        <f>IF(C328="","",N(H328)+N(I328))</f>
        <v/>
      </c>
      <c r="L328" s="26">
        <f>IF(N(C328)&gt;0,MIN(1,K328/C328),"")</f>
        <v/>
      </c>
      <c r="M328" s="26">
        <f>IF(N(C328)&gt;0,MIN(1,N(H328)/C328),"")</f>
        <v/>
      </c>
      <c r="N328" s="26">
        <f>IF(L328="","",L328-M328)</f>
        <v/>
      </c>
      <c r="O328" s="30">
        <f>IF(L328="","",IF(L328&gt;=Setup!$B$23,"Complete",IF(L328&gt;0,"Partial","None")))</f>
        <v/>
      </c>
      <c r="P328" s="30">
        <f>IF(C328="","",IF(K328&gt;C328*1.01,"Covered area &gt; KBA area – check overlap; ","")&amp;IF(AND(E328&lt;&gt;"Y",F328&lt;&gt;"Y",J328&lt;&gt;"Y"),"No realm assigned; ",""))</f>
        <v/>
      </c>
    </row>
    <row r="329">
      <c r="A329" s="12" t="n"/>
      <c r="B329" s="12" t="n"/>
      <c r="C329" s="14" t="n"/>
      <c r="D329" s="34" t="n"/>
      <c r="E329" s="12" t="n"/>
      <c r="F329" s="12" t="n"/>
      <c r="G329" s="12" t="n"/>
      <c r="H329" s="14" t="n"/>
      <c r="I329" s="14" t="n"/>
      <c r="J329" s="30">
        <f>IF(C329="","",IF(N(D329)&gt;=Setup!$B$22,"Y","N"))</f>
        <v/>
      </c>
      <c r="K329" s="25">
        <f>IF(C329="","",N(H329)+N(I329))</f>
        <v/>
      </c>
      <c r="L329" s="26">
        <f>IF(N(C329)&gt;0,MIN(1,K329/C329),"")</f>
        <v/>
      </c>
      <c r="M329" s="26">
        <f>IF(N(C329)&gt;0,MIN(1,N(H329)/C329),"")</f>
        <v/>
      </c>
      <c r="N329" s="26">
        <f>IF(L329="","",L329-M329)</f>
        <v/>
      </c>
      <c r="O329" s="30">
        <f>IF(L329="","",IF(L329&gt;=Setup!$B$23,"Complete",IF(L329&gt;0,"Partial","None")))</f>
        <v/>
      </c>
      <c r="P329" s="30">
        <f>IF(C329="","",IF(K329&gt;C329*1.01,"Covered area &gt; KBA area – check overlap; ","")&amp;IF(AND(E329&lt;&gt;"Y",F329&lt;&gt;"Y",J329&lt;&gt;"Y"),"No realm assigned; ",""))</f>
        <v/>
      </c>
    </row>
    <row r="330">
      <c r="A330" s="12" t="n"/>
      <c r="B330" s="12" t="n"/>
      <c r="C330" s="14" t="n"/>
      <c r="D330" s="34" t="n"/>
      <c r="E330" s="12" t="n"/>
      <c r="F330" s="12" t="n"/>
      <c r="G330" s="12" t="n"/>
      <c r="H330" s="14" t="n"/>
      <c r="I330" s="14" t="n"/>
      <c r="J330" s="30">
        <f>IF(C330="","",IF(N(D330)&gt;=Setup!$B$22,"Y","N"))</f>
        <v/>
      </c>
      <c r="K330" s="25">
        <f>IF(C330="","",N(H330)+N(I330))</f>
        <v/>
      </c>
      <c r="L330" s="26">
        <f>IF(N(C330)&gt;0,MIN(1,K330/C330),"")</f>
        <v/>
      </c>
      <c r="M330" s="26">
        <f>IF(N(C330)&gt;0,MIN(1,N(H330)/C330),"")</f>
        <v/>
      </c>
      <c r="N330" s="26">
        <f>IF(L330="","",L330-M330)</f>
        <v/>
      </c>
      <c r="O330" s="30">
        <f>IF(L330="","",IF(L330&gt;=Setup!$B$23,"Complete",IF(L330&gt;0,"Partial","None")))</f>
        <v/>
      </c>
      <c r="P330" s="30">
        <f>IF(C330="","",IF(K330&gt;C330*1.01,"Covered area &gt; KBA area – check overlap; ","")&amp;IF(AND(E330&lt;&gt;"Y",F330&lt;&gt;"Y",J330&lt;&gt;"Y"),"No realm assigned; ",""))</f>
        <v/>
      </c>
    </row>
    <row r="331">
      <c r="A331" s="12" t="n"/>
      <c r="B331" s="12" t="n"/>
      <c r="C331" s="14" t="n"/>
      <c r="D331" s="34" t="n"/>
      <c r="E331" s="12" t="n"/>
      <c r="F331" s="12" t="n"/>
      <c r="G331" s="12" t="n"/>
      <c r="H331" s="14" t="n"/>
      <c r="I331" s="14" t="n"/>
      <c r="J331" s="30">
        <f>IF(C331="","",IF(N(D331)&gt;=Setup!$B$22,"Y","N"))</f>
        <v/>
      </c>
      <c r="K331" s="25">
        <f>IF(C331="","",N(H331)+N(I331))</f>
        <v/>
      </c>
      <c r="L331" s="26">
        <f>IF(N(C331)&gt;0,MIN(1,K331/C331),"")</f>
        <v/>
      </c>
      <c r="M331" s="26">
        <f>IF(N(C331)&gt;0,MIN(1,N(H331)/C331),"")</f>
        <v/>
      </c>
      <c r="N331" s="26">
        <f>IF(L331="","",L331-M331)</f>
        <v/>
      </c>
      <c r="O331" s="30">
        <f>IF(L331="","",IF(L331&gt;=Setup!$B$23,"Complete",IF(L331&gt;0,"Partial","None")))</f>
        <v/>
      </c>
      <c r="P331" s="30">
        <f>IF(C331="","",IF(K331&gt;C331*1.01,"Covered area &gt; KBA area – check overlap; ","")&amp;IF(AND(E331&lt;&gt;"Y",F331&lt;&gt;"Y",J331&lt;&gt;"Y"),"No realm assigned; ",""))</f>
        <v/>
      </c>
    </row>
    <row r="332">
      <c r="A332" s="12" t="n"/>
      <c r="B332" s="12" t="n"/>
      <c r="C332" s="14" t="n"/>
      <c r="D332" s="34" t="n"/>
      <c r="E332" s="12" t="n"/>
      <c r="F332" s="12" t="n"/>
      <c r="G332" s="12" t="n"/>
      <c r="H332" s="14" t="n"/>
      <c r="I332" s="14" t="n"/>
      <c r="J332" s="30">
        <f>IF(C332="","",IF(N(D332)&gt;=Setup!$B$22,"Y","N"))</f>
        <v/>
      </c>
      <c r="K332" s="25">
        <f>IF(C332="","",N(H332)+N(I332))</f>
        <v/>
      </c>
      <c r="L332" s="26">
        <f>IF(N(C332)&gt;0,MIN(1,K332/C332),"")</f>
        <v/>
      </c>
      <c r="M332" s="26">
        <f>IF(N(C332)&gt;0,MIN(1,N(H332)/C332),"")</f>
        <v/>
      </c>
      <c r="N332" s="26">
        <f>IF(L332="","",L332-M332)</f>
        <v/>
      </c>
      <c r="O332" s="30">
        <f>IF(L332="","",IF(L332&gt;=Setup!$B$23,"Complete",IF(L332&gt;0,"Partial","None")))</f>
        <v/>
      </c>
      <c r="P332" s="30">
        <f>IF(C332="","",IF(K332&gt;C332*1.01,"Covered area &gt; KBA area – check overlap; ","")&amp;IF(AND(E332&lt;&gt;"Y",F332&lt;&gt;"Y",J332&lt;&gt;"Y"),"No realm assigned; ",""))</f>
        <v/>
      </c>
    </row>
    <row r="333">
      <c r="A333" s="12" t="n"/>
      <c r="B333" s="12" t="n"/>
      <c r="C333" s="14" t="n"/>
      <c r="D333" s="34" t="n"/>
      <c r="E333" s="12" t="n"/>
      <c r="F333" s="12" t="n"/>
      <c r="G333" s="12" t="n"/>
      <c r="H333" s="14" t="n"/>
      <c r="I333" s="14" t="n"/>
      <c r="J333" s="30">
        <f>IF(C333="","",IF(N(D333)&gt;=Setup!$B$22,"Y","N"))</f>
        <v/>
      </c>
      <c r="K333" s="25">
        <f>IF(C333="","",N(H333)+N(I333))</f>
        <v/>
      </c>
      <c r="L333" s="26">
        <f>IF(N(C333)&gt;0,MIN(1,K333/C333),"")</f>
        <v/>
      </c>
      <c r="M333" s="26">
        <f>IF(N(C333)&gt;0,MIN(1,N(H333)/C333),"")</f>
        <v/>
      </c>
      <c r="N333" s="26">
        <f>IF(L333="","",L333-M333)</f>
        <v/>
      </c>
      <c r="O333" s="30">
        <f>IF(L333="","",IF(L333&gt;=Setup!$B$23,"Complete",IF(L333&gt;0,"Partial","None")))</f>
        <v/>
      </c>
      <c r="P333" s="30">
        <f>IF(C333="","",IF(K333&gt;C333*1.01,"Covered area &gt; KBA area – check overlap; ","")&amp;IF(AND(E333&lt;&gt;"Y",F333&lt;&gt;"Y",J333&lt;&gt;"Y"),"No realm assigned; ",""))</f>
        <v/>
      </c>
    </row>
    <row r="334">
      <c r="A334" s="12" t="n"/>
      <c r="B334" s="12" t="n"/>
      <c r="C334" s="14" t="n"/>
      <c r="D334" s="34" t="n"/>
      <c r="E334" s="12" t="n"/>
      <c r="F334" s="12" t="n"/>
      <c r="G334" s="12" t="n"/>
      <c r="H334" s="14" t="n"/>
      <c r="I334" s="14" t="n"/>
      <c r="J334" s="30">
        <f>IF(C334="","",IF(N(D334)&gt;=Setup!$B$22,"Y","N"))</f>
        <v/>
      </c>
      <c r="K334" s="25">
        <f>IF(C334="","",N(H334)+N(I334))</f>
        <v/>
      </c>
      <c r="L334" s="26">
        <f>IF(N(C334)&gt;0,MIN(1,K334/C334),"")</f>
        <v/>
      </c>
      <c r="M334" s="26">
        <f>IF(N(C334)&gt;0,MIN(1,N(H334)/C334),"")</f>
        <v/>
      </c>
      <c r="N334" s="26">
        <f>IF(L334="","",L334-M334)</f>
        <v/>
      </c>
      <c r="O334" s="30">
        <f>IF(L334="","",IF(L334&gt;=Setup!$B$23,"Complete",IF(L334&gt;0,"Partial","None")))</f>
        <v/>
      </c>
      <c r="P334" s="30">
        <f>IF(C334="","",IF(K334&gt;C334*1.01,"Covered area &gt; KBA area – check overlap; ","")&amp;IF(AND(E334&lt;&gt;"Y",F334&lt;&gt;"Y",J334&lt;&gt;"Y"),"No realm assigned; ",""))</f>
        <v/>
      </c>
    </row>
    <row r="335">
      <c r="A335" s="12" t="n"/>
      <c r="B335" s="12" t="n"/>
      <c r="C335" s="14" t="n"/>
      <c r="D335" s="34" t="n"/>
      <c r="E335" s="12" t="n"/>
      <c r="F335" s="12" t="n"/>
      <c r="G335" s="12" t="n"/>
      <c r="H335" s="14" t="n"/>
      <c r="I335" s="14" t="n"/>
      <c r="J335" s="30">
        <f>IF(C335="","",IF(N(D335)&gt;=Setup!$B$22,"Y","N"))</f>
        <v/>
      </c>
      <c r="K335" s="25">
        <f>IF(C335="","",N(H335)+N(I335))</f>
        <v/>
      </c>
      <c r="L335" s="26">
        <f>IF(N(C335)&gt;0,MIN(1,K335/C335),"")</f>
        <v/>
      </c>
      <c r="M335" s="26">
        <f>IF(N(C335)&gt;0,MIN(1,N(H335)/C335),"")</f>
        <v/>
      </c>
      <c r="N335" s="26">
        <f>IF(L335="","",L335-M335)</f>
        <v/>
      </c>
      <c r="O335" s="30">
        <f>IF(L335="","",IF(L335&gt;=Setup!$B$23,"Complete",IF(L335&gt;0,"Partial","None")))</f>
        <v/>
      </c>
      <c r="P335" s="30">
        <f>IF(C335="","",IF(K335&gt;C335*1.01,"Covered area &gt; KBA area – check overlap; ","")&amp;IF(AND(E335&lt;&gt;"Y",F335&lt;&gt;"Y",J335&lt;&gt;"Y"),"No realm assigned; ",""))</f>
        <v/>
      </c>
    </row>
    <row r="336">
      <c r="A336" s="12" t="n"/>
      <c r="B336" s="12" t="n"/>
      <c r="C336" s="14" t="n"/>
      <c r="D336" s="34" t="n"/>
      <c r="E336" s="12" t="n"/>
      <c r="F336" s="12" t="n"/>
      <c r="G336" s="12" t="n"/>
      <c r="H336" s="14" t="n"/>
      <c r="I336" s="14" t="n"/>
      <c r="J336" s="30">
        <f>IF(C336="","",IF(N(D336)&gt;=Setup!$B$22,"Y","N"))</f>
        <v/>
      </c>
      <c r="K336" s="25">
        <f>IF(C336="","",N(H336)+N(I336))</f>
        <v/>
      </c>
      <c r="L336" s="26">
        <f>IF(N(C336)&gt;0,MIN(1,K336/C336),"")</f>
        <v/>
      </c>
      <c r="M336" s="26">
        <f>IF(N(C336)&gt;0,MIN(1,N(H336)/C336),"")</f>
        <v/>
      </c>
      <c r="N336" s="26">
        <f>IF(L336="","",L336-M336)</f>
        <v/>
      </c>
      <c r="O336" s="30">
        <f>IF(L336="","",IF(L336&gt;=Setup!$B$23,"Complete",IF(L336&gt;0,"Partial","None")))</f>
        <v/>
      </c>
      <c r="P336" s="30">
        <f>IF(C336="","",IF(K336&gt;C336*1.01,"Covered area &gt; KBA area – check overlap; ","")&amp;IF(AND(E336&lt;&gt;"Y",F336&lt;&gt;"Y",J336&lt;&gt;"Y"),"No realm assigned; ",""))</f>
        <v/>
      </c>
    </row>
    <row r="337">
      <c r="A337" s="12" t="n"/>
      <c r="B337" s="12" t="n"/>
      <c r="C337" s="14" t="n"/>
      <c r="D337" s="34" t="n"/>
      <c r="E337" s="12" t="n"/>
      <c r="F337" s="12" t="n"/>
      <c r="G337" s="12" t="n"/>
      <c r="H337" s="14" t="n"/>
      <c r="I337" s="14" t="n"/>
      <c r="J337" s="30">
        <f>IF(C337="","",IF(N(D337)&gt;=Setup!$B$22,"Y","N"))</f>
        <v/>
      </c>
      <c r="K337" s="25">
        <f>IF(C337="","",N(H337)+N(I337))</f>
        <v/>
      </c>
      <c r="L337" s="26">
        <f>IF(N(C337)&gt;0,MIN(1,K337/C337),"")</f>
        <v/>
      </c>
      <c r="M337" s="26">
        <f>IF(N(C337)&gt;0,MIN(1,N(H337)/C337),"")</f>
        <v/>
      </c>
      <c r="N337" s="26">
        <f>IF(L337="","",L337-M337)</f>
        <v/>
      </c>
      <c r="O337" s="30">
        <f>IF(L337="","",IF(L337&gt;=Setup!$B$23,"Complete",IF(L337&gt;0,"Partial","None")))</f>
        <v/>
      </c>
      <c r="P337" s="30">
        <f>IF(C337="","",IF(K337&gt;C337*1.01,"Covered area &gt; KBA area – check overlap; ","")&amp;IF(AND(E337&lt;&gt;"Y",F337&lt;&gt;"Y",J337&lt;&gt;"Y"),"No realm assigned; ",""))</f>
        <v/>
      </c>
    </row>
    <row r="338">
      <c r="A338" s="12" t="n"/>
      <c r="B338" s="12" t="n"/>
      <c r="C338" s="14" t="n"/>
      <c r="D338" s="34" t="n"/>
      <c r="E338" s="12" t="n"/>
      <c r="F338" s="12" t="n"/>
      <c r="G338" s="12" t="n"/>
      <c r="H338" s="14" t="n"/>
      <c r="I338" s="14" t="n"/>
      <c r="J338" s="30">
        <f>IF(C338="","",IF(N(D338)&gt;=Setup!$B$22,"Y","N"))</f>
        <v/>
      </c>
      <c r="K338" s="25">
        <f>IF(C338="","",N(H338)+N(I338))</f>
        <v/>
      </c>
      <c r="L338" s="26">
        <f>IF(N(C338)&gt;0,MIN(1,K338/C338),"")</f>
        <v/>
      </c>
      <c r="M338" s="26">
        <f>IF(N(C338)&gt;0,MIN(1,N(H338)/C338),"")</f>
        <v/>
      </c>
      <c r="N338" s="26">
        <f>IF(L338="","",L338-M338)</f>
        <v/>
      </c>
      <c r="O338" s="30">
        <f>IF(L338="","",IF(L338&gt;=Setup!$B$23,"Complete",IF(L338&gt;0,"Partial","None")))</f>
        <v/>
      </c>
      <c r="P338" s="30">
        <f>IF(C338="","",IF(K338&gt;C338*1.01,"Covered area &gt; KBA area – check overlap; ","")&amp;IF(AND(E338&lt;&gt;"Y",F338&lt;&gt;"Y",J338&lt;&gt;"Y"),"No realm assigned; ",""))</f>
        <v/>
      </c>
    </row>
    <row r="339">
      <c r="A339" s="12" t="n"/>
      <c r="B339" s="12" t="n"/>
      <c r="C339" s="14" t="n"/>
      <c r="D339" s="34" t="n"/>
      <c r="E339" s="12" t="n"/>
      <c r="F339" s="12" t="n"/>
      <c r="G339" s="12" t="n"/>
      <c r="H339" s="14" t="n"/>
      <c r="I339" s="14" t="n"/>
      <c r="J339" s="30">
        <f>IF(C339="","",IF(N(D339)&gt;=Setup!$B$22,"Y","N"))</f>
        <v/>
      </c>
      <c r="K339" s="25">
        <f>IF(C339="","",N(H339)+N(I339))</f>
        <v/>
      </c>
      <c r="L339" s="26">
        <f>IF(N(C339)&gt;0,MIN(1,K339/C339),"")</f>
        <v/>
      </c>
      <c r="M339" s="26">
        <f>IF(N(C339)&gt;0,MIN(1,N(H339)/C339),"")</f>
        <v/>
      </c>
      <c r="N339" s="26">
        <f>IF(L339="","",L339-M339)</f>
        <v/>
      </c>
      <c r="O339" s="30">
        <f>IF(L339="","",IF(L339&gt;=Setup!$B$23,"Complete",IF(L339&gt;0,"Partial","None")))</f>
        <v/>
      </c>
      <c r="P339" s="30">
        <f>IF(C339="","",IF(K339&gt;C339*1.01,"Covered area &gt; KBA area – check overlap; ","")&amp;IF(AND(E339&lt;&gt;"Y",F339&lt;&gt;"Y",J339&lt;&gt;"Y"),"No realm assigned; ",""))</f>
        <v/>
      </c>
    </row>
    <row r="340">
      <c r="A340" s="12" t="n"/>
      <c r="B340" s="12" t="n"/>
      <c r="C340" s="14" t="n"/>
      <c r="D340" s="34" t="n"/>
      <c r="E340" s="12" t="n"/>
      <c r="F340" s="12" t="n"/>
      <c r="G340" s="12" t="n"/>
      <c r="H340" s="14" t="n"/>
      <c r="I340" s="14" t="n"/>
      <c r="J340" s="30">
        <f>IF(C340="","",IF(N(D340)&gt;=Setup!$B$22,"Y","N"))</f>
        <v/>
      </c>
      <c r="K340" s="25">
        <f>IF(C340="","",N(H340)+N(I340))</f>
        <v/>
      </c>
      <c r="L340" s="26">
        <f>IF(N(C340)&gt;0,MIN(1,K340/C340),"")</f>
        <v/>
      </c>
      <c r="M340" s="26">
        <f>IF(N(C340)&gt;0,MIN(1,N(H340)/C340),"")</f>
        <v/>
      </c>
      <c r="N340" s="26">
        <f>IF(L340="","",L340-M340)</f>
        <v/>
      </c>
      <c r="O340" s="30">
        <f>IF(L340="","",IF(L340&gt;=Setup!$B$23,"Complete",IF(L340&gt;0,"Partial","None")))</f>
        <v/>
      </c>
      <c r="P340" s="30">
        <f>IF(C340="","",IF(K340&gt;C340*1.01,"Covered area &gt; KBA area – check overlap; ","")&amp;IF(AND(E340&lt;&gt;"Y",F340&lt;&gt;"Y",J340&lt;&gt;"Y"),"No realm assigned; ",""))</f>
        <v/>
      </c>
    </row>
    <row r="341">
      <c r="A341" s="12" t="n"/>
      <c r="B341" s="12" t="n"/>
      <c r="C341" s="14" t="n"/>
      <c r="D341" s="34" t="n"/>
      <c r="E341" s="12" t="n"/>
      <c r="F341" s="12" t="n"/>
      <c r="G341" s="12" t="n"/>
      <c r="H341" s="14" t="n"/>
      <c r="I341" s="14" t="n"/>
      <c r="J341" s="30">
        <f>IF(C341="","",IF(N(D341)&gt;=Setup!$B$22,"Y","N"))</f>
        <v/>
      </c>
      <c r="K341" s="25">
        <f>IF(C341="","",N(H341)+N(I341))</f>
        <v/>
      </c>
      <c r="L341" s="26">
        <f>IF(N(C341)&gt;0,MIN(1,K341/C341),"")</f>
        <v/>
      </c>
      <c r="M341" s="26">
        <f>IF(N(C341)&gt;0,MIN(1,N(H341)/C341),"")</f>
        <v/>
      </c>
      <c r="N341" s="26">
        <f>IF(L341="","",L341-M341)</f>
        <v/>
      </c>
      <c r="O341" s="30">
        <f>IF(L341="","",IF(L341&gt;=Setup!$B$23,"Complete",IF(L341&gt;0,"Partial","None")))</f>
        <v/>
      </c>
      <c r="P341" s="30">
        <f>IF(C341="","",IF(K341&gt;C341*1.01,"Covered area &gt; KBA area – check overlap; ","")&amp;IF(AND(E341&lt;&gt;"Y",F341&lt;&gt;"Y",J341&lt;&gt;"Y"),"No realm assigned; ",""))</f>
        <v/>
      </c>
    </row>
    <row r="342">
      <c r="A342" s="12" t="n"/>
      <c r="B342" s="12" t="n"/>
      <c r="C342" s="14" t="n"/>
      <c r="D342" s="34" t="n"/>
      <c r="E342" s="12" t="n"/>
      <c r="F342" s="12" t="n"/>
      <c r="G342" s="12" t="n"/>
      <c r="H342" s="14" t="n"/>
      <c r="I342" s="14" t="n"/>
      <c r="J342" s="30">
        <f>IF(C342="","",IF(N(D342)&gt;=Setup!$B$22,"Y","N"))</f>
        <v/>
      </c>
      <c r="K342" s="25">
        <f>IF(C342="","",N(H342)+N(I342))</f>
        <v/>
      </c>
      <c r="L342" s="26">
        <f>IF(N(C342)&gt;0,MIN(1,K342/C342),"")</f>
        <v/>
      </c>
      <c r="M342" s="26">
        <f>IF(N(C342)&gt;0,MIN(1,N(H342)/C342),"")</f>
        <v/>
      </c>
      <c r="N342" s="26">
        <f>IF(L342="","",L342-M342)</f>
        <v/>
      </c>
      <c r="O342" s="30">
        <f>IF(L342="","",IF(L342&gt;=Setup!$B$23,"Complete",IF(L342&gt;0,"Partial","None")))</f>
        <v/>
      </c>
      <c r="P342" s="30">
        <f>IF(C342="","",IF(K342&gt;C342*1.01,"Covered area &gt; KBA area – check overlap; ","")&amp;IF(AND(E342&lt;&gt;"Y",F342&lt;&gt;"Y",J342&lt;&gt;"Y"),"No realm assigned; ",""))</f>
        <v/>
      </c>
    </row>
    <row r="343">
      <c r="A343" s="12" t="n"/>
      <c r="B343" s="12" t="n"/>
      <c r="C343" s="14" t="n"/>
      <c r="D343" s="34" t="n"/>
      <c r="E343" s="12" t="n"/>
      <c r="F343" s="12" t="n"/>
      <c r="G343" s="12" t="n"/>
      <c r="H343" s="14" t="n"/>
      <c r="I343" s="14" t="n"/>
      <c r="J343" s="30">
        <f>IF(C343="","",IF(N(D343)&gt;=Setup!$B$22,"Y","N"))</f>
        <v/>
      </c>
      <c r="K343" s="25">
        <f>IF(C343="","",N(H343)+N(I343))</f>
        <v/>
      </c>
      <c r="L343" s="26">
        <f>IF(N(C343)&gt;0,MIN(1,K343/C343),"")</f>
        <v/>
      </c>
      <c r="M343" s="26">
        <f>IF(N(C343)&gt;0,MIN(1,N(H343)/C343),"")</f>
        <v/>
      </c>
      <c r="N343" s="26">
        <f>IF(L343="","",L343-M343)</f>
        <v/>
      </c>
      <c r="O343" s="30">
        <f>IF(L343="","",IF(L343&gt;=Setup!$B$23,"Complete",IF(L343&gt;0,"Partial","None")))</f>
        <v/>
      </c>
      <c r="P343" s="30">
        <f>IF(C343="","",IF(K343&gt;C343*1.01,"Covered area &gt; KBA area – check overlap; ","")&amp;IF(AND(E343&lt;&gt;"Y",F343&lt;&gt;"Y",J343&lt;&gt;"Y"),"No realm assigned; ",""))</f>
        <v/>
      </c>
    </row>
    <row r="344">
      <c r="A344" s="12" t="n"/>
      <c r="B344" s="12" t="n"/>
      <c r="C344" s="14" t="n"/>
      <c r="D344" s="34" t="n"/>
      <c r="E344" s="12" t="n"/>
      <c r="F344" s="12" t="n"/>
      <c r="G344" s="12" t="n"/>
      <c r="H344" s="14" t="n"/>
      <c r="I344" s="14" t="n"/>
      <c r="J344" s="30">
        <f>IF(C344="","",IF(N(D344)&gt;=Setup!$B$22,"Y","N"))</f>
        <v/>
      </c>
      <c r="K344" s="25">
        <f>IF(C344="","",N(H344)+N(I344))</f>
        <v/>
      </c>
      <c r="L344" s="26">
        <f>IF(N(C344)&gt;0,MIN(1,K344/C344),"")</f>
        <v/>
      </c>
      <c r="M344" s="26">
        <f>IF(N(C344)&gt;0,MIN(1,N(H344)/C344),"")</f>
        <v/>
      </c>
      <c r="N344" s="26">
        <f>IF(L344="","",L344-M344)</f>
        <v/>
      </c>
      <c r="O344" s="30">
        <f>IF(L344="","",IF(L344&gt;=Setup!$B$23,"Complete",IF(L344&gt;0,"Partial","None")))</f>
        <v/>
      </c>
      <c r="P344" s="30">
        <f>IF(C344="","",IF(K344&gt;C344*1.01,"Covered area &gt; KBA area – check overlap; ","")&amp;IF(AND(E344&lt;&gt;"Y",F344&lt;&gt;"Y",J344&lt;&gt;"Y"),"No realm assigned; ",""))</f>
        <v/>
      </c>
    </row>
    <row r="345">
      <c r="A345" s="12" t="n"/>
      <c r="B345" s="12" t="n"/>
      <c r="C345" s="14" t="n"/>
      <c r="D345" s="34" t="n"/>
      <c r="E345" s="12" t="n"/>
      <c r="F345" s="12" t="n"/>
      <c r="G345" s="12" t="n"/>
      <c r="H345" s="14" t="n"/>
      <c r="I345" s="14" t="n"/>
      <c r="J345" s="30">
        <f>IF(C345="","",IF(N(D345)&gt;=Setup!$B$22,"Y","N"))</f>
        <v/>
      </c>
      <c r="K345" s="25">
        <f>IF(C345="","",N(H345)+N(I345))</f>
        <v/>
      </c>
      <c r="L345" s="26">
        <f>IF(N(C345)&gt;0,MIN(1,K345/C345),"")</f>
        <v/>
      </c>
      <c r="M345" s="26">
        <f>IF(N(C345)&gt;0,MIN(1,N(H345)/C345),"")</f>
        <v/>
      </c>
      <c r="N345" s="26">
        <f>IF(L345="","",L345-M345)</f>
        <v/>
      </c>
      <c r="O345" s="30">
        <f>IF(L345="","",IF(L345&gt;=Setup!$B$23,"Complete",IF(L345&gt;0,"Partial","None")))</f>
        <v/>
      </c>
      <c r="P345" s="30">
        <f>IF(C345="","",IF(K345&gt;C345*1.01,"Covered area &gt; KBA area – check overlap; ","")&amp;IF(AND(E345&lt;&gt;"Y",F345&lt;&gt;"Y",J345&lt;&gt;"Y"),"No realm assigned; ",""))</f>
        <v/>
      </c>
    </row>
    <row r="346">
      <c r="A346" s="12" t="n"/>
      <c r="B346" s="12" t="n"/>
      <c r="C346" s="14" t="n"/>
      <c r="D346" s="34" t="n"/>
      <c r="E346" s="12" t="n"/>
      <c r="F346" s="12" t="n"/>
      <c r="G346" s="12" t="n"/>
      <c r="H346" s="14" t="n"/>
      <c r="I346" s="14" t="n"/>
      <c r="J346" s="30">
        <f>IF(C346="","",IF(N(D346)&gt;=Setup!$B$22,"Y","N"))</f>
        <v/>
      </c>
      <c r="K346" s="25">
        <f>IF(C346="","",N(H346)+N(I346))</f>
        <v/>
      </c>
      <c r="L346" s="26">
        <f>IF(N(C346)&gt;0,MIN(1,K346/C346),"")</f>
        <v/>
      </c>
      <c r="M346" s="26">
        <f>IF(N(C346)&gt;0,MIN(1,N(H346)/C346),"")</f>
        <v/>
      </c>
      <c r="N346" s="26">
        <f>IF(L346="","",L346-M346)</f>
        <v/>
      </c>
      <c r="O346" s="30">
        <f>IF(L346="","",IF(L346&gt;=Setup!$B$23,"Complete",IF(L346&gt;0,"Partial","None")))</f>
        <v/>
      </c>
      <c r="P346" s="30">
        <f>IF(C346="","",IF(K346&gt;C346*1.01,"Covered area &gt; KBA area – check overlap; ","")&amp;IF(AND(E346&lt;&gt;"Y",F346&lt;&gt;"Y",J346&lt;&gt;"Y"),"No realm assigned; ",""))</f>
        <v/>
      </c>
    </row>
    <row r="347">
      <c r="A347" s="12" t="n"/>
      <c r="B347" s="12" t="n"/>
      <c r="C347" s="14" t="n"/>
      <c r="D347" s="34" t="n"/>
      <c r="E347" s="12" t="n"/>
      <c r="F347" s="12" t="n"/>
      <c r="G347" s="12" t="n"/>
      <c r="H347" s="14" t="n"/>
      <c r="I347" s="14" t="n"/>
      <c r="J347" s="30">
        <f>IF(C347="","",IF(N(D347)&gt;=Setup!$B$22,"Y","N"))</f>
        <v/>
      </c>
      <c r="K347" s="25">
        <f>IF(C347="","",N(H347)+N(I347))</f>
        <v/>
      </c>
      <c r="L347" s="26">
        <f>IF(N(C347)&gt;0,MIN(1,K347/C347),"")</f>
        <v/>
      </c>
      <c r="M347" s="26">
        <f>IF(N(C347)&gt;0,MIN(1,N(H347)/C347),"")</f>
        <v/>
      </c>
      <c r="N347" s="26">
        <f>IF(L347="","",L347-M347)</f>
        <v/>
      </c>
      <c r="O347" s="30">
        <f>IF(L347="","",IF(L347&gt;=Setup!$B$23,"Complete",IF(L347&gt;0,"Partial","None")))</f>
        <v/>
      </c>
      <c r="P347" s="30">
        <f>IF(C347="","",IF(K347&gt;C347*1.01,"Covered area &gt; KBA area – check overlap; ","")&amp;IF(AND(E347&lt;&gt;"Y",F347&lt;&gt;"Y",J347&lt;&gt;"Y"),"No realm assigned; ",""))</f>
        <v/>
      </c>
    </row>
    <row r="348">
      <c r="A348" s="12" t="n"/>
      <c r="B348" s="12" t="n"/>
      <c r="C348" s="14" t="n"/>
      <c r="D348" s="34" t="n"/>
      <c r="E348" s="12" t="n"/>
      <c r="F348" s="12" t="n"/>
      <c r="G348" s="12" t="n"/>
      <c r="H348" s="14" t="n"/>
      <c r="I348" s="14" t="n"/>
      <c r="J348" s="30">
        <f>IF(C348="","",IF(N(D348)&gt;=Setup!$B$22,"Y","N"))</f>
        <v/>
      </c>
      <c r="K348" s="25">
        <f>IF(C348="","",N(H348)+N(I348))</f>
        <v/>
      </c>
      <c r="L348" s="26">
        <f>IF(N(C348)&gt;0,MIN(1,K348/C348),"")</f>
        <v/>
      </c>
      <c r="M348" s="26">
        <f>IF(N(C348)&gt;0,MIN(1,N(H348)/C348),"")</f>
        <v/>
      </c>
      <c r="N348" s="26">
        <f>IF(L348="","",L348-M348)</f>
        <v/>
      </c>
      <c r="O348" s="30">
        <f>IF(L348="","",IF(L348&gt;=Setup!$B$23,"Complete",IF(L348&gt;0,"Partial","None")))</f>
        <v/>
      </c>
      <c r="P348" s="30">
        <f>IF(C348="","",IF(K348&gt;C348*1.01,"Covered area &gt; KBA area – check overlap; ","")&amp;IF(AND(E348&lt;&gt;"Y",F348&lt;&gt;"Y",J348&lt;&gt;"Y"),"No realm assigned; ",""))</f>
        <v/>
      </c>
    </row>
    <row r="349">
      <c r="A349" s="12" t="n"/>
      <c r="B349" s="12" t="n"/>
      <c r="C349" s="14" t="n"/>
      <c r="D349" s="34" t="n"/>
      <c r="E349" s="12" t="n"/>
      <c r="F349" s="12" t="n"/>
      <c r="G349" s="12" t="n"/>
      <c r="H349" s="14" t="n"/>
      <c r="I349" s="14" t="n"/>
      <c r="J349" s="30">
        <f>IF(C349="","",IF(N(D349)&gt;=Setup!$B$22,"Y","N"))</f>
        <v/>
      </c>
      <c r="K349" s="25">
        <f>IF(C349="","",N(H349)+N(I349))</f>
        <v/>
      </c>
      <c r="L349" s="26">
        <f>IF(N(C349)&gt;0,MIN(1,K349/C349),"")</f>
        <v/>
      </c>
      <c r="M349" s="26">
        <f>IF(N(C349)&gt;0,MIN(1,N(H349)/C349),"")</f>
        <v/>
      </c>
      <c r="N349" s="26">
        <f>IF(L349="","",L349-M349)</f>
        <v/>
      </c>
      <c r="O349" s="30">
        <f>IF(L349="","",IF(L349&gt;=Setup!$B$23,"Complete",IF(L349&gt;0,"Partial","None")))</f>
        <v/>
      </c>
      <c r="P349" s="30">
        <f>IF(C349="","",IF(K349&gt;C349*1.01,"Covered area &gt; KBA area – check overlap; ","")&amp;IF(AND(E349&lt;&gt;"Y",F349&lt;&gt;"Y",J349&lt;&gt;"Y"),"No realm assigned; ",""))</f>
        <v/>
      </c>
    </row>
    <row r="350">
      <c r="A350" s="12" t="n"/>
      <c r="B350" s="12" t="n"/>
      <c r="C350" s="14" t="n"/>
      <c r="D350" s="34" t="n"/>
      <c r="E350" s="12" t="n"/>
      <c r="F350" s="12" t="n"/>
      <c r="G350" s="12" t="n"/>
      <c r="H350" s="14" t="n"/>
      <c r="I350" s="14" t="n"/>
      <c r="J350" s="30">
        <f>IF(C350="","",IF(N(D350)&gt;=Setup!$B$22,"Y","N"))</f>
        <v/>
      </c>
      <c r="K350" s="25">
        <f>IF(C350="","",N(H350)+N(I350))</f>
        <v/>
      </c>
      <c r="L350" s="26">
        <f>IF(N(C350)&gt;0,MIN(1,K350/C350),"")</f>
        <v/>
      </c>
      <c r="M350" s="26">
        <f>IF(N(C350)&gt;0,MIN(1,N(H350)/C350),"")</f>
        <v/>
      </c>
      <c r="N350" s="26">
        <f>IF(L350="","",L350-M350)</f>
        <v/>
      </c>
      <c r="O350" s="30">
        <f>IF(L350="","",IF(L350&gt;=Setup!$B$23,"Complete",IF(L350&gt;0,"Partial","None")))</f>
        <v/>
      </c>
      <c r="P350" s="30">
        <f>IF(C350="","",IF(K350&gt;C350*1.01,"Covered area &gt; KBA area – check overlap; ","")&amp;IF(AND(E350&lt;&gt;"Y",F350&lt;&gt;"Y",J350&lt;&gt;"Y"),"No realm assigned; ",""))</f>
        <v/>
      </c>
    </row>
    <row r="351">
      <c r="A351" s="12" t="n"/>
      <c r="B351" s="12" t="n"/>
      <c r="C351" s="14" t="n"/>
      <c r="D351" s="34" t="n"/>
      <c r="E351" s="12" t="n"/>
      <c r="F351" s="12" t="n"/>
      <c r="G351" s="12" t="n"/>
      <c r="H351" s="14" t="n"/>
      <c r="I351" s="14" t="n"/>
      <c r="J351" s="30">
        <f>IF(C351="","",IF(N(D351)&gt;=Setup!$B$22,"Y","N"))</f>
        <v/>
      </c>
      <c r="K351" s="25">
        <f>IF(C351="","",N(H351)+N(I351))</f>
        <v/>
      </c>
      <c r="L351" s="26">
        <f>IF(N(C351)&gt;0,MIN(1,K351/C351),"")</f>
        <v/>
      </c>
      <c r="M351" s="26">
        <f>IF(N(C351)&gt;0,MIN(1,N(H351)/C351),"")</f>
        <v/>
      </c>
      <c r="N351" s="26">
        <f>IF(L351="","",L351-M351)</f>
        <v/>
      </c>
      <c r="O351" s="30">
        <f>IF(L351="","",IF(L351&gt;=Setup!$B$23,"Complete",IF(L351&gt;0,"Partial","None")))</f>
        <v/>
      </c>
      <c r="P351" s="30">
        <f>IF(C351="","",IF(K351&gt;C351*1.01,"Covered area &gt; KBA area – check overlap; ","")&amp;IF(AND(E351&lt;&gt;"Y",F351&lt;&gt;"Y",J351&lt;&gt;"Y"),"No realm assigned; ",""))</f>
        <v/>
      </c>
    </row>
    <row r="352">
      <c r="A352" s="12" t="n"/>
      <c r="B352" s="12" t="n"/>
      <c r="C352" s="14" t="n"/>
      <c r="D352" s="34" t="n"/>
      <c r="E352" s="12" t="n"/>
      <c r="F352" s="12" t="n"/>
      <c r="G352" s="12" t="n"/>
      <c r="H352" s="14" t="n"/>
      <c r="I352" s="14" t="n"/>
      <c r="J352" s="30">
        <f>IF(C352="","",IF(N(D352)&gt;=Setup!$B$22,"Y","N"))</f>
        <v/>
      </c>
      <c r="K352" s="25">
        <f>IF(C352="","",N(H352)+N(I352))</f>
        <v/>
      </c>
      <c r="L352" s="26">
        <f>IF(N(C352)&gt;0,MIN(1,K352/C352),"")</f>
        <v/>
      </c>
      <c r="M352" s="26">
        <f>IF(N(C352)&gt;0,MIN(1,N(H352)/C352),"")</f>
        <v/>
      </c>
      <c r="N352" s="26">
        <f>IF(L352="","",L352-M352)</f>
        <v/>
      </c>
      <c r="O352" s="30">
        <f>IF(L352="","",IF(L352&gt;=Setup!$B$23,"Complete",IF(L352&gt;0,"Partial","None")))</f>
        <v/>
      </c>
      <c r="P352" s="30">
        <f>IF(C352="","",IF(K352&gt;C352*1.01,"Covered area &gt; KBA area – check overlap; ","")&amp;IF(AND(E352&lt;&gt;"Y",F352&lt;&gt;"Y",J352&lt;&gt;"Y"),"No realm assigned; ",""))</f>
        <v/>
      </c>
    </row>
    <row r="353">
      <c r="A353" s="12" t="n"/>
      <c r="B353" s="12" t="n"/>
      <c r="C353" s="14" t="n"/>
      <c r="D353" s="34" t="n"/>
      <c r="E353" s="12" t="n"/>
      <c r="F353" s="12" t="n"/>
      <c r="G353" s="12" t="n"/>
      <c r="H353" s="14" t="n"/>
      <c r="I353" s="14" t="n"/>
      <c r="J353" s="30">
        <f>IF(C353="","",IF(N(D353)&gt;=Setup!$B$22,"Y","N"))</f>
        <v/>
      </c>
      <c r="K353" s="25">
        <f>IF(C353="","",N(H353)+N(I353))</f>
        <v/>
      </c>
      <c r="L353" s="26">
        <f>IF(N(C353)&gt;0,MIN(1,K353/C353),"")</f>
        <v/>
      </c>
      <c r="M353" s="26">
        <f>IF(N(C353)&gt;0,MIN(1,N(H353)/C353),"")</f>
        <v/>
      </c>
      <c r="N353" s="26">
        <f>IF(L353="","",L353-M353)</f>
        <v/>
      </c>
      <c r="O353" s="30">
        <f>IF(L353="","",IF(L353&gt;=Setup!$B$23,"Complete",IF(L353&gt;0,"Partial","None")))</f>
        <v/>
      </c>
      <c r="P353" s="30">
        <f>IF(C353="","",IF(K353&gt;C353*1.01,"Covered area &gt; KBA area – check overlap; ","")&amp;IF(AND(E353&lt;&gt;"Y",F353&lt;&gt;"Y",J353&lt;&gt;"Y"),"No realm assigned; ",""))</f>
        <v/>
      </c>
    </row>
    <row r="354">
      <c r="A354" s="12" t="n"/>
      <c r="B354" s="12" t="n"/>
      <c r="C354" s="14" t="n"/>
      <c r="D354" s="34" t="n"/>
      <c r="E354" s="12" t="n"/>
      <c r="F354" s="12" t="n"/>
      <c r="G354" s="12" t="n"/>
      <c r="H354" s="14" t="n"/>
      <c r="I354" s="14" t="n"/>
      <c r="J354" s="30">
        <f>IF(C354="","",IF(N(D354)&gt;=Setup!$B$22,"Y","N"))</f>
        <v/>
      </c>
      <c r="K354" s="25">
        <f>IF(C354="","",N(H354)+N(I354))</f>
        <v/>
      </c>
      <c r="L354" s="26">
        <f>IF(N(C354)&gt;0,MIN(1,K354/C354),"")</f>
        <v/>
      </c>
      <c r="M354" s="26">
        <f>IF(N(C354)&gt;0,MIN(1,N(H354)/C354),"")</f>
        <v/>
      </c>
      <c r="N354" s="26">
        <f>IF(L354="","",L354-M354)</f>
        <v/>
      </c>
      <c r="O354" s="30">
        <f>IF(L354="","",IF(L354&gt;=Setup!$B$23,"Complete",IF(L354&gt;0,"Partial","None")))</f>
        <v/>
      </c>
      <c r="P354" s="30">
        <f>IF(C354="","",IF(K354&gt;C354*1.01,"Covered area &gt; KBA area – check overlap; ","")&amp;IF(AND(E354&lt;&gt;"Y",F354&lt;&gt;"Y",J354&lt;&gt;"Y"),"No realm assigned; ",""))</f>
        <v/>
      </c>
    </row>
    <row r="355">
      <c r="A355" s="12" t="n"/>
      <c r="B355" s="12" t="n"/>
      <c r="C355" s="14" t="n"/>
      <c r="D355" s="34" t="n"/>
      <c r="E355" s="12" t="n"/>
      <c r="F355" s="12" t="n"/>
      <c r="G355" s="12" t="n"/>
      <c r="H355" s="14" t="n"/>
      <c r="I355" s="14" t="n"/>
      <c r="J355" s="30">
        <f>IF(C355="","",IF(N(D355)&gt;=Setup!$B$22,"Y","N"))</f>
        <v/>
      </c>
      <c r="K355" s="25">
        <f>IF(C355="","",N(H355)+N(I355))</f>
        <v/>
      </c>
      <c r="L355" s="26">
        <f>IF(N(C355)&gt;0,MIN(1,K355/C355),"")</f>
        <v/>
      </c>
      <c r="M355" s="26">
        <f>IF(N(C355)&gt;0,MIN(1,N(H355)/C355),"")</f>
        <v/>
      </c>
      <c r="N355" s="26">
        <f>IF(L355="","",L355-M355)</f>
        <v/>
      </c>
      <c r="O355" s="30">
        <f>IF(L355="","",IF(L355&gt;=Setup!$B$23,"Complete",IF(L355&gt;0,"Partial","None")))</f>
        <v/>
      </c>
      <c r="P355" s="30">
        <f>IF(C355="","",IF(K355&gt;C355*1.01,"Covered area &gt; KBA area – check overlap; ","")&amp;IF(AND(E355&lt;&gt;"Y",F355&lt;&gt;"Y",J355&lt;&gt;"Y"),"No realm assigned; ",""))</f>
        <v/>
      </c>
    </row>
    <row r="356">
      <c r="A356" s="12" t="n"/>
      <c r="B356" s="12" t="n"/>
      <c r="C356" s="14" t="n"/>
      <c r="D356" s="34" t="n"/>
      <c r="E356" s="12" t="n"/>
      <c r="F356" s="12" t="n"/>
      <c r="G356" s="12" t="n"/>
      <c r="H356" s="14" t="n"/>
      <c r="I356" s="14" t="n"/>
      <c r="J356" s="30">
        <f>IF(C356="","",IF(N(D356)&gt;=Setup!$B$22,"Y","N"))</f>
        <v/>
      </c>
      <c r="K356" s="25">
        <f>IF(C356="","",N(H356)+N(I356))</f>
        <v/>
      </c>
      <c r="L356" s="26">
        <f>IF(N(C356)&gt;0,MIN(1,K356/C356),"")</f>
        <v/>
      </c>
      <c r="M356" s="26">
        <f>IF(N(C356)&gt;0,MIN(1,N(H356)/C356),"")</f>
        <v/>
      </c>
      <c r="N356" s="26">
        <f>IF(L356="","",L356-M356)</f>
        <v/>
      </c>
      <c r="O356" s="30">
        <f>IF(L356="","",IF(L356&gt;=Setup!$B$23,"Complete",IF(L356&gt;0,"Partial","None")))</f>
        <v/>
      </c>
      <c r="P356" s="30">
        <f>IF(C356="","",IF(K356&gt;C356*1.01,"Covered area &gt; KBA area – check overlap; ","")&amp;IF(AND(E356&lt;&gt;"Y",F356&lt;&gt;"Y",J356&lt;&gt;"Y"),"No realm assigned; ",""))</f>
        <v/>
      </c>
    </row>
    <row r="357">
      <c r="A357" s="12" t="n"/>
      <c r="B357" s="12" t="n"/>
      <c r="C357" s="14" t="n"/>
      <c r="D357" s="34" t="n"/>
      <c r="E357" s="12" t="n"/>
      <c r="F357" s="12" t="n"/>
      <c r="G357" s="12" t="n"/>
      <c r="H357" s="14" t="n"/>
      <c r="I357" s="14" t="n"/>
      <c r="J357" s="30">
        <f>IF(C357="","",IF(N(D357)&gt;=Setup!$B$22,"Y","N"))</f>
        <v/>
      </c>
      <c r="K357" s="25">
        <f>IF(C357="","",N(H357)+N(I357))</f>
        <v/>
      </c>
      <c r="L357" s="26">
        <f>IF(N(C357)&gt;0,MIN(1,K357/C357),"")</f>
        <v/>
      </c>
      <c r="M357" s="26">
        <f>IF(N(C357)&gt;0,MIN(1,N(H357)/C357),"")</f>
        <v/>
      </c>
      <c r="N357" s="26">
        <f>IF(L357="","",L357-M357)</f>
        <v/>
      </c>
      <c r="O357" s="30">
        <f>IF(L357="","",IF(L357&gt;=Setup!$B$23,"Complete",IF(L357&gt;0,"Partial","None")))</f>
        <v/>
      </c>
      <c r="P357" s="30">
        <f>IF(C357="","",IF(K357&gt;C357*1.01,"Covered area &gt; KBA area – check overlap; ","")&amp;IF(AND(E357&lt;&gt;"Y",F357&lt;&gt;"Y",J357&lt;&gt;"Y"),"No realm assigned; ",""))</f>
        <v/>
      </c>
    </row>
    <row r="358">
      <c r="A358" s="12" t="n"/>
      <c r="B358" s="12" t="n"/>
      <c r="C358" s="14" t="n"/>
      <c r="D358" s="34" t="n"/>
      <c r="E358" s="12" t="n"/>
      <c r="F358" s="12" t="n"/>
      <c r="G358" s="12" t="n"/>
      <c r="H358" s="14" t="n"/>
      <c r="I358" s="14" t="n"/>
      <c r="J358" s="30">
        <f>IF(C358="","",IF(N(D358)&gt;=Setup!$B$22,"Y","N"))</f>
        <v/>
      </c>
      <c r="K358" s="25">
        <f>IF(C358="","",N(H358)+N(I358))</f>
        <v/>
      </c>
      <c r="L358" s="26">
        <f>IF(N(C358)&gt;0,MIN(1,K358/C358),"")</f>
        <v/>
      </c>
      <c r="M358" s="26">
        <f>IF(N(C358)&gt;0,MIN(1,N(H358)/C358),"")</f>
        <v/>
      </c>
      <c r="N358" s="26">
        <f>IF(L358="","",L358-M358)</f>
        <v/>
      </c>
      <c r="O358" s="30">
        <f>IF(L358="","",IF(L358&gt;=Setup!$B$23,"Complete",IF(L358&gt;0,"Partial","None")))</f>
        <v/>
      </c>
      <c r="P358" s="30">
        <f>IF(C358="","",IF(K358&gt;C358*1.01,"Covered area &gt; KBA area – check overlap; ","")&amp;IF(AND(E358&lt;&gt;"Y",F358&lt;&gt;"Y",J358&lt;&gt;"Y"),"No realm assigned; ",""))</f>
        <v/>
      </c>
    </row>
    <row r="359">
      <c r="A359" s="12" t="n"/>
      <c r="B359" s="12" t="n"/>
      <c r="C359" s="14" t="n"/>
      <c r="D359" s="34" t="n"/>
      <c r="E359" s="12" t="n"/>
      <c r="F359" s="12" t="n"/>
      <c r="G359" s="12" t="n"/>
      <c r="H359" s="14" t="n"/>
      <c r="I359" s="14" t="n"/>
      <c r="J359" s="30">
        <f>IF(C359="","",IF(N(D359)&gt;=Setup!$B$22,"Y","N"))</f>
        <v/>
      </c>
      <c r="K359" s="25">
        <f>IF(C359="","",N(H359)+N(I359))</f>
        <v/>
      </c>
      <c r="L359" s="26">
        <f>IF(N(C359)&gt;0,MIN(1,K359/C359),"")</f>
        <v/>
      </c>
      <c r="M359" s="26">
        <f>IF(N(C359)&gt;0,MIN(1,N(H359)/C359),"")</f>
        <v/>
      </c>
      <c r="N359" s="26">
        <f>IF(L359="","",L359-M359)</f>
        <v/>
      </c>
      <c r="O359" s="30">
        <f>IF(L359="","",IF(L359&gt;=Setup!$B$23,"Complete",IF(L359&gt;0,"Partial","None")))</f>
        <v/>
      </c>
      <c r="P359" s="30">
        <f>IF(C359="","",IF(K359&gt;C359*1.01,"Covered area &gt; KBA area – check overlap; ","")&amp;IF(AND(E359&lt;&gt;"Y",F359&lt;&gt;"Y",J359&lt;&gt;"Y"),"No realm assigned; ",""))</f>
        <v/>
      </c>
    </row>
    <row r="360">
      <c r="A360" s="12" t="n"/>
      <c r="B360" s="12" t="n"/>
      <c r="C360" s="14" t="n"/>
      <c r="D360" s="34" t="n"/>
      <c r="E360" s="12" t="n"/>
      <c r="F360" s="12" t="n"/>
      <c r="G360" s="12" t="n"/>
      <c r="H360" s="14" t="n"/>
      <c r="I360" s="14" t="n"/>
      <c r="J360" s="30">
        <f>IF(C360="","",IF(N(D360)&gt;=Setup!$B$22,"Y","N"))</f>
        <v/>
      </c>
      <c r="K360" s="25">
        <f>IF(C360="","",N(H360)+N(I360))</f>
        <v/>
      </c>
      <c r="L360" s="26">
        <f>IF(N(C360)&gt;0,MIN(1,K360/C360),"")</f>
        <v/>
      </c>
      <c r="M360" s="26">
        <f>IF(N(C360)&gt;0,MIN(1,N(H360)/C360),"")</f>
        <v/>
      </c>
      <c r="N360" s="26">
        <f>IF(L360="","",L360-M360)</f>
        <v/>
      </c>
      <c r="O360" s="30">
        <f>IF(L360="","",IF(L360&gt;=Setup!$B$23,"Complete",IF(L360&gt;0,"Partial","None")))</f>
        <v/>
      </c>
      <c r="P360" s="30">
        <f>IF(C360="","",IF(K360&gt;C360*1.01,"Covered area &gt; KBA area – check overlap; ","")&amp;IF(AND(E360&lt;&gt;"Y",F360&lt;&gt;"Y",J360&lt;&gt;"Y"),"No realm assigned; ",""))</f>
        <v/>
      </c>
    </row>
    <row r="361">
      <c r="A361" s="12" t="n"/>
      <c r="B361" s="12" t="n"/>
      <c r="C361" s="14" t="n"/>
      <c r="D361" s="34" t="n"/>
      <c r="E361" s="12" t="n"/>
      <c r="F361" s="12" t="n"/>
      <c r="G361" s="12" t="n"/>
      <c r="H361" s="14" t="n"/>
      <c r="I361" s="14" t="n"/>
      <c r="J361" s="30">
        <f>IF(C361="","",IF(N(D361)&gt;=Setup!$B$22,"Y","N"))</f>
        <v/>
      </c>
      <c r="K361" s="25">
        <f>IF(C361="","",N(H361)+N(I361))</f>
        <v/>
      </c>
      <c r="L361" s="26">
        <f>IF(N(C361)&gt;0,MIN(1,K361/C361),"")</f>
        <v/>
      </c>
      <c r="M361" s="26">
        <f>IF(N(C361)&gt;0,MIN(1,N(H361)/C361),"")</f>
        <v/>
      </c>
      <c r="N361" s="26">
        <f>IF(L361="","",L361-M361)</f>
        <v/>
      </c>
      <c r="O361" s="30">
        <f>IF(L361="","",IF(L361&gt;=Setup!$B$23,"Complete",IF(L361&gt;0,"Partial","None")))</f>
        <v/>
      </c>
      <c r="P361" s="30">
        <f>IF(C361="","",IF(K361&gt;C361*1.01,"Covered area &gt; KBA area – check overlap; ","")&amp;IF(AND(E361&lt;&gt;"Y",F361&lt;&gt;"Y",J361&lt;&gt;"Y"),"No realm assigned; ",""))</f>
        <v/>
      </c>
    </row>
    <row r="362">
      <c r="A362" s="12" t="n"/>
      <c r="B362" s="12" t="n"/>
      <c r="C362" s="14" t="n"/>
      <c r="D362" s="34" t="n"/>
      <c r="E362" s="12" t="n"/>
      <c r="F362" s="12" t="n"/>
      <c r="G362" s="12" t="n"/>
      <c r="H362" s="14" t="n"/>
      <c r="I362" s="14" t="n"/>
      <c r="J362" s="30">
        <f>IF(C362="","",IF(N(D362)&gt;=Setup!$B$22,"Y","N"))</f>
        <v/>
      </c>
      <c r="K362" s="25">
        <f>IF(C362="","",N(H362)+N(I362))</f>
        <v/>
      </c>
      <c r="L362" s="26">
        <f>IF(N(C362)&gt;0,MIN(1,K362/C362),"")</f>
        <v/>
      </c>
      <c r="M362" s="26">
        <f>IF(N(C362)&gt;0,MIN(1,N(H362)/C362),"")</f>
        <v/>
      </c>
      <c r="N362" s="26">
        <f>IF(L362="","",L362-M362)</f>
        <v/>
      </c>
      <c r="O362" s="30">
        <f>IF(L362="","",IF(L362&gt;=Setup!$B$23,"Complete",IF(L362&gt;0,"Partial","None")))</f>
        <v/>
      </c>
      <c r="P362" s="30">
        <f>IF(C362="","",IF(K362&gt;C362*1.01,"Covered area &gt; KBA area – check overlap; ","")&amp;IF(AND(E362&lt;&gt;"Y",F362&lt;&gt;"Y",J362&lt;&gt;"Y"),"No realm assigned; ",""))</f>
        <v/>
      </c>
    </row>
    <row r="363">
      <c r="A363" s="12" t="n"/>
      <c r="B363" s="12" t="n"/>
      <c r="C363" s="14" t="n"/>
      <c r="D363" s="34" t="n"/>
      <c r="E363" s="12" t="n"/>
      <c r="F363" s="12" t="n"/>
      <c r="G363" s="12" t="n"/>
      <c r="H363" s="14" t="n"/>
      <c r="I363" s="14" t="n"/>
      <c r="J363" s="30">
        <f>IF(C363="","",IF(N(D363)&gt;=Setup!$B$22,"Y","N"))</f>
        <v/>
      </c>
      <c r="K363" s="25">
        <f>IF(C363="","",N(H363)+N(I363))</f>
        <v/>
      </c>
      <c r="L363" s="26">
        <f>IF(N(C363)&gt;0,MIN(1,K363/C363),"")</f>
        <v/>
      </c>
      <c r="M363" s="26">
        <f>IF(N(C363)&gt;0,MIN(1,N(H363)/C363),"")</f>
        <v/>
      </c>
      <c r="N363" s="26">
        <f>IF(L363="","",L363-M363)</f>
        <v/>
      </c>
      <c r="O363" s="30">
        <f>IF(L363="","",IF(L363&gt;=Setup!$B$23,"Complete",IF(L363&gt;0,"Partial","None")))</f>
        <v/>
      </c>
      <c r="P363" s="30">
        <f>IF(C363="","",IF(K363&gt;C363*1.01,"Covered area &gt; KBA area – check overlap; ","")&amp;IF(AND(E363&lt;&gt;"Y",F363&lt;&gt;"Y",J363&lt;&gt;"Y"),"No realm assigned; ",""))</f>
        <v/>
      </c>
    </row>
    <row r="364">
      <c r="A364" s="12" t="n"/>
      <c r="B364" s="12" t="n"/>
      <c r="C364" s="14" t="n"/>
      <c r="D364" s="34" t="n"/>
      <c r="E364" s="12" t="n"/>
      <c r="F364" s="12" t="n"/>
      <c r="G364" s="12" t="n"/>
      <c r="H364" s="14" t="n"/>
      <c r="I364" s="14" t="n"/>
      <c r="J364" s="30">
        <f>IF(C364="","",IF(N(D364)&gt;=Setup!$B$22,"Y","N"))</f>
        <v/>
      </c>
      <c r="K364" s="25">
        <f>IF(C364="","",N(H364)+N(I364))</f>
        <v/>
      </c>
      <c r="L364" s="26">
        <f>IF(N(C364)&gt;0,MIN(1,K364/C364),"")</f>
        <v/>
      </c>
      <c r="M364" s="26">
        <f>IF(N(C364)&gt;0,MIN(1,N(H364)/C364),"")</f>
        <v/>
      </c>
      <c r="N364" s="26">
        <f>IF(L364="","",L364-M364)</f>
        <v/>
      </c>
      <c r="O364" s="30">
        <f>IF(L364="","",IF(L364&gt;=Setup!$B$23,"Complete",IF(L364&gt;0,"Partial","None")))</f>
        <v/>
      </c>
      <c r="P364" s="30">
        <f>IF(C364="","",IF(K364&gt;C364*1.01,"Covered area &gt; KBA area – check overlap; ","")&amp;IF(AND(E364&lt;&gt;"Y",F364&lt;&gt;"Y",J364&lt;&gt;"Y"),"No realm assigned; ",""))</f>
        <v/>
      </c>
    </row>
    <row r="365">
      <c r="A365" s="12" t="n"/>
      <c r="B365" s="12" t="n"/>
      <c r="C365" s="14" t="n"/>
      <c r="D365" s="34" t="n"/>
      <c r="E365" s="12" t="n"/>
      <c r="F365" s="12" t="n"/>
      <c r="G365" s="12" t="n"/>
      <c r="H365" s="14" t="n"/>
      <c r="I365" s="14" t="n"/>
      <c r="J365" s="30">
        <f>IF(C365="","",IF(N(D365)&gt;=Setup!$B$22,"Y","N"))</f>
        <v/>
      </c>
      <c r="K365" s="25">
        <f>IF(C365="","",N(H365)+N(I365))</f>
        <v/>
      </c>
      <c r="L365" s="26">
        <f>IF(N(C365)&gt;0,MIN(1,K365/C365),"")</f>
        <v/>
      </c>
      <c r="M365" s="26">
        <f>IF(N(C365)&gt;0,MIN(1,N(H365)/C365),"")</f>
        <v/>
      </c>
      <c r="N365" s="26">
        <f>IF(L365="","",L365-M365)</f>
        <v/>
      </c>
      <c r="O365" s="30">
        <f>IF(L365="","",IF(L365&gt;=Setup!$B$23,"Complete",IF(L365&gt;0,"Partial","None")))</f>
        <v/>
      </c>
      <c r="P365" s="30">
        <f>IF(C365="","",IF(K365&gt;C365*1.01,"Covered area &gt; KBA area – check overlap; ","")&amp;IF(AND(E365&lt;&gt;"Y",F365&lt;&gt;"Y",J365&lt;&gt;"Y"),"No realm assigned; ",""))</f>
        <v/>
      </c>
    </row>
    <row r="366">
      <c r="A366" s="12" t="n"/>
      <c r="B366" s="12" t="n"/>
      <c r="C366" s="14" t="n"/>
      <c r="D366" s="34" t="n"/>
      <c r="E366" s="12" t="n"/>
      <c r="F366" s="12" t="n"/>
      <c r="G366" s="12" t="n"/>
      <c r="H366" s="14" t="n"/>
      <c r="I366" s="14" t="n"/>
      <c r="J366" s="30">
        <f>IF(C366="","",IF(N(D366)&gt;=Setup!$B$22,"Y","N"))</f>
        <v/>
      </c>
      <c r="K366" s="25">
        <f>IF(C366="","",N(H366)+N(I366))</f>
        <v/>
      </c>
      <c r="L366" s="26">
        <f>IF(N(C366)&gt;0,MIN(1,K366/C366),"")</f>
        <v/>
      </c>
      <c r="M366" s="26">
        <f>IF(N(C366)&gt;0,MIN(1,N(H366)/C366),"")</f>
        <v/>
      </c>
      <c r="N366" s="26">
        <f>IF(L366="","",L366-M366)</f>
        <v/>
      </c>
      <c r="O366" s="30">
        <f>IF(L366="","",IF(L366&gt;=Setup!$B$23,"Complete",IF(L366&gt;0,"Partial","None")))</f>
        <v/>
      </c>
      <c r="P366" s="30">
        <f>IF(C366="","",IF(K366&gt;C366*1.01,"Covered area &gt; KBA area – check overlap; ","")&amp;IF(AND(E366&lt;&gt;"Y",F366&lt;&gt;"Y",J366&lt;&gt;"Y"),"No realm assigned; ",""))</f>
        <v/>
      </c>
    </row>
    <row r="367">
      <c r="A367" s="12" t="n"/>
      <c r="B367" s="12" t="n"/>
      <c r="C367" s="14" t="n"/>
      <c r="D367" s="34" t="n"/>
      <c r="E367" s="12" t="n"/>
      <c r="F367" s="12" t="n"/>
      <c r="G367" s="12" t="n"/>
      <c r="H367" s="14" t="n"/>
      <c r="I367" s="14" t="n"/>
      <c r="J367" s="30">
        <f>IF(C367="","",IF(N(D367)&gt;=Setup!$B$22,"Y","N"))</f>
        <v/>
      </c>
      <c r="K367" s="25">
        <f>IF(C367="","",N(H367)+N(I367))</f>
        <v/>
      </c>
      <c r="L367" s="26">
        <f>IF(N(C367)&gt;0,MIN(1,K367/C367),"")</f>
        <v/>
      </c>
      <c r="M367" s="26">
        <f>IF(N(C367)&gt;0,MIN(1,N(H367)/C367),"")</f>
        <v/>
      </c>
      <c r="N367" s="26">
        <f>IF(L367="","",L367-M367)</f>
        <v/>
      </c>
      <c r="O367" s="30">
        <f>IF(L367="","",IF(L367&gt;=Setup!$B$23,"Complete",IF(L367&gt;0,"Partial","None")))</f>
        <v/>
      </c>
      <c r="P367" s="30">
        <f>IF(C367="","",IF(K367&gt;C367*1.01,"Covered area &gt; KBA area – check overlap; ","")&amp;IF(AND(E367&lt;&gt;"Y",F367&lt;&gt;"Y",J367&lt;&gt;"Y"),"No realm assigned; ",""))</f>
        <v/>
      </c>
    </row>
    <row r="368">
      <c r="A368" s="12" t="n"/>
      <c r="B368" s="12" t="n"/>
      <c r="C368" s="14" t="n"/>
      <c r="D368" s="34" t="n"/>
      <c r="E368" s="12" t="n"/>
      <c r="F368" s="12" t="n"/>
      <c r="G368" s="12" t="n"/>
      <c r="H368" s="14" t="n"/>
      <c r="I368" s="14" t="n"/>
      <c r="J368" s="30">
        <f>IF(C368="","",IF(N(D368)&gt;=Setup!$B$22,"Y","N"))</f>
        <v/>
      </c>
      <c r="K368" s="25">
        <f>IF(C368="","",N(H368)+N(I368))</f>
        <v/>
      </c>
      <c r="L368" s="26">
        <f>IF(N(C368)&gt;0,MIN(1,K368/C368),"")</f>
        <v/>
      </c>
      <c r="M368" s="26">
        <f>IF(N(C368)&gt;0,MIN(1,N(H368)/C368),"")</f>
        <v/>
      </c>
      <c r="N368" s="26">
        <f>IF(L368="","",L368-M368)</f>
        <v/>
      </c>
      <c r="O368" s="30">
        <f>IF(L368="","",IF(L368&gt;=Setup!$B$23,"Complete",IF(L368&gt;0,"Partial","None")))</f>
        <v/>
      </c>
      <c r="P368" s="30">
        <f>IF(C368="","",IF(K368&gt;C368*1.01,"Covered area &gt; KBA area – check overlap; ","")&amp;IF(AND(E368&lt;&gt;"Y",F368&lt;&gt;"Y",J368&lt;&gt;"Y"),"No realm assigned; ",""))</f>
        <v/>
      </c>
    </row>
    <row r="369">
      <c r="A369" s="12" t="n"/>
      <c r="B369" s="12" t="n"/>
      <c r="C369" s="14" t="n"/>
      <c r="D369" s="34" t="n"/>
      <c r="E369" s="12" t="n"/>
      <c r="F369" s="12" t="n"/>
      <c r="G369" s="12" t="n"/>
      <c r="H369" s="14" t="n"/>
      <c r="I369" s="14" t="n"/>
      <c r="J369" s="30">
        <f>IF(C369="","",IF(N(D369)&gt;=Setup!$B$22,"Y","N"))</f>
        <v/>
      </c>
      <c r="K369" s="25">
        <f>IF(C369="","",N(H369)+N(I369))</f>
        <v/>
      </c>
      <c r="L369" s="26">
        <f>IF(N(C369)&gt;0,MIN(1,K369/C369),"")</f>
        <v/>
      </c>
      <c r="M369" s="26">
        <f>IF(N(C369)&gt;0,MIN(1,N(H369)/C369),"")</f>
        <v/>
      </c>
      <c r="N369" s="26">
        <f>IF(L369="","",L369-M369)</f>
        <v/>
      </c>
      <c r="O369" s="30">
        <f>IF(L369="","",IF(L369&gt;=Setup!$B$23,"Complete",IF(L369&gt;0,"Partial","None")))</f>
        <v/>
      </c>
      <c r="P369" s="30">
        <f>IF(C369="","",IF(K369&gt;C369*1.01,"Covered area &gt; KBA area – check overlap; ","")&amp;IF(AND(E369&lt;&gt;"Y",F369&lt;&gt;"Y",J369&lt;&gt;"Y"),"No realm assigned; ",""))</f>
        <v/>
      </c>
    </row>
    <row r="370">
      <c r="A370" s="12" t="n"/>
      <c r="B370" s="12" t="n"/>
      <c r="C370" s="14" t="n"/>
      <c r="D370" s="34" t="n"/>
      <c r="E370" s="12" t="n"/>
      <c r="F370" s="12" t="n"/>
      <c r="G370" s="12" t="n"/>
      <c r="H370" s="14" t="n"/>
      <c r="I370" s="14" t="n"/>
      <c r="J370" s="30">
        <f>IF(C370="","",IF(N(D370)&gt;=Setup!$B$22,"Y","N"))</f>
        <v/>
      </c>
      <c r="K370" s="25">
        <f>IF(C370="","",N(H370)+N(I370))</f>
        <v/>
      </c>
      <c r="L370" s="26">
        <f>IF(N(C370)&gt;0,MIN(1,K370/C370),"")</f>
        <v/>
      </c>
      <c r="M370" s="26">
        <f>IF(N(C370)&gt;0,MIN(1,N(H370)/C370),"")</f>
        <v/>
      </c>
      <c r="N370" s="26">
        <f>IF(L370="","",L370-M370)</f>
        <v/>
      </c>
      <c r="O370" s="30">
        <f>IF(L370="","",IF(L370&gt;=Setup!$B$23,"Complete",IF(L370&gt;0,"Partial","None")))</f>
        <v/>
      </c>
      <c r="P370" s="30">
        <f>IF(C370="","",IF(K370&gt;C370*1.01,"Covered area &gt; KBA area – check overlap; ","")&amp;IF(AND(E370&lt;&gt;"Y",F370&lt;&gt;"Y",J370&lt;&gt;"Y"),"No realm assigned; ",""))</f>
        <v/>
      </c>
    </row>
    <row r="371">
      <c r="A371" s="12" t="n"/>
      <c r="B371" s="12" t="n"/>
      <c r="C371" s="14" t="n"/>
      <c r="D371" s="34" t="n"/>
      <c r="E371" s="12" t="n"/>
      <c r="F371" s="12" t="n"/>
      <c r="G371" s="12" t="n"/>
      <c r="H371" s="14" t="n"/>
      <c r="I371" s="14" t="n"/>
      <c r="J371" s="30">
        <f>IF(C371="","",IF(N(D371)&gt;=Setup!$B$22,"Y","N"))</f>
        <v/>
      </c>
      <c r="K371" s="25">
        <f>IF(C371="","",N(H371)+N(I371))</f>
        <v/>
      </c>
      <c r="L371" s="26">
        <f>IF(N(C371)&gt;0,MIN(1,K371/C371),"")</f>
        <v/>
      </c>
      <c r="M371" s="26">
        <f>IF(N(C371)&gt;0,MIN(1,N(H371)/C371),"")</f>
        <v/>
      </c>
      <c r="N371" s="26">
        <f>IF(L371="","",L371-M371)</f>
        <v/>
      </c>
      <c r="O371" s="30">
        <f>IF(L371="","",IF(L371&gt;=Setup!$B$23,"Complete",IF(L371&gt;0,"Partial","None")))</f>
        <v/>
      </c>
      <c r="P371" s="30">
        <f>IF(C371="","",IF(K371&gt;C371*1.01,"Covered area &gt; KBA area – check overlap; ","")&amp;IF(AND(E371&lt;&gt;"Y",F371&lt;&gt;"Y",J371&lt;&gt;"Y"),"No realm assigned; ",""))</f>
        <v/>
      </c>
    </row>
    <row r="372">
      <c r="A372" s="12" t="n"/>
      <c r="B372" s="12" t="n"/>
      <c r="C372" s="14" t="n"/>
      <c r="D372" s="34" t="n"/>
      <c r="E372" s="12" t="n"/>
      <c r="F372" s="12" t="n"/>
      <c r="G372" s="12" t="n"/>
      <c r="H372" s="14" t="n"/>
      <c r="I372" s="14" t="n"/>
      <c r="J372" s="30">
        <f>IF(C372="","",IF(N(D372)&gt;=Setup!$B$22,"Y","N"))</f>
        <v/>
      </c>
      <c r="K372" s="25">
        <f>IF(C372="","",N(H372)+N(I372))</f>
        <v/>
      </c>
      <c r="L372" s="26">
        <f>IF(N(C372)&gt;0,MIN(1,K372/C372),"")</f>
        <v/>
      </c>
      <c r="M372" s="26">
        <f>IF(N(C372)&gt;0,MIN(1,N(H372)/C372),"")</f>
        <v/>
      </c>
      <c r="N372" s="26">
        <f>IF(L372="","",L372-M372)</f>
        <v/>
      </c>
      <c r="O372" s="30">
        <f>IF(L372="","",IF(L372&gt;=Setup!$B$23,"Complete",IF(L372&gt;0,"Partial","None")))</f>
        <v/>
      </c>
      <c r="P372" s="30">
        <f>IF(C372="","",IF(K372&gt;C372*1.01,"Covered area &gt; KBA area – check overlap; ","")&amp;IF(AND(E372&lt;&gt;"Y",F372&lt;&gt;"Y",J372&lt;&gt;"Y"),"No realm assigned; ",""))</f>
        <v/>
      </c>
    </row>
    <row r="373">
      <c r="A373" s="12" t="n"/>
      <c r="B373" s="12" t="n"/>
      <c r="C373" s="14" t="n"/>
      <c r="D373" s="34" t="n"/>
      <c r="E373" s="12" t="n"/>
      <c r="F373" s="12" t="n"/>
      <c r="G373" s="12" t="n"/>
      <c r="H373" s="14" t="n"/>
      <c r="I373" s="14" t="n"/>
      <c r="J373" s="30">
        <f>IF(C373="","",IF(N(D373)&gt;=Setup!$B$22,"Y","N"))</f>
        <v/>
      </c>
      <c r="K373" s="25">
        <f>IF(C373="","",N(H373)+N(I373))</f>
        <v/>
      </c>
      <c r="L373" s="26">
        <f>IF(N(C373)&gt;0,MIN(1,K373/C373),"")</f>
        <v/>
      </c>
      <c r="M373" s="26">
        <f>IF(N(C373)&gt;0,MIN(1,N(H373)/C373),"")</f>
        <v/>
      </c>
      <c r="N373" s="26">
        <f>IF(L373="","",L373-M373)</f>
        <v/>
      </c>
      <c r="O373" s="30">
        <f>IF(L373="","",IF(L373&gt;=Setup!$B$23,"Complete",IF(L373&gt;0,"Partial","None")))</f>
        <v/>
      </c>
      <c r="P373" s="30">
        <f>IF(C373="","",IF(K373&gt;C373*1.01,"Covered area &gt; KBA area – check overlap; ","")&amp;IF(AND(E373&lt;&gt;"Y",F373&lt;&gt;"Y",J373&lt;&gt;"Y"),"No realm assigned; ",""))</f>
        <v/>
      </c>
    </row>
    <row r="374">
      <c r="A374" s="12" t="n"/>
      <c r="B374" s="12" t="n"/>
      <c r="C374" s="14" t="n"/>
      <c r="D374" s="34" t="n"/>
      <c r="E374" s="12" t="n"/>
      <c r="F374" s="12" t="n"/>
      <c r="G374" s="12" t="n"/>
      <c r="H374" s="14" t="n"/>
      <c r="I374" s="14" t="n"/>
      <c r="J374" s="30">
        <f>IF(C374="","",IF(N(D374)&gt;=Setup!$B$22,"Y","N"))</f>
        <v/>
      </c>
      <c r="K374" s="25">
        <f>IF(C374="","",N(H374)+N(I374))</f>
        <v/>
      </c>
      <c r="L374" s="26">
        <f>IF(N(C374)&gt;0,MIN(1,K374/C374),"")</f>
        <v/>
      </c>
      <c r="M374" s="26">
        <f>IF(N(C374)&gt;0,MIN(1,N(H374)/C374),"")</f>
        <v/>
      </c>
      <c r="N374" s="26">
        <f>IF(L374="","",L374-M374)</f>
        <v/>
      </c>
      <c r="O374" s="30">
        <f>IF(L374="","",IF(L374&gt;=Setup!$B$23,"Complete",IF(L374&gt;0,"Partial","None")))</f>
        <v/>
      </c>
      <c r="P374" s="30">
        <f>IF(C374="","",IF(K374&gt;C374*1.01,"Covered area &gt; KBA area – check overlap; ","")&amp;IF(AND(E374&lt;&gt;"Y",F374&lt;&gt;"Y",J374&lt;&gt;"Y"),"No realm assigned; ",""))</f>
        <v/>
      </c>
    </row>
    <row r="375">
      <c r="A375" s="12" t="n"/>
      <c r="B375" s="12" t="n"/>
      <c r="C375" s="14" t="n"/>
      <c r="D375" s="34" t="n"/>
      <c r="E375" s="12" t="n"/>
      <c r="F375" s="12" t="n"/>
      <c r="G375" s="12" t="n"/>
      <c r="H375" s="14" t="n"/>
      <c r="I375" s="14" t="n"/>
      <c r="J375" s="30">
        <f>IF(C375="","",IF(N(D375)&gt;=Setup!$B$22,"Y","N"))</f>
        <v/>
      </c>
      <c r="K375" s="25">
        <f>IF(C375="","",N(H375)+N(I375))</f>
        <v/>
      </c>
      <c r="L375" s="26">
        <f>IF(N(C375)&gt;0,MIN(1,K375/C375),"")</f>
        <v/>
      </c>
      <c r="M375" s="26">
        <f>IF(N(C375)&gt;0,MIN(1,N(H375)/C375),"")</f>
        <v/>
      </c>
      <c r="N375" s="26">
        <f>IF(L375="","",L375-M375)</f>
        <v/>
      </c>
      <c r="O375" s="30">
        <f>IF(L375="","",IF(L375&gt;=Setup!$B$23,"Complete",IF(L375&gt;0,"Partial","None")))</f>
        <v/>
      </c>
      <c r="P375" s="30">
        <f>IF(C375="","",IF(K375&gt;C375*1.01,"Covered area &gt; KBA area – check overlap; ","")&amp;IF(AND(E375&lt;&gt;"Y",F375&lt;&gt;"Y",J375&lt;&gt;"Y"),"No realm assigned; ",""))</f>
        <v/>
      </c>
    </row>
    <row r="376">
      <c r="A376" s="12" t="n"/>
      <c r="B376" s="12" t="n"/>
      <c r="C376" s="14" t="n"/>
      <c r="D376" s="34" t="n"/>
      <c r="E376" s="12" t="n"/>
      <c r="F376" s="12" t="n"/>
      <c r="G376" s="12" t="n"/>
      <c r="H376" s="14" t="n"/>
      <c r="I376" s="14" t="n"/>
      <c r="J376" s="30">
        <f>IF(C376="","",IF(N(D376)&gt;=Setup!$B$22,"Y","N"))</f>
        <v/>
      </c>
      <c r="K376" s="25">
        <f>IF(C376="","",N(H376)+N(I376))</f>
        <v/>
      </c>
      <c r="L376" s="26">
        <f>IF(N(C376)&gt;0,MIN(1,K376/C376),"")</f>
        <v/>
      </c>
      <c r="M376" s="26">
        <f>IF(N(C376)&gt;0,MIN(1,N(H376)/C376),"")</f>
        <v/>
      </c>
      <c r="N376" s="26">
        <f>IF(L376="","",L376-M376)</f>
        <v/>
      </c>
      <c r="O376" s="30">
        <f>IF(L376="","",IF(L376&gt;=Setup!$B$23,"Complete",IF(L376&gt;0,"Partial","None")))</f>
        <v/>
      </c>
      <c r="P376" s="30">
        <f>IF(C376="","",IF(K376&gt;C376*1.01,"Covered area &gt; KBA area – check overlap; ","")&amp;IF(AND(E376&lt;&gt;"Y",F376&lt;&gt;"Y",J376&lt;&gt;"Y"),"No realm assigned; ",""))</f>
        <v/>
      </c>
    </row>
    <row r="377">
      <c r="A377" s="12" t="n"/>
      <c r="B377" s="12" t="n"/>
      <c r="C377" s="14" t="n"/>
      <c r="D377" s="34" t="n"/>
      <c r="E377" s="12" t="n"/>
      <c r="F377" s="12" t="n"/>
      <c r="G377" s="12" t="n"/>
      <c r="H377" s="14" t="n"/>
      <c r="I377" s="14" t="n"/>
      <c r="J377" s="30">
        <f>IF(C377="","",IF(N(D377)&gt;=Setup!$B$22,"Y","N"))</f>
        <v/>
      </c>
      <c r="K377" s="25">
        <f>IF(C377="","",N(H377)+N(I377))</f>
        <v/>
      </c>
      <c r="L377" s="26">
        <f>IF(N(C377)&gt;0,MIN(1,K377/C377),"")</f>
        <v/>
      </c>
      <c r="M377" s="26">
        <f>IF(N(C377)&gt;0,MIN(1,N(H377)/C377),"")</f>
        <v/>
      </c>
      <c r="N377" s="26">
        <f>IF(L377="","",L377-M377)</f>
        <v/>
      </c>
      <c r="O377" s="30">
        <f>IF(L377="","",IF(L377&gt;=Setup!$B$23,"Complete",IF(L377&gt;0,"Partial","None")))</f>
        <v/>
      </c>
      <c r="P377" s="30">
        <f>IF(C377="","",IF(K377&gt;C377*1.01,"Covered area &gt; KBA area – check overlap; ","")&amp;IF(AND(E377&lt;&gt;"Y",F377&lt;&gt;"Y",J377&lt;&gt;"Y"),"No realm assigned; ",""))</f>
        <v/>
      </c>
    </row>
    <row r="378">
      <c r="A378" s="12" t="n"/>
      <c r="B378" s="12" t="n"/>
      <c r="C378" s="14" t="n"/>
      <c r="D378" s="34" t="n"/>
      <c r="E378" s="12" t="n"/>
      <c r="F378" s="12" t="n"/>
      <c r="G378" s="12" t="n"/>
      <c r="H378" s="14" t="n"/>
      <c r="I378" s="14" t="n"/>
      <c r="J378" s="30">
        <f>IF(C378="","",IF(N(D378)&gt;=Setup!$B$22,"Y","N"))</f>
        <v/>
      </c>
      <c r="K378" s="25">
        <f>IF(C378="","",N(H378)+N(I378))</f>
        <v/>
      </c>
      <c r="L378" s="26">
        <f>IF(N(C378)&gt;0,MIN(1,K378/C378),"")</f>
        <v/>
      </c>
      <c r="M378" s="26">
        <f>IF(N(C378)&gt;0,MIN(1,N(H378)/C378),"")</f>
        <v/>
      </c>
      <c r="N378" s="26">
        <f>IF(L378="","",L378-M378)</f>
        <v/>
      </c>
      <c r="O378" s="30">
        <f>IF(L378="","",IF(L378&gt;=Setup!$B$23,"Complete",IF(L378&gt;0,"Partial","None")))</f>
        <v/>
      </c>
      <c r="P378" s="30">
        <f>IF(C378="","",IF(K378&gt;C378*1.01,"Covered area &gt; KBA area – check overlap; ","")&amp;IF(AND(E378&lt;&gt;"Y",F378&lt;&gt;"Y",J378&lt;&gt;"Y"),"No realm assigned; ",""))</f>
        <v/>
      </c>
    </row>
    <row r="379">
      <c r="A379" s="12" t="n"/>
      <c r="B379" s="12" t="n"/>
      <c r="C379" s="14" t="n"/>
      <c r="D379" s="34" t="n"/>
      <c r="E379" s="12" t="n"/>
      <c r="F379" s="12" t="n"/>
      <c r="G379" s="12" t="n"/>
      <c r="H379" s="14" t="n"/>
      <c r="I379" s="14" t="n"/>
      <c r="J379" s="30">
        <f>IF(C379="","",IF(N(D379)&gt;=Setup!$B$22,"Y","N"))</f>
        <v/>
      </c>
      <c r="K379" s="25">
        <f>IF(C379="","",N(H379)+N(I379))</f>
        <v/>
      </c>
      <c r="L379" s="26">
        <f>IF(N(C379)&gt;0,MIN(1,K379/C379),"")</f>
        <v/>
      </c>
      <c r="M379" s="26">
        <f>IF(N(C379)&gt;0,MIN(1,N(H379)/C379),"")</f>
        <v/>
      </c>
      <c r="N379" s="26">
        <f>IF(L379="","",L379-M379)</f>
        <v/>
      </c>
      <c r="O379" s="30">
        <f>IF(L379="","",IF(L379&gt;=Setup!$B$23,"Complete",IF(L379&gt;0,"Partial","None")))</f>
        <v/>
      </c>
      <c r="P379" s="30">
        <f>IF(C379="","",IF(K379&gt;C379*1.01,"Covered area &gt; KBA area – check overlap; ","")&amp;IF(AND(E379&lt;&gt;"Y",F379&lt;&gt;"Y",J379&lt;&gt;"Y"),"No realm assigned; ",""))</f>
        <v/>
      </c>
    </row>
    <row r="380">
      <c r="A380" s="12" t="n"/>
      <c r="B380" s="12" t="n"/>
      <c r="C380" s="14" t="n"/>
      <c r="D380" s="34" t="n"/>
      <c r="E380" s="12" t="n"/>
      <c r="F380" s="12" t="n"/>
      <c r="G380" s="12" t="n"/>
      <c r="H380" s="14" t="n"/>
      <c r="I380" s="14" t="n"/>
      <c r="J380" s="30">
        <f>IF(C380="","",IF(N(D380)&gt;=Setup!$B$22,"Y","N"))</f>
        <v/>
      </c>
      <c r="K380" s="25">
        <f>IF(C380="","",N(H380)+N(I380))</f>
        <v/>
      </c>
      <c r="L380" s="26">
        <f>IF(N(C380)&gt;0,MIN(1,K380/C380),"")</f>
        <v/>
      </c>
      <c r="M380" s="26">
        <f>IF(N(C380)&gt;0,MIN(1,N(H380)/C380),"")</f>
        <v/>
      </c>
      <c r="N380" s="26">
        <f>IF(L380="","",L380-M380)</f>
        <v/>
      </c>
      <c r="O380" s="30">
        <f>IF(L380="","",IF(L380&gt;=Setup!$B$23,"Complete",IF(L380&gt;0,"Partial","None")))</f>
        <v/>
      </c>
      <c r="P380" s="30">
        <f>IF(C380="","",IF(K380&gt;C380*1.01,"Covered area &gt; KBA area – check overlap; ","")&amp;IF(AND(E380&lt;&gt;"Y",F380&lt;&gt;"Y",J380&lt;&gt;"Y"),"No realm assigned; ",""))</f>
        <v/>
      </c>
    </row>
    <row r="381">
      <c r="A381" s="12" t="n"/>
      <c r="B381" s="12" t="n"/>
      <c r="C381" s="14" t="n"/>
      <c r="D381" s="34" t="n"/>
      <c r="E381" s="12" t="n"/>
      <c r="F381" s="12" t="n"/>
      <c r="G381" s="12" t="n"/>
      <c r="H381" s="14" t="n"/>
      <c r="I381" s="14" t="n"/>
      <c r="J381" s="30">
        <f>IF(C381="","",IF(N(D381)&gt;=Setup!$B$22,"Y","N"))</f>
        <v/>
      </c>
      <c r="K381" s="25">
        <f>IF(C381="","",N(H381)+N(I381))</f>
        <v/>
      </c>
      <c r="L381" s="26">
        <f>IF(N(C381)&gt;0,MIN(1,K381/C381),"")</f>
        <v/>
      </c>
      <c r="M381" s="26">
        <f>IF(N(C381)&gt;0,MIN(1,N(H381)/C381),"")</f>
        <v/>
      </c>
      <c r="N381" s="26">
        <f>IF(L381="","",L381-M381)</f>
        <v/>
      </c>
      <c r="O381" s="30">
        <f>IF(L381="","",IF(L381&gt;=Setup!$B$23,"Complete",IF(L381&gt;0,"Partial","None")))</f>
        <v/>
      </c>
      <c r="P381" s="30">
        <f>IF(C381="","",IF(K381&gt;C381*1.01,"Covered area &gt; KBA area – check overlap; ","")&amp;IF(AND(E381&lt;&gt;"Y",F381&lt;&gt;"Y",J381&lt;&gt;"Y"),"No realm assigned; ",""))</f>
        <v/>
      </c>
    </row>
    <row r="382">
      <c r="A382" s="12" t="n"/>
      <c r="B382" s="12" t="n"/>
      <c r="C382" s="14" t="n"/>
      <c r="D382" s="34" t="n"/>
      <c r="E382" s="12" t="n"/>
      <c r="F382" s="12" t="n"/>
      <c r="G382" s="12" t="n"/>
      <c r="H382" s="14" t="n"/>
      <c r="I382" s="14" t="n"/>
      <c r="J382" s="30">
        <f>IF(C382="","",IF(N(D382)&gt;=Setup!$B$22,"Y","N"))</f>
        <v/>
      </c>
      <c r="K382" s="25">
        <f>IF(C382="","",N(H382)+N(I382))</f>
        <v/>
      </c>
      <c r="L382" s="26">
        <f>IF(N(C382)&gt;0,MIN(1,K382/C382),"")</f>
        <v/>
      </c>
      <c r="M382" s="26">
        <f>IF(N(C382)&gt;0,MIN(1,N(H382)/C382),"")</f>
        <v/>
      </c>
      <c r="N382" s="26">
        <f>IF(L382="","",L382-M382)</f>
        <v/>
      </c>
      <c r="O382" s="30">
        <f>IF(L382="","",IF(L382&gt;=Setup!$B$23,"Complete",IF(L382&gt;0,"Partial","None")))</f>
        <v/>
      </c>
      <c r="P382" s="30">
        <f>IF(C382="","",IF(K382&gt;C382*1.01,"Covered area &gt; KBA area – check overlap; ","")&amp;IF(AND(E382&lt;&gt;"Y",F382&lt;&gt;"Y",J382&lt;&gt;"Y"),"No realm assigned; ",""))</f>
        <v/>
      </c>
    </row>
    <row r="383">
      <c r="A383" s="12" t="n"/>
      <c r="B383" s="12" t="n"/>
      <c r="C383" s="14" t="n"/>
      <c r="D383" s="34" t="n"/>
      <c r="E383" s="12" t="n"/>
      <c r="F383" s="12" t="n"/>
      <c r="G383" s="12" t="n"/>
      <c r="H383" s="14" t="n"/>
      <c r="I383" s="14" t="n"/>
      <c r="J383" s="30">
        <f>IF(C383="","",IF(N(D383)&gt;=Setup!$B$22,"Y","N"))</f>
        <v/>
      </c>
      <c r="K383" s="25">
        <f>IF(C383="","",N(H383)+N(I383))</f>
        <v/>
      </c>
      <c r="L383" s="26">
        <f>IF(N(C383)&gt;0,MIN(1,K383/C383),"")</f>
        <v/>
      </c>
      <c r="M383" s="26">
        <f>IF(N(C383)&gt;0,MIN(1,N(H383)/C383),"")</f>
        <v/>
      </c>
      <c r="N383" s="26">
        <f>IF(L383="","",L383-M383)</f>
        <v/>
      </c>
      <c r="O383" s="30">
        <f>IF(L383="","",IF(L383&gt;=Setup!$B$23,"Complete",IF(L383&gt;0,"Partial","None")))</f>
        <v/>
      </c>
      <c r="P383" s="30">
        <f>IF(C383="","",IF(K383&gt;C383*1.01,"Covered area &gt; KBA area – check overlap; ","")&amp;IF(AND(E383&lt;&gt;"Y",F383&lt;&gt;"Y",J383&lt;&gt;"Y"),"No realm assigned; ",""))</f>
        <v/>
      </c>
    </row>
    <row r="384">
      <c r="A384" s="12" t="n"/>
      <c r="B384" s="12" t="n"/>
      <c r="C384" s="14" t="n"/>
      <c r="D384" s="34" t="n"/>
      <c r="E384" s="12" t="n"/>
      <c r="F384" s="12" t="n"/>
      <c r="G384" s="12" t="n"/>
      <c r="H384" s="14" t="n"/>
      <c r="I384" s="14" t="n"/>
      <c r="J384" s="30">
        <f>IF(C384="","",IF(N(D384)&gt;=Setup!$B$22,"Y","N"))</f>
        <v/>
      </c>
      <c r="K384" s="25">
        <f>IF(C384="","",N(H384)+N(I384))</f>
        <v/>
      </c>
      <c r="L384" s="26">
        <f>IF(N(C384)&gt;0,MIN(1,K384/C384),"")</f>
        <v/>
      </c>
      <c r="M384" s="26">
        <f>IF(N(C384)&gt;0,MIN(1,N(H384)/C384),"")</f>
        <v/>
      </c>
      <c r="N384" s="26">
        <f>IF(L384="","",L384-M384)</f>
        <v/>
      </c>
      <c r="O384" s="30">
        <f>IF(L384="","",IF(L384&gt;=Setup!$B$23,"Complete",IF(L384&gt;0,"Partial","None")))</f>
        <v/>
      </c>
      <c r="P384" s="30">
        <f>IF(C384="","",IF(K384&gt;C384*1.01,"Covered area &gt; KBA area – check overlap; ","")&amp;IF(AND(E384&lt;&gt;"Y",F384&lt;&gt;"Y",J384&lt;&gt;"Y"),"No realm assigned; ",""))</f>
        <v/>
      </c>
    </row>
    <row r="385">
      <c r="A385" s="12" t="n"/>
      <c r="B385" s="12" t="n"/>
      <c r="C385" s="14" t="n"/>
      <c r="D385" s="34" t="n"/>
      <c r="E385" s="12" t="n"/>
      <c r="F385" s="12" t="n"/>
      <c r="G385" s="12" t="n"/>
      <c r="H385" s="14" t="n"/>
      <c r="I385" s="14" t="n"/>
      <c r="J385" s="30">
        <f>IF(C385="","",IF(N(D385)&gt;=Setup!$B$22,"Y","N"))</f>
        <v/>
      </c>
      <c r="K385" s="25">
        <f>IF(C385="","",N(H385)+N(I385))</f>
        <v/>
      </c>
      <c r="L385" s="26">
        <f>IF(N(C385)&gt;0,MIN(1,K385/C385),"")</f>
        <v/>
      </c>
      <c r="M385" s="26">
        <f>IF(N(C385)&gt;0,MIN(1,N(H385)/C385),"")</f>
        <v/>
      </c>
      <c r="N385" s="26">
        <f>IF(L385="","",L385-M385)</f>
        <v/>
      </c>
      <c r="O385" s="30">
        <f>IF(L385="","",IF(L385&gt;=Setup!$B$23,"Complete",IF(L385&gt;0,"Partial","None")))</f>
        <v/>
      </c>
      <c r="P385" s="30">
        <f>IF(C385="","",IF(K385&gt;C385*1.01,"Covered area &gt; KBA area – check overlap; ","")&amp;IF(AND(E385&lt;&gt;"Y",F385&lt;&gt;"Y",J385&lt;&gt;"Y"),"No realm assigned; ",""))</f>
        <v/>
      </c>
    </row>
    <row r="386">
      <c r="A386" s="12" t="n"/>
      <c r="B386" s="12" t="n"/>
      <c r="C386" s="14" t="n"/>
      <c r="D386" s="34" t="n"/>
      <c r="E386" s="12" t="n"/>
      <c r="F386" s="12" t="n"/>
      <c r="G386" s="12" t="n"/>
      <c r="H386" s="14" t="n"/>
      <c r="I386" s="14" t="n"/>
      <c r="J386" s="30">
        <f>IF(C386="","",IF(N(D386)&gt;=Setup!$B$22,"Y","N"))</f>
        <v/>
      </c>
      <c r="K386" s="25">
        <f>IF(C386="","",N(H386)+N(I386))</f>
        <v/>
      </c>
      <c r="L386" s="26">
        <f>IF(N(C386)&gt;0,MIN(1,K386/C386),"")</f>
        <v/>
      </c>
      <c r="M386" s="26">
        <f>IF(N(C386)&gt;0,MIN(1,N(H386)/C386),"")</f>
        <v/>
      </c>
      <c r="N386" s="26">
        <f>IF(L386="","",L386-M386)</f>
        <v/>
      </c>
      <c r="O386" s="30">
        <f>IF(L386="","",IF(L386&gt;=Setup!$B$23,"Complete",IF(L386&gt;0,"Partial","None")))</f>
        <v/>
      </c>
      <c r="P386" s="30">
        <f>IF(C386="","",IF(K386&gt;C386*1.01,"Covered area &gt; KBA area – check overlap; ","")&amp;IF(AND(E386&lt;&gt;"Y",F386&lt;&gt;"Y",J386&lt;&gt;"Y"),"No realm assigned; ",""))</f>
        <v/>
      </c>
    </row>
    <row r="387">
      <c r="A387" s="12" t="n"/>
      <c r="B387" s="12" t="n"/>
      <c r="C387" s="14" t="n"/>
      <c r="D387" s="34" t="n"/>
      <c r="E387" s="12" t="n"/>
      <c r="F387" s="12" t="n"/>
      <c r="G387" s="12" t="n"/>
      <c r="H387" s="14" t="n"/>
      <c r="I387" s="14" t="n"/>
      <c r="J387" s="30">
        <f>IF(C387="","",IF(N(D387)&gt;=Setup!$B$22,"Y","N"))</f>
        <v/>
      </c>
      <c r="K387" s="25">
        <f>IF(C387="","",N(H387)+N(I387))</f>
        <v/>
      </c>
      <c r="L387" s="26">
        <f>IF(N(C387)&gt;0,MIN(1,K387/C387),"")</f>
        <v/>
      </c>
      <c r="M387" s="26">
        <f>IF(N(C387)&gt;0,MIN(1,N(H387)/C387),"")</f>
        <v/>
      </c>
      <c r="N387" s="26">
        <f>IF(L387="","",L387-M387)</f>
        <v/>
      </c>
      <c r="O387" s="30">
        <f>IF(L387="","",IF(L387&gt;=Setup!$B$23,"Complete",IF(L387&gt;0,"Partial","None")))</f>
        <v/>
      </c>
      <c r="P387" s="30">
        <f>IF(C387="","",IF(K387&gt;C387*1.01,"Covered area &gt; KBA area – check overlap; ","")&amp;IF(AND(E387&lt;&gt;"Y",F387&lt;&gt;"Y",J387&lt;&gt;"Y"),"No realm assigned; ",""))</f>
        <v/>
      </c>
    </row>
    <row r="388">
      <c r="A388" s="12" t="n"/>
      <c r="B388" s="12" t="n"/>
      <c r="C388" s="14" t="n"/>
      <c r="D388" s="34" t="n"/>
      <c r="E388" s="12" t="n"/>
      <c r="F388" s="12" t="n"/>
      <c r="G388" s="12" t="n"/>
      <c r="H388" s="14" t="n"/>
      <c r="I388" s="14" t="n"/>
      <c r="J388" s="30">
        <f>IF(C388="","",IF(N(D388)&gt;=Setup!$B$22,"Y","N"))</f>
        <v/>
      </c>
      <c r="K388" s="25">
        <f>IF(C388="","",N(H388)+N(I388))</f>
        <v/>
      </c>
      <c r="L388" s="26">
        <f>IF(N(C388)&gt;0,MIN(1,K388/C388),"")</f>
        <v/>
      </c>
      <c r="M388" s="26">
        <f>IF(N(C388)&gt;0,MIN(1,N(H388)/C388),"")</f>
        <v/>
      </c>
      <c r="N388" s="26">
        <f>IF(L388="","",L388-M388)</f>
        <v/>
      </c>
      <c r="O388" s="30">
        <f>IF(L388="","",IF(L388&gt;=Setup!$B$23,"Complete",IF(L388&gt;0,"Partial","None")))</f>
        <v/>
      </c>
      <c r="P388" s="30">
        <f>IF(C388="","",IF(K388&gt;C388*1.01,"Covered area &gt; KBA area – check overlap; ","")&amp;IF(AND(E388&lt;&gt;"Y",F388&lt;&gt;"Y",J388&lt;&gt;"Y"),"No realm assigned; ",""))</f>
        <v/>
      </c>
    </row>
    <row r="389">
      <c r="A389" s="12" t="n"/>
      <c r="B389" s="12" t="n"/>
      <c r="C389" s="14" t="n"/>
      <c r="D389" s="34" t="n"/>
      <c r="E389" s="12" t="n"/>
      <c r="F389" s="12" t="n"/>
      <c r="G389" s="12" t="n"/>
      <c r="H389" s="14" t="n"/>
      <c r="I389" s="14" t="n"/>
      <c r="J389" s="30">
        <f>IF(C389="","",IF(N(D389)&gt;=Setup!$B$22,"Y","N"))</f>
        <v/>
      </c>
      <c r="K389" s="25">
        <f>IF(C389="","",N(H389)+N(I389))</f>
        <v/>
      </c>
      <c r="L389" s="26">
        <f>IF(N(C389)&gt;0,MIN(1,K389/C389),"")</f>
        <v/>
      </c>
      <c r="M389" s="26">
        <f>IF(N(C389)&gt;0,MIN(1,N(H389)/C389),"")</f>
        <v/>
      </c>
      <c r="N389" s="26">
        <f>IF(L389="","",L389-M389)</f>
        <v/>
      </c>
      <c r="O389" s="30">
        <f>IF(L389="","",IF(L389&gt;=Setup!$B$23,"Complete",IF(L389&gt;0,"Partial","None")))</f>
        <v/>
      </c>
      <c r="P389" s="30">
        <f>IF(C389="","",IF(K389&gt;C389*1.01,"Covered area &gt; KBA area – check overlap; ","")&amp;IF(AND(E389&lt;&gt;"Y",F389&lt;&gt;"Y",J389&lt;&gt;"Y"),"No realm assigned; ",""))</f>
        <v/>
      </c>
    </row>
    <row r="390">
      <c r="A390" s="12" t="n"/>
      <c r="B390" s="12" t="n"/>
      <c r="C390" s="14" t="n"/>
      <c r="D390" s="34" t="n"/>
      <c r="E390" s="12" t="n"/>
      <c r="F390" s="12" t="n"/>
      <c r="G390" s="12" t="n"/>
      <c r="H390" s="14" t="n"/>
      <c r="I390" s="14" t="n"/>
      <c r="J390" s="30">
        <f>IF(C390="","",IF(N(D390)&gt;=Setup!$B$22,"Y","N"))</f>
        <v/>
      </c>
      <c r="K390" s="25">
        <f>IF(C390="","",N(H390)+N(I390))</f>
        <v/>
      </c>
      <c r="L390" s="26">
        <f>IF(N(C390)&gt;0,MIN(1,K390/C390),"")</f>
        <v/>
      </c>
      <c r="M390" s="26">
        <f>IF(N(C390)&gt;0,MIN(1,N(H390)/C390),"")</f>
        <v/>
      </c>
      <c r="N390" s="26">
        <f>IF(L390="","",L390-M390)</f>
        <v/>
      </c>
      <c r="O390" s="30">
        <f>IF(L390="","",IF(L390&gt;=Setup!$B$23,"Complete",IF(L390&gt;0,"Partial","None")))</f>
        <v/>
      </c>
      <c r="P390" s="30">
        <f>IF(C390="","",IF(K390&gt;C390*1.01,"Covered area &gt; KBA area – check overlap; ","")&amp;IF(AND(E390&lt;&gt;"Y",F390&lt;&gt;"Y",J390&lt;&gt;"Y"),"No realm assigned; ",""))</f>
        <v/>
      </c>
    </row>
    <row r="391">
      <c r="A391" s="12" t="n"/>
      <c r="B391" s="12" t="n"/>
      <c r="C391" s="14" t="n"/>
      <c r="D391" s="34" t="n"/>
      <c r="E391" s="12" t="n"/>
      <c r="F391" s="12" t="n"/>
      <c r="G391" s="12" t="n"/>
      <c r="H391" s="14" t="n"/>
      <c r="I391" s="14" t="n"/>
      <c r="J391" s="30">
        <f>IF(C391="","",IF(N(D391)&gt;=Setup!$B$22,"Y","N"))</f>
        <v/>
      </c>
      <c r="K391" s="25">
        <f>IF(C391="","",N(H391)+N(I391))</f>
        <v/>
      </c>
      <c r="L391" s="26">
        <f>IF(N(C391)&gt;0,MIN(1,K391/C391),"")</f>
        <v/>
      </c>
      <c r="M391" s="26">
        <f>IF(N(C391)&gt;0,MIN(1,N(H391)/C391),"")</f>
        <v/>
      </c>
      <c r="N391" s="26">
        <f>IF(L391="","",L391-M391)</f>
        <v/>
      </c>
      <c r="O391" s="30">
        <f>IF(L391="","",IF(L391&gt;=Setup!$B$23,"Complete",IF(L391&gt;0,"Partial","None")))</f>
        <v/>
      </c>
      <c r="P391" s="30">
        <f>IF(C391="","",IF(K391&gt;C391*1.01,"Covered area &gt; KBA area – check overlap; ","")&amp;IF(AND(E391&lt;&gt;"Y",F391&lt;&gt;"Y",J391&lt;&gt;"Y"),"No realm assigned; ",""))</f>
        <v/>
      </c>
    </row>
    <row r="392">
      <c r="A392" s="12" t="n"/>
      <c r="B392" s="12" t="n"/>
      <c r="C392" s="14" t="n"/>
      <c r="D392" s="34" t="n"/>
      <c r="E392" s="12" t="n"/>
      <c r="F392" s="12" t="n"/>
      <c r="G392" s="12" t="n"/>
      <c r="H392" s="14" t="n"/>
      <c r="I392" s="14" t="n"/>
      <c r="J392" s="30">
        <f>IF(C392="","",IF(N(D392)&gt;=Setup!$B$22,"Y","N"))</f>
        <v/>
      </c>
      <c r="K392" s="25">
        <f>IF(C392="","",N(H392)+N(I392))</f>
        <v/>
      </c>
      <c r="L392" s="26">
        <f>IF(N(C392)&gt;0,MIN(1,K392/C392),"")</f>
        <v/>
      </c>
      <c r="M392" s="26">
        <f>IF(N(C392)&gt;0,MIN(1,N(H392)/C392),"")</f>
        <v/>
      </c>
      <c r="N392" s="26">
        <f>IF(L392="","",L392-M392)</f>
        <v/>
      </c>
      <c r="O392" s="30">
        <f>IF(L392="","",IF(L392&gt;=Setup!$B$23,"Complete",IF(L392&gt;0,"Partial","None")))</f>
        <v/>
      </c>
      <c r="P392" s="30">
        <f>IF(C392="","",IF(K392&gt;C392*1.01,"Covered area &gt; KBA area – check overlap; ","")&amp;IF(AND(E392&lt;&gt;"Y",F392&lt;&gt;"Y",J392&lt;&gt;"Y"),"No realm assigned; ",""))</f>
        <v/>
      </c>
    </row>
    <row r="393">
      <c r="A393" s="12" t="n"/>
      <c r="B393" s="12" t="n"/>
      <c r="C393" s="14" t="n"/>
      <c r="D393" s="34" t="n"/>
      <c r="E393" s="12" t="n"/>
      <c r="F393" s="12" t="n"/>
      <c r="G393" s="12" t="n"/>
      <c r="H393" s="14" t="n"/>
      <c r="I393" s="14" t="n"/>
      <c r="J393" s="30">
        <f>IF(C393="","",IF(N(D393)&gt;=Setup!$B$22,"Y","N"))</f>
        <v/>
      </c>
      <c r="K393" s="25">
        <f>IF(C393="","",N(H393)+N(I393))</f>
        <v/>
      </c>
      <c r="L393" s="26">
        <f>IF(N(C393)&gt;0,MIN(1,K393/C393),"")</f>
        <v/>
      </c>
      <c r="M393" s="26">
        <f>IF(N(C393)&gt;0,MIN(1,N(H393)/C393),"")</f>
        <v/>
      </c>
      <c r="N393" s="26">
        <f>IF(L393="","",L393-M393)</f>
        <v/>
      </c>
      <c r="O393" s="30">
        <f>IF(L393="","",IF(L393&gt;=Setup!$B$23,"Complete",IF(L393&gt;0,"Partial","None")))</f>
        <v/>
      </c>
      <c r="P393" s="30">
        <f>IF(C393="","",IF(K393&gt;C393*1.01,"Covered area &gt; KBA area – check overlap; ","")&amp;IF(AND(E393&lt;&gt;"Y",F393&lt;&gt;"Y",J393&lt;&gt;"Y"),"No realm assigned; ",""))</f>
        <v/>
      </c>
    </row>
    <row r="394">
      <c r="A394" s="12" t="n"/>
      <c r="B394" s="12" t="n"/>
      <c r="C394" s="14" t="n"/>
      <c r="D394" s="34" t="n"/>
      <c r="E394" s="12" t="n"/>
      <c r="F394" s="12" t="n"/>
      <c r="G394" s="12" t="n"/>
      <c r="H394" s="14" t="n"/>
      <c r="I394" s="14" t="n"/>
      <c r="J394" s="30">
        <f>IF(C394="","",IF(N(D394)&gt;=Setup!$B$22,"Y","N"))</f>
        <v/>
      </c>
      <c r="K394" s="25">
        <f>IF(C394="","",N(H394)+N(I394))</f>
        <v/>
      </c>
      <c r="L394" s="26">
        <f>IF(N(C394)&gt;0,MIN(1,K394/C394),"")</f>
        <v/>
      </c>
      <c r="M394" s="26">
        <f>IF(N(C394)&gt;0,MIN(1,N(H394)/C394),"")</f>
        <v/>
      </c>
      <c r="N394" s="26">
        <f>IF(L394="","",L394-M394)</f>
        <v/>
      </c>
      <c r="O394" s="30">
        <f>IF(L394="","",IF(L394&gt;=Setup!$B$23,"Complete",IF(L394&gt;0,"Partial","None")))</f>
        <v/>
      </c>
      <c r="P394" s="30">
        <f>IF(C394="","",IF(K394&gt;C394*1.01,"Covered area &gt; KBA area – check overlap; ","")&amp;IF(AND(E394&lt;&gt;"Y",F394&lt;&gt;"Y",J394&lt;&gt;"Y"),"No realm assigned; ",""))</f>
        <v/>
      </c>
    </row>
    <row r="395">
      <c r="A395" s="12" t="n"/>
      <c r="B395" s="12" t="n"/>
      <c r="C395" s="14" t="n"/>
      <c r="D395" s="34" t="n"/>
      <c r="E395" s="12" t="n"/>
      <c r="F395" s="12" t="n"/>
      <c r="G395" s="12" t="n"/>
      <c r="H395" s="14" t="n"/>
      <c r="I395" s="14" t="n"/>
      <c r="J395" s="30">
        <f>IF(C395="","",IF(N(D395)&gt;=Setup!$B$22,"Y","N"))</f>
        <v/>
      </c>
      <c r="K395" s="25">
        <f>IF(C395="","",N(H395)+N(I395))</f>
        <v/>
      </c>
      <c r="L395" s="26">
        <f>IF(N(C395)&gt;0,MIN(1,K395/C395),"")</f>
        <v/>
      </c>
      <c r="M395" s="26">
        <f>IF(N(C395)&gt;0,MIN(1,N(H395)/C395),"")</f>
        <v/>
      </c>
      <c r="N395" s="26">
        <f>IF(L395="","",L395-M395)</f>
        <v/>
      </c>
      <c r="O395" s="30">
        <f>IF(L395="","",IF(L395&gt;=Setup!$B$23,"Complete",IF(L395&gt;0,"Partial","None")))</f>
        <v/>
      </c>
      <c r="P395" s="30">
        <f>IF(C395="","",IF(K395&gt;C395*1.01,"Covered area &gt; KBA area – check overlap; ","")&amp;IF(AND(E395&lt;&gt;"Y",F395&lt;&gt;"Y",J395&lt;&gt;"Y"),"No realm assigned; ",""))</f>
        <v/>
      </c>
    </row>
    <row r="396">
      <c r="A396" s="12" t="n"/>
      <c r="B396" s="12" t="n"/>
      <c r="C396" s="14" t="n"/>
      <c r="D396" s="34" t="n"/>
      <c r="E396" s="12" t="n"/>
      <c r="F396" s="12" t="n"/>
      <c r="G396" s="12" t="n"/>
      <c r="H396" s="14" t="n"/>
      <c r="I396" s="14" t="n"/>
      <c r="J396" s="30">
        <f>IF(C396="","",IF(N(D396)&gt;=Setup!$B$22,"Y","N"))</f>
        <v/>
      </c>
      <c r="K396" s="25">
        <f>IF(C396="","",N(H396)+N(I396))</f>
        <v/>
      </c>
      <c r="L396" s="26">
        <f>IF(N(C396)&gt;0,MIN(1,K396/C396),"")</f>
        <v/>
      </c>
      <c r="M396" s="26">
        <f>IF(N(C396)&gt;0,MIN(1,N(H396)/C396),"")</f>
        <v/>
      </c>
      <c r="N396" s="26">
        <f>IF(L396="","",L396-M396)</f>
        <v/>
      </c>
      <c r="O396" s="30">
        <f>IF(L396="","",IF(L396&gt;=Setup!$B$23,"Complete",IF(L396&gt;0,"Partial","None")))</f>
        <v/>
      </c>
      <c r="P396" s="30">
        <f>IF(C396="","",IF(K396&gt;C396*1.01,"Covered area &gt; KBA area – check overlap; ","")&amp;IF(AND(E396&lt;&gt;"Y",F396&lt;&gt;"Y",J396&lt;&gt;"Y"),"No realm assigned; ",""))</f>
        <v/>
      </c>
    </row>
    <row r="397">
      <c r="A397" s="12" t="n"/>
      <c r="B397" s="12" t="n"/>
      <c r="C397" s="14" t="n"/>
      <c r="D397" s="34" t="n"/>
      <c r="E397" s="12" t="n"/>
      <c r="F397" s="12" t="n"/>
      <c r="G397" s="12" t="n"/>
      <c r="H397" s="14" t="n"/>
      <c r="I397" s="14" t="n"/>
      <c r="J397" s="30">
        <f>IF(C397="","",IF(N(D397)&gt;=Setup!$B$22,"Y","N"))</f>
        <v/>
      </c>
      <c r="K397" s="25">
        <f>IF(C397="","",N(H397)+N(I397))</f>
        <v/>
      </c>
      <c r="L397" s="26">
        <f>IF(N(C397)&gt;0,MIN(1,K397/C397),"")</f>
        <v/>
      </c>
      <c r="M397" s="26">
        <f>IF(N(C397)&gt;0,MIN(1,N(H397)/C397),"")</f>
        <v/>
      </c>
      <c r="N397" s="26">
        <f>IF(L397="","",L397-M397)</f>
        <v/>
      </c>
      <c r="O397" s="30">
        <f>IF(L397="","",IF(L397&gt;=Setup!$B$23,"Complete",IF(L397&gt;0,"Partial","None")))</f>
        <v/>
      </c>
      <c r="P397" s="30">
        <f>IF(C397="","",IF(K397&gt;C397*1.01,"Covered area &gt; KBA area – check overlap; ","")&amp;IF(AND(E397&lt;&gt;"Y",F397&lt;&gt;"Y",J397&lt;&gt;"Y"),"No realm assigned; ",""))</f>
        <v/>
      </c>
    </row>
    <row r="398">
      <c r="A398" s="12" t="n"/>
      <c r="B398" s="12" t="n"/>
      <c r="C398" s="14" t="n"/>
      <c r="D398" s="34" t="n"/>
      <c r="E398" s="12" t="n"/>
      <c r="F398" s="12" t="n"/>
      <c r="G398" s="12" t="n"/>
      <c r="H398" s="14" t="n"/>
      <c r="I398" s="14" t="n"/>
      <c r="J398" s="30">
        <f>IF(C398="","",IF(N(D398)&gt;=Setup!$B$22,"Y","N"))</f>
        <v/>
      </c>
      <c r="K398" s="25">
        <f>IF(C398="","",N(H398)+N(I398))</f>
        <v/>
      </c>
      <c r="L398" s="26">
        <f>IF(N(C398)&gt;0,MIN(1,K398/C398),"")</f>
        <v/>
      </c>
      <c r="M398" s="26">
        <f>IF(N(C398)&gt;0,MIN(1,N(H398)/C398),"")</f>
        <v/>
      </c>
      <c r="N398" s="26">
        <f>IF(L398="","",L398-M398)</f>
        <v/>
      </c>
      <c r="O398" s="30">
        <f>IF(L398="","",IF(L398&gt;=Setup!$B$23,"Complete",IF(L398&gt;0,"Partial","None")))</f>
        <v/>
      </c>
      <c r="P398" s="30">
        <f>IF(C398="","",IF(K398&gt;C398*1.01,"Covered area &gt; KBA area – check overlap; ","")&amp;IF(AND(E398&lt;&gt;"Y",F398&lt;&gt;"Y",J398&lt;&gt;"Y"),"No realm assigned; ",""))</f>
        <v/>
      </c>
    </row>
    <row r="399">
      <c r="A399" s="12" t="n"/>
      <c r="B399" s="12" t="n"/>
      <c r="C399" s="14" t="n"/>
      <c r="D399" s="34" t="n"/>
      <c r="E399" s="12" t="n"/>
      <c r="F399" s="12" t="n"/>
      <c r="G399" s="12" t="n"/>
      <c r="H399" s="14" t="n"/>
      <c r="I399" s="14" t="n"/>
      <c r="J399" s="30">
        <f>IF(C399="","",IF(N(D399)&gt;=Setup!$B$22,"Y","N"))</f>
        <v/>
      </c>
      <c r="K399" s="25">
        <f>IF(C399="","",N(H399)+N(I399))</f>
        <v/>
      </c>
      <c r="L399" s="26">
        <f>IF(N(C399)&gt;0,MIN(1,K399/C399),"")</f>
        <v/>
      </c>
      <c r="M399" s="26">
        <f>IF(N(C399)&gt;0,MIN(1,N(H399)/C399),"")</f>
        <v/>
      </c>
      <c r="N399" s="26">
        <f>IF(L399="","",L399-M399)</f>
        <v/>
      </c>
      <c r="O399" s="30">
        <f>IF(L399="","",IF(L399&gt;=Setup!$B$23,"Complete",IF(L399&gt;0,"Partial","None")))</f>
        <v/>
      </c>
      <c r="P399" s="30">
        <f>IF(C399="","",IF(K399&gt;C399*1.01,"Covered area &gt; KBA area – check overlap; ","")&amp;IF(AND(E399&lt;&gt;"Y",F399&lt;&gt;"Y",J399&lt;&gt;"Y"),"No realm assigned; ",""))</f>
        <v/>
      </c>
    </row>
    <row r="400">
      <c r="A400" s="12" t="n"/>
      <c r="B400" s="12" t="n"/>
      <c r="C400" s="14" t="n"/>
      <c r="D400" s="34" t="n"/>
      <c r="E400" s="12" t="n"/>
      <c r="F400" s="12" t="n"/>
      <c r="G400" s="12" t="n"/>
      <c r="H400" s="14" t="n"/>
      <c r="I400" s="14" t="n"/>
      <c r="J400" s="30">
        <f>IF(C400="","",IF(N(D400)&gt;=Setup!$B$22,"Y","N"))</f>
        <v/>
      </c>
      <c r="K400" s="25">
        <f>IF(C400="","",N(H400)+N(I400))</f>
        <v/>
      </c>
      <c r="L400" s="26">
        <f>IF(N(C400)&gt;0,MIN(1,K400/C400),"")</f>
        <v/>
      </c>
      <c r="M400" s="26">
        <f>IF(N(C400)&gt;0,MIN(1,N(H400)/C400),"")</f>
        <v/>
      </c>
      <c r="N400" s="26">
        <f>IF(L400="","",L400-M400)</f>
        <v/>
      </c>
      <c r="O400" s="30">
        <f>IF(L400="","",IF(L400&gt;=Setup!$B$23,"Complete",IF(L400&gt;0,"Partial","None")))</f>
        <v/>
      </c>
      <c r="P400" s="30">
        <f>IF(C400="","",IF(K400&gt;C400*1.01,"Covered area &gt; KBA area – check overlap; ","")&amp;IF(AND(E400&lt;&gt;"Y",F400&lt;&gt;"Y",J400&lt;&gt;"Y"),"No realm assigned; ",""))</f>
        <v/>
      </c>
    </row>
    <row r="401">
      <c r="A401" s="12" t="n"/>
      <c r="B401" s="12" t="n"/>
      <c r="C401" s="14" t="n"/>
      <c r="D401" s="34" t="n"/>
      <c r="E401" s="12" t="n"/>
      <c r="F401" s="12" t="n"/>
      <c r="G401" s="12" t="n"/>
      <c r="H401" s="14" t="n"/>
      <c r="I401" s="14" t="n"/>
      <c r="J401" s="30">
        <f>IF(C401="","",IF(N(D401)&gt;=Setup!$B$22,"Y","N"))</f>
        <v/>
      </c>
      <c r="K401" s="25">
        <f>IF(C401="","",N(H401)+N(I401))</f>
        <v/>
      </c>
      <c r="L401" s="26">
        <f>IF(N(C401)&gt;0,MIN(1,K401/C401),"")</f>
        <v/>
      </c>
      <c r="M401" s="26">
        <f>IF(N(C401)&gt;0,MIN(1,N(H401)/C401),"")</f>
        <v/>
      </c>
      <c r="N401" s="26">
        <f>IF(L401="","",L401-M401)</f>
        <v/>
      </c>
      <c r="O401" s="30">
        <f>IF(L401="","",IF(L401&gt;=Setup!$B$23,"Complete",IF(L401&gt;0,"Partial","None")))</f>
        <v/>
      </c>
      <c r="P401" s="30">
        <f>IF(C401="","",IF(K401&gt;C401*1.01,"Covered area &gt; KBA area – check overlap; ","")&amp;IF(AND(E401&lt;&gt;"Y",F401&lt;&gt;"Y",J401&lt;&gt;"Y"),"No realm assigned; ",""))</f>
        <v/>
      </c>
    </row>
    <row r="402">
      <c r="A402" s="12" t="n"/>
      <c r="B402" s="12" t="n"/>
      <c r="C402" s="14" t="n"/>
      <c r="D402" s="34" t="n"/>
      <c r="E402" s="12" t="n"/>
      <c r="F402" s="12" t="n"/>
      <c r="G402" s="12" t="n"/>
      <c r="H402" s="14" t="n"/>
      <c r="I402" s="14" t="n"/>
      <c r="J402" s="30">
        <f>IF(C402="","",IF(N(D402)&gt;=Setup!$B$22,"Y","N"))</f>
        <v/>
      </c>
      <c r="K402" s="25">
        <f>IF(C402="","",N(H402)+N(I402))</f>
        <v/>
      </c>
      <c r="L402" s="26">
        <f>IF(N(C402)&gt;0,MIN(1,K402/C402),"")</f>
        <v/>
      </c>
      <c r="M402" s="26">
        <f>IF(N(C402)&gt;0,MIN(1,N(H402)/C402),"")</f>
        <v/>
      </c>
      <c r="N402" s="26">
        <f>IF(L402="","",L402-M402)</f>
        <v/>
      </c>
      <c r="O402" s="30">
        <f>IF(L402="","",IF(L402&gt;=Setup!$B$23,"Complete",IF(L402&gt;0,"Partial","None")))</f>
        <v/>
      </c>
      <c r="P402" s="30">
        <f>IF(C402="","",IF(K402&gt;C402*1.01,"Covered area &gt; KBA area – check overlap; ","")&amp;IF(AND(E402&lt;&gt;"Y",F402&lt;&gt;"Y",J402&lt;&gt;"Y"),"No realm assigned; ",""))</f>
        <v/>
      </c>
    </row>
    <row r="403">
      <c r="A403" s="12" t="n"/>
      <c r="B403" s="12" t="n"/>
      <c r="C403" s="14" t="n"/>
      <c r="D403" s="34" t="n"/>
      <c r="E403" s="12" t="n"/>
      <c r="F403" s="12" t="n"/>
      <c r="G403" s="12" t="n"/>
      <c r="H403" s="14" t="n"/>
      <c r="I403" s="14" t="n"/>
      <c r="J403" s="30">
        <f>IF(C403="","",IF(N(D403)&gt;=Setup!$B$22,"Y","N"))</f>
        <v/>
      </c>
      <c r="K403" s="25">
        <f>IF(C403="","",N(H403)+N(I403))</f>
        <v/>
      </c>
      <c r="L403" s="26">
        <f>IF(N(C403)&gt;0,MIN(1,K403/C403),"")</f>
        <v/>
      </c>
      <c r="M403" s="26">
        <f>IF(N(C403)&gt;0,MIN(1,N(H403)/C403),"")</f>
        <v/>
      </c>
      <c r="N403" s="26">
        <f>IF(L403="","",L403-M403)</f>
        <v/>
      </c>
      <c r="O403" s="30">
        <f>IF(L403="","",IF(L403&gt;=Setup!$B$23,"Complete",IF(L403&gt;0,"Partial","None")))</f>
        <v/>
      </c>
      <c r="P403" s="30">
        <f>IF(C403="","",IF(K403&gt;C403*1.01,"Covered area &gt; KBA area – check overlap; ","")&amp;IF(AND(E403&lt;&gt;"Y",F403&lt;&gt;"Y",J403&lt;&gt;"Y"),"No realm assigned; ",""))</f>
        <v/>
      </c>
    </row>
    <row r="404">
      <c r="A404" s="12" t="n"/>
      <c r="B404" s="12" t="n"/>
      <c r="C404" s="14" t="n"/>
      <c r="D404" s="34" t="n"/>
      <c r="E404" s="12" t="n"/>
      <c r="F404" s="12" t="n"/>
      <c r="G404" s="12" t="n"/>
      <c r="H404" s="14" t="n"/>
      <c r="I404" s="14" t="n"/>
      <c r="J404" s="30">
        <f>IF(C404="","",IF(N(D404)&gt;=Setup!$B$22,"Y","N"))</f>
        <v/>
      </c>
      <c r="K404" s="25">
        <f>IF(C404="","",N(H404)+N(I404))</f>
        <v/>
      </c>
      <c r="L404" s="26">
        <f>IF(N(C404)&gt;0,MIN(1,K404/C404),"")</f>
        <v/>
      </c>
      <c r="M404" s="26">
        <f>IF(N(C404)&gt;0,MIN(1,N(H404)/C404),"")</f>
        <v/>
      </c>
      <c r="N404" s="26">
        <f>IF(L404="","",L404-M404)</f>
        <v/>
      </c>
      <c r="O404" s="30">
        <f>IF(L404="","",IF(L404&gt;=Setup!$B$23,"Complete",IF(L404&gt;0,"Partial","None")))</f>
        <v/>
      </c>
      <c r="P404" s="30">
        <f>IF(C404="","",IF(K404&gt;C404*1.01,"Covered area &gt; KBA area – check overlap; ","")&amp;IF(AND(E404&lt;&gt;"Y",F404&lt;&gt;"Y",J404&lt;&gt;"Y"),"No realm assigned; ",""))</f>
        <v/>
      </c>
    </row>
    <row r="405">
      <c r="A405" s="12" t="n"/>
      <c r="B405" s="12" t="n"/>
      <c r="C405" s="14" t="n"/>
      <c r="D405" s="34" t="n"/>
      <c r="E405" s="12" t="n"/>
      <c r="F405" s="12" t="n"/>
      <c r="G405" s="12" t="n"/>
      <c r="H405" s="14" t="n"/>
      <c r="I405" s="14" t="n"/>
      <c r="J405" s="30">
        <f>IF(C405="","",IF(N(D405)&gt;=Setup!$B$22,"Y","N"))</f>
        <v/>
      </c>
      <c r="K405" s="25">
        <f>IF(C405="","",N(H405)+N(I405))</f>
        <v/>
      </c>
      <c r="L405" s="26">
        <f>IF(N(C405)&gt;0,MIN(1,K405/C405),"")</f>
        <v/>
      </c>
      <c r="M405" s="26">
        <f>IF(N(C405)&gt;0,MIN(1,N(H405)/C405),"")</f>
        <v/>
      </c>
      <c r="N405" s="26">
        <f>IF(L405="","",L405-M405)</f>
        <v/>
      </c>
      <c r="O405" s="30">
        <f>IF(L405="","",IF(L405&gt;=Setup!$B$23,"Complete",IF(L405&gt;0,"Partial","None")))</f>
        <v/>
      </c>
      <c r="P405" s="30">
        <f>IF(C405="","",IF(K405&gt;C405*1.01,"Covered area &gt; KBA area – check overlap; ","")&amp;IF(AND(E405&lt;&gt;"Y",F405&lt;&gt;"Y",J405&lt;&gt;"Y"),"No realm assigned; ",""))</f>
        <v/>
      </c>
    </row>
    <row r="406">
      <c r="A406" s="12" t="n"/>
      <c r="B406" s="12" t="n"/>
      <c r="C406" s="14" t="n"/>
      <c r="D406" s="34" t="n"/>
      <c r="E406" s="12" t="n"/>
      <c r="F406" s="12" t="n"/>
      <c r="G406" s="12" t="n"/>
      <c r="H406" s="14" t="n"/>
      <c r="I406" s="14" t="n"/>
      <c r="J406" s="30">
        <f>IF(C406="","",IF(N(D406)&gt;=Setup!$B$22,"Y","N"))</f>
        <v/>
      </c>
      <c r="K406" s="25">
        <f>IF(C406="","",N(H406)+N(I406))</f>
        <v/>
      </c>
      <c r="L406" s="26">
        <f>IF(N(C406)&gt;0,MIN(1,K406/C406),"")</f>
        <v/>
      </c>
      <c r="M406" s="26">
        <f>IF(N(C406)&gt;0,MIN(1,N(H406)/C406),"")</f>
        <v/>
      </c>
      <c r="N406" s="26">
        <f>IF(L406="","",L406-M406)</f>
        <v/>
      </c>
      <c r="O406" s="30">
        <f>IF(L406="","",IF(L406&gt;=Setup!$B$23,"Complete",IF(L406&gt;0,"Partial","None")))</f>
        <v/>
      </c>
      <c r="P406" s="30">
        <f>IF(C406="","",IF(K406&gt;C406*1.01,"Covered area &gt; KBA area – check overlap; ","")&amp;IF(AND(E406&lt;&gt;"Y",F406&lt;&gt;"Y",J406&lt;&gt;"Y"),"No realm assigned; ",""))</f>
        <v/>
      </c>
    </row>
    <row r="407">
      <c r="A407" s="12" t="n"/>
      <c r="B407" s="12" t="n"/>
      <c r="C407" s="14" t="n"/>
      <c r="D407" s="34" t="n"/>
      <c r="E407" s="12" t="n"/>
      <c r="F407" s="12" t="n"/>
      <c r="G407" s="12" t="n"/>
      <c r="H407" s="14" t="n"/>
      <c r="I407" s="14" t="n"/>
      <c r="J407" s="30">
        <f>IF(C407="","",IF(N(D407)&gt;=Setup!$B$22,"Y","N"))</f>
        <v/>
      </c>
      <c r="K407" s="25">
        <f>IF(C407="","",N(H407)+N(I407))</f>
        <v/>
      </c>
      <c r="L407" s="26">
        <f>IF(N(C407)&gt;0,MIN(1,K407/C407),"")</f>
        <v/>
      </c>
      <c r="M407" s="26">
        <f>IF(N(C407)&gt;0,MIN(1,N(H407)/C407),"")</f>
        <v/>
      </c>
      <c r="N407" s="26">
        <f>IF(L407="","",L407-M407)</f>
        <v/>
      </c>
      <c r="O407" s="30">
        <f>IF(L407="","",IF(L407&gt;=Setup!$B$23,"Complete",IF(L407&gt;0,"Partial","None")))</f>
        <v/>
      </c>
      <c r="P407" s="30">
        <f>IF(C407="","",IF(K407&gt;C407*1.01,"Covered area &gt; KBA area – check overlap; ","")&amp;IF(AND(E407&lt;&gt;"Y",F407&lt;&gt;"Y",J407&lt;&gt;"Y"),"No realm assigned; ",""))</f>
        <v/>
      </c>
    </row>
    <row r="408">
      <c r="A408" s="12" t="n"/>
      <c r="B408" s="12" t="n"/>
      <c r="C408" s="14" t="n"/>
      <c r="D408" s="34" t="n"/>
      <c r="E408" s="12" t="n"/>
      <c r="F408" s="12" t="n"/>
      <c r="G408" s="12" t="n"/>
      <c r="H408" s="14" t="n"/>
      <c r="I408" s="14" t="n"/>
      <c r="J408" s="30">
        <f>IF(C408="","",IF(N(D408)&gt;=Setup!$B$22,"Y","N"))</f>
        <v/>
      </c>
      <c r="K408" s="25">
        <f>IF(C408="","",N(H408)+N(I408))</f>
        <v/>
      </c>
      <c r="L408" s="26">
        <f>IF(N(C408)&gt;0,MIN(1,K408/C408),"")</f>
        <v/>
      </c>
      <c r="M408" s="26">
        <f>IF(N(C408)&gt;0,MIN(1,N(H408)/C408),"")</f>
        <v/>
      </c>
      <c r="N408" s="26">
        <f>IF(L408="","",L408-M408)</f>
        <v/>
      </c>
      <c r="O408" s="30">
        <f>IF(L408="","",IF(L408&gt;=Setup!$B$23,"Complete",IF(L408&gt;0,"Partial","None")))</f>
        <v/>
      </c>
      <c r="P408" s="30">
        <f>IF(C408="","",IF(K408&gt;C408*1.01,"Covered area &gt; KBA area – check overlap; ","")&amp;IF(AND(E408&lt;&gt;"Y",F408&lt;&gt;"Y",J408&lt;&gt;"Y"),"No realm assigned; ",""))</f>
        <v/>
      </c>
    </row>
    <row r="409">
      <c r="A409" s="12" t="n"/>
      <c r="B409" s="12" t="n"/>
      <c r="C409" s="14" t="n"/>
      <c r="D409" s="34" t="n"/>
      <c r="E409" s="12" t="n"/>
      <c r="F409" s="12" t="n"/>
      <c r="G409" s="12" t="n"/>
      <c r="H409" s="14" t="n"/>
      <c r="I409" s="14" t="n"/>
      <c r="J409" s="30">
        <f>IF(C409="","",IF(N(D409)&gt;=Setup!$B$22,"Y","N"))</f>
        <v/>
      </c>
      <c r="K409" s="25">
        <f>IF(C409="","",N(H409)+N(I409))</f>
        <v/>
      </c>
      <c r="L409" s="26">
        <f>IF(N(C409)&gt;0,MIN(1,K409/C409),"")</f>
        <v/>
      </c>
      <c r="M409" s="26">
        <f>IF(N(C409)&gt;0,MIN(1,N(H409)/C409),"")</f>
        <v/>
      </c>
      <c r="N409" s="26">
        <f>IF(L409="","",L409-M409)</f>
        <v/>
      </c>
      <c r="O409" s="30">
        <f>IF(L409="","",IF(L409&gt;=Setup!$B$23,"Complete",IF(L409&gt;0,"Partial","None")))</f>
        <v/>
      </c>
      <c r="P409" s="30">
        <f>IF(C409="","",IF(K409&gt;C409*1.01,"Covered area &gt; KBA area – check overlap; ","")&amp;IF(AND(E409&lt;&gt;"Y",F409&lt;&gt;"Y",J409&lt;&gt;"Y"),"No realm assigned; ",""))</f>
        <v/>
      </c>
    </row>
    <row r="410">
      <c r="A410" s="12" t="n"/>
      <c r="B410" s="12" t="n"/>
      <c r="C410" s="14" t="n"/>
      <c r="D410" s="34" t="n"/>
      <c r="E410" s="12" t="n"/>
      <c r="F410" s="12" t="n"/>
      <c r="G410" s="12" t="n"/>
      <c r="H410" s="14" t="n"/>
      <c r="I410" s="14" t="n"/>
      <c r="J410" s="30">
        <f>IF(C410="","",IF(N(D410)&gt;=Setup!$B$22,"Y","N"))</f>
        <v/>
      </c>
      <c r="K410" s="25">
        <f>IF(C410="","",N(H410)+N(I410))</f>
        <v/>
      </c>
      <c r="L410" s="26">
        <f>IF(N(C410)&gt;0,MIN(1,K410/C410),"")</f>
        <v/>
      </c>
      <c r="M410" s="26">
        <f>IF(N(C410)&gt;0,MIN(1,N(H410)/C410),"")</f>
        <v/>
      </c>
      <c r="N410" s="26">
        <f>IF(L410="","",L410-M410)</f>
        <v/>
      </c>
      <c r="O410" s="30">
        <f>IF(L410="","",IF(L410&gt;=Setup!$B$23,"Complete",IF(L410&gt;0,"Partial","None")))</f>
        <v/>
      </c>
      <c r="P410" s="30">
        <f>IF(C410="","",IF(K410&gt;C410*1.01,"Covered area &gt; KBA area – check overlap; ","")&amp;IF(AND(E410&lt;&gt;"Y",F410&lt;&gt;"Y",J410&lt;&gt;"Y"),"No realm assigned; ",""))</f>
        <v/>
      </c>
    </row>
    <row r="411">
      <c r="A411" s="12" t="n"/>
      <c r="B411" s="12" t="n"/>
      <c r="C411" s="14" t="n"/>
      <c r="D411" s="34" t="n"/>
      <c r="E411" s="12" t="n"/>
      <c r="F411" s="12" t="n"/>
      <c r="G411" s="12" t="n"/>
      <c r="H411" s="14" t="n"/>
      <c r="I411" s="14" t="n"/>
      <c r="J411" s="30">
        <f>IF(C411="","",IF(N(D411)&gt;=Setup!$B$22,"Y","N"))</f>
        <v/>
      </c>
      <c r="K411" s="25">
        <f>IF(C411="","",N(H411)+N(I411))</f>
        <v/>
      </c>
      <c r="L411" s="26">
        <f>IF(N(C411)&gt;0,MIN(1,K411/C411),"")</f>
        <v/>
      </c>
      <c r="M411" s="26">
        <f>IF(N(C411)&gt;0,MIN(1,N(H411)/C411),"")</f>
        <v/>
      </c>
      <c r="N411" s="26">
        <f>IF(L411="","",L411-M411)</f>
        <v/>
      </c>
      <c r="O411" s="30">
        <f>IF(L411="","",IF(L411&gt;=Setup!$B$23,"Complete",IF(L411&gt;0,"Partial","None")))</f>
        <v/>
      </c>
      <c r="P411" s="30">
        <f>IF(C411="","",IF(K411&gt;C411*1.01,"Covered area &gt; KBA area – check overlap; ","")&amp;IF(AND(E411&lt;&gt;"Y",F411&lt;&gt;"Y",J411&lt;&gt;"Y"),"No realm assigned; ",""))</f>
        <v/>
      </c>
    </row>
    <row r="412">
      <c r="A412" s="12" t="n"/>
      <c r="B412" s="12" t="n"/>
      <c r="C412" s="14" t="n"/>
      <c r="D412" s="34" t="n"/>
      <c r="E412" s="12" t="n"/>
      <c r="F412" s="12" t="n"/>
      <c r="G412" s="12" t="n"/>
      <c r="H412" s="14" t="n"/>
      <c r="I412" s="14" t="n"/>
      <c r="J412" s="30">
        <f>IF(C412="","",IF(N(D412)&gt;=Setup!$B$22,"Y","N"))</f>
        <v/>
      </c>
      <c r="K412" s="25">
        <f>IF(C412="","",N(H412)+N(I412))</f>
        <v/>
      </c>
      <c r="L412" s="26">
        <f>IF(N(C412)&gt;0,MIN(1,K412/C412),"")</f>
        <v/>
      </c>
      <c r="M412" s="26">
        <f>IF(N(C412)&gt;0,MIN(1,N(H412)/C412),"")</f>
        <v/>
      </c>
      <c r="N412" s="26">
        <f>IF(L412="","",L412-M412)</f>
        <v/>
      </c>
      <c r="O412" s="30">
        <f>IF(L412="","",IF(L412&gt;=Setup!$B$23,"Complete",IF(L412&gt;0,"Partial","None")))</f>
        <v/>
      </c>
      <c r="P412" s="30">
        <f>IF(C412="","",IF(K412&gt;C412*1.01,"Covered area &gt; KBA area – check overlap; ","")&amp;IF(AND(E412&lt;&gt;"Y",F412&lt;&gt;"Y",J412&lt;&gt;"Y"),"No realm assigned; ",""))</f>
        <v/>
      </c>
    </row>
    <row r="413">
      <c r="A413" s="12" t="n"/>
      <c r="B413" s="12" t="n"/>
      <c r="C413" s="14" t="n"/>
      <c r="D413" s="34" t="n"/>
      <c r="E413" s="12" t="n"/>
      <c r="F413" s="12" t="n"/>
      <c r="G413" s="12" t="n"/>
      <c r="H413" s="14" t="n"/>
      <c r="I413" s="14" t="n"/>
      <c r="J413" s="30">
        <f>IF(C413="","",IF(N(D413)&gt;=Setup!$B$22,"Y","N"))</f>
        <v/>
      </c>
      <c r="K413" s="25">
        <f>IF(C413="","",N(H413)+N(I413))</f>
        <v/>
      </c>
      <c r="L413" s="26">
        <f>IF(N(C413)&gt;0,MIN(1,K413/C413),"")</f>
        <v/>
      </c>
      <c r="M413" s="26">
        <f>IF(N(C413)&gt;0,MIN(1,N(H413)/C413),"")</f>
        <v/>
      </c>
      <c r="N413" s="26">
        <f>IF(L413="","",L413-M413)</f>
        <v/>
      </c>
      <c r="O413" s="30">
        <f>IF(L413="","",IF(L413&gt;=Setup!$B$23,"Complete",IF(L413&gt;0,"Partial","None")))</f>
        <v/>
      </c>
      <c r="P413" s="30">
        <f>IF(C413="","",IF(K413&gt;C413*1.01,"Covered area &gt; KBA area – check overlap; ","")&amp;IF(AND(E413&lt;&gt;"Y",F413&lt;&gt;"Y",J413&lt;&gt;"Y"),"No realm assigned; ",""))</f>
        <v/>
      </c>
    </row>
    <row r="414">
      <c r="A414" s="12" t="n"/>
      <c r="B414" s="12" t="n"/>
      <c r="C414" s="14" t="n"/>
      <c r="D414" s="34" t="n"/>
      <c r="E414" s="12" t="n"/>
      <c r="F414" s="12" t="n"/>
      <c r="G414" s="12" t="n"/>
      <c r="H414" s="14" t="n"/>
      <c r="I414" s="14" t="n"/>
      <c r="J414" s="30">
        <f>IF(C414="","",IF(N(D414)&gt;=Setup!$B$22,"Y","N"))</f>
        <v/>
      </c>
      <c r="K414" s="25">
        <f>IF(C414="","",N(H414)+N(I414))</f>
        <v/>
      </c>
      <c r="L414" s="26">
        <f>IF(N(C414)&gt;0,MIN(1,K414/C414),"")</f>
        <v/>
      </c>
      <c r="M414" s="26">
        <f>IF(N(C414)&gt;0,MIN(1,N(H414)/C414),"")</f>
        <v/>
      </c>
      <c r="N414" s="26">
        <f>IF(L414="","",L414-M414)</f>
        <v/>
      </c>
      <c r="O414" s="30">
        <f>IF(L414="","",IF(L414&gt;=Setup!$B$23,"Complete",IF(L414&gt;0,"Partial","None")))</f>
        <v/>
      </c>
      <c r="P414" s="30">
        <f>IF(C414="","",IF(K414&gt;C414*1.01,"Covered area &gt; KBA area – check overlap; ","")&amp;IF(AND(E414&lt;&gt;"Y",F414&lt;&gt;"Y",J414&lt;&gt;"Y"),"No realm assigned; ",""))</f>
        <v/>
      </c>
    </row>
    <row r="415">
      <c r="A415" s="12" t="n"/>
      <c r="B415" s="12" t="n"/>
      <c r="C415" s="14" t="n"/>
      <c r="D415" s="34" t="n"/>
      <c r="E415" s="12" t="n"/>
      <c r="F415" s="12" t="n"/>
      <c r="G415" s="12" t="n"/>
      <c r="H415" s="14" t="n"/>
      <c r="I415" s="14" t="n"/>
      <c r="J415" s="30">
        <f>IF(C415="","",IF(N(D415)&gt;=Setup!$B$22,"Y","N"))</f>
        <v/>
      </c>
      <c r="K415" s="25">
        <f>IF(C415="","",N(H415)+N(I415))</f>
        <v/>
      </c>
      <c r="L415" s="26">
        <f>IF(N(C415)&gt;0,MIN(1,K415/C415),"")</f>
        <v/>
      </c>
      <c r="M415" s="26">
        <f>IF(N(C415)&gt;0,MIN(1,N(H415)/C415),"")</f>
        <v/>
      </c>
      <c r="N415" s="26">
        <f>IF(L415="","",L415-M415)</f>
        <v/>
      </c>
      <c r="O415" s="30">
        <f>IF(L415="","",IF(L415&gt;=Setup!$B$23,"Complete",IF(L415&gt;0,"Partial","None")))</f>
        <v/>
      </c>
      <c r="P415" s="30">
        <f>IF(C415="","",IF(K415&gt;C415*1.01,"Covered area &gt; KBA area – check overlap; ","")&amp;IF(AND(E415&lt;&gt;"Y",F415&lt;&gt;"Y",J415&lt;&gt;"Y"),"No realm assigned; ",""))</f>
        <v/>
      </c>
    </row>
    <row r="416">
      <c r="A416" s="12" t="n"/>
      <c r="B416" s="12" t="n"/>
      <c r="C416" s="14" t="n"/>
      <c r="D416" s="34" t="n"/>
      <c r="E416" s="12" t="n"/>
      <c r="F416" s="12" t="n"/>
      <c r="G416" s="12" t="n"/>
      <c r="H416" s="14" t="n"/>
      <c r="I416" s="14" t="n"/>
      <c r="J416" s="30">
        <f>IF(C416="","",IF(N(D416)&gt;=Setup!$B$22,"Y","N"))</f>
        <v/>
      </c>
      <c r="K416" s="25">
        <f>IF(C416="","",N(H416)+N(I416))</f>
        <v/>
      </c>
      <c r="L416" s="26">
        <f>IF(N(C416)&gt;0,MIN(1,K416/C416),"")</f>
        <v/>
      </c>
      <c r="M416" s="26">
        <f>IF(N(C416)&gt;0,MIN(1,N(H416)/C416),"")</f>
        <v/>
      </c>
      <c r="N416" s="26">
        <f>IF(L416="","",L416-M416)</f>
        <v/>
      </c>
      <c r="O416" s="30">
        <f>IF(L416="","",IF(L416&gt;=Setup!$B$23,"Complete",IF(L416&gt;0,"Partial","None")))</f>
        <v/>
      </c>
      <c r="P416" s="30">
        <f>IF(C416="","",IF(K416&gt;C416*1.01,"Covered area &gt; KBA area – check overlap; ","")&amp;IF(AND(E416&lt;&gt;"Y",F416&lt;&gt;"Y",J416&lt;&gt;"Y"),"No realm assigned; ",""))</f>
        <v/>
      </c>
    </row>
    <row r="417">
      <c r="A417" s="12" t="n"/>
      <c r="B417" s="12" t="n"/>
      <c r="C417" s="14" t="n"/>
      <c r="D417" s="34" t="n"/>
      <c r="E417" s="12" t="n"/>
      <c r="F417" s="12" t="n"/>
      <c r="G417" s="12" t="n"/>
      <c r="H417" s="14" t="n"/>
      <c r="I417" s="14" t="n"/>
      <c r="J417" s="30">
        <f>IF(C417="","",IF(N(D417)&gt;=Setup!$B$22,"Y","N"))</f>
        <v/>
      </c>
      <c r="K417" s="25">
        <f>IF(C417="","",N(H417)+N(I417))</f>
        <v/>
      </c>
      <c r="L417" s="26">
        <f>IF(N(C417)&gt;0,MIN(1,K417/C417),"")</f>
        <v/>
      </c>
      <c r="M417" s="26">
        <f>IF(N(C417)&gt;0,MIN(1,N(H417)/C417),"")</f>
        <v/>
      </c>
      <c r="N417" s="26">
        <f>IF(L417="","",L417-M417)</f>
        <v/>
      </c>
      <c r="O417" s="30">
        <f>IF(L417="","",IF(L417&gt;=Setup!$B$23,"Complete",IF(L417&gt;0,"Partial","None")))</f>
        <v/>
      </c>
      <c r="P417" s="30">
        <f>IF(C417="","",IF(K417&gt;C417*1.01,"Covered area &gt; KBA area – check overlap; ","")&amp;IF(AND(E417&lt;&gt;"Y",F417&lt;&gt;"Y",J417&lt;&gt;"Y"),"No realm assigned; ",""))</f>
        <v/>
      </c>
    </row>
    <row r="418">
      <c r="A418" s="12" t="n"/>
      <c r="B418" s="12" t="n"/>
      <c r="C418" s="14" t="n"/>
      <c r="D418" s="34" t="n"/>
      <c r="E418" s="12" t="n"/>
      <c r="F418" s="12" t="n"/>
      <c r="G418" s="12" t="n"/>
      <c r="H418" s="14" t="n"/>
      <c r="I418" s="14" t="n"/>
      <c r="J418" s="30">
        <f>IF(C418="","",IF(N(D418)&gt;=Setup!$B$22,"Y","N"))</f>
        <v/>
      </c>
      <c r="K418" s="25">
        <f>IF(C418="","",N(H418)+N(I418))</f>
        <v/>
      </c>
      <c r="L418" s="26">
        <f>IF(N(C418)&gt;0,MIN(1,K418/C418),"")</f>
        <v/>
      </c>
      <c r="M418" s="26">
        <f>IF(N(C418)&gt;0,MIN(1,N(H418)/C418),"")</f>
        <v/>
      </c>
      <c r="N418" s="26">
        <f>IF(L418="","",L418-M418)</f>
        <v/>
      </c>
      <c r="O418" s="30">
        <f>IF(L418="","",IF(L418&gt;=Setup!$B$23,"Complete",IF(L418&gt;0,"Partial","None")))</f>
        <v/>
      </c>
      <c r="P418" s="30">
        <f>IF(C418="","",IF(K418&gt;C418*1.01,"Covered area &gt; KBA area – check overlap; ","")&amp;IF(AND(E418&lt;&gt;"Y",F418&lt;&gt;"Y",J418&lt;&gt;"Y"),"No realm assigned; ",""))</f>
        <v/>
      </c>
    </row>
    <row r="419">
      <c r="A419" s="12" t="n"/>
      <c r="B419" s="12" t="n"/>
      <c r="C419" s="14" t="n"/>
      <c r="D419" s="34" t="n"/>
      <c r="E419" s="12" t="n"/>
      <c r="F419" s="12" t="n"/>
      <c r="G419" s="12" t="n"/>
      <c r="H419" s="14" t="n"/>
      <c r="I419" s="14" t="n"/>
      <c r="J419" s="30">
        <f>IF(C419="","",IF(N(D419)&gt;=Setup!$B$22,"Y","N"))</f>
        <v/>
      </c>
      <c r="K419" s="25">
        <f>IF(C419="","",N(H419)+N(I419))</f>
        <v/>
      </c>
      <c r="L419" s="26">
        <f>IF(N(C419)&gt;0,MIN(1,K419/C419),"")</f>
        <v/>
      </c>
      <c r="M419" s="26">
        <f>IF(N(C419)&gt;0,MIN(1,N(H419)/C419),"")</f>
        <v/>
      </c>
      <c r="N419" s="26">
        <f>IF(L419="","",L419-M419)</f>
        <v/>
      </c>
      <c r="O419" s="30">
        <f>IF(L419="","",IF(L419&gt;=Setup!$B$23,"Complete",IF(L419&gt;0,"Partial","None")))</f>
        <v/>
      </c>
      <c r="P419" s="30">
        <f>IF(C419="","",IF(K419&gt;C419*1.01,"Covered area &gt; KBA area – check overlap; ","")&amp;IF(AND(E419&lt;&gt;"Y",F419&lt;&gt;"Y",J419&lt;&gt;"Y"),"No realm assigned; ",""))</f>
        <v/>
      </c>
    </row>
    <row r="420">
      <c r="A420" s="12" t="n"/>
      <c r="B420" s="12" t="n"/>
      <c r="C420" s="14" t="n"/>
      <c r="D420" s="34" t="n"/>
      <c r="E420" s="12" t="n"/>
      <c r="F420" s="12" t="n"/>
      <c r="G420" s="12" t="n"/>
      <c r="H420" s="14" t="n"/>
      <c r="I420" s="14" t="n"/>
      <c r="J420" s="30">
        <f>IF(C420="","",IF(N(D420)&gt;=Setup!$B$22,"Y","N"))</f>
        <v/>
      </c>
      <c r="K420" s="25">
        <f>IF(C420="","",N(H420)+N(I420))</f>
        <v/>
      </c>
      <c r="L420" s="26">
        <f>IF(N(C420)&gt;0,MIN(1,K420/C420),"")</f>
        <v/>
      </c>
      <c r="M420" s="26">
        <f>IF(N(C420)&gt;0,MIN(1,N(H420)/C420),"")</f>
        <v/>
      </c>
      <c r="N420" s="26">
        <f>IF(L420="","",L420-M420)</f>
        <v/>
      </c>
      <c r="O420" s="30">
        <f>IF(L420="","",IF(L420&gt;=Setup!$B$23,"Complete",IF(L420&gt;0,"Partial","None")))</f>
        <v/>
      </c>
      <c r="P420" s="30">
        <f>IF(C420="","",IF(K420&gt;C420*1.01,"Covered area &gt; KBA area – check overlap; ","")&amp;IF(AND(E420&lt;&gt;"Y",F420&lt;&gt;"Y",J420&lt;&gt;"Y"),"No realm assigned; ",""))</f>
        <v/>
      </c>
    </row>
    <row r="421">
      <c r="A421" s="12" t="n"/>
      <c r="B421" s="12" t="n"/>
      <c r="C421" s="14" t="n"/>
      <c r="D421" s="34" t="n"/>
      <c r="E421" s="12" t="n"/>
      <c r="F421" s="12" t="n"/>
      <c r="G421" s="12" t="n"/>
      <c r="H421" s="14" t="n"/>
      <c r="I421" s="14" t="n"/>
      <c r="J421" s="30">
        <f>IF(C421="","",IF(N(D421)&gt;=Setup!$B$22,"Y","N"))</f>
        <v/>
      </c>
      <c r="K421" s="25">
        <f>IF(C421="","",N(H421)+N(I421))</f>
        <v/>
      </c>
      <c r="L421" s="26">
        <f>IF(N(C421)&gt;0,MIN(1,K421/C421),"")</f>
        <v/>
      </c>
      <c r="M421" s="26">
        <f>IF(N(C421)&gt;0,MIN(1,N(H421)/C421),"")</f>
        <v/>
      </c>
      <c r="N421" s="26">
        <f>IF(L421="","",L421-M421)</f>
        <v/>
      </c>
      <c r="O421" s="30">
        <f>IF(L421="","",IF(L421&gt;=Setup!$B$23,"Complete",IF(L421&gt;0,"Partial","None")))</f>
        <v/>
      </c>
      <c r="P421" s="30">
        <f>IF(C421="","",IF(K421&gt;C421*1.01,"Covered area &gt; KBA area – check overlap; ","")&amp;IF(AND(E421&lt;&gt;"Y",F421&lt;&gt;"Y",J421&lt;&gt;"Y"),"No realm assigned; ",""))</f>
        <v/>
      </c>
    </row>
    <row r="422">
      <c r="A422" s="12" t="n"/>
      <c r="B422" s="12" t="n"/>
      <c r="C422" s="14" t="n"/>
      <c r="D422" s="34" t="n"/>
      <c r="E422" s="12" t="n"/>
      <c r="F422" s="12" t="n"/>
      <c r="G422" s="12" t="n"/>
      <c r="H422" s="14" t="n"/>
      <c r="I422" s="14" t="n"/>
      <c r="J422" s="30">
        <f>IF(C422="","",IF(N(D422)&gt;=Setup!$B$22,"Y","N"))</f>
        <v/>
      </c>
      <c r="K422" s="25">
        <f>IF(C422="","",N(H422)+N(I422))</f>
        <v/>
      </c>
      <c r="L422" s="26">
        <f>IF(N(C422)&gt;0,MIN(1,K422/C422),"")</f>
        <v/>
      </c>
      <c r="M422" s="26">
        <f>IF(N(C422)&gt;0,MIN(1,N(H422)/C422),"")</f>
        <v/>
      </c>
      <c r="N422" s="26">
        <f>IF(L422="","",L422-M422)</f>
        <v/>
      </c>
      <c r="O422" s="30">
        <f>IF(L422="","",IF(L422&gt;=Setup!$B$23,"Complete",IF(L422&gt;0,"Partial","None")))</f>
        <v/>
      </c>
      <c r="P422" s="30">
        <f>IF(C422="","",IF(K422&gt;C422*1.01,"Covered area &gt; KBA area – check overlap; ","")&amp;IF(AND(E422&lt;&gt;"Y",F422&lt;&gt;"Y",J422&lt;&gt;"Y"),"No realm assigned; ",""))</f>
        <v/>
      </c>
    </row>
    <row r="423">
      <c r="A423" s="12" t="n"/>
      <c r="B423" s="12" t="n"/>
      <c r="C423" s="14" t="n"/>
      <c r="D423" s="34" t="n"/>
      <c r="E423" s="12" t="n"/>
      <c r="F423" s="12" t="n"/>
      <c r="G423" s="12" t="n"/>
      <c r="H423" s="14" t="n"/>
      <c r="I423" s="14" t="n"/>
      <c r="J423" s="30">
        <f>IF(C423="","",IF(N(D423)&gt;=Setup!$B$22,"Y","N"))</f>
        <v/>
      </c>
      <c r="K423" s="25">
        <f>IF(C423="","",N(H423)+N(I423))</f>
        <v/>
      </c>
      <c r="L423" s="26">
        <f>IF(N(C423)&gt;0,MIN(1,K423/C423),"")</f>
        <v/>
      </c>
      <c r="M423" s="26">
        <f>IF(N(C423)&gt;0,MIN(1,N(H423)/C423),"")</f>
        <v/>
      </c>
      <c r="N423" s="26">
        <f>IF(L423="","",L423-M423)</f>
        <v/>
      </c>
      <c r="O423" s="30">
        <f>IF(L423="","",IF(L423&gt;=Setup!$B$23,"Complete",IF(L423&gt;0,"Partial","None")))</f>
        <v/>
      </c>
      <c r="P423" s="30">
        <f>IF(C423="","",IF(K423&gt;C423*1.01,"Covered area &gt; KBA area – check overlap; ","")&amp;IF(AND(E423&lt;&gt;"Y",F423&lt;&gt;"Y",J423&lt;&gt;"Y"),"No realm assigned; ",""))</f>
        <v/>
      </c>
    </row>
    <row r="424">
      <c r="A424" s="12" t="n"/>
      <c r="B424" s="12" t="n"/>
      <c r="C424" s="14" t="n"/>
      <c r="D424" s="34" t="n"/>
      <c r="E424" s="12" t="n"/>
      <c r="F424" s="12" t="n"/>
      <c r="G424" s="12" t="n"/>
      <c r="H424" s="14" t="n"/>
      <c r="I424" s="14" t="n"/>
      <c r="J424" s="30">
        <f>IF(C424="","",IF(N(D424)&gt;=Setup!$B$22,"Y","N"))</f>
        <v/>
      </c>
      <c r="K424" s="25">
        <f>IF(C424="","",N(H424)+N(I424))</f>
        <v/>
      </c>
      <c r="L424" s="26">
        <f>IF(N(C424)&gt;0,MIN(1,K424/C424),"")</f>
        <v/>
      </c>
      <c r="M424" s="26">
        <f>IF(N(C424)&gt;0,MIN(1,N(H424)/C424),"")</f>
        <v/>
      </c>
      <c r="N424" s="26">
        <f>IF(L424="","",L424-M424)</f>
        <v/>
      </c>
      <c r="O424" s="30">
        <f>IF(L424="","",IF(L424&gt;=Setup!$B$23,"Complete",IF(L424&gt;0,"Partial","None")))</f>
        <v/>
      </c>
      <c r="P424" s="30">
        <f>IF(C424="","",IF(K424&gt;C424*1.01,"Covered area &gt; KBA area – check overlap; ","")&amp;IF(AND(E424&lt;&gt;"Y",F424&lt;&gt;"Y",J424&lt;&gt;"Y"),"No realm assigned; ",""))</f>
        <v/>
      </c>
    </row>
    <row r="425">
      <c r="A425" s="12" t="n"/>
      <c r="B425" s="12" t="n"/>
      <c r="C425" s="14" t="n"/>
      <c r="D425" s="34" t="n"/>
      <c r="E425" s="12" t="n"/>
      <c r="F425" s="12" t="n"/>
      <c r="G425" s="12" t="n"/>
      <c r="H425" s="14" t="n"/>
      <c r="I425" s="14" t="n"/>
      <c r="J425" s="30">
        <f>IF(C425="","",IF(N(D425)&gt;=Setup!$B$22,"Y","N"))</f>
        <v/>
      </c>
      <c r="K425" s="25">
        <f>IF(C425="","",N(H425)+N(I425))</f>
        <v/>
      </c>
      <c r="L425" s="26">
        <f>IF(N(C425)&gt;0,MIN(1,K425/C425),"")</f>
        <v/>
      </c>
      <c r="M425" s="26">
        <f>IF(N(C425)&gt;0,MIN(1,N(H425)/C425),"")</f>
        <v/>
      </c>
      <c r="N425" s="26">
        <f>IF(L425="","",L425-M425)</f>
        <v/>
      </c>
      <c r="O425" s="30">
        <f>IF(L425="","",IF(L425&gt;=Setup!$B$23,"Complete",IF(L425&gt;0,"Partial","None")))</f>
        <v/>
      </c>
      <c r="P425" s="30">
        <f>IF(C425="","",IF(K425&gt;C425*1.01,"Covered area &gt; KBA area – check overlap; ","")&amp;IF(AND(E425&lt;&gt;"Y",F425&lt;&gt;"Y",J425&lt;&gt;"Y"),"No realm assigned; ",""))</f>
        <v/>
      </c>
    </row>
    <row r="426">
      <c r="A426" s="12" t="n"/>
      <c r="B426" s="12" t="n"/>
      <c r="C426" s="14" t="n"/>
      <c r="D426" s="34" t="n"/>
      <c r="E426" s="12" t="n"/>
      <c r="F426" s="12" t="n"/>
      <c r="G426" s="12" t="n"/>
      <c r="H426" s="14" t="n"/>
      <c r="I426" s="14" t="n"/>
      <c r="J426" s="30">
        <f>IF(C426="","",IF(N(D426)&gt;=Setup!$B$22,"Y","N"))</f>
        <v/>
      </c>
      <c r="K426" s="25">
        <f>IF(C426="","",N(H426)+N(I426))</f>
        <v/>
      </c>
      <c r="L426" s="26">
        <f>IF(N(C426)&gt;0,MIN(1,K426/C426),"")</f>
        <v/>
      </c>
      <c r="M426" s="26">
        <f>IF(N(C426)&gt;0,MIN(1,N(H426)/C426),"")</f>
        <v/>
      </c>
      <c r="N426" s="26">
        <f>IF(L426="","",L426-M426)</f>
        <v/>
      </c>
      <c r="O426" s="30">
        <f>IF(L426="","",IF(L426&gt;=Setup!$B$23,"Complete",IF(L426&gt;0,"Partial","None")))</f>
        <v/>
      </c>
      <c r="P426" s="30">
        <f>IF(C426="","",IF(K426&gt;C426*1.01,"Covered area &gt; KBA area – check overlap; ","")&amp;IF(AND(E426&lt;&gt;"Y",F426&lt;&gt;"Y",J426&lt;&gt;"Y"),"No realm assigned; ",""))</f>
        <v/>
      </c>
    </row>
    <row r="427">
      <c r="A427" s="12" t="n"/>
      <c r="B427" s="12" t="n"/>
      <c r="C427" s="14" t="n"/>
      <c r="D427" s="34" t="n"/>
      <c r="E427" s="12" t="n"/>
      <c r="F427" s="12" t="n"/>
      <c r="G427" s="12" t="n"/>
      <c r="H427" s="14" t="n"/>
      <c r="I427" s="14" t="n"/>
      <c r="J427" s="30">
        <f>IF(C427="","",IF(N(D427)&gt;=Setup!$B$22,"Y","N"))</f>
        <v/>
      </c>
      <c r="K427" s="25">
        <f>IF(C427="","",N(H427)+N(I427))</f>
        <v/>
      </c>
      <c r="L427" s="26">
        <f>IF(N(C427)&gt;0,MIN(1,K427/C427),"")</f>
        <v/>
      </c>
      <c r="M427" s="26">
        <f>IF(N(C427)&gt;0,MIN(1,N(H427)/C427),"")</f>
        <v/>
      </c>
      <c r="N427" s="26">
        <f>IF(L427="","",L427-M427)</f>
        <v/>
      </c>
      <c r="O427" s="30">
        <f>IF(L427="","",IF(L427&gt;=Setup!$B$23,"Complete",IF(L427&gt;0,"Partial","None")))</f>
        <v/>
      </c>
      <c r="P427" s="30">
        <f>IF(C427="","",IF(K427&gt;C427*1.01,"Covered area &gt; KBA area – check overlap; ","")&amp;IF(AND(E427&lt;&gt;"Y",F427&lt;&gt;"Y",J427&lt;&gt;"Y"),"No realm assigned; ",""))</f>
        <v/>
      </c>
    </row>
    <row r="428">
      <c r="A428" s="12" t="n"/>
      <c r="B428" s="12" t="n"/>
      <c r="C428" s="14" t="n"/>
      <c r="D428" s="34" t="n"/>
      <c r="E428" s="12" t="n"/>
      <c r="F428" s="12" t="n"/>
      <c r="G428" s="12" t="n"/>
      <c r="H428" s="14" t="n"/>
      <c r="I428" s="14" t="n"/>
      <c r="J428" s="30">
        <f>IF(C428="","",IF(N(D428)&gt;=Setup!$B$22,"Y","N"))</f>
        <v/>
      </c>
      <c r="K428" s="25">
        <f>IF(C428="","",N(H428)+N(I428))</f>
        <v/>
      </c>
      <c r="L428" s="26">
        <f>IF(N(C428)&gt;0,MIN(1,K428/C428),"")</f>
        <v/>
      </c>
      <c r="M428" s="26">
        <f>IF(N(C428)&gt;0,MIN(1,N(H428)/C428),"")</f>
        <v/>
      </c>
      <c r="N428" s="26">
        <f>IF(L428="","",L428-M428)</f>
        <v/>
      </c>
      <c r="O428" s="30">
        <f>IF(L428="","",IF(L428&gt;=Setup!$B$23,"Complete",IF(L428&gt;0,"Partial","None")))</f>
        <v/>
      </c>
      <c r="P428" s="30">
        <f>IF(C428="","",IF(K428&gt;C428*1.01,"Covered area &gt; KBA area – check overlap; ","")&amp;IF(AND(E428&lt;&gt;"Y",F428&lt;&gt;"Y",J428&lt;&gt;"Y"),"No realm assigned; ",""))</f>
        <v/>
      </c>
    </row>
    <row r="429">
      <c r="A429" s="12" t="n"/>
      <c r="B429" s="12" t="n"/>
      <c r="C429" s="14" t="n"/>
      <c r="D429" s="34" t="n"/>
      <c r="E429" s="12" t="n"/>
      <c r="F429" s="12" t="n"/>
      <c r="G429" s="12" t="n"/>
      <c r="H429" s="14" t="n"/>
      <c r="I429" s="14" t="n"/>
      <c r="J429" s="30">
        <f>IF(C429="","",IF(N(D429)&gt;=Setup!$B$22,"Y","N"))</f>
        <v/>
      </c>
      <c r="K429" s="25">
        <f>IF(C429="","",N(H429)+N(I429))</f>
        <v/>
      </c>
      <c r="L429" s="26">
        <f>IF(N(C429)&gt;0,MIN(1,K429/C429),"")</f>
        <v/>
      </c>
      <c r="M429" s="26">
        <f>IF(N(C429)&gt;0,MIN(1,N(H429)/C429),"")</f>
        <v/>
      </c>
      <c r="N429" s="26">
        <f>IF(L429="","",L429-M429)</f>
        <v/>
      </c>
      <c r="O429" s="30">
        <f>IF(L429="","",IF(L429&gt;=Setup!$B$23,"Complete",IF(L429&gt;0,"Partial","None")))</f>
        <v/>
      </c>
      <c r="P429" s="30">
        <f>IF(C429="","",IF(K429&gt;C429*1.01,"Covered area &gt; KBA area – check overlap; ","")&amp;IF(AND(E429&lt;&gt;"Y",F429&lt;&gt;"Y",J429&lt;&gt;"Y"),"No realm assigned; ",""))</f>
        <v/>
      </c>
    </row>
    <row r="430">
      <c r="A430" s="12" t="n"/>
      <c r="B430" s="12" t="n"/>
      <c r="C430" s="14" t="n"/>
      <c r="D430" s="34" t="n"/>
      <c r="E430" s="12" t="n"/>
      <c r="F430" s="12" t="n"/>
      <c r="G430" s="12" t="n"/>
      <c r="H430" s="14" t="n"/>
      <c r="I430" s="14" t="n"/>
      <c r="J430" s="30">
        <f>IF(C430="","",IF(N(D430)&gt;=Setup!$B$22,"Y","N"))</f>
        <v/>
      </c>
      <c r="K430" s="25">
        <f>IF(C430="","",N(H430)+N(I430))</f>
        <v/>
      </c>
      <c r="L430" s="26">
        <f>IF(N(C430)&gt;0,MIN(1,K430/C430),"")</f>
        <v/>
      </c>
      <c r="M430" s="26">
        <f>IF(N(C430)&gt;0,MIN(1,N(H430)/C430),"")</f>
        <v/>
      </c>
      <c r="N430" s="26">
        <f>IF(L430="","",L430-M430)</f>
        <v/>
      </c>
      <c r="O430" s="30">
        <f>IF(L430="","",IF(L430&gt;=Setup!$B$23,"Complete",IF(L430&gt;0,"Partial","None")))</f>
        <v/>
      </c>
      <c r="P430" s="30">
        <f>IF(C430="","",IF(K430&gt;C430*1.01,"Covered area &gt; KBA area – check overlap; ","")&amp;IF(AND(E430&lt;&gt;"Y",F430&lt;&gt;"Y",J430&lt;&gt;"Y"),"No realm assigned; ",""))</f>
        <v/>
      </c>
    </row>
    <row r="431">
      <c r="A431" s="12" t="n"/>
      <c r="B431" s="12" t="n"/>
      <c r="C431" s="14" t="n"/>
      <c r="D431" s="34" t="n"/>
      <c r="E431" s="12" t="n"/>
      <c r="F431" s="12" t="n"/>
      <c r="G431" s="12" t="n"/>
      <c r="H431" s="14" t="n"/>
      <c r="I431" s="14" t="n"/>
      <c r="J431" s="30">
        <f>IF(C431="","",IF(N(D431)&gt;=Setup!$B$22,"Y","N"))</f>
        <v/>
      </c>
      <c r="K431" s="25">
        <f>IF(C431="","",N(H431)+N(I431))</f>
        <v/>
      </c>
      <c r="L431" s="26">
        <f>IF(N(C431)&gt;0,MIN(1,K431/C431),"")</f>
        <v/>
      </c>
      <c r="M431" s="26">
        <f>IF(N(C431)&gt;0,MIN(1,N(H431)/C431),"")</f>
        <v/>
      </c>
      <c r="N431" s="26">
        <f>IF(L431="","",L431-M431)</f>
        <v/>
      </c>
      <c r="O431" s="30">
        <f>IF(L431="","",IF(L431&gt;=Setup!$B$23,"Complete",IF(L431&gt;0,"Partial","None")))</f>
        <v/>
      </c>
      <c r="P431" s="30">
        <f>IF(C431="","",IF(K431&gt;C431*1.01,"Covered area &gt; KBA area – check overlap; ","")&amp;IF(AND(E431&lt;&gt;"Y",F431&lt;&gt;"Y",J431&lt;&gt;"Y"),"No realm assigned; ",""))</f>
        <v/>
      </c>
    </row>
    <row r="432">
      <c r="A432" s="12" t="n"/>
      <c r="B432" s="12" t="n"/>
      <c r="C432" s="14" t="n"/>
      <c r="D432" s="34" t="n"/>
      <c r="E432" s="12" t="n"/>
      <c r="F432" s="12" t="n"/>
      <c r="G432" s="12" t="n"/>
      <c r="H432" s="14" t="n"/>
      <c r="I432" s="14" t="n"/>
      <c r="J432" s="30">
        <f>IF(C432="","",IF(N(D432)&gt;=Setup!$B$22,"Y","N"))</f>
        <v/>
      </c>
      <c r="K432" s="25">
        <f>IF(C432="","",N(H432)+N(I432))</f>
        <v/>
      </c>
      <c r="L432" s="26">
        <f>IF(N(C432)&gt;0,MIN(1,K432/C432),"")</f>
        <v/>
      </c>
      <c r="M432" s="26">
        <f>IF(N(C432)&gt;0,MIN(1,N(H432)/C432),"")</f>
        <v/>
      </c>
      <c r="N432" s="26">
        <f>IF(L432="","",L432-M432)</f>
        <v/>
      </c>
      <c r="O432" s="30">
        <f>IF(L432="","",IF(L432&gt;=Setup!$B$23,"Complete",IF(L432&gt;0,"Partial","None")))</f>
        <v/>
      </c>
      <c r="P432" s="30">
        <f>IF(C432="","",IF(K432&gt;C432*1.01,"Covered area &gt; KBA area – check overlap; ","")&amp;IF(AND(E432&lt;&gt;"Y",F432&lt;&gt;"Y",J432&lt;&gt;"Y"),"No realm assigned; ",""))</f>
        <v/>
      </c>
    </row>
    <row r="433">
      <c r="A433" s="12" t="n"/>
      <c r="B433" s="12" t="n"/>
      <c r="C433" s="14" t="n"/>
      <c r="D433" s="34" t="n"/>
      <c r="E433" s="12" t="n"/>
      <c r="F433" s="12" t="n"/>
      <c r="G433" s="12" t="n"/>
      <c r="H433" s="14" t="n"/>
      <c r="I433" s="14" t="n"/>
      <c r="J433" s="30">
        <f>IF(C433="","",IF(N(D433)&gt;=Setup!$B$22,"Y","N"))</f>
        <v/>
      </c>
      <c r="K433" s="25">
        <f>IF(C433="","",N(H433)+N(I433))</f>
        <v/>
      </c>
      <c r="L433" s="26">
        <f>IF(N(C433)&gt;0,MIN(1,K433/C433),"")</f>
        <v/>
      </c>
      <c r="M433" s="26">
        <f>IF(N(C433)&gt;0,MIN(1,N(H433)/C433),"")</f>
        <v/>
      </c>
      <c r="N433" s="26">
        <f>IF(L433="","",L433-M433)</f>
        <v/>
      </c>
      <c r="O433" s="30">
        <f>IF(L433="","",IF(L433&gt;=Setup!$B$23,"Complete",IF(L433&gt;0,"Partial","None")))</f>
        <v/>
      </c>
      <c r="P433" s="30">
        <f>IF(C433="","",IF(K433&gt;C433*1.01,"Covered area &gt; KBA area – check overlap; ","")&amp;IF(AND(E433&lt;&gt;"Y",F433&lt;&gt;"Y",J433&lt;&gt;"Y"),"No realm assigned; ",""))</f>
        <v/>
      </c>
    </row>
    <row r="434">
      <c r="A434" s="12" t="n"/>
      <c r="B434" s="12" t="n"/>
      <c r="C434" s="14" t="n"/>
      <c r="D434" s="34" t="n"/>
      <c r="E434" s="12" t="n"/>
      <c r="F434" s="12" t="n"/>
      <c r="G434" s="12" t="n"/>
      <c r="H434" s="14" t="n"/>
      <c r="I434" s="14" t="n"/>
      <c r="J434" s="30">
        <f>IF(C434="","",IF(N(D434)&gt;=Setup!$B$22,"Y","N"))</f>
        <v/>
      </c>
      <c r="K434" s="25">
        <f>IF(C434="","",N(H434)+N(I434))</f>
        <v/>
      </c>
      <c r="L434" s="26">
        <f>IF(N(C434)&gt;0,MIN(1,K434/C434),"")</f>
        <v/>
      </c>
      <c r="M434" s="26">
        <f>IF(N(C434)&gt;0,MIN(1,N(H434)/C434),"")</f>
        <v/>
      </c>
      <c r="N434" s="26">
        <f>IF(L434="","",L434-M434)</f>
        <v/>
      </c>
      <c r="O434" s="30">
        <f>IF(L434="","",IF(L434&gt;=Setup!$B$23,"Complete",IF(L434&gt;0,"Partial","None")))</f>
        <v/>
      </c>
      <c r="P434" s="30">
        <f>IF(C434="","",IF(K434&gt;C434*1.01,"Covered area &gt; KBA area – check overlap; ","")&amp;IF(AND(E434&lt;&gt;"Y",F434&lt;&gt;"Y",J434&lt;&gt;"Y"),"No realm assigned; ",""))</f>
        <v/>
      </c>
    </row>
    <row r="435">
      <c r="A435" s="12" t="n"/>
      <c r="B435" s="12" t="n"/>
      <c r="C435" s="14" t="n"/>
      <c r="D435" s="34" t="n"/>
      <c r="E435" s="12" t="n"/>
      <c r="F435" s="12" t="n"/>
      <c r="G435" s="12" t="n"/>
      <c r="H435" s="14" t="n"/>
      <c r="I435" s="14" t="n"/>
      <c r="J435" s="30">
        <f>IF(C435="","",IF(N(D435)&gt;=Setup!$B$22,"Y","N"))</f>
        <v/>
      </c>
      <c r="K435" s="25">
        <f>IF(C435="","",N(H435)+N(I435))</f>
        <v/>
      </c>
      <c r="L435" s="26">
        <f>IF(N(C435)&gt;0,MIN(1,K435/C435),"")</f>
        <v/>
      </c>
      <c r="M435" s="26">
        <f>IF(N(C435)&gt;0,MIN(1,N(H435)/C435),"")</f>
        <v/>
      </c>
      <c r="N435" s="26">
        <f>IF(L435="","",L435-M435)</f>
        <v/>
      </c>
      <c r="O435" s="30">
        <f>IF(L435="","",IF(L435&gt;=Setup!$B$23,"Complete",IF(L435&gt;0,"Partial","None")))</f>
        <v/>
      </c>
      <c r="P435" s="30">
        <f>IF(C435="","",IF(K435&gt;C435*1.01,"Covered area &gt; KBA area – check overlap; ","")&amp;IF(AND(E435&lt;&gt;"Y",F435&lt;&gt;"Y",J435&lt;&gt;"Y"),"No realm assigned; ",""))</f>
        <v/>
      </c>
    </row>
    <row r="436">
      <c r="A436" s="12" t="n"/>
      <c r="B436" s="12" t="n"/>
      <c r="C436" s="14" t="n"/>
      <c r="D436" s="34" t="n"/>
      <c r="E436" s="12" t="n"/>
      <c r="F436" s="12" t="n"/>
      <c r="G436" s="12" t="n"/>
      <c r="H436" s="14" t="n"/>
      <c r="I436" s="14" t="n"/>
      <c r="J436" s="30">
        <f>IF(C436="","",IF(N(D436)&gt;=Setup!$B$22,"Y","N"))</f>
        <v/>
      </c>
      <c r="K436" s="25">
        <f>IF(C436="","",N(H436)+N(I436))</f>
        <v/>
      </c>
      <c r="L436" s="26">
        <f>IF(N(C436)&gt;0,MIN(1,K436/C436),"")</f>
        <v/>
      </c>
      <c r="M436" s="26">
        <f>IF(N(C436)&gt;0,MIN(1,N(H436)/C436),"")</f>
        <v/>
      </c>
      <c r="N436" s="26">
        <f>IF(L436="","",L436-M436)</f>
        <v/>
      </c>
      <c r="O436" s="30">
        <f>IF(L436="","",IF(L436&gt;=Setup!$B$23,"Complete",IF(L436&gt;0,"Partial","None")))</f>
        <v/>
      </c>
      <c r="P436" s="30">
        <f>IF(C436="","",IF(K436&gt;C436*1.01,"Covered area &gt; KBA area – check overlap; ","")&amp;IF(AND(E436&lt;&gt;"Y",F436&lt;&gt;"Y",J436&lt;&gt;"Y"),"No realm assigned; ",""))</f>
        <v/>
      </c>
    </row>
    <row r="437">
      <c r="A437" s="12" t="n"/>
      <c r="B437" s="12" t="n"/>
      <c r="C437" s="14" t="n"/>
      <c r="D437" s="34" t="n"/>
      <c r="E437" s="12" t="n"/>
      <c r="F437" s="12" t="n"/>
      <c r="G437" s="12" t="n"/>
      <c r="H437" s="14" t="n"/>
      <c r="I437" s="14" t="n"/>
      <c r="J437" s="30">
        <f>IF(C437="","",IF(N(D437)&gt;=Setup!$B$22,"Y","N"))</f>
        <v/>
      </c>
      <c r="K437" s="25">
        <f>IF(C437="","",N(H437)+N(I437))</f>
        <v/>
      </c>
      <c r="L437" s="26">
        <f>IF(N(C437)&gt;0,MIN(1,K437/C437),"")</f>
        <v/>
      </c>
      <c r="M437" s="26">
        <f>IF(N(C437)&gt;0,MIN(1,N(H437)/C437),"")</f>
        <v/>
      </c>
      <c r="N437" s="26">
        <f>IF(L437="","",L437-M437)</f>
        <v/>
      </c>
      <c r="O437" s="30">
        <f>IF(L437="","",IF(L437&gt;=Setup!$B$23,"Complete",IF(L437&gt;0,"Partial","None")))</f>
        <v/>
      </c>
      <c r="P437" s="30">
        <f>IF(C437="","",IF(K437&gt;C437*1.01,"Covered area &gt; KBA area – check overlap; ","")&amp;IF(AND(E437&lt;&gt;"Y",F437&lt;&gt;"Y",J437&lt;&gt;"Y"),"No realm assigned; ",""))</f>
        <v/>
      </c>
    </row>
    <row r="438">
      <c r="A438" s="12" t="n"/>
      <c r="B438" s="12" t="n"/>
      <c r="C438" s="14" t="n"/>
      <c r="D438" s="34" t="n"/>
      <c r="E438" s="12" t="n"/>
      <c r="F438" s="12" t="n"/>
      <c r="G438" s="12" t="n"/>
      <c r="H438" s="14" t="n"/>
      <c r="I438" s="14" t="n"/>
      <c r="J438" s="30">
        <f>IF(C438="","",IF(N(D438)&gt;=Setup!$B$22,"Y","N"))</f>
        <v/>
      </c>
      <c r="K438" s="25">
        <f>IF(C438="","",N(H438)+N(I438))</f>
        <v/>
      </c>
      <c r="L438" s="26">
        <f>IF(N(C438)&gt;0,MIN(1,K438/C438),"")</f>
        <v/>
      </c>
      <c r="M438" s="26">
        <f>IF(N(C438)&gt;0,MIN(1,N(H438)/C438),"")</f>
        <v/>
      </c>
      <c r="N438" s="26">
        <f>IF(L438="","",L438-M438)</f>
        <v/>
      </c>
      <c r="O438" s="30">
        <f>IF(L438="","",IF(L438&gt;=Setup!$B$23,"Complete",IF(L438&gt;0,"Partial","None")))</f>
        <v/>
      </c>
      <c r="P438" s="30">
        <f>IF(C438="","",IF(K438&gt;C438*1.01,"Covered area &gt; KBA area – check overlap; ","")&amp;IF(AND(E438&lt;&gt;"Y",F438&lt;&gt;"Y",J438&lt;&gt;"Y"),"No realm assigned; ",""))</f>
        <v/>
      </c>
    </row>
    <row r="439">
      <c r="A439" s="12" t="n"/>
      <c r="B439" s="12" t="n"/>
      <c r="C439" s="14" t="n"/>
      <c r="D439" s="34" t="n"/>
      <c r="E439" s="12" t="n"/>
      <c r="F439" s="12" t="n"/>
      <c r="G439" s="12" t="n"/>
      <c r="H439" s="14" t="n"/>
      <c r="I439" s="14" t="n"/>
      <c r="J439" s="30">
        <f>IF(C439="","",IF(N(D439)&gt;=Setup!$B$22,"Y","N"))</f>
        <v/>
      </c>
      <c r="K439" s="25">
        <f>IF(C439="","",N(H439)+N(I439))</f>
        <v/>
      </c>
      <c r="L439" s="26">
        <f>IF(N(C439)&gt;0,MIN(1,K439/C439),"")</f>
        <v/>
      </c>
      <c r="M439" s="26">
        <f>IF(N(C439)&gt;0,MIN(1,N(H439)/C439),"")</f>
        <v/>
      </c>
      <c r="N439" s="26">
        <f>IF(L439="","",L439-M439)</f>
        <v/>
      </c>
      <c r="O439" s="30">
        <f>IF(L439="","",IF(L439&gt;=Setup!$B$23,"Complete",IF(L439&gt;0,"Partial","None")))</f>
        <v/>
      </c>
      <c r="P439" s="30">
        <f>IF(C439="","",IF(K439&gt;C439*1.01,"Covered area &gt; KBA area – check overlap; ","")&amp;IF(AND(E439&lt;&gt;"Y",F439&lt;&gt;"Y",J439&lt;&gt;"Y"),"No realm assigned; ",""))</f>
        <v/>
      </c>
    </row>
    <row r="440">
      <c r="A440" s="12" t="n"/>
      <c r="B440" s="12" t="n"/>
      <c r="C440" s="14" t="n"/>
      <c r="D440" s="34" t="n"/>
      <c r="E440" s="12" t="n"/>
      <c r="F440" s="12" t="n"/>
      <c r="G440" s="12" t="n"/>
      <c r="H440" s="14" t="n"/>
      <c r="I440" s="14" t="n"/>
      <c r="J440" s="30">
        <f>IF(C440="","",IF(N(D440)&gt;=Setup!$B$22,"Y","N"))</f>
        <v/>
      </c>
      <c r="K440" s="25">
        <f>IF(C440="","",N(H440)+N(I440))</f>
        <v/>
      </c>
      <c r="L440" s="26">
        <f>IF(N(C440)&gt;0,MIN(1,K440/C440),"")</f>
        <v/>
      </c>
      <c r="M440" s="26">
        <f>IF(N(C440)&gt;0,MIN(1,N(H440)/C440),"")</f>
        <v/>
      </c>
      <c r="N440" s="26">
        <f>IF(L440="","",L440-M440)</f>
        <v/>
      </c>
      <c r="O440" s="30">
        <f>IF(L440="","",IF(L440&gt;=Setup!$B$23,"Complete",IF(L440&gt;0,"Partial","None")))</f>
        <v/>
      </c>
      <c r="P440" s="30">
        <f>IF(C440="","",IF(K440&gt;C440*1.01,"Covered area &gt; KBA area – check overlap; ","")&amp;IF(AND(E440&lt;&gt;"Y",F440&lt;&gt;"Y",J440&lt;&gt;"Y"),"No realm assigned; ",""))</f>
        <v/>
      </c>
    </row>
    <row r="441">
      <c r="A441" s="12" t="n"/>
      <c r="B441" s="12" t="n"/>
      <c r="C441" s="14" t="n"/>
      <c r="D441" s="34" t="n"/>
      <c r="E441" s="12" t="n"/>
      <c r="F441" s="12" t="n"/>
      <c r="G441" s="12" t="n"/>
      <c r="H441" s="14" t="n"/>
      <c r="I441" s="14" t="n"/>
      <c r="J441" s="30">
        <f>IF(C441="","",IF(N(D441)&gt;=Setup!$B$22,"Y","N"))</f>
        <v/>
      </c>
      <c r="K441" s="25">
        <f>IF(C441="","",N(H441)+N(I441))</f>
        <v/>
      </c>
      <c r="L441" s="26">
        <f>IF(N(C441)&gt;0,MIN(1,K441/C441),"")</f>
        <v/>
      </c>
      <c r="M441" s="26">
        <f>IF(N(C441)&gt;0,MIN(1,N(H441)/C441),"")</f>
        <v/>
      </c>
      <c r="N441" s="26">
        <f>IF(L441="","",L441-M441)</f>
        <v/>
      </c>
      <c r="O441" s="30">
        <f>IF(L441="","",IF(L441&gt;=Setup!$B$23,"Complete",IF(L441&gt;0,"Partial","None")))</f>
        <v/>
      </c>
      <c r="P441" s="30">
        <f>IF(C441="","",IF(K441&gt;C441*1.01,"Covered area &gt; KBA area – check overlap; ","")&amp;IF(AND(E441&lt;&gt;"Y",F441&lt;&gt;"Y",J441&lt;&gt;"Y"),"No realm assigned; ",""))</f>
        <v/>
      </c>
    </row>
    <row r="442">
      <c r="A442" s="12" t="n"/>
      <c r="B442" s="12" t="n"/>
      <c r="C442" s="14" t="n"/>
      <c r="D442" s="34" t="n"/>
      <c r="E442" s="12" t="n"/>
      <c r="F442" s="12" t="n"/>
      <c r="G442" s="12" t="n"/>
      <c r="H442" s="14" t="n"/>
      <c r="I442" s="14" t="n"/>
      <c r="J442" s="30">
        <f>IF(C442="","",IF(N(D442)&gt;=Setup!$B$22,"Y","N"))</f>
        <v/>
      </c>
      <c r="K442" s="25">
        <f>IF(C442="","",N(H442)+N(I442))</f>
        <v/>
      </c>
      <c r="L442" s="26">
        <f>IF(N(C442)&gt;0,MIN(1,K442/C442),"")</f>
        <v/>
      </c>
      <c r="M442" s="26">
        <f>IF(N(C442)&gt;0,MIN(1,N(H442)/C442),"")</f>
        <v/>
      </c>
      <c r="N442" s="26">
        <f>IF(L442="","",L442-M442)</f>
        <v/>
      </c>
      <c r="O442" s="30">
        <f>IF(L442="","",IF(L442&gt;=Setup!$B$23,"Complete",IF(L442&gt;0,"Partial","None")))</f>
        <v/>
      </c>
      <c r="P442" s="30">
        <f>IF(C442="","",IF(K442&gt;C442*1.01,"Covered area &gt; KBA area – check overlap; ","")&amp;IF(AND(E442&lt;&gt;"Y",F442&lt;&gt;"Y",J442&lt;&gt;"Y"),"No realm assigned; ",""))</f>
        <v/>
      </c>
    </row>
    <row r="443">
      <c r="A443" s="12" t="n"/>
      <c r="B443" s="12" t="n"/>
      <c r="C443" s="14" t="n"/>
      <c r="D443" s="34" t="n"/>
      <c r="E443" s="12" t="n"/>
      <c r="F443" s="12" t="n"/>
      <c r="G443" s="12" t="n"/>
      <c r="H443" s="14" t="n"/>
      <c r="I443" s="14" t="n"/>
      <c r="J443" s="30">
        <f>IF(C443="","",IF(N(D443)&gt;=Setup!$B$22,"Y","N"))</f>
        <v/>
      </c>
      <c r="K443" s="25">
        <f>IF(C443="","",N(H443)+N(I443))</f>
        <v/>
      </c>
      <c r="L443" s="26">
        <f>IF(N(C443)&gt;0,MIN(1,K443/C443),"")</f>
        <v/>
      </c>
      <c r="M443" s="26">
        <f>IF(N(C443)&gt;0,MIN(1,N(H443)/C443),"")</f>
        <v/>
      </c>
      <c r="N443" s="26">
        <f>IF(L443="","",L443-M443)</f>
        <v/>
      </c>
      <c r="O443" s="30">
        <f>IF(L443="","",IF(L443&gt;=Setup!$B$23,"Complete",IF(L443&gt;0,"Partial","None")))</f>
        <v/>
      </c>
      <c r="P443" s="30">
        <f>IF(C443="","",IF(K443&gt;C443*1.01,"Covered area &gt; KBA area – check overlap; ","")&amp;IF(AND(E443&lt;&gt;"Y",F443&lt;&gt;"Y",J443&lt;&gt;"Y"),"No realm assigned; ",""))</f>
        <v/>
      </c>
    </row>
    <row r="444">
      <c r="A444" s="12" t="n"/>
      <c r="B444" s="12" t="n"/>
      <c r="C444" s="14" t="n"/>
      <c r="D444" s="34" t="n"/>
      <c r="E444" s="12" t="n"/>
      <c r="F444" s="12" t="n"/>
      <c r="G444" s="12" t="n"/>
      <c r="H444" s="14" t="n"/>
      <c r="I444" s="14" t="n"/>
      <c r="J444" s="30">
        <f>IF(C444="","",IF(N(D444)&gt;=Setup!$B$22,"Y","N"))</f>
        <v/>
      </c>
      <c r="K444" s="25">
        <f>IF(C444="","",N(H444)+N(I444))</f>
        <v/>
      </c>
      <c r="L444" s="26">
        <f>IF(N(C444)&gt;0,MIN(1,K444/C444),"")</f>
        <v/>
      </c>
      <c r="M444" s="26">
        <f>IF(N(C444)&gt;0,MIN(1,N(H444)/C444),"")</f>
        <v/>
      </c>
      <c r="N444" s="26">
        <f>IF(L444="","",L444-M444)</f>
        <v/>
      </c>
      <c r="O444" s="30">
        <f>IF(L444="","",IF(L444&gt;=Setup!$B$23,"Complete",IF(L444&gt;0,"Partial","None")))</f>
        <v/>
      </c>
      <c r="P444" s="30">
        <f>IF(C444="","",IF(K444&gt;C444*1.01,"Covered area &gt; KBA area – check overlap; ","")&amp;IF(AND(E444&lt;&gt;"Y",F444&lt;&gt;"Y",J444&lt;&gt;"Y"),"No realm assigned; ",""))</f>
        <v/>
      </c>
    </row>
    <row r="445">
      <c r="A445" s="12" t="n"/>
      <c r="B445" s="12" t="n"/>
      <c r="C445" s="14" t="n"/>
      <c r="D445" s="34" t="n"/>
      <c r="E445" s="12" t="n"/>
      <c r="F445" s="12" t="n"/>
      <c r="G445" s="12" t="n"/>
      <c r="H445" s="14" t="n"/>
      <c r="I445" s="14" t="n"/>
      <c r="J445" s="30">
        <f>IF(C445="","",IF(N(D445)&gt;=Setup!$B$22,"Y","N"))</f>
        <v/>
      </c>
      <c r="K445" s="25">
        <f>IF(C445="","",N(H445)+N(I445))</f>
        <v/>
      </c>
      <c r="L445" s="26">
        <f>IF(N(C445)&gt;0,MIN(1,K445/C445),"")</f>
        <v/>
      </c>
      <c r="M445" s="26">
        <f>IF(N(C445)&gt;0,MIN(1,N(H445)/C445),"")</f>
        <v/>
      </c>
      <c r="N445" s="26">
        <f>IF(L445="","",L445-M445)</f>
        <v/>
      </c>
      <c r="O445" s="30">
        <f>IF(L445="","",IF(L445&gt;=Setup!$B$23,"Complete",IF(L445&gt;0,"Partial","None")))</f>
        <v/>
      </c>
      <c r="P445" s="30">
        <f>IF(C445="","",IF(K445&gt;C445*1.01,"Covered area &gt; KBA area – check overlap; ","")&amp;IF(AND(E445&lt;&gt;"Y",F445&lt;&gt;"Y",J445&lt;&gt;"Y"),"No realm assigned; ",""))</f>
        <v/>
      </c>
    </row>
    <row r="446">
      <c r="A446" s="12" t="n"/>
      <c r="B446" s="12" t="n"/>
      <c r="C446" s="14" t="n"/>
      <c r="D446" s="34" t="n"/>
      <c r="E446" s="12" t="n"/>
      <c r="F446" s="12" t="n"/>
      <c r="G446" s="12" t="n"/>
      <c r="H446" s="14" t="n"/>
      <c r="I446" s="14" t="n"/>
      <c r="J446" s="30">
        <f>IF(C446="","",IF(N(D446)&gt;=Setup!$B$22,"Y","N"))</f>
        <v/>
      </c>
      <c r="K446" s="25">
        <f>IF(C446="","",N(H446)+N(I446))</f>
        <v/>
      </c>
      <c r="L446" s="26">
        <f>IF(N(C446)&gt;0,MIN(1,K446/C446),"")</f>
        <v/>
      </c>
      <c r="M446" s="26">
        <f>IF(N(C446)&gt;0,MIN(1,N(H446)/C446),"")</f>
        <v/>
      </c>
      <c r="N446" s="26">
        <f>IF(L446="","",L446-M446)</f>
        <v/>
      </c>
      <c r="O446" s="30">
        <f>IF(L446="","",IF(L446&gt;=Setup!$B$23,"Complete",IF(L446&gt;0,"Partial","None")))</f>
        <v/>
      </c>
      <c r="P446" s="30">
        <f>IF(C446="","",IF(K446&gt;C446*1.01,"Covered area &gt; KBA area – check overlap; ","")&amp;IF(AND(E446&lt;&gt;"Y",F446&lt;&gt;"Y",J446&lt;&gt;"Y"),"No realm assigned; ",""))</f>
        <v/>
      </c>
    </row>
    <row r="447">
      <c r="A447" s="12" t="n"/>
      <c r="B447" s="12" t="n"/>
      <c r="C447" s="14" t="n"/>
      <c r="D447" s="34" t="n"/>
      <c r="E447" s="12" t="n"/>
      <c r="F447" s="12" t="n"/>
      <c r="G447" s="12" t="n"/>
      <c r="H447" s="14" t="n"/>
      <c r="I447" s="14" t="n"/>
      <c r="J447" s="30">
        <f>IF(C447="","",IF(N(D447)&gt;=Setup!$B$22,"Y","N"))</f>
        <v/>
      </c>
      <c r="K447" s="25">
        <f>IF(C447="","",N(H447)+N(I447))</f>
        <v/>
      </c>
      <c r="L447" s="26">
        <f>IF(N(C447)&gt;0,MIN(1,K447/C447),"")</f>
        <v/>
      </c>
      <c r="M447" s="26">
        <f>IF(N(C447)&gt;0,MIN(1,N(H447)/C447),"")</f>
        <v/>
      </c>
      <c r="N447" s="26">
        <f>IF(L447="","",L447-M447)</f>
        <v/>
      </c>
      <c r="O447" s="30">
        <f>IF(L447="","",IF(L447&gt;=Setup!$B$23,"Complete",IF(L447&gt;0,"Partial","None")))</f>
        <v/>
      </c>
      <c r="P447" s="30">
        <f>IF(C447="","",IF(K447&gt;C447*1.01,"Covered area &gt; KBA area – check overlap; ","")&amp;IF(AND(E447&lt;&gt;"Y",F447&lt;&gt;"Y",J447&lt;&gt;"Y"),"No realm assigned; ",""))</f>
        <v/>
      </c>
    </row>
    <row r="448">
      <c r="A448" s="12" t="n"/>
      <c r="B448" s="12" t="n"/>
      <c r="C448" s="14" t="n"/>
      <c r="D448" s="34" t="n"/>
      <c r="E448" s="12" t="n"/>
      <c r="F448" s="12" t="n"/>
      <c r="G448" s="12" t="n"/>
      <c r="H448" s="14" t="n"/>
      <c r="I448" s="14" t="n"/>
      <c r="J448" s="30">
        <f>IF(C448="","",IF(N(D448)&gt;=Setup!$B$22,"Y","N"))</f>
        <v/>
      </c>
      <c r="K448" s="25">
        <f>IF(C448="","",N(H448)+N(I448))</f>
        <v/>
      </c>
      <c r="L448" s="26">
        <f>IF(N(C448)&gt;0,MIN(1,K448/C448),"")</f>
        <v/>
      </c>
      <c r="M448" s="26">
        <f>IF(N(C448)&gt;0,MIN(1,N(H448)/C448),"")</f>
        <v/>
      </c>
      <c r="N448" s="26">
        <f>IF(L448="","",L448-M448)</f>
        <v/>
      </c>
      <c r="O448" s="30">
        <f>IF(L448="","",IF(L448&gt;=Setup!$B$23,"Complete",IF(L448&gt;0,"Partial","None")))</f>
        <v/>
      </c>
      <c r="P448" s="30">
        <f>IF(C448="","",IF(K448&gt;C448*1.01,"Covered area &gt; KBA area – check overlap; ","")&amp;IF(AND(E448&lt;&gt;"Y",F448&lt;&gt;"Y",J448&lt;&gt;"Y"),"No realm assigned; ",""))</f>
        <v/>
      </c>
    </row>
    <row r="449">
      <c r="A449" s="12" t="n"/>
      <c r="B449" s="12" t="n"/>
      <c r="C449" s="14" t="n"/>
      <c r="D449" s="34" t="n"/>
      <c r="E449" s="12" t="n"/>
      <c r="F449" s="12" t="n"/>
      <c r="G449" s="12" t="n"/>
      <c r="H449" s="14" t="n"/>
      <c r="I449" s="14" t="n"/>
      <c r="J449" s="30">
        <f>IF(C449="","",IF(N(D449)&gt;=Setup!$B$22,"Y","N"))</f>
        <v/>
      </c>
      <c r="K449" s="25">
        <f>IF(C449="","",N(H449)+N(I449))</f>
        <v/>
      </c>
      <c r="L449" s="26">
        <f>IF(N(C449)&gt;0,MIN(1,K449/C449),"")</f>
        <v/>
      </c>
      <c r="M449" s="26">
        <f>IF(N(C449)&gt;0,MIN(1,N(H449)/C449),"")</f>
        <v/>
      </c>
      <c r="N449" s="26">
        <f>IF(L449="","",L449-M449)</f>
        <v/>
      </c>
      <c r="O449" s="30">
        <f>IF(L449="","",IF(L449&gt;=Setup!$B$23,"Complete",IF(L449&gt;0,"Partial","None")))</f>
        <v/>
      </c>
      <c r="P449" s="30">
        <f>IF(C449="","",IF(K449&gt;C449*1.01,"Covered area &gt; KBA area – check overlap; ","")&amp;IF(AND(E449&lt;&gt;"Y",F449&lt;&gt;"Y",J449&lt;&gt;"Y"),"No realm assigned; ",""))</f>
        <v/>
      </c>
    </row>
    <row r="450">
      <c r="A450" s="12" t="n"/>
      <c r="B450" s="12" t="n"/>
      <c r="C450" s="14" t="n"/>
      <c r="D450" s="34" t="n"/>
      <c r="E450" s="12" t="n"/>
      <c r="F450" s="12" t="n"/>
      <c r="G450" s="12" t="n"/>
      <c r="H450" s="14" t="n"/>
      <c r="I450" s="14" t="n"/>
      <c r="J450" s="30">
        <f>IF(C450="","",IF(N(D450)&gt;=Setup!$B$22,"Y","N"))</f>
        <v/>
      </c>
      <c r="K450" s="25">
        <f>IF(C450="","",N(H450)+N(I450))</f>
        <v/>
      </c>
      <c r="L450" s="26">
        <f>IF(N(C450)&gt;0,MIN(1,K450/C450),"")</f>
        <v/>
      </c>
      <c r="M450" s="26">
        <f>IF(N(C450)&gt;0,MIN(1,N(H450)/C450),"")</f>
        <v/>
      </c>
      <c r="N450" s="26">
        <f>IF(L450="","",L450-M450)</f>
        <v/>
      </c>
      <c r="O450" s="30">
        <f>IF(L450="","",IF(L450&gt;=Setup!$B$23,"Complete",IF(L450&gt;0,"Partial","None")))</f>
        <v/>
      </c>
      <c r="P450" s="30">
        <f>IF(C450="","",IF(K450&gt;C450*1.01,"Covered area &gt; KBA area – check overlap; ","")&amp;IF(AND(E450&lt;&gt;"Y",F450&lt;&gt;"Y",J450&lt;&gt;"Y"),"No realm assigned; ",""))</f>
        <v/>
      </c>
    </row>
    <row r="451">
      <c r="A451" s="12" t="n"/>
      <c r="B451" s="12" t="n"/>
      <c r="C451" s="14" t="n"/>
      <c r="D451" s="34" t="n"/>
      <c r="E451" s="12" t="n"/>
      <c r="F451" s="12" t="n"/>
      <c r="G451" s="12" t="n"/>
      <c r="H451" s="14" t="n"/>
      <c r="I451" s="14" t="n"/>
      <c r="J451" s="30">
        <f>IF(C451="","",IF(N(D451)&gt;=Setup!$B$22,"Y","N"))</f>
        <v/>
      </c>
      <c r="K451" s="25">
        <f>IF(C451="","",N(H451)+N(I451))</f>
        <v/>
      </c>
      <c r="L451" s="26">
        <f>IF(N(C451)&gt;0,MIN(1,K451/C451),"")</f>
        <v/>
      </c>
      <c r="M451" s="26">
        <f>IF(N(C451)&gt;0,MIN(1,N(H451)/C451),"")</f>
        <v/>
      </c>
      <c r="N451" s="26">
        <f>IF(L451="","",L451-M451)</f>
        <v/>
      </c>
      <c r="O451" s="30">
        <f>IF(L451="","",IF(L451&gt;=Setup!$B$23,"Complete",IF(L451&gt;0,"Partial","None")))</f>
        <v/>
      </c>
      <c r="P451" s="30">
        <f>IF(C451="","",IF(K451&gt;C451*1.01,"Covered area &gt; KBA area – check overlap; ","")&amp;IF(AND(E451&lt;&gt;"Y",F451&lt;&gt;"Y",J451&lt;&gt;"Y"),"No realm assigned; ",""))</f>
        <v/>
      </c>
    </row>
    <row r="452">
      <c r="A452" s="12" t="n"/>
      <c r="B452" s="12" t="n"/>
      <c r="C452" s="14" t="n"/>
      <c r="D452" s="34" t="n"/>
      <c r="E452" s="12" t="n"/>
      <c r="F452" s="12" t="n"/>
      <c r="G452" s="12" t="n"/>
      <c r="H452" s="14" t="n"/>
      <c r="I452" s="14" t="n"/>
      <c r="J452" s="30">
        <f>IF(C452="","",IF(N(D452)&gt;=Setup!$B$22,"Y","N"))</f>
        <v/>
      </c>
      <c r="K452" s="25">
        <f>IF(C452="","",N(H452)+N(I452))</f>
        <v/>
      </c>
      <c r="L452" s="26">
        <f>IF(N(C452)&gt;0,MIN(1,K452/C452),"")</f>
        <v/>
      </c>
      <c r="M452" s="26">
        <f>IF(N(C452)&gt;0,MIN(1,N(H452)/C452),"")</f>
        <v/>
      </c>
      <c r="N452" s="26">
        <f>IF(L452="","",L452-M452)</f>
        <v/>
      </c>
      <c r="O452" s="30">
        <f>IF(L452="","",IF(L452&gt;=Setup!$B$23,"Complete",IF(L452&gt;0,"Partial","None")))</f>
        <v/>
      </c>
      <c r="P452" s="30">
        <f>IF(C452="","",IF(K452&gt;C452*1.01,"Covered area &gt; KBA area – check overlap; ","")&amp;IF(AND(E452&lt;&gt;"Y",F452&lt;&gt;"Y",J452&lt;&gt;"Y"),"No realm assigned; ",""))</f>
        <v/>
      </c>
    </row>
    <row r="453">
      <c r="A453" s="12" t="n"/>
      <c r="B453" s="12" t="n"/>
      <c r="C453" s="14" t="n"/>
      <c r="D453" s="34" t="n"/>
      <c r="E453" s="12" t="n"/>
      <c r="F453" s="12" t="n"/>
      <c r="G453" s="12" t="n"/>
      <c r="H453" s="14" t="n"/>
      <c r="I453" s="14" t="n"/>
      <c r="J453" s="30">
        <f>IF(C453="","",IF(N(D453)&gt;=Setup!$B$22,"Y","N"))</f>
        <v/>
      </c>
      <c r="K453" s="25">
        <f>IF(C453="","",N(H453)+N(I453))</f>
        <v/>
      </c>
      <c r="L453" s="26">
        <f>IF(N(C453)&gt;0,MIN(1,K453/C453),"")</f>
        <v/>
      </c>
      <c r="M453" s="26">
        <f>IF(N(C453)&gt;0,MIN(1,N(H453)/C453),"")</f>
        <v/>
      </c>
      <c r="N453" s="26">
        <f>IF(L453="","",L453-M453)</f>
        <v/>
      </c>
      <c r="O453" s="30">
        <f>IF(L453="","",IF(L453&gt;=Setup!$B$23,"Complete",IF(L453&gt;0,"Partial","None")))</f>
        <v/>
      </c>
      <c r="P453" s="30">
        <f>IF(C453="","",IF(K453&gt;C453*1.01,"Covered area &gt; KBA area – check overlap; ","")&amp;IF(AND(E453&lt;&gt;"Y",F453&lt;&gt;"Y",J453&lt;&gt;"Y"),"No realm assigned; ",""))</f>
        <v/>
      </c>
    </row>
    <row r="454">
      <c r="A454" s="12" t="n"/>
      <c r="B454" s="12" t="n"/>
      <c r="C454" s="14" t="n"/>
      <c r="D454" s="34" t="n"/>
      <c r="E454" s="12" t="n"/>
      <c r="F454" s="12" t="n"/>
      <c r="G454" s="12" t="n"/>
      <c r="H454" s="14" t="n"/>
      <c r="I454" s="14" t="n"/>
      <c r="J454" s="30">
        <f>IF(C454="","",IF(N(D454)&gt;=Setup!$B$22,"Y","N"))</f>
        <v/>
      </c>
      <c r="K454" s="25">
        <f>IF(C454="","",N(H454)+N(I454))</f>
        <v/>
      </c>
      <c r="L454" s="26">
        <f>IF(N(C454)&gt;0,MIN(1,K454/C454),"")</f>
        <v/>
      </c>
      <c r="M454" s="26">
        <f>IF(N(C454)&gt;0,MIN(1,N(H454)/C454),"")</f>
        <v/>
      </c>
      <c r="N454" s="26">
        <f>IF(L454="","",L454-M454)</f>
        <v/>
      </c>
      <c r="O454" s="30">
        <f>IF(L454="","",IF(L454&gt;=Setup!$B$23,"Complete",IF(L454&gt;0,"Partial","None")))</f>
        <v/>
      </c>
      <c r="P454" s="30">
        <f>IF(C454="","",IF(K454&gt;C454*1.01,"Covered area &gt; KBA area – check overlap; ","")&amp;IF(AND(E454&lt;&gt;"Y",F454&lt;&gt;"Y",J454&lt;&gt;"Y"),"No realm assigned; ",""))</f>
        <v/>
      </c>
    </row>
    <row r="455">
      <c r="A455" s="12" t="n"/>
      <c r="B455" s="12" t="n"/>
      <c r="C455" s="14" t="n"/>
      <c r="D455" s="34" t="n"/>
      <c r="E455" s="12" t="n"/>
      <c r="F455" s="12" t="n"/>
      <c r="G455" s="12" t="n"/>
      <c r="H455" s="14" t="n"/>
      <c r="I455" s="14" t="n"/>
      <c r="J455" s="30">
        <f>IF(C455="","",IF(N(D455)&gt;=Setup!$B$22,"Y","N"))</f>
        <v/>
      </c>
      <c r="K455" s="25">
        <f>IF(C455="","",N(H455)+N(I455))</f>
        <v/>
      </c>
      <c r="L455" s="26">
        <f>IF(N(C455)&gt;0,MIN(1,K455/C455),"")</f>
        <v/>
      </c>
      <c r="M455" s="26">
        <f>IF(N(C455)&gt;0,MIN(1,N(H455)/C455),"")</f>
        <v/>
      </c>
      <c r="N455" s="26">
        <f>IF(L455="","",L455-M455)</f>
        <v/>
      </c>
      <c r="O455" s="30">
        <f>IF(L455="","",IF(L455&gt;=Setup!$B$23,"Complete",IF(L455&gt;0,"Partial","None")))</f>
        <v/>
      </c>
      <c r="P455" s="30">
        <f>IF(C455="","",IF(K455&gt;C455*1.01,"Covered area &gt; KBA area – check overlap; ","")&amp;IF(AND(E455&lt;&gt;"Y",F455&lt;&gt;"Y",J455&lt;&gt;"Y"),"No realm assigned; ",""))</f>
        <v/>
      </c>
    </row>
    <row r="456">
      <c r="A456" s="12" t="n"/>
      <c r="B456" s="12" t="n"/>
      <c r="C456" s="14" t="n"/>
      <c r="D456" s="34" t="n"/>
      <c r="E456" s="12" t="n"/>
      <c r="F456" s="12" t="n"/>
      <c r="G456" s="12" t="n"/>
      <c r="H456" s="14" t="n"/>
      <c r="I456" s="14" t="n"/>
      <c r="J456" s="30">
        <f>IF(C456="","",IF(N(D456)&gt;=Setup!$B$22,"Y","N"))</f>
        <v/>
      </c>
      <c r="K456" s="25">
        <f>IF(C456="","",N(H456)+N(I456))</f>
        <v/>
      </c>
      <c r="L456" s="26">
        <f>IF(N(C456)&gt;0,MIN(1,K456/C456),"")</f>
        <v/>
      </c>
      <c r="M456" s="26">
        <f>IF(N(C456)&gt;0,MIN(1,N(H456)/C456),"")</f>
        <v/>
      </c>
      <c r="N456" s="26">
        <f>IF(L456="","",L456-M456)</f>
        <v/>
      </c>
      <c r="O456" s="30">
        <f>IF(L456="","",IF(L456&gt;=Setup!$B$23,"Complete",IF(L456&gt;0,"Partial","None")))</f>
        <v/>
      </c>
      <c r="P456" s="30">
        <f>IF(C456="","",IF(K456&gt;C456*1.01,"Covered area &gt; KBA area – check overlap; ","")&amp;IF(AND(E456&lt;&gt;"Y",F456&lt;&gt;"Y",J456&lt;&gt;"Y"),"No realm assigned; ",""))</f>
        <v/>
      </c>
    </row>
    <row r="457">
      <c r="A457" s="12" t="n"/>
      <c r="B457" s="12" t="n"/>
      <c r="C457" s="14" t="n"/>
      <c r="D457" s="34" t="n"/>
      <c r="E457" s="12" t="n"/>
      <c r="F457" s="12" t="n"/>
      <c r="G457" s="12" t="n"/>
      <c r="H457" s="14" t="n"/>
      <c r="I457" s="14" t="n"/>
      <c r="J457" s="30">
        <f>IF(C457="","",IF(N(D457)&gt;=Setup!$B$22,"Y","N"))</f>
        <v/>
      </c>
      <c r="K457" s="25">
        <f>IF(C457="","",N(H457)+N(I457))</f>
        <v/>
      </c>
      <c r="L457" s="26">
        <f>IF(N(C457)&gt;0,MIN(1,K457/C457),"")</f>
        <v/>
      </c>
      <c r="M457" s="26">
        <f>IF(N(C457)&gt;0,MIN(1,N(H457)/C457),"")</f>
        <v/>
      </c>
      <c r="N457" s="26">
        <f>IF(L457="","",L457-M457)</f>
        <v/>
      </c>
      <c r="O457" s="30">
        <f>IF(L457="","",IF(L457&gt;=Setup!$B$23,"Complete",IF(L457&gt;0,"Partial","None")))</f>
        <v/>
      </c>
      <c r="P457" s="30">
        <f>IF(C457="","",IF(K457&gt;C457*1.01,"Covered area &gt; KBA area – check overlap; ","")&amp;IF(AND(E457&lt;&gt;"Y",F457&lt;&gt;"Y",J457&lt;&gt;"Y"),"No realm assigned; ",""))</f>
        <v/>
      </c>
    </row>
    <row r="458">
      <c r="A458" s="12" t="n"/>
      <c r="B458" s="12" t="n"/>
      <c r="C458" s="14" t="n"/>
      <c r="D458" s="34" t="n"/>
      <c r="E458" s="12" t="n"/>
      <c r="F458" s="12" t="n"/>
      <c r="G458" s="12" t="n"/>
      <c r="H458" s="14" t="n"/>
      <c r="I458" s="14" t="n"/>
      <c r="J458" s="30">
        <f>IF(C458="","",IF(N(D458)&gt;=Setup!$B$22,"Y","N"))</f>
        <v/>
      </c>
      <c r="K458" s="25">
        <f>IF(C458="","",N(H458)+N(I458))</f>
        <v/>
      </c>
      <c r="L458" s="26">
        <f>IF(N(C458)&gt;0,MIN(1,K458/C458),"")</f>
        <v/>
      </c>
      <c r="M458" s="26">
        <f>IF(N(C458)&gt;0,MIN(1,N(H458)/C458),"")</f>
        <v/>
      </c>
      <c r="N458" s="26">
        <f>IF(L458="","",L458-M458)</f>
        <v/>
      </c>
      <c r="O458" s="30">
        <f>IF(L458="","",IF(L458&gt;=Setup!$B$23,"Complete",IF(L458&gt;0,"Partial","None")))</f>
        <v/>
      </c>
      <c r="P458" s="30">
        <f>IF(C458="","",IF(K458&gt;C458*1.01,"Covered area &gt; KBA area – check overlap; ","")&amp;IF(AND(E458&lt;&gt;"Y",F458&lt;&gt;"Y",J458&lt;&gt;"Y"),"No realm assigned; ",""))</f>
        <v/>
      </c>
    </row>
    <row r="459">
      <c r="A459" s="12" t="n"/>
      <c r="B459" s="12" t="n"/>
      <c r="C459" s="14" t="n"/>
      <c r="D459" s="34" t="n"/>
      <c r="E459" s="12" t="n"/>
      <c r="F459" s="12" t="n"/>
      <c r="G459" s="12" t="n"/>
      <c r="H459" s="14" t="n"/>
      <c r="I459" s="14" t="n"/>
      <c r="J459" s="30">
        <f>IF(C459="","",IF(N(D459)&gt;=Setup!$B$22,"Y","N"))</f>
        <v/>
      </c>
      <c r="K459" s="25">
        <f>IF(C459="","",N(H459)+N(I459))</f>
        <v/>
      </c>
      <c r="L459" s="26">
        <f>IF(N(C459)&gt;0,MIN(1,K459/C459),"")</f>
        <v/>
      </c>
      <c r="M459" s="26">
        <f>IF(N(C459)&gt;0,MIN(1,N(H459)/C459),"")</f>
        <v/>
      </c>
      <c r="N459" s="26">
        <f>IF(L459="","",L459-M459)</f>
        <v/>
      </c>
      <c r="O459" s="30">
        <f>IF(L459="","",IF(L459&gt;=Setup!$B$23,"Complete",IF(L459&gt;0,"Partial","None")))</f>
        <v/>
      </c>
      <c r="P459" s="30">
        <f>IF(C459="","",IF(K459&gt;C459*1.01,"Covered area &gt; KBA area – check overlap; ","")&amp;IF(AND(E459&lt;&gt;"Y",F459&lt;&gt;"Y",J459&lt;&gt;"Y"),"No realm assigned; ",""))</f>
        <v/>
      </c>
    </row>
    <row r="460">
      <c r="A460" s="12" t="n"/>
      <c r="B460" s="12" t="n"/>
      <c r="C460" s="14" t="n"/>
      <c r="D460" s="34" t="n"/>
      <c r="E460" s="12" t="n"/>
      <c r="F460" s="12" t="n"/>
      <c r="G460" s="12" t="n"/>
      <c r="H460" s="14" t="n"/>
      <c r="I460" s="14" t="n"/>
      <c r="J460" s="30">
        <f>IF(C460="","",IF(N(D460)&gt;=Setup!$B$22,"Y","N"))</f>
        <v/>
      </c>
      <c r="K460" s="25">
        <f>IF(C460="","",N(H460)+N(I460))</f>
        <v/>
      </c>
      <c r="L460" s="26">
        <f>IF(N(C460)&gt;0,MIN(1,K460/C460),"")</f>
        <v/>
      </c>
      <c r="M460" s="26">
        <f>IF(N(C460)&gt;0,MIN(1,N(H460)/C460),"")</f>
        <v/>
      </c>
      <c r="N460" s="26">
        <f>IF(L460="","",L460-M460)</f>
        <v/>
      </c>
      <c r="O460" s="30">
        <f>IF(L460="","",IF(L460&gt;=Setup!$B$23,"Complete",IF(L460&gt;0,"Partial","None")))</f>
        <v/>
      </c>
      <c r="P460" s="30">
        <f>IF(C460="","",IF(K460&gt;C460*1.01,"Covered area &gt; KBA area – check overlap; ","")&amp;IF(AND(E460&lt;&gt;"Y",F460&lt;&gt;"Y",J460&lt;&gt;"Y"),"No realm assigned; ",""))</f>
        <v/>
      </c>
    </row>
    <row r="461">
      <c r="A461" s="12" t="n"/>
      <c r="B461" s="12" t="n"/>
      <c r="C461" s="14" t="n"/>
      <c r="D461" s="34" t="n"/>
      <c r="E461" s="12" t="n"/>
      <c r="F461" s="12" t="n"/>
      <c r="G461" s="12" t="n"/>
      <c r="H461" s="14" t="n"/>
      <c r="I461" s="14" t="n"/>
      <c r="J461" s="30">
        <f>IF(C461="","",IF(N(D461)&gt;=Setup!$B$22,"Y","N"))</f>
        <v/>
      </c>
      <c r="K461" s="25">
        <f>IF(C461="","",N(H461)+N(I461))</f>
        <v/>
      </c>
      <c r="L461" s="26">
        <f>IF(N(C461)&gt;0,MIN(1,K461/C461),"")</f>
        <v/>
      </c>
      <c r="M461" s="26">
        <f>IF(N(C461)&gt;0,MIN(1,N(H461)/C461),"")</f>
        <v/>
      </c>
      <c r="N461" s="26">
        <f>IF(L461="","",L461-M461)</f>
        <v/>
      </c>
      <c r="O461" s="30">
        <f>IF(L461="","",IF(L461&gt;=Setup!$B$23,"Complete",IF(L461&gt;0,"Partial","None")))</f>
        <v/>
      </c>
      <c r="P461" s="30">
        <f>IF(C461="","",IF(K461&gt;C461*1.01,"Covered area &gt; KBA area – check overlap; ","")&amp;IF(AND(E461&lt;&gt;"Y",F461&lt;&gt;"Y",J461&lt;&gt;"Y"),"No realm assigned; ",""))</f>
        <v/>
      </c>
    </row>
    <row r="462">
      <c r="A462" s="12" t="n"/>
      <c r="B462" s="12" t="n"/>
      <c r="C462" s="14" t="n"/>
      <c r="D462" s="34" t="n"/>
      <c r="E462" s="12" t="n"/>
      <c r="F462" s="12" t="n"/>
      <c r="G462" s="12" t="n"/>
      <c r="H462" s="14" t="n"/>
      <c r="I462" s="14" t="n"/>
      <c r="J462" s="30">
        <f>IF(C462="","",IF(N(D462)&gt;=Setup!$B$22,"Y","N"))</f>
        <v/>
      </c>
      <c r="K462" s="25">
        <f>IF(C462="","",N(H462)+N(I462))</f>
        <v/>
      </c>
      <c r="L462" s="26">
        <f>IF(N(C462)&gt;0,MIN(1,K462/C462),"")</f>
        <v/>
      </c>
      <c r="M462" s="26">
        <f>IF(N(C462)&gt;0,MIN(1,N(H462)/C462),"")</f>
        <v/>
      </c>
      <c r="N462" s="26">
        <f>IF(L462="","",L462-M462)</f>
        <v/>
      </c>
      <c r="O462" s="30">
        <f>IF(L462="","",IF(L462&gt;=Setup!$B$23,"Complete",IF(L462&gt;0,"Partial","None")))</f>
        <v/>
      </c>
      <c r="P462" s="30">
        <f>IF(C462="","",IF(K462&gt;C462*1.01,"Covered area &gt; KBA area – check overlap; ","")&amp;IF(AND(E462&lt;&gt;"Y",F462&lt;&gt;"Y",J462&lt;&gt;"Y"),"No realm assigned; ",""))</f>
        <v/>
      </c>
    </row>
    <row r="463">
      <c r="A463" s="12" t="n"/>
      <c r="B463" s="12" t="n"/>
      <c r="C463" s="14" t="n"/>
      <c r="D463" s="34" t="n"/>
      <c r="E463" s="12" t="n"/>
      <c r="F463" s="12" t="n"/>
      <c r="G463" s="12" t="n"/>
      <c r="H463" s="14" t="n"/>
      <c r="I463" s="14" t="n"/>
      <c r="J463" s="30">
        <f>IF(C463="","",IF(N(D463)&gt;=Setup!$B$22,"Y","N"))</f>
        <v/>
      </c>
      <c r="K463" s="25">
        <f>IF(C463="","",N(H463)+N(I463))</f>
        <v/>
      </c>
      <c r="L463" s="26">
        <f>IF(N(C463)&gt;0,MIN(1,K463/C463),"")</f>
        <v/>
      </c>
      <c r="M463" s="26">
        <f>IF(N(C463)&gt;0,MIN(1,N(H463)/C463),"")</f>
        <v/>
      </c>
      <c r="N463" s="26">
        <f>IF(L463="","",L463-M463)</f>
        <v/>
      </c>
      <c r="O463" s="30">
        <f>IF(L463="","",IF(L463&gt;=Setup!$B$23,"Complete",IF(L463&gt;0,"Partial","None")))</f>
        <v/>
      </c>
      <c r="P463" s="30">
        <f>IF(C463="","",IF(K463&gt;C463*1.01,"Covered area &gt; KBA area – check overlap; ","")&amp;IF(AND(E463&lt;&gt;"Y",F463&lt;&gt;"Y",J463&lt;&gt;"Y"),"No realm assigned; ",""))</f>
        <v/>
      </c>
    </row>
    <row r="464">
      <c r="A464" s="12" t="n"/>
      <c r="B464" s="12" t="n"/>
      <c r="C464" s="14" t="n"/>
      <c r="D464" s="34" t="n"/>
      <c r="E464" s="12" t="n"/>
      <c r="F464" s="12" t="n"/>
      <c r="G464" s="12" t="n"/>
      <c r="H464" s="14" t="n"/>
      <c r="I464" s="14" t="n"/>
      <c r="J464" s="30">
        <f>IF(C464="","",IF(N(D464)&gt;=Setup!$B$22,"Y","N"))</f>
        <v/>
      </c>
      <c r="K464" s="25">
        <f>IF(C464="","",N(H464)+N(I464))</f>
        <v/>
      </c>
      <c r="L464" s="26">
        <f>IF(N(C464)&gt;0,MIN(1,K464/C464),"")</f>
        <v/>
      </c>
      <c r="M464" s="26">
        <f>IF(N(C464)&gt;0,MIN(1,N(H464)/C464),"")</f>
        <v/>
      </c>
      <c r="N464" s="26">
        <f>IF(L464="","",L464-M464)</f>
        <v/>
      </c>
      <c r="O464" s="30">
        <f>IF(L464="","",IF(L464&gt;=Setup!$B$23,"Complete",IF(L464&gt;0,"Partial","None")))</f>
        <v/>
      </c>
      <c r="P464" s="30">
        <f>IF(C464="","",IF(K464&gt;C464*1.01,"Covered area &gt; KBA area – check overlap; ","")&amp;IF(AND(E464&lt;&gt;"Y",F464&lt;&gt;"Y",J464&lt;&gt;"Y"),"No realm assigned; ",""))</f>
        <v/>
      </c>
    </row>
    <row r="465">
      <c r="A465" s="12" t="n"/>
      <c r="B465" s="12" t="n"/>
      <c r="C465" s="14" t="n"/>
      <c r="D465" s="34" t="n"/>
      <c r="E465" s="12" t="n"/>
      <c r="F465" s="12" t="n"/>
      <c r="G465" s="12" t="n"/>
      <c r="H465" s="14" t="n"/>
      <c r="I465" s="14" t="n"/>
      <c r="J465" s="30">
        <f>IF(C465="","",IF(N(D465)&gt;=Setup!$B$22,"Y","N"))</f>
        <v/>
      </c>
      <c r="K465" s="25">
        <f>IF(C465="","",N(H465)+N(I465))</f>
        <v/>
      </c>
      <c r="L465" s="26">
        <f>IF(N(C465)&gt;0,MIN(1,K465/C465),"")</f>
        <v/>
      </c>
      <c r="M465" s="26">
        <f>IF(N(C465)&gt;0,MIN(1,N(H465)/C465),"")</f>
        <v/>
      </c>
      <c r="N465" s="26">
        <f>IF(L465="","",L465-M465)</f>
        <v/>
      </c>
      <c r="O465" s="30">
        <f>IF(L465="","",IF(L465&gt;=Setup!$B$23,"Complete",IF(L465&gt;0,"Partial","None")))</f>
        <v/>
      </c>
      <c r="P465" s="30">
        <f>IF(C465="","",IF(K465&gt;C465*1.01,"Covered area &gt; KBA area – check overlap; ","")&amp;IF(AND(E465&lt;&gt;"Y",F465&lt;&gt;"Y",J465&lt;&gt;"Y"),"No realm assigned; ",""))</f>
        <v/>
      </c>
    </row>
    <row r="466">
      <c r="A466" s="12" t="n"/>
      <c r="B466" s="12" t="n"/>
      <c r="C466" s="14" t="n"/>
      <c r="D466" s="34" t="n"/>
      <c r="E466" s="12" t="n"/>
      <c r="F466" s="12" t="n"/>
      <c r="G466" s="12" t="n"/>
      <c r="H466" s="14" t="n"/>
      <c r="I466" s="14" t="n"/>
      <c r="J466" s="30">
        <f>IF(C466="","",IF(N(D466)&gt;=Setup!$B$22,"Y","N"))</f>
        <v/>
      </c>
      <c r="K466" s="25">
        <f>IF(C466="","",N(H466)+N(I466))</f>
        <v/>
      </c>
      <c r="L466" s="26">
        <f>IF(N(C466)&gt;0,MIN(1,K466/C466),"")</f>
        <v/>
      </c>
      <c r="M466" s="26">
        <f>IF(N(C466)&gt;0,MIN(1,N(H466)/C466),"")</f>
        <v/>
      </c>
      <c r="N466" s="26">
        <f>IF(L466="","",L466-M466)</f>
        <v/>
      </c>
      <c r="O466" s="30">
        <f>IF(L466="","",IF(L466&gt;=Setup!$B$23,"Complete",IF(L466&gt;0,"Partial","None")))</f>
        <v/>
      </c>
      <c r="P466" s="30">
        <f>IF(C466="","",IF(K466&gt;C466*1.01,"Covered area &gt; KBA area – check overlap; ","")&amp;IF(AND(E466&lt;&gt;"Y",F466&lt;&gt;"Y",J466&lt;&gt;"Y"),"No realm assigned; ",""))</f>
        <v/>
      </c>
    </row>
    <row r="467">
      <c r="A467" s="12" t="n"/>
      <c r="B467" s="12" t="n"/>
      <c r="C467" s="14" t="n"/>
      <c r="D467" s="34" t="n"/>
      <c r="E467" s="12" t="n"/>
      <c r="F467" s="12" t="n"/>
      <c r="G467" s="12" t="n"/>
      <c r="H467" s="14" t="n"/>
      <c r="I467" s="14" t="n"/>
      <c r="J467" s="30">
        <f>IF(C467="","",IF(N(D467)&gt;=Setup!$B$22,"Y","N"))</f>
        <v/>
      </c>
      <c r="K467" s="25">
        <f>IF(C467="","",N(H467)+N(I467))</f>
        <v/>
      </c>
      <c r="L467" s="26">
        <f>IF(N(C467)&gt;0,MIN(1,K467/C467),"")</f>
        <v/>
      </c>
      <c r="M467" s="26">
        <f>IF(N(C467)&gt;0,MIN(1,N(H467)/C467),"")</f>
        <v/>
      </c>
      <c r="N467" s="26">
        <f>IF(L467="","",L467-M467)</f>
        <v/>
      </c>
      <c r="O467" s="30">
        <f>IF(L467="","",IF(L467&gt;=Setup!$B$23,"Complete",IF(L467&gt;0,"Partial","None")))</f>
        <v/>
      </c>
      <c r="P467" s="30">
        <f>IF(C467="","",IF(K467&gt;C467*1.01,"Covered area &gt; KBA area – check overlap; ","")&amp;IF(AND(E467&lt;&gt;"Y",F467&lt;&gt;"Y",J467&lt;&gt;"Y"),"No realm assigned; ",""))</f>
        <v/>
      </c>
    </row>
    <row r="468">
      <c r="A468" s="12" t="n"/>
      <c r="B468" s="12" t="n"/>
      <c r="C468" s="14" t="n"/>
      <c r="D468" s="34" t="n"/>
      <c r="E468" s="12" t="n"/>
      <c r="F468" s="12" t="n"/>
      <c r="G468" s="12" t="n"/>
      <c r="H468" s="14" t="n"/>
      <c r="I468" s="14" t="n"/>
      <c r="J468" s="30">
        <f>IF(C468="","",IF(N(D468)&gt;=Setup!$B$22,"Y","N"))</f>
        <v/>
      </c>
      <c r="K468" s="25">
        <f>IF(C468="","",N(H468)+N(I468))</f>
        <v/>
      </c>
      <c r="L468" s="26">
        <f>IF(N(C468)&gt;0,MIN(1,K468/C468),"")</f>
        <v/>
      </c>
      <c r="M468" s="26">
        <f>IF(N(C468)&gt;0,MIN(1,N(H468)/C468),"")</f>
        <v/>
      </c>
      <c r="N468" s="26">
        <f>IF(L468="","",L468-M468)</f>
        <v/>
      </c>
      <c r="O468" s="30">
        <f>IF(L468="","",IF(L468&gt;=Setup!$B$23,"Complete",IF(L468&gt;0,"Partial","None")))</f>
        <v/>
      </c>
      <c r="P468" s="30">
        <f>IF(C468="","",IF(K468&gt;C468*1.01,"Covered area &gt; KBA area – check overlap; ","")&amp;IF(AND(E468&lt;&gt;"Y",F468&lt;&gt;"Y",J468&lt;&gt;"Y"),"No realm assigned; ",""))</f>
        <v/>
      </c>
    </row>
    <row r="469">
      <c r="A469" s="12" t="n"/>
      <c r="B469" s="12" t="n"/>
      <c r="C469" s="14" t="n"/>
      <c r="D469" s="34" t="n"/>
      <c r="E469" s="12" t="n"/>
      <c r="F469" s="12" t="n"/>
      <c r="G469" s="12" t="n"/>
      <c r="H469" s="14" t="n"/>
      <c r="I469" s="14" t="n"/>
      <c r="J469" s="30">
        <f>IF(C469="","",IF(N(D469)&gt;=Setup!$B$22,"Y","N"))</f>
        <v/>
      </c>
      <c r="K469" s="25">
        <f>IF(C469="","",N(H469)+N(I469))</f>
        <v/>
      </c>
      <c r="L469" s="26">
        <f>IF(N(C469)&gt;0,MIN(1,K469/C469),"")</f>
        <v/>
      </c>
      <c r="M469" s="26">
        <f>IF(N(C469)&gt;0,MIN(1,N(H469)/C469),"")</f>
        <v/>
      </c>
      <c r="N469" s="26">
        <f>IF(L469="","",L469-M469)</f>
        <v/>
      </c>
      <c r="O469" s="30">
        <f>IF(L469="","",IF(L469&gt;=Setup!$B$23,"Complete",IF(L469&gt;0,"Partial","None")))</f>
        <v/>
      </c>
      <c r="P469" s="30">
        <f>IF(C469="","",IF(K469&gt;C469*1.01,"Covered area &gt; KBA area – check overlap; ","")&amp;IF(AND(E469&lt;&gt;"Y",F469&lt;&gt;"Y",J469&lt;&gt;"Y"),"No realm assigned; ",""))</f>
        <v/>
      </c>
    </row>
    <row r="470">
      <c r="A470" s="12" t="n"/>
      <c r="B470" s="12" t="n"/>
      <c r="C470" s="14" t="n"/>
      <c r="D470" s="34" t="n"/>
      <c r="E470" s="12" t="n"/>
      <c r="F470" s="12" t="n"/>
      <c r="G470" s="12" t="n"/>
      <c r="H470" s="14" t="n"/>
      <c r="I470" s="14" t="n"/>
      <c r="J470" s="30">
        <f>IF(C470="","",IF(N(D470)&gt;=Setup!$B$22,"Y","N"))</f>
        <v/>
      </c>
      <c r="K470" s="25">
        <f>IF(C470="","",N(H470)+N(I470))</f>
        <v/>
      </c>
      <c r="L470" s="26">
        <f>IF(N(C470)&gt;0,MIN(1,K470/C470),"")</f>
        <v/>
      </c>
      <c r="M470" s="26">
        <f>IF(N(C470)&gt;0,MIN(1,N(H470)/C470),"")</f>
        <v/>
      </c>
      <c r="N470" s="26">
        <f>IF(L470="","",L470-M470)</f>
        <v/>
      </c>
      <c r="O470" s="30">
        <f>IF(L470="","",IF(L470&gt;=Setup!$B$23,"Complete",IF(L470&gt;0,"Partial","None")))</f>
        <v/>
      </c>
      <c r="P470" s="30">
        <f>IF(C470="","",IF(K470&gt;C470*1.01,"Covered area &gt; KBA area – check overlap; ","")&amp;IF(AND(E470&lt;&gt;"Y",F470&lt;&gt;"Y",J470&lt;&gt;"Y"),"No realm assigned; ",""))</f>
        <v/>
      </c>
    </row>
    <row r="471">
      <c r="A471" s="12" t="n"/>
      <c r="B471" s="12" t="n"/>
      <c r="C471" s="14" t="n"/>
      <c r="D471" s="34" t="n"/>
      <c r="E471" s="12" t="n"/>
      <c r="F471" s="12" t="n"/>
      <c r="G471" s="12" t="n"/>
      <c r="H471" s="14" t="n"/>
      <c r="I471" s="14" t="n"/>
      <c r="J471" s="30">
        <f>IF(C471="","",IF(N(D471)&gt;=Setup!$B$22,"Y","N"))</f>
        <v/>
      </c>
      <c r="K471" s="25">
        <f>IF(C471="","",N(H471)+N(I471))</f>
        <v/>
      </c>
      <c r="L471" s="26">
        <f>IF(N(C471)&gt;0,MIN(1,K471/C471),"")</f>
        <v/>
      </c>
      <c r="M471" s="26">
        <f>IF(N(C471)&gt;0,MIN(1,N(H471)/C471),"")</f>
        <v/>
      </c>
      <c r="N471" s="26">
        <f>IF(L471="","",L471-M471)</f>
        <v/>
      </c>
      <c r="O471" s="30">
        <f>IF(L471="","",IF(L471&gt;=Setup!$B$23,"Complete",IF(L471&gt;0,"Partial","None")))</f>
        <v/>
      </c>
      <c r="P471" s="30">
        <f>IF(C471="","",IF(K471&gt;C471*1.01,"Covered area &gt; KBA area – check overlap; ","")&amp;IF(AND(E471&lt;&gt;"Y",F471&lt;&gt;"Y",J471&lt;&gt;"Y"),"No realm assigned; ",""))</f>
        <v/>
      </c>
    </row>
    <row r="472">
      <c r="A472" s="12" t="n"/>
      <c r="B472" s="12" t="n"/>
      <c r="C472" s="14" t="n"/>
      <c r="D472" s="34" t="n"/>
      <c r="E472" s="12" t="n"/>
      <c r="F472" s="12" t="n"/>
      <c r="G472" s="12" t="n"/>
      <c r="H472" s="14" t="n"/>
      <c r="I472" s="14" t="n"/>
      <c r="J472" s="30">
        <f>IF(C472="","",IF(N(D472)&gt;=Setup!$B$22,"Y","N"))</f>
        <v/>
      </c>
      <c r="K472" s="25">
        <f>IF(C472="","",N(H472)+N(I472))</f>
        <v/>
      </c>
      <c r="L472" s="26">
        <f>IF(N(C472)&gt;0,MIN(1,K472/C472),"")</f>
        <v/>
      </c>
      <c r="M472" s="26">
        <f>IF(N(C472)&gt;0,MIN(1,N(H472)/C472),"")</f>
        <v/>
      </c>
      <c r="N472" s="26">
        <f>IF(L472="","",L472-M472)</f>
        <v/>
      </c>
      <c r="O472" s="30">
        <f>IF(L472="","",IF(L472&gt;=Setup!$B$23,"Complete",IF(L472&gt;0,"Partial","None")))</f>
        <v/>
      </c>
      <c r="P472" s="30">
        <f>IF(C472="","",IF(K472&gt;C472*1.01,"Covered area &gt; KBA area – check overlap; ","")&amp;IF(AND(E472&lt;&gt;"Y",F472&lt;&gt;"Y",J472&lt;&gt;"Y"),"No realm assigned; ",""))</f>
        <v/>
      </c>
    </row>
    <row r="473">
      <c r="A473" s="12" t="n"/>
      <c r="B473" s="12" t="n"/>
      <c r="C473" s="14" t="n"/>
      <c r="D473" s="34" t="n"/>
      <c r="E473" s="12" t="n"/>
      <c r="F473" s="12" t="n"/>
      <c r="G473" s="12" t="n"/>
      <c r="H473" s="14" t="n"/>
      <c r="I473" s="14" t="n"/>
      <c r="J473" s="30">
        <f>IF(C473="","",IF(N(D473)&gt;=Setup!$B$22,"Y","N"))</f>
        <v/>
      </c>
      <c r="K473" s="25">
        <f>IF(C473="","",N(H473)+N(I473))</f>
        <v/>
      </c>
      <c r="L473" s="26">
        <f>IF(N(C473)&gt;0,MIN(1,K473/C473),"")</f>
        <v/>
      </c>
      <c r="M473" s="26">
        <f>IF(N(C473)&gt;0,MIN(1,N(H473)/C473),"")</f>
        <v/>
      </c>
      <c r="N473" s="26">
        <f>IF(L473="","",L473-M473)</f>
        <v/>
      </c>
      <c r="O473" s="30">
        <f>IF(L473="","",IF(L473&gt;=Setup!$B$23,"Complete",IF(L473&gt;0,"Partial","None")))</f>
        <v/>
      </c>
      <c r="P473" s="30">
        <f>IF(C473="","",IF(K473&gt;C473*1.01,"Covered area &gt; KBA area – check overlap; ","")&amp;IF(AND(E473&lt;&gt;"Y",F473&lt;&gt;"Y",J473&lt;&gt;"Y"),"No realm assigned; ",""))</f>
        <v/>
      </c>
    </row>
    <row r="474">
      <c r="A474" s="12" t="n"/>
      <c r="B474" s="12" t="n"/>
      <c r="C474" s="14" t="n"/>
      <c r="D474" s="34" t="n"/>
      <c r="E474" s="12" t="n"/>
      <c r="F474" s="12" t="n"/>
      <c r="G474" s="12" t="n"/>
      <c r="H474" s="14" t="n"/>
      <c r="I474" s="14" t="n"/>
      <c r="J474" s="30">
        <f>IF(C474="","",IF(N(D474)&gt;=Setup!$B$22,"Y","N"))</f>
        <v/>
      </c>
      <c r="K474" s="25">
        <f>IF(C474="","",N(H474)+N(I474))</f>
        <v/>
      </c>
      <c r="L474" s="26">
        <f>IF(N(C474)&gt;0,MIN(1,K474/C474),"")</f>
        <v/>
      </c>
      <c r="M474" s="26">
        <f>IF(N(C474)&gt;0,MIN(1,N(H474)/C474),"")</f>
        <v/>
      </c>
      <c r="N474" s="26">
        <f>IF(L474="","",L474-M474)</f>
        <v/>
      </c>
      <c r="O474" s="30">
        <f>IF(L474="","",IF(L474&gt;=Setup!$B$23,"Complete",IF(L474&gt;0,"Partial","None")))</f>
        <v/>
      </c>
      <c r="P474" s="30">
        <f>IF(C474="","",IF(K474&gt;C474*1.01,"Covered area &gt; KBA area – check overlap; ","")&amp;IF(AND(E474&lt;&gt;"Y",F474&lt;&gt;"Y",J474&lt;&gt;"Y"),"No realm assigned; ",""))</f>
        <v/>
      </c>
    </row>
    <row r="475">
      <c r="A475" s="12" t="n"/>
      <c r="B475" s="12" t="n"/>
      <c r="C475" s="14" t="n"/>
      <c r="D475" s="34" t="n"/>
      <c r="E475" s="12" t="n"/>
      <c r="F475" s="12" t="n"/>
      <c r="G475" s="12" t="n"/>
      <c r="H475" s="14" t="n"/>
      <c r="I475" s="14" t="n"/>
      <c r="J475" s="30">
        <f>IF(C475="","",IF(N(D475)&gt;=Setup!$B$22,"Y","N"))</f>
        <v/>
      </c>
      <c r="K475" s="25">
        <f>IF(C475="","",N(H475)+N(I475))</f>
        <v/>
      </c>
      <c r="L475" s="26">
        <f>IF(N(C475)&gt;0,MIN(1,K475/C475),"")</f>
        <v/>
      </c>
      <c r="M475" s="26">
        <f>IF(N(C475)&gt;0,MIN(1,N(H475)/C475),"")</f>
        <v/>
      </c>
      <c r="N475" s="26">
        <f>IF(L475="","",L475-M475)</f>
        <v/>
      </c>
      <c r="O475" s="30">
        <f>IF(L475="","",IF(L475&gt;=Setup!$B$23,"Complete",IF(L475&gt;0,"Partial","None")))</f>
        <v/>
      </c>
      <c r="P475" s="30">
        <f>IF(C475="","",IF(K475&gt;C475*1.01,"Covered area &gt; KBA area – check overlap; ","")&amp;IF(AND(E475&lt;&gt;"Y",F475&lt;&gt;"Y",J475&lt;&gt;"Y"),"No realm assigned; ",""))</f>
        <v/>
      </c>
    </row>
    <row r="476">
      <c r="A476" s="12" t="n"/>
      <c r="B476" s="12" t="n"/>
      <c r="C476" s="14" t="n"/>
      <c r="D476" s="34" t="n"/>
      <c r="E476" s="12" t="n"/>
      <c r="F476" s="12" t="n"/>
      <c r="G476" s="12" t="n"/>
      <c r="H476" s="14" t="n"/>
      <c r="I476" s="14" t="n"/>
      <c r="J476" s="30">
        <f>IF(C476="","",IF(N(D476)&gt;=Setup!$B$22,"Y","N"))</f>
        <v/>
      </c>
      <c r="K476" s="25">
        <f>IF(C476="","",N(H476)+N(I476))</f>
        <v/>
      </c>
      <c r="L476" s="26">
        <f>IF(N(C476)&gt;0,MIN(1,K476/C476),"")</f>
        <v/>
      </c>
      <c r="M476" s="26">
        <f>IF(N(C476)&gt;0,MIN(1,N(H476)/C476),"")</f>
        <v/>
      </c>
      <c r="N476" s="26">
        <f>IF(L476="","",L476-M476)</f>
        <v/>
      </c>
      <c r="O476" s="30">
        <f>IF(L476="","",IF(L476&gt;=Setup!$B$23,"Complete",IF(L476&gt;0,"Partial","None")))</f>
        <v/>
      </c>
      <c r="P476" s="30">
        <f>IF(C476="","",IF(K476&gt;C476*1.01,"Covered area &gt; KBA area – check overlap; ","")&amp;IF(AND(E476&lt;&gt;"Y",F476&lt;&gt;"Y",J476&lt;&gt;"Y"),"No realm assigned; ",""))</f>
        <v/>
      </c>
    </row>
    <row r="477">
      <c r="A477" s="12" t="n"/>
      <c r="B477" s="12" t="n"/>
      <c r="C477" s="14" t="n"/>
      <c r="D477" s="34" t="n"/>
      <c r="E477" s="12" t="n"/>
      <c r="F477" s="12" t="n"/>
      <c r="G477" s="12" t="n"/>
      <c r="H477" s="14" t="n"/>
      <c r="I477" s="14" t="n"/>
      <c r="J477" s="30">
        <f>IF(C477="","",IF(N(D477)&gt;=Setup!$B$22,"Y","N"))</f>
        <v/>
      </c>
      <c r="K477" s="25">
        <f>IF(C477="","",N(H477)+N(I477))</f>
        <v/>
      </c>
      <c r="L477" s="26">
        <f>IF(N(C477)&gt;0,MIN(1,K477/C477),"")</f>
        <v/>
      </c>
      <c r="M477" s="26">
        <f>IF(N(C477)&gt;0,MIN(1,N(H477)/C477),"")</f>
        <v/>
      </c>
      <c r="N477" s="26">
        <f>IF(L477="","",L477-M477)</f>
        <v/>
      </c>
      <c r="O477" s="30">
        <f>IF(L477="","",IF(L477&gt;=Setup!$B$23,"Complete",IF(L477&gt;0,"Partial","None")))</f>
        <v/>
      </c>
      <c r="P477" s="30">
        <f>IF(C477="","",IF(K477&gt;C477*1.01,"Covered area &gt; KBA area – check overlap; ","")&amp;IF(AND(E477&lt;&gt;"Y",F477&lt;&gt;"Y",J477&lt;&gt;"Y"),"No realm assigned; ",""))</f>
        <v/>
      </c>
    </row>
    <row r="478">
      <c r="A478" s="12" t="n"/>
      <c r="B478" s="12" t="n"/>
      <c r="C478" s="14" t="n"/>
      <c r="D478" s="34" t="n"/>
      <c r="E478" s="12" t="n"/>
      <c r="F478" s="12" t="n"/>
      <c r="G478" s="12" t="n"/>
      <c r="H478" s="14" t="n"/>
      <c r="I478" s="14" t="n"/>
      <c r="J478" s="30">
        <f>IF(C478="","",IF(N(D478)&gt;=Setup!$B$22,"Y","N"))</f>
        <v/>
      </c>
      <c r="K478" s="25">
        <f>IF(C478="","",N(H478)+N(I478))</f>
        <v/>
      </c>
      <c r="L478" s="26">
        <f>IF(N(C478)&gt;0,MIN(1,K478/C478),"")</f>
        <v/>
      </c>
      <c r="M478" s="26">
        <f>IF(N(C478)&gt;0,MIN(1,N(H478)/C478),"")</f>
        <v/>
      </c>
      <c r="N478" s="26">
        <f>IF(L478="","",L478-M478)</f>
        <v/>
      </c>
      <c r="O478" s="30">
        <f>IF(L478="","",IF(L478&gt;=Setup!$B$23,"Complete",IF(L478&gt;0,"Partial","None")))</f>
        <v/>
      </c>
      <c r="P478" s="30">
        <f>IF(C478="","",IF(K478&gt;C478*1.01,"Covered area &gt; KBA area – check overlap; ","")&amp;IF(AND(E478&lt;&gt;"Y",F478&lt;&gt;"Y",J478&lt;&gt;"Y"),"No realm assigned; ",""))</f>
        <v/>
      </c>
    </row>
    <row r="479">
      <c r="A479" s="12" t="n"/>
      <c r="B479" s="12" t="n"/>
      <c r="C479" s="14" t="n"/>
      <c r="D479" s="34" t="n"/>
      <c r="E479" s="12" t="n"/>
      <c r="F479" s="12" t="n"/>
      <c r="G479" s="12" t="n"/>
      <c r="H479" s="14" t="n"/>
      <c r="I479" s="14" t="n"/>
      <c r="J479" s="30">
        <f>IF(C479="","",IF(N(D479)&gt;=Setup!$B$22,"Y","N"))</f>
        <v/>
      </c>
      <c r="K479" s="25">
        <f>IF(C479="","",N(H479)+N(I479))</f>
        <v/>
      </c>
      <c r="L479" s="26">
        <f>IF(N(C479)&gt;0,MIN(1,K479/C479),"")</f>
        <v/>
      </c>
      <c r="M479" s="26">
        <f>IF(N(C479)&gt;0,MIN(1,N(H479)/C479),"")</f>
        <v/>
      </c>
      <c r="N479" s="26">
        <f>IF(L479="","",L479-M479)</f>
        <v/>
      </c>
      <c r="O479" s="30">
        <f>IF(L479="","",IF(L479&gt;=Setup!$B$23,"Complete",IF(L479&gt;0,"Partial","None")))</f>
        <v/>
      </c>
      <c r="P479" s="30">
        <f>IF(C479="","",IF(K479&gt;C479*1.01,"Covered area &gt; KBA area – check overlap; ","")&amp;IF(AND(E479&lt;&gt;"Y",F479&lt;&gt;"Y",J479&lt;&gt;"Y"),"No realm assigned; ",""))</f>
        <v/>
      </c>
    </row>
    <row r="480">
      <c r="A480" s="12" t="n"/>
      <c r="B480" s="12" t="n"/>
      <c r="C480" s="14" t="n"/>
      <c r="D480" s="34" t="n"/>
      <c r="E480" s="12" t="n"/>
      <c r="F480" s="12" t="n"/>
      <c r="G480" s="12" t="n"/>
      <c r="H480" s="14" t="n"/>
      <c r="I480" s="14" t="n"/>
      <c r="J480" s="30">
        <f>IF(C480="","",IF(N(D480)&gt;=Setup!$B$22,"Y","N"))</f>
        <v/>
      </c>
      <c r="K480" s="25">
        <f>IF(C480="","",N(H480)+N(I480))</f>
        <v/>
      </c>
      <c r="L480" s="26">
        <f>IF(N(C480)&gt;0,MIN(1,K480/C480),"")</f>
        <v/>
      </c>
      <c r="M480" s="26">
        <f>IF(N(C480)&gt;0,MIN(1,N(H480)/C480),"")</f>
        <v/>
      </c>
      <c r="N480" s="26">
        <f>IF(L480="","",L480-M480)</f>
        <v/>
      </c>
      <c r="O480" s="30">
        <f>IF(L480="","",IF(L480&gt;=Setup!$B$23,"Complete",IF(L480&gt;0,"Partial","None")))</f>
        <v/>
      </c>
      <c r="P480" s="30">
        <f>IF(C480="","",IF(K480&gt;C480*1.01,"Covered area &gt; KBA area – check overlap; ","")&amp;IF(AND(E480&lt;&gt;"Y",F480&lt;&gt;"Y",J480&lt;&gt;"Y"),"No realm assigned; ",""))</f>
        <v/>
      </c>
    </row>
    <row r="481">
      <c r="A481" s="12" t="n"/>
      <c r="B481" s="12" t="n"/>
      <c r="C481" s="14" t="n"/>
      <c r="D481" s="34" t="n"/>
      <c r="E481" s="12" t="n"/>
      <c r="F481" s="12" t="n"/>
      <c r="G481" s="12" t="n"/>
      <c r="H481" s="14" t="n"/>
      <c r="I481" s="14" t="n"/>
      <c r="J481" s="30">
        <f>IF(C481="","",IF(N(D481)&gt;=Setup!$B$22,"Y","N"))</f>
        <v/>
      </c>
      <c r="K481" s="25">
        <f>IF(C481="","",N(H481)+N(I481))</f>
        <v/>
      </c>
      <c r="L481" s="26">
        <f>IF(N(C481)&gt;0,MIN(1,K481/C481),"")</f>
        <v/>
      </c>
      <c r="M481" s="26">
        <f>IF(N(C481)&gt;0,MIN(1,N(H481)/C481),"")</f>
        <v/>
      </c>
      <c r="N481" s="26">
        <f>IF(L481="","",L481-M481)</f>
        <v/>
      </c>
      <c r="O481" s="30">
        <f>IF(L481="","",IF(L481&gt;=Setup!$B$23,"Complete",IF(L481&gt;0,"Partial","None")))</f>
        <v/>
      </c>
      <c r="P481" s="30">
        <f>IF(C481="","",IF(K481&gt;C481*1.01,"Covered area &gt; KBA area – check overlap; ","")&amp;IF(AND(E481&lt;&gt;"Y",F481&lt;&gt;"Y",J481&lt;&gt;"Y"),"No realm assigned; ",""))</f>
        <v/>
      </c>
    </row>
    <row r="482">
      <c r="A482" s="12" t="n"/>
      <c r="B482" s="12" t="n"/>
      <c r="C482" s="14" t="n"/>
      <c r="D482" s="34" t="n"/>
      <c r="E482" s="12" t="n"/>
      <c r="F482" s="12" t="n"/>
      <c r="G482" s="12" t="n"/>
      <c r="H482" s="14" t="n"/>
      <c r="I482" s="14" t="n"/>
      <c r="J482" s="30">
        <f>IF(C482="","",IF(N(D482)&gt;=Setup!$B$22,"Y","N"))</f>
        <v/>
      </c>
      <c r="K482" s="25">
        <f>IF(C482="","",N(H482)+N(I482))</f>
        <v/>
      </c>
      <c r="L482" s="26">
        <f>IF(N(C482)&gt;0,MIN(1,K482/C482),"")</f>
        <v/>
      </c>
      <c r="M482" s="26">
        <f>IF(N(C482)&gt;0,MIN(1,N(H482)/C482),"")</f>
        <v/>
      </c>
      <c r="N482" s="26">
        <f>IF(L482="","",L482-M482)</f>
        <v/>
      </c>
      <c r="O482" s="30">
        <f>IF(L482="","",IF(L482&gt;=Setup!$B$23,"Complete",IF(L482&gt;0,"Partial","None")))</f>
        <v/>
      </c>
      <c r="P482" s="30">
        <f>IF(C482="","",IF(K482&gt;C482*1.01,"Covered area &gt; KBA area – check overlap; ","")&amp;IF(AND(E482&lt;&gt;"Y",F482&lt;&gt;"Y",J482&lt;&gt;"Y"),"No realm assigned; ",""))</f>
        <v/>
      </c>
    </row>
    <row r="483">
      <c r="A483" s="12" t="n"/>
      <c r="B483" s="12" t="n"/>
      <c r="C483" s="14" t="n"/>
      <c r="D483" s="34" t="n"/>
      <c r="E483" s="12" t="n"/>
      <c r="F483" s="12" t="n"/>
      <c r="G483" s="12" t="n"/>
      <c r="H483" s="14" t="n"/>
      <c r="I483" s="14" t="n"/>
      <c r="J483" s="30">
        <f>IF(C483="","",IF(N(D483)&gt;=Setup!$B$22,"Y","N"))</f>
        <v/>
      </c>
      <c r="K483" s="25">
        <f>IF(C483="","",N(H483)+N(I483))</f>
        <v/>
      </c>
      <c r="L483" s="26">
        <f>IF(N(C483)&gt;0,MIN(1,K483/C483),"")</f>
        <v/>
      </c>
      <c r="M483" s="26">
        <f>IF(N(C483)&gt;0,MIN(1,N(H483)/C483),"")</f>
        <v/>
      </c>
      <c r="N483" s="26">
        <f>IF(L483="","",L483-M483)</f>
        <v/>
      </c>
      <c r="O483" s="30">
        <f>IF(L483="","",IF(L483&gt;=Setup!$B$23,"Complete",IF(L483&gt;0,"Partial","None")))</f>
        <v/>
      </c>
      <c r="P483" s="30">
        <f>IF(C483="","",IF(K483&gt;C483*1.01,"Covered area &gt; KBA area – check overlap; ","")&amp;IF(AND(E483&lt;&gt;"Y",F483&lt;&gt;"Y",J483&lt;&gt;"Y"),"No realm assigned; ",""))</f>
        <v/>
      </c>
    </row>
    <row r="484">
      <c r="A484" s="12" t="n"/>
      <c r="B484" s="12" t="n"/>
      <c r="C484" s="14" t="n"/>
      <c r="D484" s="34" t="n"/>
      <c r="E484" s="12" t="n"/>
      <c r="F484" s="12" t="n"/>
      <c r="G484" s="12" t="n"/>
      <c r="H484" s="14" t="n"/>
      <c r="I484" s="14" t="n"/>
      <c r="J484" s="30">
        <f>IF(C484="","",IF(N(D484)&gt;=Setup!$B$22,"Y","N"))</f>
        <v/>
      </c>
      <c r="K484" s="25">
        <f>IF(C484="","",N(H484)+N(I484))</f>
        <v/>
      </c>
      <c r="L484" s="26">
        <f>IF(N(C484)&gt;0,MIN(1,K484/C484),"")</f>
        <v/>
      </c>
      <c r="M484" s="26">
        <f>IF(N(C484)&gt;0,MIN(1,N(H484)/C484),"")</f>
        <v/>
      </c>
      <c r="N484" s="26">
        <f>IF(L484="","",L484-M484)</f>
        <v/>
      </c>
      <c r="O484" s="30">
        <f>IF(L484="","",IF(L484&gt;=Setup!$B$23,"Complete",IF(L484&gt;0,"Partial","None")))</f>
        <v/>
      </c>
      <c r="P484" s="30">
        <f>IF(C484="","",IF(K484&gt;C484*1.01,"Covered area &gt; KBA area – check overlap; ","")&amp;IF(AND(E484&lt;&gt;"Y",F484&lt;&gt;"Y",J484&lt;&gt;"Y"),"No realm assigned; ",""))</f>
        <v/>
      </c>
    </row>
    <row r="485">
      <c r="A485" s="12" t="n"/>
      <c r="B485" s="12" t="n"/>
      <c r="C485" s="14" t="n"/>
      <c r="D485" s="34" t="n"/>
      <c r="E485" s="12" t="n"/>
      <c r="F485" s="12" t="n"/>
      <c r="G485" s="12" t="n"/>
      <c r="H485" s="14" t="n"/>
      <c r="I485" s="14" t="n"/>
      <c r="J485" s="30">
        <f>IF(C485="","",IF(N(D485)&gt;=Setup!$B$22,"Y","N"))</f>
        <v/>
      </c>
      <c r="K485" s="25">
        <f>IF(C485="","",N(H485)+N(I485))</f>
        <v/>
      </c>
      <c r="L485" s="26">
        <f>IF(N(C485)&gt;0,MIN(1,K485/C485),"")</f>
        <v/>
      </c>
      <c r="M485" s="26">
        <f>IF(N(C485)&gt;0,MIN(1,N(H485)/C485),"")</f>
        <v/>
      </c>
      <c r="N485" s="26">
        <f>IF(L485="","",L485-M485)</f>
        <v/>
      </c>
      <c r="O485" s="30">
        <f>IF(L485="","",IF(L485&gt;=Setup!$B$23,"Complete",IF(L485&gt;0,"Partial","None")))</f>
        <v/>
      </c>
      <c r="P485" s="30">
        <f>IF(C485="","",IF(K485&gt;C485*1.01,"Covered area &gt; KBA area – check overlap; ","")&amp;IF(AND(E485&lt;&gt;"Y",F485&lt;&gt;"Y",J485&lt;&gt;"Y"),"No realm assigned; ",""))</f>
        <v/>
      </c>
    </row>
    <row r="486">
      <c r="A486" s="12" t="n"/>
      <c r="B486" s="12" t="n"/>
      <c r="C486" s="14" t="n"/>
      <c r="D486" s="34" t="n"/>
      <c r="E486" s="12" t="n"/>
      <c r="F486" s="12" t="n"/>
      <c r="G486" s="12" t="n"/>
      <c r="H486" s="14" t="n"/>
      <c r="I486" s="14" t="n"/>
      <c r="J486" s="30">
        <f>IF(C486="","",IF(N(D486)&gt;=Setup!$B$22,"Y","N"))</f>
        <v/>
      </c>
      <c r="K486" s="25">
        <f>IF(C486="","",N(H486)+N(I486))</f>
        <v/>
      </c>
      <c r="L486" s="26">
        <f>IF(N(C486)&gt;0,MIN(1,K486/C486),"")</f>
        <v/>
      </c>
      <c r="M486" s="26">
        <f>IF(N(C486)&gt;0,MIN(1,N(H486)/C486),"")</f>
        <v/>
      </c>
      <c r="N486" s="26">
        <f>IF(L486="","",L486-M486)</f>
        <v/>
      </c>
      <c r="O486" s="30">
        <f>IF(L486="","",IF(L486&gt;=Setup!$B$23,"Complete",IF(L486&gt;0,"Partial","None")))</f>
        <v/>
      </c>
      <c r="P486" s="30">
        <f>IF(C486="","",IF(K486&gt;C486*1.01,"Covered area &gt; KBA area – check overlap; ","")&amp;IF(AND(E486&lt;&gt;"Y",F486&lt;&gt;"Y",J486&lt;&gt;"Y"),"No realm assigned; ",""))</f>
        <v/>
      </c>
    </row>
    <row r="487">
      <c r="A487" s="12" t="n"/>
      <c r="B487" s="12" t="n"/>
      <c r="C487" s="14" t="n"/>
      <c r="D487" s="34" t="n"/>
      <c r="E487" s="12" t="n"/>
      <c r="F487" s="12" t="n"/>
      <c r="G487" s="12" t="n"/>
      <c r="H487" s="14" t="n"/>
      <c r="I487" s="14" t="n"/>
      <c r="J487" s="30">
        <f>IF(C487="","",IF(N(D487)&gt;=Setup!$B$22,"Y","N"))</f>
        <v/>
      </c>
      <c r="K487" s="25">
        <f>IF(C487="","",N(H487)+N(I487))</f>
        <v/>
      </c>
      <c r="L487" s="26">
        <f>IF(N(C487)&gt;0,MIN(1,K487/C487),"")</f>
        <v/>
      </c>
      <c r="M487" s="26">
        <f>IF(N(C487)&gt;0,MIN(1,N(H487)/C487),"")</f>
        <v/>
      </c>
      <c r="N487" s="26">
        <f>IF(L487="","",L487-M487)</f>
        <v/>
      </c>
      <c r="O487" s="30">
        <f>IF(L487="","",IF(L487&gt;=Setup!$B$23,"Complete",IF(L487&gt;0,"Partial","None")))</f>
        <v/>
      </c>
      <c r="P487" s="30">
        <f>IF(C487="","",IF(K487&gt;C487*1.01,"Covered area &gt; KBA area – check overlap; ","")&amp;IF(AND(E487&lt;&gt;"Y",F487&lt;&gt;"Y",J487&lt;&gt;"Y"),"No realm assigned; ",""))</f>
        <v/>
      </c>
    </row>
    <row r="488">
      <c r="A488" s="12" t="n"/>
      <c r="B488" s="12" t="n"/>
      <c r="C488" s="14" t="n"/>
      <c r="D488" s="34" t="n"/>
      <c r="E488" s="12" t="n"/>
      <c r="F488" s="12" t="n"/>
      <c r="G488" s="12" t="n"/>
      <c r="H488" s="14" t="n"/>
      <c r="I488" s="14" t="n"/>
      <c r="J488" s="30">
        <f>IF(C488="","",IF(N(D488)&gt;=Setup!$B$22,"Y","N"))</f>
        <v/>
      </c>
      <c r="K488" s="25">
        <f>IF(C488="","",N(H488)+N(I488))</f>
        <v/>
      </c>
      <c r="L488" s="26">
        <f>IF(N(C488)&gt;0,MIN(1,K488/C488),"")</f>
        <v/>
      </c>
      <c r="M488" s="26">
        <f>IF(N(C488)&gt;0,MIN(1,N(H488)/C488),"")</f>
        <v/>
      </c>
      <c r="N488" s="26">
        <f>IF(L488="","",L488-M488)</f>
        <v/>
      </c>
      <c r="O488" s="30">
        <f>IF(L488="","",IF(L488&gt;=Setup!$B$23,"Complete",IF(L488&gt;0,"Partial","None")))</f>
        <v/>
      </c>
      <c r="P488" s="30">
        <f>IF(C488="","",IF(K488&gt;C488*1.01,"Covered area &gt; KBA area – check overlap; ","")&amp;IF(AND(E488&lt;&gt;"Y",F488&lt;&gt;"Y",J488&lt;&gt;"Y"),"No realm assigned; ",""))</f>
        <v/>
      </c>
    </row>
    <row r="489">
      <c r="A489" s="12" t="n"/>
      <c r="B489" s="12" t="n"/>
      <c r="C489" s="14" t="n"/>
      <c r="D489" s="34" t="n"/>
      <c r="E489" s="12" t="n"/>
      <c r="F489" s="12" t="n"/>
      <c r="G489" s="12" t="n"/>
      <c r="H489" s="14" t="n"/>
      <c r="I489" s="14" t="n"/>
      <c r="J489" s="30">
        <f>IF(C489="","",IF(N(D489)&gt;=Setup!$B$22,"Y","N"))</f>
        <v/>
      </c>
      <c r="K489" s="25">
        <f>IF(C489="","",N(H489)+N(I489))</f>
        <v/>
      </c>
      <c r="L489" s="26">
        <f>IF(N(C489)&gt;0,MIN(1,K489/C489),"")</f>
        <v/>
      </c>
      <c r="M489" s="26">
        <f>IF(N(C489)&gt;0,MIN(1,N(H489)/C489),"")</f>
        <v/>
      </c>
      <c r="N489" s="26">
        <f>IF(L489="","",L489-M489)</f>
        <v/>
      </c>
      <c r="O489" s="30">
        <f>IF(L489="","",IF(L489&gt;=Setup!$B$23,"Complete",IF(L489&gt;0,"Partial","None")))</f>
        <v/>
      </c>
      <c r="P489" s="30">
        <f>IF(C489="","",IF(K489&gt;C489*1.01,"Covered area &gt; KBA area – check overlap; ","")&amp;IF(AND(E489&lt;&gt;"Y",F489&lt;&gt;"Y",J489&lt;&gt;"Y"),"No realm assigned; ",""))</f>
        <v/>
      </c>
    </row>
    <row r="490">
      <c r="A490" s="12" t="n"/>
      <c r="B490" s="12" t="n"/>
      <c r="C490" s="14" t="n"/>
      <c r="D490" s="34" t="n"/>
      <c r="E490" s="12" t="n"/>
      <c r="F490" s="12" t="n"/>
      <c r="G490" s="12" t="n"/>
      <c r="H490" s="14" t="n"/>
      <c r="I490" s="14" t="n"/>
      <c r="J490" s="30">
        <f>IF(C490="","",IF(N(D490)&gt;=Setup!$B$22,"Y","N"))</f>
        <v/>
      </c>
      <c r="K490" s="25">
        <f>IF(C490="","",N(H490)+N(I490))</f>
        <v/>
      </c>
      <c r="L490" s="26">
        <f>IF(N(C490)&gt;0,MIN(1,K490/C490),"")</f>
        <v/>
      </c>
      <c r="M490" s="26">
        <f>IF(N(C490)&gt;0,MIN(1,N(H490)/C490),"")</f>
        <v/>
      </c>
      <c r="N490" s="26">
        <f>IF(L490="","",L490-M490)</f>
        <v/>
      </c>
      <c r="O490" s="30">
        <f>IF(L490="","",IF(L490&gt;=Setup!$B$23,"Complete",IF(L490&gt;0,"Partial","None")))</f>
        <v/>
      </c>
      <c r="P490" s="30">
        <f>IF(C490="","",IF(K490&gt;C490*1.01,"Covered area &gt; KBA area – check overlap; ","")&amp;IF(AND(E490&lt;&gt;"Y",F490&lt;&gt;"Y",J490&lt;&gt;"Y"),"No realm assigned; ",""))</f>
        <v/>
      </c>
    </row>
    <row r="491">
      <c r="A491" s="12" t="n"/>
      <c r="B491" s="12" t="n"/>
      <c r="C491" s="14" t="n"/>
      <c r="D491" s="34" t="n"/>
      <c r="E491" s="12" t="n"/>
      <c r="F491" s="12" t="n"/>
      <c r="G491" s="12" t="n"/>
      <c r="H491" s="14" t="n"/>
      <c r="I491" s="14" t="n"/>
      <c r="J491" s="30">
        <f>IF(C491="","",IF(N(D491)&gt;=Setup!$B$22,"Y","N"))</f>
        <v/>
      </c>
      <c r="K491" s="25">
        <f>IF(C491="","",N(H491)+N(I491))</f>
        <v/>
      </c>
      <c r="L491" s="26">
        <f>IF(N(C491)&gt;0,MIN(1,K491/C491),"")</f>
        <v/>
      </c>
      <c r="M491" s="26">
        <f>IF(N(C491)&gt;0,MIN(1,N(H491)/C491),"")</f>
        <v/>
      </c>
      <c r="N491" s="26">
        <f>IF(L491="","",L491-M491)</f>
        <v/>
      </c>
      <c r="O491" s="30">
        <f>IF(L491="","",IF(L491&gt;=Setup!$B$23,"Complete",IF(L491&gt;0,"Partial","None")))</f>
        <v/>
      </c>
      <c r="P491" s="30">
        <f>IF(C491="","",IF(K491&gt;C491*1.01,"Covered area &gt; KBA area – check overlap; ","")&amp;IF(AND(E491&lt;&gt;"Y",F491&lt;&gt;"Y",J491&lt;&gt;"Y"),"No realm assigned; ",""))</f>
        <v/>
      </c>
    </row>
    <row r="492">
      <c r="A492" s="12" t="n"/>
      <c r="B492" s="12" t="n"/>
      <c r="C492" s="14" t="n"/>
      <c r="D492" s="34" t="n"/>
      <c r="E492" s="12" t="n"/>
      <c r="F492" s="12" t="n"/>
      <c r="G492" s="12" t="n"/>
      <c r="H492" s="14" t="n"/>
      <c r="I492" s="14" t="n"/>
      <c r="J492" s="30">
        <f>IF(C492="","",IF(N(D492)&gt;=Setup!$B$22,"Y","N"))</f>
        <v/>
      </c>
      <c r="K492" s="25">
        <f>IF(C492="","",N(H492)+N(I492))</f>
        <v/>
      </c>
      <c r="L492" s="26">
        <f>IF(N(C492)&gt;0,MIN(1,K492/C492),"")</f>
        <v/>
      </c>
      <c r="M492" s="26">
        <f>IF(N(C492)&gt;0,MIN(1,N(H492)/C492),"")</f>
        <v/>
      </c>
      <c r="N492" s="26">
        <f>IF(L492="","",L492-M492)</f>
        <v/>
      </c>
      <c r="O492" s="30">
        <f>IF(L492="","",IF(L492&gt;=Setup!$B$23,"Complete",IF(L492&gt;0,"Partial","None")))</f>
        <v/>
      </c>
      <c r="P492" s="30">
        <f>IF(C492="","",IF(K492&gt;C492*1.01,"Covered area &gt; KBA area – check overlap; ","")&amp;IF(AND(E492&lt;&gt;"Y",F492&lt;&gt;"Y",J492&lt;&gt;"Y"),"No realm assigned; ",""))</f>
        <v/>
      </c>
    </row>
    <row r="493">
      <c r="A493" s="12" t="n"/>
      <c r="B493" s="12" t="n"/>
      <c r="C493" s="14" t="n"/>
      <c r="D493" s="34" t="n"/>
      <c r="E493" s="12" t="n"/>
      <c r="F493" s="12" t="n"/>
      <c r="G493" s="12" t="n"/>
      <c r="H493" s="14" t="n"/>
      <c r="I493" s="14" t="n"/>
      <c r="J493" s="30">
        <f>IF(C493="","",IF(N(D493)&gt;=Setup!$B$22,"Y","N"))</f>
        <v/>
      </c>
      <c r="K493" s="25">
        <f>IF(C493="","",N(H493)+N(I493))</f>
        <v/>
      </c>
      <c r="L493" s="26">
        <f>IF(N(C493)&gt;0,MIN(1,K493/C493),"")</f>
        <v/>
      </c>
      <c r="M493" s="26">
        <f>IF(N(C493)&gt;0,MIN(1,N(H493)/C493),"")</f>
        <v/>
      </c>
      <c r="N493" s="26">
        <f>IF(L493="","",L493-M493)</f>
        <v/>
      </c>
      <c r="O493" s="30">
        <f>IF(L493="","",IF(L493&gt;=Setup!$B$23,"Complete",IF(L493&gt;0,"Partial","None")))</f>
        <v/>
      </c>
      <c r="P493" s="30">
        <f>IF(C493="","",IF(K493&gt;C493*1.01,"Covered area &gt; KBA area – check overlap; ","")&amp;IF(AND(E493&lt;&gt;"Y",F493&lt;&gt;"Y",J493&lt;&gt;"Y"),"No realm assigned; ",""))</f>
        <v/>
      </c>
    </row>
    <row r="494">
      <c r="A494" s="12" t="n"/>
      <c r="B494" s="12" t="n"/>
      <c r="C494" s="14" t="n"/>
      <c r="D494" s="34" t="n"/>
      <c r="E494" s="12" t="n"/>
      <c r="F494" s="12" t="n"/>
      <c r="G494" s="12" t="n"/>
      <c r="H494" s="14" t="n"/>
      <c r="I494" s="14" t="n"/>
      <c r="J494" s="30">
        <f>IF(C494="","",IF(N(D494)&gt;=Setup!$B$22,"Y","N"))</f>
        <v/>
      </c>
      <c r="K494" s="25">
        <f>IF(C494="","",N(H494)+N(I494))</f>
        <v/>
      </c>
      <c r="L494" s="26">
        <f>IF(N(C494)&gt;0,MIN(1,K494/C494),"")</f>
        <v/>
      </c>
      <c r="M494" s="26">
        <f>IF(N(C494)&gt;0,MIN(1,N(H494)/C494),"")</f>
        <v/>
      </c>
      <c r="N494" s="26">
        <f>IF(L494="","",L494-M494)</f>
        <v/>
      </c>
      <c r="O494" s="30">
        <f>IF(L494="","",IF(L494&gt;=Setup!$B$23,"Complete",IF(L494&gt;0,"Partial","None")))</f>
        <v/>
      </c>
      <c r="P494" s="30">
        <f>IF(C494="","",IF(K494&gt;C494*1.01,"Covered area &gt; KBA area – check overlap; ","")&amp;IF(AND(E494&lt;&gt;"Y",F494&lt;&gt;"Y",J494&lt;&gt;"Y"),"No realm assigned; ",""))</f>
        <v/>
      </c>
    </row>
    <row r="495">
      <c r="A495" s="12" t="n"/>
      <c r="B495" s="12" t="n"/>
      <c r="C495" s="14" t="n"/>
      <c r="D495" s="34" t="n"/>
      <c r="E495" s="12" t="n"/>
      <c r="F495" s="12" t="n"/>
      <c r="G495" s="12" t="n"/>
      <c r="H495" s="14" t="n"/>
      <c r="I495" s="14" t="n"/>
      <c r="J495" s="30">
        <f>IF(C495="","",IF(N(D495)&gt;=Setup!$B$22,"Y","N"))</f>
        <v/>
      </c>
      <c r="K495" s="25">
        <f>IF(C495="","",N(H495)+N(I495))</f>
        <v/>
      </c>
      <c r="L495" s="26">
        <f>IF(N(C495)&gt;0,MIN(1,K495/C495),"")</f>
        <v/>
      </c>
      <c r="M495" s="26">
        <f>IF(N(C495)&gt;0,MIN(1,N(H495)/C495),"")</f>
        <v/>
      </c>
      <c r="N495" s="26">
        <f>IF(L495="","",L495-M495)</f>
        <v/>
      </c>
      <c r="O495" s="30">
        <f>IF(L495="","",IF(L495&gt;=Setup!$B$23,"Complete",IF(L495&gt;0,"Partial","None")))</f>
        <v/>
      </c>
      <c r="P495" s="30">
        <f>IF(C495="","",IF(K495&gt;C495*1.01,"Covered area &gt; KBA area – check overlap; ","")&amp;IF(AND(E495&lt;&gt;"Y",F495&lt;&gt;"Y",J495&lt;&gt;"Y"),"No realm assigned; ",""))</f>
        <v/>
      </c>
    </row>
    <row r="496">
      <c r="A496" s="12" t="n"/>
      <c r="B496" s="12" t="n"/>
      <c r="C496" s="14" t="n"/>
      <c r="D496" s="34" t="n"/>
      <c r="E496" s="12" t="n"/>
      <c r="F496" s="12" t="n"/>
      <c r="G496" s="12" t="n"/>
      <c r="H496" s="14" t="n"/>
      <c r="I496" s="14" t="n"/>
      <c r="J496" s="30">
        <f>IF(C496="","",IF(N(D496)&gt;=Setup!$B$22,"Y","N"))</f>
        <v/>
      </c>
      <c r="K496" s="25">
        <f>IF(C496="","",N(H496)+N(I496))</f>
        <v/>
      </c>
      <c r="L496" s="26">
        <f>IF(N(C496)&gt;0,MIN(1,K496/C496),"")</f>
        <v/>
      </c>
      <c r="M496" s="26">
        <f>IF(N(C496)&gt;0,MIN(1,N(H496)/C496),"")</f>
        <v/>
      </c>
      <c r="N496" s="26">
        <f>IF(L496="","",L496-M496)</f>
        <v/>
      </c>
      <c r="O496" s="30">
        <f>IF(L496="","",IF(L496&gt;=Setup!$B$23,"Complete",IF(L496&gt;0,"Partial","None")))</f>
        <v/>
      </c>
      <c r="P496" s="30">
        <f>IF(C496="","",IF(K496&gt;C496*1.01,"Covered area &gt; KBA area – check overlap; ","")&amp;IF(AND(E496&lt;&gt;"Y",F496&lt;&gt;"Y",J496&lt;&gt;"Y"),"No realm assigned; ",""))</f>
        <v/>
      </c>
    </row>
    <row r="497">
      <c r="A497" s="12" t="n"/>
      <c r="B497" s="12" t="n"/>
      <c r="C497" s="14" t="n"/>
      <c r="D497" s="34" t="n"/>
      <c r="E497" s="12" t="n"/>
      <c r="F497" s="12" t="n"/>
      <c r="G497" s="12" t="n"/>
      <c r="H497" s="14" t="n"/>
      <c r="I497" s="14" t="n"/>
      <c r="J497" s="30">
        <f>IF(C497="","",IF(N(D497)&gt;=Setup!$B$22,"Y","N"))</f>
        <v/>
      </c>
      <c r="K497" s="25">
        <f>IF(C497="","",N(H497)+N(I497))</f>
        <v/>
      </c>
      <c r="L497" s="26">
        <f>IF(N(C497)&gt;0,MIN(1,K497/C497),"")</f>
        <v/>
      </c>
      <c r="M497" s="26">
        <f>IF(N(C497)&gt;0,MIN(1,N(H497)/C497),"")</f>
        <v/>
      </c>
      <c r="N497" s="26">
        <f>IF(L497="","",L497-M497)</f>
        <v/>
      </c>
      <c r="O497" s="30">
        <f>IF(L497="","",IF(L497&gt;=Setup!$B$23,"Complete",IF(L497&gt;0,"Partial","None")))</f>
        <v/>
      </c>
      <c r="P497" s="30">
        <f>IF(C497="","",IF(K497&gt;C497*1.01,"Covered area &gt; KBA area – check overlap; ","")&amp;IF(AND(E497&lt;&gt;"Y",F497&lt;&gt;"Y",J497&lt;&gt;"Y"),"No realm assigned; ",""))</f>
        <v/>
      </c>
    </row>
    <row r="498">
      <c r="A498" s="12" t="n"/>
      <c r="B498" s="12" t="n"/>
      <c r="C498" s="14" t="n"/>
      <c r="D498" s="34" t="n"/>
      <c r="E498" s="12" t="n"/>
      <c r="F498" s="12" t="n"/>
      <c r="G498" s="12" t="n"/>
      <c r="H498" s="14" t="n"/>
      <c r="I498" s="14" t="n"/>
      <c r="J498" s="30">
        <f>IF(C498="","",IF(N(D498)&gt;=Setup!$B$22,"Y","N"))</f>
        <v/>
      </c>
      <c r="K498" s="25">
        <f>IF(C498="","",N(H498)+N(I498))</f>
        <v/>
      </c>
      <c r="L498" s="26">
        <f>IF(N(C498)&gt;0,MIN(1,K498/C498),"")</f>
        <v/>
      </c>
      <c r="M498" s="26">
        <f>IF(N(C498)&gt;0,MIN(1,N(H498)/C498),"")</f>
        <v/>
      </c>
      <c r="N498" s="26">
        <f>IF(L498="","",L498-M498)</f>
        <v/>
      </c>
      <c r="O498" s="30">
        <f>IF(L498="","",IF(L498&gt;=Setup!$B$23,"Complete",IF(L498&gt;0,"Partial","None")))</f>
        <v/>
      </c>
      <c r="P498" s="30">
        <f>IF(C498="","",IF(K498&gt;C498*1.01,"Covered area &gt; KBA area – check overlap; ","")&amp;IF(AND(E498&lt;&gt;"Y",F498&lt;&gt;"Y",J498&lt;&gt;"Y"),"No realm assigned; ",""))</f>
        <v/>
      </c>
    </row>
    <row r="499">
      <c r="A499" s="12" t="n"/>
      <c r="B499" s="12" t="n"/>
      <c r="C499" s="14" t="n"/>
      <c r="D499" s="34" t="n"/>
      <c r="E499" s="12" t="n"/>
      <c r="F499" s="12" t="n"/>
      <c r="G499" s="12" t="n"/>
      <c r="H499" s="14" t="n"/>
      <c r="I499" s="14" t="n"/>
      <c r="J499" s="30">
        <f>IF(C499="","",IF(N(D499)&gt;=Setup!$B$22,"Y","N"))</f>
        <v/>
      </c>
      <c r="K499" s="25">
        <f>IF(C499="","",N(H499)+N(I499))</f>
        <v/>
      </c>
      <c r="L499" s="26">
        <f>IF(N(C499)&gt;0,MIN(1,K499/C499),"")</f>
        <v/>
      </c>
      <c r="M499" s="26">
        <f>IF(N(C499)&gt;0,MIN(1,N(H499)/C499),"")</f>
        <v/>
      </c>
      <c r="N499" s="26">
        <f>IF(L499="","",L499-M499)</f>
        <v/>
      </c>
      <c r="O499" s="30">
        <f>IF(L499="","",IF(L499&gt;=Setup!$B$23,"Complete",IF(L499&gt;0,"Partial","None")))</f>
        <v/>
      </c>
      <c r="P499" s="30">
        <f>IF(C499="","",IF(K499&gt;C499*1.01,"Covered area &gt; KBA area – check overlap; ","")&amp;IF(AND(E499&lt;&gt;"Y",F499&lt;&gt;"Y",J499&lt;&gt;"Y"),"No realm assigned; ",""))</f>
        <v/>
      </c>
    </row>
    <row r="500">
      <c r="A500" s="12" t="n"/>
      <c r="B500" s="12" t="n"/>
      <c r="C500" s="14" t="n"/>
      <c r="D500" s="34" t="n"/>
      <c r="E500" s="12" t="n"/>
      <c r="F500" s="12" t="n"/>
      <c r="G500" s="12" t="n"/>
      <c r="H500" s="14" t="n"/>
      <c r="I500" s="14" t="n"/>
      <c r="J500" s="30">
        <f>IF(C500="","",IF(N(D500)&gt;=Setup!$B$22,"Y","N"))</f>
        <v/>
      </c>
      <c r="K500" s="25">
        <f>IF(C500="","",N(H500)+N(I500))</f>
        <v/>
      </c>
      <c r="L500" s="26">
        <f>IF(N(C500)&gt;0,MIN(1,K500/C500),"")</f>
        <v/>
      </c>
      <c r="M500" s="26">
        <f>IF(N(C500)&gt;0,MIN(1,N(H500)/C500),"")</f>
        <v/>
      </c>
      <c r="N500" s="26">
        <f>IF(L500="","",L500-M500)</f>
        <v/>
      </c>
      <c r="O500" s="30">
        <f>IF(L500="","",IF(L500&gt;=Setup!$B$23,"Complete",IF(L500&gt;0,"Partial","None")))</f>
        <v/>
      </c>
      <c r="P500" s="30">
        <f>IF(C500="","",IF(K500&gt;C500*1.01,"Covered area &gt; KBA area – check overlap; ","")&amp;IF(AND(E500&lt;&gt;"Y",F500&lt;&gt;"Y",J500&lt;&gt;"Y"),"No realm assigned; ",""))</f>
        <v/>
      </c>
    </row>
    <row r="501">
      <c r="A501" s="12" t="n"/>
      <c r="B501" s="12" t="n"/>
      <c r="C501" s="14" t="n"/>
      <c r="D501" s="34" t="n"/>
      <c r="E501" s="12" t="n"/>
      <c r="F501" s="12" t="n"/>
      <c r="G501" s="12" t="n"/>
      <c r="H501" s="14" t="n"/>
      <c r="I501" s="14" t="n"/>
      <c r="J501" s="30">
        <f>IF(C501="","",IF(N(D501)&gt;=Setup!$B$22,"Y","N"))</f>
        <v/>
      </c>
      <c r="K501" s="25">
        <f>IF(C501="","",N(H501)+N(I501))</f>
        <v/>
      </c>
      <c r="L501" s="26">
        <f>IF(N(C501)&gt;0,MIN(1,K501/C501),"")</f>
        <v/>
      </c>
      <c r="M501" s="26">
        <f>IF(N(C501)&gt;0,MIN(1,N(H501)/C501),"")</f>
        <v/>
      </c>
      <c r="N501" s="26">
        <f>IF(L501="","",L501-M501)</f>
        <v/>
      </c>
      <c r="O501" s="30">
        <f>IF(L501="","",IF(L501&gt;=Setup!$B$23,"Complete",IF(L501&gt;0,"Partial","None")))</f>
        <v/>
      </c>
      <c r="P501" s="30">
        <f>IF(C501="","",IF(K501&gt;C501*1.01,"Covered area &gt; KBA area – check overlap; ","")&amp;IF(AND(E501&lt;&gt;"Y",F501&lt;&gt;"Y",J501&lt;&gt;"Y"),"No realm assigned; ",""))</f>
        <v/>
      </c>
    </row>
    <row r="502">
      <c r="A502" s="12" t="n"/>
      <c r="B502" s="12" t="n"/>
      <c r="C502" s="14" t="n"/>
      <c r="D502" s="34" t="n"/>
      <c r="E502" s="12" t="n"/>
      <c r="F502" s="12" t="n"/>
      <c r="G502" s="12" t="n"/>
      <c r="H502" s="14" t="n"/>
      <c r="I502" s="14" t="n"/>
      <c r="J502" s="30">
        <f>IF(C502="","",IF(N(D502)&gt;=Setup!$B$22,"Y","N"))</f>
        <v/>
      </c>
      <c r="K502" s="25">
        <f>IF(C502="","",N(H502)+N(I502))</f>
        <v/>
      </c>
      <c r="L502" s="26">
        <f>IF(N(C502)&gt;0,MIN(1,K502/C502),"")</f>
        <v/>
      </c>
      <c r="M502" s="26">
        <f>IF(N(C502)&gt;0,MIN(1,N(H502)/C502),"")</f>
        <v/>
      </c>
      <c r="N502" s="26">
        <f>IF(L502="","",L502-M502)</f>
        <v/>
      </c>
      <c r="O502" s="30">
        <f>IF(L502="","",IF(L502&gt;=Setup!$B$23,"Complete",IF(L502&gt;0,"Partial","None")))</f>
        <v/>
      </c>
      <c r="P502" s="30">
        <f>IF(C502="","",IF(K502&gt;C502*1.01,"Covered area &gt; KBA area – check overlap; ","")&amp;IF(AND(E502&lt;&gt;"Y",F502&lt;&gt;"Y",J502&lt;&gt;"Y"),"No realm assigned; ",""))</f>
        <v/>
      </c>
    </row>
    <row r="503">
      <c r="A503" s="12" t="n"/>
      <c r="B503" s="12" t="n"/>
      <c r="C503" s="14" t="n"/>
      <c r="D503" s="34" t="n"/>
      <c r="E503" s="12" t="n"/>
      <c r="F503" s="12" t="n"/>
      <c r="G503" s="12" t="n"/>
      <c r="H503" s="14" t="n"/>
      <c r="I503" s="14" t="n"/>
      <c r="J503" s="30">
        <f>IF(C503="","",IF(N(D503)&gt;=Setup!$B$22,"Y","N"))</f>
        <v/>
      </c>
      <c r="K503" s="25">
        <f>IF(C503="","",N(H503)+N(I503))</f>
        <v/>
      </c>
      <c r="L503" s="26">
        <f>IF(N(C503)&gt;0,MIN(1,K503/C503),"")</f>
        <v/>
      </c>
      <c r="M503" s="26">
        <f>IF(N(C503)&gt;0,MIN(1,N(H503)/C503),"")</f>
        <v/>
      </c>
      <c r="N503" s="26">
        <f>IF(L503="","",L503-M503)</f>
        <v/>
      </c>
      <c r="O503" s="30">
        <f>IF(L503="","",IF(L503&gt;=Setup!$B$23,"Complete",IF(L503&gt;0,"Partial","None")))</f>
        <v/>
      </c>
      <c r="P503" s="30">
        <f>IF(C503="","",IF(K503&gt;C503*1.01,"Covered area &gt; KBA area – check overlap; ","")&amp;IF(AND(E503&lt;&gt;"Y",F503&lt;&gt;"Y",J503&lt;&gt;"Y"),"No realm assigned; ",""))</f>
        <v/>
      </c>
    </row>
    <row r="504">
      <c r="A504" s="12" t="n"/>
      <c r="B504" s="12" t="n"/>
      <c r="C504" s="14" t="n"/>
      <c r="D504" s="34" t="n"/>
      <c r="E504" s="12" t="n"/>
      <c r="F504" s="12" t="n"/>
      <c r="G504" s="12" t="n"/>
      <c r="H504" s="14" t="n"/>
      <c r="I504" s="14" t="n"/>
      <c r="J504" s="30">
        <f>IF(C504="","",IF(N(D504)&gt;=Setup!$B$22,"Y","N"))</f>
        <v/>
      </c>
      <c r="K504" s="25">
        <f>IF(C504="","",N(H504)+N(I504))</f>
        <v/>
      </c>
      <c r="L504" s="26">
        <f>IF(N(C504)&gt;0,MIN(1,K504/C504),"")</f>
        <v/>
      </c>
      <c r="M504" s="26">
        <f>IF(N(C504)&gt;0,MIN(1,N(H504)/C504),"")</f>
        <v/>
      </c>
      <c r="N504" s="26">
        <f>IF(L504="","",L504-M504)</f>
        <v/>
      </c>
      <c r="O504" s="30">
        <f>IF(L504="","",IF(L504&gt;=Setup!$B$23,"Complete",IF(L504&gt;0,"Partial","None")))</f>
        <v/>
      </c>
      <c r="P504" s="30">
        <f>IF(C504="","",IF(K504&gt;C504*1.01,"Covered area &gt; KBA area – check overlap; ","")&amp;IF(AND(E504&lt;&gt;"Y",F504&lt;&gt;"Y",J504&lt;&gt;"Y"),"No realm assigned; ",""))</f>
        <v/>
      </c>
    </row>
    <row r="505">
      <c r="A505" s="12" t="n"/>
      <c r="B505" s="12" t="n"/>
      <c r="C505" s="14" t="n"/>
      <c r="D505" s="34" t="n"/>
      <c r="E505" s="12" t="n"/>
      <c r="F505" s="12" t="n"/>
      <c r="G505" s="12" t="n"/>
      <c r="H505" s="14" t="n"/>
      <c r="I505" s="14" t="n"/>
      <c r="J505" s="30">
        <f>IF(C505="","",IF(N(D505)&gt;=Setup!$B$22,"Y","N"))</f>
        <v/>
      </c>
      <c r="K505" s="25">
        <f>IF(C505="","",N(H505)+N(I505))</f>
        <v/>
      </c>
      <c r="L505" s="26">
        <f>IF(N(C505)&gt;0,MIN(1,K505/C505),"")</f>
        <v/>
      </c>
      <c r="M505" s="26">
        <f>IF(N(C505)&gt;0,MIN(1,N(H505)/C505),"")</f>
        <v/>
      </c>
      <c r="N505" s="26">
        <f>IF(L505="","",L505-M505)</f>
        <v/>
      </c>
      <c r="O505" s="30">
        <f>IF(L505="","",IF(L505&gt;=Setup!$B$23,"Complete",IF(L505&gt;0,"Partial","None")))</f>
        <v/>
      </c>
      <c r="P505" s="30">
        <f>IF(C505="","",IF(K505&gt;C505*1.01,"Covered area &gt; KBA area – check overlap; ","")&amp;IF(AND(E505&lt;&gt;"Y",F505&lt;&gt;"Y",J505&lt;&gt;"Y"),"No realm assigned; ",""))</f>
        <v/>
      </c>
    </row>
    <row r="506">
      <c r="A506" s="12" t="n"/>
      <c r="B506" s="12" t="n"/>
      <c r="C506" s="14" t="n"/>
      <c r="D506" s="34" t="n"/>
      <c r="E506" s="12" t="n"/>
      <c r="F506" s="12" t="n"/>
      <c r="G506" s="12" t="n"/>
      <c r="H506" s="14" t="n"/>
      <c r="I506" s="14" t="n"/>
      <c r="J506" s="30">
        <f>IF(C506="","",IF(N(D506)&gt;=Setup!$B$22,"Y","N"))</f>
        <v/>
      </c>
      <c r="K506" s="25">
        <f>IF(C506="","",N(H506)+N(I506))</f>
        <v/>
      </c>
      <c r="L506" s="26">
        <f>IF(N(C506)&gt;0,MIN(1,K506/C506),"")</f>
        <v/>
      </c>
      <c r="M506" s="26">
        <f>IF(N(C506)&gt;0,MIN(1,N(H506)/C506),"")</f>
        <v/>
      </c>
      <c r="N506" s="26">
        <f>IF(L506="","",L506-M506)</f>
        <v/>
      </c>
      <c r="O506" s="30">
        <f>IF(L506="","",IF(L506&gt;=Setup!$B$23,"Complete",IF(L506&gt;0,"Partial","None")))</f>
        <v/>
      </c>
      <c r="P506" s="30">
        <f>IF(C506="","",IF(K506&gt;C506*1.01,"Covered area &gt; KBA area – check overlap; ","")&amp;IF(AND(E506&lt;&gt;"Y",F506&lt;&gt;"Y",J506&lt;&gt;"Y"),"No realm assigned; ",""))</f>
        <v/>
      </c>
    </row>
    <row r="507">
      <c r="A507" s="12" t="n"/>
      <c r="B507" s="12" t="n"/>
      <c r="C507" s="14" t="n"/>
      <c r="D507" s="34" t="n"/>
      <c r="E507" s="12" t="n"/>
      <c r="F507" s="12" t="n"/>
      <c r="G507" s="12" t="n"/>
      <c r="H507" s="14" t="n"/>
      <c r="I507" s="14" t="n"/>
      <c r="J507" s="30">
        <f>IF(C507="","",IF(N(D507)&gt;=Setup!$B$22,"Y","N"))</f>
        <v/>
      </c>
      <c r="K507" s="25">
        <f>IF(C507="","",N(H507)+N(I507))</f>
        <v/>
      </c>
      <c r="L507" s="26">
        <f>IF(N(C507)&gt;0,MIN(1,K507/C507),"")</f>
        <v/>
      </c>
      <c r="M507" s="26">
        <f>IF(N(C507)&gt;0,MIN(1,N(H507)/C507),"")</f>
        <v/>
      </c>
      <c r="N507" s="26">
        <f>IF(L507="","",L507-M507)</f>
        <v/>
      </c>
      <c r="O507" s="30">
        <f>IF(L507="","",IF(L507&gt;=Setup!$B$23,"Complete",IF(L507&gt;0,"Partial","None")))</f>
        <v/>
      </c>
      <c r="P507" s="30">
        <f>IF(C507="","",IF(K507&gt;C507*1.01,"Covered area &gt; KBA area – check overlap; ","")&amp;IF(AND(E507&lt;&gt;"Y",F507&lt;&gt;"Y",J507&lt;&gt;"Y"),"No realm assigned; ",""))</f>
        <v/>
      </c>
    </row>
    <row r="508">
      <c r="A508" s="12" t="n"/>
      <c r="B508" s="12" t="n"/>
      <c r="C508" s="14" t="n"/>
      <c r="D508" s="34" t="n"/>
      <c r="E508" s="12" t="n"/>
      <c r="F508" s="12" t="n"/>
      <c r="G508" s="12" t="n"/>
      <c r="H508" s="14" t="n"/>
      <c r="I508" s="14" t="n"/>
      <c r="J508" s="30">
        <f>IF(C508="","",IF(N(D508)&gt;=Setup!$B$22,"Y","N"))</f>
        <v/>
      </c>
      <c r="K508" s="25">
        <f>IF(C508="","",N(H508)+N(I508))</f>
        <v/>
      </c>
      <c r="L508" s="26">
        <f>IF(N(C508)&gt;0,MIN(1,K508/C508),"")</f>
        <v/>
      </c>
      <c r="M508" s="26">
        <f>IF(N(C508)&gt;0,MIN(1,N(H508)/C508),"")</f>
        <v/>
      </c>
      <c r="N508" s="26">
        <f>IF(L508="","",L508-M508)</f>
        <v/>
      </c>
      <c r="O508" s="30">
        <f>IF(L508="","",IF(L508&gt;=Setup!$B$23,"Complete",IF(L508&gt;0,"Partial","None")))</f>
        <v/>
      </c>
      <c r="P508" s="30">
        <f>IF(C508="","",IF(K508&gt;C508*1.01,"Covered area &gt; KBA area – check overlap; ","")&amp;IF(AND(E508&lt;&gt;"Y",F508&lt;&gt;"Y",J508&lt;&gt;"Y"),"No realm assigned; ",""))</f>
        <v/>
      </c>
    </row>
    <row r="509">
      <c r="A509" s="12" t="n"/>
      <c r="B509" s="12" t="n"/>
      <c r="C509" s="14" t="n"/>
      <c r="D509" s="34" t="n"/>
      <c r="E509" s="12" t="n"/>
      <c r="F509" s="12" t="n"/>
      <c r="G509" s="12" t="n"/>
      <c r="H509" s="14" t="n"/>
      <c r="I509" s="14" t="n"/>
      <c r="J509" s="30">
        <f>IF(C509="","",IF(N(D509)&gt;=Setup!$B$22,"Y","N"))</f>
        <v/>
      </c>
      <c r="K509" s="25">
        <f>IF(C509="","",N(H509)+N(I509))</f>
        <v/>
      </c>
      <c r="L509" s="26">
        <f>IF(N(C509)&gt;0,MIN(1,K509/C509),"")</f>
        <v/>
      </c>
      <c r="M509" s="26">
        <f>IF(N(C509)&gt;0,MIN(1,N(H509)/C509),"")</f>
        <v/>
      </c>
      <c r="N509" s="26">
        <f>IF(L509="","",L509-M509)</f>
        <v/>
      </c>
      <c r="O509" s="30">
        <f>IF(L509="","",IF(L509&gt;=Setup!$B$23,"Complete",IF(L509&gt;0,"Partial","None")))</f>
        <v/>
      </c>
      <c r="P509" s="30">
        <f>IF(C509="","",IF(K509&gt;C509*1.01,"Covered area &gt; KBA area – check overlap; ","")&amp;IF(AND(E509&lt;&gt;"Y",F509&lt;&gt;"Y",J509&lt;&gt;"Y"),"No realm assigned; ",""))</f>
        <v/>
      </c>
    </row>
    <row r="510">
      <c r="A510" s="12" t="n"/>
      <c r="B510" s="12" t="n"/>
      <c r="C510" s="14" t="n"/>
      <c r="D510" s="34" t="n"/>
      <c r="E510" s="12" t="n"/>
      <c r="F510" s="12" t="n"/>
      <c r="G510" s="12" t="n"/>
      <c r="H510" s="14" t="n"/>
      <c r="I510" s="14" t="n"/>
      <c r="J510" s="30">
        <f>IF(C510="","",IF(N(D510)&gt;=Setup!$B$22,"Y","N"))</f>
        <v/>
      </c>
      <c r="K510" s="25">
        <f>IF(C510="","",N(H510)+N(I510))</f>
        <v/>
      </c>
      <c r="L510" s="26">
        <f>IF(N(C510)&gt;0,MIN(1,K510/C510),"")</f>
        <v/>
      </c>
      <c r="M510" s="26">
        <f>IF(N(C510)&gt;0,MIN(1,N(H510)/C510),"")</f>
        <v/>
      </c>
      <c r="N510" s="26">
        <f>IF(L510="","",L510-M510)</f>
        <v/>
      </c>
      <c r="O510" s="30">
        <f>IF(L510="","",IF(L510&gt;=Setup!$B$23,"Complete",IF(L510&gt;0,"Partial","None")))</f>
        <v/>
      </c>
      <c r="P510" s="30">
        <f>IF(C510="","",IF(K510&gt;C510*1.01,"Covered area &gt; KBA area – check overlap; ","")&amp;IF(AND(E510&lt;&gt;"Y",F510&lt;&gt;"Y",J510&lt;&gt;"Y"),"No realm assigned; ",""))</f>
        <v/>
      </c>
    </row>
    <row r="511">
      <c r="A511" s="12" t="n"/>
      <c r="B511" s="12" t="n"/>
      <c r="C511" s="14" t="n"/>
      <c r="D511" s="34" t="n"/>
      <c r="E511" s="12" t="n"/>
      <c r="F511" s="12" t="n"/>
      <c r="G511" s="12" t="n"/>
      <c r="H511" s="14" t="n"/>
      <c r="I511" s="14" t="n"/>
      <c r="J511" s="30">
        <f>IF(C511="","",IF(N(D511)&gt;=Setup!$B$22,"Y","N"))</f>
        <v/>
      </c>
      <c r="K511" s="25">
        <f>IF(C511="","",N(H511)+N(I511))</f>
        <v/>
      </c>
      <c r="L511" s="26">
        <f>IF(N(C511)&gt;0,MIN(1,K511/C511),"")</f>
        <v/>
      </c>
      <c r="M511" s="26">
        <f>IF(N(C511)&gt;0,MIN(1,N(H511)/C511),"")</f>
        <v/>
      </c>
      <c r="N511" s="26">
        <f>IF(L511="","",L511-M511)</f>
        <v/>
      </c>
      <c r="O511" s="30">
        <f>IF(L511="","",IF(L511&gt;=Setup!$B$23,"Complete",IF(L511&gt;0,"Partial","None")))</f>
        <v/>
      </c>
      <c r="P511" s="30">
        <f>IF(C511="","",IF(K511&gt;C511*1.01,"Covered area &gt; KBA area – check overlap; ","")&amp;IF(AND(E511&lt;&gt;"Y",F511&lt;&gt;"Y",J511&lt;&gt;"Y"),"No realm assigned; ",""))</f>
        <v/>
      </c>
    </row>
    <row r="512">
      <c r="A512" s="12" t="n"/>
      <c r="B512" s="12" t="n"/>
      <c r="C512" s="14" t="n"/>
      <c r="D512" s="34" t="n"/>
      <c r="E512" s="12" t="n"/>
      <c r="F512" s="12" t="n"/>
      <c r="G512" s="12" t="n"/>
      <c r="H512" s="14" t="n"/>
      <c r="I512" s="14" t="n"/>
      <c r="J512" s="30">
        <f>IF(C512="","",IF(N(D512)&gt;=Setup!$B$22,"Y","N"))</f>
        <v/>
      </c>
      <c r="K512" s="25">
        <f>IF(C512="","",N(H512)+N(I512))</f>
        <v/>
      </c>
      <c r="L512" s="26">
        <f>IF(N(C512)&gt;0,MIN(1,K512/C512),"")</f>
        <v/>
      </c>
      <c r="M512" s="26">
        <f>IF(N(C512)&gt;0,MIN(1,N(H512)/C512),"")</f>
        <v/>
      </c>
      <c r="N512" s="26">
        <f>IF(L512="","",L512-M512)</f>
        <v/>
      </c>
      <c r="O512" s="30">
        <f>IF(L512="","",IF(L512&gt;=Setup!$B$23,"Complete",IF(L512&gt;0,"Partial","None")))</f>
        <v/>
      </c>
      <c r="P512" s="30">
        <f>IF(C512="","",IF(K512&gt;C512*1.01,"Covered area &gt; KBA area – check overlap; ","")&amp;IF(AND(E512&lt;&gt;"Y",F512&lt;&gt;"Y",J512&lt;&gt;"Y"),"No realm assigned; ",""))</f>
        <v/>
      </c>
    </row>
    <row r="513">
      <c r="A513" s="12" t="n"/>
      <c r="B513" s="12" t="n"/>
      <c r="C513" s="14" t="n"/>
      <c r="D513" s="34" t="n"/>
      <c r="E513" s="12" t="n"/>
      <c r="F513" s="12" t="n"/>
      <c r="G513" s="12" t="n"/>
      <c r="H513" s="14" t="n"/>
      <c r="I513" s="14" t="n"/>
      <c r="J513" s="30">
        <f>IF(C513="","",IF(N(D513)&gt;=Setup!$B$22,"Y","N"))</f>
        <v/>
      </c>
      <c r="K513" s="25">
        <f>IF(C513="","",N(H513)+N(I513))</f>
        <v/>
      </c>
      <c r="L513" s="26">
        <f>IF(N(C513)&gt;0,MIN(1,K513/C513),"")</f>
        <v/>
      </c>
      <c r="M513" s="26">
        <f>IF(N(C513)&gt;0,MIN(1,N(H513)/C513),"")</f>
        <v/>
      </c>
      <c r="N513" s="26">
        <f>IF(L513="","",L513-M513)</f>
        <v/>
      </c>
      <c r="O513" s="30">
        <f>IF(L513="","",IF(L513&gt;=Setup!$B$23,"Complete",IF(L513&gt;0,"Partial","None")))</f>
        <v/>
      </c>
      <c r="P513" s="30">
        <f>IF(C513="","",IF(K513&gt;C513*1.01,"Covered area &gt; KBA area – check overlap; ","")&amp;IF(AND(E513&lt;&gt;"Y",F513&lt;&gt;"Y",J513&lt;&gt;"Y"),"No realm assigned; ",""))</f>
        <v/>
      </c>
    </row>
    <row r="514">
      <c r="A514" s="12" t="n"/>
      <c r="B514" s="12" t="n"/>
      <c r="C514" s="14" t="n"/>
      <c r="D514" s="34" t="n"/>
      <c r="E514" s="12" t="n"/>
      <c r="F514" s="12" t="n"/>
      <c r="G514" s="12" t="n"/>
      <c r="H514" s="14" t="n"/>
      <c r="I514" s="14" t="n"/>
      <c r="J514" s="30">
        <f>IF(C514="","",IF(N(D514)&gt;=Setup!$B$22,"Y","N"))</f>
        <v/>
      </c>
      <c r="K514" s="25">
        <f>IF(C514="","",N(H514)+N(I514))</f>
        <v/>
      </c>
      <c r="L514" s="26">
        <f>IF(N(C514)&gt;0,MIN(1,K514/C514),"")</f>
        <v/>
      </c>
      <c r="M514" s="26">
        <f>IF(N(C514)&gt;0,MIN(1,N(H514)/C514),"")</f>
        <v/>
      </c>
      <c r="N514" s="26">
        <f>IF(L514="","",L514-M514)</f>
        <v/>
      </c>
      <c r="O514" s="30">
        <f>IF(L514="","",IF(L514&gt;=Setup!$B$23,"Complete",IF(L514&gt;0,"Partial","None")))</f>
        <v/>
      </c>
      <c r="P514" s="30">
        <f>IF(C514="","",IF(K514&gt;C514*1.01,"Covered area &gt; KBA area – check overlap; ","")&amp;IF(AND(E514&lt;&gt;"Y",F514&lt;&gt;"Y",J514&lt;&gt;"Y"),"No realm assigned; ",""))</f>
        <v/>
      </c>
    </row>
    <row r="515">
      <c r="A515" s="12" t="n"/>
      <c r="B515" s="12" t="n"/>
      <c r="C515" s="14" t="n"/>
      <c r="D515" s="34" t="n"/>
      <c r="E515" s="12" t="n"/>
      <c r="F515" s="12" t="n"/>
      <c r="G515" s="12" t="n"/>
      <c r="H515" s="14" t="n"/>
      <c r="I515" s="14" t="n"/>
      <c r="J515" s="30">
        <f>IF(C515="","",IF(N(D515)&gt;=Setup!$B$22,"Y","N"))</f>
        <v/>
      </c>
      <c r="K515" s="25">
        <f>IF(C515="","",N(H515)+N(I515))</f>
        <v/>
      </c>
      <c r="L515" s="26">
        <f>IF(N(C515)&gt;0,MIN(1,K515/C515),"")</f>
        <v/>
      </c>
      <c r="M515" s="26">
        <f>IF(N(C515)&gt;0,MIN(1,N(H515)/C515),"")</f>
        <v/>
      </c>
      <c r="N515" s="26">
        <f>IF(L515="","",L515-M515)</f>
        <v/>
      </c>
      <c r="O515" s="30">
        <f>IF(L515="","",IF(L515&gt;=Setup!$B$23,"Complete",IF(L515&gt;0,"Partial","None")))</f>
        <v/>
      </c>
      <c r="P515" s="30">
        <f>IF(C515="","",IF(K515&gt;C515*1.01,"Covered area &gt; KBA area – check overlap; ","")&amp;IF(AND(E515&lt;&gt;"Y",F515&lt;&gt;"Y",J515&lt;&gt;"Y"),"No realm assigned; ",""))</f>
        <v/>
      </c>
    </row>
  </sheetData>
  <dataValidations count="1">
    <dataValidation sqref="E16:G515"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L4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6. Coverage by governance type (proxy for 'equitably governed' – Target 3)</t>
        </is>
      </c>
    </row>
    <row r="2">
      <c r="A2" s="2" t="inlineStr">
        <is>
          <t>Governance types as reported in WDPA GOV_TYPE, grouped into the four IUCN governance types (Borrini-Feyerabend et al. 2013). IPLC territories are NOT added as a third category; only PAs/OECMs governed by IPs/LCs are counted (metadata).</t>
        </is>
      </c>
    </row>
    <row r="3"/>
    <row r="4">
      <c r="A4" s="3" t="inlineStr">
        <is>
          <t>A. IUCN governance types (A–D)</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A. Governance by government</t>
        </is>
      </c>
      <c r="B6" s="33">
        <f>COUNTIFS(PA_OECM_Register!$Z$5:$Z$1504,1,PA_OECM_Register!$AJ$5:$AJ$1504,$A6)</f>
        <v/>
      </c>
      <c r="C6" s="25">
        <f>SUMIFS(PA_OECM_Register!$AF$5:$AF$1504,PA_OECM_Register!$Z$5:$Z$1504,1,PA_OECM_Register!$E$5:$E$1504,"PA",PA_OECM_Register!$AJ$5:$AJ$1504,$A6)</f>
        <v/>
      </c>
      <c r="D6" s="25">
        <f>SUMIFS(PA_OECM_Register!$AF$5:$AF$1504,PA_OECM_Register!$Z$5:$Z$1504,1,PA_OECM_Register!$E$5:$E$1504,"OECM",PA_OECM_Register!$AJ$5:$AJ$1504,$A6)</f>
        <v/>
      </c>
      <c r="E6" s="25">
        <f>C6+D6</f>
        <v/>
      </c>
      <c r="F6" s="26">
        <f>IF(N(Setup!$B$10)&gt;0,E6/Setup!$B$10,"")</f>
        <v/>
      </c>
      <c r="G6" s="26">
        <f>IF($E$11&gt;0,E6/$E$11,"")</f>
        <v/>
      </c>
      <c r="H6" s="25">
        <f>SUMIFS(PA_OECM_Register!$AG$5:$AG$1504,PA_OECM_Register!$Z$5:$Z$1504,1,PA_OECM_Register!$E$5:$E$1504,"PA",PA_OECM_Register!$AJ$5:$AJ$1504,$A6)</f>
        <v/>
      </c>
      <c r="I6" s="25">
        <f>SUMIFS(PA_OECM_Register!$AG$5:$AG$1504,PA_OECM_Register!$Z$5:$Z$1504,1,PA_OECM_Register!$E$5:$E$1504,"OECM",PA_OECM_Register!$AJ$5:$AJ$1504,$A6)</f>
        <v/>
      </c>
      <c r="J6" s="25">
        <f>H6+I6</f>
        <v/>
      </c>
      <c r="K6" s="26">
        <f>IF(N(Setup!$B$11)&gt;0,J6/Setup!$B$11,"")</f>
        <v/>
      </c>
      <c r="L6" s="26">
        <f>IF($J$11&gt;0,J6/$J$11,"")</f>
        <v/>
      </c>
    </row>
    <row r="7">
      <c r="A7" s="5" t="inlineStr">
        <is>
          <t>B. Shared governance</t>
        </is>
      </c>
      <c r="B7" s="33">
        <f>COUNTIFS(PA_OECM_Register!$Z$5:$Z$1504,1,PA_OECM_Register!$AJ$5:$AJ$1504,$A7)</f>
        <v/>
      </c>
      <c r="C7" s="25">
        <f>SUMIFS(PA_OECM_Register!$AF$5:$AF$1504,PA_OECM_Register!$Z$5:$Z$1504,1,PA_OECM_Register!$E$5:$E$1504,"PA",PA_OECM_Register!$AJ$5:$AJ$1504,$A7)</f>
        <v/>
      </c>
      <c r="D7" s="25">
        <f>SUMIFS(PA_OECM_Register!$AF$5:$AF$1504,PA_OECM_Register!$Z$5:$Z$1504,1,PA_OECM_Register!$E$5:$E$1504,"OECM",PA_OECM_Register!$AJ$5:$AJ$1504,$A7)</f>
        <v/>
      </c>
      <c r="E7" s="25">
        <f>C7+D7</f>
        <v/>
      </c>
      <c r="F7" s="26">
        <f>IF(N(Setup!$B$10)&gt;0,E7/Setup!$B$10,"")</f>
        <v/>
      </c>
      <c r="G7" s="26">
        <f>IF($E$11&gt;0,E7/$E$11,"")</f>
        <v/>
      </c>
      <c r="H7" s="25">
        <f>SUMIFS(PA_OECM_Register!$AG$5:$AG$1504,PA_OECM_Register!$Z$5:$Z$1504,1,PA_OECM_Register!$E$5:$E$1504,"PA",PA_OECM_Register!$AJ$5:$AJ$1504,$A7)</f>
        <v/>
      </c>
      <c r="I7" s="25">
        <f>SUMIFS(PA_OECM_Register!$AG$5:$AG$1504,PA_OECM_Register!$Z$5:$Z$1504,1,PA_OECM_Register!$E$5:$E$1504,"OECM",PA_OECM_Register!$AJ$5:$AJ$1504,$A7)</f>
        <v/>
      </c>
      <c r="J7" s="25">
        <f>H7+I7</f>
        <v/>
      </c>
      <c r="K7" s="26">
        <f>IF(N(Setup!$B$11)&gt;0,J7/Setup!$B$11,"")</f>
        <v/>
      </c>
      <c r="L7" s="26">
        <f>IF($J$11&gt;0,J7/$J$11,"")</f>
        <v/>
      </c>
    </row>
    <row r="8">
      <c r="A8" s="5" t="inlineStr">
        <is>
          <t>C. Private governance</t>
        </is>
      </c>
      <c r="B8" s="33">
        <f>COUNTIFS(PA_OECM_Register!$Z$5:$Z$1504,1,PA_OECM_Register!$AJ$5:$AJ$1504,$A8)</f>
        <v/>
      </c>
      <c r="C8" s="25">
        <f>SUMIFS(PA_OECM_Register!$AF$5:$AF$1504,PA_OECM_Register!$Z$5:$Z$1504,1,PA_OECM_Register!$E$5:$E$1504,"PA",PA_OECM_Register!$AJ$5:$AJ$1504,$A8)</f>
        <v/>
      </c>
      <c r="D8" s="25">
        <f>SUMIFS(PA_OECM_Register!$AF$5:$AF$1504,PA_OECM_Register!$Z$5:$Z$1504,1,PA_OECM_Register!$E$5:$E$1504,"OECM",PA_OECM_Register!$AJ$5:$AJ$1504,$A8)</f>
        <v/>
      </c>
      <c r="E8" s="25">
        <f>C8+D8</f>
        <v/>
      </c>
      <c r="F8" s="26">
        <f>IF(N(Setup!$B$10)&gt;0,E8/Setup!$B$10,"")</f>
        <v/>
      </c>
      <c r="G8" s="26">
        <f>IF($E$11&gt;0,E8/$E$11,"")</f>
        <v/>
      </c>
      <c r="H8" s="25">
        <f>SUMIFS(PA_OECM_Register!$AG$5:$AG$1504,PA_OECM_Register!$Z$5:$Z$1504,1,PA_OECM_Register!$E$5:$E$1504,"PA",PA_OECM_Register!$AJ$5:$AJ$1504,$A8)</f>
        <v/>
      </c>
      <c r="I8" s="25">
        <f>SUMIFS(PA_OECM_Register!$AG$5:$AG$1504,PA_OECM_Register!$Z$5:$Z$1504,1,PA_OECM_Register!$E$5:$E$1504,"OECM",PA_OECM_Register!$AJ$5:$AJ$1504,$A8)</f>
        <v/>
      </c>
      <c r="J8" s="25">
        <f>H8+I8</f>
        <v/>
      </c>
      <c r="K8" s="26">
        <f>IF(N(Setup!$B$11)&gt;0,J8/Setup!$B$11,"")</f>
        <v/>
      </c>
      <c r="L8" s="26">
        <f>IF($J$11&gt;0,J8/$J$11,"")</f>
        <v/>
      </c>
    </row>
    <row r="9">
      <c r="A9" s="5" t="inlineStr">
        <is>
          <t>D. Governance by Indigenous peoples and local communities</t>
        </is>
      </c>
      <c r="B9" s="33">
        <f>COUNTIFS(PA_OECM_Register!$Z$5:$Z$1504,1,PA_OECM_Register!$AJ$5:$AJ$1504,$A9)</f>
        <v/>
      </c>
      <c r="C9" s="25">
        <f>SUMIFS(PA_OECM_Register!$AF$5:$AF$1504,PA_OECM_Register!$Z$5:$Z$1504,1,PA_OECM_Register!$E$5:$E$1504,"PA",PA_OECM_Register!$AJ$5:$AJ$1504,$A9)</f>
        <v/>
      </c>
      <c r="D9" s="25">
        <f>SUMIFS(PA_OECM_Register!$AF$5:$AF$1504,PA_OECM_Register!$Z$5:$Z$1504,1,PA_OECM_Register!$E$5:$E$1504,"OECM",PA_OECM_Register!$AJ$5:$AJ$1504,$A9)</f>
        <v/>
      </c>
      <c r="E9" s="25">
        <f>C9+D9</f>
        <v/>
      </c>
      <c r="F9" s="26">
        <f>IF(N(Setup!$B$10)&gt;0,E9/Setup!$B$10,"")</f>
        <v/>
      </c>
      <c r="G9" s="26">
        <f>IF($E$11&gt;0,E9/$E$11,"")</f>
        <v/>
      </c>
      <c r="H9" s="25">
        <f>SUMIFS(PA_OECM_Register!$AG$5:$AG$1504,PA_OECM_Register!$Z$5:$Z$1504,1,PA_OECM_Register!$E$5:$E$1504,"PA",PA_OECM_Register!$AJ$5:$AJ$1504,$A9)</f>
        <v/>
      </c>
      <c r="I9" s="25">
        <f>SUMIFS(PA_OECM_Register!$AG$5:$AG$1504,PA_OECM_Register!$Z$5:$Z$1504,1,PA_OECM_Register!$E$5:$E$1504,"OECM",PA_OECM_Register!$AJ$5:$AJ$1504,$A9)</f>
        <v/>
      </c>
      <c r="J9" s="25">
        <f>H9+I9</f>
        <v/>
      </c>
      <c r="K9" s="26">
        <f>IF(N(Setup!$B$11)&gt;0,J9/Setup!$B$11,"")</f>
        <v/>
      </c>
      <c r="L9" s="26">
        <f>IF($J$11&gt;0,J9/$J$11,"")</f>
        <v/>
      </c>
    </row>
    <row r="10">
      <c r="A10" s="5" t="inlineStr">
        <is>
          <t>Not reported</t>
        </is>
      </c>
      <c r="B10" s="33">
        <f>COUNTIFS(PA_OECM_Register!$Z$5:$Z$1504,1,PA_OECM_Register!$AJ$5:$AJ$1504,$A10)</f>
        <v/>
      </c>
      <c r="C10" s="25">
        <f>SUMIFS(PA_OECM_Register!$AF$5:$AF$1504,PA_OECM_Register!$Z$5:$Z$1504,1,PA_OECM_Register!$E$5:$E$1504,"PA",PA_OECM_Register!$AJ$5:$AJ$1504,$A10)</f>
        <v/>
      </c>
      <c r="D10" s="25">
        <f>SUMIFS(PA_OECM_Register!$AF$5:$AF$1504,PA_OECM_Register!$Z$5:$Z$1504,1,PA_OECM_Register!$E$5:$E$1504,"OECM",PA_OECM_Register!$AJ$5:$AJ$1504,$A10)</f>
        <v/>
      </c>
      <c r="E10" s="25">
        <f>C10+D10</f>
        <v/>
      </c>
      <c r="F10" s="26">
        <f>IF(N(Setup!$B$10)&gt;0,E10/Setup!$B$10,"")</f>
        <v/>
      </c>
      <c r="G10" s="26">
        <f>IF($E$11&gt;0,E10/$E$11,"")</f>
        <v/>
      </c>
      <c r="H10" s="25">
        <f>SUMIFS(PA_OECM_Register!$AG$5:$AG$1504,PA_OECM_Register!$Z$5:$Z$1504,1,PA_OECM_Register!$E$5:$E$1504,"PA",PA_OECM_Register!$AJ$5:$AJ$1504,$A10)</f>
        <v/>
      </c>
      <c r="I10" s="25">
        <f>SUMIFS(PA_OECM_Register!$AG$5:$AG$1504,PA_OECM_Register!$Z$5:$Z$1504,1,PA_OECM_Register!$E$5:$E$1504,"OECM",PA_OECM_Register!$AJ$5:$AJ$1504,$A10)</f>
        <v/>
      </c>
      <c r="J10" s="25">
        <f>H10+I10</f>
        <v/>
      </c>
      <c r="K10" s="26">
        <f>IF(N(Setup!$B$11)&gt;0,J10/Setup!$B$11,"")</f>
        <v/>
      </c>
      <c r="L10" s="26">
        <f>IF($J$11&gt;0,J10/$J$11,"")</f>
        <v/>
      </c>
    </row>
    <row r="11">
      <c r="A11" s="5" t="inlineStr">
        <is>
          <t>TOTAL</t>
        </is>
      </c>
      <c r="B11" s="35">
        <f>SUM(B6:B10)</f>
        <v/>
      </c>
      <c r="C11" s="36">
        <f>SUM(C6:C10)</f>
        <v/>
      </c>
      <c r="D11" s="36">
        <f>SUM(D6:D10)</f>
        <v/>
      </c>
      <c r="E11" s="36">
        <f>SUM(E6:E10)</f>
        <v/>
      </c>
      <c r="F11" s="37">
        <f>IF(N(Setup!$B$10)&gt;0,E11/Setup!$B$10,"")</f>
        <v/>
      </c>
      <c r="G11" s="37">
        <f>IF($E$11&gt;0,E11/$E$11,"")</f>
        <v/>
      </c>
      <c r="H11" s="36">
        <f>SUM(H6:H10)</f>
        <v/>
      </c>
      <c r="I11" s="36">
        <f>SUM(I6:I10)</f>
        <v/>
      </c>
      <c r="J11" s="36">
        <f>SUM(J6:J10)</f>
        <v/>
      </c>
      <c r="K11" s="37">
        <f>IF(N(Setup!$B$11)&gt;0,J11/Setup!$B$11,"")</f>
        <v/>
      </c>
      <c r="L11" s="37">
        <f>IF($J$11&gt;0,J11/$J$11,"")</f>
        <v/>
      </c>
    </row>
    <row r="12"/>
    <row r="13">
      <c r="A13" s="3" t="inlineStr">
        <is>
          <t>B. Detailed WDPA governance types (GOV_TYPE)</t>
        </is>
      </c>
      <c r="B13" s="4" t="n"/>
      <c r="C13" s="4" t="n"/>
      <c r="D13" s="4" t="n"/>
      <c r="E13" s="4" t="n"/>
      <c r="F13" s="4" t="n"/>
      <c r="G13" s="4" t="n"/>
      <c r="H13" s="4" t="n"/>
      <c r="I13" s="4" t="n"/>
      <c r="J13" s="4" t="n"/>
      <c r="K13" s="4" t="n"/>
      <c r="L13" s="4" t="n"/>
    </row>
    <row r="14" ht="50" customHeight="1">
      <c r="A14" s="11" t="inlineStr">
        <is>
          <t>Governance</t>
        </is>
      </c>
      <c r="B14" s="11" t="inlineStr">
        <is>
          <t>Sites (included)</t>
        </is>
      </c>
      <c r="C14" s="11" t="inlineStr">
        <is>
          <t>Terrestrial – PA (km²)</t>
        </is>
      </c>
      <c r="D14" s="11" t="inlineStr">
        <is>
          <t>Terrestrial – OECM (km²)</t>
        </is>
      </c>
      <c r="E14" s="11" t="inlineStr">
        <is>
          <t>Terrestrial – total (km²)</t>
        </is>
      </c>
      <c r="F14" s="11" t="inlineStr">
        <is>
          <t>% of terrestrial realm</t>
        </is>
      </c>
      <c r="G14" s="11" t="inlineStr">
        <is>
          <t>% of terrestrial PA+OECM area</t>
        </is>
      </c>
      <c r="H14" s="11" t="inlineStr">
        <is>
          <t>Marine – PA (km²)</t>
        </is>
      </c>
      <c r="I14" s="11" t="inlineStr">
        <is>
          <t>Marine – OECM (km²)</t>
        </is>
      </c>
      <c r="J14" s="11" t="inlineStr">
        <is>
          <t>Marine – total (km²)</t>
        </is>
      </c>
      <c r="K14" s="11" t="inlineStr">
        <is>
          <t>% of marine realm</t>
        </is>
      </c>
      <c r="L14" s="11" t="inlineStr">
        <is>
          <t>% of marine PA+OECM area</t>
        </is>
      </c>
    </row>
    <row r="15">
      <c r="A15" s="5" t="inlineStr">
        <is>
          <t>Federal or national ministry or agency</t>
        </is>
      </c>
      <c r="B15" s="33">
        <f>COUNTIFS(PA_OECM_Register!$Z$5:$Z$1504,1,PA_OECM_Register!$G$5:$G$1504,$A15)</f>
        <v/>
      </c>
      <c r="C15" s="25">
        <f>SUMIFS(PA_OECM_Register!$AF$5:$AF$1504,PA_OECM_Register!$Z$5:$Z$1504,1,PA_OECM_Register!$E$5:$E$1504,"PA",PA_OECM_Register!$G$5:$G$1504,$A15)</f>
        <v/>
      </c>
      <c r="D15" s="25">
        <f>SUMIFS(PA_OECM_Register!$AF$5:$AF$1504,PA_OECM_Register!$Z$5:$Z$1504,1,PA_OECM_Register!$E$5:$E$1504,"OECM",PA_OECM_Register!$G$5:$G$1504,$A15)</f>
        <v/>
      </c>
      <c r="E15" s="25">
        <f>C15+D15</f>
        <v/>
      </c>
      <c r="F15" s="26">
        <f>IF(N(Setup!$B$10)&gt;0,E15/Setup!$B$10,"")</f>
        <v/>
      </c>
      <c r="G15" s="26">
        <f>IF($E$27&gt;0,E15/$E$27,"")</f>
        <v/>
      </c>
      <c r="H15" s="25">
        <f>SUMIFS(PA_OECM_Register!$AG$5:$AG$1504,PA_OECM_Register!$Z$5:$Z$1504,1,PA_OECM_Register!$E$5:$E$1504,"PA",PA_OECM_Register!$G$5:$G$1504,$A15)</f>
        <v/>
      </c>
      <c r="I15" s="25">
        <f>SUMIFS(PA_OECM_Register!$AG$5:$AG$1504,PA_OECM_Register!$Z$5:$Z$1504,1,PA_OECM_Register!$E$5:$E$1504,"OECM",PA_OECM_Register!$G$5:$G$1504,$A15)</f>
        <v/>
      </c>
      <c r="J15" s="25">
        <f>H15+I15</f>
        <v/>
      </c>
      <c r="K15" s="26">
        <f>IF(N(Setup!$B$11)&gt;0,J15/Setup!$B$11,"")</f>
        <v/>
      </c>
      <c r="L15" s="26">
        <f>IF($J$27&gt;0,J15/$J$27,"")</f>
        <v/>
      </c>
    </row>
    <row r="16">
      <c r="A16" s="5" t="inlineStr">
        <is>
          <t>Sub-national ministry or agency</t>
        </is>
      </c>
      <c r="B16" s="33">
        <f>COUNTIFS(PA_OECM_Register!$Z$5:$Z$1504,1,PA_OECM_Register!$G$5:$G$1504,$A16)</f>
        <v/>
      </c>
      <c r="C16" s="25">
        <f>SUMIFS(PA_OECM_Register!$AF$5:$AF$1504,PA_OECM_Register!$Z$5:$Z$1504,1,PA_OECM_Register!$E$5:$E$1504,"PA",PA_OECM_Register!$G$5:$G$1504,$A16)</f>
        <v/>
      </c>
      <c r="D16" s="25">
        <f>SUMIFS(PA_OECM_Register!$AF$5:$AF$1504,PA_OECM_Register!$Z$5:$Z$1504,1,PA_OECM_Register!$E$5:$E$1504,"OECM",PA_OECM_Register!$G$5:$G$1504,$A16)</f>
        <v/>
      </c>
      <c r="E16" s="25">
        <f>C16+D16</f>
        <v/>
      </c>
      <c r="F16" s="26">
        <f>IF(N(Setup!$B$10)&gt;0,E16/Setup!$B$10,"")</f>
        <v/>
      </c>
      <c r="G16" s="26">
        <f>IF($E$27&gt;0,E16/$E$27,"")</f>
        <v/>
      </c>
      <c r="H16" s="25">
        <f>SUMIFS(PA_OECM_Register!$AG$5:$AG$1504,PA_OECM_Register!$Z$5:$Z$1504,1,PA_OECM_Register!$E$5:$E$1504,"PA",PA_OECM_Register!$G$5:$G$1504,$A16)</f>
        <v/>
      </c>
      <c r="I16" s="25">
        <f>SUMIFS(PA_OECM_Register!$AG$5:$AG$1504,PA_OECM_Register!$Z$5:$Z$1504,1,PA_OECM_Register!$E$5:$E$1504,"OECM",PA_OECM_Register!$G$5:$G$1504,$A16)</f>
        <v/>
      </c>
      <c r="J16" s="25">
        <f>H16+I16</f>
        <v/>
      </c>
      <c r="K16" s="26">
        <f>IF(N(Setup!$B$11)&gt;0,J16/Setup!$B$11,"")</f>
        <v/>
      </c>
      <c r="L16" s="26">
        <f>IF($J$27&gt;0,J16/$J$27,"")</f>
        <v/>
      </c>
    </row>
    <row r="17">
      <c r="A17" s="5" t="inlineStr">
        <is>
          <t>Government-delegated management</t>
        </is>
      </c>
      <c r="B17" s="33">
        <f>COUNTIFS(PA_OECM_Register!$Z$5:$Z$1504,1,PA_OECM_Register!$G$5:$G$1504,$A17)</f>
        <v/>
      </c>
      <c r="C17" s="25">
        <f>SUMIFS(PA_OECM_Register!$AF$5:$AF$1504,PA_OECM_Register!$Z$5:$Z$1504,1,PA_OECM_Register!$E$5:$E$1504,"PA",PA_OECM_Register!$G$5:$G$1504,$A17)</f>
        <v/>
      </c>
      <c r="D17" s="25">
        <f>SUMIFS(PA_OECM_Register!$AF$5:$AF$1504,PA_OECM_Register!$Z$5:$Z$1504,1,PA_OECM_Register!$E$5:$E$1504,"OECM",PA_OECM_Register!$G$5:$G$1504,$A17)</f>
        <v/>
      </c>
      <c r="E17" s="25">
        <f>C17+D17</f>
        <v/>
      </c>
      <c r="F17" s="26">
        <f>IF(N(Setup!$B$10)&gt;0,E17/Setup!$B$10,"")</f>
        <v/>
      </c>
      <c r="G17" s="26">
        <f>IF($E$27&gt;0,E17/$E$27,"")</f>
        <v/>
      </c>
      <c r="H17" s="25">
        <f>SUMIFS(PA_OECM_Register!$AG$5:$AG$1504,PA_OECM_Register!$Z$5:$Z$1504,1,PA_OECM_Register!$E$5:$E$1504,"PA",PA_OECM_Register!$G$5:$G$1504,$A17)</f>
        <v/>
      </c>
      <c r="I17" s="25">
        <f>SUMIFS(PA_OECM_Register!$AG$5:$AG$1504,PA_OECM_Register!$Z$5:$Z$1504,1,PA_OECM_Register!$E$5:$E$1504,"OECM",PA_OECM_Register!$G$5:$G$1504,$A17)</f>
        <v/>
      </c>
      <c r="J17" s="25">
        <f>H17+I17</f>
        <v/>
      </c>
      <c r="K17" s="26">
        <f>IF(N(Setup!$B$11)&gt;0,J17/Setup!$B$11,"")</f>
        <v/>
      </c>
      <c r="L17" s="26">
        <f>IF($J$27&gt;0,J17/$J$27,"")</f>
        <v/>
      </c>
    </row>
    <row r="18">
      <c r="A18" s="5" t="inlineStr">
        <is>
          <t>Transboundary governance</t>
        </is>
      </c>
      <c r="B18" s="33">
        <f>COUNTIFS(PA_OECM_Register!$Z$5:$Z$1504,1,PA_OECM_Register!$G$5:$G$1504,$A18)</f>
        <v/>
      </c>
      <c r="C18" s="25">
        <f>SUMIFS(PA_OECM_Register!$AF$5:$AF$1504,PA_OECM_Register!$Z$5:$Z$1504,1,PA_OECM_Register!$E$5:$E$1504,"PA",PA_OECM_Register!$G$5:$G$1504,$A18)</f>
        <v/>
      </c>
      <c r="D18" s="25">
        <f>SUMIFS(PA_OECM_Register!$AF$5:$AF$1504,PA_OECM_Register!$Z$5:$Z$1504,1,PA_OECM_Register!$E$5:$E$1504,"OECM",PA_OECM_Register!$G$5:$G$1504,$A18)</f>
        <v/>
      </c>
      <c r="E18" s="25">
        <f>C18+D18</f>
        <v/>
      </c>
      <c r="F18" s="26">
        <f>IF(N(Setup!$B$10)&gt;0,E18/Setup!$B$10,"")</f>
        <v/>
      </c>
      <c r="G18" s="26">
        <f>IF($E$27&gt;0,E18/$E$27,"")</f>
        <v/>
      </c>
      <c r="H18" s="25">
        <f>SUMIFS(PA_OECM_Register!$AG$5:$AG$1504,PA_OECM_Register!$Z$5:$Z$1504,1,PA_OECM_Register!$E$5:$E$1504,"PA",PA_OECM_Register!$G$5:$G$1504,$A18)</f>
        <v/>
      </c>
      <c r="I18" s="25">
        <f>SUMIFS(PA_OECM_Register!$AG$5:$AG$1504,PA_OECM_Register!$Z$5:$Z$1504,1,PA_OECM_Register!$E$5:$E$1504,"OECM",PA_OECM_Register!$G$5:$G$1504,$A18)</f>
        <v/>
      </c>
      <c r="J18" s="25">
        <f>H18+I18</f>
        <v/>
      </c>
      <c r="K18" s="26">
        <f>IF(N(Setup!$B$11)&gt;0,J18/Setup!$B$11,"")</f>
        <v/>
      </c>
      <c r="L18" s="26">
        <f>IF($J$27&gt;0,J18/$J$27,"")</f>
        <v/>
      </c>
    </row>
    <row r="19">
      <c r="A19" s="5" t="inlineStr">
        <is>
          <t>Collaborative governance</t>
        </is>
      </c>
      <c r="B19" s="33">
        <f>COUNTIFS(PA_OECM_Register!$Z$5:$Z$1504,1,PA_OECM_Register!$G$5:$G$1504,$A19)</f>
        <v/>
      </c>
      <c r="C19" s="25">
        <f>SUMIFS(PA_OECM_Register!$AF$5:$AF$1504,PA_OECM_Register!$Z$5:$Z$1504,1,PA_OECM_Register!$E$5:$E$1504,"PA",PA_OECM_Register!$G$5:$G$1504,$A19)</f>
        <v/>
      </c>
      <c r="D19" s="25">
        <f>SUMIFS(PA_OECM_Register!$AF$5:$AF$1504,PA_OECM_Register!$Z$5:$Z$1504,1,PA_OECM_Register!$E$5:$E$1504,"OECM",PA_OECM_Register!$G$5:$G$1504,$A19)</f>
        <v/>
      </c>
      <c r="E19" s="25">
        <f>C19+D19</f>
        <v/>
      </c>
      <c r="F19" s="26">
        <f>IF(N(Setup!$B$10)&gt;0,E19/Setup!$B$10,"")</f>
        <v/>
      </c>
      <c r="G19" s="26">
        <f>IF($E$27&gt;0,E19/$E$27,"")</f>
        <v/>
      </c>
      <c r="H19" s="25">
        <f>SUMIFS(PA_OECM_Register!$AG$5:$AG$1504,PA_OECM_Register!$Z$5:$Z$1504,1,PA_OECM_Register!$E$5:$E$1504,"PA",PA_OECM_Register!$G$5:$G$1504,$A19)</f>
        <v/>
      </c>
      <c r="I19" s="25">
        <f>SUMIFS(PA_OECM_Register!$AG$5:$AG$1504,PA_OECM_Register!$Z$5:$Z$1504,1,PA_OECM_Register!$E$5:$E$1504,"OECM",PA_OECM_Register!$G$5:$G$1504,$A19)</f>
        <v/>
      </c>
      <c r="J19" s="25">
        <f>H19+I19</f>
        <v/>
      </c>
      <c r="K19" s="26">
        <f>IF(N(Setup!$B$11)&gt;0,J19/Setup!$B$11,"")</f>
        <v/>
      </c>
      <c r="L19" s="26">
        <f>IF($J$27&gt;0,J19/$J$27,"")</f>
        <v/>
      </c>
    </row>
    <row r="20">
      <c r="A20" s="5" t="inlineStr">
        <is>
          <t>Joint governance</t>
        </is>
      </c>
      <c r="B20" s="33">
        <f>COUNTIFS(PA_OECM_Register!$Z$5:$Z$1504,1,PA_OECM_Register!$G$5:$G$1504,$A20)</f>
        <v/>
      </c>
      <c r="C20" s="25">
        <f>SUMIFS(PA_OECM_Register!$AF$5:$AF$1504,PA_OECM_Register!$Z$5:$Z$1504,1,PA_OECM_Register!$E$5:$E$1504,"PA",PA_OECM_Register!$G$5:$G$1504,$A20)</f>
        <v/>
      </c>
      <c r="D20" s="25">
        <f>SUMIFS(PA_OECM_Register!$AF$5:$AF$1504,PA_OECM_Register!$Z$5:$Z$1504,1,PA_OECM_Register!$E$5:$E$1504,"OECM",PA_OECM_Register!$G$5:$G$1504,$A20)</f>
        <v/>
      </c>
      <c r="E20" s="25">
        <f>C20+D20</f>
        <v/>
      </c>
      <c r="F20" s="26">
        <f>IF(N(Setup!$B$10)&gt;0,E20/Setup!$B$10,"")</f>
        <v/>
      </c>
      <c r="G20" s="26">
        <f>IF($E$27&gt;0,E20/$E$27,"")</f>
        <v/>
      </c>
      <c r="H20" s="25">
        <f>SUMIFS(PA_OECM_Register!$AG$5:$AG$1504,PA_OECM_Register!$Z$5:$Z$1504,1,PA_OECM_Register!$E$5:$E$1504,"PA",PA_OECM_Register!$G$5:$G$1504,$A20)</f>
        <v/>
      </c>
      <c r="I20" s="25">
        <f>SUMIFS(PA_OECM_Register!$AG$5:$AG$1504,PA_OECM_Register!$Z$5:$Z$1504,1,PA_OECM_Register!$E$5:$E$1504,"OECM",PA_OECM_Register!$G$5:$G$1504,$A20)</f>
        <v/>
      </c>
      <c r="J20" s="25">
        <f>H20+I20</f>
        <v/>
      </c>
      <c r="K20" s="26">
        <f>IF(N(Setup!$B$11)&gt;0,J20/Setup!$B$11,"")</f>
        <v/>
      </c>
      <c r="L20" s="26">
        <f>IF($J$27&gt;0,J20/$J$27,"")</f>
        <v/>
      </c>
    </row>
    <row r="21">
      <c r="A21" s="5" t="inlineStr">
        <is>
          <t>Individual landowners</t>
        </is>
      </c>
      <c r="B21" s="33">
        <f>COUNTIFS(PA_OECM_Register!$Z$5:$Z$1504,1,PA_OECM_Register!$G$5:$G$1504,$A21)</f>
        <v/>
      </c>
      <c r="C21" s="25">
        <f>SUMIFS(PA_OECM_Register!$AF$5:$AF$1504,PA_OECM_Register!$Z$5:$Z$1504,1,PA_OECM_Register!$E$5:$E$1504,"PA",PA_OECM_Register!$G$5:$G$1504,$A21)</f>
        <v/>
      </c>
      <c r="D21" s="25">
        <f>SUMIFS(PA_OECM_Register!$AF$5:$AF$1504,PA_OECM_Register!$Z$5:$Z$1504,1,PA_OECM_Register!$E$5:$E$1504,"OECM",PA_OECM_Register!$G$5:$G$1504,$A21)</f>
        <v/>
      </c>
      <c r="E21" s="25">
        <f>C21+D21</f>
        <v/>
      </c>
      <c r="F21" s="26">
        <f>IF(N(Setup!$B$10)&gt;0,E21/Setup!$B$10,"")</f>
        <v/>
      </c>
      <c r="G21" s="26">
        <f>IF($E$27&gt;0,E21/$E$27,"")</f>
        <v/>
      </c>
      <c r="H21" s="25">
        <f>SUMIFS(PA_OECM_Register!$AG$5:$AG$1504,PA_OECM_Register!$Z$5:$Z$1504,1,PA_OECM_Register!$E$5:$E$1504,"PA",PA_OECM_Register!$G$5:$G$1504,$A21)</f>
        <v/>
      </c>
      <c r="I21" s="25">
        <f>SUMIFS(PA_OECM_Register!$AG$5:$AG$1504,PA_OECM_Register!$Z$5:$Z$1504,1,PA_OECM_Register!$E$5:$E$1504,"OECM",PA_OECM_Register!$G$5:$G$1504,$A21)</f>
        <v/>
      </c>
      <c r="J21" s="25">
        <f>H21+I21</f>
        <v/>
      </c>
      <c r="K21" s="26">
        <f>IF(N(Setup!$B$11)&gt;0,J21/Setup!$B$11,"")</f>
        <v/>
      </c>
      <c r="L21" s="26">
        <f>IF($J$27&gt;0,J21/$J$27,"")</f>
        <v/>
      </c>
    </row>
    <row r="22">
      <c r="A22" s="5" t="inlineStr">
        <is>
          <t>Non-profit organisations</t>
        </is>
      </c>
      <c r="B22" s="33">
        <f>COUNTIFS(PA_OECM_Register!$Z$5:$Z$1504,1,PA_OECM_Register!$G$5:$G$1504,$A22)</f>
        <v/>
      </c>
      <c r="C22" s="25">
        <f>SUMIFS(PA_OECM_Register!$AF$5:$AF$1504,PA_OECM_Register!$Z$5:$Z$1504,1,PA_OECM_Register!$E$5:$E$1504,"PA",PA_OECM_Register!$G$5:$G$1504,$A22)</f>
        <v/>
      </c>
      <c r="D22" s="25">
        <f>SUMIFS(PA_OECM_Register!$AF$5:$AF$1504,PA_OECM_Register!$Z$5:$Z$1504,1,PA_OECM_Register!$E$5:$E$1504,"OECM",PA_OECM_Register!$G$5:$G$1504,$A22)</f>
        <v/>
      </c>
      <c r="E22" s="25">
        <f>C22+D22</f>
        <v/>
      </c>
      <c r="F22" s="26">
        <f>IF(N(Setup!$B$10)&gt;0,E22/Setup!$B$10,"")</f>
        <v/>
      </c>
      <c r="G22" s="26">
        <f>IF($E$27&gt;0,E22/$E$27,"")</f>
        <v/>
      </c>
      <c r="H22" s="25">
        <f>SUMIFS(PA_OECM_Register!$AG$5:$AG$1504,PA_OECM_Register!$Z$5:$Z$1504,1,PA_OECM_Register!$E$5:$E$1504,"PA",PA_OECM_Register!$G$5:$G$1504,$A22)</f>
        <v/>
      </c>
      <c r="I22" s="25">
        <f>SUMIFS(PA_OECM_Register!$AG$5:$AG$1504,PA_OECM_Register!$Z$5:$Z$1504,1,PA_OECM_Register!$E$5:$E$1504,"OECM",PA_OECM_Register!$G$5:$G$1504,$A22)</f>
        <v/>
      </c>
      <c r="J22" s="25">
        <f>H22+I22</f>
        <v/>
      </c>
      <c r="K22" s="26">
        <f>IF(N(Setup!$B$11)&gt;0,J22/Setup!$B$11,"")</f>
        <v/>
      </c>
      <c r="L22" s="26">
        <f>IF($J$27&gt;0,J22/$J$27,"")</f>
        <v/>
      </c>
    </row>
    <row r="23">
      <c r="A23" s="5" t="inlineStr">
        <is>
          <t>For-profit organisations</t>
        </is>
      </c>
      <c r="B23" s="33">
        <f>COUNTIFS(PA_OECM_Register!$Z$5:$Z$1504,1,PA_OECM_Register!$G$5:$G$1504,$A23)</f>
        <v/>
      </c>
      <c r="C23" s="25">
        <f>SUMIFS(PA_OECM_Register!$AF$5:$AF$1504,PA_OECM_Register!$Z$5:$Z$1504,1,PA_OECM_Register!$E$5:$E$1504,"PA",PA_OECM_Register!$G$5:$G$1504,$A23)</f>
        <v/>
      </c>
      <c r="D23" s="25">
        <f>SUMIFS(PA_OECM_Register!$AF$5:$AF$1504,PA_OECM_Register!$Z$5:$Z$1504,1,PA_OECM_Register!$E$5:$E$1504,"OECM",PA_OECM_Register!$G$5:$G$1504,$A23)</f>
        <v/>
      </c>
      <c r="E23" s="25">
        <f>C23+D23</f>
        <v/>
      </c>
      <c r="F23" s="26">
        <f>IF(N(Setup!$B$10)&gt;0,E23/Setup!$B$10,"")</f>
        <v/>
      </c>
      <c r="G23" s="26">
        <f>IF($E$27&gt;0,E23/$E$27,"")</f>
        <v/>
      </c>
      <c r="H23" s="25">
        <f>SUMIFS(PA_OECM_Register!$AG$5:$AG$1504,PA_OECM_Register!$Z$5:$Z$1504,1,PA_OECM_Register!$E$5:$E$1504,"PA",PA_OECM_Register!$G$5:$G$1504,$A23)</f>
        <v/>
      </c>
      <c r="I23" s="25">
        <f>SUMIFS(PA_OECM_Register!$AG$5:$AG$1504,PA_OECM_Register!$Z$5:$Z$1504,1,PA_OECM_Register!$E$5:$E$1504,"OECM",PA_OECM_Register!$G$5:$G$1504,$A23)</f>
        <v/>
      </c>
      <c r="J23" s="25">
        <f>H23+I23</f>
        <v/>
      </c>
      <c r="K23" s="26">
        <f>IF(N(Setup!$B$11)&gt;0,J23/Setup!$B$11,"")</f>
        <v/>
      </c>
      <c r="L23" s="26">
        <f>IF($J$27&gt;0,J23/$J$27,"")</f>
        <v/>
      </c>
    </row>
    <row r="24">
      <c r="A24" s="5" t="inlineStr">
        <is>
          <t>Indigenous peoples</t>
        </is>
      </c>
      <c r="B24" s="33">
        <f>COUNTIFS(PA_OECM_Register!$Z$5:$Z$1504,1,PA_OECM_Register!$G$5:$G$1504,$A24)</f>
        <v/>
      </c>
      <c r="C24" s="25">
        <f>SUMIFS(PA_OECM_Register!$AF$5:$AF$1504,PA_OECM_Register!$Z$5:$Z$1504,1,PA_OECM_Register!$E$5:$E$1504,"PA",PA_OECM_Register!$G$5:$G$1504,$A24)</f>
        <v/>
      </c>
      <c r="D24" s="25">
        <f>SUMIFS(PA_OECM_Register!$AF$5:$AF$1504,PA_OECM_Register!$Z$5:$Z$1504,1,PA_OECM_Register!$E$5:$E$1504,"OECM",PA_OECM_Register!$G$5:$G$1504,$A24)</f>
        <v/>
      </c>
      <c r="E24" s="25">
        <f>C24+D24</f>
        <v/>
      </c>
      <c r="F24" s="26">
        <f>IF(N(Setup!$B$10)&gt;0,E24/Setup!$B$10,"")</f>
        <v/>
      </c>
      <c r="G24" s="26">
        <f>IF($E$27&gt;0,E24/$E$27,"")</f>
        <v/>
      </c>
      <c r="H24" s="25">
        <f>SUMIFS(PA_OECM_Register!$AG$5:$AG$1504,PA_OECM_Register!$Z$5:$Z$1504,1,PA_OECM_Register!$E$5:$E$1504,"PA",PA_OECM_Register!$G$5:$G$1504,$A24)</f>
        <v/>
      </c>
      <c r="I24" s="25">
        <f>SUMIFS(PA_OECM_Register!$AG$5:$AG$1504,PA_OECM_Register!$Z$5:$Z$1504,1,PA_OECM_Register!$E$5:$E$1504,"OECM",PA_OECM_Register!$G$5:$G$1504,$A24)</f>
        <v/>
      </c>
      <c r="J24" s="25">
        <f>H24+I24</f>
        <v/>
      </c>
      <c r="K24" s="26">
        <f>IF(N(Setup!$B$11)&gt;0,J24/Setup!$B$11,"")</f>
        <v/>
      </c>
      <c r="L24" s="26">
        <f>IF($J$27&gt;0,J24/$J$27,"")</f>
        <v/>
      </c>
    </row>
    <row r="25">
      <c r="A25" s="5" t="inlineStr">
        <is>
          <t>Local communities</t>
        </is>
      </c>
      <c r="B25" s="33">
        <f>COUNTIFS(PA_OECM_Register!$Z$5:$Z$1504,1,PA_OECM_Register!$G$5:$G$1504,$A25)</f>
        <v/>
      </c>
      <c r="C25" s="25">
        <f>SUMIFS(PA_OECM_Register!$AF$5:$AF$1504,PA_OECM_Register!$Z$5:$Z$1504,1,PA_OECM_Register!$E$5:$E$1504,"PA",PA_OECM_Register!$G$5:$G$1504,$A25)</f>
        <v/>
      </c>
      <c r="D25" s="25">
        <f>SUMIFS(PA_OECM_Register!$AF$5:$AF$1504,PA_OECM_Register!$Z$5:$Z$1504,1,PA_OECM_Register!$E$5:$E$1504,"OECM",PA_OECM_Register!$G$5:$G$1504,$A25)</f>
        <v/>
      </c>
      <c r="E25" s="25">
        <f>C25+D25</f>
        <v/>
      </c>
      <c r="F25" s="26">
        <f>IF(N(Setup!$B$10)&gt;0,E25/Setup!$B$10,"")</f>
        <v/>
      </c>
      <c r="G25" s="26">
        <f>IF($E$27&gt;0,E25/$E$27,"")</f>
        <v/>
      </c>
      <c r="H25" s="25">
        <f>SUMIFS(PA_OECM_Register!$AG$5:$AG$1504,PA_OECM_Register!$Z$5:$Z$1504,1,PA_OECM_Register!$E$5:$E$1504,"PA",PA_OECM_Register!$G$5:$G$1504,$A25)</f>
        <v/>
      </c>
      <c r="I25" s="25">
        <f>SUMIFS(PA_OECM_Register!$AG$5:$AG$1504,PA_OECM_Register!$Z$5:$Z$1504,1,PA_OECM_Register!$E$5:$E$1504,"OECM",PA_OECM_Register!$G$5:$G$1504,$A25)</f>
        <v/>
      </c>
      <c r="J25" s="25">
        <f>H25+I25</f>
        <v/>
      </c>
      <c r="K25" s="26">
        <f>IF(N(Setup!$B$11)&gt;0,J25/Setup!$B$11,"")</f>
        <v/>
      </c>
      <c r="L25" s="26">
        <f>IF($J$27&gt;0,J25/$J$27,"")</f>
        <v/>
      </c>
    </row>
    <row r="26">
      <c r="A26" s="5" t="inlineStr">
        <is>
          <t>Not Reported</t>
        </is>
      </c>
      <c r="B26" s="33">
        <f>COUNTIFS(PA_OECM_Register!$Z$5:$Z$1504,1,PA_OECM_Register!$G$5:$G$1504,$A26)+COUNTIFS(PA_OECM_Register!$Z$5:$Z$1504,1,PA_OECM_Register!$G$5:$G$1504,"")</f>
        <v/>
      </c>
      <c r="C26" s="25">
        <f>SUMIFS(PA_OECM_Register!$AF$5:$AF$1504,PA_OECM_Register!$Z$5:$Z$1504,1,PA_OECM_Register!$E$5:$E$1504,"PA",PA_OECM_Register!$G$5:$G$1504,$A26)+SUMIFS(PA_OECM_Register!$AF$5:$AF$1504,PA_OECM_Register!$Z$5:$Z$1504,1,PA_OECM_Register!$E$5:$E$1504,"PA",PA_OECM_Register!$G$5:$G$1504,"")</f>
        <v/>
      </c>
      <c r="D26" s="25">
        <f>SUMIFS(PA_OECM_Register!$AF$5:$AF$1504,PA_OECM_Register!$Z$5:$Z$1504,1,PA_OECM_Register!$E$5:$E$1504,"OECM",PA_OECM_Register!$G$5:$G$1504,$A26)+SUMIFS(PA_OECM_Register!$AF$5:$AF$1504,PA_OECM_Register!$Z$5:$Z$1504,1,PA_OECM_Register!$E$5:$E$1504,"OECM",PA_OECM_Register!$G$5:$G$1504,"")</f>
        <v/>
      </c>
      <c r="E26" s="25">
        <f>C26+D26</f>
        <v/>
      </c>
      <c r="F26" s="26">
        <f>IF(N(Setup!$B$10)&gt;0,E26/Setup!$B$10,"")</f>
        <v/>
      </c>
      <c r="G26" s="26">
        <f>IF($E$27&gt;0,E26/$E$27,"")</f>
        <v/>
      </c>
      <c r="H26" s="25">
        <f>SUMIFS(PA_OECM_Register!$AG$5:$AG$1504,PA_OECM_Register!$Z$5:$Z$1504,1,PA_OECM_Register!$E$5:$E$1504,"PA",PA_OECM_Register!$G$5:$G$1504,$A26)+SUMIFS(PA_OECM_Register!$AG$5:$AG$1504,PA_OECM_Register!$Z$5:$Z$1504,1,PA_OECM_Register!$E$5:$E$1504,"PA",PA_OECM_Register!$G$5:$G$1504,"")</f>
        <v/>
      </c>
      <c r="I26" s="25">
        <f>SUMIFS(PA_OECM_Register!$AG$5:$AG$1504,PA_OECM_Register!$Z$5:$Z$1504,1,PA_OECM_Register!$E$5:$E$1504,"OECM",PA_OECM_Register!$G$5:$G$1504,$A26)+SUMIFS(PA_OECM_Register!$AG$5:$AG$1504,PA_OECM_Register!$Z$5:$Z$1504,1,PA_OECM_Register!$E$5:$E$1504,"OECM",PA_OECM_Register!$G$5:$G$1504,"")</f>
        <v/>
      </c>
      <c r="J26" s="25">
        <f>H26+I26</f>
        <v/>
      </c>
      <c r="K26" s="26">
        <f>IF(N(Setup!$B$11)&gt;0,J26/Setup!$B$11,"")</f>
        <v/>
      </c>
      <c r="L26" s="26">
        <f>IF($J$27&gt;0,J26/$J$27,"")</f>
        <v/>
      </c>
    </row>
    <row r="27">
      <c r="A27" s="5" t="inlineStr">
        <is>
          <t>TOTAL</t>
        </is>
      </c>
      <c r="B27" s="35">
        <f>SUM(B15:B26)</f>
        <v/>
      </c>
      <c r="C27" s="36">
        <f>SUM(C15:C26)</f>
        <v/>
      </c>
      <c r="D27" s="36">
        <f>SUM(D15:D26)</f>
        <v/>
      </c>
      <c r="E27" s="36">
        <f>SUM(E15:E26)</f>
        <v/>
      </c>
      <c r="F27" s="37">
        <f>IF(N(Setup!$B$10)&gt;0,E27/Setup!$B$10,"")</f>
        <v/>
      </c>
      <c r="G27" s="37">
        <f>IF($E$27&gt;0,E27/$E$27,"")</f>
        <v/>
      </c>
      <c r="H27" s="36">
        <f>SUM(H15:H26)</f>
        <v/>
      </c>
      <c r="I27" s="36">
        <f>SUM(I15:I26)</f>
        <v/>
      </c>
      <c r="J27" s="36">
        <f>SUM(J15:J26)</f>
        <v/>
      </c>
      <c r="K27" s="37">
        <f>IF(N(Setup!$B$11)&gt;0,J27/Setup!$B$11,"")</f>
        <v/>
      </c>
      <c r="L27" s="37">
        <f>IF($J$27&gt;0,J27/$J$27,"")</f>
        <v/>
      </c>
    </row>
    <row r="28"/>
    <row r="29">
      <c r="A29" s="3" t="inlineStr">
        <is>
          <t>C. Supplementary – IUCN protected area management categories (not one of the five metadata disaggregations; useful for 'strict protection' reporting)</t>
        </is>
      </c>
      <c r="B29" s="4" t="n"/>
      <c r="C29" s="4" t="n"/>
      <c r="D29" s="4" t="n"/>
      <c r="E29" s="4" t="n"/>
      <c r="F29" s="4" t="n"/>
      <c r="G29" s="4" t="n"/>
      <c r="H29" s="4" t="n"/>
      <c r="I29" s="4" t="n"/>
      <c r="J29" s="4" t="n"/>
      <c r="K29" s="4" t="n"/>
      <c r="L29" s="4" t="n"/>
    </row>
    <row r="30" ht="50" customHeight="1">
      <c r="A30" s="11" t="inlineStr">
        <is>
          <t>Governance</t>
        </is>
      </c>
      <c r="B30" s="11" t="inlineStr">
        <is>
          <t>Sites (included)</t>
        </is>
      </c>
      <c r="C30" s="11" t="inlineStr">
        <is>
          <t>Terrestrial – PA (km²)</t>
        </is>
      </c>
      <c r="D30" s="11" t="inlineStr">
        <is>
          <t>Terrestrial – OECM (km²)</t>
        </is>
      </c>
      <c r="E30" s="11" t="inlineStr">
        <is>
          <t>Terrestrial – total (km²)</t>
        </is>
      </c>
      <c r="F30" s="11" t="inlineStr">
        <is>
          <t>% of terrestrial realm</t>
        </is>
      </c>
      <c r="G30" s="11" t="inlineStr">
        <is>
          <t>% of terrestrial PA+OECM area</t>
        </is>
      </c>
      <c r="H30" s="11" t="inlineStr">
        <is>
          <t>Marine – PA (km²)</t>
        </is>
      </c>
      <c r="I30" s="11" t="inlineStr">
        <is>
          <t>Marine – OECM (km²)</t>
        </is>
      </c>
      <c r="J30" s="11" t="inlineStr">
        <is>
          <t>Marine – total (km²)</t>
        </is>
      </c>
      <c r="K30" s="11" t="inlineStr">
        <is>
          <t>% of marine realm</t>
        </is>
      </c>
      <c r="L30" s="11" t="inlineStr">
        <is>
          <t>% of marine PA+OECM area</t>
        </is>
      </c>
    </row>
    <row r="31">
      <c r="A31" s="5" t="inlineStr">
        <is>
          <t>Ia</t>
        </is>
      </c>
      <c r="B31" s="33">
        <f>COUNTIFS(PA_OECM_Register!$Z$5:$Z$1504,1,PA_OECM_Register!$F$5:$F$1504,$A31)</f>
        <v/>
      </c>
      <c r="C31" s="25">
        <f>SUMIFS(PA_OECM_Register!$AF$5:$AF$1504,PA_OECM_Register!$Z$5:$Z$1504,1,PA_OECM_Register!$E$5:$E$1504,"PA",PA_OECM_Register!$F$5:$F$1504,$A31)</f>
        <v/>
      </c>
      <c r="D31" s="25">
        <f>SUMIFS(PA_OECM_Register!$AF$5:$AF$1504,PA_OECM_Register!$Z$5:$Z$1504,1,PA_OECM_Register!$E$5:$E$1504,"OECM",PA_OECM_Register!$F$5:$F$1504,$A31)</f>
        <v/>
      </c>
      <c r="E31" s="25">
        <f>C31+D31</f>
        <v/>
      </c>
      <c r="F31" s="26">
        <f>IF(N(Setup!$B$10)&gt;0,E31/Setup!$B$10,"")</f>
        <v/>
      </c>
      <c r="G31" s="26">
        <f>IF($E$41&gt;0,E31/$E$41,"")</f>
        <v/>
      </c>
      <c r="H31" s="25">
        <f>SUMIFS(PA_OECM_Register!$AG$5:$AG$1504,PA_OECM_Register!$Z$5:$Z$1504,1,PA_OECM_Register!$E$5:$E$1504,"PA",PA_OECM_Register!$F$5:$F$1504,$A31)</f>
        <v/>
      </c>
      <c r="I31" s="25">
        <f>SUMIFS(PA_OECM_Register!$AG$5:$AG$1504,PA_OECM_Register!$Z$5:$Z$1504,1,PA_OECM_Register!$E$5:$E$1504,"OECM",PA_OECM_Register!$F$5:$F$1504,$A31)</f>
        <v/>
      </c>
      <c r="J31" s="25">
        <f>H31+I31</f>
        <v/>
      </c>
      <c r="K31" s="26">
        <f>IF(N(Setup!$B$11)&gt;0,J31/Setup!$B$11,"")</f>
        <v/>
      </c>
      <c r="L31" s="26">
        <f>IF($J$41&gt;0,J31/$J$41,"")</f>
        <v/>
      </c>
    </row>
    <row r="32">
      <c r="A32" s="5" t="inlineStr">
        <is>
          <t>Ib</t>
        </is>
      </c>
      <c r="B32" s="33">
        <f>COUNTIFS(PA_OECM_Register!$Z$5:$Z$1504,1,PA_OECM_Register!$F$5:$F$1504,$A32)</f>
        <v/>
      </c>
      <c r="C32" s="25">
        <f>SUMIFS(PA_OECM_Register!$AF$5:$AF$1504,PA_OECM_Register!$Z$5:$Z$1504,1,PA_OECM_Register!$E$5:$E$1504,"PA",PA_OECM_Register!$F$5:$F$1504,$A32)</f>
        <v/>
      </c>
      <c r="D32" s="25">
        <f>SUMIFS(PA_OECM_Register!$AF$5:$AF$1504,PA_OECM_Register!$Z$5:$Z$1504,1,PA_OECM_Register!$E$5:$E$1504,"OECM",PA_OECM_Register!$F$5:$F$1504,$A32)</f>
        <v/>
      </c>
      <c r="E32" s="25">
        <f>C32+D32</f>
        <v/>
      </c>
      <c r="F32" s="26">
        <f>IF(N(Setup!$B$10)&gt;0,E32/Setup!$B$10,"")</f>
        <v/>
      </c>
      <c r="G32" s="26">
        <f>IF($E$41&gt;0,E32/$E$41,"")</f>
        <v/>
      </c>
      <c r="H32" s="25">
        <f>SUMIFS(PA_OECM_Register!$AG$5:$AG$1504,PA_OECM_Register!$Z$5:$Z$1504,1,PA_OECM_Register!$E$5:$E$1504,"PA",PA_OECM_Register!$F$5:$F$1504,$A32)</f>
        <v/>
      </c>
      <c r="I32" s="25">
        <f>SUMIFS(PA_OECM_Register!$AG$5:$AG$1504,PA_OECM_Register!$Z$5:$Z$1504,1,PA_OECM_Register!$E$5:$E$1504,"OECM",PA_OECM_Register!$F$5:$F$1504,$A32)</f>
        <v/>
      </c>
      <c r="J32" s="25">
        <f>H32+I32</f>
        <v/>
      </c>
      <c r="K32" s="26">
        <f>IF(N(Setup!$B$11)&gt;0,J32/Setup!$B$11,"")</f>
        <v/>
      </c>
      <c r="L32" s="26">
        <f>IF($J$41&gt;0,J32/$J$41,"")</f>
        <v/>
      </c>
    </row>
    <row r="33">
      <c r="A33" s="5" t="inlineStr">
        <is>
          <t>II</t>
        </is>
      </c>
      <c r="B33" s="33">
        <f>COUNTIFS(PA_OECM_Register!$Z$5:$Z$1504,1,PA_OECM_Register!$F$5:$F$1504,$A33)</f>
        <v/>
      </c>
      <c r="C33" s="25">
        <f>SUMIFS(PA_OECM_Register!$AF$5:$AF$1504,PA_OECM_Register!$Z$5:$Z$1504,1,PA_OECM_Register!$E$5:$E$1504,"PA",PA_OECM_Register!$F$5:$F$1504,$A33)</f>
        <v/>
      </c>
      <c r="D33" s="25">
        <f>SUMIFS(PA_OECM_Register!$AF$5:$AF$1504,PA_OECM_Register!$Z$5:$Z$1504,1,PA_OECM_Register!$E$5:$E$1504,"OECM",PA_OECM_Register!$F$5:$F$1504,$A33)</f>
        <v/>
      </c>
      <c r="E33" s="25">
        <f>C33+D33</f>
        <v/>
      </c>
      <c r="F33" s="26">
        <f>IF(N(Setup!$B$10)&gt;0,E33/Setup!$B$10,"")</f>
        <v/>
      </c>
      <c r="G33" s="26">
        <f>IF($E$41&gt;0,E33/$E$41,"")</f>
        <v/>
      </c>
      <c r="H33" s="25">
        <f>SUMIFS(PA_OECM_Register!$AG$5:$AG$1504,PA_OECM_Register!$Z$5:$Z$1504,1,PA_OECM_Register!$E$5:$E$1504,"PA",PA_OECM_Register!$F$5:$F$1504,$A33)</f>
        <v/>
      </c>
      <c r="I33" s="25">
        <f>SUMIFS(PA_OECM_Register!$AG$5:$AG$1504,PA_OECM_Register!$Z$5:$Z$1504,1,PA_OECM_Register!$E$5:$E$1504,"OECM",PA_OECM_Register!$F$5:$F$1504,$A33)</f>
        <v/>
      </c>
      <c r="J33" s="25">
        <f>H33+I33</f>
        <v/>
      </c>
      <c r="K33" s="26">
        <f>IF(N(Setup!$B$11)&gt;0,J33/Setup!$B$11,"")</f>
        <v/>
      </c>
      <c r="L33" s="26">
        <f>IF($J$41&gt;0,J33/$J$41,"")</f>
        <v/>
      </c>
    </row>
    <row r="34">
      <c r="A34" s="5" t="inlineStr">
        <is>
          <t>III</t>
        </is>
      </c>
      <c r="B34" s="33">
        <f>COUNTIFS(PA_OECM_Register!$Z$5:$Z$1504,1,PA_OECM_Register!$F$5:$F$1504,$A34)</f>
        <v/>
      </c>
      <c r="C34" s="25">
        <f>SUMIFS(PA_OECM_Register!$AF$5:$AF$1504,PA_OECM_Register!$Z$5:$Z$1504,1,PA_OECM_Register!$E$5:$E$1504,"PA",PA_OECM_Register!$F$5:$F$1504,$A34)</f>
        <v/>
      </c>
      <c r="D34" s="25">
        <f>SUMIFS(PA_OECM_Register!$AF$5:$AF$1504,PA_OECM_Register!$Z$5:$Z$1504,1,PA_OECM_Register!$E$5:$E$1504,"OECM",PA_OECM_Register!$F$5:$F$1504,$A34)</f>
        <v/>
      </c>
      <c r="E34" s="25">
        <f>C34+D34</f>
        <v/>
      </c>
      <c r="F34" s="26">
        <f>IF(N(Setup!$B$10)&gt;0,E34/Setup!$B$10,"")</f>
        <v/>
      </c>
      <c r="G34" s="26">
        <f>IF($E$41&gt;0,E34/$E$41,"")</f>
        <v/>
      </c>
      <c r="H34" s="25">
        <f>SUMIFS(PA_OECM_Register!$AG$5:$AG$1504,PA_OECM_Register!$Z$5:$Z$1504,1,PA_OECM_Register!$E$5:$E$1504,"PA",PA_OECM_Register!$F$5:$F$1504,$A34)</f>
        <v/>
      </c>
      <c r="I34" s="25">
        <f>SUMIFS(PA_OECM_Register!$AG$5:$AG$1504,PA_OECM_Register!$Z$5:$Z$1504,1,PA_OECM_Register!$E$5:$E$1504,"OECM",PA_OECM_Register!$F$5:$F$1504,$A34)</f>
        <v/>
      </c>
      <c r="J34" s="25">
        <f>H34+I34</f>
        <v/>
      </c>
      <c r="K34" s="26">
        <f>IF(N(Setup!$B$11)&gt;0,J34/Setup!$B$11,"")</f>
        <v/>
      </c>
      <c r="L34" s="26">
        <f>IF($J$41&gt;0,J34/$J$41,"")</f>
        <v/>
      </c>
    </row>
    <row r="35">
      <c r="A35" s="5" t="inlineStr">
        <is>
          <t>IV</t>
        </is>
      </c>
      <c r="B35" s="33">
        <f>COUNTIFS(PA_OECM_Register!$Z$5:$Z$1504,1,PA_OECM_Register!$F$5:$F$1504,$A35)</f>
        <v/>
      </c>
      <c r="C35" s="25">
        <f>SUMIFS(PA_OECM_Register!$AF$5:$AF$1504,PA_OECM_Register!$Z$5:$Z$1504,1,PA_OECM_Register!$E$5:$E$1504,"PA",PA_OECM_Register!$F$5:$F$1504,$A35)</f>
        <v/>
      </c>
      <c r="D35" s="25">
        <f>SUMIFS(PA_OECM_Register!$AF$5:$AF$1504,PA_OECM_Register!$Z$5:$Z$1504,1,PA_OECM_Register!$E$5:$E$1504,"OECM",PA_OECM_Register!$F$5:$F$1504,$A35)</f>
        <v/>
      </c>
      <c r="E35" s="25">
        <f>C35+D35</f>
        <v/>
      </c>
      <c r="F35" s="26">
        <f>IF(N(Setup!$B$10)&gt;0,E35/Setup!$B$10,"")</f>
        <v/>
      </c>
      <c r="G35" s="26">
        <f>IF($E$41&gt;0,E35/$E$41,"")</f>
        <v/>
      </c>
      <c r="H35" s="25">
        <f>SUMIFS(PA_OECM_Register!$AG$5:$AG$1504,PA_OECM_Register!$Z$5:$Z$1504,1,PA_OECM_Register!$E$5:$E$1504,"PA",PA_OECM_Register!$F$5:$F$1504,$A35)</f>
        <v/>
      </c>
      <c r="I35" s="25">
        <f>SUMIFS(PA_OECM_Register!$AG$5:$AG$1504,PA_OECM_Register!$Z$5:$Z$1504,1,PA_OECM_Register!$E$5:$E$1504,"OECM",PA_OECM_Register!$F$5:$F$1504,$A35)</f>
        <v/>
      </c>
      <c r="J35" s="25">
        <f>H35+I35</f>
        <v/>
      </c>
      <c r="K35" s="26">
        <f>IF(N(Setup!$B$11)&gt;0,J35/Setup!$B$11,"")</f>
        <v/>
      </c>
      <c r="L35" s="26">
        <f>IF($J$41&gt;0,J35/$J$41,"")</f>
        <v/>
      </c>
    </row>
    <row r="36">
      <c r="A36" s="5" t="inlineStr">
        <is>
          <t>V</t>
        </is>
      </c>
      <c r="B36" s="33">
        <f>COUNTIFS(PA_OECM_Register!$Z$5:$Z$1504,1,PA_OECM_Register!$F$5:$F$1504,$A36)</f>
        <v/>
      </c>
      <c r="C36" s="25">
        <f>SUMIFS(PA_OECM_Register!$AF$5:$AF$1504,PA_OECM_Register!$Z$5:$Z$1504,1,PA_OECM_Register!$E$5:$E$1504,"PA",PA_OECM_Register!$F$5:$F$1504,$A36)</f>
        <v/>
      </c>
      <c r="D36" s="25">
        <f>SUMIFS(PA_OECM_Register!$AF$5:$AF$1504,PA_OECM_Register!$Z$5:$Z$1504,1,PA_OECM_Register!$E$5:$E$1504,"OECM",PA_OECM_Register!$F$5:$F$1504,$A36)</f>
        <v/>
      </c>
      <c r="E36" s="25">
        <f>C36+D36</f>
        <v/>
      </c>
      <c r="F36" s="26">
        <f>IF(N(Setup!$B$10)&gt;0,E36/Setup!$B$10,"")</f>
        <v/>
      </c>
      <c r="G36" s="26">
        <f>IF($E$41&gt;0,E36/$E$41,"")</f>
        <v/>
      </c>
      <c r="H36" s="25">
        <f>SUMIFS(PA_OECM_Register!$AG$5:$AG$1504,PA_OECM_Register!$Z$5:$Z$1504,1,PA_OECM_Register!$E$5:$E$1504,"PA",PA_OECM_Register!$F$5:$F$1504,$A36)</f>
        <v/>
      </c>
      <c r="I36" s="25">
        <f>SUMIFS(PA_OECM_Register!$AG$5:$AG$1504,PA_OECM_Register!$Z$5:$Z$1504,1,PA_OECM_Register!$E$5:$E$1504,"OECM",PA_OECM_Register!$F$5:$F$1504,$A36)</f>
        <v/>
      </c>
      <c r="J36" s="25">
        <f>H36+I36</f>
        <v/>
      </c>
      <c r="K36" s="26">
        <f>IF(N(Setup!$B$11)&gt;0,J36/Setup!$B$11,"")</f>
        <v/>
      </c>
      <c r="L36" s="26">
        <f>IF($J$41&gt;0,J36/$J$41,"")</f>
        <v/>
      </c>
    </row>
    <row r="37">
      <c r="A37" s="5" t="inlineStr">
        <is>
          <t>VI</t>
        </is>
      </c>
      <c r="B37" s="33">
        <f>COUNTIFS(PA_OECM_Register!$Z$5:$Z$1504,1,PA_OECM_Register!$F$5:$F$1504,$A37)</f>
        <v/>
      </c>
      <c r="C37" s="25">
        <f>SUMIFS(PA_OECM_Register!$AF$5:$AF$1504,PA_OECM_Register!$Z$5:$Z$1504,1,PA_OECM_Register!$E$5:$E$1504,"PA",PA_OECM_Register!$F$5:$F$1504,$A37)</f>
        <v/>
      </c>
      <c r="D37" s="25">
        <f>SUMIFS(PA_OECM_Register!$AF$5:$AF$1504,PA_OECM_Register!$Z$5:$Z$1504,1,PA_OECM_Register!$E$5:$E$1504,"OECM",PA_OECM_Register!$F$5:$F$1504,$A37)</f>
        <v/>
      </c>
      <c r="E37" s="25">
        <f>C37+D37</f>
        <v/>
      </c>
      <c r="F37" s="26">
        <f>IF(N(Setup!$B$10)&gt;0,E37/Setup!$B$10,"")</f>
        <v/>
      </c>
      <c r="G37" s="26">
        <f>IF($E$41&gt;0,E37/$E$41,"")</f>
        <v/>
      </c>
      <c r="H37" s="25">
        <f>SUMIFS(PA_OECM_Register!$AG$5:$AG$1504,PA_OECM_Register!$Z$5:$Z$1504,1,PA_OECM_Register!$E$5:$E$1504,"PA",PA_OECM_Register!$F$5:$F$1504,$A37)</f>
        <v/>
      </c>
      <c r="I37" s="25">
        <f>SUMIFS(PA_OECM_Register!$AG$5:$AG$1504,PA_OECM_Register!$Z$5:$Z$1504,1,PA_OECM_Register!$E$5:$E$1504,"OECM",PA_OECM_Register!$F$5:$F$1504,$A37)</f>
        <v/>
      </c>
      <c r="J37" s="25">
        <f>H37+I37</f>
        <v/>
      </c>
      <c r="K37" s="26">
        <f>IF(N(Setup!$B$11)&gt;0,J37/Setup!$B$11,"")</f>
        <v/>
      </c>
      <c r="L37" s="26">
        <f>IF($J$41&gt;0,J37/$J$41,"")</f>
        <v/>
      </c>
    </row>
    <row r="38">
      <c r="A38" s="5" t="inlineStr">
        <is>
          <t>Not Reported</t>
        </is>
      </c>
      <c r="B38" s="33">
        <f>COUNTIFS(PA_OECM_Register!$Z$5:$Z$1504,1,PA_OECM_Register!$F$5:$F$1504,$A38)</f>
        <v/>
      </c>
      <c r="C38" s="25">
        <f>SUMIFS(PA_OECM_Register!$AF$5:$AF$1504,PA_OECM_Register!$Z$5:$Z$1504,1,PA_OECM_Register!$E$5:$E$1504,"PA",PA_OECM_Register!$F$5:$F$1504,$A38)</f>
        <v/>
      </c>
      <c r="D38" s="25">
        <f>SUMIFS(PA_OECM_Register!$AF$5:$AF$1504,PA_OECM_Register!$Z$5:$Z$1504,1,PA_OECM_Register!$E$5:$E$1504,"OECM",PA_OECM_Register!$F$5:$F$1504,$A38)</f>
        <v/>
      </c>
      <c r="E38" s="25">
        <f>C38+D38</f>
        <v/>
      </c>
      <c r="F38" s="26">
        <f>IF(N(Setup!$B$10)&gt;0,E38/Setup!$B$10,"")</f>
        <v/>
      </c>
      <c r="G38" s="26">
        <f>IF($E$41&gt;0,E38/$E$41,"")</f>
        <v/>
      </c>
      <c r="H38" s="25">
        <f>SUMIFS(PA_OECM_Register!$AG$5:$AG$1504,PA_OECM_Register!$Z$5:$Z$1504,1,PA_OECM_Register!$E$5:$E$1504,"PA",PA_OECM_Register!$F$5:$F$1504,$A38)</f>
        <v/>
      </c>
      <c r="I38" s="25">
        <f>SUMIFS(PA_OECM_Register!$AG$5:$AG$1504,PA_OECM_Register!$Z$5:$Z$1504,1,PA_OECM_Register!$E$5:$E$1504,"OECM",PA_OECM_Register!$F$5:$F$1504,$A38)</f>
        <v/>
      </c>
      <c r="J38" s="25">
        <f>H38+I38</f>
        <v/>
      </c>
      <c r="K38" s="26">
        <f>IF(N(Setup!$B$11)&gt;0,J38/Setup!$B$11,"")</f>
        <v/>
      </c>
      <c r="L38" s="26">
        <f>IF($J$41&gt;0,J38/$J$41,"")</f>
        <v/>
      </c>
    </row>
    <row r="39">
      <c r="A39" s="5" t="inlineStr">
        <is>
          <t>Not Applicable</t>
        </is>
      </c>
      <c r="B39" s="33">
        <f>COUNTIFS(PA_OECM_Register!$Z$5:$Z$1504,1,PA_OECM_Register!$F$5:$F$1504,$A39)</f>
        <v/>
      </c>
      <c r="C39" s="25">
        <f>SUMIFS(PA_OECM_Register!$AF$5:$AF$1504,PA_OECM_Register!$Z$5:$Z$1504,1,PA_OECM_Register!$E$5:$E$1504,"PA",PA_OECM_Register!$F$5:$F$1504,$A39)</f>
        <v/>
      </c>
      <c r="D39" s="25">
        <f>SUMIFS(PA_OECM_Register!$AF$5:$AF$1504,PA_OECM_Register!$Z$5:$Z$1504,1,PA_OECM_Register!$E$5:$E$1504,"OECM",PA_OECM_Register!$F$5:$F$1504,$A39)</f>
        <v/>
      </c>
      <c r="E39" s="25">
        <f>C39+D39</f>
        <v/>
      </c>
      <c r="F39" s="26">
        <f>IF(N(Setup!$B$10)&gt;0,E39/Setup!$B$10,"")</f>
        <v/>
      </c>
      <c r="G39" s="26">
        <f>IF($E$41&gt;0,E39/$E$41,"")</f>
        <v/>
      </c>
      <c r="H39" s="25">
        <f>SUMIFS(PA_OECM_Register!$AG$5:$AG$1504,PA_OECM_Register!$Z$5:$Z$1504,1,PA_OECM_Register!$E$5:$E$1504,"PA",PA_OECM_Register!$F$5:$F$1504,$A39)</f>
        <v/>
      </c>
      <c r="I39" s="25">
        <f>SUMIFS(PA_OECM_Register!$AG$5:$AG$1504,PA_OECM_Register!$Z$5:$Z$1504,1,PA_OECM_Register!$E$5:$E$1504,"OECM",PA_OECM_Register!$F$5:$F$1504,$A39)</f>
        <v/>
      </c>
      <c r="J39" s="25">
        <f>H39+I39</f>
        <v/>
      </c>
      <c r="K39" s="26">
        <f>IF(N(Setup!$B$11)&gt;0,J39/Setup!$B$11,"")</f>
        <v/>
      </c>
      <c r="L39" s="26">
        <f>IF($J$41&gt;0,J39/$J$41,"")</f>
        <v/>
      </c>
    </row>
    <row r="40">
      <c r="A40" s="5" t="inlineStr">
        <is>
          <t>Not Assigned</t>
        </is>
      </c>
      <c r="B40" s="33">
        <f>COUNTIFS(PA_OECM_Register!$Z$5:$Z$1504,1,PA_OECM_Register!$F$5:$F$1504,$A40)</f>
        <v/>
      </c>
      <c r="C40" s="25">
        <f>SUMIFS(PA_OECM_Register!$AF$5:$AF$1504,PA_OECM_Register!$Z$5:$Z$1504,1,PA_OECM_Register!$E$5:$E$1504,"PA",PA_OECM_Register!$F$5:$F$1504,$A40)</f>
        <v/>
      </c>
      <c r="D40" s="25">
        <f>SUMIFS(PA_OECM_Register!$AF$5:$AF$1504,PA_OECM_Register!$Z$5:$Z$1504,1,PA_OECM_Register!$E$5:$E$1504,"OECM",PA_OECM_Register!$F$5:$F$1504,$A40)</f>
        <v/>
      </c>
      <c r="E40" s="25">
        <f>C40+D40</f>
        <v/>
      </c>
      <c r="F40" s="26">
        <f>IF(N(Setup!$B$10)&gt;0,E40/Setup!$B$10,"")</f>
        <v/>
      </c>
      <c r="G40" s="26">
        <f>IF($E$41&gt;0,E40/$E$41,"")</f>
        <v/>
      </c>
      <c r="H40" s="25">
        <f>SUMIFS(PA_OECM_Register!$AG$5:$AG$1504,PA_OECM_Register!$Z$5:$Z$1504,1,PA_OECM_Register!$E$5:$E$1504,"PA",PA_OECM_Register!$F$5:$F$1504,$A40)</f>
        <v/>
      </c>
      <c r="I40" s="25">
        <f>SUMIFS(PA_OECM_Register!$AG$5:$AG$1504,PA_OECM_Register!$Z$5:$Z$1504,1,PA_OECM_Register!$E$5:$E$1504,"OECM",PA_OECM_Register!$F$5:$F$1504,$A40)</f>
        <v/>
      </c>
      <c r="J40" s="25">
        <f>H40+I40</f>
        <v/>
      </c>
      <c r="K40" s="26">
        <f>IF(N(Setup!$B$11)&gt;0,J40/Setup!$B$11,"")</f>
        <v/>
      </c>
      <c r="L40" s="26">
        <f>IF($J$41&gt;0,J40/$J$41,"")</f>
        <v/>
      </c>
    </row>
    <row r="41">
      <c r="A41" s="5" t="inlineStr">
        <is>
          <t>TOTAL</t>
        </is>
      </c>
      <c r="B41" s="35">
        <f>SUM(B31:B40)</f>
        <v/>
      </c>
      <c r="C41" s="36">
        <f>SUM(C31:C40)</f>
        <v/>
      </c>
      <c r="D41" s="36">
        <f>SUM(D31:D40)</f>
        <v/>
      </c>
      <c r="E41" s="36">
        <f>SUM(E31:E40)</f>
        <v/>
      </c>
      <c r="F41" s="37">
        <f>IF(N(Setup!$B$10)&gt;0,E41/Setup!$B$10,"")</f>
        <v/>
      </c>
      <c r="G41" s="37">
        <f>IF($E$41&gt;0,E41/$E$41,"")</f>
        <v/>
      </c>
      <c r="H41" s="36">
        <f>SUM(H31:H40)</f>
        <v/>
      </c>
      <c r="I41" s="36">
        <f>SUM(I31:I40)</f>
        <v/>
      </c>
      <c r="J41" s="36">
        <f>SUM(J31:J40)</f>
        <v/>
      </c>
      <c r="K41" s="37">
        <f>IF(N(Setup!$B$11)&gt;0,J41/Setup!$B$11,"")</f>
        <v/>
      </c>
      <c r="L41" s="37">
        <f>IF($J$41&gt;0,J41/$J$41,"")</f>
        <v/>
      </c>
    </row>
    <row r="42">
      <c r="A42" s="16" t="inlineStr">
        <is>
          <t>Totals should equal Headline_3.1 register sums (C6:D7). Differences indicate sites with blank or non-standard codes.</t>
        </is>
      </c>
    </row>
  </sheetData>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L19"/>
  <sheetViews>
    <sheetView showGridLines="0"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7. Coverage by management effectiveness – PROVISIONAL</t>
        </is>
      </c>
    </row>
    <row r="2">
      <c r="A2" s="2" t="inlineStr">
        <is>
          <t>The metadata states the methodology for this disaggregation is still under development (proposal: UNEP-WCMC, IUCN &amp; JNCC 2023). Classes here use normalised PAME scores and thresholds set in Setup (B24–B26). Report as a national provisional estimate.</t>
        </is>
      </c>
    </row>
    <row r="3"/>
    <row r="4">
      <c r="A4" s="3" t="inlineStr">
        <is>
          <t>A. Coverage by effectiveness class</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High</t>
        </is>
      </c>
      <c r="B6" s="33">
        <f>COUNTIFS(PA_OECM_Register!$Z$5:$Z$1504,1,PA_OECM_Register!$AK$5:$AK$1504,$A6)</f>
        <v/>
      </c>
      <c r="C6" s="25">
        <f>SUMIFS(PA_OECM_Register!$AF$5:$AF$1504,PA_OECM_Register!$Z$5:$Z$1504,1,PA_OECM_Register!$E$5:$E$1504,"PA",PA_OECM_Register!$AK$5:$AK$1504,$A6)</f>
        <v/>
      </c>
      <c r="D6" s="25">
        <f>SUMIFS(PA_OECM_Register!$AF$5:$AF$1504,PA_OECM_Register!$Z$5:$Z$1504,1,PA_OECM_Register!$E$5:$E$1504,"OECM",PA_OECM_Register!$AK$5:$AK$1504,$A6)</f>
        <v/>
      </c>
      <c r="E6" s="25">
        <f>C6+D6</f>
        <v/>
      </c>
      <c r="F6" s="26">
        <f>IF(N(Setup!$B$10)&gt;0,E6/Setup!$B$10,"")</f>
        <v/>
      </c>
      <c r="G6" s="26">
        <f>IF($E$12&gt;0,E6/$E$12,"")</f>
        <v/>
      </c>
      <c r="H6" s="25">
        <f>SUMIFS(PA_OECM_Register!$AG$5:$AG$1504,PA_OECM_Register!$Z$5:$Z$1504,1,PA_OECM_Register!$E$5:$E$1504,"PA",PA_OECM_Register!$AK$5:$AK$1504,$A6)</f>
        <v/>
      </c>
      <c r="I6" s="25">
        <f>SUMIFS(PA_OECM_Register!$AG$5:$AG$1504,PA_OECM_Register!$Z$5:$Z$1504,1,PA_OECM_Register!$E$5:$E$1504,"OECM",PA_OECM_Register!$AK$5:$AK$1504,$A6)</f>
        <v/>
      </c>
      <c r="J6" s="25">
        <f>H6+I6</f>
        <v/>
      </c>
      <c r="K6" s="26">
        <f>IF(N(Setup!$B$11)&gt;0,J6/Setup!$B$11,"")</f>
        <v/>
      </c>
      <c r="L6" s="26">
        <f>IF($J$12&gt;0,J6/$J$12,"")</f>
        <v/>
      </c>
    </row>
    <row r="7">
      <c r="A7" s="5" t="inlineStr">
        <is>
          <t>Moderate</t>
        </is>
      </c>
      <c r="B7" s="33">
        <f>COUNTIFS(PA_OECM_Register!$Z$5:$Z$1504,1,PA_OECM_Register!$AK$5:$AK$1504,$A7)</f>
        <v/>
      </c>
      <c r="C7" s="25">
        <f>SUMIFS(PA_OECM_Register!$AF$5:$AF$1504,PA_OECM_Register!$Z$5:$Z$1504,1,PA_OECM_Register!$E$5:$E$1504,"PA",PA_OECM_Register!$AK$5:$AK$1504,$A7)</f>
        <v/>
      </c>
      <c r="D7" s="25">
        <f>SUMIFS(PA_OECM_Register!$AF$5:$AF$1504,PA_OECM_Register!$Z$5:$Z$1504,1,PA_OECM_Register!$E$5:$E$1504,"OECM",PA_OECM_Register!$AK$5:$AK$1504,$A7)</f>
        <v/>
      </c>
      <c r="E7" s="25">
        <f>C7+D7</f>
        <v/>
      </c>
      <c r="F7" s="26">
        <f>IF(N(Setup!$B$10)&gt;0,E7/Setup!$B$10,"")</f>
        <v/>
      </c>
      <c r="G7" s="26">
        <f>IF($E$12&gt;0,E7/$E$12,"")</f>
        <v/>
      </c>
      <c r="H7" s="25">
        <f>SUMIFS(PA_OECM_Register!$AG$5:$AG$1504,PA_OECM_Register!$Z$5:$Z$1504,1,PA_OECM_Register!$E$5:$E$1504,"PA",PA_OECM_Register!$AK$5:$AK$1504,$A7)</f>
        <v/>
      </c>
      <c r="I7" s="25">
        <f>SUMIFS(PA_OECM_Register!$AG$5:$AG$1504,PA_OECM_Register!$Z$5:$Z$1504,1,PA_OECM_Register!$E$5:$E$1504,"OECM",PA_OECM_Register!$AK$5:$AK$1504,$A7)</f>
        <v/>
      </c>
      <c r="J7" s="25">
        <f>H7+I7</f>
        <v/>
      </c>
      <c r="K7" s="26">
        <f>IF(N(Setup!$B$11)&gt;0,J7/Setup!$B$11,"")</f>
        <v/>
      </c>
      <c r="L7" s="26">
        <f>IF($J$12&gt;0,J7/$J$12,"")</f>
        <v/>
      </c>
    </row>
    <row r="8">
      <c r="A8" s="5" t="inlineStr">
        <is>
          <t>Low</t>
        </is>
      </c>
      <c r="B8" s="33">
        <f>COUNTIFS(PA_OECM_Register!$Z$5:$Z$1504,1,PA_OECM_Register!$AK$5:$AK$1504,$A8)</f>
        <v/>
      </c>
      <c r="C8" s="25">
        <f>SUMIFS(PA_OECM_Register!$AF$5:$AF$1504,PA_OECM_Register!$Z$5:$Z$1504,1,PA_OECM_Register!$E$5:$E$1504,"PA",PA_OECM_Register!$AK$5:$AK$1504,$A8)</f>
        <v/>
      </c>
      <c r="D8" s="25">
        <f>SUMIFS(PA_OECM_Register!$AF$5:$AF$1504,PA_OECM_Register!$Z$5:$Z$1504,1,PA_OECM_Register!$E$5:$E$1504,"OECM",PA_OECM_Register!$AK$5:$AK$1504,$A8)</f>
        <v/>
      </c>
      <c r="E8" s="25">
        <f>C8+D8</f>
        <v/>
      </c>
      <c r="F8" s="26">
        <f>IF(N(Setup!$B$10)&gt;0,E8/Setup!$B$10,"")</f>
        <v/>
      </c>
      <c r="G8" s="26">
        <f>IF($E$12&gt;0,E8/$E$12,"")</f>
        <v/>
      </c>
      <c r="H8" s="25">
        <f>SUMIFS(PA_OECM_Register!$AG$5:$AG$1504,PA_OECM_Register!$Z$5:$Z$1504,1,PA_OECM_Register!$E$5:$E$1504,"PA",PA_OECM_Register!$AK$5:$AK$1504,$A8)</f>
        <v/>
      </c>
      <c r="I8" s="25">
        <f>SUMIFS(PA_OECM_Register!$AG$5:$AG$1504,PA_OECM_Register!$Z$5:$Z$1504,1,PA_OECM_Register!$E$5:$E$1504,"OECM",PA_OECM_Register!$AK$5:$AK$1504,$A8)</f>
        <v/>
      </c>
      <c r="J8" s="25">
        <f>H8+I8</f>
        <v/>
      </c>
      <c r="K8" s="26">
        <f>IF(N(Setup!$B$11)&gt;0,J8/Setup!$B$11,"")</f>
        <v/>
      </c>
      <c r="L8" s="26">
        <f>IF($J$12&gt;0,J8/$J$12,"")</f>
        <v/>
      </c>
    </row>
    <row r="9">
      <c r="A9" s="5" t="inlineStr">
        <is>
          <t>Assessed – no score</t>
        </is>
      </c>
      <c r="B9" s="33">
        <f>COUNTIFS(PA_OECM_Register!$Z$5:$Z$1504,1,PA_OECM_Register!$AK$5:$AK$1504,$A9)</f>
        <v/>
      </c>
      <c r="C9" s="25">
        <f>SUMIFS(PA_OECM_Register!$AF$5:$AF$1504,PA_OECM_Register!$Z$5:$Z$1504,1,PA_OECM_Register!$E$5:$E$1504,"PA",PA_OECM_Register!$AK$5:$AK$1504,$A9)</f>
        <v/>
      </c>
      <c r="D9" s="25">
        <f>SUMIFS(PA_OECM_Register!$AF$5:$AF$1504,PA_OECM_Register!$Z$5:$Z$1504,1,PA_OECM_Register!$E$5:$E$1504,"OECM",PA_OECM_Register!$AK$5:$AK$1504,$A9)</f>
        <v/>
      </c>
      <c r="E9" s="25">
        <f>C9+D9</f>
        <v/>
      </c>
      <c r="F9" s="26">
        <f>IF(N(Setup!$B$10)&gt;0,E9/Setup!$B$10,"")</f>
        <v/>
      </c>
      <c r="G9" s="26">
        <f>IF($E$12&gt;0,E9/$E$12,"")</f>
        <v/>
      </c>
      <c r="H9" s="25">
        <f>SUMIFS(PA_OECM_Register!$AG$5:$AG$1504,PA_OECM_Register!$Z$5:$Z$1504,1,PA_OECM_Register!$E$5:$E$1504,"PA",PA_OECM_Register!$AK$5:$AK$1504,$A9)</f>
        <v/>
      </c>
      <c r="I9" s="25">
        <f>SUMIFS(PA_OECM_Register!$AG$5:$AG$1504,PA_OECM_Register!$Z$5:$Z$1504,1,PA_OECM_Register!$E$5:$E$1504,"OECM",PA_OECM_Register!$AK$5:$AK$1504,$A9)</f>
        <v/>
      </c>
      <c r="J9" s="25">
        <f>H9+I9</f>
        <v/>
      </c>
      <c r="K9" s="26">
        <f>IF(N(Setup!$B$11)&gt;0,J9/Setup!$B$11,"")</f>
        <v/>
      </c>
      <c r="L9" s="26">
        <f>IF($J$12&gt;0,J9/$J$12,"")</f>
        <v/>
      </c>
    </row>
    <row r="10">
      <c r="A10" s="5" t="inlineStr">
        <is>
          <t>Assessment outdated</t>
        </is>
      </c>
      <c r="B10" s="33">
        <f>COUNTIFS(PA_OECM_Register!$Z$5:$Z$1504,1,PA_OECM_Register!$AK$5:$AK$1504,$A10)</f>
        <v/>
      </c>
      <c r="C10" s="25">
        <f>SUMIFS(PA_OECM_Register!$AF$5:$AF$1504,PA_OECM_Register!$Z$5:$Z$1504,1,PA_OECM_Register!$E$5:$E$1504,"PA",PA_OECM_Register!$AK$5:$AK$1504,$A10)</f>
        <v/>
      </c>
      <c r="D10" s="25">
        <f>SUMIFS(PA_OECM_Register!$AF$5:$AF$1504,PA_OECM_Register!$Z$5:$Z$1504,1,PA_OECM_Register!$E$5:$E$1504,"OECM",PA_OECM_Register!$AK$5:$AK$1504,$A10)</f>
        <v/>
      </c>
      <c r="E10" s="25">
        <f>C10+D10</f>
        <v/>
      </c>
      <c r="F10" s="26">
        <f>IF(N(Setup!$B$10)&gt;0,E10/Setup!$B$10,"")</f>
        <v/>
      </c>
      <c r="G10" s="26">
        <f>IF($E$12&gt;0,E10/$E$12,"")</f>
        <v/>
      </c>
      <c r="H10" s="25">
        <f>SUMIFS(PA_OECM_Register!$AG$5:$AG$1504,PA_OECM_Register!$Z$5:$Z$1504,1,PA_OECM_Register!$E$5:$E$1504,"PA",PA_OECM_Register!$AK$5:$AK$1504,$A10)</f>
        <v/>
      </c>
      <c r="I10" s="25">
        <f>SUMIFS(PA_OECM_Register!$AG$5:$AG$1504,PA_OECM_Register!$Z$5:$Z$1504,1,PA_OECM_Register!$E$5:$E$1504,"OECM",PA_OECM_Register!$AK$5:$AK$1504,$A10)</f>
        <v/>
      </c>
      <c r="J10" s="25">
        <f>H10+I10</f>
        <v/>
      </c>
      <c r="K10" s="26">
        <f>IF(N(Setup!$B$11)&gt;0,J10/Setup!$B$11,"")</f>
        <v/>
      </c>
      <c r="L10" s="26">
        <f>IF($J$12&gt;0,J10/$J$12,"")</f>
        <v/>
      </c>
    </row>
    <row r="11">
      <c r="A11" s="5" t="inlineStr">
        <is>
          <t>Not assessed</t>
        </is>
      </c>
      <c r="B11" s="33">
        <f>COUNTIFS(PA_OECM_Register!$Z$5:$Z$1504,1,PA_OECM_Register!$AK$5:$AK$1504,$A11)</f>
        <v/>
      </c>
      <c r="C11" s="25">
        <f>SUMIFS(PA_OECM_Register!$AF$5:$AF$1504,PA_OECM_Register!$Z$5:$Z$1504,1,PA_OECM_Register!$E$5:$E$1504,"PA",PA_OECM_Register!$AK$5:$AK$1504,$A11)</f>
        <v/>
      </c>
      <c r="D11" s="25">
        <f>SUMIFS(PA_OECM_Register!$AF$5:$AF$1504,PA_OECM_Register!$Z$5:$Z$1504,1,PA_OECM_Register!$E$5:$E$1504,"OECM",PA_OECM_Register!$AK$5:$AK$1504,$A11)</f>
        <v/>
      </c>
      <c r="E11" s="25">
        <f>C11+D11</f>
        <v/>
      </c>
      <c r="F11" s="26">
        <f>IF(N(Setup!$B$10)&gt;0,E11/Setup!$B$10,"")</f>
        <v/>
      </c>
      <c r="G11" s="26">
        <f>IF($E$12&gt;0,E11/$E$12,"")</f>
        <v/>
      </c>
      <c r="H11" s="25">
        <f>SUMIFS(PA_OECM_Register!$AG$5:$AG$1504,PA_OECM_Register!$Z$5:$Z$1504,1,PA_OECM_Register!$E$5:$E$1504,"PA",PA_OECM_Register!$AK$5:$AK$1504,$A11)</f>
        <v/>
      </c>
      <c r="I11" s="25">
        <f>SUMIFS(PA_OECM_Register!$AG$5:$AG$1504,PA_OECM_Register!$Z$5:$Z$1504,1,PA_OECM_Register!$E$5:$E$1504,"OECM",PA_OECM_Register!$AK$5:$AK$1504,$A11)</f>
        <v/>
      </c>
      <c r="J11" s="25">
        <f>H11+I11</f>
        <v/>
      </c>
      <c r="K11" s="26">
        <f>IF(N(Setup!$B$11)&gt;0,J11/Setup!$B$11,"")</f>
        <v/>
      </c>
      <c r="L11" s="26">
        <f>IF($J$12&gt;0,J11/$J$12,"")</f>
        <v/>
      </c>
    </row>
    <row r="12">
      <c r="A12" s="5" t="inlineStr">
        <is>
          <t>TOTAL</t>
        </is>
      </c>
      <c r="B12" s="35">
        <f>SUM(B6:B11)</f>
        <v/>
      </c>
      <c r="C12" s="36">
        <f>SUM(C6:C11)</f>
        <v/>
      </c>
      <c r="D12" s="36">
        <f>SUM(D6:D11)</f>
        <v/>
      </c>
      <c r="E12" s="36">
        <f>SUM(E6:E11)</f>
        <v/>
      </c>
      <c r="F12" s="37">
        <f>IF(N(Setup!$B$10)&gt;0,E12/Setup!$B$10,"")</f>
        <v/>
      </c>
      <c r="G12" s="37">
        <f>IF($E$12&gt;0,E12/$E$12,"")</f>
        <v/>
      </c>
      <c r="H12" s="36">
        <f>SUM(H6:H11)</f>
        <v/>
      </c>
      <c r="I12" s="36">
        <f>SUM(I6:I11)</f>
        <v/>
      </c>
      <c r="J12" s="36">
        <f>SUM(J6:J11)</f>
        <v/>
      </c>
      <c r="K12" s="37">
        <f>IF(N(Setup!$B$11)&gt;0,J12/Setup!$B$11,"")</f>
        <v/>
      </c>
      <c r="L12" s="37">
        <f>IF($J$12&gt;0,J12/$J$12,"")</f>
        <v/>
      </c>
    </row>
    <row r="13"/>
    <row r="14">
      <c r="A14" s="3" t="inlineStr">
        <is>
          <t>B. Assessment coverage (continuity with Aichi Target 11 PAME reporting / GD-PAME)</t>
        </is>
      </c>
      <c r="B14" s="4" t="n"/>
      <c r="C14" s="4" t="n"/>
      <c r="D14" s="4" t="n"/>
      <c r="E14" s="4" t="n"/>
      <c r="F14" s="4" t="n"/>
      <c r="G14" s="4" t="n"/>
      <c r="H14" s="4" t="n"/>
      <c r="I14" s="4" t="n"/>
      <c r="J14" s="4" t="n"/>
      <c r="K14" s="4" t="n"/>
      <c r="L14" s="4" t="n"/>
    </row>
    <row r="15" ht="30" customHeight="1">
      <c r="A15" s="11" t="inlineStr">
        <is>
          <t>Metric</t>
        </is>
      </c>
      <c r="B15" s="11" t="inlineStr">
        <is>
          <t>Terrestrial</t>
        </is>
      </c>
      <c r="C15" s="11" t="inlineStr">
        <is>
          <t>Marine</t>
        </is>
      </c>
    </row>
    <row r="16">
      <c r="A16" s="5" t="inlineStr">
        <is>
          <t>% of PA+OECM area with a valid PAME assessment (High + Moderate + Low + no score)</t>
        </is>
      </c>
      <c r="B16" s="27">
        <f>IF(E12&gt;0,SUM(E6:E9)/E12,"")</f>
        <v/>
      </c>
      <c r="C16" s="27">
        <f>IF(J12&gt;0,SUM(J6:J9)/J12,"")</f>
        <v/>
      </c>
    </row>
    <row r="17">
      <c r="A17" s="5" t="inlineStr">
        <is>
          <t>% of realm covered by PAs/OECMs assessed as effective (High + Moderate)</t>
        </is>
      </c>
      <c r="B17" s="27">
        <f>IF(N(Setup!$B$10)&gt;0,SUM(E6:E7)/Setup!$B$10,"")</f>
        <v/>
      </c>
      <c r="C17" s="27">
        <f>IF(N(Setup!$B$11)&gt;0,SUM(J6:J7)/Setup!$B$11,"")</f>
        <v/>
      </c>
    </row>
    <row r="18"/>
    <row r="19">
      <c r="A19" s="16" t="inlineStr">
        <is>
          <t>Related complementary indicators: MEPCA, R-METT, % of Biosphere Reserves with positive conservation outcome and effective management. Report PAME results to GD-PAME (protectedplanet.net).</t>
        </is>
      </c>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M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8. Time series of coverage (cumulative by STATUS_YR)</t>
        </is>
      </c>
    </row>
    <row r="2">
      <c r="A2" s="2" t="inlineStr">
        <is>
          <t>Missing designation years: metadata assigns each such site a random year drawn from another PA in the same country, repeated 1,000 times, and plots the median. Here the analytical expected value of that procedure is used: area of undated sites × share of dated sites designated by year t.</t>
        </is>
      </c>
    </row>
    <row r="3"/>
    <row r="4" ht="70" customHeight="1">
      <c r="A4" s="11" t="inlineStr">
        <is>
          <t>Year</t>
        </is>
      </c>
      <c r="B4" s="11" t="inlineStr">
        <is>
          <t>Share of dated PAs designated by year (F_PA)</t>
        </is>
      </c>
      <c r="C4" s="11" t="inlineStr">
        <is>
          <t>Share of dated OECMs designated by year (F_OECM)</t>
        </is>
      </c>
      <c r="D4" s="11" t="inlineStr">
        <is>
          <t>Terrestrial PA (km²)</t>
        </is>
      </c>
      <c r="E4" s="11" t="inlineStr">
        <is>
          <t>Terrestrial OECM (km²)</t>
        </is>
      </c>
      <c r="F4" s="11" t="inlineStr">
        <is>
          <t>Terrestrial coverage (%)</t>
        </is>
      </c>
      <c r="G4" s="11" t="inlineStr">
        <is>
          <t>Marine PA (km²)</t>
        </is>
      </c>
      <c r="H4" s="11" t="inlineStr">
        <is>
          <t>Marine OECM (km²)</t>
        </is>
      </c>
      <c r="I4" s="11" t="inlineStr">
        <is>
          <t>Marine coverage (%)</t>
        </is>
      </c>
      <c r="J4" s="11" t="inlineStr">
        <is>
          <t>Terrestrial % – dated sites only (lower bound)</t>
        </is>
      </c>
      <c r="K4" s="11" t="inlineStr">
        <is>
          <t>Marine % – dated sites only (lower bound)</t>
        </is>
      </c>
    </row>
    <row r="5">
      <c r="A5" s="33">
        <f>IF(Setup!$B$27+0&gt;Setup!$B$6,"",Setup!$B$27+0)</f>
        <v/>
      </c>
      <c r="B5" s="38">
        <f>IF(A5="","",COUNTIFS(PA_OECM_Register!$Z$5:$Z$1504,1,PA_OECM_Register!$E$5:$E$1504,"PA",PA_OECM_Register!$AH$5:$AH$1504,"&gt;0",PA_OECM_Register!$AH$5:$AH$1504,"&lt;="&amp;A5)/MAX(1,COUNTIFS(PA_OECM_Register!$Z$5:$Z$1504,1,PA_OECM_Register!$E$5:$E$1504,"PA",PA_OECM_Register!$AH$5:$AH$1504,"&gt;0")))</f>
        <v/>
      </c>
      <c r="C5" s="38">
        <f>IF(A5="","",COUNTIFS(PA_OECM_Register!$Z$5:$Z$1504,1,PA_OECM_Register!$E$5:$E$1504,"OECM",PA_OECM_Register!$AH$5:$AH$1504,"&gt;0",PA_OECM_Register!$AH$5:$AH$1504,"&lt;="&amp;A5)/MAX(1,COUNTIFS(PA_OECM_Register!$Z$5:$Z$1504,1,PA_OECM_Register!$E$5:$E$1504,"OECM",PA_OECM_Register!$AH$5:$AH$1504,"&gt;0")))</f>
        <v/>
      </c>
      <c r="D5" s="25">
        <f>IF(A5="","",SUMIFS(PA_OECM_Register!$AF$5:$AF$1504,PA_OECM_Register!$Z$5:$Z$1504,1,PA_OECM_Register!$E$5:$E$1504,"PA",PA_OECM_Register!$AH$5:$AH$1504,"&gt;0",PA_OECM_Register!$AH$5:$AH$1504,"&lt;="&amp;A5)+SUMIFS(PA_OECM_Register!$AF$5:$AF$1504,PA_OECM_Register!$Z$5:$Z$1504,1,PA_OECM_Register!$E$5:$E$1504,"PA",PA_OECM_Register!$AH$5:$AH$1504,0)*B5)</f>
        <v/>
      </c>
      <c r="E5" s="25">
        <f>IF(A5="","",SUMIFS(PA_OECM_Register!$AF$5:$AF$1504,PA_OECM_Register!$Z$5:$Z$1504,1,PA_OECM_Register!$E$5:$E$1504,"OECM",PA_OECM_Register!$AH$5:$AH$1504,"&gt;0",PA_OECM_Register!$AH$5:$AH$1504,"&lt;="&amp;A5)+SUMIFS(PA_OECM_Register!$AF$5:$AF$1504,PA_OECM_Register!$Z$5:$Z$1504,1,PA_OECM_Register!$E$5:$E$1504,"OECM",PA_OECM_Register!$AH$5:$AH$1504,0)*C5)</f>
        <v/>
      </c>
      <c r="F5" s="26">
        <f>IF(A5="","",IF(N(Setup!$B$10)&gt;0,(D5+E5)/Setup!$B$10,""))</f>
        <v/>
      </c>
      <c r="G5" s="25">
        <f>IF(A5="","",SUMIFS(PA_OECM_Register!$AG$5:$AG$1504,PA_OECM_Register!$Z$5:$Z$1504,1,PA_OECM_Register!$E$5:$E$1504,"PA",PA_OECM_Register!$AH$5:$AH$1504,"&gt;0",PA_OECM_Register!$AH$5:$AH$1504,"&lt;="&amp;A5)+SUMIFS(PA_OECM_Register!$AG$5:$AG$1504,PA_OECM_Register!$Z$5:$Z$1504,1,PA_OECM_Register!$E$5:$E$1504,"PA",PA_OECM_Register!$AH$5:$AH$1504,0)*B5)</f>
        <v/>
      </c>
      <c r="H5" s="25">
        <f>IF(A5="","",SUMIFS(PA_OECM_Register!$AG$5:$AG$1504,PA_OECM_Register!$Z$5:$Z$1504,1,PA_OECM_Register!$E$5:$E$1504,"OECM",PA_OECM_Register!$AH$5:$AH$1504,"&gt;0",PA_OECM_Register!$AH$5:$AH$1504,"&lt;="&amp;A5)+SUMIFS(PA_OECM_Register!$AG$5:$AG$1504,PA_OECM_Register!$Z$5:$Z$1504,1,PA_OECM_Register!$E$5:$E$1504,"OECM",PA_OECM_Register!$AH$5:$AH$1504,0)*C5)</f>
        <v/>
      </c>
      <c r="I5" s="26">
        <f>IF(A5="","",IF(N(Setup!$B$11)&gt;0,(G5+H5)/Setup!$B$11,""))</f>
        <v/>
      </c>
      <c r="J5" s="26">
        <f>IF(A5="","",IF(N(Setup!$B$10)&gt;0,SUMIFS(PA_OECM_Register!$AF$5:$AF$1504,PA_OECM_Register!$Z$5:$Z$1504,1,PA_OECM_Register!$AH$5:$AH$1504,"&gt;0",PA_OECM_Register!$AH$5:$AH$1504,"&lt;="&amp;A5)/Setup!$B$10,""))</f>
        <v/>
      </c>
      <c r="K5" s="26">
        <f>IF(A5="","",IF(N(Setup!$B$11)&gt;0,SUMIFS(PA_OECM_Register!$AG$5:$AG$1504,PA_OECM_Register!$Z$5:$Z$1504,1,PA_OECM_Register!$AH$5:$AH$1504,"&gt;0",PA_OECM_Register!$AH$5:$AH$1504,"&lt;="&amp;A5)/Setup!$B$11,""))</f>
        <v/>
      </c>
      <c r="M5" s="16" t="inlineStr">
        <is>
          <t>Notes:</t>
        </is>
      </c>
    </row>
    <row r="6">
      <c r="A6" s="33">
        <f>IF(Setup!$B$27+1&gt;Setup!$B$6,"",Setup!$B$27+1)</f>
        <v/>
      </c>
      <c r="B6" s="38">
        <f>IF(A6="","",COUNTIFS(PA_OECM_Register!$Z$5:$Z$1504,1,PA_OECM_Register!$E$5:$E$1504,"PA",PA_OECM_Register!$AH$5:$AH$1504,"&gt;0",PA_OECM_Register!$AH$5:$AH$1504,"&lt;="&amp;A6)/MAX(1,COUNTIFS(PA_OECM_Register!$Z$5:$Z$1504,1,PA_OECM_Register!$E$5:$E$1504,"PA",PA_OECM_Register!$AH$5:$AH$1504,"&gt;0")))</f>
        <v/>
      </c>
      <c r="C6" s="38">
        <f>IF(A6="","",COUNTIFS(PA_OECM_Register!$Z$5:$Z$1504,1,PA_OECM_Register!$E$5:$E$1504,"OECM",PA_OECM_Register!$AH$5:$AH$1504,"&gt;0",PA_OECM_Register!$AH$5:$AH$1504,"&lt;="&amp;A6)/MAX(1,COUNTIFS(PA_OECM_Register!$Z$5:$Z$1504,1,PA_OECM_Register!$E$5:$E$1504,"OECM",PA_OECM_Register!$AH$5:$AH$1504,"&gt;0")))</f>
        <v/>
      </c>
      <c r="D6" s="25">
        <f>IF(A6="","",SUMIFS(PA_OECM_Register!$AF$5:$AF$1504,PA_OECM_Register!$Z$5:$Z$1504,1,PA_OECM_Register!$E$5:$E$1504,"PA",PA_OECM_Register!$AH$5:$AH$1504,"&gt;0",PA_OECM_Register!$AH$5:$AH$1504,"&lt;="&amp;A6)+SUMIFS(PA_OECM_Register!$AF$5:$AF$1504,PA_OECM_Register!$Z$5:$Z$1504,1,PA_OECM_Register!$E$5:$E$1504,"PA",PA_OECM_Register!$AH$5:$AH$1504,0)*B6)</f>
        <v/>
      </c>
      <c r="E6" s="25">
        <f>IF(A6="","",SUMIFS(PA_OECM_Register!$AF$5:$AF$1504,PA_OECM_Register!$Z$5:$Z$1504,1,PA_OECM_Register!$E$5:$E$1504,"OECM",PA_OECM_Register!$AH$5:$AH$1504,"&gt;0",PA_OECM_Register!$AH$5:$AH$1504,"&lt;="&amp;A6)+SUMIFS(PA_OECM_Register!$AF$5:$AF$1504,PA_OECM_Register!$Z$5:$Z$1504,1,PA_OECM_Register!$E$5:$E$1504,"OECM",PA_OECM_Register!$AH$5:$AH$1504,0)*C6)</f>
        <v/>
      </c>
      <c r="F6" s="26">
        <f>IF(A6="","",IF(N(Setup!$B$10)&gt;0,(D6+E6)/Setup!$B$10,""))</f>
        <v/>
      </c>
      <c r="G6" s="25">
        <f>IF(A6="","",SUMIFS(PA_OECM_Register!$AG$5:$AG$1504,PA_OECM_Register!$Z$5:$Z$1504,1,PA_OECM_Register!$E$5:$E$1504,"PA",PA_OECM_Register!$AH$5:$AH$1504,"&gt;0",PA_OECM_Register!$AH$5:$AH$1504,"&lt;="&amp;A6)+SUMIFS(PA_OECM_Register!$AG$5:$AG$1504,PA_OECM_Register!$Z$5:$Z$1504,1,PA_OECM_Register!$E$5:$E$1504,"PA",PA_OECM_Register!$AH$5:$AH$1504,0)*B6)</f>
        <v/>
      </c>
      <c r="H6" s="25">
        <f>IF(A6="","",SUMIFS(PA_OECM_Register!$AG$5:$AG$1504,PA_OECM_Register!$Z$5:$Z$1504,1,PA_OECM_Register!$E$5:$E$1504,"OECM",PA_OECM_Register!$AH$5:$AH$1504,"&gt;0",PA_OECM_Register!$AH$5:$AH$1504,"&lt;="&amp;A6)+SUMIFS(PA_OECM_Register!$AG$5:$AG$1504,PA_OECM_Register!$Z$5:$Z$1504,1,PA_OECM_Register!$E$5:$E$1504,"OECM",PA_OECM_Register!$AH$5:$AH$1504,0)*C6)</f>
        <v/>
      </c>
      <c r="I6" s="26">
        <f>IF(A6="","",IF(N(Setup!$B$11)&gt;0,(G6+H6)/Setup!$B$11,""))</f>
        <v/>
      </c>
      <c r="J6" s="26">
        <f>IF(A6="","",IF(N(Setup!$B$10)&gt;0,SUMIFS(PA_OECM_Register!$AF$5:$AF$1504,PA_OECM_Register!$Z$5:$Z$1504,1,PA_OECM_Register!$AH$5:$AH$1504,"&gt;0",PA_OECM_Register!$AH$5:$AH$1504,"&lt;="&amp;A6)/Setup!$B$10,""))</f>
        <v/>
      </c>
      <c r="K6" s="26">
        <f>IF(A6="","",IF(N(Setup!$B$11)&gt;0,SUMIFS(PA_OECM_Register!$AG$5:$AG$1504,PA_OECM_Register!$Z$5:$Z$1504,1,PA_OECM_Register!$AH$5:$AH$1504,"&gt;0",PA_OECM_Register!$AH$5:$AH$1504,"&lt;="&amp;A6)/Setup!$B$11,""))</f>
        <v/>
      </c>
      <c r="M6" s="16" t="inlineStr">
        <is>
          <t>• Uses register areas (not the Setup GIS override). The final year should match Headline_3.1 when no override is used.</t>
        </is>
      </c>
    </row>
    <row r="7">
      <c r="A7" s="33">
        <f>IF(Setup!$B$27+2&gt;Setup!$B$6,"",Setup!$B$27+2)</f>
        <v/>
      </c>
      <c r="B7" s="38">
        <f>IF(A7="","",COUNTIFS(PA_OECM_Register!$Z$5:$Z$1504,1,PA_OECM_Register!$E$5:$E$1504,"PA",PA_OECM_Register!$AH$5:$AH$1504,"&gt;0",PA_OECM_Register!$AH$5:$AH$1504,"&lt;="&amp;A7)/MAX(1,COUNTIFS(PA_OECM_Register!$Z$5:$Z$1504,1,PA_OECM_Register!$E$5:$E$1504,"PA",PA_OECM_Register!$AH$5:$AH$1504,"&gt;0")))</f>
        <v/>
      </c>
      <c r="C7" s="38">
        <f>IF(A7="","",COUNTIFS(PA_OECM_Register!$Z$5:$Z$1504,1,PA_OECM_Register!$E$5:$E$1504,"OECM",PA_OECM_Register!$AH$5:$AH$1504,"&gt;0",PA_OECM_Register!$AH$5:$AH$1504,"&lt;="&amp;A7)/MAX(1,COUNTIFS(PA_OECM_Register!$Z$5:$Z$1504,1,PA_OECM_Register!$E$5:$E$1504,"OECM",PA_OECM_Register!$AH$5:$AH$1504,"&gt;0")))</f>
        <v/>
      </c>
      <c r="D7" s="25">
        <f>IF(A7="","",SUMIFS(PA_OECM_Register!$AF$5:$AF$1504,PA_OECM_Register!$Z$5:$Z$1504,1,PA_OECM_Register!$E$5:$E$1504,"PA",PA_OECM_Register!$AH$5:$AH$1504,"&gt;0",PA_OECM_Register!$AH$5:$AH$1504,"&lt;="&amp;A7)+SUMIFS(PA_OECM_Register!$AF$5:$AF$1504,PA_OECM_Register!$Z$5:$Z$1504,1,PA_OECM_Register!$E$5:$E$1504,"PA",PA_OECM_Register!$AH$5:$AH$1504,0)*B7)</f>
        <v/>
      </c>
      <c r="E7" s="25">
        <f>IF(A7="","",SUMIFS(PA_OECM_Register!$AF$5:$AF$1504,PA_OECM_Register!$Z$5:$Z$1504,1,PA_OECM_Register!$E$5:$E$1504,"OECM",PA_OECM_Register!$AH$5:$AH$1504,"&gt;0",PA_OECM_Register!$AH$5:$AH$1504,"&lt;="&amp;A7)+SUMIFS(PA_OECM_Register!$AF$5:$AF$1504,PA_OECM_Register!$Z$5:$Z$1504,1,PA_OECM_Register!$E$5:$E$1504,"OECM",PA_OECM_Register!$AH$5:$AH$1504,0)*C7)</f>
        <v/>
      </c>
      <c r="F7" s="26">
        <f>IF(A7="","",IF(N(Setup!$B$10)&gt;0,(D7+E7)/Setup!$B$10,""))</f>
        <v/>
      </c>
      <c r="G7" s="25">
        <f>IF(A7="","",SUMIFS(PA_OECM_Register!$AG$5:$AG$1504,PA_OECM_Register!$Z$5:$Z$1504,1,PA_OECM_Register!$E$5:$E$1504,"PA",PA_OECM_Register!$AH$5:$AH$1504,"&gt;0",PA_OECM_Register!$AH$5:$AH$1504,"&lt;="&amp;A7)+SUMIFS(PA_OECM_Register!$AG$5:$AG$1504,PA_OECM_Register!$Z$5:$Z$1504,1,PA_OECM_Register!$E$5:$E$1504,"PA",PA_OECM_Register!$AH$5:$AH$1504,0)*B7)</f>
        <v/>
      </c>
      <c r="H7" s="25">
        <f>IF(A7="","",SUMIFS(PA_OECM_Register!$AG$5:$AG$1504,PA_OECM_Register!$Z$5:$Z$1504,1,PA_OECM_Register!$E$5:$E$1504,"OECM",PA_OECM_Register!$AH$5:$AH$1504,"&gt;0",PA_OECM_Register!$AH$5:$AH$1504,"&lt;="&amp;A7)+SUMIFS(PA_OECM_Register!$AG$5:$AG$1504,PA_OECM_Register!$Z$5:$Z$1504,1,PA_OECM_Register!$E$5:$E$1504,"OECM",PA_OECM_Register!$AH$5:$AH$1504,0)*C7)</f>
        <v/>
      </c>
      <c r="I7" s="26">
        <f>IF(A7="","",IF(N(Setup!$B$11)&gt;0,(G7+H7)/Setup!$B$11,""))</f>
        <v/>
      </c>
      <c r="J7" s="26">
        <f>IF(A7="","",IF(N(Setup!$B$10)&gt;0,SUMIFS(PA_OECM_Register!$AF$5:$AF$1504,PA_OECM_Register!$Z$5:$Z$1504,1,PA_OECM_Register!$AH$5:$AH$1504,"&gt;0",PA_OECM_Register!$AH$5:$AH$1504,"&lt;="&amp;A7)/Setup!$B$10,""))</f>
        <v/>
      </c>
      <c r="K7" s="26">
        <f>IF(A7="","",IF(N(Setup!$B$11)&gt;0,SUMIFS(PA_OECM_Register!$AG$5:$AG$1504,PA_OECM_Register!$Z$5:$Z$1504,1,PA_OECM_Register!$AH$5:$AH$1504,"&gt;0",PA_OECM_Register!$AH$5:$AH$1504,"&lt;="&amp;A7)/Setup!$B$11,""))</f>
        <v/>
      </c>
      <c r="M7" s="16" t="inlineStr">
        <is>
          <t>• Exact only if overlapping areas were attributed to the earliest-designated site during flattening (Setup B17).</t>
        </is>
      </c>
    </row>
    <row r="8">
      <c r="A8" s="33">
        <f>IF(Setup!$B$27+3&gt;Setup!$B$6,"",Setup!$B$27+3)</f>
        <v/>
      </c>
      <c r="B8" s="38">
        <f>IF(A8="","",COUNTIFS(PA_OECM_Register!$Z$5:$Z$1504,1,PA_OECM_Register!$E$5:$E$1504,"PA",PA_OECM_Register!$AH$5:$AH$1504,"&gt;0",PA_OECM_Register!$AH$5:$AH$1504,"&lt;="&amp;A8)/MAX(1,COUNTIFS(PA_OECM_Register!$Z$5:$Z$1504,1,PA_OECM_Register!$E$5:$E$1504,"PA",PA_OECM_Register!$AH$5:$AH$1504,"&gt;0")))</f>
        <v/>
      </c>
      <c r="C8" s="38">
        <f>IF(A8="","",COUNTIFS(PA_OECM_Register!$Z$5:$Z$1504,1,PA_OECM_Register!$E$5:$E$1504,"OECM",PA_OECM_Register!$AH$5:$AH$1504,"&gt;0",PA_OECM_Register!$AH$5:$AH$1504,"&lt;="&amp;A8)/MAX(1,COUNTIFS(PA_OECM_Register!$Z$5:$Z$1504,1,PA_OECM_Register!$E$5:$E$1504,"OECM",PA_OECM_Register!$AH$5:$AH$1504,"&gt;0")))</f>
        <v/>
      </c>
      <c r="D8" s="25">
        <f>IF(A8="","",SUMIFS(PA_OECM_Register!$AF$5:$AF$1504,PA_OECM_Register!$Z$5:$Z$1504,1,PA_OECM_Register!$E$5:$E$1504,"PA",PA_OECM_Register!$AH$5:$AH$1504,"&gt;0",PA_OECM_Register!$AH$5:$AH$1504,"&lt;="&amp;A8)+SUMIFS(PA_OECM_Register!$AF$5:$AF$1504,PA_OECM_Register!$Z$5:$Z$1504,1,PA_OECM_Register!$E$5:$E$1504,"PA",PA_OECM_Register!$AH$5:$AH$1504,0)*B8)</f>
        <v/>
      </c>
      <c r="E8" s="25">
        <f>IF(A8="","",SUMIFS(PA_OECM_Register!$AF$5:$AF$1504,PA_OECM_Register!$Z$5:$Z$1504,1,PA_OECM_Register!$E$5:$E$1504,"OECM",PA_OECM_Register!$AH$5:$AH$1504,"&gt;0",PA_OECM_Register!$AH$5:$AH$1504,"&lt;="&amp;A8)+SUMIFS(PA_OECM_Register!$AF$5:$AF$1504,PA_OECM_Register!$Z$5:$Z$1504,1,PA_OECM_Register!$E$5:$E$1504,"OECM",PA_OECM_Register!$AH$5:$AH$1504,0)*C8)</f>
        <v/>
      </c>
      <c r="F8" s="26">
        <f>IF(A8="","",IF(N(Setup!$B$10)&gt;0,(D8+E8)/Setup!$B$10,""))</f>
        <v/>
      </c>
      <c r="G8" s="25">
        <f>IF(A8="","",SUMIFS(PA_OECM_Register!$AG$5:$AG$1504,PA_OECM_Register!$Z$5:$Z$1504,1,PA_OECM_Register!$E$5:$E$1504,"PA",PA_OECM_Register!$AH$5:$AH$1504,"&gt;0",PA_OECM_Register!$AH$5:$AH$1504,"&lt;="&amp;A8)+SUMIFS(PA_OECM_Register!$AG$5:$AG$1504,PA_OECM_Register!$Z$5:$Z$1504,1,PA_OECM_Register!$E$5:$E$1504,"PA",PA_OECM_Register!$AH$5:$AH$1504,0)*B8)</f>
        <v/>
      </c>
      <c r="H8" s="25">
        <f>IF(A8="","",SUMIFS(PA_OECM_Register!$AG$5:$AG$1504,PA_OECM_Register!$Z$5:$Z$1504,1,PA_OECM_Register!$E$5:$E$1504,"OECM",PA_OECM_Register!$AH$5:$AH$1504,"&gt;0",PA_OECM_Register!$AH$5:$AH$1504,"&lt;="&amp;A8)+SUMIFS(PA_OECM_Register!$AG$5:$AG$1504,PA_OECM_Register!$Z$5:$Z$1504,1,PA_OECM_Register!$E$5:$E$1504,"OECM",PA_OECM_Register!$AH$5:$AH$1504,0)*C8)</f>
        <v/>
      </c>
      <c r="I8" s="26">
        <f>IF(A8="","",IF(N(Setup!$B$11)&gt;0,(G8+H8)/Setup!$B$11,""))</f>
        <v/>
      </c>
      <c r="J8" s="26">
        <f>IF(A8="","",IF(N(Setup!$B$10)&gt;0,SUMIFS(PA_OECM_Register!$AF$5:$AF$1504,PA_OECM_Register!$Z$5:$Z$1504,1,PA_OECM_Register!$AH$5:$AH$1504,"&gt;0",PA_OECM_Register!$AH$5:$AH$1504,"&lt;="&amp;A8)/Setup!$B$10,""))</f>
        <v/>
      </c>
      <c r="K8" s="26">
        <f>IF(A8="","",IF(N(Setup!$B$11)&gt;0,SUMIFS(PA_OECM_Register!$AG$5:$AG$1504,PA_OECM_Register!$Z$5:$Z$1504,1,PA_OECM_Register!$AH$5:$AH$1504,"&gt;0",PA_OECM_Register!$AH$5:$AH$1504,"&lt;="&amp;A8)/Setup!$B$11,""))</f>
        <v/>
      </c>
      <c r="M8" s="16" t="inlineStr">
        <is>
          <t>• Degazetted/downsized sites are not captured unless entered with their own history (known WDPA limitation).</t>
        </is>
      </c>
    </row>
    <row r="9">
      <c r="A9" s="33">
        <f>IF(Setup!$B$27+4&gt;Setup!$B$6,"",Setup!$B$27+4)</f>
        <v/>
      </c>
      <c r="B9" s="38">
        <f>IF(A9="","",COUNTIFS(PA_OECM_Register!$Z$5:$Z$1504,1,PA_OECM_Register!$E$5:$E$1504,"PA",PA_OECM_Register!$AH$5:$AH$1504,"&gt;0",PA_OECM_Register!$AH$5:$AH$1504,"&lt;="&amp;A9)/MAX(1,COUNTIFS(PA_OECM_Register!$Z$5:$Z$1504,1,PA_OECM_Register!$E$5:$E$1504,"PA",PA_OECM_Register!$AH$5:$AH$1504,"&gt;0")))</f>
        <v/>
      </c>
      <c r="C9" s="38">
        <f>IF(A9="","",COUNTIFS(PA_OECM_Register!$Z$5:$Z$1504,1,PA_OECM_Register!$E$5:$E$1504,"OECM",PA_OECM_Register!$AH$5:$AH$1504,"&gt;0",PA_OECM_Register!$AH$5:$AH$1504,"&lt;="&amp;A9)/MAX(1,COUNTIFS(PA_OECM_Register!$Z$5:$Z$1504,1,PA_OECM_Register!$E$5:$E$1504,"OECM",PA_OECM_Register!$AH$5:$AH$1504,"&gt;0")))</f>
        <v/>
      </c>
      <c r="D9" s="25">
        <f>IF(A9="","",SUMIFS(PA_OECM_Register!$AF$5:$AF$1504,PA_OECM_Register!$Z$5:$Z$1504,1,PA_OECM_Register!$E$5:$E$1504,"PA",PA_OECM_Register!$AH$5:$AH$1504,"&gt;0",PA_OECM_Register!$AH$5:$AH$1504,"&lt;="&amp;A9)+SUMIFS(PA_OECM_Register!$AF$5:$AF$1504,PA_OECM_Register!$Z$5:$Z$1504,1,PA_OECM_Register!$E$5:$E$1504,"PA",PA_OECM_Register!$AH$5:$AH$1504,0)*B9)</f>
        <v/>
      </c>
      <c r="E9" s="25">
        <f>IF(A9="","",SUMIFS(PA_OECM_Register!$AF$5:$AF$1504,PA_OECM_Register!$Z$5:$Z$1504,1,PA_OECM_Register!$E$5:$E$1504,"OECM",PA_OECM_Register!$AH$5:$AH$1504,"&gt;0",PA_OECM_Register!$AH$5:$AH$1504,"&lt;="&amp;A9)+SUMIFS(PA_OECM_Register!$AF$5:$AF$1504,PA_OECM_Register!$Z$5:$Z$1504,1,PA_OECM_Register!$E$5:$E$1504,"OECM",PA_OECM_Register!$AH$5:$AH$1504,0)*C9)</f>
        <v/>
      </c>
      <c r="F9" s="26">
        <f>IF(A9="","",IF(N(Setup!$B$10)&gt;0,(D9+E9)/Setup!$B$10,""))</f>
        <v/>
      </c>
      <c r="G9" s="25">
        <f>IF(A9="","",SUMIFS(PA_OECM_Register!$AG$5:$AG$1504,PA_OECM_Register!$Z$5:$Z$1504,1,PA_OECM_Register!$E$5:$E$1504,"PA",PA_OECM_Register!$AH$5:$AH$1504,"&gt;0",PA_OECM_Register!$AH$5:$AH$1504,"&lt;="&amp;A9)+SUMIFS(PA_OECM_Register!$AG$5:$AG$1504,PA_OECM_Register!$Z$5:$Z$1504,1,PA_OECM_Register!$E$5:$E$1504,"PA",PA_OECM_Register!$AH$5:$AH$1504,0)*B9)</f>
        <v/>
      </c>
      <c r="H9" s="25">
        <f>IF(A9="","",SUMIFS(PA_OECM_Register!$AG$5:$AG$1504,PA_OECM_Register!$Z$5:$Z$1504,1,PA_OECM_Register!$E$5:$E$1504,"OECM",PA_OECM_Register!$AH$5:$AH$1504,"&gt;0",PA_OECM_Register!$AH$5:$AH$1504,"&lt;="&amp;A9)+SUMIFS(PA_OECM_Register!$AG$5:$AG$1504,PA_OECM_Register!$Z$5:$Z$1504,1,PA_OECM_Register!$E$5:$E$1504,"OECM",PA_OECM_Register!$AH$5:$AH$1504,0)*C9)</f>
        <v/>
      </c>
      <c r="I9" s="26">
        <f>IF(A9="","",IF(N(Setup!$B$11)&gt;0,(G9+H9)/Setup!$B$11,""))</f>
        <v/>
      </c>
      <c r="J9" s="26">
        <f>IF(A9="","",IF(N(Setup!$B$10)&gt;0,SUMIFS(PA_OECM_Register!$AF$5:$AF$1504,PA_OECM_Register!$Z$5:$Z$1504,1,PA_OECM_Register!$AH$5:$AH$1504,"&gt;0",PA_OECM_Register!$AH$5:$AH$1504,"&lt;="&amp;A9)/Setup!$B$10,""))</f>
        <v/>
      </c>
      <c r="K9" s="26">
        <f>IF(A9="","",IF(N(Setup!$B$11)&gt;0,SUMIFS(PA_OECM_Register!$AG$5:$AG$1504,PA_OECM_Register!$Z$5:$Z$1504,1,PA_OECM_Register!$AH$5:$AH$1504,"&gt;0",PA_OECM_Register!$AH$5:$AH$1504,"&lt;="&amp;A9)/Setup!$B$11,""))</f>
        <v/>
      </c>
      <c r="M9" s="16" t="inlineStr">
        <is>
          <t>• The expected value equals the mean of the 1,000-draw Monte-Carlo; with many sites, mean ≈ median.</t>
        </is>
      </c>
    </row>
    <row r="10">
      <c r="A10" s="33">
        <f>IF(Setup!$B$27+5&gt;Setup!$B$6,"",Setup!$B$27+5)</f>
        <v/>
      </c>
      <c r="B10" s="38">
        <f>IF(A10="","",COUNTIFS(PA_OECM_Register!$Z$5:$Z$1504,1,PA_OECM_Register!$E$5:$E$1504,"PA",PA_OECM_Register!$AH$5:$AH$1504,"&gt;0",PA_OECM_Register!$AH$5:$AH$1504,"&lt;="&amp;A10)/MAX(1,COUNTIFS(PA_OECM_Register!$Z$5:$Z$1504,1,PA_OECM_Register!$E$5:$E$1504,"PA",PA_OECM_Register!$AH$5:$AH$1504,"&gt;0")))</f>
        <v/>
      </c>
      <c r="C10" s="38">
        <f>IF(A10="","",COUNTIFS(PA_OECM_Register!$Z$5:$Z$1504,1,PA_OECM_Register!$E$5:$E$1504,"OECM",PA_OECM_Register!$AH$5:$AH$1504,"&gt;0",PA_OECM_Register!$AH$5:$AH$1504,"&lt;="&amp;A10)/MAX(1,COUNTIFS(PA_OECM_Register!$Z$5:$Z$1504,1,PA_OECM_Register!$E$5:$E$1504,"OECM",PA_OECM_Register!$AH$5:$AH$1504,"&gt;0")))</f>
        <v/>
      </c>
      <c r="D10" s="25">
        <f>IF(A10="","",SUMIFS(PA_OECM_Register!$AF$5:$AF$1504,PA_OECM_Register!$Z$5:$Z$1504,1,PA_OECM_Register!$E$5:$E$1504,"PA",PA_OECM_Register!$AH$5:$AH$1504,"&gt;0",PA_OECM_Register!$AH$5:$AH$1504,"&lt;="&amp;A10)+SUMIFS(PA_OECM_Register!$AF$5:$AF$1504,PA_OECM_Register!$Z$5:$Z$1504,1,PA_OECM_Register!$E$5:$E$1504,"PA",PA_OECM_Register!$AH$5:$AH$1504,0)*B10)</f>
        <v/>
      </c>
      <c r="E10" s="25">
        <f>IF(A10="","",SUMIFS(PA_OECM_Register!$AF$5:$AF$1504,PA_OECM_Register!$Z$5:$Z$1504,1,PA_OECM_Register!$E$5:$E$1504,"OECM",PA_OECM_Register!$AH$5:$AH$1504,"&gt;0",PA_OECM_Register!$AH$5:$AH$1504,"&lt;="&amp;A10)+SUMIFS(PA_OECM_Register!$AF$5:$AF$1504,PA_OECM_Register!$Z$5:$Z$1504,1,PA_OECM_Register!$E$5:$E$1504,"OECM",PA_OECM_Register!$AH$5:$AH$1504,0)*C10)</f>
        <v/>
      </c>
      <c r="F10" s="26">
        <f>IF(A10="","",IF(N(Setup!$B$10)&gt;0,(D10+E10)/Setup!$B$10,""))</f>
        <v/>
      </c>
      <c r="G10" s="25">
        <f>IF(A10="","",SUMIFS(PA_OECM_Register!$AG$5:$AG$1504,PA_OECM_Register!$Z$5:$Z$1504,1,PA_OECM_Register!$E$5:$E$1504,"PA",PA_OECM_Register!$AH$5:$AH$1504,"&gt;0",PA_OECM_Register!$AH$5:$AH$1504,"&lt;="&amp;A10)+SUMIFS(PA_OECM_Register!$AG$5:$AG$1504,PA_OECM_Register!$Z$5:$Z$1504,1,PA_OECM_Register!$E$5:$E$1504,"PA",PA_OECM_Register!$AH$5:$AH$1504,0)*B10)</f>
        <v/>
      </c>
      <c r="H10" s="25">
        <f>IF(A10="","",SUMIFS(PA_OECM_Register!$AG$5:$AG$1504,PA_OECM_Register!$Z$5:$Z$1504,1,PA_OECM_Register!$E$5:$E$1504,"OECM",PA_OECM_Register!$AH$5:$AH$1504,"&gt;0",PA_OECM_Register!$AH$5:$AH$1504,"&lt;="&amp;A10)+SUMIFS(PA_OECM_Register!$AG$5:$AG$1504,PA_OECM_Register!$Z$5:$Z$1504,1,PA_OECM_Register!$E$5:$E$1504,"OECM",PA_OECM_Register!$AH$5:$AH$1504,0)*C10)</f>
        <v/>
      </c>
      <c r="I10" s="26">
        <f>IF(A10="","",IF(N(Setup!$B$11)&gt;0,(G10+H10)/Setup!$B$11,""))</f>
        <v/>
      </c>
      <c r="J10" s="26">
        <f>IF(A10="","",IF(N(Setup!$B$10)&gt;0,SUMIFS(PA_OECM_Register!$AF$5:$AF$1504,PA_OECM_Register!$Z$5:$Z$1504,1,PA_OECM_Register!$AH$5:$AH$1504,"&gt;0",PA_OECM_Register!$AH$5:$AH$1504,"&lt;="&amp;A10)/Setup!$B$10,""))</f>
        <v/>
      </c>
      <c r="K10" s="26">
        <f>IF(A10="","",IF(N(Setup!$B$11)&gt;0,SUMIFS(PA_OECM_Register!$AG$5:$AG$1504,PA_OECM_Register!$Z$5:$Z$1504,1,PA_OECM_Register!$AH$5:$AH$1504,"&gt;0",PA_OECM_Register!$AH$5:$AH$1504,"&lt;="&amp;A10)/Setup!$B$11,""))</f>
        <v/>
      </c>
    </row>
    <row r="11">
      <c r="A11" s="33">
        <f>IF(Setup!$B$27+6&gt;Setup!$B$6,"",Setup!$B$27+6)</f>
        <v/>
      </c>
      <c r="B11" s="38">
        <f>IF(A11="","",COUNTIFS(PA_OECM_Register!$Z$5:$Z$1504,1,PA_OECM_Register!$E$5:$E$1504,"PA",PA_OECM_Register!$AH$5:$AH$1504,"&gt;0",PA_OECM_Register!$AH$5:$AH$1504,"&lt;="&amp;A11)/MAX(1,COUNTIFS(PA_OECM_Register!$Z$5:$Z$1504,1,PA_OECM_Register!$E$5:$E$1504,"PA",PA_OECM_Register!$AH$5:$AH$1504,"&gt;0")))</f>
        <v/>
      </c>
      <c r="C11" s="38">
        <f>IF(A11="","",COUNTIFS(PA_OECM_Register!$Z$5:$Z$1504,1,PA_OECM_Register!$E$5:$E$1504,"OECM",PA_OECM_Register!$AH$5:$AH$1504,"&gt;0",PA_OECM_Register!$AH$5:$AH$1504,"&lt;="&amp;A11)/MAX(1,COUNTIFS(PA_OECM_Register!$Z$5:$Z$1504,1,PA_OECM_Register!$E$5:$E$1504,"OECM",PA_OECM_Register!$AH$5:$AH$1504,"&gt;0")))</f>
        <v/>
      </c>
      <c r="D11" s="25">
        <f>IF(A11="","",SUMIFS(PA_OECM_Register!$AF$5:$AF$1504,PA_OECM_Register!$Z$5:$Z$1504,1,PA_OECM_Register!$E$5:$E$1504,"PA",PA_OECM_Register!$AH$5:$AH$1504,"&gt;0",PA_OECM_Register!$AH$5:$AH$1504,"&lt;="&amp;A11)+SUMIFS(PA_OECM_Register!$AF$5:$AF$1504,PA_OECM_Register!$Z$5:$Z$1504,1,PA_OECM_Register!$E$5:$E$1504,"PA",PA_OECM_Register!$AH$5:$AH$1504,0)*B11)</f>
        <v/>
      </c>
      <c r="E11" s="25">
        <f>IF(A11="","",SUMIFS(PA_OECM_Register!$AF$5:$AF$1504,PA_OECM_Register!$Z$5:$Z$1504,1,PA_OECM_Register!$E$5:$E$1504,"OECM",PA_OECM_Register!$AH$5:$AH$1504,"&gt;0",PA_OECM_Register!$AH$5:$AH$1504,"&lt;="&amp;A11)+SUMIFS(PA_OECM_Register!$AF$5:$AF$1504,PA_OECM_Register!$Z$5:$Z$1504,1,PA_OECM_Register!$E$5:$E$1504,"OECM",PA_OECM_Register!$AH$5:$AH$1504,0)*C11)</f>
        <v/>
      </c>
      <c r="F11" s="26">
        <f>IF(A11="","",IF(N(Setup!$B$10)&gt;0,(D11+E11)/Setup!$B$10,""))</f>
        <v/>
      </c>
      <c r="G11" s="25">
        <f>IF(A11="","",SUMIFS(PA_OECM_Register!$AG$5:$AG$1504,PA_OECM_Register!$Z$5:$Z$1504,1,PA_OECM_Register!$E$5:$E$1504,"PA",PA_OECM_Register!$AH$5:$AH$1504,"&gt;0",PA_OECM_Register!$AH$5:$AH$1504,"&lt;="&amp;A11)+SUMIFS(PA_OECM_Register!$AG$5:$AG$1504,PA_OECM_Register!$Z$5:$Z$1504,1,PA_OECM_Register!$E$5:$E$1504,"PA",PA_OECM_Register!$AH$5:$AH$1504,0)*B11)</f>
        <v/>
      </c>
      <c r="H11" s="25">
        <f>IF(A11="","",SUMIFS(PA_OECM_Register!$AG$5:$AG$1504,PA_OECM_Register!$Z$5:$Z$1504,1,PA_OECM_Register!$E$5:$E$1504,"OECM",PA_OECM_Register!$AH$5:$AH$1504,"&gt;0",PA_OECM_Register!$AH$5:$AH$1504,"&lt;="&amp;A11)+SUMIFS(PA_OECM_Register!$AG$5:$AG$1504,PA_OECM_Register!$Z$5:$Z$1504,1,PA_OECM_Register!$E$5:$E$1504,"OECM",PA_OECM_Register!$AH$5:$AH$1504,0)*C11)</f>
        <v/>
      </c>
      <c r="I11" s="26">
        <f>IF(A11="","",IF(N(Setup!$B$11)&gt;0,(G11+H11)/Setup!$B$11,""))</f>
        <v/>
      </c>
      <c r="J11" s="26">
        <f>IF(A11="","",IF(N(Setup!$B$10)&gt;0,SUMIFS(PA_OECM_Register!$AF$5:$AF$1504,PA_OECM_Register!$Z$5:$Z$1504,1,PA_OECM_Register!$AH$5:$AH$1504,"&gt;0",PA_OECM_Register!$AH$5:$AH$1504,"&lt;="&amp;A11)/Setup!$B$10,""))</f>
        <v/>
      </c>
      <c r="K11" s="26">
        <f>IF(A11="","",IF(N(Setup!$B$11)&gt;0,SUMIFS(PA_OECM_Register!$AG$5:$AG$1504,PA_OECM_Register!$Z$5:$Z$1504,1,PA_OECM_Register!$AH$5:$AH$1504,"&gt;0",PA_OECM_Register!$AH$5:$AH$1504,"&lt;="&amp;A11)/Setup!$B$11,""))</f>
        <v/>
      </c>
    </row>
    <row r="12">
      <c r="A12" s="33">
        <f>IF(Setup!$B$27+7&gt;Setup!$B$6,"",Setup!$B$27+7)</f>
        <v/>
      </c>
      <c r="B12" s="38">
        <f>IF(A12="","",COUNTIFS(PA_OECM_Register!$Z$5:$Z$1504,1,PA_OECM_Register!$E$5:$E$1504,"PA",PA_OECM_Register!$AH$5:$AH$1504,"&gt;0",PA_OECM_Register!$AH$5:$AH$1504,"&lt;="&amp;A12)/MAX(1,COUNTIFS(PA_OECM_Register!$Z$5:$Z$1504,1,PA_OECM_Register!$E$5:$E$1504,"PA",PA_OECM_Register!$AH$5:$AH$1504,"&gt;0")))</f>
        <v/>
      </c>
      <c r="C12" s="38">
        <f>IF(A12="","",COUNTIFS(PA_OECM_Register!$Z$5:$Z$1504,1,PA_OECM_Register!$E$5:$E$1504,"OECM",PA_OECM_Register!$AH$5:$AH$1504,"&gt;0",PA_OECM_Register!$AH$5:$AH$1504,"&lt;="&amp;A12)/MAX(1,COUNTIFS(PA_OECM_Register!$Z$5:$Z$1504,1,PA_OECM_Register!$E$5:$E$1504,"OECM",PA_OECM_Register!$AH$5:$AH$1504,"&gt;0")))</f>
        <v/>
      </c>
      <c r="D12" s="25">
        <f>IF(A12="","",SUMIFS(PA_OECM_Register!$AF$5:$AF$1504,PA_OECM_Register!$Z$5:$Z$1504,1,PA_OECM_Register!$E$5:$E$1504,"PA",PA_OECM_Register!$AH$5:$AH$1504,"&gt;0",PA_OECM_Register!$AH$5:$AH$1504,"&lt;="&amp;A12)+SUMIFS(PA_OECM_Register!$AF$5:$AF$1504,PA_OECM_Register!$Z$5:$Z$1504,1,PA_OECM_Register!$E$5:$E$1504,"PA",PA_OECM_Register!$AH$5:$AH$1504,0)*B12)</f>
        <v/>
      </c>
      <c r="E12" s="25">
        <f>IF(A12="","",SUMIFS(PA_OECM_Register!$AF$5:$AF$1504,PA_OECM_Register!$Z$5:$Z$1504,1,PA_OECM_Register!$E$5:$E$1504,"OECM",PA_OECM_Register!$AH$5:$AH$1504,"&gt;0",PA_OECM_Register!$AH$5:$AH$1504,"&lt;="&amp;A12)+SUMIFS(PA_OECM_Register!$AF$5:$AF$1504,PA_OECM_Register!$Z$5:$Z$1504,1,PA_OECM_Register!$E$5:$E$1504,"OECM",PA_OECM_Register!$AH$5:$AH$1504,0)*C12)</f>
        <v/>
      </c>
      <c r="F12" s="26">
        <f>IF(A12="","",IF(N(Setup!$B$10)&gt;0,(D12+E12)/Setup!$B$10,""))</f>
        <v/>
      </c>
      <c r="G12" s="25">
        <f>IF(A12="","",SUMIFS(PA_OECM_Register!$AG$5:$AG$1504,PA_OECM_Register!$Z$5:$Z$1504,1,PA_OECM_Register!$E$5:$E$1504,"PA",PA_OECM_Register!$AH$5:$AH$1504,"&gt;0",PA_OECM_Register!$AH$5:$AH$1504,"&lt;="&amp;A12)+SUMIFS(PA_OECM_Register!$AG$5:$AG$1504,PA_OECM_Register!$Z$5:$Z$1504,1,PA_OECM_Register!$E$5:$E$1504,"PA",PA_OECM_Register!$AH$5:$AH$1504,0)*B12)</f>
        <v/>
      </c>
      <c r="H12" s="25">
        <f>IF(A12="","",SUMIFS(PA_OECM_Register!$AG$5:$AG$1504,PA_OECM_Register!$Z$5:$Z$1504,1,PA_OECM_Register!$E$5:$E$1504,"OECM",PA_OECM_Register!$AH$5:$AH$1504,"&gt;0",PA_OECM_Register!$AH$5:$AH$1504,"&lt;="&amp;A12)+SUMIFS(PA_OECM_Register!$AG$5:$AG$1504,PA_OECM_Register!$Z$5:$Z$1504,1,PA_OECM_Register!$E$5:$E$1504,"OECM",PA_OECM_Register!$AH$5:$AH$1504,0)*C12)</f>
        <v/>
      </c>
      <c r="I12" s="26">
        <f>IF(A12="","",IF(N(Setup!$B$11)&gt;0,(G12+H12)/Setup!$B$11,""))</f>
        <v/>
      </c>
      <c r="J12" s="26">
        <f>IF(A12="","",IF(N(Setup!$B$10)&gt;0,SUMIFS(PA_OECM_Register!$AF$5:$AF$1504,PA_OECM_Register!$Z$5:$Z$1504,1,PA_OECM_Register!$AH$5:$AH$1504,"&gt;0",PA_OECM_Register!$AH$5:$AH$1504,"&lt;="&amp;A12)/Setup!$B$10,""))</f>
        <v/>
      </c>
      <c r="K12" s="26">
        <f>IF(A12="","",IF(N(Setup!$B$11)&gt;0,SUMIFS(PA_OECM_Register!$AG$5:$AG$1504,PA_OECM_Register!$Z$5:$Z$1504,1,PA_OECM_Register!$AH$5:$AH$1504,"&gt;0",PA_OECM_Register!$AH$5:$AH$1504,"&lt;="&amp;A12)/Setup!$B$11,""))</f>
        <v/>
      </c>
    </row>
    <row r="13">
      <c r="A13" s="33">
        <f>IF(Setup!$B$27+8&gt;Setup!$B$6,"",Setup!$B$27+8)</f>
        <v/>
      </c>
      <c r="B13" s="38">
        <f>IF(A13="","",COUNTIFS(PA_OECM_Register!$Z$5:$Z$1504,1,PA_OECM_Register!$E$5:$E$1504,"PA",PA_OECM_Register!$AH$5:$AH$1504,"&gt;0",PA_OECM_Register!$AH$5:$AH$1504,"&lt;="&amp;A13)/MAX(1,COUNTIFS(PA_OECM_Register!$Z$5:$Z$1504,1,PA_OECM_Register!$E$5:$E$1504,"PA",PA_OECM_Register!$AH$5:$AH$1504,"&gt;0")))</f>
        <v/>
      </c>
      <c r="C13" s="38">
        <f>IF(A13="","",COUNTIFS(PA_OECM_Register!$Z$5:$Z$1504,1,PA_OECM_Register!$E$5:$E$1504,"OECM",PA_OECM_Register!$AH$5:$AH$1504,"&gt;0",PA_OECM_Register!$AH$5:$AH$1504,"&lt;="&amp;A13)/MAX(1,COUNTIFS(PA_OECM_Register!$Z$5:$Z$1504,1,PA_OECM_Register!$E$5:$E$1504,"OECM",PA_OECM_Register!$AH$5:$AH$1504,"&gt;0")))</f>
        <v/>
      </c>
      <c r="D13" s="25">
        <f>IF(A13="","",SUMIFS(PA_OECM_Register!$AF$5:$AF$1504,PA_OECM_Register!$Z$5:$Z$1504,1,PA_OECM_Register!$E$5:$E$1504,"PA",PA_OECM_Register!$AH$5:$AH$1504,"&gt;0",PA_OECM_Register!$AH$5:$AH$1504,"&lt;="&amp;A13)+SUMIFS(PA_OECM_Register!$AF$5:$AF$1504,PA_OECM_Register!$Z$5:$Z$1504,1,PA_OECM_Register!$E$5:$E$1504,"PA",PA_OECM_Register!$AH$5:$AH$1504,0)*B13)</f>
        <v/>
      </c>
      <c r="E13" s="25">
        <f>IF(A13="","",SUMIFS(PA_OECM_Register!$AF$5:$AF$1504,PA_OECM_Register!$Z$5:$Z$1504,1,PA_OECM_Register!$E$5:$E$1504,"OECM",PA_OECM_Register!$AH$5:$AH$1504,"&gt;0",PA_OECM_Register!$AH$5:$AH$1504,"&lt;="&amp;A13)+SUMIFS(PA_OECM_Register!$AF$5:$AF$1504,PA_OECM_Register!$Z$5:$Z$1504,1,PA_OECM_Register!$E$5:$E$1504,"OECM",PA_OECM_Register!$AH$5:$AH$1504,0)*C13)</f>
        <v/>
      </c>
      <c r="F13" s="26">
        <f>IF(A13="","",IF(N(Setup!$B$10)&gt;0,(D13+E13)/Setup!$B$10,""))</f>
        <v/>
      </c>
      <c r="G13" s="25">
        <f>IF(A13="","",SUMIFS(PA_OECM_Register!$AG$5:$AG$1504,PA_OECM_Register!$Z$5:$Z$1504,1,PA_OECM_Register!$E$5:$E$1504,"PA",PA_OECM_Register!$AH$5:$AH$1504,"&gt;0",PA_OECM_Register!$AH$5:$AH$1504,"&lt;="&amp;A13)+SUMIFS(PA_OECM_Register!$AG$5:$AG$1504,PA_OECM_Register!$Z$5:$Z$1504,1,PA_OECM_Register!$E$5:$E$1504,"PA",PA_OECM_Register!$AH$5:$AH$1504,0)*B13)</f>
        <v/>
      </c>
      <c r="H13" s="25">
        <f>IF(A13="","",SUMIFS(PA_OECM_Register!$AG$5:$AG$1504,PA_OECM_Register!$Z$5:$Z$1504,1,PA_OECM_Register!$E$5:$E$1504,"OECM",PA_OECM_Register!$AH$5:$AH$1504,"&gt;0",PA_OECM_Register!$AH$5:$AH$1504,"&lt;="&amp;A13)+SUMIFS(PA_OECM_Register!$AG$5:$AG$1504,PA_OECM_Register!$Z$5:$Z$1504,1,PA_OECM_Register!$E$5:$E$1504,"OECM",PA_OECM_Register!$AH$5:$AH$1504,0)*C13)</f>
        <v/>
      </c>
      <c r="I13" s="26">
        <f>IF(A13="","",IF(N(Setup!$B$11)&gt;0,(G13+H13)/Setup!$B$11,""))</f>
        <v/>
      </c>
      <c r="J13" s="26">
        <f>IF(A13="","",IF(N(Setup!$B$10)&gt;0,SUMIFS(PA_OECM_Register!$AF$5:$AF$1504,PA_OECM_Register!$Z$5:$Z$1504,1,PA_OECM_Register!$AH$5:$AH$1504,"&gt;0",PA_OECM_Register!$AH$5:$AH$1504,"&lt;="&amp;A13)/Setup!$B$10,""))</f>
        <v/>
      </c>
      <c r="K13" s="26">
        <f>IF(A13="","",IF(N(Setup!$B$11)&gt;0,SUMIFS(PA_OECM_Register!$AG$5:$AG$1504,PA_OECM_Register!$Z$5:$Z$1504,1,PA_OECM_Register!$AH$5:$AH$1504,"&gt;0",PA_OECM_Register!$AH$5:$AH$1504,"&lt;="&amp;A13)/Setup!$B$11,""))</f>
        <v/>
      </c>
    </row>
    <row r="14">
      <c r="A14" s="33">
        <f>IF(Setup!$B$27+9&gt;Setup!$B$6,"",Setup!$B$27+9)</f>
        <v/>
      </c>
      <c r="B14" s="38">
        <f>IF(A14="","",COUNTIFS(PA_OECM_Register!$Z$5:$Z$1504,1,PA_OECM_Register!$E$5:$E$1504,"PA",PA_OECM_Register!$AH$5:$AH$1504,"&gt;0",PA_OECM_Register!$AH$5:$AH$1504,"&lt;="&amp;A14)/MAX(1,COUNTIFS(PA_OECM_Register!$Z$5:$Z$1504,1,PA_OECM_Register!$E$5:$E$1504,"PA",PA_OECM_Register!$AH$5:$AH$1504,"&gt;0")))</f>
        <v/>
      </c>
      <c r="C14" s="38">
        <f>IF(A14="","",COUNTIFS(PA_OECM_Register!$Z$5:$Z$1504,1,PA_OECM_Register!$E$5:$E$1504,"OECM",PA_OECM_Register!$AH$5:$AH$1504,"&gt;0",PA_OECM_Register!$AH$5:$AH$1504,"&lt;="&amp;A14)/MAX(1,COUNTIFS(PA_OECM_Register!$Z$5:$Z$1504,1,PA_OECM_Register!$E$5:$E$1504,"OECM",PA_OECM_Register!$AH$5:$AH$1504,"&gt;0")))</f>
        <v/>
      </c>
      <c r="D14" s="25">
        <f>IF(A14="","",SUMIFS(PA_OECM_Register!$AF$5:$AF$1504,PA_OECM_Register!$Z$5:$Z$1504,1,PA_OECM_Register!$E$5:$E$1504,"PA",PA_OECM_Register!$AH$5:$AH$1504,"&gt;0",PA_OECM_Register!$AH$5:$AH$1504,"&lt;="&amp;A14)+SUMIFS(PA_OECM_Register!$AF$5:$AF$1504,PA_OECM_Register!$Z$5:$Z$1504,1,PA_OECM_Register!$E$5:$E$1504,"PA",PA_OECM_Register!$AH$5:$AH$1504,0)*B14)</f>
        <v/>
      </c>
      <c r="E14" s="25">
        <f>IF(A14="","",SUMIFS(PA_OECM_Register!$AF$5:$AF$1504,PA_OECM_Register!$Z$5:$Z$1504,1,PA_OECM_Register!$E$5:$E$1504,"OECM",PA_OECM_Register!$AH$5:$AH$1504,"&gt;0",PA_OECM_Register!$AH$5:$AH$1504,"&lt;="&amp;A14)+SUMIFS(PA_OECM_Register!$AF$5:$AF$1504,PA_OECM_Register!$Z$5:$Z$1504,1,PA_OECM_Register!$E$5:$E$1504,"OECM",PA_OECM_Register!$AH$5:$AH$1504,0)*C14)</f>
        <v/>
      </c>
      <c r="F14" s="26">
        <f>IF(A14="","",IF(N(Setup!$B$10)&gt;0,(D14+E14)/Setup!$B$10,""))</f>
        <v/>
      </c>
      <c r="G14" s="25">
        <f>IF(A14="","",SUMIFS(PA_OECM_Register!$AG$5:$AG$1504,PA_OECM_Register!$Z$5:$Z$1504,1,PA_OECM_Register!$E$5:$E$1504,"PA",PA_OECM_Register!$AH$5:$AH$1504,"&gt;0",PA_OECM_Register!$AH$5:$AH$1504,"&lt;="&amp;A14)+SUMIFS(PA_OECM_Register!$AG$5:$AG$1504,PA_OECM_Register!$Z$5:$Z$1504,1,PA_OECM_Register!$E$5:$E$1504,"PA",PA_OECM_Register!$AH$5:$AH$1504,0)*B14)</f>
        <v/>
      </c>
      <c r="H14" s="25">
        <f>IF(A14="","",SUMIFS(PA_OECM_Register!$AG$5:$AG$1504,PA_OECM_Register!$Z$5:$Z$1504,1,PA_OECM_Register!$E$5:$E$1504,"OECM",PA_OECM_Register!$AH$5:$AH$1504,"&gt;0",PA_OECM_Register!$AH$5:$AH$1504,"&lt;="&amp;A14)+SUMIFS(PA_OECM_Register!$AG$5:$AG$1504,PA_OECM_Register!$Z$5:$Z$1504,1,PA_OECM_Register!$E$5:$E$1504,"OECM",PA_OECM_Register!$AH$5:$AH$1504,0)*C14)</f>
        <v/>
      </c>
      <c r="I14" s="26">
        <f>IF(A14="","",IF(N(Setup!$B$11)&gt;0,(G14+H14)/Setup!$B$11,""))</f>
        <v/>
      </c>
      <c r="J14" s="26">
        <f>IF(A14="","",IF(N(Setup!$B$10)&gt;0,SUMIFS(PA_OECM_Register!$AF$5:$AF$1504,PA_OECM_Register!$Z$5:$Z$1504,1,PA_OECM_Register!$AH$5:$AH$1504,"&gt;0",PA_OECM_Register!$AH$5:$AH$1504,"&lt;="&amp;A14)/Setup!$B$10,""))</f>
        <v/>
      </c>
      <c r="K14" s="26">
        <f>IF(A14="","",IF(N(Setup!$B$11)&gt;0,SUMIFS(PA_OECM_Register!$AG$5:$AG$1504,PA_OECM_Register!$Z$5:$Z$1504,1,PA_OECM_Register!$AH$5:$AH$1504,"&gt;0",PA_OECM_Register!$AH$5:$AH$1504,"&lt;="&amp;A14)/Setup!$B$11,""))</f>
        <v/>
      </c>
    </row>
    <row r="15">
      <c r="A15" s="33">
        <f>IF(Setup!$B$27+10&gt;Setup!$B$6,"",Setup!$B$27+10)</f>
        <v/>
      </c>
      <c r="B15" s="38">
        <f>IF(A15="","",COUNTIFS(PA_OECM_Register!$Z$5:$Z$1504,1,PA_OECM_Register!$E$5:$E$1504,"PA",PA_OECM_Register!$AH$5:$AH$1504,"&gt;0",PA_OECM_Register!$AH$5:$AH$1504,"&lt;="&amp;A15)/MAX(1,COUNTIFS(PA_OECM_Register!$Z$5:$Z$1504,1,PA_OECM_Register!$E$5:$E$1504,"PA",PA_OECM_Register!$AH$5:$AH$1504,"&gt;0")))</f>
        <v/>
      </c>
      <c r="C15" s="38">
        <f>IF(A15="","",COUNTIFS(PA_OECM_Register!$Z$5:$Z$1504,1,PA_OECM_Register!$E$5:$E$1504,"OECM",PA_OECM_Register!$AH$5:$AH$1504,"&gt;0",PA_OECM_Register!$AH$5:$AH$1504,"&lt;="&amp;A15)/MAX(1,COUNTIFS(PA_OECM_Register!$Z$5:$Z$1504,1,PA_OECM_Register!$E$5:$E$1504,"OECM",PA_OECM_Register!$AH$5:$AH$1504,"&gt;0")))</f>
        <v/>
      </c>
      <c r="D15" s="25">
        <f>IF(A15="","",SUMIFS(PA_OECM_Register!$AF$5:$AF$1504,PA_OECM_Register!$Z$5:$Z$1504,1,PA_OECM_Register!$E$5:$E$1504,"PA",PA_OECM_Register!$AH$5:$AH$1504,"&gt;0",PA_OECM_Register!$AH$5:$AH$1504,"&lt;="&amp;A15)+SUMIFS(PA_OECM_Register!$AF$5:$AF$1504,PA_OECM_Register!$Z$5:$Z$1504,1,PA_OECM_Register!$E$5:$E$1504,"PA",PA_OECM_Register!$AH$5:$AH$1504,0)*B15)</f>
        <v/>
      </c>
      <c r="E15" s="25">
        <f>IF(A15="","",SUMIFS(PA_OECM_Register!$AF$5:$AF$1504,PA_OECM_Register!$Z$5:$Z$1504,1,PA_OECM_Register!$E$5:$E$1504,"OECM",PA_OECM_Register!$AH$5:$AH$1504,"&gt;0",PA_OECM_Register!$AH$5:$AH$1504,"&lt;="&amp;A15)+SUMIFS(PA_OECM_Register!$AF$5:$AF$1504,PA_OECM_Register!$Z$5:$Z$1504,1,PA_OECM_Register!$E$5:$E$1504,"OECM",PA_OECM_Register!$AH$5:$AH$1504,0)*C15)</f>
        <v/>
      </c>
      <c r="F15" s="26">
        <f>IF(A15="","",IF(N(Setup!$B$10)&gt;0,(D15+E15)/Setup!$B$10,""))</f>
        <v/>
      </c>
      <c r="G15" s="25">
        <f>IF(A15="","",SUMIFS(PA_OECM_Register!$AG$5:$AG$1504,PA_OECM_Register!$Z$5:$Z$1504,1,PA_OECM_Register!$E$5:$E$1504,"PA",PA_OECM_Register!$AH$5:$AH$1504,"&gt;0",PA_OECM_Register!$AH$5:$AH$1504,"&lt;="&amp;A15)+SUMIFS(PA_OECM_Register!$AG$5:$AG$1504,PA_OECM_Register!$Z$5:$Z$1504,1,PA_OECM_Register!$E$5:$E$1504,"PA",PA_OECM_Register!$AH$5:$AH$1504,0)*B15)</f>
        <v/>
      </c>
      <c r="H15" s="25">
        <f>IF(A15="","",SUMIFS(PA_OECM_Register!$AG$5:$AG$1504,PA_OECM_Register!$Z$5:$Z$1504,1,PA_OECM_Register!$E$5:$E$1504,"OECM",PA_OECM_Register!$AH$5:$AH$1504,"&gt;0",PA_OECM_Register!$AH$5:$AH$1504,"&lt;="&amp;A15)+SUMIFS(PA_OECM_Register!$AG$5:$AG$1504,PA_OECM_Register!$Z$5:$Z$1504,1,PA_OECM_Register!$E$5:$E$1504,"OECM",PA_OECM_Register!$AH$5:$AH$1504,0)*C15)</f>
        <v/>
      </c>
      <c r="I15" s="26">
        <f>IF(A15="","",IF(N(Setup!$B$11)&gt;0,(G15+H15)/Setup!$B$11,""))</f>
        <v/>
      </c>
      <c r="J15" s="26">
        <f>IF(A15="","",IF(N(Setup!$B$10)&gt;0,SUMIFS(PA_OECM_Register!$AF$5:$AF$1504,PA_OECM_Register!$Z$5:$Z$1504,1,PA_OECM_Register!$AH$5:$AH$1504,"&gt;0",PA_OECM_Register!$AH$5:$AH$1504,"&lt;="&amp;A15)/Setup!$B$10,""))</f>
        <v/>
      </c>
      <c r="K15" s="26">
        <f>IF(A15="","",IF(N(Setup!$B$11)&gt;0,SUMIFS(PA_OECM_Register!$AG$5:$AG$1504,PA_OECM_Register!$Z$5:$Z$1504,1,PA_OECM_Register!$AH$5:$AH$1504,"&gt;0",PA_OECM_Register!$AH$5:$AH$1504,"&lt;="&amp;A15)/Setup!$B$11,""))</f>
        <v/>
      </c>
    </row>
    <row r="16">
      <c r="A16" s="33">
        <f>IF(Setup!$B$27+11&gt;Setup!$B$6,"",Setup!$B$27+11)</f>
        <v/>
      </c>
      <c r="B16" s="38">
        <f>IF(A16="","",COUNTIFS(PA_OECM_Register!$Z$5:$Z$1504,1,PA_OECM_Register!$E$5:$E$1504,"PA",PA_OECM_Register!$AH$5:$AH$1504,"&gt;0",PA_OECM_Register!$AH$5:$AH$1504,"&lt;="&amp;A16)/MAX(1,COUNTIFS(PA_OECM_Register!$Z$5:$Z$1504,1,PA_OECM_Register!$E$5:$E$1504,"PA",PA_OECM_Register!$AH$5:$AH$1504,"&gt;0")))</f>
        <v/>
      </c>
      <c r="C16" s="38">
        <f>IF(A16="","",COUNTIFS(PA_OECM_Register!$Z$5:$Z$1504,1,PA_OECM_Register!$E$5:$E$1504,"OECM",PA_OECM_Register!$AH$5:$AH$1504,"&gt;0",PA_OECM_Register!$AH$5:$AH$1504,"&lt;="&amp;A16)/MAX(1,COUNTIFS(PA_OECM_Register!$Z$5:$Z$1504,1,PA_OECM_Register!$E$5:$E$1504,"OECM",PA_OECM_Register!$AH$5:$AH$1504,"&gt;0")))</f>
        <v/>
      </c>
      <c r="D16" s="25">
        <f>IF(A16="","",SUMIFS(PA_OECM_Register!$AF$5:$AF$1504,PA_OECM_Register!$Z$5:$Z$1504,1,PA_OECM_Register!$E$5:$E$1504,"PA",PA_OECM_Register!$AH$5:$AH$1504,"&gt;0",PA_OECM_Register!$AH$5:$AH$1504,"&lt;="&amp;A16)+SUMIFS(PA_OECM_Register!$AF$5:$AF$1504,PA_OECM_Register!$Z$5:$Z$1504,1,PA_OECM_Register!$E$5:$E$1504,"PA",PA_OECM_Register!$AH$5:$AH$1504,0)*B16)</f>
        <v/>
      </c>
      <c r="E16" s="25">
        <f>IF(A16="","",SUMIFS(PA_OECM_Register!$AF$5:$AF$1504,PA_OECM_Register!$Z$5:$Z$1504,1,PA_OECM_Register!$E$5:$E$1504,"OECM",PA_OECM_Register!$AH$5:$AH$1504,"&gt;0",PA_OECM_Register!$AH$5:$AH$1504,"&lt;="&amp;A16)+SUMIFS(PA_OECM_Register!$AF$5:$AF$1504,PA_OECM_Register!$Z$5:$Z$1504,1,PA_OECM_Register!$E$5:$E$1504,"OECM",PA_OECM_Register!$AH$5:$AH$1504,0)*C16)</f>
        <v/>
      </c>
      <c r="F16" s="26">
        <f>IF(A16="","",IF(N(Setup!$B$10)&gt;0,(D16+E16)/Setup!$B$10,""))</f>
        <v/>
      </c>
      <c r="G16" s="25">
        <f>IF(A16="","",SUMIFS(PA_OECM_Register!$AG$5:$AG$1504,PA_OECM_Register!$Z$5:$Z$1504,1,PA_OECM_Register!$E$5:$E$1504,"PA",PA_OECM_Register!$AH$5:$AH$1504,"&gt;0",PA_OECM_Register!$AH$5:$AH$1504,"&lt;="&amp;A16)+SUMIFS(PA_OECM_Register!$AG$5:$AG$1504,PA_OECM_Register!$Z$5:$Z$1504,1,PA_OECM_Register!$E$5:$E$1504,"PA",PA_OECM_Register!$AH$5:$AH$1504,0)*B16)</f>
        <v/>
      </c>
      <c r="H16" s="25">
        <f>IF(A16="","",SUMIFS(PA_OECM_Register!$AG$5:$AG$1504,PA_OECM_Register!$Z$5:$Z$1504,1,PA_OECM_Register!$E$5:$E$1504,"OECM",PA_OECM_Register!$AH$5:$AH$1504,"&gt;0",PA_OECM_Register!$AH$5:$AH$1504,"&lt;="&amp;A16)+SUMIFS(PA_OECM_Register!$AG$5:$AG$1504,PA_OECM_Register!$Z$5:$Z$1504,1,PA_OECM_Register!$E$5:$E$1504,"OECM",PA_OECM_Register!$AH$5:$AH$1504,0)*C16)</f>
        <v/>
      </c>
      <c r="I16" s="26">
        <f>IF(A16="","",IF(N(Setup!$B$11)&gt;0,(G16+H16)/Setup!$B$11,""))</f>
        <v/>
      </c>
      <c r="J16" s="26">
        <f>IF(A16="","",IF(N(Setup!$B$10)&gt;0,SUMIFS(PA_OECM_Register!$AF$5:$AF$1504,PA_OECM_Register!$Z$5:$Z$1504,1,PA_OECM_Register!$AH$5:$AH$1504,"&gt;0",PA_OECM_Register!$AH$5:$AH$1504,"&lt;="&amp;A16)/Setup!$B$10,""))</f>
        <v/>
      </c>
      <c r="K16" s="26">
        <f>IF(A16="","",IF(N(Setup!$B$11)&gt;0,SUMIFS(PA_OECM_Register!$AG$5:$AG$1504,PA_OECM_Register!$Z$5:$Z$1504,1,PA_OECM_Register!$AH$5:$AH$1504,"&gt;0",PA_OECM_Register!$AH$5:$AH$1504,"&lt;="&amp;A16)/Setup!$B$11,""))</f>
        <v/>
      </c>
    </row>
    <row r="17">
      <c r="A17" s="33">
        <f>IF(Setup!$B$27+12&gt;Setup!$B$6,"",Setup!$B$27+12)</f>
        <v/>
      </c>
      <c r="B17" s="38">
        <f>IF(A17="","",COUNTIFS(PA_OECM_Register!$Z$5:$Z$1504,1,PA_OECM_Register!$E$5:$E$1504,"PA",PA_OECM_Register!$AH$5:$AH$1504,"&gt;0",PA_OECM_Register!$AH$5:$AH$1504,"&lt;="&amp;A17)/MAX(1,COUNTIFS(PA_OECM_Register!$Z$5:$Z$1504,1,PA_OECM_Register!$E$5:$E$1504,"PA",PA_OECM_Register!$AH$5:$AH$1504,"&gt;0")))</f>
        <v/>
      </c>
      <c r="C17" s="38">
        <f>IF(A17="","",COUNTIFS(PA_OECM_Register!$Z$5:$Z$1504,1,PA_OECM_Register!$E$5:$E$1504,"OECM",PA_OECM_Register!$AH$5:$AH$1504,"&gt;0",PA_OECM_Register!$AH$5:$AH$1504,"&lt;="&amp;A17)/MAX(1,COUNTIFS(PA_OECM_Register!$Z$5:$Z$1504,1,PA_OECM_Register!$E$5:$E$1504,"OECM",PA_OECM_Register!$AH$5:$AH$1504,"&gt;0")))</f>
        <v/>
      </c>
      <c r="D17" s="25">
        <f>IF(A17="","",SUMIFS(PA_OECM_Register!$AF$5:$AF$1504,PA_OECM_Register!$Z$5:$Z$1504,1,PA_OECM_Register!$E$5:$E$1504,"PA",PA_OECM_Register!$AH$5:$AH$1504,"&gt;0",PA_OECM_Register!$AH$5:$AH$1504,"&lt;="&amp;A17)+SUMIFS(PA_OECM_Register!$AF$5:$AF$1504,PA_OECM_Register!$Z$5:$Z$1504,1,PA_OECM_Register!$E$5:$E$1504,"PA",PA_OECM_Register!$AH$5:$AH$1504,0)*B17)</f>
        <v/>
      </c>
      <c r="E17" s="25">
        <f>IF(A17="","",SUMIFS(PA_OECM_Register!$AF$5:$AF$1504,PA_OECM_Register!$Z$5:$Z$1504,1,PA_OECM_Register!$E$5:$E$1504,"OECM",PA_OECM_Register!$AH$5:$AH$1504,"&gt;0",PA_OECM_Register!$AH$5:$AH$1504,"&lt;="&amp;A17)+SUMIFS(PA_OECM_Register!$AF$5:$AF$1504,PA_OECM_Register!$Z$5:$Z$1504,1,PA_OECM_Register!$E$5:$E$1504,"OECM",PA_OECM_Register!$AH$5:$AH$1504,0)*C17)</f>
        <v/>
      </c>
      <c r="F17" s="26">
        <f>IF(A17="","",IF(N(Setup!$B$10)&gt;0,(D17+E17)/Setup!$B$10,""))</f>
        <v/>
      </c>
      <c r="G17" s="25">
        <f>IF(A17="","",SUMIFS(PA_OECM_Register!$AG$5:$AG$1504,PA_OECM_Register!$Z$5:$Z$1504,1,PA_OECM_Register!$E$5:$E$1504,"PA",PA_OECM_Register!$AH$5:$AH$1504,"&gt;0",PA_OECM_Register!$AH$5:$AH$1504,"&lt;="&amp;A17)+SUMIFS(PA_OECM_Register!$AG$5:$AG$1504,PA_OECM_Register!$Z$5:$Z$1504,1,PA_OECM_Register!$E$5:$E$1504,"PA",PA_OECM_Register!$AH$5:$AH$1504,0)*B17)</f>
        <v/>
      </c>
      <c r="H17" s="25">
        <f>IF(A17="","",SUMIFS(PA_OECM_Register!$AG$5:$AG$1504,PA_OECM_Register!$Z$5:$Z$1504,1,PA_OECM_Register!$E$5:$E$1504,"OECM",PA_OECM_Register!$AH$5:$AH$1504,"&gt;0",PA_OECM_Register!$AH$5:$AH$1504,"&lt;="&amp;A17)+SUMIFS(PA_OECM_Register!$AG$5:$AG$1504,PA_OECM_Register!$Z$5:$Z$1504,1,PA_OECM_Register!$E$5:$E$1504,"OECM",PA_OECM_Register!$AH$5:$AH$1504,0)*C17)</f>
        <v/>
      </c>
      <c r="I17" s="26">
        <f>IF(A17="","",IF(N(Setup!$B$11)&gt;0,(G17+H17)/Setup!$B$11,""))</f>
        <v/>
      </c>
      <c r="J17" s="26">
        <f>IF(A17="","",IF(N(Setup!$B$10)&gt;0,SUMIFS(PA_OECM_Register!$AF$5:$AF$1504,PA_OECM_Register!$Z$5:$Z$1504,1,PA_OECM_Register!$AH$5:$AH$1504,"&gt;0",PA_OECM_Register!$AH$5:$AH$1504,"&lt;="&amp;A17)/Setup!$B$10,""))</f>
        <v/>
      </c>
      <c r="K17" s="26">
        <f>IF(A17="","",IF(N(Setup!$B$11)&gt;0,SUMIFS(PA_OECM_Register!$AG$5:$AG$1504,PA_OECM_Register!$Z$5:$Z$1504,1,PA_OECM_Register!$AH$5:$AH$1504,"&gt;0",PA_OECM_Register!$AH$5:$AH$1504,"&lt;="&amp;A17)/Setup!$B$11,""))</f>
        <v/>
      </c>
    </row>
    <row r="18">
      <c r="A18" s="33">
        <f>IF(Setup!$B$27+13&gt;Setup!$B$6,"",Setup!$B$27+13)</f>
        <v/>
      </c>
      <c r="B18" s="38">
        <f>IF(A18="","",COUNTIFS(PA_OECM_Register!$Z$5:$Z$1504,1,PA_OECM_Register!$E$5:$E$1504,"PA",PA_OECM_Register!$AH$5:$AH$1504,"&gt;0",PA_OECM_Register!$AH$5:$AH$1504,"&lt;="&amp;A18)/MAX(1,COUNTIFS(PA_OECM_Register!$Z$5:$Z$1504,1,PA_OECM_Register!$E$5:$E$1504,"PA",PA_OECM_Register!$AH$5:$AH$1504,"&gt;0")))</f>
        <v/>
      </c>
      <c r="C18" s="38">
        <f>IF(A18="","",COUNTIFS(PA_OECM_Register!$Z$5:$Z$1504,1,PA_OECM_Register!$E$5:$E$1504,"OECM",PA_OECM_Register!$AH$5:$AH$1504,"&gt;0",PA_OECM_Register!$AH$5:$AH$1504,"&lt;="&amp;A18)/MAX(1,COUNTIFS(PA_OECM_Register!$Z$5:$Z$1504,1,PA_OECM_Register!$E$5:$E$1504,"OECM",PA_OECM_Register!$AH$5:$AH$1504,"&gt;0")))</f>
        <v/>
      </c>
      <c r="D18" s="25">
        <f>IF(A18="","",SUMIFS(PA_OECM_Register!$AF$5:$AF$1504,PA_OECM_Register!$Z$5:$Z$1504,1,PA_OECM_Register!$E$5:$E$1504,"PA",PA_OECM_Register!$AH$5:$AH$1504,"&gt;0",PA_OECM_Register!$AH$5:$AH$1504,"&lt;="&amp;A18)+SUMIFS(PA_OECM_Register!$AF$5:$AF$1504,PA_OECM_Register!$Z$5:$Z$1504,1,PA_OECM_Register!$E$5:$E$1504,"PA",PA_OECM_Register!$AH$5:$AH$1504,0)*B18)</f>
        <v/>
      </c>
      <c r="E18" s="25">
        <f>IF(A18="","",SUMIFS(PA_OECM_Register!$AF$5:$AF$1504,PA_OECM_Register!$Z$5:$Z$1504,1,PA_OECM_Register!$E$5:$E$1504,"OECM",PA_OECM_Register!$AH$5:$AH$1504,"&gt;0",PA_OECM_Register!$AH$5:$AH$1504,"&lt;="&amp;A18)+SUMIFS(PA_OECM_Register!$AF$5:$AF$1504,PA_OECM_Register!$Z$5:$Z$1504,1,PA_OECM_Register!$E$5:$E$1504,"OECM",PA_OECM_Register!$AH$5:$AH$1504,0)*C18)</f>
        <v/>
      </c>
      <c r="F18" s="26">
        <f>IF(A18="","",IF(N(Setup!$B$10)&gt;0,(D18+E18)/Setup!$B$10,""))</f>
        <v/>
      </c>
      <c r="G18" s="25">
        <f>IF(A18="","",SUMIFS(PA_OECM_Register!$AG$5:$AG$1504,PA_OECM_Register!$Z$5:$Z$1504,1,PA_OECM_Register!$E$5:$E$1504,"PA",PA_OECM_Register!$AH$5:$AH$1504,"&gt;0",PA_OECM_Register!$AH$5:$AH$1504,"&lt;="&amp;A18)+SUMIFS(PA_OECM_Register!$AG$5:$AG$1504,PA_OECM_Register!$Z$5:$Z$1504,1,PA_OECM_Register!$E$5:$E$1504,"PA",PA_OECM_Register!$AH$5:$AH$1504,0)*B18)</f>
        <v/>
      </c>
      <c r="H18" s="25">
        <f>IF(A18="","",SUMIFS(PA_OECM_Register!$AG$5:$AG$1504,PA_OECM_Register!$Z$5:$Z$1504,1,PA_OECM_Register!$E$5:$E$1504,"OECM",PA_OECM_Register!$AH$5:$AH$1504,"&gt;0",PA_OECM_Register!$AH$5:$AH$1504,"&lt;="&amp;A18)+SUMIFS(PA_OECM_Register!$AG$5:$AG$1504,PA_OECM_Register!$Z$5:$Z$1504,1,PA_OECM_Register!$E$5:$E$1504,"OECM",PA_OECM_Register!$AH$5:$AH$1504,0)*C18)</f>
        <v/>
      </c>
      <c r="I18" s="26">
        <f>IF(A18="","",IF(N(Setup!$B$11)&gt;0,(G18+H18)/Setup!$B$11,""))</f>
        <v/>
      </c>
      <c r="J18" s="26">
        <f>IF(A18="","",IF(N(Setup!$B$10)&gt;0,SUMIFS(PA_OECM_Register!$AF$5:$AF$1504,PA_OECM_Register!$Z$5:$Z$1504,1,PA_OECM_Register!$AH$5:$AH$1504,"&gt;0",PA_OECM_Register!$AH$5:$AH$1504,"&lt;="&amp;A18)/Setup!$B$10,""))</f>
        <v/>
      </c>
      <c r="K18" s="26">
        <f>IF(A18="","",IF(N(Setup!$B$11)&gt;0,SUMIFS(PA_OECM_Register!$AG$5:$AG$1504,PA_OECM_Register!$Z$5:$Z$1504,1,PA_OECM_Register!$AH$5:$AH$1504,"&gt;0",PA_OECM_Register!$AH$5:$AH$1504,"&lt;="&amp;A18)/Setup!$B$11,""))</f>
        <v/>
      </c>
    </row>
    <row r="19">
      <c r="A19" s="33">
        <f>IF(Setup!$B$27+14&gt;Setup!$B$6,"",Setup!$B$27+14)</f>
        <v/>
      </c>
      <c r="B19" s="38">
        <f>IF(A19="","",COUNTIFS(PA_OECM_Register!$Z$5:$Z$1504,1,PA_OECM_Register!$E$5:$E$1504,"PA",PA_OECM_Register!$AH$5:$AH$1504,"&gt;0",PA_OECM_Register!$AH$5:$AH$1504,"&lt;="&amp;A19)/MAX(1,COUNTIFS(PA_OECM_Register!$Z$5:$Z$1504,1,PA_OECM_Register!$E$5:$E$1504,"PA",PA_OECM_Register!$AH$5:$AH$1504,"&gt;0")))</f>
        <v/>
      </c>
      <c r="C19" s="38">
        <f>IF(A19="","",COUNTIFS(PA_OECM_Register!$Z$5:$Z$1504,1,PA_OECM_Register!$E$5:$E$1504,"OECM",PA_OECM_Register!$AH$5:$AH$1504,"&gt;0",PA_OECM_Register!$AH$5:$AH$1504,"&lt;="&amp;A19)/MAX(1,COUNTIFS(PA_OECM_Register!$Z$5:$Z$1504,1,PA_OECM_Register!$E$5:$E$1504,"OECM",PA_OECM_Register!$AH$5:$AH$1504,"&gt;0")))</f>
        <v/>
      </c>
      <c r="D19" s="25">
        <f>IF(A19="","",SUMIFS(PA_OECM_Register!$AF$5:$AF$1504,PA_OECM_Register!$Z$5:$Z$1504,1,PA_OECM_Register!$E$5:$E$1504,"PA",PA_OECM_Register!$AH$5:$AH$1504,"&gt;0",PA_OECM_Register!$AH$5:$AH$1504,"&lt;="&amp;A19)+SUMIFS(PA_OECM_Register!$AF$5:$AF$1504,PA_OECM_Register!$Z$5:$Z$1504,1,PA_OECM_Register!$E$5:$E$1504,"PA",PA_OECM_Register!$AH$5:$AH$1504,0)*B19)</f>
        <v/>
      </c>
      <c r="E19" s="25">
        <f>IF(A19="","",SUMIFS(PA_OECM_Register!$AF$5:$AF$1504,PA_OECM_Register!$Z$5:$Z$1504,1,PA_OECM_Register!$E$5:$E$1504,"OECM",PA_OECM_Register!$AH$5:$AH$1504,"&gt;0",PA_OECM_Register!$AH$5:$AH$1504,"&lt;="&amp;A19)+SUMIFS(PA_OECM_Register!$AF$5:$AF$1504,PA_OECM_Register!$Z$5:$Z$1504,1,PA_OECM_Register!$E$5:$E$1504,"OECM",PA_OECM_Register!$AH$5:$AH$1504,0)*C19)</f>
        <v/>
      </c>
      <c r="F19" s="26">
        <f>IF(A19="","",IF(N(Setup!$B$10)&gt;0,(D19+E19)/Setup!$B$10,""))</f>
        <v/>
      </c>
      <c r="G19" s="25">
        <f>IF(A19="","",SUMIFS(PA_OECM_Register!$AG$5:$AG$1504,PA_OECM_Register!$Z$5:$Z$1504,1,PA_OECM_Register!$E$5:$E$1504,"PA",PA_OECM_Register!$AH$5:$AH$1504,"&gt;0",PA_OECM_Register!$AH$5:$AH$1504,"&lt;="&amp;A19)+SUMIFS(PA_OECM_Register!$AG$5:$AG$1504,PA_OECM_Register!$Z$5:$Z$1504,1,PA_OECM_Register!$E$5:$E$1504,"PA",PA_OECM_Register!$AH$5:$AH$1504,0)*B19)</f>
        <v/>
      </c>
      <c r="H19" s="25">
        <f>IF(A19="","",SUMIFS(PA_OECM_Register!$AG$5:$AG$1504,PA_OECM_Register!$Z$5:$Z$1504,1,PA_OECM_Register!$E$5:$E$1504,"OECM",PA_OECM_Register!$AH$5:$AH$1504,"&gt;0",PA_OECM_Register!$AH$5:$AH$1504,"&lt;="&amp;A19)+SUMIFS(PA_OECM_Register!$AG$5:$AG$1504,PA_OECM_Register!$Z$5:$Z$1504,1,PA_OECM_Register!$E$5:$E$1504,"OECM",PA_OECM_Register!$AH$5:$AH$1504,0)*C19)</f>
        <v/>
      </c>
      <c r="I19" s="26">
        <f>IF(A19="","",IF(N(Setup!$B$11)&gt;0,(G19+H19)/Setup!$B$11,""))</f>
        <v/>
      </c>
      <c r="J19" s="26">
        <f>IF(A19="","",IF(N(Setup!$B$10)&gt;0,SUMIFS(PA_OECM_Register!$AF$5:$AF$1504,PA_OECM_Register!$Z$5:$Z$1504,1,PA_OECM_Register!$AH$5:$AH$1504,"&gt;0",PA_OECM_Register!$AH$5:$AH$1504,"&lt;="&amp;A19)/Setup!$B$10,""))</f>
        <v/>
      </c>
      <c r="K19" s="26">
        <f>IF(A19="","",IF(N(Setup!$B$11)&gt;0,SUMIFS(PA_OECM_Register!$AG$5:$AG$1504,PA_OECM_Register!$Z$5:$Z$1504,1,PA_OECM_Register!$AH$5:$AH$1504,"&gt;0",PA_OECM_Register!$AH$5:$AH$1504,"&lt;="&amp;A19)/Setup!$B$11,""))</f>
        <v/>
      </c>
    </row>
    <row r="20">
      <c r="A20" s="33">
        <f>IF(Setup!$B$27+15&gt;Setup!$B$6,"",Setup!$B$27+15)</f>
        <v/>
      </c>
      <c r="B20" s="38">
        <f>IF(A20="","",COUNTIFS(PA_OECM_Register!$Z$5:$Z$1504,1,PA_OECM_Register!$E$5:$E$1504,"PA",PA_OECM_Register!$AH$5:$AH$1504,"&gt;0",PA_OECM_Register!$AH$5:$AH$1504,"&lt;="&amp;A20)/MAX(1,COUNTIFS(PA_OECM_Register!$Z$5:$Z$1504,1,PA_OECM_Register!$E$5:$E$1504,"PA",PA_OECM_Register!$AH$5:$AH$1504,"&gt;0")))</f>
        <v/>
      </c>
      <c r="C20" s="38">
        <f>IF(A20="","",COUNTIFS(PA_OECM_Register!$Z$5:$Z$1504,1,PA_OECM_Register!$E$5:$E$1504,"OECM",PA_OECM_Register!$AH$5:$AH$1504,"&gt;0",PA_OECM_Register!$AH$5:$AH$1504,"&lt;="&amp;A20)/MAX(1,COUNTIFS(PA_OECM_Register!$Z$5:$Z$1504,1,PA_OECM_Register!$E$5:$E$1504,"OECM",PA_OECM_Register!$AH$5:$AH$1504,"&gt;0")))</f>
        <v/>
      </c>
      <c r="D20" s="25">
        <f>IF(A20="","",SUMIFS(PA_OECM_Register!$AF$5:$AF$1504,PA_OECM_Register!$Z$5:$Z$1504,1,PA_OECM_Register!$E$5:$E$1504,"PA",PA_OECM_Register!$AH$5:$AH$1504,"&gt;0",PA_OECM_Register!$AH$5:$AH$1504,"&lt;="&amp;A20)+SUMIFS(PA_OECM_Register!$AF$5:$AF$1504,PA_OECM_Register!$Z$5:$Z$1504,1,PA_OECM_Register!$E$5:$E$1504,"PA",PA_OECM_Register!$AH$5:$AH$1504,0)*B20)</f>
        <v/>
      </c>
      <c r="E20" s="25">
        <f>IF(A20="","",SUMIFS(PA_OECM_Register!$AF$5:$AF$1504,PA_OECM_Register!$Z$5:$Z$1504,1,PA_OECM_Register!$E$5:$E$1504,"OECM",PA_OECM_Register!$AH$5:$AH$1504,"&gt;0",PA_OECM_Register!$AH$5:$AH$1504,"&lt;="&amp;A20)+SUMIFS(PA_OECM_Register!$AF$5:$AF$1504,PA_OECM_Register!$Z$5:$Z$1504,1,PA_OECM_Register!$E$5:$E$1504,"OECM",PA_OECM_Register!$AH$5:$AH$1504,0)*C20)</f>
        <v/>
      </c>
      <c r="F20" s="26">
        <f>IF(A20="","",IF(N(Setup!$B$10)&gt;0,(D20+E20)/Setup!$B$10,""))</f>
        <v/>
      </c>
      <c r="G20" s="25">
        <f>IF(A20="","",SUMIFS(PA_OECM_Register!$AG$5:$AG$1504,PA_OECM_Register!$Z$5:$Z$1504,1,PA_OECM_Register!$E$5:$E$1504,"PA",PA_OECM_Register!$AH$5:$AH$1504,"&gt;0",PA_OECM_Register!$AH$5:$AH$1504,"&lt;="&amp;A20)+SUMIFS(PA_OECM_Register!$AG$5:$AG$1504,PA_OECM_Register!$Z$5:$Z$1504,1,PA_OECM_Register!$E$5:$E$1504,"PA",PA_OECM_Register!$AH$5:$AH$1504,0)*B20)</f>
        <v/>
      </c>
      <c r="H20" s="25">
        <f>IF(A20="","",SUMIFS(PA_OECM_Register!$AG$5:$AG$1504,PA_OECM_Register!$Z$5:$Z$1504,1,PA_OECM_Register!$E$5:$E$1504,"OECM",PA_OECM_Register!$AH$5:$AH$1504,"&gt;0",PA_OECM_Register!$AH$5:$AH$1504,"&lt;="&amp;A20)+SUMIFS(PA_OECM_Register!$AG$5:$AG$1504,PA_OECM_Register!$Z$5:$Z$1504,1,PA_OECM_Register!$E$5:$E$1504,"OECM",PA_OECM_Register!$AH$5:$AH$1504,0)*C20)</f>
        <v/>
      </c>
      <c r="I20" s="26">
        <f>IF(A20="","",IF(N(Setup!$B$11)&gt;0,(G20+H20)/Setup!$B$11,""))</f>
        <v/>
      </c>
      <c r="J20" s="26">
        <f>IF(A20="","",IF(N(Setup!$B$10)&gt;0,SUMIFS(PA_OECM_Register!$AF$5:$AF$1504,PA_OECM_Register!$Z$5:$Z$1504,1,PA_OECM_Register!$AH$5:$AH$1504,"&gt;0",PA_OECM_Register!$AH$5:$AH$1504,"&lt;="&amp;A20)/Setup!$B$10,""))</f>
        <v/>
      </c>
      <c r="K20" s="26">
        <f>IF(A20="","",IF(N(Setup!$B$11)&gt;0,SUMIFS(PA_OECM_Register!$AG$5:$AG$1504,PA_OECM_Register!$Z$5:$Z$1504,1,PA_OECM_Register!$AH$5:$AH$1504,"&gt;0",PA_OECM_Register!$AH$5:$AH$1504,"&lt;="&amp;A20)/Setup!$B$11,""))</f>
        <v/>
      </c>
    </row>
    <row r="21">
      <c r="A21" s="33">
        <f>IF(Setup!$B$27+16&gt;Setup!$B$6,"",Setup!$B$27+16)</f>
        <v/>
      </c>
      <c r="B21" s="38">
        <f>IF(A21="","",COUNTIFS(PA_OECM_Register!$Z$5:$Z$1504,1,PA_OECM_Register!$E$5:$E$1504,"PA",PA_OECM_Register!$AH$5:$AH$1504,"&gt;0",PA_OECM_Register!$AH$5:$AH$1504,"&lt;="&amp;A21)/MAX(1,COUNTIFS(PA_OECM_Register!$Z$5:$Z$1504,1,PA_OECM_Register!$E$5:$E$1504,"PA",PA_OECM_Register!$AH$5:$AH$1504,"&gt;0")))</f>
        <v/>
      </c>
      <c r="C21" s="38">
        <f>IF(A21="","",COUNTIFS(PA_OECM_Register!$Z$5:$Z$1504,1,PA_OECM_Register!$E$5:$E$1504,"OECM",PA_OECM_Register!$AH$5:$AH$1504,"&gt;0",PA_OECM_Register!$AH$5:$AH$1504,"&lt;="&amp;A21)/MAX(1,COUNTIFS(PA_OECM_Register!$Z$5:$Z$1504,1,PA_OECM_Register!$E$5:$E$1504,"OECM",PA_OECM_Register!$AH$5:$AH$1504,"&gt;0")))</f>
        <v/>
      </c>
      <c r="D21" s="25">
        <f>IF(A21="","",SUMIFS(PA_OECM_Register!$AF$5:$AF$1504,PA_OECM_Register!$Z$5:$Z$1504,1,PA_OECM_Register!$E$5:$E$1504,"PA",PA_OECM_Register!$AH$5:$AH$1504,"&gt;0",PA_OECM_Register!$AH$5:$AH$1504,"&lt;="&amp;A21)+SUMIFS(PA_OECM_Register!$AF$5:$AF$1504,PA_OECM_Register!$Z$5:$Z$1504,1,PA_OECM_Register!$E$5:$E$1504,"PA",PA_OECM_Register!$AH$5:$AH$1504,0)*B21)</f>
        <v/>
      </c>
      <c r="E21" s="25">
        <f>IF(A21="","",SUMIFS(PA_OECM_Register!$AF$5:$AF$1504,PA_OECM_Register!$Z$5:$Z$1504,1,PA_OECM_Register!$E$5:$E$1504,"OECM",PA_OECM_Register!$AH$5:$AH$1504,"&gt;0",PA_OECM_Register!$AH$5:$AH$1504,"&lt;="&amp;A21)+SUMIFS(PA_OECM_Register!$AF$5:$AF$1504,PA_OECM_Register!$Z$5:$Z$1504,1,PA_OECM_Register!$E$5:$E$1504,"OECM",PA_OECM_Register!$AH$5:$AH$1504,0)*C21)</f>
        <v/>
      </c>
      <c r="F21" s="26">
        <f>IF(A21="","",IF(N(Setup!$B$10)&gt;0,(D21+E21)/Setup!$B$10,""))</f>
        <v/>
      </c>
      <c r="G21" s="25">
        <f>IF(A21="","",SUMIFS(PA_OECM_Register!$AG$5:$AG$1504,PA_OECM_Register!$Z$5:$Z$1504,1,PA_OECM_Register!$E$5:$E$1504,"PA",PA_OECM_Register!$AH$5:$AH$1504,"&gt;0",PA_OECM_Register!$AH$5:$AH$1504,"&lt;="&amp;A21)+SUMIFS(PA_OECM_Register!$AG$5:$AG$1504,PA_OECM_Register!$Z$5:$Z$1504,1,PA_OECM_Register!$E$5:$E$1504,"PA",PA_OECM_Register!$AH$5:$AH$1504,0)*B21)</f>
        <v/>
      </c>
      <c r="H21" s="25">
        <f>IF(A21="","",SUMIFS(PA_OECM_Register!$AG$5:$AG$1504,PA_OECM_Register!$Z$5:$Z$1504,1,PA_OECM_Register!$E$5:$E$1504,"OECM",PA_OECM_Register!$AH$5:$AH$1504,"&gt;0",PA_OECM_Register!$AH$5:$AH$1504,"&lt;="&amp;A21)+SUMIFS(PA_OECM_Register!$AG$5:$AG$1504,PA_OECM_Register!$Z$5:$Z$1504,1,PA_OECM_Register!$E$5:$E$1504,"OECM",PA_OECM_Register!$AH$5:$AH$1504,0)*C21)</f>
        <v/>
      </c>
      <c r="I21" s="26">
        <f>IF(A21="","",IF(N(Setup!$B$11)&gt;0,(G21+H21)/Setup!$B$11,""))</f>
        <v/>
      </c>
      <c r="J21" s="26">
        <f>IF(A21="","",IF(N(Setup!$B$10)&gt;0,SUMIFS(PA_OECM_Register!$AF$5:$AF$1504,PA_OECM_Register!$Z$5:$Z$1504,1,PA_OECM_Register!$AH$5:$AH$1504,"&gt;0",PA_OECM_Register!$AH$5:$AH$1504,"&lt;="&amp;A21)/Setup!$B$10,""))</f>
        <v/>
      </c>
      <c r="K21" s="26">
        <f>IF(A21="","",IF(N(Setup!$B$11)&gt;0,SUMIFS(PA_OECM_Register!$AG$5:$AG$1504,PA_OECM_Register!$Z$5:$Z$1504,1,PA_OECM_Register!$AH$5:$AH$1504,"&gt;0",PA_OECM_Register!$AH$5:$AH$1504,"&lt;="&amp;A21)/Setup!$B$11,""))</f>
        <v/>
      </c>
    </row>
    <row r="22">
      <c r="A22" s="33">
        <f>IF(Setup!$B$27+17&gt;Setup!$B$6,"",Setup!$B$27+17)</f>
        <v/>
      </c>
      <c r="B22" s="38">
        <f>IF(A22="","",COUNTIFS(PA_OECM_Register!$Z$5:$Z$1504,1,PA_OECM_Register!$E$5:$E$1504,"PA",PA_OECM_Register!$AH$5:$AH$1504,"&gt;0",PA_OECM_Register!$AH$5:$AH$1504,"&lt;="&amp;A22)/MAX(1,COUNTIFS(PA_OECM_Register!$Z$5:$Z$1504,1,PA_OECM_Register!$E$5:$E$1504,"PA",PA_OECM_Register!$AH$5:$AH$1504,"&gt;0")))</f>
        <v/>
      </c>
      <c r="C22" s="38">
        <f>IF(A22="","",COUNTIFS(PA_OECM_Register!$Z$5:$Z$1504,1,PA_OECM_Register!$E$5:$E$1504,"OECM",PA_OECM_Register!$AH$5:$AH$1504,"&gt;0",PA_OECM_Register!$AH$5:$AH$1504,"&lt;="&amp;A22)/MAX(1,COUNTIFS(PA_OECM_Register!$Z$5:$Z$1504,1,PA_OECM_Register!$E$5:$E$1504,"OECM",PA_OECM_Register!$AH$5:$AH$1504,"&gt;0")))</f>
        <v/>
      </c>
      <c r="D22" s="25">
        <f>IF(A22="","",SUMIFS(PA_OECM_Register!$AF$5:$AF$1504,PA_OECM_Register!$Z$5:$Z$1504,1,PA_OECM_Register!$E$5:$E$1504,"PA",PA_OECM_Register!$AH$5:$AH$1504,"&gt;0",PA_OECM_Register!$AH$5:$AH$1504,"&lt;="&amp;A22)+SUMIFS(PA_OECM_Register!$AF$5:$AF$1504,PA_OECM_Register!$Z$5:$Z$1504,1,PA_OECM_Register!$E$5:$E$1504,"PA",PA_OECM_Register!$AH$5:$AH$1504,0)*B22)</f>
        <v/>
      </c>
      <c r="E22" s="25">
        <f>IF(A22="","",SUMIFS(PA_OECM_Register!$AF$5:$AF$1504,PA_OECM_Register!$Z$5:$Z$1504,1,PA_OECM_Register!$E$5:$E$1504,"OECM",PA_OECM_Register!$AH$5:$AH$1504,"&gt;0",PA_OECM_Register!$AH$5:$AH$1504,"&lt;="&amp;A22)+SUMIFS(PA_OECM_Register!$AF$5:$AF$1504,PA_OECM_Register!$Z$5:$Z$1504,1,PA_OECM_Register!$E$5:$E$1504,"OECM",PA_OECM_Register!$AH$5:$AH$1504,0)*C22)</f>
        <v/>
      </c>
      <c r="F22" s="26">
        <f>IF(A22="","",IF(N(Setup!$B$10)&gt;0,(D22+E22)/Setup!$B$10,""))</f>
        <v/>
      </c>
      <c r="G22" s="25">
        <f>IF(A22="","",SUMIFS(PA_OECM_Register!$AG$5:$AG$1504,PA_OECM_Register!$Z$5:$Z$1504,1,PA_OECM_Register!$E$5:$E$1504,"PA",PA_OECM_Register!$AH$5:$AH$1504,"&gt;0",PA_OECM_Register!$AH$5:$AH$1504,"&lt;="&amp;A22)+SUMIFS(PA_OECM_Register!$AG$5:$AG$1504,PA_OECM_Register!$Z$5:$Z$1504,1,PA_OECM_Register!$E$5:$E$1504,"PA",PA_OECM_Register!$AH$5:$AH$1504,0)*B22)</f>
        <v/>
      </c>
      <c r="H22" s="25">
        <f>IF(A22="","",SUMIFS(PA_OECM_Register!$AG$5:$AG$1504,PA_OECM_Register!$Z$5:$Z$1504,1,PA_OECM_Register!$E$5:$E$1504,"OECM",PA_OECM_Register!$AH$5:$AH$1504,"&gt;0",PA_OECM_Register!$AH$5:$AH$1504,"&lt;="&amp;A22)+SUMIFS(PA_OECM_Register!$AG$5:$AG$1504,PA_OECM_Register!$Z$5:$Z$1504,1,PA_OECM_Register!$E$5:$E$1504,"OECM",PA_OECM_Register!$AH$5:$AH$1504,0)*C22)</f>
        <v/>
      </c>
      <c r="I22" s="26">
        <f>IF(A22="","",IF(N(Setup!$B$11)&gt;0,(G22+H22)/Setup!$B$11,""))</f>
        <v/>
      </c>
      <c r="J22" s="26">
        <f>IF(A22="","",IF(N(Setup!$B$10)&gt;0,SUMIFS(PA_OECM_Register!$AF$5:$AF$1504,PA_OECM_Register!$Z$5:$Z$1504,1,PA_OECM_Register!$AH$5:$AH$1504,"&gt;0",PA_OECM_Register!$AH$5:$AH$1504,"&lt;="&amp;A22)/Setup!$B$10,""))</f>
        <v/>
      </c>
      <c r="K22" s="26">
        <f>IF(A22="","",IF(N(Setup!$B$11)&gt;0,SUMIFS(PA_OECM_Register!$AG$5:$AG$1504,PA_OECM_Register!$Z$5:$Z$1504,1,PA_OECM_Register!$AH$5:$AH$1504,"&gt;0",PA_OECM_Register!$AH$5:$AH$1504,"&lt;="&amp;A22)/Setup!$B$11,""))</f>
        <v/>
      </c>
    </row>
    <row r="23">
      <c r="A23" s="33">
        <f>IF(Setup!$B$27+18&gt;Setup!$B$6,"",Setup!$B$27+18)</f>
        <v/>
      </c>
      <c r="B23" s="38">
        <f>IF(A23="","",COUNTIFS(PA_OECM_Register!$Z$5:$Z$1504,1,PA_OECM_Register!$E$5:$E$1504,"PA",PA_OECM_Register!$AH$5:$AH$1504,"&gt;0",PA_OECM_Register!$AH$5:$AH$1504,"&lt;="&amp;A23)/MAX(1,COUNTIFS(PA_OECM_Register!$Z$5:$Z$1504,1,PA_OECM_Register!$E$5:$E$1504,"PA",PA_OECM_Register!$AH$5:$AH$1504,"&gt;0")))</f>
        <v/>
      </c>
      <c r="C23" s="38">
        <f>IF(A23="","",COUNTIFS(PA_OECM_Register!$Z$5:$Z$1504,1,PA_OECM_Register!$E$5:$E$1504,"OECM",PA_OECM_Register!$AH$5:$AH$1504,"&gt;0",PA_OECM_Register!$AH$5:$AH$1504,"&lt;="&amp;A23)/MAX(1,COUNTIFS(PA_OECM_Register!$Z$5:$Z$1504,1,PA_OECM_Register!$E$5:$E$1504,"OECM",PA_OECM_Register!$AH$5:$AH$1504,"&gt;0")))</f>
        <v/>
      </c>
      <c r="D23" s="25">
        <f>IF(A23="","",SUMIFS(PA_OECM_Register!$AF$5:$AF$1504,PA_OECM_Register!$Z$5:$Z$1504,1,PA_OECM_Register!$E$5:$E$1504,"PA",PA_OECM_Register!$AH$5:$AH$1504,"&gt;0",PA_OECM_Register!$AH$5:$AH$1504,"&lt;="&amp;A23)+SUMIFS(PA_OECM_Register!$AF$5:$AF$1504,PA_OECM_Register!$Z$5:$Z$1504,1,PA_OECM_Register!$E$5:$E$1504,"PA",PA_OECM_Register!$AH$5:$AH$1504,0)*B23)</f>
        <v/>
      </c>
      <c r="E23" s="25">
        <f>IF(A23="","",SUMIFS(PA_OECM_Register!$AF$5:$AF$1504,PA_OECM_Register!$Z$5:$Z$1504,1,PA_OECM_Register!$E$5:$E$1504,"OECM",PA_OECM_Register!$AH$5:$AH$1504,"&gt;0",PA_OECM_Register!$AH$5:$AH$1504,"&lt;="&amp;A23)+SUMIFS(PA_OECM_Register!$AF$5:$AF$1504,PA_OECM_Register!$Z$5:$Z$1504,1,PA_OECM_Register!$E$5:$E$1504,"OECM",PA_OECM_Register!$AH$5:$AH$1504,0)*C23)</f>
        <v/>
      </c>
      <c r="F23" s="26">
        <f>IF(A23="","",IF(N(Setup!$B$10)&gt;0,(D23+E23)/Setup!$B$10,""))</f>
        <v/>
      </c>
      <c r="G23" s="25">
        <f>IF(A23="","",SUMIFS(PA_OECM_Register!$AG$5:$AG$1504,PA_OECM_Register!$Z$5:$Z$1504,1,PA_OECM_Register!$E$5:$E$1504,"PA",PA_OECM_Register!$AH$5:$AH$1504,"&gt;0",PA_OECM_Register!$AH$5:$AH$1504,"&lt;="&amp;A23)+SUMIFS(PA_OECM_Register!$AG$5:$AG$1504,PA_OECM_Register!$Z$5:$Z$1504,1,PA_OECM_Register!$E$5:$E$1504,"PA",PA_OECM_Register!$AH$5:$AH$1504,0)*B23)</f>
        <v/>
      </c>
      <c r="H23" s="25">
        <f>IF(A23="","",SUMIFS(PA_OECM_Register!$AG$5:$AG$1504,PA_OECM_Register!$Z$5:$Z$1504,1,PA_OECM_Register!$E$5:$E$1504,"OECM",PA_OECM_Register!$AH$5:$AH$1504,"&gt;0",PA_OECM_Register!$AH$5:$AH$1504,"&lt;="&amp;A23)+SUMIFS(PA_OECM_Register!$AG$5:$AG$1504,PA_OECM_Register!$Z$5:$Z$1504,1,PA_OECM_Register!$E$5:$E$1504,"OECM",PA_OECM_Register!$AH$5:$AH$1504,0)*C23)</f>
        <v/>
      </c>
      <c r="I23" s="26">
        <f>IF(A23="","",IF(N(Setup!$B$11)&gt;0,(G23+H23)/Setup!$B$11,""))</f>
        <v/>
      </c>
      <c r="J23" s="26">
        <f>IF(A23="","",IF(N(Setup!$B$10)&gt;0,SUMIFS(PA_OECM_Register!$AF$5:$AF$1504,PA_OECM_Register!$Z$5:$Z$1504,1,PA_OECM_Register!$AH$5:$AH$1504,"&gt;0",PA_OECM_Register!$AH$5:$AH$1504,"&lt;="&amp;A23)/Setup!$B$10,""))</f>
        <v/>
      </c>
      <c r="K23" s="26">
        <f>IF(A23="","",IF(N(Setup!$B$11)&gt;0,SUMIFS(PA_OECM_Register!$AG$5:$AG$1504,PA_OECM_Register!$Z$5:$Z$1504,1,PA_OECM_Register!$AH$5:$AH$1504,"&gt;0",PA_OECM_Register!$AH$5:$AH$1504,"&lt;="&amp;A23)/Setup!$B$11,""))</f>
        <v/>
      </c>
    </row>
    <row r="24">
      <c r="A24" s="33">
        <f>IF(Setup!$B$27+19&gt;Setup!$B$6,"",Setup!$B$27+19)</f>
        <v/>
      </c>
      <c r="B24" s="38">
        <f>IF(A24="","",COUNTIFS(PA_OECM_Register!$Z$5:$Z$1504,1,PA_OECM_Register!$E$5:$E$1504,"PA",PA_OECM_Register!$AH$5:$AH$1504,"&gt;0",PA_OECM_Register!$AH$5:$AH$1504,"&lt;="&amp;A24)/MAX(1,COUNTIFS(PA_OECM_Register!$Z$5:$Z$1504,1,PA_OECM_Register!$E$5:$E$1504,"PA",PA_OECM_Register!$AH$5:$AH$1504,"&gt;0")))</f>
        <v/>
      </c>
      <c r="C24" s="38">
        <f>IF(A24="","",COUNTIFS(PA_OECM_Register!$Z$5:$Z$1504,1,PA_OECM_Register!$E$5:$E$1504,"OECM",PA_OECM_Register!$AH$5:$AH$1504,"&gt;0",PA_OECM_Register!$AH$5:$AH$1504,"&lt;="&amp;A24)/MAX(1,COUNTIFS(PA_OECM_Register!$Z$5:$Z$1504,1,PA_OECM_Register!$E$5:$E$1504,"OECM",PA_OECM_Register!$AH$5:$AH$1504,"&gt;0")))</f>
        <v/>
      </c>
      <c r="D24" s="25">
        <f>IF(A24="","",SUMIFS(PA_OECM_Register!$AF$5:$AF$1504,PA_OECM_Register!$Z$5:$Z$1504,1,PA_OECM_Register!$E$5:$E$1504,"PA",PA_OECM_Register!$AH$5:$AH$1504,"&gt;0",PA_OECM_Register!$AH$5:$AH$1504,"&lt;="&amp;A24)+SUMIFS(PA_OECM_Register!$AF$5:$AF$1504,PA_OECM_Register!$Z$5:$Z$1504,1,PA_OECM_Register!$E$5:$E$1504,"PA",PA_OECM_Register!$AH$5:$AH$1504,0)*B24)</f>
        <v/>
      </c>
      <c r="E24" s="25">
        <f>IF(A24="","",SUMIFS(PA_OECM_Register!$AF$5:$AF$1504,PA_OECM_Register!$Z$5:$Z$1504,1,PA_OECM_Register!$E$5:$E$1504,"OECM",PA_OECM_Register!$AH$5:$AH$1504,"&gt;0",PA_OECM_Register!$AH$5:$AH$1504,"&lt;="&amp;A24)+SUMIFS(PA_OECM_Register!$AF$5:$AF$1504,PA_OECM_Register!$Z$5:$Z$1504,1,PA_OECM_Register!$E$5:$E$1504,"OECM",PA_OECM_Register!$AH$5:$AH$1504,0)*C24)</f>
        <v/>
      </c>
      <c r="F24" s="26">
        <f>IF(A24="","",IF(N(Setup!$B$10)&gt;0,(D24+E24)/Setup!$B$10,""))</f>
        <v/>
      </c>
      <c r="G24" s="25">
        <f>IF(A24="","",SUMIFS(PA_OECM_Register!$AG$5:$AG$1504,PA_OECM_Register!$Z$5:$Z$1504,1,PA_OECM_Register!$E$5:$E$1504,"PA",PA_OECM_Register!$AH$5:$AH$1504,"&gt;0",PA_OECM_Register!$AH$5:$AH$1504,"&lt;="&amp;A24)+SUMIFS(PA_OECM_Register!$AG$5:$AG$1504,PA_OECM_Register!$Z$5:$Z$1504,1,PA_OECM_Register!$E$5:$E$1504,"PA",PA_OECM_Register!$AH$5:$AH$1504,0)*B24)</f>
        <v/>
      </c>
      <c r="H24" s="25">
        <f>IF(A24="","",SUMIFS(PA_OECM_Register!$AG$5:$AG$1504,PA_OECM_Register!$Z$5:$Z$1504,1,PA_OECM_Register!$E$5:$E$1504,"OECM",PA_OECM_Register!$AH$5:$AH$1504,"&gt;0",PA_OECM_Register!$AH$5:$AH$1504,"&lt;="&amp;A24)+SUMIFS(PA_OECM_Register!$AG$5:$AG$1504,PA_OECM_Register!$Z$5:$Z$1504,1,PA_OECM_Register!$E$5:$E$1504,"OECM",PA_OECM_Register!$AH$5:$AH$1504,0)*C24)</f>
        <v/>
      </c>
      <c r="I24" s="26">
        <f>IF(A24="","",IF(N(Setup!$B$11)&gt;0,(G24+H24)/Setup!$B$11,""))</f>
        <v/>
      </c>
      <c r="J24" s="26">
        <f>IF(A24="","",IF(N(Setup!$B$10)&gt;0,SUMIFS(PA_OECM_Register!$AF$5:$AF$1504,PA_OECM_Register!$Z$5:$Z$1504,1,PA_OECM_Register!$AH$5:$AH$1504,"&gt;0",PA_OECM_Register!$AH$5:$AH$1504,"&lt;="&amp;A24)/Setup!$B$10,""))</f>
        <v/>
      </c>
      <c r="K24" s="26">
        <f>IF(A24="","",IF(N(Setup!$B$11)&gt;0,SUMIFS(PA_OECM_Register!$AG$5:$AG$1504,PA_OECM_Register!$Z$5:$Z$1504,1,PA_OECM_Register!$AH$5:$AH$1504,"&gt;0",PA_OECM_Register!$AH$5:$AH$1504,"&lt;="&amp;A24)/Setup!$B$11,""))</f>
        <v/>
      </c>
    </row>
    <row r="25">
      <c r="A25" s="33">
        <f>IF(Setup!$B$27+20&gt;Setup!$B$6,"",Setup!$B$27+20)</f>
        <v/>
      </c>
      <c r="B25" s="38">
        <f>IF(A25="","",COUNTIFS(PA_OECM_Register!$Z$5:$Z$1504,1,PA_OECM_Register!$E$5:$E$1504,"PA",PA_OECM_Register!$AH$5:$AH$1504,"&gt;0",PA_OECM_Register!$AH$5:$AH$1504,"&lt;="&amp;A25)/MAX(1,COUNTIFS(PA_OECM_Register!$Z$5:$Z$1504,1,PA_OECM_Register!$E$5:$E$1504,"PA",PA_OECM_Register!$AH$5:$AH$1504,"&gt;0")))</f>
        <v/>
      </c>
      <c r="C25" s="38">
        <f>IF(A25="","",COUNTIFS(PA_OECM_Register!$Z$5:$Z$1504,1,PA_OECM_Register!$E$5:$E$1504,"OECM",PA_OECM_Register!$AH$5:$AH$1504,"&gt;0",PA_OECM_Register!$AH$5:$AH$1504,"&lt;="&amp;A25)/MAX(1,COUNTIFS(PA_OECM_Register!$Z$5:$Z$1504,1,PA_OECM_Register!$E$5:$E$1504,"OECM",PA_OECM_Register!$AH$5:$AH$1504,"&gt;0")))</f>
        <v/>
      </c>
      <c r="D25" s="25">
        <f>IF(A25="","",SUMIFS(PA_OECM_Register!$AF$5:$AF$1504,PA_OECM_Register!$Z$5:$Z$1504,1,PA_OECM_Register!$E$5:$E$1504,"PA",PA_OECM_Register!$AH$5:$AH$1504,"&gt;0",PA_OECM_Register!$AH$5:$AH$1504,"&lt;="&amp;A25)+SUMIFS(PA_OECM_Register!$AF$5:$AF$1504,PA_OECM_Register!$Z$5:$Z$1504,1,PA_OECM_Register!$E$5:$E$1504,"PA",PA_OECM_Register!$AH$5:$AH$1504,0)*B25)</f>
        <v/>
      </c>
      <c r="E25" s="25">
        <f>IF(A25="","",SUMIFS(PA_OECM_Register!$AF$5:$AF$1504,PA_OECM_Register!$Z$5:$Z$1504,1,PA_OECM_Register!$E$5:$E$1504,"OECM",PA_OECM_Register!$AH$5:$AH$1504,"&gt;0",PA_OECM_Register!$AH$5:$AH$1504,"&lt;="&amp;A25)+SUMIFS(PA_OECM_Register!$AF$5:$AF$1504,PA_OECM_Register!$Z$5:$Z$1504,1,PA_OECM_Register!$E$5:$E$1504,"OECM",PA_OECM_Register!$AH$5:$AH$1504,0)*C25)</f>
        <v/>
      </c>
      <c r="F25" s="26">
        <f>IF(A25="","",IF(N(Setup!$B$10)&gt;0,(D25+E25)/Setup!$B$10,""))</f>
        <v/>
      </c>
      <c r="G25" s="25">
        <f>IF(A25="","",SUMIFS(PA_OECM_Register!$AG$5:$AG$1504,PA_OECM_Register!$Z$5:$Z$1504,1,PA_OECM_Register!$E$5:$E$1504,"PA",PA_OECM_Register!$AH$5:$AH$1504,"&gt;0",PA_OECM_Register!$AH$5:$AH$1504,"&lt;="&amp;A25)+SUMIFS(PA_OECM_Register!$AG$5:$AG$1504,PA_OECM_Register!$Z$5:$Z$1504,1,PA_OECM_Register!$E$5:$E$1504,"PA",PA_OECM_Register!$AH$5:$AH$1504,0)*B25)</f>
        <v/>
      </c>
      <c r="H25" s="25">
        <f>IF(A25="","",SUMIFS(PA_OECM_Register!$AG$5:$AG$1504,PA_OECM_Register!$Z$5:$Z$1504,1,PA_OECM_Register!$E$5:$E$1504,"OECM",PA_OECM_Register!$AH$5:$AH$1504,"&gt;0",PA_OECM_Register!$AH$5:$AH$1504,"&lt;="&amp;A25)+SUMIFS(PA_OECM_Register!$AG$5:$AG$1504,PA_OECM_Register!$Z$5:$Z$1504,1,PA_OECM_Register!$E$5:$E$1504,"OECM",PA_OECM_Register!$AH$5:$AH$1504,0)*C25)</f>
        <v/>
      </c>
      <c r="I25" s="26">
        <f>IF(A25="","",IF(N(Setup!$B$11)&gt;0,(G25+H25)/Setup!$B$11,""))</f>
        <v/>
      </c>
      <c r="J25" s="26">
        <f>IF(A25="","",IF(N(Setup!$B$10)&gt;0,SUMIFS(PA_OECM_Register!$AF$5:$AF$1504,PA_OECM_Register!$Z$5:$Z$1504,1,PA_OECM_Register!$AH$5:$AH$1504,"&gt;0",PA_OECM_Register!$AH$5:$AH$1504,"&lt;="&amp;A25)/Setup!$B$10,""))</f>
        <v/>
      </c>
      <c r="K25" s="26">
        <f>IF(A25="","",IF(N(Setup!$B$11)&gt;0,SUMIFS(PA_OECM_Register!$AG$5:$AG$1504,PA_OECM_Register!$Z$5:$Z$1504,1,PA_OECM_Register!$AH$5:$AH$1504,"&gt;0",PA_OECM_Register!$AH$5:$AH$1504,"&lt;="&amp;A25)/Setup!$B$11,""))</f>
        <v/>
      </c>
    </row>
    <row r="26">
      <c r="A26" s="33">
        <f>IF(Setup!$B$27+21&gt;Setup!$B$6,"",Setup!$B$27+21)</f>
        <v/>
      </c>
      <c r="B26" s="38">
        <f>IF(A26="","",COUNTIFS(PA_OECM_Register!$Z$5:$Z$1504,1,PA_OECM_Register!$E$5:$E$1504,"PA",PA_OECM_Register!$AH$5:$AH$1504,"&gt;0",PA_OECM_Register!$AH$5:$AH$1504,"&lt;="&amp;A26)/MAX(1,COUNTIFS(PA_OECM_Register!$Z$5:$Z$1504,1,PA_OECM_Register!$E$5:$E$1504,"PA",PA_OECM_Register!$AH$5:$AH$1504,"&gt;0")))</f>
        <v/>
      </c>
      <c r="C26" s="38">
        <f>IF(A26="","",COUNTIFS(PA_OECM_Register!$Z$5:$Z$1504,1,PA_OECM_Register!$E$5:$E$1504,"OECM",PA_OECM_Register!$AH$5:$AH$1504,"&gt;0",PA_OECM_Register!$AH$5:$AH$1504,"&lt;="&amp;A26)/MAX(1,COUNTIFS(PA_OECM_Register!$Z$5:$Z$1504,1,PA_OECM_Register!$E$5:$E$1504,"OECM",PA_OECM_Register!$AH$5:$AH$1504,"&gt;0")))</f>
        <v/>
      </c>
      <c r="D26" s="25">
        <f>IF(A26="","",SUMIFS(PA_OECM_Register!$AF$5:$AF$1504,PA_OECM_Register!$Z$5:$Z$1504,1,PA_OECM_Register!$E$5:$E$1504,"PA",PA_OECM_Register!$AH$5:$AH$1504,"&gt;0",PA_OECM_Register!$AH$5:$AH$1504,"&lt;="&amp;A26)+SUMIFS(PA_OECM_Register!$AF$5:$AF$1504,PA_OECM_Register!$Z$5:$Z$1504,1,PA_OECM_Register!$E$5:$E$1504,"PA",PA_OECM_Register!$AH$5:$AH$1504,0)*B26)</f>
        <v/>
      </c>
      <c r="E26" s="25">
        <f>IF(A26="","",SUMIFS(PA_OECM_Register!$AF$5:$AF$1504,PA_OECM_Register!$Z$5:$Z$1504,1,PA_OECM_Register!$E$5:$E$1504,"OECM",PA_OECM_Register!$AH$5:$AH$1504,"&gt;0",PA_OECM_Register!$AH$5:$AH$1504,"&lt;="&amp;A26)+SUMIFS(PA_OECM_Register!$AF$5:$AF$1504,PA_OECM_Register!$Z$5:$Z$1504,1,PA_OECM_Register!$E$5:$E$1504,"OECM",PA_OECM_Register!$AH$5:$AH$1504,0)*C26)</f>
        <v/>
      </c>
      <c r="F26" s="26">
        <f>IF(A26="","",IF(N(Setup!$B$10)&gt;0,(D26+E26)/Setup!$B$10,""))</f>
        <v/>
      </c>
      <c r="G26" s="25">
        <f>IF(A26="","",SUMIFS(PA_OECM_Register!$AG$5:$AG$1504,PA_OECM_Register!$Z$5:$Z$1504,1,PA_OECM_Register!$E$5:$E$1504,"PA",PA_OECM_Register!$AH$5:$AH$1504,"&gt;0",PA_OECM_Register!$AH$5:$AH$1504,"&lt;="&amp;A26)+SUMIFS(PA_OECM_Register!$AG$5:$AG$1504,PA_OECM_Register!$Z$5:$Z$1504,1,PA_OECM_Register!$E$5:$E$1504,"PA",PA_OECM_Register!$AH$5:$AH$1504,0)*B26)</f>
        <v/>
      </c>
      <c r="H26" s="25">
        <f>IF(A26="","",SUMIFS(PA_OECM_Register!$AG$5:$AG$1504,PA_OECM_Register!$Z$5:$Z$1504,1,PA_OECM_Register!$E$5:$E$1504,"OECM",PA_OECM_Register!$AH$5:$AH$1504,"&gt;0",PA_OECM_Register!$AH$5:$AH$1504,"&lt;="&amp;A26)+SUMIFS(PA_OECM_Register!$AG$5:$AG$1504,PA_OECM_Register!$Z$5:$Z$1504,1,PA_OECM_Register!$E$5:$E$1504,"OECM",PA_OECM_Register!$AH$5:$AH$1504,0)*C26)</f>
        <v/>
      </c>
      <c r="I26" s="26">
        <f>IF(A26="","",IF(N(Setup!$B$11)&gt;0,(G26+H26)/Setup!$B$11,""))</f>
        <v/>
      </c>
      <c r="J26" s="26">
        <f>IF(A26="","",IF(N(Setup!$B$10)&gt;0,SUMIFS(PA_OECM_Register!$AF$5:$AF$1504,PA_OECM_Register!$Z$5:$Z$1504,1,PA_OECM_Register!$AH$5:$AH$1504,"&gt;0",PA_OECM_Register!$AH$5:$AH$1504,"&lt;="&amp;A26)/Setup!$B$10,""))</f>
        <v/>
      </c>
      <c r="K26" s="26">
        <f>IF(A26="","",IF(N(Setup!$B$11)&gt;0,SUMIFS(PA_OECM_Register!$AG$5:$AG$1504,PA_OECM_Register!$Z$5:$Z$1504,1,PA_OECM_Register!$AH$5:$AH$1504,"&gt;0",PA_OECM_Register!$AH$5:$AH$1504,"&lt;="&amp;A26)/Setup!$B$11,""))</f>
        <v/>
      </c>
    </row>
    <row r="27">
      <c r="A27" s="33">
        <f>IF(Setup!$B$27+22&gt;Setup!$B$6,"",Setup!$B$27+22)</f>
        <v/>
      </c>
      <c r="B27" s="38">
        <f>IF(A27="","",COUNTIFS(PA_OECM_Register!$Z$5:$Z$1504,1,PA_OECM_Register!$E$5:$E$1504,"PA",PA_OECM_Register!$AH$5:$AH$1504,"&gt;0",PA_OECM_Register!$AH$5:$AH$1504,"&lt;="&amp;A27)/MAX(1,COUNTIFS(PA_OECM_Register!$Z$5:$Z$1504,1,PA_OECM_Register!$E$5:$E$1504,"PA",PA_OECM_Register!$AH$5:$AH$1504,"&gt;0")))</f>
        <v/>
      </c>
      <c r="C27" s="38">
        <f>IF(A27="","",COUNTIFS(PA_OECM_Register!$Z$5:$Z$1504,1,PA_OECM_Register!$E$5:$E$1504,"OECM",PA_OECM_Register!$AH$5:$AH$1504,"&gt;0",PA_OECM_Register!$AH$5:$AH$1504,"&lt;="&amp;A27)/MAX(1,COUNTIFS(PA_OECM_Register!$Z$5:$Z$1504,1,PA_OECM_Register!$E$5:$E$1504,"OECM",PA_OECM_Register!$AH$5:$AH$1504,"&gt;0")))</f>
        <v/>
      </c>
      <c r="D27" s="25">
        <f>IF(A27="","",SUMIFS(PA_OECM_Register!$AF$5:$AF$1504,PA_OECM_Register!$Z$5:$Z$1504,1,PA_OECM_Register!$E$5:$E$1504,"PA",PA_OECM_Register!$AH$5:$AH$1504,"&gt;0",PA_OECM_Register!$AH$5:$AH$1504,"&lt;="&amp;A27)+SUMIFS(PA_OECM_Register!$AF$5:$AF$1504,PA_OECM_Register!$Z$5:$Z$1504,1,PA_OECM_Register!$E$5:$E$1504,"PA",PA_OECM_Register!$AH$5:$AH$1504,0)*B27)</f>
        <v/>
      </c>
      <c r="E27" s="25">
        <f>IF(A27="","",SUMIFS(PA_OECM_Register!$AF$5:$AF$1504,PA_OECM_Register!$Z$5:$Z$1504,1,PA_OECM_Register!$E$5:$E$1504,"OECM",PA_OECM_Register!$AH$5:$AH$1504,"&gt;0",PA_OECM_Register!$AH$5:$AH$1504,"&lt;="&amp;A27)+SUMIFS(PA_OECM_Register!$AF$5:$AF$1504,PA_OECM_Register!$Z$5:$Z$1504,1,PA_OECM_Register!$E$5:$E$1504,"OECM",PA_OECM_Register!$AH$5:$AH$1504,0)*C27)</f>
        <v/>
      </c>
      <c r="F27" s="26">
        <f>IF(A27="","",IF(N(Setup!$B$10)&gt;0,(D27+E27)/Setup!$B$10,""))</f>
        <v/>
      </c>
      <c r="G27" s="25">
        <f>IF(A27="","",SUMIFS(PA_OECM_Register!$AG$5:$AG$1504,PA_OECM_Register!$Z$5:$Z$1504,1,PA_OECM_Register!$E$5:$E$1504,"PA",PA_OECM_Register!$AH$5:$AH$1504,"&gt;0",PA_OECM_Register!$AH$5:$AH$1504,"&lt;="&amp;A27)+SUMIFS(PA_OECM_Register!$AG$5:$AG$1504,PA_OECM_Register!$Z$5:$Z$1504,1,PA_OECM_Register!$E$5:$E$1504,"PA",PA_OECM_Register!$AH$5:$AH$1504,0)*B27)</f>
        <v/>
      </c>
      <c r="H27" s="25">
        <f>IF(A27="","",SUMIFS(PA_OECM_Register!$AG$5:$AG$1504,PA_OECM_Register!$Z$5:$Z$1504,1,PA_OECM_Register!$E$5:$E$1504,"OECM",PA_OECM_Register!$AH$5:$AH$1504,"&gt;0",PA_OECM_Register!$AH$5:$AH$1504,"&lt;="&amp;A27)+SUMIFS(PA_OECM_Register!$AG$5:$AG$1504,PA_OECM_Register!$Z$5:$Z$1504,1,PA_OECM_Register!$E$5:$E$1504,"OECM",PA_OECM_Register!$AH$5:$AH$1504,0)*C27)</f>
        <v/>
      </c>
      <c r="I27" s="26">
        <f>IF(A27="","",IF(N(Setup!$B$11)&gt;0,(G27+H27)/Setup!$B$11,""))</f>
        <v/>
      </c>
      <c r="J27" s="26">
        <f>IF(A27="","",IF(N(Setup!$B$10)&gt;0,SUMIFS(PA_OECM_Register!$AF$5:$AF$1504,PA_OECM_Register!$Z$5:$Z$1504,1,PA_OECM_Register!$AH$5:$AH$1504,"&gt;0",PA_OECM_Register!$AH$5:$AH$1504,"&lt;="&amp;A27)/Setup!$B$10,""))</f>
        <v/>
      </c>
      <c r="K27" s="26">
        <f>IF(A27="","",IF(N(Setup!$B$11)&gt;0,SUMIFS(PA_OECM_Register!$AG$5:$AG$1504,PA_OECM_Register!$Z$5:$Z$1504,1,PA_OECM_Register!$AH$5:$AH$1504,"&gt;0",PA_OECM_Register!$AH$5:$AH$1504,"&lt;="&amp;A27)/Setup!$B$11,""))</f>
        <v/>
      </c>
    </row>
    <row r="28">
      <c r="A28" s="33">
        <f>IF(Setup!$B$27+23&gt;Setup!$B$6,"",Setup!$B$27+23)</f>
        <v/>
      </c>
      <c r="B28" s="38">
        <f>IF(A28="","",COUNTIFS(PA_OECM_Register!$Z$5:$Z$1504,1,PA_OECM_Register!$E$5:$E$1504,"PA",PA_OECM_Register!$AH$5:$AH$1504,"&gt;0",PA_OECM_Register!$AH$5:$AH$1504,"&lt;="&amp;A28)/MAX(1,COUNTIFS(PA_OECM_Register!$Z$5:$Z$1504,1,PA_OECM_Register!$E$5:$E$1504,"PA",PA_OECM_Register!$AH$5:$AH$1504,"&gt;0")))</f>
        <v/>
      </c>
      <c r="C28" s="38">
        <f>IF(A28="","",COUNTIFS(PA_OECM_Register!$Z$5:$Z$1504,1,PA_OECM_Register!$E$5:$E$1504,"OECM",PA_OECM_Register!$AH$5:$AH$1504,"&gt;0",PA_OECM_Register!$AH$5:$AH$1504,"&lt;="&amp;A28)/MAX(1,COUNTIFS(PA_OECM_Register!$Z$5:$Z$1504,1,PA_OECM_Register!$E$5:$E$1504,"OECM",PA_OECM_Register!$AH$5:$AH$1504,"&gt;0")))</f>
        <v/>
      </c>
      <c r="D28" s="25">
        <f>IF(A28="","",SUMIFS(PA_OECM_Register!$AF$5:$AF$1504,PA_OECM_Register!$Z$5:$Z$1504,1,PA_OECM_Register!$E$5:$E$1504,"PA",PA_OECM_Register!$AH$5:$AH$1504,"&gt;0",PA_OECM_Register!$AH$5:$AH$1504,"&lt;="&amp;A28)+SUMIFS(PA_OECM_Register!$AF$5:$AF$1504,PA_OECM_Register!$Z$5:$Z$1504,1,PA_OECM_Register!$E$5:$E$1504,"PA",PA_OECM_Register!$AH$5:$AH$1504,0)*B28)</f>
        <v/>
      </c>
      <c r="E28" s="25">
        <f>IF(A28="","",SUMIFS(PA_OECM_Register!$AF$5:$AF$1504,PA_OECM_Register!$Z$5:$Z$1504,1,PA_OECM_Register!$E$5:$E$1504,"OECM",PA_OECM_Register!$AH$5:$AH$1504,"&gt;0",PA_OECM_Register!$AH$5:$AH$1504,"&lt;="&amp;A28)+SUMIFS(PA_OECM_Register!$AF$5:$AF$1504,PA_OECM_Register!$Z$5:$Z$1504,1,PA_OECM_Register!$E$5:$E$1504,"OECM",PA_OECM_Register!$AH$5:$AH$1504,0)*C28)</f>
        <v/>
      </c>
      <c r="F28" s="26">
        <f>IF(A28="","",IF(N(Setup!$B$10)&gt;0,(D28+E28)/Setup!$B$10,""))</f>
        <v/>
      </c>
      <c r="G28" s="25">
        <f>IF(A28="","",SUMIFS(PA_OECM_Register!$AG$5:$AG$1504,PA_OECM_Register!$Z$5:$Z$1504,1,PA_OECM_Register!$E$5:$E$1504,"PA",PA_OECM_Register!$AH$5:$AH$1504,"&gt;0",PA_OECM_Register!$AH$5:$AH$1504,"&lt;="&amp;A28)+SUMIFS(PA_OECM_Register!$AG$5:$AG$1504,PA_OECM_Register!$Z$5:$Z$1504,1,PA_OECM_Register!$E$5:$E$1504,"PA",PA_OECM_Register!$AH$5:$AH$1504,0)*B28)</f>
        <v/>
      </c>
      <c r="H28" s="25">
        <f>IF(A28="","",SUMIFS(PA_OECM_Register!$AG$5:$AG$1504,PA_OECM_Register!$Z$5:$Z$1504,1,PA_OECM_Register!$E$5:$E$1504,"OECM",PA_OECM_Register!$AH$5:$AH$1504,"&gt;0",PA_OECM_Register!$AH$5:$AH$1504,"&lt;="&amp;A28)+SUMIFS(PA_OECM_Register!$AG$5:$AG$1504,PA_OECM_Register!$Z$5:$Z$1504,1,PA_OECM_Register!$E$5:$E$1504,"OECM",PA_OECM_Register!$AH$5:$AH$1504,0)*C28)</f>
        <v/>
      </c>
      <c r="I28" s="26">
        <f>IF(A28="","",IF(N(Setup!$B$11)&gt;0,(G28+H28)/Setup!$B$11,""))</f>
        <v/>
      </c>
      <c r="J28" s="26">
        <f>IF(A28="","",IF(N(Setup!$B$10)&gt;0,SUMIFS(PA_OECM_Register!$AF$5:$AF$1504,PA_OECM_Register!$Z$5:$Z$1504,1,PA_OECM_Register!$AH$5:$AH$1504,"&gt;0",PA_OECM_Register!$AH$5:$AH$1504,"&lt;="&amp;A28)/Setup!$B$10,""))</f>
        <v/>
      </c>
      <c r="K28" s="26">
        <f>IF(A28="","",IF(N(Setup!$B$11)&gt;0,SUMIFS(PA_OECM_Register!$AG$5:$AG$1504,PA_OECM_Register!$Z$5:$Z$1504,1,PA_OECM_Register!$AH$5:$AH$1504,"&gt;0",PA_OECM_Register!$AH$5:$AH$1504,"&lt;="&amp;A28)/Setup!$B$11,""))</f>
        <v/>
      </c>
    </row>
    <row r="29">
      <c r="A29" s="33">
        <f>IF(Setup!$B$27+24&gt;Setup!$B$6,"",Setup!$B$27+24)</f>
        <v/>
      </c>
      <c r="B29" s="38">
        <f>IF(A29="","",COUNTIFS(PA_OECM_Register!$Z$5:$Z$1504,1,PA_OECM_Register!$E$5:$E$1504,"PA",PA_OECM_Register!$AH$5:$AH$1504,"&gt;0",PA_OECM_Register!$AH$5:$AH$1504,"&lt;="&amp;A29)/MAX(1,COUNTIFS(PA_OECM_Register!$Z$5:$Z$1504,1,PA_OECM_Register!$E$5:$E$1504,"PA",PA_OECM_Register!$AH$5:$AH$1504,"&gt;0")))</f>
        <v/>
      </c>
      <c r="C29" s="38">
        <f>IF(A29="","",COUNTIFS(PA_OECM_Register!$Z$5:$Z$1504,1,PA_OECM_Register!$E$5:$E$1504,"OECM",PA_OECM_Register!$AH$5:$AH$1504,"&gt;0",PA_OECM_Register!$AH$5:$AH$1504,"&lt;="&amp;A29)/MAX(1,COUNTIFS(PA_OECM_Register!$Z$5:$Z$1504,1,PA_OECM_Register!$E$5:$E$1504,"OECM",PA_OECM_Register!$AH$5:$AH$1504,"&gt;0")))</f>
        <v/>
      </c>
      <c r="D29" s="25">
        <f>IF(A29="","",SUMIFS(PA_OECM_Register!$AF$5:$AF$1504,PA_OECM_Register!$Z$5:$Z$1504,1,PA_OECM_Register!$E$5:$E$1504,"PA",PA_OECM_Register!$AH$5:$AH$1504,"&gt;0",PA_OECM_Register!$AH$5:$AH$1504,"&lt;="&amp;A29)+SUMIFS(PA_OECM_Register!$AF$5:$AF$1504,PA_OECM_Register!$Z$5:$Z$1504,1,PA_OECM_Register!$E$5:$E$1504,"PA",PA_OECM_Register!$AH$5:$AH$1504,0)*B29)</f>
        <v/>
      </c>
      <c r="E29" s="25">
        <f>IF(A29="","",SUMIFS(PA_OECM_Register!$AF$5:$AF$1504,PA_OECM_Register!$Z$5:$Z$1504,1,PA_OECM_Register!$E$5:$E$1504,"OECM",PA_OECM_Register!$AH$5:$AH$1504,"&gt;0",PA_OECM_Register!$AH$5:$AH$1504,"&lt;="&amp;A29)+SUMIFS(PA_OECM_Register!$AF$5:$AF$1504,PA_OECM_Register!$Z$5:$Z$1504,1,PA_OECM_Register!$E$5:$E$1504,"OECM",PA_OECM_Register!$AH$5:$AH$1504,0)*C29)</f>
        <v/>
      </c>
      <c r="F29" s="26">
        <f>IF(A29="","",IF(N(Setup!$B$10)&gt;0,(D29+E29)/Setup!$B$10,""))</f>
        <v/>
      </c>
      <c r="G29" s="25">
        <f>IF(A29="","",SUMIFS(PA_OECM_Register!$AG$5:$AG$1504,PA_OECM_Register!$Z$5:$Z$1504,1,PA_OECM_Register!$E$5:$E$1504,"PA",PA_OECM_Register!$AH$5:$AH$1504,"&gt;0",PA_OECM_Register!$AH$5:$AH$1504,"&lt;="&amp;A29)+SUMIFS(PA_OECM_Register!$AG$5:$AG$1504,PA_OECM_Register!$Z$5:$Z$1504,1,PA_OECM_Register!$E$5:$E$1504,"PA",PA_OECM_Register!$AH$5:$AH$1504,0)*B29)</f>
        <v/>
      </c>
      <c r="H29" s="25">
        <f>IF(A29="","",SUMIFS(PA_OECM_Register!$AG$5:$AG$1504,PA_OECM_Register!$Z$5:$Z$1504,1,PA_OECM_Register!$E$5:$E$1504,"OECM",PA_OECM_Register!$AH$5:$AH$1504,"&gt;0",PA_OECM_Register!$AH$5:$AH$1504,"&lt;="&amp;A29)+SUMIFS(PA_OECM_Register!$AG$5:$AG$1504,PA_OECM_Register!$Z$5:$Z$1504,1,PA_OECM_Register!$E$5:$E$1504,"OECM",PA_OECM_Register!$AH$5:$AH$1504,0)*C29)</f>
        <v/>
      </c>
      <c r="I29" s="26">
        <f>IF(A29="","",IF(N(Setup!$B$11)&gt;0,(G29+H29)/Setup!$B$11,""))</f>
        <v/>
      </c>
      <c r="J29" s="26">
        <f>IF(A29="","",IF(N(Setup!$B$10)&gt;0,SUMIFS(PA_OECM_Register!$AF$5:$AF$1504,PA_OECM_Register!$Z$5:$Z$1504,1,PA_OECM_Register!$AH$5:$AH$1504,"&gt;0",PA_OECM_Register!$AH$5:$AH$1504,"&lt;="&amp;A29)/Setup!$B$10,""))</f>
        <v/>
      </c>
      <c r="K29" s="26">
        <f>IF(A29="","",IF(N(Setup!$B$11)&gt;0,SUMIFS(PA_OECM_Register!$AG$5:$AG$1504,PA_OECM_Register!$Z$5:$Z$1504,1,PA_OECM_Register!$AH$5:$AH$1504,"&gt;0",PA_OECM_Register!$AH$5:$AH$1504,"&lt;="&amp;A29)/Setup!$B$11,""))</f>
        <v/>
      </c>
    </row>
    <row r="30">
      <c r="A30" s="33">
        <f>IF(Setup!$B$27+25&gt;Setup!$B$6,"",Setup!$B$27+25)</f>
        <v/>
      </c>
      <c r="B30" s="38">
        <f>IF(A30="","",COUNTIFS(PA_OECM_Register!$Z$5:$Z$1504,1,PA_OECM_Register!$E$5:$E$1504,"PA",PA_OECM_Register!$AH$5:$AH$1504,"&gt;0",PA_OECM_Register!$AH$5:$AH$1504,"&lt;="&amp;A30)/MAX(1,COUNTIFS(PA_OECM_Register!$Z$5:$Z$1504,1,PA_OECM_Register!$E$5:$E$1504,"PA",PA_OECM_Register!$AH$5:$AH$1504,"&gt;0")))</f>
        <v/>
      </c>
      <c r="C30" s="38">
        <f>IF(A30="","",COUNTIFS(PA_OECM_Register!$Z$5:$Z$1504,1,PA_OECM_Register!$E$5:$E$1504,"OECM",PA_OECM_Register!$AH$5:$AH$1504,"&gt;0",PA_OECM_Register!$AH$5:$AH$1504,"&lt;="&amp;A30)/MAX(1,COUNTIFS(PA_OECM_Register!$Z$5:$Z$1504,1,PA_OECM_Register!$E$5:$E$1504,"OECM",PA_OECM_Register!$AH$5:$AH$1504,"&gt;0")))</f>
        <v/>
      </c>
      <c r="D30" s="25">
        <f>IF(A30="","",SUMIFS(PA_OECM_Register!$AF$5:$AF$1504,PA_OECM_Register!$Z$5:$Z$1504,1,PA_OECM_Register!$E$5:$E$1504,"PA",PA_OECM_Register!$AH$5:$AH$1504,"&gt;0",PA_OECM_Register!$AH$5:$AH$1504,"&lt;="&amp;A30)+SUMIFS(PA_OECM_Register!$AF$5:$AF$1504,PA_OECM_Register!$Z$5:$Z$1504,1,PA_OECM_Register!$E$5:$E$1504,"PA",PA_OECM_Register!$AH$5:$AH$1504,0)*B30)</f>
        <v/>
      </c>
      <c r="E30" s="25">
        <f>IF(A30="","",SUMIFS(PA_OECM_Register!$AF$5:$AF$1504,PA_OECM_Register!$Z$5:$Z$1504,1,PA_OECM_Register!$E$5:$E$1504,"OECM",PA_OECM_Register!$AH$5:$AH$1504,"&gt;0",PA_OECM_Register!$AH$5:$AH$1504,"&lt;="&amp;A30)+SUMIFS(PA_OECM_Register!$AF$5:$AF$1504,PA_OECM_Register!$Z$5:$Z$1504,1,PA_OECM_Register!$E$5:$E$1504,"OECM",PA_OECM_Register!$AH$5:$AH$1504,0)*C30)</f>
        <v/>
      </c>
      <c r="F30" s="26">
        <f>IF(A30="","",IF(N(Setup!$B$10)&gt;0,(D30+E30)/Setup!$B$10,""))</f>
        <v/>
      </c>
      <c r="G30" s="25">
        <f>IF(A30="","",SUMIFS(PA_OECM_Register!$AG$5:$AG$1504,PA_OECM_Register!$Z$5:$Z$1504,1,PA_OECM_Register!$E$5:$E$1504,"PA",PA_OECM_Register!$AH$5:$AH$1504,"&gt;0",PA_OECM_Register!$AH$5:$AH$1504,"&lt;="&amp;A30)+SUMIFS(PA_OECM_Register!$AG$5:$AG$1504,PA_OECM_Register!$Z$5:$Z$1504,1,PA_OECM_Register!$E$5:$E$1504,"PA",PA_OECM_Register!$AH$5:$AH$1504,0)*B30)</f>
        <v/>
      </c>
      <c r="H30" s="25">
        <f>IF(A30="","",SUMIFS(PA_OECM_Register!$AG$5:$AG$1504,PA_OECM_Register!$Z$5:$Z$1504,1,PA_OECM_Register!$E$5:$E$1504,"OECM",PA_OECM_Register!$AH$5:$AH$1504,"&gt;0",PA_OECM_Register!$AH$5:$AH$1504,"&lt;="&amp;A30)+SUMIFS(PA_OECM_Register!$AG$5:$AG$1504,PA_OECM_Register!$Z$5:$Z$1504,1,PA_OECM_Register!$E$5:$E$1504,"OECM",PA_OECM_Register!$AH$5:$AH$1504,0)*C30)</f>
        <v/>
      </c>
      <c r="I30" s="26">
        <f>IF(A30="","",IF(N(Setup!$B$11)&gt;0,(G30+H30)/Setup!$B$11,""))</f>
        <v/>
      </c>
      <c r="J30" s="26">
        <f>IF(A30="","",IF(N(Setup!$B$10)&gt;0,SUMIFS(PA_OECM_Register!$AF$5:$AF$1504,PA_OECM_Register!$Z$5:$Z$1504,1,PA_OECM_Register!$AH$5:$AH$1504,"&gt;0",PA_OECM_Register!$AH$5:$AH$1504,"&lt;="&amp;A30)/Setup!$B$10,""))</f>
        <v/>
      </c>
      <c r="K30" s="26">
        <f>IF(A30="","",IF(N(Setup!$B$11)&gt;0,SUMIFS(PA_OECM_Register!$AG$5:$AG$1504,PA_OECM_Register!$Z$5:$Z$1504,1,PA_OECM_Register!$AH$5:$AH$1504,"&gt;0",PA_OECM_Register!$AH$5:$AH$1504,"&lt;="&amp;A30)/Setup!$B$11,""))</f>
        <v/>
      </c>
    </row>
    <row r="31">
      <c r="A31" s="33">
        <f>IF(Setup!$B$27+26&gt;Setup!$B$6,"",Setup!$B$27+26)</f>
        <v/>
      </c>
      <c r="B31" s="38">
        <f>IF(A31="","",COUNTIFS(PA_OECM_Register!$Z$5:$Z$1504,1,PA_OECM_Register!$E$5:$E$1504,"PA",PA_OECM_Register!$AH$5:$AH$1504,"&gt;0",PA_OECM_Register!$AH$5:$AH$1504,"&lt;="&amp;A31)/MAX(1,COUNTIFS(PA_OECM_Register!$Z$5:$Z$1504,1,PA_OECM_Register!$E$5:$E$1504,"PA",PA_OECM_Register!$AH$5:$AH$1504,"&gt;0")))</f>
        <v/>
      </c>
      <c r="C31" s="38">
        <f>IF(A31="","",COUNTIFS(PA_OECM_Register!$Z$5:$Z$1504,1,PA_OECM_Register!$E$5:$E$1504,"OECM",PA_OECM_Register!$AH$5:$AH$1504,"&gt;0",PA_OECM_Register!$AH$5:$AH$1504,"&lt;="&amp;A31)/MAX(1,COUNTIFS(PA_OECM_Register!$Z$5:$Z$1504,1,PA_OECM_Register!$E$5:$E$1504,"OECM",PA_OECM_Register!$AH$5:$AH$1504,"&gt;0")))</f>
        <v/>
      </c>
      <c r="D31" s="25">
        <f>IF(A31="","",SUMIFS(PA_OECM_Register!$AF$5:$AF$1504,PA_OECM_Register!$Z$5:$Z$1504,1,PA_OECM_Register!$E$5:$E$1504,"PA",PA_OECM_Register!$AH$5:$AH$1504,"&gt;0",PA_OECM_Register!$AH$5:$AH$1504,"&lt;="&amp;A31)+SUMIFS(PA_OECM_Register!$AF$5:$AF$1504,PA_OECM_Register!$Z$5:$Z$1504,1,PA_OECM_Register!$E$5:$E$1504,"PA",PA_OECM_Register!$AH$5:$AH$1504,0)*B31)</f>
        <v/>
      </c>
      <c r="E31" s="25">
        <f>IF(A31="","",SUMIFS(PA_OECM_Register!$AF$5:$AF$1504,PA_OECM_Register!$Z$5:$Z$1504,1,PA_OECM_Register!$E$5:$E$1504,"OECM",PA_OECM_Register!$AH$5:$AH$1504,"&gt;0",PA_OECM_Register!$AH$5:$AH$1504,"&lt;="&amp;A31)+SUMIFS(PA_OECM_Register!$AF$5:$AF$1504,PA_OECM_Register!$Z$5:$Z$1504,1,PA_OECM_Register!$E$5:$E$1504,"OECM",PA_OECM_Register!$AH$5:$AH$1504,0)*C31)</f>
        <v/>
      </c>
      <c r="F31" s="26">
        <f>IF(A31="","",IF(N(Setup!$B$10)&gt;0,(D31+E31)/Setup!$B$10,""))</f>
        <v/>
      </c>
      <c r="G31" s="25">
        <f>IF(A31="","",SUMIFS(PA_OECM_Register!$AG$5:$AG$1504,PA_OECM_Register!$Z$5:$Z$1504,1,PA_OECM_Register!$E$5:$E$1504,"PA",PA_OECM_Register!$AH$5:$AH$1504,"&gt;0",PA_OECM_Register!$AH$5:$AH$1504,"&lt;="&amp;A31)+SUMIFS(PA_OECM_Register!$AG$5:$AG$1504,PA_OECM_Register!$Z$5:$Z$1504,1,PA_OECM_Register!$E$5:$E$1504,"PA",PA_OECM_Register!$AH$5:$AH$1504,0)*B31)</f>
        <v/>
      </c>
      <c r="H31" s="25">
        <f>IF(A31="","",SUMIFS(PA_OECM_Register!$AG$5:$AG$1504,PA_OECM_Register!$Z$5:$Z$1504,1,PA_OECM_Register!$E$5:$E$1504,"OECM",PA_OECM_Register!$AH$5:$AH$1504,"&gt;0",PA_OECM_Register!$AH$5:$AH$1504,"&lt;="&amp;A31)+SUMIFS(PA_OECM_Register!$AG$5:$AG$1504,PA_OECM_Register!$Z$5:$Z$1504,1,PA_OECM_Register!$E$5:$E$1504,"OECM",PA_OECM_Register!$AH$5:$AH$1504,0)*C31)</f>
        <v/>
      </c>
      <c r="I31" s="26">
        <f>IF(A31="","",IF(N(Setup!$B$11)&gt;0,(G31+H31)/Setup!$B$11,""))</f>
        <v/>
      </c>
      <c r="J31" s="26">
        <f>IF(A31="","",IF(N(Setup!$B$10)&gt;0,SUMIFS(PA_OECM_Register!$AF$5:$AF$1504,PA_OECM_Register!$Z$5:$Z$1504,1,PA_OECM_Register!$AH$5:$AH$1504,"&gt;0",PA_OECM_Register!$AH$5:$AH$1504,"&lt;="&amp;A31)/Setup!$B$10,""))</f>
        <v/>
      </c>
      <c r="K31" s="26">
        <f>IF(A31="","",IF(N(Setup!$B$11)&gt;0,SUMIFS(PA_OECM_Register!$AG$5:$AG$1504,PA_OECM_Register!$Z$5:$Z$1504,1,PA_OECM_Register!$AH$5:$AH$1504,"&gt;0",PA_OECM_Register!$AH$5:$AH$1504,"&lt;="&amp;A31)/Setup!$B$11,""))</f>
        <v/>
      </c>
    </row>
    <row r="32">
      <c r="A32" s="33">
        <f>IF(Setup!$B$27+27&gt;Setup!$B$6,"",Setup!$B$27+27)</f>
        <v/>
      </c>
      <c r="B32" s="38">
        <f>IF(A32="","",COUNTIFS(PA_OECM_Register!$Z$5:$Z$1504,1,PA_OECM_Register!$E$5:$E$1504,"PA",PA_OECM_Register!$AH$5:$AH$1504,"&gt;0",PA_OECM_Register!$AH$5:$AH$1504,"&lt;="&amp;A32)/MAX(1,COUNTIFS(PA_OECM_Register!$Z$5:$Z$1504,1,PA_OECM_Register!$E$5:$E$1504,"PA",PA_OECM_Register!$AH$5:$AH$1504,"&gt;0")))</f>
        <v/>
      </c>
      <c r="C32" s="38">
        <f>IF(A32="","",COUNTIFS(PA_OECM_Register!$Z$5:$Z$1504,1,PA_OECM_Register!$E$5:$E$1504,"OECM",PA_OECM_Register!$AH$5:$AH$1504,"&gt;0",PA_OECM_Register!$AH$5:$AH$1504,"&lt;="&amp;A32)/MAX(1,COUNTIFS(PA_OECM_Register!$Z$5:$Z$1504,1,PA_OECM_Register!$E$5:$E$1504,"OECM",PA_OECM_Register!$AH$5:$AH$1504,"&gt;0")))</f>
        <v/>
      </c>
      <c r="D32" s="25">
        <f>IF(A32="","",SUMIFS(PA_OECM_Register!$AF$5:$AF$1504,PA_OECM_Register!$Z$5:$Z$1504,1,PA_OECM_Register!$E$5:$E$1504,"PA",PA_OECM_Register!$AH$5:$AH$1504,"&gt;0",PA_OECM_Register!$AH$5:$AH$1504,"&lt;="&amp;A32)+SUMIFS(PA_OECM_Register!$AF$5:$AF$1504,PA_OECM_Register!$Z$5:$Z$1504,1,PA_OECM_Register!$E$5:$E$1504,"PA",PA_OECM_Register!$AH$5:$AH$1504,0)*B32)</f>
        <v/>
      </c>
      <c r="E32" s="25">
        <f>IF(A32="","",SUMIFS(PA_OECM_Register!$AF$5:$AF$1504,PA_OECM_Register!$Z$5:$Z$1504,1,PA_OECM_Register!$E$5:$E$1504,"OECM",PA_OECM_Register!$AH$5:$AH$1504,"&gt;0",PA_OECM_Register!$AH$5:$AH$1504,"&lt;="&amp;A32)+SUMIFS(PA_OECM_Register!$AF$5:$AF$1504,PA_OECM_Register!$Z$5:$Z$1504,1,PA_OECM_Register!$E$5:$E$1504,"OECM",PA_OECM_Register!$AH$5:$AH$1504,0)*C32)</f>
        <v/>
      </c>
      <c r="F32" s="26">
        <f>IF(A32="","",IF(N(Setup!$B$10)&gt;0,(D32+E32)/Setup!$B$10,""))</f>
        <v/>
      </c>
      <c r="G32" s="25">
        <f>IF(A32="","",SUMIFS(PA_OECM_Register!$AG$5:$AG$1504,PA_OECM_Register!$Z$5:$Z$1504,1,PA_OECM_Register!$E$5:$E$1504,"PA",PA_OECM_Register!$AH$5:$AH$1504,"&gt;0",PA_OECM_Register!$AH$5:$AH$1504,"&lt;="&amp;A32)+SUMIFS(PA_OECM_Register!$AG$5:$AG$1504,PA_OECM_Register!$Z$5:$Z$1504,1,PA_OECM_Register!$E$5:$E$1504,"PA",PA_OECM_Register!$AH$5:$AH$1504,0)*B32)</f>
        <v/>
      </c>
      <c r="H32" s="25">
        <f>IF(A32="","",SUMIFS(PA_OECM_Register!$AG$5:$AG$1504,PA_OECM_Register!$Z$5:$Z$1504,1,PA_OECM_Register!$E$5:$E$1504,"OECM",PA_OECM_Register!$AH$5:$AH$1504,"&gt;0",PA_OECM_Register!$AH$5:$AH$1504,"&lt;="&amp;A32)+SUMIFS(PA_OECM_Register!$AG$5:$AG$1504,PA_OECM_Register!$Z$5:$Z$1504,1,PA_OECM_Register!$E$5:$E$1504,"OECM",PA_OECM_Register!$AH$5:$AH$1504,0)*C32)</f>
        <v/>
      </c>
      <c r="I32" s="26">
        <f>IF(A32="","",IF(N(Setup!$B$11)&gt;0,(G32+H32)/Setup!$B$11,""))</f>
        <v/>
      </c>
      <c r="J32" s="26">
        <f>IF(A32="","",IF(N(Setup!$B$10)&gt;0,SUMIFS(PA_OECM_Register!$AF$5:$AF$1504,PA_OECM_Register!$Z$5:$Z$1504,1,PA_OECM_Register!$AH$5:$AH$1504,"&gt;0",PA_OECM_Register!$AH$5:$AH$1504,"&lt;="&amp;A32)/Setup!$B$10,""))</f>
        <v/>
      </c>
      <c r="K32" s="26">
        <f>IF(A32="","",IF(N(Setup!$B$11)&gt;0,SUMIFS(PA_OECM_Register!$AG$5:$AG$1504,PA_OECM_Register!$Z$5:$Z$1504,1,PA_OECM_Register!$AH$5:$AH$1504,"&gt;0",PA_OECM_Register!$AH$5:$AH$1504,"&lt;="&amp;A32)/Setup!$B$11,""))</f>
        <v/>
      </c>
    </row>
    <row r="33">
      <c r="A33" s="33">
        <f>IF(Setup!$B$27+28&gt;Setup!$B$6,"",Setup!$B$27+28)</f>
        <v/>
      </c>
      <c r="B33" s="38">
        <f>IF(A33="","",COUNTIFS(PA_OECM_Register!$Z$5:$Z$1504,1,PA_OECM_Register!$E$5:$E$1504,"PA",PA_OECM_Register!$AH$5:$AH$1504,"&gt;0",PA_OECM_Register!$AH$5:$AH$1504,"&lt;="&amp;A33)/MAX(1,COUNTIFS(PA_OECM_Register!$Z$5:$Z$1504,1,PA_OECM_Register!$E$5:$E$1504,"PA",PA_OECM_Register!$AH$5:$AH$1504,"&gt;0")))</f>
        <v/>
      </c>
      <c r="C33" s="38">
        <f>IF(A33="","",COUNTIFS(PA_OECM_Register!$Z$5:$Z$1504,1,PA_OECM_Register!$E$5:$E$1504,"OECM",PA_OECM_Register!$AH$5:$AH$1504,"&gt;0",PA_OECM_Register!$AH$5:$AH$1504,"&lt;="&amp;A33)/MAX(1,COUNTIFS(PA_OECM_Register!$Z$5:$Z$1504,1,PA_OECM_Register!$E$5:$E$1504,"OECM",PA_OECM_Register!$AH$5:$AH$1504,"&gt;0")))</f>
        <v/>
      </c>
      <c r="D33" s="25">
        <f>IF(A33="","",SUMIFS(PA_OECM_Register!$AF$5:$AF$1504,PA_OECM_Register!$Z$5:$Z$1504,1,PA_OECM_Register!$E$5:$E$1504,"PA",PA_OECM_Register!$AH$5:$AH$1504,"&gt;0",PA_OECM_Register!$AH$5:$AH$1504,"&lt;="&amp;A33)+SUMIFS(PA_OECM_Register!$AF$5:$AF$1504,PA_OECM_Register!$Z$5:$Z$1504,1,PA_OECM_Register!$E$5:$E$1504,"PA",PA_OECM_Register!$AH$5:$AH$1504,0)*B33)</f>
        <v/>
      </c>
      <c r="E33" s="25">
        <f>IF(A33="","",SUMIFS(PA_OECM_Register!$AF$5:$AF$1504,PA_OECM_Register!$Z$5:$Z$1504,1,PA_OECM_Register!$E$5:$E$1504,"OECM",PA_OECM_Register!$AH$5:$AH$1504,"&gt;0",PA_OECM_Register!$AH$5:$AH$1504,"&lt;="&amp;A33)+SUMIFS(PA_OECM_Register!$AF$5:$AF$1504,PA_OECM_Register!$Z$5:$Z$1504,1,PA_OECM_Register!$E$5:$E$1504,"OECM",PA_OECM_Register!$AH$5:$AH$1504,0)*C33)</f>
        <v/>
      </c>
      <c r="F33" s="26">
        <f>IF(A33="","",IF(N(Setup!$B$10)&gt;0,(D33+E33)/Setup!$B$10,""))</f>
        <v/>
      </c>
      <c r="G33" s="25">
        <f>IF(A33="","",SUMIFS(PA_OECM_Register!$AG$5:$AG$1504,PA_OECM_Register!$Z$5:$Z$1504,1,PA_OECM_Register!$E$5:$E$1504,"PA",PA_OECM_Register!$AH$5:$AH$1504,"&gt;0",PA_OECM_Register!$AH$5:$AH$1504,"&lt;="&amp;A33)+SUMIFS(PA_OECM_Register!$AG$5:$AG$1504,PA_OECM_Register!$Z$5:$Z$1504,1,PA_OECM_Register!$E$5:$E$1504,"PA",PA_OECM_Register!$AH$5:$AH$1504,0)*B33)</f>
        <v/>
      </c>
      <c r="H33" s="25">
        <f>IF(A33="","",SUMIFS(PA_OECM_Register!$AG$5:$AG$1504,PA_OECM_Register!$Z$5:$Z$1504,1,PA_OECM_Register!$E$5:$E$1504,"OECM",PA_OECM_Register!$AH$5:$AH$1504,"&gt;0",PA_OECM_Register!$AH$5:$AH$1504,"&lt;="&amp;A33)+SUMIFS(PA_OECM_Register!$AG$5:$AG$1504,PA_OECM_Register!$Z$5:$Z$1504,1,PA_OECM_Register!$E$5:$E$1504,"OECM",PA_OECM_Register!$AH$5:$AH$1504,0)*C33)</f>
        <v/>
      </c>
      <c r="I33" s="26">
        <f>IF(A33="","",IF(N(Setup!$B$11)&gt;0,(G33+H33)/Setup!$B$11,""))</f>
        <v/>
      </c>
      <c r="J33" s="26">
        <f>IF(A33="","",IF(N(Setup!$B$10)&gt;0,SUMIFS(PA_OECM_Register!$AF$5:$AF$1504,PA_OECM_Register!$Z$5:$Z$1504,1,PA_OECM_Register!$AH$5:$AH$1504,"&gt;0",PA_OECM_Register!$AH$5:$AH$1504,"&lt;="&amp;A33)/Setup!$B$10,""))</f>
        <v/>
      </c>
      <c r="K33" s="26">
        <f>IF(A33="","",IF(N(Setup!$B$11)&gt;0,SUMIFS(PA_OECM_Register!$AG$5:$AG$1504,PA_OECM_Register!$Z$5:$Z$1504,1,PA_OECM_Register!$AH$5:$AH$1504,"&gt;0",PA_OECM_Register!$AH$5:$AH$1504,"&lt;="&amp;A33)/Setup!$B$11,""))</f>
        <v/>
      </c>
    </row>
    <row r="34">
      <c r="A34" s="33">
        <f>IF(Setup!$B$27+29&gt;Setup!$B$6,"",Setup!$B$27+29)</f>
        <v/>
      </c>
      <c r="B34" s="38">
        <f>IF(A34="","",COUNTIFS(PA_OECM_Register!$Z$5:$Z$1504,1,PA_OECM_Register!$E$5:$E$1504,"PA",PA_OECM_Register!$AH$5:$AH$1504,"&gt;0",PA_OECM_Register!$AH$5:$AH$1504,"&lt;="&amp;A34)/MAX(1,COUNTIFS(PA_OECM_Register!$Z$5:$Z$1504,1,PA_OECM_Register!$E$5:$E$1504,"PA",PA_OECM_Register!$AH$5:$AH$1504,"&gt;0")))</f>
        <v/>
      </c>
      <c r="C34" s="38">
        <f>IF(A34="","",COUNTIFS(PA_OECM_Register!$Z$5:$Z$1504,1,PA_OECM_Register!$E$5:$E$1504,"OECM",PA_OECM_Register!$AH$5:$AH$1504,"&gt;0",PA_OECM_Register!$AH$5:$AH$1504,"&lt;="&amp;A34)/MAX(1,COUNTIFS(PA_OECM_Register!$Z$5:$Z$1504,1,PA_OECM_Register!$E$5:$E$1504,"OECM",PA_OECM_Register!$AH$5:$AH$1504,"&gt;0")))</f>
        <v/>
      </c>
      <c r="D34" s="25">
        <f>IF(A34="","",SUMIFS(PA_OECM_Register!$AF$5:$AF$1504,PA_OECM_Register!$Z$5:$Z$1504,1,PA_OECM_Register!$E$5:$E$1504,"PA",PA_OECM_Register!$AH$5:$AH$1504,"&gt;0",PA_OECM_Register!$AH$5:$AH$1504,"&lt;="&amp;A34)+SUMIFS(PA_OECM_Register!$AF$5:$AF$1504,PA_OECM_Register!$Z$5:$Z$1504,1,PA_OECM_Register!$E$5:$E$1504,"PA",PA_OECM_Register!$AH$5:$AH$1504,0)*B34)</f>
        <v/>
      </c>
      <c r="E34" s="25">
        <f>IF(A34="","",SUMIFS(PA_OECM_Register!$AF$5:$AF$1504,PA_OECM_Register!$Z$5:$Z$1504,1,PA_OECM_Register!$E$5:$E$1504,"OECM",PA_OECM_Register!$AH$5:$AH$1504,"&gt;0",PA_OECM_Register!$AH$5:$AH$1504,"&lt;="&amp;A34)+SUMIFS(PA_OECM_Register!$AF$5:$AF$1504,PA_OECM_Register!$Z$5:$Z$1504,1,PA_OECM_Register!$E$5:$E$1504,"OECM",PA_OECM_Register!$AH$5:$AH$1504,0)*C34)</f>
        <v/>
      </c>
      <c r="F34" s="26">
        <f>IF(A34="","",IF(N(Setup!$B$10)&gt;0,(D34+E34)/Setup!$B$10,""))</f>
        <v/>
      </c>
      <c r="G34" s="25">
        <f>IF(A34="","",SUMIFS(PA_OECM_Register!$AG$5:$AG$1504,PA_OECM_Register!$Z$5:$Z$1504,1,PA_OECM_Register!$E$5:$E$1504,"PA",PA_OECM_Register!$AH$5:$AH$1504,"&gt;0",PA_OECM_Register!$AH$5:$AH$1504,"&lt;="&amp;A34)+SUMIFS(PA_OECM_Register!$AG$5:$AG$1504,PA_OECM_Register!$Z$5:$Z$1504,1,PA_OECM_Register!$E$5:$E$1504,"PA",PA_OECM_Register!$AH$5:$AH$1504,0)*B34)</f>
        <v/>
      </c>
      <c r="H34" s="25">
        <f>IF(A34="","",SUMIFS(PA_OECM_Register!$AG$5:$AG$1504,PA_OECM_Register!$Z$5:$Z$1504,1,PA_OECM_Register!$E$5:$E$1504,"OECM",PA_OECM_Register!$AH$5:$AH$1504,"&gt;0",PA_OECM_Register!$AH$5:$AH$1504,"&lt;="&amp;A34)+SUMIFS(PA_OECM_Register!$AG$5:$AG$1504,PA_OECM_Register!$Z$5:$Z$1504,1,PA_OECM_Register!$E$5:$E$1504,"OECM",PA_OECM_Register!$AH$5:$AH$1504,0)*C34)</f>
        <v/>
      </c>
      <c r="I34" s="26">
        <f>IF(A34="","",IF(N(Setup!$B$11)&gt;0,(G34+H34)/Setup!$B$11,""))</f>
        <v/>
      </c>
      <c r="J34" s="26">
        <f>IF(A34="","",IF(N(Setup!$B$10)&gt;0,SUMIFS(PA_OECM_Register!$AF$5:$AF$1504,PA_OECM_Register!$Z$5:$Z$1504,1,PA_OECM_Register!$AH$5:$AH$1504,"&gt;0",PA_OECM_Register!$AH$5:$AH$1504,"&lt;="&amp;A34)/Setup!$B$10,""))</f>
        <v/>
      </c>
      <c r="K34" s="26">
        <f>IF(A34="","",IF(N(Setup!$B$11)&gt;0,SUMIFS(PA_OECM_Register!$AG$5:$AG$1504,PA_OECM_Register!$Z$5:$Z$1504,1,PA_OECM_Register!$AH$5:$AH$1504,"&gt;0",PA_OECM_Register!$AH$5:$AH$1504,"&lt;="&amp;A34)/Setup!$B$11,""))</f>
        <v/>
      </c>
    </row>
    <row r="35">
      <c r="A35" s="33">
        <f>IF(Setup!$B$27+30&gt;Setup!$B$6,"",Setup!$B$27+30)</f>
        <v/>
      </c>
      <c r="B35" s="38">
        <f>IF(A35="","",COUNTIFS(PA_OECM_Register!$Z$5:$Z$1504,1,PA_OECM_Register!$E$5:$E$1504,"PA",PA_OECM_Register!$AH$5:$AH$1504,"&gt;0",PA_OECM_Register!$AH$5:$AH$1504,"&lt;="&amp;A35)/MAX(1,COUNTIFS(PA_OECM_Register!$Z$5:$Z$1504,1,PA_OECM_Register!$E$5:$E$1504,"PA",PA_OECM_Register!$AH$5:$AH$1504,"&gt;0")))</f>
        <v/>
      </c>
      <c r="C35" s="38">
        <f>IF(A35="","",COUNTIFS(PA_OECM_Register!$Z$5:$Z$1504,1,PA_OECM_Register!$E$5:$E$1504,"OECM",PA_OECM_Register!$AH$5:$AH$1504,"&gt;0",PA_OECM_Register!$AH$5:$AH$1504,"&lt;="&amp;A35)/MAX(1,COUNTIFS(PA_OECM_Register!$Z$5:$Z$1504,1,PA_OECM_Register!$E$5:$E$1504,"OECM",PA_OECM_Register!$AH$5:$AH$1504,"&gt;0")))</f>
        <v/>
      </c>
      <c r="D35" s="25">
        <f>IF(A35="","",SUMIFS(PA_OECM_Register!$AF$5:$AF$1504,PA_OECM_Register!$Z$5:$Z$1504,1,PA_OECM_Register!$E$5:$E$1504,"PA",PA_OECM_Register!$AH$5:$AH$1504,"&gt;0",PA_OECM_Register!$AH$5:$AH$1504,"&lt;="&amp;A35)+SUMIFS(PA_OECM_Register!$AF$5:$AF$1504,PA_OECM_Register!$Z$5:$Z$1504,1,PA_OECM_Register!$E$5:$E$1504,"PA",PA_OECM_Register!$AH$5:$AH$1504,0)*B35)</f>
        <v/>
      </c>
      <c r="E35" s="25">
        <f>IF(A35="","",SUMIFS(PA_OECM_Register!$AF$5:$AF$1504,PA_OECM_Register!$Z$5:$Z$1504,1,PA_OECM_Register!$E$5:$E$1504,"OECM",PA_OECM_Register!$AH$5:$AH$1504,"&gt;0",PA_OECM_Register!$AH$5:$AH$1504,"&lt;="&amp;A35)+SUMIFS(PA_OECM_Register!$AF$5:$AF$1504,PA_OECM_Register!$Z$5:$Z$1504,1,PA_OECM_Register!$E$5:$E$1504,"OECM",PA_OECM_Register!$AH$5:$AH$1504,0)*C35)</f>
        <v/>
      </c>
      <c r="F35" s="26">
        <f>IF(A35="","",IF(N(Setup!$B$10)&gt;0,(D35+E35)/Setup!$B$10,""))</f>
        <v/>
      </c>
      <c r="G35" s="25">
        <f>IF(A35="","",SUMIFS(PA_OECM_Register!$AG$5:$AG$1504,PA_OECM_Register!$Z$5:$Z$1504,1,PA_OECM_Register!$E$5:$E$1504,"PA",PA_OECM_Register!$AH$5:$AH$1504,"&gt;0",PA_OECM_Register!$AH$5:$AH$1504,"&lt;="&amp;A35)+SUMIFS(PA_OECM_Register!$AG$5:$AG$1504,PA_OECM_Register!$Z$5:$Z$1504,1,PA_OECM_Register!$E$5:$E$1504,"PA",PA_OECM_Register!$AH$5:$AH$1504,0)*B35)</f>
        <v/>
      </c>
      <c r="H35" s="25">
        <f>IF(A35="","",SUMIFS(PA_OECM_Register!$AG$5:$AG$1504,PA_OECM_Register!$Z$5:$Z$1504,1,PA_OECM_Register!$E$5:$E$1504,"OECM",PA_OECM_Register!$AH$5:$AH$1504,"&gt;0",PA_OECM_Register!$AH$5:$AH$1504,"&lt;="&amp;A35)+SUMIFS(PA_OECM_Register!$AG$5:$AG$1504,PA_OECM_Register!$Z$5:$Z$1504,1,PA_OECM_Register!$E$5:$E$1504,"OECM",PA_OECM_Register!$AH$5:$AH$1504,0)*C35)</f>
        <v/>
      </c>
      <c r="I35" s="26">
        <f>IF(A35="","",IF(N(Setup!$B$11)&gt;0,(G35+H35)/Setup!$B$11,""))</f>
        <v/>
      </c>
      <c r="J35" s="26">
        <f>IF(A35="","",IF(N(Setup!$B$10)&gt;0,SUMIFS(PA_OECM_Register!$AF$5:$AF$1504,PA_OECM_Register!$Z$5:$Z$1504,1,PA_OECM_Register!$AH$5:$AH$1504,"&gt;0",PA_OECM_Register!$AH$5:$AH$1504,"&lt;="&amp;A35)/Setup!$B$10,""))</f>
        <v/>
      </c>
      <c r="K35" s="26">
        <f>IF(A35="","",IF(N(Setup!$B$11)&gt;0,SUMIFS(PA_OECM_Register!$AG$5:$AG$1504,PA_OECM_Register!$Z$5:$Z$1504,1,PA_OECM_Register!$AH$5:$AH$1504,"&gt;0",PA_OECM_Register!$AH$5:$AH$1504,"&lt;="&amp;A35)/Setup!$B$11,""))</f>
        <v/>
      </c>
    </row>
    <row r="36">
      <c r="A36" s="33">
        <f>IF(Setup!$B$27+31&gt;Setup!$B$6,"",Setup!$B$27+31)</f>
        <v/>
      </c>
      <c r="B36" s="38">
        <f>IF(A36="","",COUNTIFS(PA_OECM_Register!$Z$5:$Z$1504,1,PA_OECM_Register!$E$5:$E$1504,"PA",PA_OECM_Register!$AH$5:$AH$1504,"&gt;0",PA_OECM_Register!$AH$5:$AH$1504,"&lt;="&amp;A36)/MAX(1,COUNTIFS(PA_OECM_Register!$Z$5:$Z$1504,1,PA_OECM_Register!$E$5:$E$1504,"PA",PA_OECM_Register!$AH$5:$AH$1504,"&gt;0")))</f>
        <v/>
      </c>
      <c r="C36" s="38">
        <f>IF(A36="","",COUNTIFS(PA_OECM_Register!$Z$5:$Z$1504,1,PA_OECM_Register!$E$5:$E$1504,"OECM",PA_OECM_Register!$AH$5:$AH$1504,"&gt;0",PA_OECM_Register!$AH$5:$AH$1504,"&lt;="&amp;A36)/MAX(1,COUNTIFS(PA_OECM_Register!$Z$5:$Z$1504,1,PA_OECM_Register!$E$5:$E$1504,"OECM",PA_OECM_Register!$AH$5:$AH$1504,"&gt;0")))</f>
        <v/>
      </c>
      <c r="D36" s="25">
        <f>IF(A36="","",SUMIFS(PA_OECM_Register!$AF$5:$AF$1504,PA_OECM_Register!$Z$5:$Z$1504,1,PA_OECM_Register!$E$5:$E$1504,"PA",PA_OECM_Register!$AH$5:$AH$1504,"&gt;0",PA_OECM_Register!$AH$5:$AH$1504,"&lt;="&amp;A36)+SUMIFS(PA_OECM_Register!$AF$5:$AF$1504,PA_OECM_Register!$Z$5:$Z$1504,1,PA_OECM_Register!$E$5:$E$1504,"PA",PA_OECM_Register!$AH$5:$AH$1504,0)*B36)</f>
        <v/>
      </c>
      <c r="E36" s="25">
        <f>IF(A36="","",SUMIFS(PA_OECM_Register!$AF$5:$AF$1504,PA_OECM_Register!$Z$5:$Z$1504,1,PA_OECM_Register!$E$5:$E$1504,"OECM",PA_OECM_Register!$AH$5:$AH$1504,"&gt;0",PA_OECM_Register!$AH$5:$AH$1504,"&lt;="&amp;A36)+SUMIFS(PA_OECM_Register!$AF$5:$AF$1504,PA_OECM_Register!$Z$5:$Z$1504,1,PA_OECM_Register!$E$5:$E$1504,"OECM",PA_OECM_Register!$AH$5:$AH$1504,0)*C36)</f>
        <v/>
      </c>
      <c r="F36" s="26">
        <f>IF(A36="","",IF(N(Setup!$B$10)&gt;0,(D36+E36)/Setup!$B$10,""))</f>
        <v/>
      </c>
      <c r="G36" s="25">
        <f>IF(A36="","",SUMIFS(PA_OECM_Register!$AG$5:$AG$1504,PA_OECM_Register!$Z$5:$Z$1504,1,PA_OECM_Register!$E$5:$E$1504,"PA",PA_OECM_Register!$AH$5:$AH$1504,"&gt;0",PA_OECM_Register!$AH$5:$AH$1504,"&lt;="&amp;A36)+SUMIFS(PA_OECM_Register!$AG$5:$AG$1504,PA_OECM_Register!$Z$5:$Z$1504,1,PA_OECM_Register!$E$5:$E$1504,"PA",PA_OECM_Register!$AH$5:$AH$1504,0)*B36)</f>
        <v/>
      </c>
      <c r="H36" s="25">
        <f>IF(A36="","",SUMIFS(PA_OECM_Register!$AG$5:$AG$1504,PA_OECM_Register!$Z$5:$Z$1504,1,PA_OECM_Register!$E$5:$E$1504,"OECM",PA_OECM_Register!$AH$5:$AH$1504,"&gt;0",PA_OECM_Register!$AH$5:$AH$1504,"&lt;="&amp;A36)+SUMIFS(PA_OECM_Register!$AG$5:$AG$1504,PA_OECM_Register!$Z$5:$Z$1504,1,PA_OECM_Register!$E$5:$E$1504,"OECM",PA_OECM_Register!$AH$5:$AH$1504,0)*C36)</f>
        <v/>
      </c>
      <c r="I36" s="26">
        <f>IF(A36="","",IF(N(Setup!$B$11)&gt;0,(G36+H36)/Setup!$B$11,""))</f>
        <v/>
      </c>
      <c r="J36" s="26">
        <f>IF(A36="","",IF(N(Setup!$B$10)&gt;0,SUMIFS(PA_OECM_Register!$AF$5:$AF$1504,PA_OECM_Register!$Z$5:$Z$1504,1,PA_OECM_Register!$AH$5:$AH$1504,"&gt;0",PA_OECM_Register!$AH$5:$AH$1504,"&lt;="&amp;A36)/Setup!$B$10,""))</f>
        <v/>
      </c>
      <c r="K36" s="26">
        <f>IF(A36="","",IF(N(Setup!$B$11)&gt;0,SUMIFS(PA_OECM_Register!$AG$5:$AG$1504,PA_OECM_Register!$Z$5:$Z$1504,1,PA_OECM_Register!$AH$5:$AH$1504,"&gt;0",PA_OECM_Register!$AH$5:$AH$1504,"&lt;="&amp;A36)/Setup!$B$11,""))</f>
        <v/>
      </c>
    </row>
    <row r="37">
      <c r="A37" s="33">
        <f>IF(Setup!$B$27+32&gt;Setup!$B$6,"",Setup!$B$27+32)</f>
        <v/>
      </c>
      <c r="B37" s="38">
        <f>IF(A37="","",COUNTIFS(PA_OECM_Register!$Z$5:$Z$1504,1,PA_OECM_Register!$E$5:$E$1504,"PA",PA_OECM_Register!$AH$5:$AH$1504,"&gt;0",PA_OECM_Register!$AH$5:$AH$1504,"&lt;="&amp;A37)/MAX(1,COUNTIFS(PA_OECM_Register!$Z$5:$Z$1504,1,PA_OECM_Register!$E$5:$E$1504,"PA",PA_OECM_Register!$AH$5:$AH$1504,"&gt;0")))</f>
        <v/>
      </c>
      <c r="C37" s="38">
        <f>IF(A37="","",COUNTIFS(PA_OECM_Register!$Z$5:$Z$1504,1,PA_OECM_Register!$E$5:$E$1504,"OECM",PA_OECM_Register!$AH$5:$AH$1504,"&gt;0",PA_OECM_Register!$AH$5:$AH$1504,"&lt;="&amp;A37)/MAX(1,COUNTIFS(PA_OECM_Register!$Z$5:$Z$1504,1,PA_OECM_Register!$E$5:$E$1504,"OECM",PA_OECM_Register!$AH$5:$AH$1504,"&gt;0")))</f>
        <v/>
      </c>
      <c r="D37" s="25">
        <f>IF(A37="","",SUMIFS(PA_OECM_Register!$AF$5:$AF$1504,PA_OECM_Register!$Z$5:$Z$1504,1,PA_OECM_Register!$E$5:$E$1504,"PA",PA_OECM_Register!$AH$5:$AH$1504,"&gt;0",PA_OECM_Register!$AH$5:$AH$1504,"&lt;="&amp;A37)+SUMIFS(PA_OECM_Register!$AF$5:$AF$1504,PA_OECM_Register!$Z$5:$Z$1504,1,PA_OECM_Register!$E$5:$E$1504,"PA",PA_OECM_Register!$AH$5:$AH$1504,0)*B37)</f>
        <v/>
      </c>
      <c r="E37" s="25">
        <f>IF(A37="","",SUMIFS(PA_OECM_Register!$AF$5:$AF$1504,PA_OECM_Register!$Z$5:$Z$1504,1,PA_OECM_Register!$E$5:$E$1504,"OECM",PA_OECM_Register!$AH$5:$AH$1504,"&gt;0",PA_OECM_Register!$AH$5:$AH$1504,"&lt;="&amp;A37)+SUMIFS(PA_OECM_Register!$AF$5:$AF$1504,PA_OECM_Register!$Z$5:$Z$1504,1,PA_OECM_Register!$E$5:$E$1504,"OECM",PA_OECM_Register!$AH$5:$AH$1504,0)*C37)</f>
        <v/>
      </c>
      <c r="F37" s="26">
        <f>IF(A37="","",IF(N(Setup!$B$10)&gt;0,(D37+E37)/Setup!$B$10,""))</f>
        <v/>
      </c>
      <c r="G37" s="25">
        <f>IF(A37="","",SUMIFS(PA_OECM_Register!$AG$5:$AG$1504,PA_OECM_Register!$Z$5:$Z$1504,1,PA_OECM_Register!$E$5:$E$1504,"PA",PA_OECM_Register!$AH$5:$AH$1504,"&gt;0",PA_OECM_Register!$AH$5:$AH$1504,"&lt;="&amp;A37)+SUMIFS(PA_OECM_Register!$AG$5:$AG$1504,PA_OECM_Register!$Z$5:$Z$1504,1,PA_OECM_Register!$E$5:$E$1504,"PA",PA_OECM_Register!$AH$5:$AH$1504,0)*B37)</f>
        <v/>
      </c>
      <c r="H37" s="25">
        <f>IF(A37="","",SUMIFS(PA_OECM_Register!$AG$5:$AG$1504,PA_OECM_Register!$Z$5:$Z$1504,1,PA_OECM_Register!$E$5:$E$1504,"OECM",PA_OECM_Register!$AH$5:$AH$1504,"&gt;0",PA_OECM_Register!$AH$5:$AH$1504,"&lt;="&amp;A37)+SUMIFS(PA_OECM_Register!$AG$5:$AG$1504,PA_OECM_Register!$Z$5:$Z$1504,1,PA_OECM_Register!$E$5:$E$1504,"OECM",PA_OECM_Register!$AH$5:$AH$1504,0)*C37)</f>
        <v/>
      </c>
      <c r="I37" s="26">
        <f>IF(A37="","",IF(N(Setup!$B$11)&gt;0,(G37+H37)/Setup!$B$11,""))</f>
        <v/>
      </c>
      <c r="J37" s="26">
        <f>IF(A37="","",IF(N(Setup!$B$10)&gt;0,SUMIFS(PA_OECM_Register!$AF$5:$AF$1504,PA_OECM_Register!$Z$5:$Z$1504,1,PA_OECM_Register!$AH$5:$AH$1504,"&gt;0",PA_OECM_Register!$AH$5:$AH$1504,"&lt;="&amp;A37)/Setup!$B$10,""))</f>
        <v/>
      </c>
      <c r="K37" s="26">
        <f>IF(A37="","",IF(N(Setup!$B$11)&gt;0,SUMIFS(PA_OECM_Register!$AG$5:$AG$1504,PA_OECM_Register!$Z$5:$Z$1504,1,PA_OECM_Register!$AH$5:$AH$1504,"&gt;0",PA_OECM_Register!$AH$5:$AH$1504,"&lt;="&amp;A37)/Setup!$B$11,""))</f>
        <v/>
      </c>
    </row>
    <row r="38">
      <c r="A38" s="33">
        <f>IF(Setup!$B$27+33&gt;Setup!$B$6,"",Setup!$B$27+33)</f>
        <v/>
      </c>
      <c r="B38" s="38">
        <f>IF(A38="","",COUNTIFS(PA_OECM_Register!$Z$5:$Z$1504,1,PA_OECM_Register!$E$5:$E$1504,"PA",PA_OECM_Register!$AH$5:$AH$1504,"&gt;0",PA_OECM_Register!$AH$5:$AH$1504,"&lt;="&amp;A38)/MAX(1,COUNTIFS(PA_OECM_Register!$Z$5:$Z$1504,1,PA_OECM_Register!$E$5:$E$1504,"PA",PA_OECM_Register!$AH$5:$AH$1504,"&gt;0")))</f>
        <v/>
      </c>
      <c r="C38" s="38">
        <f>IF(A38="","",COUNTIFS(PA_OECM_Register!$Z$5:$Z$1504,1,PA_OECM_Register!$E$5:$E$1504,"OECM",PA_OECM_Register!$AH$5:$AH$1504,"&gt;0",PA_OECM_Register!$AH$5:$AH$1504,"&lt;="&amp;A38)/MAX(1,COUNTIFS(PA_OECM_Register!$Z$5:$Z$1504,1,PA_OECM_Register!$E$5:$E$1504,"OECM",PA_OECM_Register!$AH$5:$AH$1504,"&gt;0")))</f>
        <v/>
      </c>
      <c r="D38" s="25">
        <f>IF(A38="","",SUMIFS(PA_OECM_Register!$AF$5:$AF$1504,PA_OECM_Register!$Z$5:$Z$1504,1,PA_OECM_Register!$E$5:$E$1504,"PA",PA_OECM_Register!$AH$5:$AH$1504,"&gt;0",PA_OECM_Register!$AH$5:$AH$1504,"&lt;="&amp;A38)+SUMIFS(PA_OECM_Register!$AF$5:$AF$1504,PA_OECM_Register!$Z$5:$Z$1504,1,PA_OECM_Register!$E$5:$E$1504,"PA",PA_OECM_Register!$AH$5:$AH$1504,0)*B38)</f>
        <v/>
      </c>
      <c r="E38" s="25">
        <f>IF(A38="","",SUMIFS(PA_OECM_Register!$AF$5:$AF$1504,PA_OECM_Register!$Z$5:$Z$1504,1,PA_OECM_Register!$E$5:$E$1504,"OECM",PA_OECM_Register!$AH$5:$AH$1504,"&gt;0",PA_OECM_Register!$AH$5:$AH$1504,"&lt;="&amp;A38)+SUMIFS(PA_OECM_Register!$AF$5:$AF$1504,PA_OECM_Register!$Z$5:$Z$1504,1,PA_OECM_Register!$E$5:$E$1504,"OECM",PA_OECM_Register!$AH$5:$AH$1504,0)*C38)</f>
        <v/>
      </c>
      <c r="F38" s="26">
        <f>IF(A38="","",IF(N(Setup!$B$10)&gt;0,(D38+E38)/Setup!$B$10,""))</f>
        <v/>
      </c>
      <c r="G38" s="25">
        <f>IF(A38="","",SUMIFS(PA_OECM_Register!$AG$5:$AG$1504,PA_OECM_Register!$Z$5:$Z$1504,1,PA_OECM_Register!$E$5:$E$1504,"PA",PA_OECM_Register!$AH$5:$AH$1504,"&gt;0",PA_OECM_Register!$AH$5:$AH$1504,"&lt;="&amp;A38)+SUMIFS(PA_OECM_Register!$AG$5:$AG$1504,PA_OECM_Register!$Z$5:$Z$1504,1,PA_OECM_Register!$E$5:$E$1504,"PA",PA_OECM_Register!$AH$5:$AH$1504,0)*B38)</f>
        <v/>
      </c>
      <c r="H38" s="25">
        <f>IF(A38="","",SUMIFS(PA_OECM_Register!$AG$5:$AG$1504,PA_OECM_Register!$Z$5:$Z$1504,1,PA_OECM_Register!$E$5:$E$1504,"OECM",PA_OECM_Register!$AH$5:$AH$1504,"&gt;0",PA_OECM_Register!$AH$5:$AH$1504,"&lt;="&amp;A38)+SUMIFS(PA_OECM_Register!$AG$5:$AG$1504,PA_OECM_Register!$Z$5:$Z$1504,1,PA_OECM_Register!$E$5:$E$1504,"OECM",PA_OECM_Register!$AH$5:$AH$1504,0)*C38)</f>
        <v/>
      </c>
      <c r="I38" s="26">
        <f>IF(A38="","",IF(N(Setup!$B$11)&gt;0,(G38+H38)/Setup!$B$11,""))</f>
        <v/>
      </c>
      <c r="J38" s="26">
        <f>IF(A38="","",IF(N(Setup!$B$10)&gt;0,SUMIFS(PA_OECM_Register!$AF$5:$AF$1504,PA_OECM_Register!$Z$5:$Z$1504,1,PA_OECM_Register!$AH$5:$AH$1504,"&gt;0",PA_OECM_Register!$AH$5:$AH$1504,"&lt;="&amp;A38)/Setup!$B$10,""))</f>
        <v/>
      </c>
      <c r="K38" s="26">
        <f>IF(A38="","",IF(N(Setup!$B$11)&gt;0,SUMIFS(PA_OECM_Register!$AG$5:$AG$1504,PA_OECM_Register!$Z$5:$Z$1504,1,PA_OECM_Register!$AH$5:$AH$1504,"&gt;0",PA_OECM_Register!$AH$5:$AH$1504,"&lt;="&amp;A38)/Setup!$B$11,""))</f>
        <v/>
      </c>
    </row>
    <row r="39">
      <c r="A39" s="33">
        <f>IF(Setup!$B$27+34&gt;Setup!$B$6,"",Setup!$B$27+34)</f>
        <v/>
      </c>
      <c r="B39" s="38">
        <f>IF(A39="","",COUNTIFS(PA_OECM_Register!$Z$5:$Z$1504,1,PA_OECM_Register!$E$5:$E$1504,"PA",PA_OECM_Register!$AH$5:$AH$1504,"&gt;0",PA_OECM_Register!$AH$5:$AH$1504,"&lt;="&amp;A39)/MAX(1,COUNTIFS(PA_OECM_Register!$Z$5:$Z$1504,1,PA_OECM_Register!$E$5:$E$1504,"PA",PA_OECM_Register!$AH$5:$AH$1504,"&gt;0")))</f>
        <v/>
      </c>
      <c r="C39" s="38">
        <f>IF(A39="","",COUNTIFS(PA_OECM_Register!$Z$5:$Z$1504,1,PA_OECM_Register!$E$5:$E$1504,"OECM",PA_OECM_Register!$AH$5:$AH$1504,"&gt;0",PA_OECM_Register!$AH$5:$AH$1504,"&lt;="&amp;A39)/MAX(1,COUNTIFS(PA_OECM_Register!$Z$5:$Z$1504,1,PA_OECM_Register!$E$5:$E$1504,"OECM",PA_OECM_Register!$AH$5:$AH$1504,"&gt;0")))</f>
        <v/>
      </c>
      <c r="D39" s="25">
        <f>IF(A39="","",SUMIFS(PA_OECM_Register!$AF$5:$AF$1504,PA_OECM_Register!$Z$5:$Z$1504,1,PA_OECM_Register!$E$5:$E$1504,"PA",PA_OECM_Register!$AH$5:$AH$1504,"&gt;0",PA_OECM_Register!$AH$5:$AH$1504,"&lt;="&amp;A39)+SUMIFS(PA_OECM_Register!$AF$5:$AF$1504,PA_OECM_Register!$Z$5:$Z$1504,1,PA_OECM_Register!$E$5:$E$1504,"PA",PA_OECM_Register!$AH$5:$AH$1504,0)*B39)</f>
        <v/>
      </c>
      <c r="E39" s="25">
        <f>IF(A39="","",SUMIFS(PA_OECM_Register!$AF$5:$AF$1504,PA_OECM_Register!$Z$5:$Z$1504,1,PA_OECM_Register!$E$5:$E$1504,"OECM",PA_OECM_Register!$AH$5:$AH$1504,"&gt;0",PA_OECM_Register!$AH$5:$AH$1504,"&lt;="&amp;A39)+SUMIFS(PA_OECM_Register!$AF$5:$AF$1504,PA_OECM_Register!$Z$5:$Z$1504,1,PA_OECM_Register!$E$5:$E$1504,"OECM",PA_OECM_Register!$AH$5:$AH$1504,0)*C39)</f>
        <v/>
      </c>
      <c r="F39" s="26">
        <f>IF(A39="","",IF(N(Setup!$B$10)&gt;0,(D39+E39)/Setup!$B$10,""))</f>
        <v/>
      </c>
      <c r="G39" s="25">
        <f>IF(A39="","",SUMIFS(PA_OECM_Register!$AG$5:$AG$1504,PA_OECM_Register!$Z$5:$Z$1504,1,PA_OECM_Register!$E$5:$E$1504,"PA",PA_OECM_Register!$AH$5:$AH$1504,"&gt;0",PA_OECM_Register!$AH$5:$AH$1504,"&lt;="&amp;A39)+SUMIFS(PA_OECM_Register!$AG$5:$AG$1504,PA_OECM_Register!$Z$5:$Z$1504,1,PA_OECM_Register!$E$5:$E$1504,"PA",PA_OECM_Register!$AH$5:$AH$1504,0)*B39)</f>
        <v/>
      </c>
      <c r="H39" s="25">
        <f>IF(A39="","",SUMIFS(PA_OECM_Register!$AG$5:$AG$1504,PA_OECM_Register!$Z$5:$Z$1504,1,PA_OECM_Register!$E$5:$E$1504,"OECM",PA_OECM_Register!$AH$5:$AH$1504,"&gt;0",PA_OECM_Register!$AH$5:$AH$1504,"&lt;="&amp;A39)+SUMIFS(PA_OECM_Register!$AG$5:$AG$1504,PA_OECM_Register!$Z$5:$Z$1504,1,PA_OECM_Register!$E$5:$E$1504,"OECM",PA_OECM_Register!$AH$5:$AH$1504,0)*C39)</f>
        <v/>
      </c>
      <c r="I39" s="26">
        <f>IF(A39="","",IF(N(Setup!$B$11)&gt;0,(G39+H39)/Setup!$B$11,""))</f>
        <v/>
      </c>
      <c r="J39" s="26">
        <f>IF(A39="","",IF(N(Setup!$B$10)&gt;0,SUMIFS(PA_OECM_Register!$AF$5:$AF$1504,PA_OECM_Register!$Z$5:$Z$1504,1,PA_OECM_Register!$AH$5:$AH$1504,"&gt;0",PA_OECM_Register!$AH$5:$AH$1504,"&lt;="&amp;A39)/Setup!$B$10,""))</f>
        <v/>
      </c>
      <c r="K39" s="26">
        <f>IF(A39="","",IF(N(Setup!$B$11)&gt;0,SUMIFS(PA_OECM_Register!$AG$5:$AG$1504,PA_OECM_Register!$Z$5:$Z$1504,1,PA_OECM_Register!$AH$5:$AH$1504,"&gt;0",PA_OECM_Register!$AH$5:$AH$1504,"&lt;="&amp;A39)/Setup!$B$11,""))</f>
        <v/>
      </c>
    </row>
    <row r="40">
      <c r="A40" s="33">
        <f>IF(Setup!$B$27+35&gt;Setup!$B$6,"",Setup!$B$27+35)</f>
        <v/>
      </c>
      <c r="B40" s="38">
        <f>IF(A40="","",COUNTIFS(PA_OECM_Register!$Z$5:$Z$1504,1,PA_OECM_Register!$E$5:$E$1504,"PA",PA_OECM_Register!$AH$5:$AH$1504,"&gt;0",PA_OECM_Register!$AH$5:$AH$1504,"&lt;="&amp;A40)/MAX(1,COUNTIFS(PA_OECM_Register!$Z$5:$Z$1504,1,PA_OECM_Register!$E$5:$E$1504,"PA",PA_OECM_Register!$AH$5:$AH$1504,"&gt;0")))</f>
        <v/>
      </c>
      <c r="C40" s="38">
        <f>IF(A40="","",COUNTIFS(PA_OECM_Register!$Z$5:$Z$1504,1,PA_OECM_Register!$E$5:$E$1504,"OECM",PA_OECM_Register!$AH$5:$AH$1504,"&gt;0",PA_OECM_Register!$AH$5:$AH$1504,"&lt;="&amp;A40)/MAX(1,COUNTIFS(PA_OECM_Register!$Z$5:$Z$1504,1,PA_OECM_Register!$E$5:$E$1504,"OECM",PA_OECM_Register!$AH$5:$AH$1504,"&gt;0")))</f>
        <v/>
      </c>
      <c r="D40" s="25">
        <f>IF(A40="","",SUMIFS(PA_OECM_Register!$AF$5:$AF$1504,PA_OECM_Register!$Z$5:$Z$1504,1,PA_OECM_Register!$E$5:$E$1504,"PA",PA_OECM_Register!$AH$5:$AH$1504,"&gt;0",PA_OECM_Register!$AH$5:$AH$1504,"&lt;="&amp;A40)+SUMIFS(PA_OECM_Register!$AF$5:$AF$1504,PA_OECM_Register!$Z$5:$Z$1504,1,PA_OECM_Register!$E$5:$E$1504,"PA",PA_OECM_Register!$AH$5:$AH$1504,0)*B40)</f>
        <v/>
      </c>
      <c r="E40" s="25">
        <f>IF(A40="","",SUMIFS(PA_OECM_Register!$AF$5:$AF$1504,PA_OECM_Register!$Z$5:$Z$1504,1,PA_OECM_Register!$E$5:$E$1504,"OECM",PA_OECM_Register!$AH$5:$AH$1504,"&gt;0",PA_OECM_Register!$AH$5:$AH$1504,"&lt;="&amp;A40)+SUMIFS(PA_OECM_Register!$AF$5:$AF$1504,PA_OECM_Register!$Z$5:$Z$1504,1,PA_OECM_Register!$E$5:$E$1504,"OECM",PA_OECM_Register!$AH$5:$AH$1504,0)*C40)</f>
        <v/>
      </c>
      <c r="F40" s="26">
        <f>IF(A40="","",IF(N(Setup!$B$10)&gt;0,(D40+E40)/Setup!$B$10,""))</f>
        <v/>
      </c>
      <c r="G40" s="25">
        <f>IF(A40="","",SUMIFS(PA_OECM_Register!$AG$5:$AG$1504,PA_OECM_Register!$Z$5:$Z$1504,1,PA_OECM_Register!$E$5:$E$1504,"PA",PA_OECM_Register!$AH$5:$AH$1504,"&gt;0",PA_OECM_Register!$AH$5:$AH$1504,"&lt;="&amp;A40)+SUMIFS(PA_OECM_Register!$AG$5:$AG$1504,PA_OECM_Register!$Z$5:$Z$1504,1,PA_OECM_Register!$E$5:$E$1504,"PA",PA_OECM_Register!$AH$5:$AH$1504,0)*B40)</f>
        <v/>
      </c>
      <c r="H40" s="25">
        <f>IF(A40="","",SUMIFS(PA_OECM_Register!$AG$5:$AG$1504,PA_OECM_Register!$Z$5:$Z$1504,1,PA_OECM_Register!$E$5:$E$1504,"OECM",PA_OECM_Register!$AH$5:$AH$1504,"&gt;0",PA_OECM_Register!$AH$5:$AH$1504,"&lt;="&amp;A40)+SUMIFS(PA_OECM_Register!$AG$5:$AG$1504,PA_OECM_Register!$Z$5:$Z$1504,1,PA_OECM_Register!$E$5:$E$1504,"OECM",PA_OECM_Register!$AH$5:$AH$1504,0)*C40)</f>
        <v/>
      </c>
      <c r="I40" s="26">
        <f>IF(A40="","",IF(N(Setup!$B$11)&gt;0,(G40+H40)/Setup!$B$11,""))</f>
        <v/>
      </c>
      <c r="J40" s="26">
        <f>IF(A40="","",IF(N(Setup!$B$10)&gt;0,SUMIFS(PA_OECM_Register!$AF$5:$AF$1504,PA_OECM_Register!$Z$5:$Z$1504,1,PA_OECM_Register!$AH$5:$AH$1504,"&gt;0",PA_OECM_Register!$AH$5:$AH$1504,"&lt;="&amp;A40)/Setup!$B$10,""))</f>
        <v/>
      </c>
      <c r="K40" s="26">
        <f>IF(A40="","",IF(N(Setup!$B$11)&gt;0,SUMIFS(PA_OECM_Register!$AG$5:$AG$1504,PA_OECM_Register!$Z$5:$Z$1504,1,PA_OECM_Register!$AH$5:$AH$1504,"&gt;0",PA_OECM_Register!$AH$5:$AH$1504,"&lt;="&amp;A40)/Setup!$B$11,""))</f>
        <v/>
      </c>
    </row>
    <row r="41">
      <c r="A41" s="33">
        <f>IF(Setup!$B$27+36&gt;Setup!$B$6,"",Setup!$B$27+36)</f>
        <v/>
      </c>
      <c r="B41" s="38">
        <f>IF(A41="","",COUNTIFS(PA_OECM_Register!$Z$5:$Z$1504,1,PA_OECM_Register!$E$5:$E$1504,"PA",PA_OECM_Register!$AH$5:$AH$1504,"&gt;0",PA_OECM_Register!$AH$5:$AH$1504,"&lt;="&amp;A41)/MAX(1,COUNTIFS(PA_OECM_Register!$Z$5:$Z$1504,1,PA_OECM_Register!$E$5:$E$1504,"PA",PA_OECM_Register!$AH$5:$AH$1504,"&gt;0")))</f>
        <v/>
      </c>
      <c r="C41" s="38">
        <f>IF(A41="","",COUNTIFS(PA_OECM_Register!$Z$5:$Z$1504,1,PA_OECM_Register!$E$5:$E$1504,"OECM",PA_OECM_Register!$AH$5:$AH$1504,"&gt;0",PA_OECM_Register!$AH$5:$AH$1504,"&lt;="&amp;A41)/MAX(1,COUNTIFS(PA_OECM_Register!$Z$5:$Z$1504,1,PA_OECM_Register!$E$5:$E$1504,"OECM",PA_OECM_Register!$AH$5:$AH$1504,"&gt;0")))</f>
        <v/>
      </c>
      <c r="D41" s="25">
        <f>IF(A41="","",SUMIFS(PA_OECM_Register!$AF$5:$AF$1504,PA_OECM_Register!$Z$5:$Z$1504,1,PA_OECM_Register!$E$5:$E$1504,"PA",PA_OECM_Register!$AH$5:$AH$1504,"&gt;0",PA_OECM_Register!$AH$5:$AH$1504,"&lt;="&amp;A41)+SUMIFS(PA_OECM_Register!$AF$5:$AF$1504,PA_OECM_Register!$Z$5:$Z$1504,1,PA_OECM_Register!$E$5:$E$1504,"PA",PA_OECM_Register!$AH$5:$AH$1504,0)*B41)</f>
        <v/>
      </c>
      <c r="E41" s="25">
        <f>IF(A41="","",SUMIFS(PA_OECM_Register!$AF$5:$AF$1504,PA_OECM_Register!$Z$5:$Z$1504,1,PA_OECM_Register!$E$5:$E$1504,"OECM",PA_OECM_Register!$AH$5:$AH$1504,"&gt;0",PA_OECM_Register!$AH$5:$AH$1504,"&lt;="&amp;A41)+SUMIFS(PA_OECM_Register!$AF$5:$AF$1504,PA_OECM_Register!$Z$5:$Z$1504,1,PA_OECM_Register!$E$5:$E$1504,"OECM",PA_OECM_Register!$AH$5:$AH$1504,0)*C41)</f>
        <v/>
      </c>
      <c r="F41" s="26">
        <f>IF(A41="","",IF(N(Setup!$B$10)&gt;0,(D41+E41)/Setup!$B$10,""))</f>
        <v/>
      </c>
      <c r="G41" s="25">
        <f>IF(A41="","",SUMIFS(PA_OECM_Register!$AG$5:$AG$1504,PA_OECM_Register!$Z$5:$Z$1504,1,PA_OECM_Register!$E$5:$E$1504,"PA",PA_OECM_Register!$AH$5:$AH$1504,"&gt;0",PA_OECM_Register!$AH$5:$AH$1504,"&lt;="&amp;A41)+SUMIFS(PA_OECM_Register!$AG$5:$AG$1504,PA_OECM_Register!$Z$5:$Z$1504,1,PA_OECM_Register!$E$5:$E$1504,"PA",PA_OECM_Register!$AH$5:$AH$1504,0)*B41)</f>
        <v/>
      </c>
      <c r="H41" s="25">
        <f>IF(A41="","",SUMIFS(PA_OECM_Register!$AG$5:$AG$1504,PA_OECM_Register!$Z$5:$Z$1504,1,PA_OECM_Register!$E$5:$E$1504,"OECM",PA_OECM_Register!$AH$5:$AH$1504,"&gt;0",PA_OECM_Register!$AH$5:$AH$1504,"&lt;="&amp;A41)+SUMIFS(PA_OECM_Register!$AG$5:$AG$1504,PA_OECM_Register!$Z$5:$Z$1504,1,PA_OECM_Register!$E$5:$E$1504,"OECM",PA_OECM_Register!$AH$5:$AH$1504,0)*C41)</f>
        <v/>
      </c>
      <c r="I41" s="26">
        <f>IF(A41="","",IF(N(Setup!$B$11)&gt;0,(G41+H41)/Setup!$B$11,""))</f>
        <v/>
      </c>
      <c r="J41" s="26">
        <f>IF(A41="","",IF(N(Setup!$B$10)&gt;0,SUMIFS(PA_OECM_Register!$AF$5:$AF$1504,PA_OECM_Register!$Z$5:$Z$1504,1,PA_OECM_Register!$AH$5:$AH$1504,"&gt;0",PA_OECM_Register!$AH$5:$AH$1504,"&lt;="&amp;A41)/Setup!$B$10,""))</f>
        <v/>
      </c>
      <c r="K41" s="26">
        <f>IF(A41="","",IF(N(Setup!$B$11)&gt;0,SUMIFS(PA_OECM_Register!$AG$5:$AG$1504,PA_OECM_Register!$Z$5:$Z$1504,1,PA_OECM_Register!$AH$5:$AH$1504,"&gt;0",PA_OECM_Register!$AH$5:$AH$1504,"&lt;="&amp;A41)/Setup!$B$11,""))</f>
        <v/>
      </c>
    </row>
    <row r="42">
      <c r="A42" s="33">
        <f>IF(Setup!$B$27+37&gt;Setup!$B$6,"",Setup!$B$27+37)</f>
        <v/>
      </c>
      <c r="B42" s="38">
        <f>IF(A42="","",COUNTIFS(PA_OECM_Register!$Z$5:$Z$1504,1,PA_OECM_Register!$E$5:$E$1504,"PA",PA_OECM_Register!$AH$5:$AH$1504,"&gt;0",PA_OECM_Register!$AH$5:$AH$1504,"&lt;="&amp;A42)/MAX(1,COUNTIFS(PA_OECM_Register!$Z$5:$Z$1504,1,PA_OECM_Register!$E$5:$E$1504,"PA",PA_OECM_Register!$AH$5:$AH$1504,"&gt;0")))</f>
        <v/>
      </c>
      <c r="C42" s="38">
        <f>IF(A42="","",COUNTIFS(PA_OECM_Register!$Z$5:$Z$1504,1,PA_OECM_Register!$E$5:$E$1504,"OECM",PA_OECM_Register!$AH$5:$AH$1504,"&gt;0",PA_OECM_Register!$AH$5:$AH$1504,"&lt;="&amp;A42)/MAX(1,COUNTIFS(PA_OECM_Register!$Z$5:$Z$1504,1,PA_OECM_Register!$E$5:$E$1504,"OECM",PA_OECM_Register!$AH$5:$AH$1504,"&gt;0")))</f>
        <v/>
      </c>
      <c r="D42" s="25">
        <f>IF(A42="","",SUMIFS(PA_OECM_Register!$AF$5:$AF$1504,PA_OECM_Register!$Z$5:$Z$1504,1,PA_OECM_Register!$E$5:$E$1504,"PA",PA_OECM_Register!$AH$5:$AH$1504,"&gt;0",PA_OECM_Register!$AH$5:$AH$1504,"&lt;="&amp;A42)+SUMIFS(PA_OECM_Register!$AF$5:$AF$1504,PA_OECM_Register!$Z$5:$Z$1504,1,PA_OECM_Register!$E$5:$E$1504,"PA",PA_OECM_Register!$AH$5:$AH$1504,0)*B42)</f>
        <v/>
      </c>
      <c r="E42" s="25">
        <f>IF(A42="","",SUMIFS(PA_OECM_Register!$AF$5:$AF$1504,PA_OECM_Register!$Z$5:$Z$1504,1,PA_OECM_Register!$E$5:$E$1504,"OECM",PA_OECM_Register!$AH$5:$AH$1504,"&gt;0",PA_OECM_Register!$AH$5:$AH$1504,"&lt;="&amp;A42)+SUMIFS(PA_OECM_Register!$AF$5:$AF$1504,PA_OECM_Register!$Z$5:$Z$1504,1,PA_OECM_Register!$E$5:$E$1504,"OECM",PA_OECM_Register!$AH$5:$AH$1504,0)*C42)</f>
        <v/>
      </c>
      <c r="F42" s="26">
        <f>IF(A42="","",IF(N(Setup!$B$10)&gt;0,(D42+E42)/Setup!$B$10,""))</f>
        <v/>
      </c>
      <c r="G42" s="25">
        <f>IF(A42="","",SUMIFS(PA_OECM_Register!$AG$5:$AG$1504,PA_OECM_Register!$Z$5:$Z$1504,1,PA_OECM_Register!$E$5:$E$1504,"PA",PA_OECM_Register!$AH$5:$AH$1504,"&gt;0",PA_OECM_Register!$AH$5:$AH$1504,"&lt;="&amp;A42)+SUMIFS(PA_OECM_Register!$AG$5:$AG$1504,PA_OECM_Register!$Z$5:$Z$1504,1,PA_OECM_Register!$E$5:$E$1504,"PA",PA_OECM_Register!$AH$5:$AH$1504,0)*B42)</f>
        <v/>
      </c>
      <c r="H42" s="25">
        <f>IF(A42="","",SUMIFS(PA_OECM_Register!$AG$5:$AG$1504,PA_OECM_Register!$Z$5:$Z$1504,1,PA_OECM_Register!$E$5:$E$1504,"OECM",PA_OECM_Register!$AH$5:$AH$1504,"&gt;0",PA_OECM_Register!$AH$5:$AH$1504,"&lt;="&amp;A42)+SUMIFS(PA_OECM_Register!$AG$5:$AG$1504,PA_OECM_Register!$Z$5:$Z$1504,1,PA_OECM_Register!$E$5:$E$1504,"OECM",PA_OECM_Register!$AH$5:$AH$1504,0)*C42)</f>
        <v/>
      </c>
      <c r="I42" s="26">
        <f>IF(A42="","",IF(N(Setup!$B$11)&gt;0,(G42+H42)/Setup!$B$11,""))</f>
        <v/>
      </c>
      <c r="J42" s="26">
        <f>IF(A42="","",IF(N(Setup!$B$10)&gt;0,SUMIFS(PA_OECM_Register!$AF$5:$AF$1504,PA_OECM_Register!$Z$5:$Z$1504,1,PA_OECM_Register!$AH$5:$AH$1504,"&gt;0",PA_OECM_Register!$AH$5:$AH$1504,"&lt;="&amp;A42)/Setup!$B$10,""))</f>
        <v/>
      </c>
      <c r="K42" s="26">
        <f>IF(A42="","",IF(N(Setup!$B$11)&gt;0,SUMIFS(PA_OECM_Register!$AG$5:$AG$1504,PA_OECM_Register!$Z$5:$Z$1504,1,PA_OECM_Register!$AH$5:$AH$1504,"&gt;0",PA_OECM_Register!$AH$5:$AH$1504,"&lt;="&amp;A42)/Setup!$B$11,""))</f>
        <v/>
      </c>
    </row>
    <row r="43">
      <c r="A43" s="33">
        <f>IF(Setup!$B$27+38&gt;Setup!$B$6,"",Setup!$B$27+38)</f>
        <v/>
      </c>
      <c r="B43" s="38">
        <f>IF(A43="","",COUNTIFS(PA_OECM_Register!$Z$5:$Z$1504,1,PA_OECM_Register!$E$5:$E$1504,"PA",PA_OECM_Register!$AH$5:$AH$1504,"&gt;0",PA_OECM_Register!$AH$5:$AH$1504,"&lt;="&amp;A43)/MAX(1,COUNTIFS(PA_OECM_Register!$Z$5:$Z$1504,1,PA_OECM_Register!$E$5:$E$1504,"PA",PA_OECM_Register!$AH$5:$AH$1504,"&gt;0")))</f>
        <v/>
      </c>
      <c r="C43" s="38">
        <f>IF(A43="","",COUNTIFS(PA_OECM_Register!$Z$5:$Z$1504,1,PA_OECM_Register!$E$5:$E$1504,"OECM",PA_OECM_Register!$AH$5:$AH$1504,"&gt;0",PA_OECM_Register!$AH$5:$AH$1504,"&lt;="&amp;A43)/MAX(1,COUNTIFS(PA_OECM_Register!$Z$5:$Z$1504,1,PA_OECM_Register!$E$5:$E$1504,"OECM",PA_OECM_Register!$AH$5:$AH$1504,"&gt;0")))</f>
        <v/>
      </c>
      <c r="D43" s="25">
        <f>IF(A43="","",SUMIFS(PA_OECM_Register!$AF$5:$AF$1504,PA_OECM_Register!$Z$5:$Z$1504,1,PA_OECM_Register!$E$5:$E$1504,"PA",PA_OECM_Register!$AH$5:$AH$1504,"&gt;0",PA_OECM_Register!$AH$5:$AH$1504,"&lt;="&amp;A43)+SUMIFS(PA_OECM_Register!$AF$5:$AF$1504,PA_OECM_Register!$Z$5:$Z$1504,1,PA_OECM_Register!$E$5:$E$1504,"PA",PA_OECM_Register!$AH$5:$AH$1504,0)*B43)</f>
        <v/>
      </c>
      <c r="E43" s="25">
        <f>IF(A43="","",SUMIFS(PA_OECM_Register!$AF$5:$AF$1504,PA_OECM_Register!$Z$5:$Z$1504,1,PA_OECM_Register!$E$5:$E$1504,"OECM",PA_OECM_Register!$AH$5:$AH$1504,"&gt;0",PA_OECM_Register!$AH$5:$AH$1504,"&lt;="&amp;A43)+SUMIFS(PA_OECM_Register!$AF$5:$AF$1504,PA_OECM_Register!$Z$5:$Z$1504,1,PA_OECM_Register!$E$5:$E$1504,"OECM",PA_OECM_Register!$AH$5:$AH$1504,0)*C43)</f>
        <v/>
      </c>
      <c r="F43" s="26">
        <f>IF(A43="","",IF(N(Setup!$B$10)&gt;0,(D43+E43)/Setup!$B$10,""))</f>
        <v/>
      </c>
      <c r="G43" s="25">
        <f>IF(A43="","",SUMIFS(PA_OECM_Register!$AG$5:$AG$1504,PA_OECM_Register!$Z$5:$Z$1504,1,PA_OECM_Register!$E$5:$E$1504,"PA",PA_OECM_Register!$AH$5:$AH$1504,"&gt;0",PA_OECM_Register!$AH$5:$AH$1504,"&lt;="&amp;A43)+SUMIFS(PA_OECM_Register!$AG$5:$AG$1504,PA_OECM_Register!$Z$5:$Z$1504,1,PA_OECM_Register!$E$5:$E$1504,"PA",PA_OECM_Register!$AH$5:$AH$1504,0)*B43)</f>
        <v/>
      </c>
      <c r="H43" s="25">
        <f>IF(A43="","",SUMIFS(PA_OECM_Register!$AG$5:$AG$1504,PA_OECM_Register!$Z$5:$Z$1504,1,PA_OECM_Register!$E$5:$E$1504,"OECM",PA_OECM_Register!$AH$5:$AH$1504,"&gt;0",PA_OECM_Register!$AH$5:$AH$1504,"&lt;="&amp;A43)+SUMIFS(PA_OECM_Register!$AG$5:$AG$1504,PA_OECM_Register!$Z$5:$Z$1504,1,PA_OECM_Register!$E$5:$E$1504,"OECM",PA_OECM_Register!$AH$5:$AH$1504,0)*C43)</f>
        <v/>
      </c>
      <c r="I43" s="26">
        <f>IF(A43="","",IF(N(Setup!$B$11)&gt;0,(G43+H43)/Setup!$B$11,""))</f>
        <v/>
      </c>
      <c r="J43" s="26">
        <f>IF(A43="","",IF(N(Setup!$B$10)&gt;0,SUMIFS(PA_OECM_Register!$AF$5:$AF$1504,PA_OECM_Register!$Z$5:$Z$1504,1,PA_OECM_Register!$AH$5:$AH$1504,"&gt;0",PA_OECM_Register!$AH$5:$AH$1504,"&lt;="&amp;A43)/Setup!$B$10,""))</f>
        <v/>
      </c>
      <c r="K43" s="26">
        <f>IF(A43="","",IF(N(Setup!$B$11)&gt;0,SUMIFS(PA_OECM_Register!$AG$5:$AG$1504,PA_OECM_Register!$Z$5:$Z$1504,1,PA_OECM_Register!$AH$5:$AH$1504,"&gt;0",PA_OECM_Register!$AH$5:$AH$1504,"&lt;="&amp;A43)/Setup!$B$11,""))</f>
        <v/>
      </c>
    </row>
    <row r="44">
      <c r="A44" s="33">
        <f>IF(Setup!$B$27+39&gt;Setup!$B$6,"",Setup!$B$27+39)</f>
        <v/>
      </c>
      <c r="B44" s="38">
        <f>IF(A44="","",COUNTIFS(PA_OECM_Register!$Z$5:$Z$1504,1,PA_OECM_Register!$E$5:$E$1504,"PA",PA_OECM_Register!$AH$5:$AH$1504,"&gt;0",PA_OECM_Register!$AH$5:$AH$1504,"&lt;="&amp;A44)/MAX(1,COUNTIFS(PA_OECM_Register!$Z$5:$Z$1504,1,PA_OECM_Register!$E$5:$E$1504,"PA",PA_OECM_Register!$AH$5:$AH$1504,"&gt;0")))</f>
        <v/>
      </c>
      <c r="C44" s="38">
        <f>IF(A44="","",COUNTIFS(PA_OECM_Register!$Z$5:$Z$1504,1,PA_OECM_Register!$E$5:$E$1504,"OECM",PA_OECM_Register!$AH$5:$AH$1504,"&gt;0",PA_OECM_Register!$AH$5:$AH$1504,"&lt;="&amp;A44)/MAX(1,COUNTIFS(PA_OECM_Register!$Z$5:$Z$1504,1,PA_OECM_Register!$E$5:$E$1504,"OECM",PA_OECM_Register!$AH$5:$AH$1504,"&gt;0")))</f>
        <v/>
      </c>
      <c r="D44" s="25">
        <f>IF(A44="","",SUMIFS(PA_OECM_Register!$AF$5:$AF$1504,PA_OECM_Register!$Z$5:$Z$1504,1,PA_OECM_Register!$E$5:$E$1504,"PA",PA_OECM_Register!$AH$5:$AH$1504,"&gt;0",PA_OECM_Register!$AH$5:$AH$1504,"&lt;="&amp;A44)+SUMIFS(PA_OECM_Register!$AF$5:$AF$1504,PA_OECM_Register!$Z$5:$Z$1504,1,PA_OECM_Register!$E$5:$E$1504,"PA",PA_OECM_Register!$AH$5:$AH$1504,0)*B44)</f>
        <v/>
      </c>
      <c r="E44" s="25">
        <f>IF(A44="","",SUMIFS(PA_OECM_Register!$AF$5:$AF$1504,PA_OECM_Register!$Z$5:$Z$1504,1,PA_OECM_Register!$E$5:$E$1504,"OECM",PA_OECM_Register!$AH$5:$AH$1504,"&gt;0",PA_OECM_Register!$AH$5:$AH$1504,"&lt;="&amp;A44)+SUMIFS(PA_OECM_Register!$AF$5:$AF$1504,PA_OECM_Register!$Z$5:$Z$1504,1,PA_OECM_Register!$E$5:$E$1504,"OECM",PA_OECM_Register!$AH$5:$AH$1504,0)*C44)</f>
        <v/>
      </c>
      <c r="F44" s="26">
        <f>IF(A44="","",IF(N(Setup!$B$10)&gt;0,(D44+E44)/Setup!$B$10,""))</f>
        <v/>
      </c>
      <c r="G44" s="25">
        <f>IF(A44="","",SUMIFS(PA_OECM_Register!$AG$5:$AG$1504,PA_OECM_Register!$Z$5:$Z$1504,1,PA_OECM_Register!$E$5:$E$1504,"PA",PA_OECM_Register!$AH$5:$AH$1504,"&gt;0",PA_OECM_Register!$AH$5:$AH$1504,"&lt;="&amp;A44)+SUMIFS(PA_OECM_Register!$AG$5:$AG$1504,PA_OECM_Register!$Z$5:$Z$1504,1,PA_OECM_Register!$E$5:$E$1504,"PA",PA_OECM_Register!$AH$5:$AH$1504,0)*B44)</f>
        <v/>
      </c>
      <c r="H44" s="25">
        <f>IF(A44="","",SUMIFS(PA_OECM_Register!$AG$5:$AG$1504,PA_OECM_Register!$Z$5:$Z$1504,1,PA_OECM_Register!$E$5:$E$1504,"OECM",PA_OECM_Register!$AH$5:$AH$1504,"&gt;0",PA_OECM_Register!$AH$5:$AH$1504,"&lt;="&amp;A44)+SUMIFS(PA_OECM_Register!$AG$5:$AG$1504,PA_OECM_Register!$Z$5:$Z$1504,1,PA_OECM_Register!$E$5:$E$1504,"OECM",PA_OECM_Register!$AH$5:$AH$1504,0)*C44)</f>
        <v/>
      </c>
      <c r="I44" s="26">
        <f>IF(A44="","",IF(N(Setup!$B$11)&gt;0,(G44+H44)/Setup!$B$11,""))</f>
        <v/>
      </c>
      <c r="J44" s="26">
        <f>IF(A44="","",IF(N(Setup!$B$10)&gt;0,SUMIFS(PA_OECM_Register!$AF$5:$AF$1504,PA_OECM_Register!$Z$5:$Z$1504,1,PA_OECM_Register!$AH$5:$AH$1504,"&gt;0",PA_OECM_Register!$AH$5:$AH$1504,"&lt;="&amp;A44)/Setup!$B$10,""))</f>
        <v/>
      </c>
      <c r="K44" s="26">
        <f>IF(A44="","",IF(N(Setup!$B$11)&gt;0,SUMIFS(PA_OECM_Register!$AG$5:$AG$1504,PA_OECM_Register!$Z$5:$Z$1504,1,PA_OECM_Register!$AH$5:$AH$1504,"&gt;0",PA_OECM_Register!$AH$5:$AH$1504,"&lt;="&amp;A44)/Setup!$B$11,""))</f>
        <v/>
      </c>
    </row>
    <row r="45">
      <c r="A45" s="33">
        <f>IF(Setup!$B$27+40&gt;Setup!$B$6,"",Setup!$B$27+40)</f>
        <v/>
      </c>
      <c r="B45" s="38">
        <f>IF(A45="","",COUNTIFS(PA_OECM_Register!$Z$5:$Z$1504,1,PA_OECM_Register!$E$5:$E$1504,"PA",PA_OECM_Register!$AH$5:$AH$1504,"&gt;0",PA_OECM_Register!$AH$5:$AH$1504,"&lt;="&amp;A45)/MAX(1,COUNTIFS(PA_OECM_Register!$Z$5:$Z$1504,1,PA_OECM_Register!$E$5:$E$1504,"PA",PA_OECM_Register!$AH$5:$AH$1504,"&gt;0")))</f>
        <v/>
      </c>
      <c r="C45" s="38">
        <f>IF(A45="","",COUNTIFS(PA_OECM_Register!$Z$5:$Z$1504,1,PA_OECM_Register!$E$5:$E$1504,"OECM",PA_OECM_Register!$AH$5:$AH$1504,"&gt;0",PA_OECM_Register!$AH$5:$AH$1504,"&lt;="&amp;A45)/MAX(1,COUNTIFS(PA_OECM_Register!$Z$5:$Z$1504,1,PA_OECM_Register!$E$5:$E$1504,"OECM",PA_OECM_Register!$AH$5:$AH$1504,"&gt;0")))</f>
        <v/>
      </c>
      <c r="D45" s="25">
        <f>IF(A45="","",SUMIFS(PA_OECM_Register!$AF$5:$AF$1504,PA_OECM_Register!$Z$5:$Z$1504,1,PA_OECM_Register!$E$5:$E$1504,"PA",PA_OECM_Register!$AH$5:$AH$1504,"&gt;0",PA_OECM_Register!$AH$5:$AH$1504,"&lt;="&amp;A45)+SUMIFS(PA_OECM_Register!$AF$5:$AF$1504,PA_OECM_Register!$Z$5:$Z$1504,1,PA_OECM_Register!$E$5:$E$1504,"PA",PA_OECM_Register!$AH$5:$AH$1504,0)*B45)</f>
        <v/>
      </c>
      <c r="E45" s="25">
        <f>IF(A45="","",SUMIFS(PA_OECM_Register!$AF$5:$AF$1504,PA_OECM_Register!$Z$5:$Z$1504,1,PA_OECM_Register!$E$5:$E$1504,"OECM",PA_OECM_Register!$AH$5:$AH$1504,"&gt;0",PA_OECM_Register!$AH$5:$AH$1504,"&lt;="&amp;A45)+SUMIFS(PA_OECM_Register!$AF$5:$AF$1504,PA_OECM_Register!$Z$5:$Z$1504,1,PA_OECM_Register!$E$5:$E$1504,"OECM",PA_OECM_Register!$AH$5:$AH$1504,0)*C45)</f>
        <v/>
      </c>
      <c r="F45" s="26">
        <f>IF(A45="","",IF(N(Setup!$B$10)&gt;0,(D45+E45)/Setup!$B$10,""))</f>
        <v/>
      </c>
      <c r="G45" s="25">
        <f>IF(A45="","",SUMIFS(PA_OECM_Register!$AG$5:$AG$1504,PA_OECM_Register!$Z$5:$Z$1504,1,PA_OECM_Register!$E$5:$E$1504,"PA",PA_OECM_Register!$AH$5:$AH$1504,"&gt;0",PA_OECM_Register!$AH$5:$AH$1504,"&lt;="&amp;A45)+SUMIFS(PA_OECM_Register!$AG$5:$AG$1504,PA_OECM_Register!$Z$5:$Z$1504,1,PA_OECM_Register!$E$5:$E$1504,"PA",PA_OECM_Register!$AH$5:$AH$1504,0)*B45)</f>
        <v/>
      </c>
      <c r="H45" s="25">
        <f>IF(A45="","",SUMIFS(PA_OECM_Register!$AG$5:$AG$1504,PA_OECM_Register!$Z$5:$Z$1504,1,PA_OECM_Register!$E$5:$E$1504,"OECM",PA_OECM_Register!$AH$5:$AH$1504,"&gt;0",PA_OECM_Register!$AH$5:$AH$1504,"&lt;="&amp;A45)+SUMIFS(PA_OECM_Register!$AG$5:$AG$1504,PA_OECM_Register!$Z$5:$Z$1504,1,PA_OECM_Register!$E$5:$E$1504,"OECM",PA_OECM_Register!$AH$5:$AH$1504,0)*C45)</f>
        <v/>
      </c>
      <c r="I45" s="26">
        <f>IF(A45="","",IF(N(Setup!$B$11)&gt;0,(G45+H45)/Setup!$B$11,""))</f>
        <v/>
      </c>
      <c r="J45" s="26">
        <f>IF(A45="","",IF(N(Setup!$B$10)&gt;0,SUMIFS(PA_OECM_Register!$AF$5:$AF$1504,PA_OECM_Register!$Z$5:$Z$1504,1,PA_OECM_Register!$AH$5:$AH$1504,"&gt;0",PA_OECM_Register!$AH$5:$AH$1504,"&lt;="&amp;A45)/Setup!$B$10,""))</f>
        <v/>
      </c>
      <c r="K45" s="26">
        <f>IF(A45="","",IF(N(Setup!$B$11)&gt;0,SUMIFS(PA_OECM_Register!$AG$5:$AG$1504,PA_OECM_Register!$Z$5:$Z$1504,1,PA_OECM_Register!$AH$5:$AH$1504,"&gt;0",PA_OECM_Register!$AH$5:$AH$1504,"&lt;="&amp;A45)/Setup!$B$11,""))</f>
        <v/>
      </c>
    </row>
    <row r="46">
      <c r="A46" s="33">
        <f>IF(Setup!$B$27+41&gt;Setup!$B$6,"",Setup!$B$27+41)</f>
        <v/>
      </c>
      <c r="B46" s="38">
        <f>IF(A46="","",COUNTIFS(PA_OECM_Register!$Z$5:$Z$1504,1,PA_OECM_Register!$E$5:$E$1504,"PA",PA_OECM_Register!$AH$5:$AH$1504,"&gt;0",PA_OECM_Register!$AH$5:$AH$1504,"&lt;="&amp;A46)/MAX(1,COUNTIFS(PA_OECM_Register!$Z$5:$Z$1504,1,PA_OECM_Register!$E$5:$E$1504,"PA",PA_OECM_Register!$AH$5:$AH$1504,"&gt;0")))</f>
        <v/>
      </c>
      <c r="C46" s="38">
        <f>IF(A46="","",COUNTIFS(PA_OECM_Register!$Z$5:$Z$1504,1,PA_OECM_Register!$E$5:$E$1504,"OECM",PA_OECM_Register!$AH$5:$AH$1504,"&gt;0",PA_OECM_Register!$AH$5:$AH$1504,"&lt;="&amp;A46)/MAX(1,COUNTIFS(PA_OECM_Register!$Z$5:$Z$1504,1,PA_OECM_Register!$E$5:$E$1504,"OECM",PA_OECM_Register!$AH$5:$AH$1504,"&gt;0")))</f>
        <v/>
      </c>
      <c r="D46" s="25">
        <f>IF(A46="","",SUMIFS(PA_OECM_Register!$AF$5:$AF$1504,PA_OECM_Register!$Z$5:$Z$1504,1,PA_OECM_Register!$E$5:$E$1504,"PA",PA_OECM_Register!$AH$5:$AH$1504,"&gt;0",PA_OECM_Register!$AH$5:$AH$1504,"&lt;="&amp;A46)+SUMIFS(PA_OECM_Register!$AF$5:$AF$1504,PA_OECM_Register!$Z$5:$Z$1504,1,PA_OECM_Register!$E$5:$E$1504,"PA",PA_OECM_Register!$AH$5:$AH$1504,0)*B46)</f>
        <v/>
      </c>
      <c r="E46" s="25">
        <f>IF(A46="","",SUMIFS(PA_OECM_Register!$AF$5:$AF$1504,PA_OECM_Register!$Z$5:$Z$1504,1,PA_OECM_Register!$E$5:$E$1504,"OECM",PA_OECM_Register!$AH$5:$AH$1504,"&gt;0",PA_OECM_Register!$AH$5:$AH$1504,"&lt;="&amp;A46)+SUMIFS(PA_OECM_Register!$AF$5:$AF$1504,PA_OECM_Register!$Z$5:$Z$1504,1,PA_OECM_Register!$E$5:$E$1504,"OECM",PA_OECM_Register!$AH$5:$AH$1504,0)*C46)</f>
        <v/>
      </c>
      <c r="F46" s="26">
        <f>IF(A46="","",IF(N(Setup!$B$10)&gt;0,(D46+E46)/Setup!$B$10,""))</f>
        <v/>
      </c>
      <c r="G46" s="25">
        <f>IF(A46="","",SUMIFS(PA_OECM_Register!$AG$5:$AG$1504,PA_OECM_Register!$Z$5:$Z$1504,1,PA_OECM_Register!$E$5:$E$1504,"PA",PA_OECM_Register!$AH$5:$AH$1504,"&gt;0",PA_OECM_Register!$AH$5:$AH$1504,"&lt;="&amp;A46)+SUMIFS(PA_OECM_Register!$AG$5:$AG$1504,PA_OECM_Register!$Z$5:$Z$1504,1,PA_OECM_Register!$E$5:$E$1504,"PA",PA_OECM_Register!$AH$5:$AH$1504,0)*B46)</f>
        <v/>
      </c>
      <c r="H46" s="25">
        <f>IF(A46="","",SUMIFS(PA_OECM_Register!$AG$5:$AG$1504,PA_OECM_Register!$Z$5:$Z$1504,1,PA_OECM_Register!$E$5:$E$1504,"OECM",PA_OECM_Register!$AH$5:$AH$1504,"&gt;0",PA_OECM_Register!$AH$5:$AH$1504,"&lt;="&amp;A46)+SUMIFS(PA_OECM_Register!$AG$5:$AG$1504,PA_OECM_Register!$Z$5:$Z$1504,1,PA_OECM_Register!$E$5:$E$1504,"OECM",PA_OECM_Register!$AH$5:$AH$1504,0)*C46)</f>
        <v/>
      </c>
      <c r="I46" s="26">
        <f>IF(A46="","",IF(N(Setup!$B$11)&gt;0,(G46+H46)/Setup!$B$11,""))</f>
        <v/>
      </c>
      <c r="J46" s="26">
        <f>IF(A46="","",IF(N(Setup!$B$10)&gt;0,SUMIFS(PA_OECM_Register!$AF$5:$AF$1504,PA_OECM_Register!$Z$5:$Z$1504,1,PA_OECM_Register!$AH$5:$AH$1504,"&gt;0",PA_OECM_Register!$AH$5:$AH$1504,"&lt;="&amp;A46)/Setup!$B$10,""))</f>
        <v/>
      </c>
      <c r="K46" s="26">
        <f>IF(A46="","",IF(N(Setup!$B$11)&gt;0,SUMIFS(PA_OECM_Register!$AG$5:$AG$1504,PA_OECM_Register!$Z$5:$Z$1504,1,PA_OECM_Register!$AH$5:$AH$1504,"&gt;0",PA_OECM_Register!$AH$5:$AH$1504,"&lt;="&amp;A46)/Setup!$B$11,""))</f>
        <v/>
      </c>
    </row>
    <row r="47">
      <c r="A47" s="33">
        <f>IF(Setup!$B$27+42&gt;Setup!$B$6,"",Setup!$B$27+42)</f>
        <v/>
      </c>
      <c r="B47" s="38">
        <f>IF(A47="","",COUNTIFS(PA_OECM_Register!$Z$5:$Z$1504,1,PA_OECM_Register!$E$5:$E$1504,"PA",PA_OECM_Register!$AH$5:$AH$1504,"&gt;0",PA_OECM_Register!$AH$5:$AH$1504,"&lt;="&amp;A47)/MAX(1,COUNTIFS(PA_OECM_Register!$Z$5:$Z$1504,1,PA_OECM_Register!$E$5:$E$1504,"PA",PA_OECM_Register!$AH$5:$AH$1504,"&gt;0")))</f>
        <v/>
      </c>
      <c r="C47" s="38">
        <f>IF(A47="","",COUNTIFS(PA_OECM_Register!$Z$5:$Z$1504,1,PA_OECM_Register!$E$5:$E$1504,"OECM",PA_OECM_Register!$AH$5:$AH$1504,"&gt;0",PA_OECM_Register!$AH$5:$AH$1504,"&lt;="&amp;A47)/MAX(1,COUNTIFS(PA_OECM_Register!$Z$5:$Z$1504,1,PA_OECM_Register!$E$5:$E$1504,"OECM",PA_OECM_Register!$AH$5:$AH$1504,"&gt;0")))</f>
        <v/>
      </c>
      <c r="D47" s="25">
        <f>IF(A47="","",SUMIFS(PA_OECM_Register!$AF$5:$AF$1504,PA_OECM_Register!$Z$5:$Z$1504,1,PA_OECM_Register!$E$5:$E$1504,"PA",PA_OECM_Register!$AH$5:$AH$1504,"&gt;0",PA_OECM_Register!$AH$5:$AH$1504,"&lt;="&amp;A47)+SUMIFS(PA_OECM_Register!$AF$5:$AF$1504,PA_OECM_Register!$Z$5:$Z$1504,1,PA_OECM_Register!$E$5:$E$1504,"PA",PA_OECM_Register!$AH$5:$AH$1504,0)*B47)</f>
        <v/>
      </c>
      <c r="E47" s="25">
        <f>IF(A47="","",SUMIFS(PA_OECM_Register!$AF$5:$AF$1504,PA_OECM_Register!$Z$5:$Z$1504,1,PA_OECM_Register!$E$5:$E$1504,"OECM",PA_OECM_Register!$AH$5:$AH$1504,"&gt;0",PA_OECM_Register!$AH$5:$AH$1504,"&lt;="&amp;A47)+SUMIFS(PA_OECM_Register!$AF$5:$AF$1504,PA_OECM_Register!$Z$5:$Z$1504,1,PA_OECM_Register!$E$5:$E$1504,"OECM",PA_OECM_Register!$AH$5:$AH$1504,0)*C47)</f>
        <v/>
      </c>
      <c r="F47" s="26">
        <f>IF(A47="","",IF(N(Setup!$B$10)&gt;0,(D47+E47)/Setup!$B$10,""))</f>
        <v/>
      </c>
      <c r="G47" s="25">
        <f>IF(A47="","",SUMIFS(PA_OECM_Register!$AG$5:$AG$1504,PA_OECM_Register!$Z$5:$Z$1504,1,PA_OECM_Register!$E$5:$E$1504,"PA",PA_OECM_Register!$AH$5:$AH$1504,"&gt;0",PA_OECM_Register!$AH$5:$AH$1504,"&lt;="&amp;A47)+SUMIFS(PA_OECM_Register!$AG$5:$AG$1504,PA_OECM_Register!$Z$5:$Z$1504,1,PA_OECM_Register!$E$5:$E$1504,"PA",PA_OECM_Register!$AH$5:$AH$1504,0)*B47)</f>
        <v/>
      </c>
      <c r="H47" s="25">
        <f>IF(A47="","",SUMIFS(PA_OECM_Register!$AG$5:$AG$1504,PA_OECM_Register!$Z$5:$Z$1504,1,PA_OECM_Register!$E$5:$E$1504,"OECM",PA_OECM_Register!$AH$5:$AH$1504,"&gt;0",PA_OECM_Register!$AH$5:$AH$1504,"&lt;="&amp;A47)+SUMIFS(PA_OECM_Register!$AG$5:$AG$1504,PA_OECM_Register!$Z$5:$Z$1504,1,PA_OECM_Register!$E$5:$E$1504,"OECM",PA_OECM_Register!$AH$5:$AH$1504,0)*C47)</f>
        <v/>
      </c>
      <c r="I47" s="26">
        <f>IF(A47="","",IF(N(Setup!$B$11)&gt;0,(G47+H47)/Setup!$B$11,""))</f>
        <v/>
      </c>
      <c r="J47" s="26">
        <f>IF(A47="","",IF(N(Setup!$B$10)&gt;0,SUMIFS(PA_OECM_Register!$AF$5:$AF$1504,PA_OECM_Register!$Z$5:$Z$1504,1,PA_OECM_Register!$AH$5:$AH$1504,"&gt;0",PA_OECM_Register!$AH$5:$AH$1504,"&lt;="&amp;A47)/Setup!$B$10,""))</f>
        <v/>
      </c>
      <c r="K47" s="26">
        <f>IF(A47="","",IF(N(Setup!$B$11)&gt;0,SUMIFS(PA_OECM_Register!$AG$5:$AG$1504,PA_OECM_Register!$Z$5:$Z$1504,1,PA_OECM_Register!$AH$5:$AH$1504,"&gt;0",PA_OECM_Register!$AH$5:$AH$1504,"&lt;="&amp;A47)/Setup!$B$11,""))</f>
        <v/>
      </c>
    </row>
    <row r="48">
      <c r="A48" s="33">
        <f>IF(Setup!$B$27+43&gt;Setup!$B$6,"",Setup!$B$27+43)</f>
        <v/>
      </c>
      <c r="B48" s="38">
        <f>IF(A48="","",COUNTIFS(PA_OECM_Register!$Z$5:$Z$1504,1,PA_OECM_Register!$E$5:$E$1504,"PA",PA_OECM_Register!$AH$5:$AH$1504,"&gt;0",PA_OECM_Register!$AH$5:$AH$1504,"&lt;="&amp;A48)/MAX(1,COUNTIFS(PA_OECM_Register!$Z$5:$Z$1504,1,PA_OECM_Register!$E$5:$E$1504,"PA",PA_OECM_Register!$AH$5:$AH$1504,"&gt;0")))</f>
        <v/>
      </c>
      <c r="C48" s="38">
        <f>IF(A48="","",COUNTIFS(PA_OECM_Register!$Z$5:$Z$1504,1,PA_OECM_Register!$E$5:$E$1504,"OECM",PA_OECM_Register!$AH$5:$AH$1504,"&gt;0",PA_OECM_Register!$AH$5:$AH$1504,"&lt;="&amp;A48)/MAX(1,COUNTIFS(PA_OECM_Register!$Z$5:$Z$1504,1,PA_OECM_Register!$E$5:$E$1504,"OECM",PA_OECM_Register!$AH$5:$AH$1504,"&gt;0")))</f>
        <v/>
      </c>
      <c r="D48" s="25">
        <f>IF(A48="","",SUMIFS(PA_OECM_Register!$AF$5:$AF$1504,PA_OECM_Register!$Z$5:$Z$1504,1,PA_OECM_Register!$E$5:$E$1504,"PA",PA_OECM_Register!$AH$5:$AH$1504,"&gt;0",PA_OECM_Register!$AH$5:$AH$1504,"&lt;="&amp;A48)+SUMIFS(PA_OECM_Register!$AF$5:$AF$1504,PA_OECM_Register!$Z$5:$Z$1504,1,PA_OECM_Register!$E$5:$E$1504,"PA",PA_OECM_Register!$AH$5:$AH$1504,0)*B48)</f>
        <v/>
      </c>
      <c r="E48" s="25">
        <f>IF(A48="","",SUMIFS(PA_OECM_Register!$AF$5:$AF$1504,PA_OECM_Register!$Z$5:$Z$1504,1,PA_OECM_Register!$E$5:$E$1504,"OECM",PA_OECM_Register!$AH$5:$AH$1504,"&gt;0",PA_OECM_Register!$AH$5:$AH$1504,"&lt;="&amp;A48)+SUMIFS(PA_OECM_Register!$AF$5:$AF$1504,PA_OECM_Register!$Z$5:$Z$1504,1,PA_OECM_Register!$E$5:$E$1504,"OECM",PA_OECM_Register!$AH$5:$AH$1504,0)*C48)</f>
        <v/>
      </c>
      <c r="F48" s="26">
        <f>IF(A48="","",IF(N(Setup!$B$10)&gt;0,(D48+E48)/Setup!$B$10,""))</f>
        <v/>
      </c>
      <c r="G48" s="25">
        <f>IF(A48="","",SUMIFS(PA_OECM_Register!$AG$5:$AG$1504,PA_OECM_Register!$Z$5:$Z$1504,1,PA_OECM_Register!$E$5:$E$1504,"PA",PA_OECM_Register!$AH$5:$AH$1504,"&gt;0",PA_OECM_Register!$AH$5:$AH$1504,"&lt;="&amp;A48)+SUMIFS(PA_OECM_Register!$AG$5:$AG$1504,PA_OECM_Register!$Z$5:$Z$1504,1,PA_OECM_Register!$E$5:$E$1504,"PA",PA_OECM_Register!$AH$5:$AH$1504,0)*B48)</f>
        <v/>
      </c>
      <c r="H48" s="25">
        <f>IF(A48="","",SUMIFS(PA_OECM_Register!$AG$5:$AG$1504,PA_OECM_Register!$Z$5:$Z$1504,1,PA_OECM_Register!$E$5:$E$1504,"OECM",PA_OECM_Register!$AH$5:$AH$1504,"&gt;0",PA_OECM_Register!$AH$5:$AH$1504,"&lt;="&amp;A48)+SUMIFS(PA_OECM_Register!$AG$5:$AG$1504,PA_OECM_Register!$Z$5:$Z$1504,1,PA_OECM_Register!$E$5:$E$1504,"OECM",PA_OECM_Register!$AH$5:$AH$1504,0)*C48)</f>
        <v/>
      </c>
      <c r="I48" s="26">
        <f>IF(A48="","",IF(N(Setup!$B$11)&gt;0,(G48+H48)/Setup!$B$11,""))</f>
        <v/>
      </c>
      <c r="J48" s="26">
        <f>IF(A48="","",IF(N(Setup!$B$10)&gt;0,SUMIFS(PA_OECM_Register!$AF$5:$AF$1504,PA_OECM_Register!$Z$5:$Z$1504,1,PA_OECM_Register!$AH$5:$AH$1504,"&gt;0",PA_OECM_Register!$AH$5:$AH$1504,"&lt;="&amp;A48)/Setup!$B$10,""))</f>
        <v/>
      </c>
      <c r="K48" s="26">
        <f>IF(A48="","",IF(N(Setup!$B$11)&gt;0,SUMIFS(PA_OECM_Register!$AG$5:$AG$1504,PA_OECM_Register!$Z$5:$Z$1504,1,PA_OECM_Register!$AH$5:$AH$1504,"&gt;0",PA_OECM_Register!$AH$5:$AH$1504,"&lt;="&amp;A48)/Setup!$B$11,""))</f>
        <v/>
      </c>
    </row>
    <row r="49">
      <c r="A49" s="33">
        <f>IF(Setup!$B$27+44&gt;Setup!$B$6,"",Setup!$B$27+44)</f>
        <v/>
      </c>
      <c r="B49" s="38">
        <f>IF(A49="","",COUNTIFS(PA_OECM_Register!$Z$5:$Z$1504,1,PA_OECM_Register!$E$5:$E$1504,"PA",PA_OECM_Register!$AH$5:$AH$1504,"&gt;0",PA_OECM_Register!$AH$5:$AH$1504,"&lt;="&amp;A49)/MAX(1,COUNTIFS(PA_OECM_Register!$Z$5:$Z$1504,1,PA_OECM_Register!$E$5:$E$1504,"PA",PA_OECM_Register!$AH$5:$AH$1504,"&gt;0")))</f>
        <v/>
      </c>
      <c r="C49" s="38">
        <f>IF(A49="","",COUNTIFS(PA_OECM_Register!$Z$5:$Z$1504,1,PA_OECM_Register!$E$5:$E$1504,"OECM",PA_OECM_Register!$AH$5:$AH$1504,"&gt;0",PA_OECM_Register!$AH$5:$AH$1504,"&lt;="&amp;A49)/MAX(1,COUNTIFS(PA_OECM_Register!$Z$5:$Z$1504,1,PA_OECM_Register!$E$5:$E$1504,"OECM",PA_OECM_Register!$AH$5:$AH$1504,"&gt;0")))</f>
        <v/>
      </c>
      <c r="D49" s="25">
        <f>IF(A49="","",SUMIFS(PA_OECM_Register!$AF$5:$AF$1504,PA_OECM_Register!$Z$5:$Z$1504,1,PA_OECM_Register!$E$5:$E$1504,"PA",PA_OECM_Register!$AH$5:$AH$1504,"&gt;0",PA_OECM_Register!$AH$5:$AH$1504,"&lt;="&amp;A49)+SUMIFS(PA_OECM_Register!$AF$5:$AF$1504,PA_OECM_Register!$Z$5:$Z$1504,1,PA_OECM_Register!$E$5:$E$1504,"PA",PA_OECM_Register!$AH$5:$AH$1504,0)*B49)</f>
        <v/>
      </c>
      <c r="E49" s="25">
        <f>IF(A49="","",SUMIFS(PA_OECM_Register!$AF$5:$AF$1504,PA_OECM_Register!$Z$5:$Z$1504,1,PA_OECM_Register!$E$5:$E$1504,"OECM",PA_OECM_Register!$AH$5:$AH$1504,"&gt;0",PA_OECM_Register!$AH$5:$AH$1504,"&lt;="&amp;A49)+SUMIFS(PA_OECM_Register!$AF$5:$AF$1504,PA_OECM_Register!$Z$5:$Z$1504,1,PA_OECM_Register!$E$5:$E$1504,"OECM",PA_OECM_Register!$AH$5:$AH$1504,0)*C49)</f>
        <v/>
      </c>
      <c r="F49" s="26">
        <f>IF(A49="","",IF(N(Setup!$B$10)&gt;0,(D49+E49)/Setup!$B$10,""))</f>
        <v/>
      </c>
      <c r="G49" s="25">
        <f>IF(A49="","",SUMIFS(PA_OECM_Register!$AG$5:$AG$1504,PA_OECM_Register!$Z$5:$Z$1504,1,PA_OECM_Register!$E$5:$E$1504,"PA",PA_OECM_Register!$AH$5:$AH$1504,"&gt;0",PA_OECM_Register!$AH$5:$AH$1504,"&lt;="&amp;A49)+SUMIFS(PA_OECM_Register!$AG$5:$AG$1504,PA_OECM_Register!$Z$5:$Z$1504,1,PA_OECM_Register!$E$5:$E$1504,"PA",PA_OECM_Register!$AH$5:$AH$1504,0)*B49)</f>
        <v/>
      </c>
      <c r="H49" s="25">
        <f>IF(A49="","",SUMIFS(PA_OECM_Register!$AG$5:$AG$1504,PA_OECM_Register!$Z$5:$Z$1504,1,PA_OECM_Register!$E$5:$E$1504,"OECM",PA_OECM_Register!$AH$5:$AH$1504,"&gt;0",PA_OECM_Register!$AH$5:$AH$1504,"&lt;="&amp;A49)+SUMIFS(PA_OECM_Register!$AG$5:$AG$1504,PA_OECM_Register!$Z$5:$Z$1504,1,PA_OECM_Register!$E$5:$E$1504,"OECM",PA_OECM_Register!$AH$5:$AH$1504,0)*C49)</f>
        <v/>
      </c>
      <c r="I49" s="26">
        <f>IF(A49="","",IF(N(Setup!$B$11)&gt;0,(G49+H49)/Setup!$B$11,""))</f>
        <v/>
      </c>
      <c r="J49" s="26">
        <f>IF(A49="","",IF(N(Setup!$B$10)&gt;0,SUMIFS(PA_OECM_Register!$AF$5:$AF$1504,PA_OECM_Register!$Z$5:$Z$1504,1,PA_OECM_Register!$AH$5:$AH$1504,"&gt;0",PA_OECM_Register!$AH$5:$AH$1504,"&lt;="&amp;A49)/Setup!$B$10,""))</f>
        <v/>
      </c>
      <c r="K49" s="26">
        <f>IF(A49="","",IF(N(Setup!$B$11)&gt;0,SUMIFS(PA_OECM_Register!$AG$5:$AG$1504,PA_OECM_Register!$Z$5:$Z$1504,1,PA_OECM_Register!$AH$5:$AH$1504,"&gt;0",PA_OECM_Register!$AH$5:$AH$1504,"&lt;="&amp;A49)/Setup!$B$11,""))</f>
        <v/>
      </c>
    </row>
    <row r="50">
      <c r="A50" s="33">
        <f>IF(Setup!$B$27+45&gt;Setup!$B$6,"",Setup!$B$27+45)</f>
        <v/>
      </c>
      <c r="B50" s="38">
        <f>IF(A50="","",COUNTIFS(PA_OECM_Register!$Z$5:$Z$1504,1,PA_OECM_Register!$E$5:$E$1504,"PA",PA_OECM_Register!$AH$5:$AH$1504,"&gt;0",PA_OECM_Register!$AH$5:$AH$1504,"&lt;="&amp;A50)/MAX(1,COUNTIFS(PA_OECM_Register!$Z$5:$Z$1504,1,PA_OECM_Register!$E$5:$E$1504,"PA",PA_OECM_Register!$AH$5:$AH$1504,"&gt;0")))</f>
        <v/>
      </c>
      <c r="C50" s="38">
        <f>IF(A50="","",COUNTIFS(PA_OECM_Register!$Z$5:$Z$1504,1,PA_OECM_Register!$E$5:$E$1504,"OECM",PA_OECM_Register!$AH$5:$AH$1504,"&gt;0",PA_OECM_Register!$AH$5:$AH$1504,"&lt;="&amp;A50)/MAX(1,COUNTIFS(PA_OECM_Register!$Z$5:$Z$1504,1,PA_OECM_Register!$E$5:$E$1504,"OECM",PA_OECM_Register!$AH$5:$AH$1504,"&gt;0")))</f>
        <v/>
      </c>
      <c r="D50" s="25">
        <f>IF(A50="","",SUMIFS(PA_OECM_Register!$AF$5:$AF$1504,PA_OECM_Register!$Z$5:$Z$1504,1,PA_OECM_Register!$E$5:$E$1504,"PA",PA_OECM_Register!$AH$5:$AH$1504,"&gt;0",PA_OECM_Register!$AH$5:$AH$1504,"&lt;="&amp;A50)+SUMIFS(PA_OECM_Register!$AF$5:$AF$1504,PA_OECM_Register!$Z$5:$Z$1504,1,PA_OECM_Register!$E$5:$E$1504,"PA",PA_OECM_Register!$AH$5:$AH$1504,0)*B50)</f>
        <v/>
      </c>
      <c r="E50" s="25">
        <f>IF(A50="","",SUMIFS(PA_OECM_Register!$AF$5:$AF$1504,PA_OECM_Register!$Z$5:$Z$1504,1,PA_OECM_Register!$E$5:$E$1504,"OECM",PA_OECM_Register!$AH$5:$AH$1504,"&gt;0",PA_OECM_Register!$AH$5:$AH$1504,"&lt;="&amp;A50)+SUMIFS(PA_OECM_Register!$AF$5:$AF$1504,PA_OECM_Register!$Z$5:$Z$1504,1,PA_OECM_Register!$E$5:$E$1504,"OECM",PA_OECM_Register!$AH$5:$AH$1504,0)*C50)</f>
        <v/>
      </c>
      <c r="F50" s="26">
        <f>IF(A50="","",IF(N(Setup!$B$10)&gt;0,(D50+E50)/Setup!$B$10,""))</f>
        <v/>
      </c>
      <c r="G50" s="25">
        <f>IF(A50="","",SUMIFS(PA_OECM_Register!$AG$5:$AG$1504,PA_OECM_Register!$Z$5:$Z$1504,1,PA_OECM_Register!$E$5:$E$1504,"PA",PA_OECM_Register!$AH$5:$AH$1504,"&gt;0",PA_OECM_Register!$AH$5:$AH$1504,"&lt;="&amp;A50)+SUMIFS(PA_OECM_Register!$AG$5:$AG$1504,PA_OECM_Register!$Z$5:$Z$1504,1,PA_OECM_Register!$E$5:$E$1504,"PA",PA_OECM_Register!$AH$5:$AH$1504,0)*B50)</f>
        <v/>
      </c>
      <c r="H50" s="25">
        <f>IF(A50="","",SUMIFS(PA_OECM_Register!$AG$5:$AG$1504,PA_OECM_Register!$Z$5:$Z$1504,1,PA_OECM_Register!$E$5:$E$1504,"OECM",PA_OECM_Register!$AH$5:$AH$1504,"&gt;0",PA_OECM_Register!$AH$5:$AH$1504,"&lt;="&amp;A50)+SUMIFS(PA_OECM_Register!$AG$5:$AG$1504,PA_OECM_Register!$Z$5:$Z$1504,1,PA_OECM_Register!$E$5:$E$1504,"OECM",PA_OECM_Register!$AH$5:$AH$1504,0)*C50)</f>
        <v/>
      </c>
      <c r="I50" s="26">
        <f>IF(A50="","",IF(N(Setup!$B$11)&gt;0,(G50+H50)/Setup!$B$11,""))</f>
        <v/>
      </c>
      <c r="J50" s="26">
        <f>IF(A50="","",IF(N(Setup!$B$10)&gt;0,SUMIFS(PA_OECM_Register!$AF$5:$AF$1504,PA_OECM_Register!$Z$5:$Z$1504,1,PA_OECM_Register!$AH$5:$AH$1504,"&gt;0",PA_OECM_Register!$AH$5:$AH$1504,"&lt;="&amp;A50)/Setup!$B$10,""))</f>
        <v/>
      </c>
      <c r="K50" s="26">
        <f>IF(A50="","",IF(N(Setup!$B$11)&gt;0,SUMIFS(PA_OECM_Register!$AG$5:$AG$1504,PA_OECM_Register!$Z$5:$Z$1504,1,PA_OECM_Register!$AH$5:$AH$1504,"&gt;0",PA_OECM_Register!$AH$5:$AH$1504,"&lt;="&amp;A50)/Setup!$B$11,""))</f>
        <v/>
      </c>
    </row>
    <row r="51">
      <c r="A51" s="33">
        <f>IF(Setup!$B$27+46&gt;Setup!$B$6,"",Setup!$B$27+46)</f>
        <v/>
      </c>
      <c r="B51" s="38">
        <f>IF(A51="","",COUNTIFS(PA_OECM_Register!$Z$5:$Z$1504,1,PA_OECM_Register!$E$5:$E$1504,"PA",PA_OECM_Register!$AH$5:$AH$1504,"&gt;0",PA_OECM_Register!$AH$5:$AH$1504,"&lt;="&amp;A51)/MAX(1,COUNTIFS(PA_OECM_Register!$Z$5:$Z$1504,1,PA_OECM_Register!$E$5:$E$1504,"PA",PA_OECM_Register!$AH$5:$AH$1504,"&gt;0")))</f>
        <v/>
      </c>
      <c r="C51" s="38">
        <f>IF(A51="","",COUNTIFS(PA_OECM_Register!$Z$5:$Z$1504,1,PA_OECM_Register!$E$5:$E$1504,"OECM",PA_OECM_Register!$AH$5:$AH$1504,"&gt;0",PA_OECM_Register!$AH$5:$AH$1504,"&lt;="&amp;A51)/MAX(1,COUNTIFS(PA_OECM_Register!$Z$5:$Z$1504,1,PA_OECM_Register!$E$5:$E$1504,"OECM",PA_OECM_Register!$AH$5:$AH$1504,"&gt;0")))</f>
        <v/>
      </c>
      <c r="D51" s="25">
        <f>IF(A51="","",SUMIFS(PA_OECM_Register!$AF$5:$AF$1504,PA_OECM_Register!$Z$5:$Z$1504,1,PA_OECM_Register!$E$5:$E$1504,"PA",PA_OECM_Register!$AH$5:$AH$1504,"&gt;0",PA_OECM_Register!$AH$5:$AH$1504,"&lt;="&amp;A51)+SUMIFS(PA_OECM_Register!$AF$5:$AF$1504,PA_OECM_Register!$Z$5:$Z$1504,1,PA_OECM_Register!$E$5:$E$1504,"PA",PA_OECM_Register!$AH$5:$AH$1504,0)*B51)</f>
        <v/>
      </c>
      <c r="E51" s="25">
        <f>IF(A51="","",SUMIFS(PA_OECM_Register!$AF$5:$AF$1504,PA_OECM_Register!$Z$5:$Z$1504,1,PA_OECM_Register!$E$5:$E$1504,"OECM",PA_OECM_Register!$AH$5:$AH$1504,"&gt;0",PA_OECM_Register!$AH$5:$AH$1504,"&lt;="&amp;A51)+SUMIFS(PA_OECM_Register!$AF$5:$AF$1504,PA_OECM_Register!$Z$5:$Z$1504,1,PA_OECM_Register!$E$5:$E$1504,"OECM",PA_OECM_Register!$AH$5:$AH$1504,0)*C51)</f>
        <v/>
      </c>
      <c r="F51" s="26">
        <f>IF(A51="","",IF(N(Setup!$B$10)&gt;0,(D51+E51)/Setup!$B$10,""))</f>
        <v/>
      </c>
      <c r="G51" s="25">
        <f>IF(A51="","",SUMIFS(PA_OECM_Register!$AG$5:$AG$1504,PA_OECM_Register!$Z$5:$Z$1504,1,PA_OECM_Register!$E$5:$E$1504,"PA",PA_OECM_Register!$AH$5:$AH$1504,"&gt;0",PA_OECM_Register!$AH$5:$AH$1504,"&lt;="&amp;A51)+SUMIFS(PA_OECM_Register!$AG$5:$AG$1504,PA_OECM_Register!$Z$5:$Z$1504,1,PA_OECM_Register!$E$5:$E$1504,"PA",PA_OECM_Register!$AH$5:$AH$1504,0)*B51)</f>
        <v/>
      </c>
      <c r="H51" s="25">
        <f>IF(A51="","",SUMIFS(PA_OECM_Register!$AG$5:$AG$1504,PA_OECM_Register!$Z$5:$Z$1504,1,PA_OECM_Register!$E$5:$E$1504,"OECM",PA_OECM_Register!$AH$5:$AH$1504,"&gt;0",PA_OECM_Register!$AH$5:$AH$1504,"&lt;="&amp;A51)+SUMIFS(PA_OECM_Register!$AG$5:$AG$1504,PA_OECM_Register!$Z$5:$Z$1504,1,PA_OECM_Register!$E$5:$E$1504,"OECM",PA_OECM_Register!$AH$5:$AH$1504,0)*C51)</f>
        <v/>
      </c>
      <c r="I51" s="26">
        <f>IF(A51="","",IF(N(Setup!$B$11)&gt;0,(G51+H51)/Setup!$B$11,""))</f>
        <v/>
      </c>
      <c r="J51" s="26">
        <f>IF(A51="","",IF(N(Setup!$B$10)&gt;0,SUMIFS(PA_OECM_Register!$AF$5:$AF$1504,PA_OECM_Register!$Z$5:$Z$1504,1,PA_OECM_Register!$AH$5:$AH$1504,"&gt;0",PA_OECM_Register!$AH$5:$AH$1504,"&lt;="&amp;A51)/Setup!$B$10,""))</f>
        <v/>
      </c>
      <c r="K51" s="26">
        <f>IF(A51="","",IF(N(Setup!$B$11)&gt;0,SUMIFS(PA_OECM_Register!$AG$5:$AG$1504,PA_OECM_Register!$Z$5:$Z$1504,1,PA_OECM_Register!$AH$5:$AH$1504,"&gt;0",PA_OECM_Register!$AH$5:$AH$1504,"&lt;="&amp;A51)/Setup!$B$11,""))</f>
        <v/>
      </c>
    </row>
    <row r="52">
      <c r="A52" s="33">
        <f>IF(Setup!$B$27+47&gt;Setup!$B$6,"",Setup!$B$27+47)</f>
        <v/>
      </c>
      <c r="B52" s="38">
        <f>IF(A52="","",COUNTIFS(PA_OECM_Register!$Z$5:$Z$1504,1,PA_OECM_Register!$E$5:$E$1504,"PA",PA_OECM_Register!$AH$5:$AH$1504,"&gt;0",PA_OECM_Register!$AH$5:$AH$1504,"&lt;="&amp;A52)/MAX(1,COUNTIFS(PA_OECM_Register!$Z$5:$Z$1504,1,PA_OECM_Register!$E$5:$E$1504,"PA",PA_OECM_Register!$AH$5:$AH$1504,"&gt;0")))</f>
        <v/>
      </c>
      <c r="C52" s="38">
        <f>IF(A52="","",COUNTIFS(PA_OECM_Register!$Z$5:$Z$1504,1,PA_OECM_Register!$E$5:$E$1504,"OECM",PA_OECM_Register!$AH$5:$AH$1504,"&gt;0",PA_OECM_Register!$AH$5:$AH$1504,"&lt;="&amp;A52)/MAX(1,COUNTIFS(PA_OECM_Register!$Z$5:$Z$1504,1,PA_OECM_Register!$E$5:$E$1504,"OECM",PA_OECM_Register!$AH$5:$AH$1504,"&gt;0")))</f>
        <v/>
      </c>
      <c r="D52" s="25">
        <f>IF(A52="","",SUMIFS(PA_OECM_Register!$AF$5:$AF$1504,PA_OECM_Register!$Z$5:$Z$1504,1,PA_OECM_Register!$E$5:$E$1504,"PA",PA_OECM_Register!$AH$5:$AH$1504,"&gt;0",PA_OECM_Register!$AH$5:$AH$1504,"&lt;="&amp;A52)+SUMIFS(PA_OECM_Register!$AF$5:$AF$1504,PA_OECM_Register!$Z$5:$Z$1504,1,PA_OECM_Register!$E$5:$E$1504,"PA",PA_OECM_Register!$AH$5:$AH$1504,0)*B52)</f>
        <v/>
      </c>
      <c r="E52" s="25">
        <f>IF(A52="","",SUMIFS(PA_OECM_Register!$AF$5:$AF$1504,PA_OECM_Register!$Z$5:$Z$1504,1,PA_OECM_Register!$E$5:$E$1504,"OECM",PA_OECM_Register!$AH$5:$AH$1504,"&gt;0",PA_OECM_Register!$AH$5:$AH$1504,"&lt;="&amp;A52)+SUMIFS(PA_OECM_Register!$AF$5:$AF$1504,PA_OECM_Register!$Z$5:$Z$1504,1,PA_OECM_Register!$E$5:$E$1504,"OECM",PA_OECM_Register!$AH$5:$AH$1504,0)*C52)</f>
        <v/>
      </c>
      <c r="F52" s="26">
        <f>IF(A52="","",IF(N(Setup!$B$10)&gt;0,(D52+E52)/Setup!$B$10,""))</f>
        <v/>
      </c>
      <c r="G52" s="25">
        <f>IF(A52="","",SUMIFS(PA_OECM_Register!$AG$5:$AG$1504,PA_OECM_Register!$Z$5:$Z$1504,1,PA_OECM_Register!$E$5:$E$1504,"PA",PA_OECM_Register!$AH$5:$AH$1504,"&gt;0",PA_OECM_Register!$AH$5:$AH$1504,"&lt;="&amp;A52)+SUMIFS(PA_OECM_Register!$AG$5:$AG$1504,PA_OECM_Register!$Z$5:$Z$1504,1,PA_OECM_Register!$E$5:$E$1504,"PA",PA_OECM_Register!$AH$5:$AH$1504,0)*B52)</f>
        <v/>
      </c>
      <c r="H52" s="25">
        <f>IF(A52="","",SUMIFS(PA_OECM_Register!$AG$5:$AG$1504,PA_OECM_Register!$Z$5:$Z$1504,1,PA_OECM_Register!$E$5:$E$1504,"OECM",PA_OECM_Register!$AH$5:$AH$1504,"&gt;0",PA_OECM_Register!$AH$5:$AH$1504,"&lt;="&amp;A52)+SUMIFS(PA_OECM_Register!$AG$5:$AG$1504,PA_OECM_Register!$Z$5:$Z$1504,1,PA_OECM_Register!$E$5:$E$1504,"OECM",PA_OECM_Register!$AH$5:$AH$1504,0)*C52)</f>
        <v/>
      </c>
      <c r="I52" s="26">
        <f>IF(A52="","",IF(N(Setup!$B$11)&gt;0,(G52+H52)/Setup!$B$11,""))</f>
        <v/>
      </c>
      <c r="J52" s="26">
        <f>IF(A52="","",IF(N(Setup!$B$10)&gt;0,SUMIFS(PA_OECM_Register!$AF$5:$AF$1504,PA_OECM_Register!$Z$5:$Z$1504,1,PA_OECM_Register!$AH$5:$AH$1504,"&gt;0",PA_OECM_Register!$AH$5:$AH$1504,"&lt;="&amp;A52)/Setup!$B$10,""))</f>
        <v/>
      </c>
      <c r="K52" s="26">
        <f>IF(A52="","",IF(N(Setup!$B$11)&gt;0,SUMIFS(PA_OECM_Register!$AG$5:$AG$1504,PA_OECM_Register!$Z$5:$Z$1504,1,PA_OECM_Register!$AH$5:$AH$1504,"&gt;0",PA_OECM_Register!$AH$5:$AH$1504,"&lt;="&amp;A52)/Setup!$B$11,""))</f>
        <v/>
      </c>
    </row>
    <row r="53">
      <c r="A53" s="33">
        <f>IF(Setup!$B$27+48&gt;Setup!$B$6,"",Setup!$B$27+48)</f>
        <v/>
      </c>
      <c r="B53" s="38">
        <f>IF(A53="","",COUNTIFS(PA_OECM_Register!$Z$5:$Z$1504,1,PA_OECM_Register!$E$5:$E$1504,"PA",PA_OECM_Register!$AH$5:$AH$1504,"&gt;0",PA_OECM_Register!$AH$5:$AH$1504,"&lt;="&amp;A53)/MAX(1,COUNTIFS(PA_OECM_Register!$Z$5:$Z$1504,1,PA_OECM_Register!$E$5:$E$1504,"PA",PA_OECM_Register!$AH$5:$AH$1504,"&gt;0")))</f>
        <v/>
      </c>
      <c r="C53" s="38">
        <f>IF(A53="","",COUNTIFS(PA_OECM_Register!$Z$5:$Z$1504,1,PA_OECM_Register!$E$5:$E$1504,"OECM",PA_OECM_Register!$AH$5:$AH$1504,"&gt;0",PA_OECM_Register!$AH$5:$AH$1504,"&lt;="&amp;A53)/MAX(1,COUNTIFS(PA_OECM_Register!$Z$5:$Z$1504,1,PA_OECM_Register!$E$5:$E$1504,"OECM",PA_OECM_Register!$AH$5:$AH$1504,"&gt;0")))</f>
        <v/>
      </c>
      <c r="D53" s="25">
        <f>IF(A53="","",SUMIFS(PA_OECM_Register!$AF$5:$AF$1504,PA_OECM_Register!$Z$5:$Z$1504,1,PA_OECM_Register!$E$5:$E$1504,"PA",PA_OECM_Register!$AH$5:$AH$1504,"&gt;0",PA_OECM_Register!$AH$5:$AH$1504,"&lt;="&amp;A53)+SUMIFS(PA_OECM_Register!$AF$5:$AF$1504,PA_OECM_Register!$Z$5:$Z$1504,1,PA_OECM_Register!$E$5:$E$1504,"PA",PA_OECM_Register!$AH$5:$AH$1504,0)*B53)</f>
        <v/>
      </c>
      <c r="E53" s="25">
        <f>IF(A53="","",SUMIFS(PA_OECM_Register!$AF$5:$AF$1504,PA_OECM_Register!$Z$5:$Z$1504,1,PA_OECM_Register!$E$5:$E$1504,"OECM",PA_OECM_Register!$AH$5:$AH$1504,"&gt;0",PA_OECM_Register!$AH$5:$AH$1504,"&lt;="&amp;A53)+SUMIFS(PA_OECM_Register!$AF$5:$AF$1504,PA_OECM_Register!$Z$5:$Z$1504,1,PA_OECM_Register!$E$5:$E$1504,"OECM",PA_OECM_Register!$AH$5:$AH$1504,0)*C53)</f>
        <v/>
      </c>
      <c r="F53" s="26">
        <f>IF(A53="","",IF(N(Setup!$B$10)&gt;0,(D53+E53)/Setup!$B$10,""))</f>
        <v/>
      </c>
      <c r="G53" s="25">
        <f>IF(A53="","",SUMIFS(PA_OECM_Register!$AG$5:$AG$1504,PA_OECM_Register!$Z$5:$Z$1504,1,PA_OECM_Register!$E$5:$E$1504,"PA",PA_OECM_Register!$AH$5:$AH$1504,"&gt;0",PA_OECM_Register!$AH$5:$AH$1504,"&lt;="&amp;A53)+SUMIFS(PA_OECM_Register!$AG$5:$AG$1504,PA_OECM_Register!$Z$5:$Z$1504,1,PA_OECM_Register!$E$5:$E$1504,"PA",PA_OECM_Register!$AH$5:$AH$1504,0)*B53)</f>
        <v/>
      </c>
      <c r="H53" s="25">
        <f>IF(A53="","",SUMIFS(PA_OECM_Register!$AG$5:$AG$1504,PA_OECM_Register!$Z$5:$Z$1504,1,PA_OECM_Register!$E$5:$E$1504,"OECM",PA_OECM_Register!$AH$5:$AH$1504,"&gt;0",PA_OECM_Register!$AH$5:$AH$1504,"&lt;="&amp;A53)+SUMIFS(PA_OECM_Register!$AG$5:$AG$1504,PA_OECM_Register!$Z$5:$Z$1504,1,PA_OECM_Register!$E$5:$E$1504,"OECM",PA_OECM_Register!$AH$5:$AH$1504,0)*C53)</f>
        <v/>
      </c>
      <c r="I53" s="26">
        <f>IF(A53="","",IF(N(Setup!$B$11)&gt;0,(G53+H53)/Setup!$B$11,""))</f>
        <v/>
      </c>
      <c r="J53" s="26">
        <f>IF(A53="","",IF(N(Setup!$B$10)&gt;0,SUMIFS(PA_OECM_Register!$AF$5:$AF$1504,PA_OECM_Register!$Z$5:$Z$1504,1,PA_OECM_Register!$AH$5:$AH$1504,"&gt;0",PA_OECM_Register!$AH$5:$AH$1504,"&lt;="&amp;A53)/Setup!$B$10,""))</f>
        <v/>
      </c>
      <c r="K53" s="26">
        <f>IF(A53="","",IF(N(Setup!$B$11)&gt;0,SUMIFS(PA_OECM_Register!$AG$5:$AG$1504,PA_OECM_Register!$Z$5:$Z$1504,1,PA_OECM_Register!$AH$5:$AH$1504,"&gt;0",PA_OECM_Register!$AH$5:$AH$1504,"&lt;="&amp;A53)/Setup!$B$11,""))</f>
        <v/>
      </c>
    </row>
    <row r="54">
      <c r="A54" s="33">
        <f>IF(Setup!$B$27+49&gt;Setup!$B$6,"",Setup!$B$27+49)</f>
        <v/>
      </c>
      <c r="B54" s="38">
        <f>IF(A54="","",COUNTIFS(PA_OECM_Register!$Z$5:$Z$1504,1,PA_OECM_Register!$E$5:$E$1504,"PA",PA_OECM_Register!$AH$5:$AH$1504,"&gt;0",PA_OECM_Register!$AH$5:$AH$1504,"&lt;="&amp;A54)/MAX(1,COUNTIFS(PA_OECM_Register!$Z$5:$Z$1504,1,PA_OECM_Register!$E$5:$E$1504,"PA",PA_OECM_Register!$AH$5:$AH$1504,"&gt;0")))</f>
        <v/>
      </c>
      <c r="C54" s="38">
        <f>IF(A54="","",COUNTIFS(PA_OECM_Register!$Z$5:$Z$1504,1,PA_OECM_Register!$E$5:$E$1504,"OECM",PA_OECM_Register!$AH$5:$AH$1504,"&gt;0",PA_OECM_Register!$AH$5:$AH$1504,"&lt;="&amp;A54)/MAX(1,COUNTIFS(PA_OECM_Register!$Z$5:$Z$1504,1,PA_OECM_Register!$E$5:$E$1504,"OECM",PA_OECM_Register!$AH$5:$AH$1504,"&gt;0")))</f>
        <v/>
      </c>
      <c r="D54" s="25">
        <f>IF(A54="","",SUMIFS(PA_OECM_Register!$AF$5:$AF$1504,PA_OECM_Register!$Z$5:$Z$1504,1,PA_OECM_Register!$E$5:$E$1504,"PA",PA_OECM_Register!$AH$5:$AH$1504,"&gt;0",PA_OECM_Register!$AH$5:$AH$1504,"&lt;="&amp;A54)+SUMIFS(PA_OECM_Register!$AF$5:$AF$1504,PA_OECM_Register!$Z$5:$Z$1504,1,PA_OECM_Register!$E$5:$E$1504,"PA",PA_OECM_Register!$AH$5:$AH$1504,0)*B54)</f>
        <v/>
      </c>
      <c r="E54" s="25">
        <f>IF(A54="","",SUMIFS(PA_OECM_Register!$AF$5:$AF$1504,PA_OECM_Register!$Z$5:$Z$1504,1,PA_OECM_Register!$E$5:$E$1504,"OECM",PA_OECM_Register!$AH$5:$AH$1504,"&gt;0",PA_OECM_Register!$AH$5:$AH$1504,"&lt;="&amp;A54)+SUMIFS(PA_OECM_Register!$AF$5:$AF$1504,PA_OECM_Register!$Z$5:$Z$1504,1,PA_OECM_Register!$E$5:$E$1504,"OECM",PA_OECM_Register!$AH$5:$AH$1504,0)*C54)</f>
        <v/>
      </c>
      <c r="F54" s="26">
        <f>IF(A54="","",IF(N(Setup!$B$10)&gt;0,(D54+E54)/Setup!$B$10,""))</f>
        <v/>
      </c>
      <c r="G54" s="25">
        <f>IF(A54="","",SUMIFS(PA_OECM_Register!$AG$5:$AG$1504,PA_OECM_Register!$Z$5:$Z$1504,1,PA_OECM_Register!$E$5:$E$1504,"PA",PA_OECM_Register!$AH$5:$AH$1504,"&gt;0",PA_OECM_Register!$AH$5:$AH$1504,"&lt;="&amp;A54)+SUMIFS(PA_OECM_Register!$AG$5:$AG$1504,PA_OECM_Register!$Z$5:$Z$1504,1,PA_OECM_Register!$E$5:$E$1504,"PA",PA_OECM_Register!$AH$5:$AH$1504,0)*B54)</f>
        <v/>
      </c>
      <c r="H54" s="25">
        <f>IF(A54="","",SUMIFS(PA_OECM_Register!$AG$5:$AG$1504,PA_OECM_Register!$Z$5:$Z$1504,1,PA_OECM_Register!$E$5:$E$1504,"OECM",PA_OECM_Register!$AH$5:$AH$1504,"&gt;0",PA_OECM_Register!$AH$5:$AH$1504,"&lt;="&amp;A54)+SUMIFS(PA_OECM_Register!$AG$5:$AG$1504,PA_OECM_Register!$Z$5:$Z$1504,1,PA_OECM_Register!$E$5:$E$1504,"OECM",PA_OECM_Register!$AH$5:$AH$1504,0)*C54)</f>
        <v/>
      </c>
      <c r="I54" s="26">
        <f>IF(A54="","",IF(N(Setup!$B$11)&gt;0,(G54+H54)/Setup!$B$11,""))</f>
        <v/>
      </c>
      <c r="J54" s="26">
        <f>IF(A54="","",IF(N(Setup!$B$10)&gt;0,SUMIFS(PA_OECM_Register!$AF$5:$AF$1504,PA_OECM_Register!$Z$5:$Z$1504,1,PA_OECM_Register!$AH$5:$AH$1504,"&gt;0",PA_OECM_Register!$AH$5:$AH$1504,"&lt;="&amp;A54)/Setup!$B$10,""))</f>
        <v/>
      </c>
      <c r="K54" s="26">
        <f>IF(A54="","",IF(N(Setup!$B$11)&gt;0,SUMIFS(PA_OECM_Register!$AG$5:$AG$1504,PA_OECM_Register!$Z$5:$Z$1504,1,PA_OECM_Register!$AH$5:$AH$1504,"&gt;0",PA_OECM_Register!$AH$5:$AH$1504,"&lt;="&amp;A54)/Setup!$B$11,""))</f>
        <v/>
      </c>
    </row>
    <row r="55">
      <c r="A55" s="33">
        <f>IF(Setup!$B$27+50&gt;Setup!$B$6,"",Setup!$B$27+50)</f>
        <v/>
      </c>
      <c r="B55" s="38">
        <f>IF(A55="","",COUNTIFS(PA_OECM_Register!$Z$5:$Z$1504,1,PA_OECM_Register!$E$5:$E$1504,"PA",PA_OECM_Register!$AH$5:$AH$1504,"&gt;0",PA_OECM_Register!$AH$5:$AH$1504,"&lt;="&amp;A55)/MAX(1,COUNTIFS(PA_OECM_Register!$Z$5:$Z$1504,1,PA_OECM_Register!$E$5:$E$1504,"PA",PA_OECM_Register!$AH$5:$AH$1504,"&gt;0")))</f>
        <v/>
      </c>
      <c r="C55" s="38">
        <f>IF(A55="","",COUNTIFS(PA_OECM_Register!$Z$5:$Z$1504,1,PA_OECM_Register!$E$5:$E$1504,"OECM",PA_OECM_Register!$AH$5:$AH$1504,"&gt;0",PA_OECM_Register!$AH$5:$AH$1504,"&lt;="&amp;A55)/MAX(1,COUNTIFS(PA_OECM_Register!$Z$5:$Z$1504,1,PA_OECM_Register!$E$5:$E$1504,"OECM",PA_OECM_Register!$AH$5:$AH$1504,"&gt;0")))</f>
        <v/>
      </c>
      <c r="D55" s="25">
        <f>IF(A55="","",SUMIFS(PA_OECM_Register!$AF$5:$AF$1504,PA_OECM_Register!$Z$5:$Z$1504,1,PA_OECM_Register!$E$5:$E$1504,"PA",PA_OECM_Register!$AH$5:$AH$1504,"&gt;0",PA_OECM_Register!$AH$5:$AH$1504,"&lt;="&amp;A55)+SUMIFS(PA_OECM_Register!$AF$5:$AF$1504,PA_OECM_Register!$Z$5:$Z$1504,1,PA_OECM_Register!$E$5:$E$1504,"PA",PA_OECM_Register!$AH$5:$AH$1504,0)*B55)</f>
        <v/>
      </c>
      <c r="E55" s="25">
        <f>IF(A55="","",SUMIFS(PA_OECM_Register!$AF$5:$AF$1504,PA_OECM_Register!$Z$5:$Z$1504,1,PA_OECM_Register!$E$5:$E$1504,"OECM",PA_OECM_Register!$AH$5:$AH$1504,"&gt;0",PA_OECM_Register!$AH$5:$AH$1504,"&lt;="&amp;A55)+SUMIFS(PA_OECM_Register!$AF$5:$AF$1504,PA_OECM_Register!$Z$5:$Z$1504,1,PA_OECM_Register!$E$5:$E$1504,"OECM",PA_OECM_Register!$AH$5:$AH$1504,0)*C55)</f>
        <v/>
      </c>
      <c r="F55" s="26">
        <f>IF(A55="","",IF(N(Setup!$B$10)&gt;0,(D55+E55)/Setup!$B$10,""))</f>
        <v/>
      </c>
      <c r="G55" s="25">
        <f>IF(A55="","",SUMIFS(PA_OECM_Register!$AG$5:$AG$1504,PA_OECM_Register!$Z$5:$Z$1504,1,PA_OECM_Register!$E$5:$E$1504,"PA",PA_OECM_Register!$AH$5:$AH$1504,"&gt;0",PA_OECM_Register!$AH$5:$AH$1504,"&lt;="&amp;A55)+SUMIFS(PA_OECM_Register!$AG$5:$AG$1504,PA_OECM_Register!$Z$5:$Z$1504,1,PA_OECM_Register!$E$5:$E$1504,"PA",PA_OECM_Register!$AH$5:$AH$1504,0)*B55)</f>
        <v/>
      </c>
      <c r="H55" s="25">
        <f>IF(A55="","",SUMIFS(PA_OECM_Register!$AG$5:$AG$1504,PA_OECM_Register!$Z$5:$Z$1504,1,PA_OECM_Register!$E$5:$E$1504,"OECM",PA_OECM_Register!$AH$5:$AH$1504,"&gt;0",PA_OECM_Register!$AH$5:$AH$1504,"&lt;="&amp;A55)+SUMIFS(PA_OECM_Register!$AG$5:$AG$1504,PA_OECM_Register!$Z$5:$Z$1504,1,PA_OECM_Register!$E$5:$E$1504,"OECM",PA_OECM_Register!$AH$5:$AH$1504,0)*C55)</f>
        <v/>
      </c>
      <c r="I55" s="26">
        <f>IF(A55="","",IF(N(Setup!$B$11)&gt;0,(G55+H55)/Setup!$B$11,""))</f>
        <v/>
      </c>
      <c r="J55" s="26">
        <f>IF(A55="","",IF(N(Setup!$B$10)&gt;0,SUMIFS(PA_OECM_Register!$AF$5:$AF$1504,PA_OECM_Register!$Z$5:$Z$1504,1,PA_OECM_Register!$AH$5:$AH$1504,"&gt;0",PA_OECM_Register!$AH$5:$AH$1504,"&lt;="&amp;A55)/Setup!$B$10,""))</f>
        <v/>
      </c>
      <c r="K55" s="26">
        <f>IF(A55="","",IF(N(Setup!$B$11)&gt;0,SUMIFS(PA_OECM_Register!$AG$5:$AG$1504,PA_OECM_Register!$Z$5:$Z$1504,1,PA_OECM_Register!$AH$5:$AH$1504,"&gt;0",PA_OECM_Register!$AH$5:$AH$1504,"&lt;="&amp;A55)/Setup!$B$11,""))</f>
        <v/>
      </c>
    </row>
    <row r="56">
      <c r="A56" s="33">
        <f>IF(Setup!$B$27+51&gt;Setup!$B$6,"",Setup!$B$27+51)</f>
        <v/>
      </c>
      <c r="B56" s="38">
        <f>IF(A56="","",COUNTIFS(PA_OECM_Register!$Z$5:$Z$1504,1,PA_OECM_Register!$E$5:$E$1504,"PA",PA_OECM_Register!$AH$5:$AH$1504,"&gt;0",PA_OECM_Register!$AH$5:$AH$1504,"&lt;="&amp;A56)/MAX(1,COUNTIFS(PA_OECM_Register!$Z$5:$Z$1504,1,PA_OECM_Register!$E$5:$E$1504,"PA",PA_OECM_Register!$AH$5:$AH$1504,"&gt;0")))</f>
        <v/>
      </c>
      <c r="C56" s="38">
        <f>IF(A56="","",COUNTIFS(PA_OECM_Register!$Z$5:$Z$1504,1,PA_OECM_Register!$E$5:$E$1504,"OECM",PA_OECM_Register!$AH$5:$AH$1504,"&gt;0",PA_OECM_Register!$AH$5:$AH$1504,"&lt;="&amp;A56)/MAX(1,COUNTIFS(PA_OECM_Register!$Z$5:$Z$1504,1,PA_OECM_Register!$E$5:$E$1504,"OECM",PA_OECM_Register!$AH$5:$AH$1504,"&gt;0")))</f>
        <v/>
      </c>
      <c r="D56" s="25">
        <f>IF(A56="","",SUMIFS(PA_OECM_Register!$AF$5:$AF$1504,PA_OECM_Register!$Z$5:$Z$1504,1,PA_OECM_Register!$E$5:$E$1504,"PA",PA_OECM_Register!$AH$5:$AH$1504,"&gt;0",PA_OECM_Register!$AH$5:$AH$1504,"&lt;="&amp;A56)+SUMIFS(PA_OECM_Register!$AF$5:$AF$1504,PA_OECM_Register!$Z$5:$Z$1504,1,PA_OECM_Register!$E$5:$E$1504,"PA",PA_OECM_Register!$AH$5:$AH$1504,0)*B56)</f>
        <v/>
      </c>
      <c r="E56" s="25">
        <f>IF(A56="","",SUMIFS(PA_OECM_Register!$AF$5:$AF$1504,PA_OECM_Register!$Z$5:$Z$1504,1,PA_OECM_Register!$E$5:$E$1504,"OECM",PA_OECM_Register!$AH$5:$AH$1504,"&gt;0",PA_OECM_Register!$AH$5:$AH$1504,"&lt;="&amp;A56)+SUMIFS(PA_OECM_Register!$AF$5:$AF$1504,PA_OECM_Register!$Z$5:$Z$1504,1,PA_OECM_Register!$E$5:$E$1504,"OECM",PA_OECM_Register!$AH$5:$AH$1504,0)*C56)</f>
        <v/>
      </c>
      <c r="F56" s="26">
        <f>IF(A56="","",IF(N(Setup!$B$10)&gt;0,(D56+E56)/Setup!$B$10,""))</f>
        <v/>
      </c>
      <c r="G56" s="25">
        <f>IF(A56="","",SUMIFS(PA_OECM_Register!$AG$5:$AG$1504,PA_OECM_Register!$Z$5:$Z$1504,1,PA_OECM_Register!$E$5:$E$1504,"PA",PA_OECM_Register!$AH$5:$AH$1504,"&gt;0",PA_OECM_Register!$AH$5:$AH$1504,"&lt;="&amp;A56)+SUMIFS(PA_OECM_Register!$AG$5:$AG$1504,PA_OECM_Register!$Z$5:$Z$1504,1,PA_OECM_Register!$E$5:$E$1504,"PA",PA_OECM_Register!$AH$5:$AH$1504,0)*B56)</f>
        <v/>
      </c>
      <c r="H56" s="25">
        <f>IF(A56="","",SUMIFS(PA_OECM_Register!$AG$5:$AG$1504,PA_OECM_Register!$Z$5:$Z$1504,1,PA_OECM_Register!$E$5:$E$1504,"OECM",PA_OECM_Register!$AH$5:$AH$1504,"&gt;0",PA_OECM_Register!$AH$5:$AH$1504,"&lt;="&amp;A56)+SUMIFS(PA_OECM_Register!$AG$5:$AG$1504,PA_OECM_Register!$Z$5:$Z$1504,1,PA_OECM_Register!$E$5:$E$1504,"OECM",PA_OECM_Register!$AH$5:$AH$1504,0)*C56)</f>
        <v/>
      </c>
      <c r="I56" s="26">
        <f>IF(A56="","",IF(N(Setup!$B$11)&gt;0,(G56+H56)/Setup!$B$11,""))</f>
        <v/>
      </c>
      <c r="J56" s="26">
        <f>IF(A56="","",IF(N(Setup!$B$10)&gt;0,SUMIFS(PA_OECM_Register!$AF$5:$AF$1504,PA_OECM_Register!$Z$5:$Z$1504,1,PA_OECM_Register!$AH$5:$AH$1504,"&gt;0",PA_OECM_Register!$AH$5:$AH$1504,"&lt;="&amp;A56)/Setup!$B$10,""))</f>
        <v/>
      </c>
      <c r="K56" s="26">
        <f>IF(A56="","",IF(N(Setup!$B$11)&gt;0,SUMIFS(PA_OECM_Register!$AG$5:$AG$1504,PA_OECM_Register!$Z$5:$Z$1504,1,PA_OECM_Register!$AH$5:$AH$1504,"&gt;0",PA_OECM_Register!$AH$5:$AH$1504,"&lt;="&amp;A56)/Setup!$B$11,""))</f>
        <v/>
      </c>
    </row>
    <row r="57">
      <c r="A57" s="33">
        <f>IF(Setup!$B$27+52&gt;Setup!$B$6,"",Setup!$B$27+52)</f>
        <v/>
      </c>
      <c r="B57" s="38">
        <f>IF(A57="","",COUNTIFS(PA_OECM_Register!$Z$5:$Z$1504,1,PA_OECM_Register!$E$5:$E$1504,"PA",PA_OECM_Register!$AH$5:$AH$1504,"&gt;0",PA_OECM_Register!$AH$5:$AH$1504,"&lt;="&amp;A57)/MAX(1,COUNTIFS(PA_OECM_Register!$Z$5:$Z$1504,1,PA_OECM_Register!$E$5:$E$1504,"PA",PA_OECM_Register!$AH$5:$AH$1504,"&gt;0")))</f>
        <v/>
      </c>
      <c r="C57" s="38">
        <f>IF(A57="","",COUNTIFS(PA_OECM_Register!$Z$5:$Z$1504,1,PA_OECM_Register!$E$5:$E$1504,"OECM",PA_OECM_Register!$AH$5:$AH$1504,"&gt;0",PA_OECM_Register!$AH$5:$AH$1504,"&lt;="&amp;A57)/MAX(1,COUNTIFS(PA_OECM_Register!$Z$5:$Z$1504,1,PA_OECM_Register!$E$5:$E$1504,"OECM",PA_OECM_Register!$AH$5:$AH$1504,"&gt;0")))</f>
        <v/>
      </c>
      <c r="D57" s="25">
        <f>IF(A57="","",SUMIFS(PA_OECM_Register!$AF$5:$AF$1504,PA_OECM_Register!$Z$5:$Z$1504,1,PA_OECM_Register!$E$5:$E$1504,"PA",PA_OECM_Register!$AH$5:$AH$1504,"&gt;0",PA_OECM_Register!$AH$5:$AH$1504,"&lt;="&amp;A57)+SUMIFS(PA_OECM_Register!$AF$5:$AF$1504,PA_OECM_Register!$Z$5:$Z$1504,1,PA_OECM_Register!$E$5:$E$1504,"PA",PA_OECM_Register!$AH$5:$AH$1504,0)*B57)</f>
        <v/>
      </c>
      <c r="E57" s="25">
        <f>IF(A57="","",SUMIFS(PA_OECM_Register!$AF$5:$AF$1504,PA_OECM_Register!$Z$5:$Z$1504,1,PA_OECM_Register!$E$5:$E$1504,"OECM",PA_OECM_Register!$AH$5:$AH$1504,"&gt;0",PA_OECM_Register!$AH$5:$AH$1504,"&lt;="&amp;A57)+SUMIFS(PA_OECM_Register!$AF$5:$AF$1504,PA_OECM_Register!$Z$5:$Z$1504,1,PA_OECM_Register!$E$5:$E$1504,"OECM",PA_OECM_Register!$AH$5:$AH$1504,0)*C57)</f>
        <v/>
      </c>
      <c r="F57" s="26">
        <f>IF(A57="","",IF(N(Setup!$B$10)&gt;0,(D57+E57)/Setup!$B$10,""))</f>
        <v/>
      </c>
      <c r="G57" s="25">
        <f>IF(A57="","",SUMIFS(PA_OECM_Register!$AG$5:$AG$1504,PA_OECM_Register!$Z$5:$Z$1504,1,PA_OECM_Register!$E$5:$E$1504,"PA",PA_OECM_Register!$AH$5:$AH$1504,"&gt;0",PA_OECM_Register!$AH$5:$AH$1504,"&lt;="&amp;A57)+SUMIFS(PA_OECM_Register!$AG$5:$AG$1504,PA_OECM_Register!$Z$5:$Z$1504,1,PA_OECM_Register!$E$5:$E$1504,"PA",PA_OECM_Register!$AH$5:$AH$1504,0)*B57)</f>
        <v/>
      </c>
      <c r="H57" s="25">
        <f>IF(A57="","",SUMIFS(PA_OECM_Register!$AG$5:$AG$1504,PA_OECM_Register!$Z$5:$Z$1504,1,PA_OECM_Register!$E$5:$E$1504,"OECM",PA_OECM_Register!$AH$5:$AH$1504,"&gt;0",PA_OECM_Register!$AH$5:$AH$1504,"&lt;="&amp;A57)+SUMIFS(PA_OECM_Register!$AG$5:$AG$1504,PA_OECM_Register!$Z$5:$Z$1504,1,PA_OECM_Register!$E$5:$E$1504,"OECM",PA_OECM_Register!$AH$5:$AH$1504,0)*C57)</f>
        <v/>
      </c>
      <c r="I57" s="26">
        <f>IF(A57="","",IF(N(Setup!$B$11)&gt;0,(G57+H57)/Setup!$B$11,""))</f>
        <v/>
      </c>
      <c r="J57" s="26">
        <f>IF(A57="","",IF(N(Setup!$B$10)&gt;0,SUMIFS(PA_OECM_Register!$AF$5:$AF$1504,PA_OECM_Register!$Z$5:$Z$1504,1,PA_OECM_Register!$AH$5:$AH$1504,"&gt;0",PA_OECM_Register!$AH$5:$AH$1504,"&lt;="&amp;A57)/Setup!$B$10,""))</f>
        <v/>
      </c>
      <c r="K57" s="26">
        <f>IF(A57="","",IF(N(Setup!$B$11)&gt;0,SUMIFS(PA_OECM_Register!$AG$5:$AG$1504,PA_OECM_Register!$Z$5:$Z$1504,1,PA_OECM_Register!$AH$5:$AH$1504,"&gt;0",PA_OECM_Register!$AH$5:$AH$1504,"&lt;="&amp;A57)/Setup!$B$11,""))</f>
        <v/>
      </c>
    </row>
    <row r="58">
      <c r="A58" s="33">
        <f>IF(Setup!$B$27+53&gt;Setup!$B$6,"",Setup!$B$27+53)</f>
        <v/>
      </c>
      <c r="B58" s="38">
        <f>IF(A58="","",COUNTIFS(PA_OECM_Register!$Z$5:$Z$1504,1,PA_OECM_Register!$E$5:$E$1504,"PA",PA_OECM_Register!$AH$5:$AH$1504,"&gt;0",PA_OECM_Register!$AH$5:$AH$1504,"&lt;="&amp;A58)/MAX(1,COUNTIFS(PA_OECM_Register!$Z$5:$Z$1504,1,PA_OECM_Register!$E$5:$E$1504,"PA",PA_OECM_Register!$AH$5:$AH$1504,"&gt;0")))</f>
        <v/>
      </c>
      <c r="C58" s="38">
        <f>IF(A58="","",COUNTIFS(PA_OECM_Register!$Z$5:$Z$1504,1,PA_OECM_Register!$E$5:$E$1504,"OECM",PA_OECM_Register!$AH$5:$AH$1504,"&gt;0",PA_OECM_Register!$AH$5:$AH$1504,"&lt;="&amp;A58)/MAX(1,COUNTIFS(PA_OECM_Register!$Z$5:$Z$1504,1,PA_OECM_Register!$E$5:$E$1504,"OECM",PA_OECM_Register!$AH$5:$AH$1504,"&gt;0")))</f>
        <v/>
      </c>
      <c r="D58" s="25">
        <f>IF(A58="","",SUMIFS(PA_OECM_Register!$AF$5:$AF$1504,PA_OECM_Register!$Z$5:$Z$1504,1,PA_OECM_Register!$E$5:$E$1504,"PA",PA_OECM_Register!$AH$5:$AH$1504,"&gt;0",PA_OECM_Register!$AH$5:$AH$1504,"&lt;="&amp;A58)+SUMIFS(PA_OECM_Register!$AF$5:$AF$1504,PA_OECM_Register!$Z$5:$Z$1504,1,PA_OECM_Register!$E$5:$E$1504,"PA",PA_OECM_Register!$AH$5:$AH$1504,0)*B58)</f>
        <v/>
      </c>
      <c r="E58" s="25">
        <f>IF(A58="","",SUMIFS(PA_OECM_Register!$AF$5:$AF$1504,PA_OECM_Register!$Z$5:$Z$1504,1,PA_OECM_Register!$E$5:$E$1504,"OECM",PA_OECM_Register!$AH$5:$AH$1504,"&gt;0",PA_OECM_Register!$AH$5:$AH$1504,"&lt;="&amp;A58)+SUMIFS(PA_OECM_Register!$AF$5:$AF$1504,PA_OECM_Register!$Z$5:$Z$1504,1,PA_OECM_Register!$E$5:$E$1504,"OECM",PA_OECM_Register!$AH$5:$AH$1504,0)*C58)</f>
        <v/>
      </c>
      <c r="F58" s="26">
        <f>IF(A58="","",IF(N(Setup!$B$10)&gt;0,(D58+E58)/Setup!$B$10,""))</f>
        <v/>
      </c>
      <c r="G58" s="25">
        <f>IF(A58="","",SUMIFS(PA_OECM_Register!$AG$5:$AG$1504,PA_OECM_Register!$Z$5:$Z$1504,1,PA_OECM_Register!$E$5:$E$1504,"PA",PA_OECM_Register!$AH$5:$AH$1504,"&gt;0",PA_OECM_Register!$AH$5:$AH$1504,"&lt;="&amp;A58)+SUMIFS(PA_OECM_Register!$AG$5:$AG$1504,PA_OECM_Register!$Z$5:$Z$1504,1,PA_OECM_Register!$E$5:$E$1504,"PA",PA_OECM_Register!$AH$5:$AH$1504,0)*B58)</f>
        <v/>
      </c>
      <c r="H58" s="25">
        <f>IF(A58="","",SUMIFS(PA_OECM_Register!$AG$5:$AG$1504,PA_OECM_Register!$Z$5:$Z$1504,1,PA_OECM_Register!$E$5:$E$1504,"OECM",PA_OECM_Register!$AH$5:$AH$1504,"&gt;0",PA_OECM_Register!$AH$5:$AH$1504,"&lt;="&amp;A58)+SUMIFS(PA_OECM_Register!$AG$5:$AG$1504,PA_OECM_Register!$Z$5:$Z$1504,1,PA_OECM_Register!$E$5:$E$1504,"OECM",PA_OECM_Register!$AH$5:$AH$1504,0)*C58)</f>
        <v/>
      </c>
      <c r="I58" s="26">
        <f>IF(A58="","",IF(N(Setup!$B$11)&gt;0,(G58+H58)/Setup!$B$11,""))</f>
        <v/>
      </c>
      <c r="J58" s="26">
        <f>IF(A58="","",IF(N(Setup!$B$10)&gt;0,SUMIFS(PA_OECM_Register!$AF$5:$AF$1504,PA_OECM_Register!$Z$5:$Z$1504,1,PA_OECM_Register!$AH$5:$AH$1504,"&gt;0",PA_OECM_Register!$AH$5:$AH$1504,"&lt;="&amp;A58)/Setup!$B$10,""))</f>
        <v/>
      </c>
      <c r="K58" s="26">
        <f>IF(A58="","",IF(N(Setup!$B$11)&gt;0,SUMIFS(PA_OECM_Register!$AG$5:$AG$1504,PA_OECM_Register!$Z$5:$Z$1504,1,PA_OECM_Register!$AH$5:$AH$1504,"&gt;0",PA_OECM_Register!$AH$5:$AH$1504,"&lt;="&amp;A58)/Setup!$B$11,""))</f>
        <v/>
      </c>
    </row>
    <row r="59">
      <c r="A59" s="33">
        <f>IF(Setup!$B$27+54&gt;Setup!$B$6,"",Setup!$B$27+54)</f>
        <v/>
      </c>
      <c r="B59" s="38">
        <f>IF(A59="","",COUNTIFS(PA_OECM_Register!$Z$5:$Z$1504,1,PA_OECM_Register!$E$5:$E$1504,"PA",PA_OECM_Register!$AH$5:$AH$1504,"&gt;0",PA_OECM_Register!$AH$5:$AH$1504,"&lt;="&amp;A59)/MAX(1,COUNTIFS(PA_OECM_Register!$Z$5:$Z$1504,1,PA_OECM_Register!$E$5:$E$1504,"PA",PA_OECM_Register!$AH$5:$AH$1504,"&gt;0")))</f>
        <v/>
      </c>
      <c r="C59" s="38">
        <f>IF(A59="","",COUNTIFS(PA_OECM_Register!$Z$5:$Z$1504,1,PA_OECM_Register!$E$5:$E$1504,"OECM",PA_OECM_Register!$AH$5:$AH$1504,"&gt;0",PA_OECM_Register!$AH$5:$AH$1504,"&lt;="&amp;A59)/MAX(1,COUNTIFS(PA_OECM_Register!$Z$5:$Z$1504,1,PA_OECM_Register!$E$5:$E$1504,"OECM",PA_OECM_Register!$AH$5:$AH$1504,"&gt;0")))</f>
        <v/>
      </c>
      <c r="D59" s="25">
        <f>IF(A59="","",SUMIFS(PA_OECM_Register!$AF$5:$AF$1504,PA_OECM_Register!$Z$5:$Z$1504,1,PA_OECM_Register!$E$5:$E$1504,"PA",PA_OECM_Register!$AH$5:$AH$1504,"&gt;0",PA_OECM_Register!$AH$5:$AH$1504,"&lt;="&amp;A59)+SUMIFS(PA_OECM_Register!$AF$5:$AF$1504,PA_OECM_Register!$Z$5:$Z$1504,1,PA_OECM_Register!$E$5:$E$1504,"PA",PA_OECM_Register!$AH$5:$AH$1504,0)*B59)</f>
        <v/>
      </c>
      <c r="E59" s="25">
        <f>IF(A59="","",SUMIFS(PA_OECM_Register!$AF$5:$AF$1504,PA_OECM_Register!$Z$5:$Z$1504,1,PA_OECM_Register!$E$5:$E$1504,"OECM",PA_OECM_Register!$AH$5:$AH$1504,"&gt;0",PA_OECM_Register!$AH$5:$AH$1504,"&lt;="&amp;A59)+SUMIFS(PA_OECM_Register!$AF$5:$AF$1504,PA_OECM_Register!$Z$5:$Z$1504,1,PA_OECM_Register!$E$5:$E$1504,"OECM",PA_OECM_Register!$AH$5:$AH$1504,0)*C59)</f>
        <v/>
      </c>
      <c r="F59" s="26">
        <f>IF(A59="","",IF(N(Setup!$B$10)&gt;0,(D59+E59)/Setup!$B$10,""))</f>
        <v/>
      </c>
      <c r="G59" s="25">
        <f>IF(A59="","",SUMIFS(PA_OECM_Register!$AG$5:$AG$1504,PA_OECM_Register!$Z$5:$Z$1504,1,PA_OECM_Register!$E$5:$E$1504,"PA",PA_OECM_Register!$AH$5:$AH$1504,"&gt;0",PA_OECM_Register!$AH$5:$AH$1504,"&lt;="&amp;A59)+SUMIFS(PA_OECM_Register!$AG$5:$AG$1504,PA_OECM_Register!$Z$5:$Z$1504,1,PA_OECM_Register!$E$5:$E$1504,"PA",PA_OECM_Register!$AH$5:$AH$1504,0)*B59)</f>
        <v/>
      </c>
      <c r="H59" s="25">
        <f>IF(A59="","",SUMIFS(PA_OECM_Register!$AG$5:$AG$1504,PA_OECM_Register!$Z$5:$Z$1504,1,PA_OECM_Register!$E$5:$E$1504,"OECM",PA_OECM_Register!$AH$5:$AH$1504,"&gt;0",PA_OECM_Register!$AH$5:$AH$1504,"&lt;="&amp;A59)+SUMIFS(PA_OECM_Register!$AG$5:$AG$1504,PA_OECM_Register!$Z$5:$Z$1504,1,PA_OECM_Register!$E$5:$E$1504,"OECM",PA_OECM_Register!$AH$5:$AH$1504,0)*C59)</f>
        <v/>
      </c>
      <c r="I59" s="26">
        <f>IF(A59="","",IF(N(Setup!$B$11)&gt;0,(G59+H59)/Setup!$B$11,""))</f>
        <v/>
      </c>
      <c r="J59" s="26">
        <f>IF(A59="","",IF(N(Setup!$B$10)&gt;0,SUMIFS(PA_OECM_Register!$AF$5:$AF$1504,PA_OECM_Register!$Z$5:$Z$1504,1,PA_OECM_Register!$AH$5:$AH$1504,"&gt;0",PA_OECM_Register!$AH$5:$AH$1504,"&lt;="&amp;A59)/Setup!$B$10,""))</f>
        <v/>
      </c>
      <c r="K59" s="26">
        <f>IF(A59="","",IF(N(Setup!$B$11)&gt;0,SUMIFS(PA_OECM_Register!$AG$5:$AG$1504,PA_OECM_Register!$Z$5:$Z$1504,1,PA_OECM_Register!$AH$5:$AH$1504,"&gt;0",PA_OECM_Register!$AH$5:$AH$1504,"&lt;="&amp;A59)/Setup!$B$11,""))</f>
        <v/>
      </c>
    </row>
    <row r="60">
      <c r="A60" s="33">
        <f>IF(Setup!$B$27+55&gt;Setup!$B$6,"",Setup!$B$27+55)</f>
        <v/>
      </c>
      <c r="B60" s="38">
        <f>IF(A60="","",COUNTIFS(PA_OECM_Register!$Z$5:$Z$1504,1,PA_OECM_Register!$E$5:$E$1504,"PA",PA_OECM_Register!$AH$5:$AH$1504,"&gt;0",PA_OECM_Register!$AH$5:$AH$1504,"&lt;="&amp;A60)/MAX(1,COUNTIFS(PA_OECM_Register!$Z$5:$Z$1504,1,PA_OECM_Register!$E$5:$E$1504,"PA",PA_OECM_Register!$AH$5:$AH$1504,"&gt;0")))</f>
        <v/>
      </c>
      <c r="C60" s="38">
        <f>IF(A60="","",COUNTIFS(PA_OECM_Register!$Z$5:$Z$1504,1,PA_OECM_Register!$E$5:$E$1504,"OECM",PA_OECM_Register!$AH$5:$AH$1504,"&gt;0",PA_OECM_Register!$AH$5:$AH$1504,"&lt;="&amp;A60)/MAX(1,COUNTIFS(PA_OECM_Register!$Z$5:$Z$1504,1,PA_OECM_Register!$E$5:$E$1504,"OECM",PA_OECM_Register!$AH$5:$AH$1504,"&gt;0")))</f>
        <v/>
      </c>
      <c r="D60" s="25">
        <f>IF(A60="","",SUMIFS(PA_OECM_Register!$AF$5:$AF$1504,PA_OECM_Register!$Z$5:$Z$1504,1,PA_OECM_Register!$E$5:$E$1504,"PA",PA_OECM_Register!$AH$5:$AH$1504,"&gt;0",PA_OECM_Register!$AH$5:$AH$1504,"&lt;="&amp;A60)+SUMIFS(PA_OECM_Register!$AF$5:$AF$1504,PA_OECM_Register!$Z$5:$Z$1504,1,PA_OECM_Register!$E$5:$E$1504,"PA",PA_OECM_Register!$AH$5:$AH$1504,0)*B60)</f>
        <v/>
      </c>
      <c r="E60" s="25">
        <f>IF(A60="","",SUMIFS(PA_OECM_Register!$AF$5:$AF$1504,PA_OECM_Register!$Z$5:$Z$1504,1,PA_OECM_Register!$E$5:$E$1504,"OECM",PA_OECM_Register!$AH$5:$AH$1504,"&gt;0",PA_OECM_Register!$AH$5:$AH$1504,"&lt;="&amp;A60)+SUMIFS(PA_OECM_Register!$AF$5:$AF$1504,PA_OECM_Register!$Z$5:$Z$1504,1,PA_OECM_Register!$E$5:$E$1504,"OECM",PA_OECM_Register!$AH$5:$AH$1504,0)*C60)</f>
        <v/>
      </c>
      <c r="F60" s="26">
        <f>IF(A60="","",IF(N(Setup!$B$10)&gt;0,(D60+E60)/Setup!$B$10,""))</f>
        <v/>
      </c>
      <c r="G60" s="25">
        <f>IF(A60="","",SUMIFS(PA_OECM_Register!$AG$5:$AG$1504,PA_OECM_Register!$Z$5:$Z$1504,1,PA_OECM_Register!$E$5:$E$1504,"PA",PA_OECM_Register!$AH$5:$AH$1504,"&gt;0",PA_OECM_Register!$AH$5:$AH$1504,"&lt;="&amp;A60)+SUMIFS(PA_OECM_Register!$AG$5:$AG$1504,PA_OECM_Register!$Z$5:$Z$1504,1,PA_OECM_Register!$E$5:$E$1504,"PA",PA_OECM_Register!$AH$5:$AH$1504,0)*B60)</f>
        <v/>
      </c>
      <c r="H60" s="25">
        <f>IF(A60="","",SUMIFS(PA_OECM_Register!$AG$5:$AG$1504,PA_OECM_Register!$Z$5:$Z$1504,1,PA_OECM_Register!$E$5:$E$1504,"OECM",PA_OECM_Register!$AH$5:$AH$1504,"&gt;0",PA_OECM_Register!$AH$5:$AH$1504,"&lt;="&amp;A60)+SUMIFS(PA_OECM_Register!$AG$5:$AG$1504,PA_OECM_Register!$Z$5:$Z$1504,1,PA_OECM_Register!$E$5:$E$1504,"OECM",PA_OECM_Register!$AH$5:$AH$1504,0)*C60)</f>
        <v/>
      </c>
      <c r="I60" s="26">
        <f>IF(A60="","",IF(N(Setup!$B$11)&gt;0,(G60+H60)/Setup!$B$11,""))</f>
        <v/>
      </c>
      <c r="J60" s="26">
        <f>IF(A60="","",IF(N(Setup!$B$10)&gt;0,SUMIFS(PA_OECM_Register!$AF$5:$AF$1504,PA_OECM_Register!$Z$5:$Z$1504,1,PA_OECM_Register!$AH$5:$AH$1504,"&gt;0",PA_OECM_Register!$AH$5:$AH$1504,"&lt;="&amp;A60)/Setup!$B$10,""))</f>
        <v/>
      </c>
      <c r="K60" s="26">
        <f>IF(A60="","",IF(N(Setup!$B$11)&gt;0,SUMIFS(PA_OECM_Register!$AG$5:$AG$1504,PA_OECM_Register!$Z$5:$Z$1504,1,PA_OECM_Register!$AH$5:$AH$1504,"&gt;0",PA_OECM_Register!$AH$5:$AH$1504,"&lt;="&amp;A60)/Setup!$B$11,""))</f>
        <v/>
      </c>
    </row>
    <row r="61">
      <c r="A61" s="33">
        <f>IF(Setup!$B$27+56&gt;Setup!$B$6,"",Setup!$B$27+56)</f>
        <v/>
      </c>
      <c r="B61" s="38">
        <f>IF(A61="","",COUNTIFS(PA_OECM_Register!$Z$5:$Z$1504,1,PA_OECM_Register!$E$5:$E$1504,"PA",PA_OECM_Register!$AH$5:$AH$1504,"&gt;0",PA_OECM_Register!$AH$5:$AH$1504,"&lt;="&amp;A61)/MAX(1,COUNTIFS(PA_OECM_Register!$Z$5:$Z$1504,1,PA_OECM_Register!$E$5:$E$1504,"PA",PA_OECM_Register!$AH$5:$AH$1504,"&gt;0")))</f>
        <v/>
      </c>
      <c r="C61" s="38">
        <f>IF(A61="","",COUNTIFS(PA_OECM_Register!$Z$5:$Z$1504,1,PA_OECM_Register!$E$5:$E$1504,"OECM",PA_OECM_Register!$AH$5:$AH$1504,"&gt;0",PA_OECM_Register!$AH$5:$AH$1504,"&lt;="&amp;A61)/MAX(1,COUNTIFS(PA_OECM_Register!$Z$5:$Z$1504,1,PA_OECM_Register!$E$5:$E$1504,"OECM",PA_OECM_Register!$AH$5:$AH$1504,"&gt;0")))</f>
        <v/>
      </c>
      <c r="D61" s="25">
        <f>IF(A61="","",SUMIFS(PA_OECM_Register!$AF$5:$AF$1504,PA_OECM_Register!$Z$5:$Z$1504,1,PA_OECM_Register!$E$5:$E$1504,"PA",PA_OECM_Register!$AH$5:$AH$1504,"&gt;0",PA_OECM_Register!$AH$5:$AH$1504,"&lt;="&amp;A61)+SUMIFS(PA_OECM_Register!$AF$5:$AF$1504,PA_OECM_Register!$Z$5:$Z$1504,1,PA_OECM_Register!$E$5:$E$1504,"PA",PA_OECM_Register!$AH$5:$AH$1504,0)*B61)</f>
        <v/>
      </c>
      <c r="E61" s="25">
        <f>IF(A61="","",SUMIFS(PA_OECM_Register!$AF$5:$AF$1504,PA_OECM_Register!$Z$5:$Z$1504,1,PA_OECM_Register!$E$5:$E$1504,"OECM",PA_OECM_Register!$AH$5:$AH$1504,"&gt;0",PA_OECM_Register!$AH$5:$AH$1504,"&lt;="&amp;A61)+SUMIFS(PA_OECM_Register!$AF$5:$AF$1504,PA_OECM_Register!$Z$5:$Z$1504,1,PA_OECM_Register!$E$5:$E$1504,"OECM",PA_OECM_Register!$AH$5:$AH$1504,0)*C61)</f>
        <v/>
      </c>
      <c r="F61" s="26">
        <f>IF(A61="","",IF(N(Setup!$B$10)&gt;0,(D61+E61)/Setup!$B$10,""))</f>
        <v/>
      </c>
      <c r="G61" s="25">
        <f>IF(A61="","",SUMIFS(PA_OECM_Register!$AG$5:$AG$1504,PA_OECM_Register!$Z$5:$Z$1504,1,PA_OECM_Register!$E$5:$E$1504,"PA",PA_OECM_Register!$AH$5:$AH$1504,"&gt;0",PA_OECM_Register!$AH$5:$AH$1504,"&lt;="&amp;A61)+SUMIFS(PA_OECM_Register!$AG$5:$AG$1504,PA_OECM_Register!$Z$5:$Z$1504,1,PA_OECM_Register!$E$5:$E$1504,"PA",PA_OECM_Register!$AH$5:$AH$1504,0)*B61)</f>
        <v/>
      </c>
      <c r="H61" s="25">
        <f>IF(A61="","",SUMIFS(PA_OECM_Register!$AG$5:$AG$1504,PA_OECM_Register!$Z$5:$Z$1504,1,PA_OECM_Register!$E$5:$E$1504,"OECM",PA_OECM_Register!$AH$5:$AH$1504,"&gt;0",PA_OECM_Register!$AH$5:$AH$1504,"&lt;="&amp;A61)+SUMIFS(PA_OECM_Register!$AG$5:$AG$1504,PA_OECM_Register!$Z$5:$Z$1504,1,PA_OECM_Register!$E$5:$E$1504,"OECM",PA_OECM_Register!$AH$5:$AH$1504,0)*C61)</f>
        <v/>
      </c>
      <c r="I61" s="26">
        <f>IF(A61="","",IF(N(Setup!$B$11)&gt;0,(G61+H61)/Setup!$B$11,""))</f>
        <v/>
      </c>
      <c r="J61" s="26">
        <f>IF(A61="","",IF(N(Setup!$B$10)&gt;0,SUMIFS(PA_OECM_Register!$AF$5:$AF$1504,PA_OECM_Register!$Z$5:$Z$1504,1,PA_OECM_Register!$AH$5:$AH$1504,"&gt;0",PA_OECM_Register!$AH$5:$AH$1504,"&lt;="&amp;A61)/Setup!$B$10,""))</f>
        <v/>
      </c>
      <c r="K61" s="26">
        <f>IF(A61="","",IF(N(Setup!$B$11)&gt;0,SUMIFS(PA_OECM_Register!$AG$5:$AG$1504,PA_OECM_Register!$Z$5:$Z$1504,1,PA_OECM_Register!$AH$5:$AH$1504,"&gt;0",PA_OECM_Register!$AH$5:$AH$1504,"&lt;="&amp;A61)/Setup!$B$11,""))</f>
        <v/>
      </c>
    </row>
    <row r="62">
      <c r="A62" s="33">
        <f>IF(Setup!$B$27+57&gt;Setup!$B$6,"",Setup!$B$27+57)</f>
        <v/>
      </c>
      <c r="B62" s="38">
        <f>IF(A62="","",COUNTIFS(PA_OECM_Register!$Z$5:$Z$1504,1,PA_OECM_Register!$E$5:$E$1504,"PA",PA_OECM_Register!$AH$5:$AH$1504,"&gt;0",PA_OECM_Register!$AH$5:$AH$1504,"&lt;="&amp;A62)/MAX(1,COUNTIFS(PA_OECM_Register!$Z$5:$Z$1504,1,PA_OECM_Register!$E$5:$E$1504,"PA",PA_OECM_Register!$AH$5:$AH$1504,"&gt;0")))</f>
        <v/>
      </c>
      <c r="C62" s="38">
        <f>IF(A62="","",COUNTIFS(PA_OECM_Register!$Z$5:$Z$1504,1,PA_OECM_Register!$E$5:$E$1504,"OECM",PA_OECM_Register!$AH$5:$AH$1504,"&gt;0",PA_OECM_Register!$AH$5:$AH$1504,"&lt;="&amp;A62)/MAX(1,COUNTIFS(PA_OECM_Register!$Z$5:$Z$1504,1,PA_OECM_Register!$E$5:$E$1504,"OECM",PA_OECM_Register!$AH$5:$AH$1504,"&gt;0")))</f>
        <v/>
      </c>
      <c r="D62" s="25">
        <f>IF(A62="","",SUMIFS(PA_OECM_Register!$AF$5:$AF$1504,PA_OECM_Register!$Z$5:$Z$1504,1,PA_OECM_Register!$E$5:$E$1504,"PA",PA_OECM_Register!$AH$5:$AH$1504,"&gt;0",PA_OECM_Register!$AH$5:$AH$1504,"&lt;="&amp;A62)+SUMIFS(PA_OECM_Register!$AF$5:$AF$1504,PA_OECM_Register!$Z$5:$Z$1504,1,PA_OECM_Register!$E$5:$E$1504,"PA",PA_OECM_Register!$AH$5:$AH$1504,0)*B62)</f>
        <v/>
      </c>
      <c r="E62" s="25">
        <f>IF(A62="","",SUMIFS(PA_OECM_Register!$AF$5:$AF$1504,PA_OECM_Register!$Z$5:$Z$1504,1,PA_OECM_Register!$E$5:$E$1504,"OECM",PA_OECM_Register!$AH$5:$AH$1504,"&gt;0",PA_OECM_Register!$AH$5:$AH$1504,"&lt;="&amp;A62)+SUMIFS(PA_OECM_Register!$AF$5:$AF$1504,PA_OECM_Register!$Z$5:$Z$1504,1,PA_OECM_Register!$E$5:$E$1504,"OECM",PA_OECM_Register!$AH$5:$AH$1504,0)*C62)</f>
        <v/>
      </c>
      <c r="F62" s="26">
        <f>IF(A62="","",IF(N(Setup!$B$10)&gt;0,(D62+E62)/Setup!$B$10,""))</f>
        <v/>
      </c>
      <c r="G62" s="25">
        <f>IF(A62="","",SUMIFS(PA_OECM_Register!$AG$5:$AG$1504,PA_OECM_Register!$Z$5:$Z$1504,1,PA_OECM_Register!$E$5:$E$1504,"PA",PA_OECM_Register!$AH$5:$AH$1504,"&gt;0",PA_OECM_Register!$AH$5:$AH$1504,"&lt;="&amp;A62)+SUMIFS(PA_OECM_Register!$AG$5:$AG$1504,PA_OECM_Register!$Z$5:$Z$1504,1,PA_OECM_Register!$E$5:$E$1504,"PA",PA_OECM_Register!$AH$5:$AH$1504,0)*B62)</f>
        <v/>
      </c>
      <c r="H62" s="25">
        <f>IF(A62="","",SUMIFS(PA_OECM_Register!$AG$5:$AG$1504,PA_OECM_Register!$Z$5:$Z$1504,1,PA_OECM_Register!$E$5:$E$1504,"OECM",PA_OECM_Register!$AH$5:$AH$1504,"&gt;0",PA_OECM_Register!$AH$5:$AH$1504,"&lt;="&amp;A62)+SUMIFS(PA_OECM_Register!$AG$5:$AG$1504,PA_OECM_Register!$Z$5:$Z$1504,1,PA_OECM_Register!$E$5:$E$1504,"OECM",PA_OECM_Register!$AH$5:$AH$1504,0)*C62)</f>
        <v/>
      </c>
      <c r="I62" s="26">
        <f>IF(A62="","",IF(N(Setup!$B$11)&gt;0,(G62+H62)/Setup!$B$11,""))</f>
        <v/>
      </c>
      <c r="J62" s="26">
        <f>IF(A62="","",IF(N(Setup!$B$10)&gt;0,SUMIFS(PA_OECM_Register!$AF$5:$AF$1504,PA_OECM_Register!$Z$5:$Z$1504,1,PA_OECM_Register!$AH$5:$AH$1504,"&gt;0",PA_OECM_Register!$AH$5:$AH$1504,"&lt;="&amp;A62)/Setup!$B$10,""))</f>
        <v/>
      </c>
      <c r="K62" s="26">
        <f>IF(A62="","",IF(N(Setup!$B$11)&gt;0,SUMIFS(PA_OECM_Register!$AG$5:$AG$1504,PA_OECM_Register!$Z$5:$Z$1504,1,PA_OECM_Register!$AH$5:$AH$1504,"&gt;0",PA_OECM_Register!$AH$5:$AH$1504,"&lt;="&amp;A62)/Setup!$B$11,""))</f>
        <v/>
      </c>
    </row>
    <row r="63">
      <c r="A63" s="33">
        <f>IF(Setup!$B$27+58&gt;Setup!$B$6,"",Setup!$B$27+58)</f>
        <v/>
      </c>
      <c r="B63" s="38">
        <f>IF(A63="","",COUNTIFS(PA_OECM_Register!$Z$5:$Z$1504,1,PA_OECM_Register!$E$5:$E$1504,"PA",PA_OECM_Register!$AH$5:$AH$1504,"&gt;0",PA_OECM_Register!$AH$5:$AH$1504,"&lt;="&amp;A63)/MAX(1,COUNTIFS(PA_OECM_Register!$Z$5:$Z$1504,1,PA_OECM_Register!$E$5:$E$1504,"PA",PA_OECM_Register!$AH$5:$AH$1504,"&gt;0")))</f>
        <v/>
      </c>
      <c r="C63" s="38">
        <f>IF(A63="","",COUNTIFS(PA_OECM_Register!$Z$5:$Z$1504,1,PA_OECM_Register!$E$5:$E$1504,"OECM",PA_OECM_Register!$AH$5:$AH$1504,"&gt;0",PA_OECM_Register!$AH$5:$AH$1504,"&lt;="&amp;A63)/MAX(1,COUNTIFS(PA_OECM_Register!$Z$5:$Z$1504,1,PA_OECM_Register!$E$5:$E$1504,"OECM",PA_OECM_Register!$AH$5:$AH$1504,"&gt;0")))</f>
        <v/>
      </c>
      <c r="D63" s="25">
        <f>IF(A63="","",SUMIFS(PA_OECM_Register!$AF$5:$AF$1504,PA_OECM_Register!$Z$5:$Z$1504,1,PA_OECM_Register!$E$5:$E$1504,"PA",PA_OECM_Register!$AH$5:$AH$1504,"&gt;0",PA_OECM_Register!$AH$5:$AH$1504,"&lt;="&amp;A63)+SUMIFS(PA_OECM_Register!$AF$5:$AF$1504,PA_OECM_Register!$Z$5:$Z$1504,1,PA_OECM_Register!$E$5:$E$1504,"PA",PA_OECM_Register!$AH$5:$AH$1504,0)*B63)</f>
        <v/>
      </c>
      <c r="E63" s="25">
        <f>IF(A63="","",SUMIFS(PA_OECM_Register!$AF$5:$AF$1504,PA_OECM_Register!$Z$5:$Z$1504,1,PA_OECM_Register!$E$5:$E$1504,"OECM",PA_OECM_Register!$AH$5:$AH$1504,"&gt;0",PA_OECM_Register!$AH$5:$AH$1504,"&lt;="&amp;A63)+SUMIFS(PA_OECM_Register!$AF$5:$AF$1504,PA_OECM_Register!$Z$5:$Z$1504,1,PA_OECM_Register!$E$5:$E$1504,"OECM",PA_OECM_Register!$AH$5:$AH$1504,0)*C63)</f>
        <v/>
      </c>
      <c r="F63" s="26">
        <f>IF(A63="","",IF(N(Setup!$B$10)&gt;0,(D63+E63)/Setup!$B$10,""))</f>
        <v/>
      </c>
      <c r="G63" s="25">
        <f>IF(A63="","",SUMIFS(PA_OECM_Register!$AG$5:$AG$1504,PA_OECM_Register!$Z$5:$Z$1504,1,PA_OECM_Register!$E$5:$E$1504,"PA",PA_OECM_Register!$AH$5:$AH$1504,"&gt;0",PA_OECM_Register!$AH$5:$AH$1504,"&lt;="&amp;A63)+SUMIFS(PA_OECM_Register!$AG$5:$AG$1504,PA_OECM_Register!$Z$5:$Z$1504,1,PA_OECM_Register!$E$5:$E$1504,"PA",PA_OECM_Register!$AH$5:$AH$1504,0)*B63)</f>
        <v/>
      </c>
      <c r="H63" s="25">
        <f>IF(A63="","",SUMIFS(PA_OECM_Register!$AG$5:$AG$1504,PA_OECM_Register!$Z$5:$Z$1504,1,PA_OECM_Register!$E$5:$E$1504,"OECM",PA_OECM_Register!$AH$5:$AH$1504,"&gt;0",PA_OECM_Register!$AH$5:$AH$1504,"&lt;="&amp;A63)+SUMIFS(PA_OECM_Register!$AG$5:$AG$1504,PA_OECM_Register!$Z$5:$Z$1504,1,PA_OECM_Register!$E$5:$E$1504,"OECM",PA_OECM_Register!$AH$5:$AH$1504,0)*C63)</f>
        <v/>
      </c>
      <c r="I63" s="26">
        <f>IF(A63="","",IF(N(Setup!$B$11)&gt;0,(G63+H63)/Setup!$B$11,""))</f>
        <v/>
      </c>
      <c r="J63" s="26">
        <f>IF(A63="","",IF(N(Setup!$B$10)&gt;0,SUMIFS(PA_OECM_Register!$AF$5:$AF$1504,PA_OECM_Register!$Z$5:$Z$1504,1,PA_OECM_Register!$AH$5:$AH$1504,"&gt;0",PA_OECM_Register!$AH$5:$AH$1504,"&lt;="&amp;A63)/Setup!$B$10,""))</f>
        <v/>
      </c>
      <c r="K63" s="26">
        <f>IF(A63="","",IF(N(Setup!$B$11)&gt;0,SUMIFS(PA_OECM_Register!$AG$5:$AG$1504,PA_OECM_Register!$Z$5:$Z$1504,1,PA_OECM_Register!$AH$5:$AH$1504,"&gt;0",PA_OECM_Register!$AH$5:$AH$1504,"&lt;="&amp;A63)/Setup!$B$11,""))</f>
        <v/>
      </c>
    </row>
    <row r="64">
      <c r="A64" s="33">
        <f>IF(Setup!$B$27+59&gt;Setup!$B$6,"",Setup!$B$27+59)</f>
        <v/>
      </c>
      <c r="B64" s="38">
        <f>IF(A64="","",COUNTIFS(PA_OECM_Register!$Z$5:$Z$1504,1,PA_OECM_Register!$E$5:$E$1504,"PA",PA_OECM_Register!$AH$5:$AH$1504,"&gt;0",PA_OECM_Register!$AH$5:$AH$1504,"&lt;="&amp;A64)/MAX(1,COUNTIFS(PA_OECM_Register!$Z$5:$Z$1504,1,PA_OECM_Register!$E$5:$E$1504,"PA",PA_OECM_Register!$AH$5:$AH$1504,"&gt;0")))</f>
        <v/>
      </c>
      <c r="C64" s="38">
        <f>IF(A64="","",COUNTIFS(PA_OECM_Register!$Z$5:$Z$1504,1,PA_OECM_Register!$E$5:$E$1504,"OECM",PA_OECM_Register!$AH$5:$AH$1504,"&gt;0",PA_OECM_Register!$AH$5:$AH$1504,"&lt;="&amp;A64)/MAX(1,COUNTIFS(PA_OECM_Register!$Z$5:$Z$1504,1,PA_OECM_Register!$E$5:$E$1504,"OECM",PA_OECM_Register!$AH$5:$AH$1504,"&gt;0")))</f>
        <v/>
      </c>
      <c r="D64" s="25">
        <f>IF(A64="","",SUMIFS(PA_OECM_Register!$AF$5:$AF$1504,PA_OECM_Register!$Z$5:$Z$1504,1,PA_OECM_Register!$E$5:$E$1504,"PA",PA_OECM_Register!$AH$5:$AH$1504,"&gt;0",PA_OECM_Register!$AH$5:$AH$1504,"&lt;="&amp;A64)+SUMIFS(PA_OECM_Register!$AF$5:$AF$1504,PA_OECM_Register!$Z$5:$Z$1504,1,PA_OECM_Register!$E$5:$E$1504,"PA",PA_OECM_Register!$AH$5:$AH$1504,0)*B64)</f>
        <v/>
      </c>
      <c r="E64" s="25">
        <f>IF(A64="","",SUMIFS(PA_OECM_Register!$AF$5:$AF$1504,PA_OECM_Register!$Z$5:$Z$1504,1,PA_OECM_Register!$E$5:$E$1504,"OECM",PA_OECM_Register!$AH$5:$AH$1504,"&gt;0",PA_OECM_Register!$AH$5:$AH$1504,"&lt;="&amp;A64)+SUMIFS(PA_OECM_Register!$AF$5:$AF$1504,PA_OECM_Register!$Z$5:$Z$1504,1,PA_OECM_Register!$E$5:$E$1504,"OECM",PA_OECM_Register!$AH$5:$AH$1504,0)*C64)</f>
        <v/>
      </c>
      <c r="F64" s="26">
        <f>IF(A64="","",IF(N(Setup!$B$10)&gt;0,(D64+E64)/Setup!$B$10,""))</f>
        <v/>
      </c>
      <c r="G64" s="25">
        <f>IF(A64="","",SUMIFS(PA_OECM_Register!$AG$5:$AG$1504,PA_OECM_Register!$Z$5:$Z$1504,1,PA_OECM_Register!$E$5:$E$1504,"PA",PA_OECM_Register!$AH$5:$AH$1504,"&gt;0",PA_OECM_Register!$AH$5:$AH$1504,"&lt;="&amp;A64)+SUMIFS(PA_OECM_Register!$AG$5:$AG$1504,PA_OECM_Register!$Z$5:$Z$1504,1,PA_OECM_Register!$E$5:$E$1504,"PA",PA_OECM_Register!$AH$5:$AH$1504,0)*B64)</f>
        <v/>
      </c>
      <c r="H64" s="25">
        <f>IF(A64="","",SUMIFS(PA_OECM_Register!$AG$5:$AG$1504,PA_OECM_Register!$Z$5:$Z$1504,1,PA_OECM_Register!$E$5:$E$1504,"OECM",PA_OECM_Register!$AH$5:$AH$1504,"&gt;0",PA_OECM_Register!$AH$5:$AH$1504,"&lt;="&amp;A64)+SUMIFS(PA_OECM_Register!$AG$5:$AG$1504,PA_OECM_Register!$Z$5:$Z$1504,1,PA_OECM_Register!$E$5:$E$1504,"OECM",PA_OECM_Register!$AH$5:$AH$1504,0)*C64)</f>
        <v/>
      </c>
      <c r="I64" s="26">
        <f>IF(A64="","",IF(N(Setup!$B$11)&gt;0,(G64+H64)/Setup!$B$11,""))</f>
        <v/>
      </c>
      <c r="J64" s="26">
        <f>IF(A64="","",IF(N(Setup!$B$10)&gt;0,SUMIFS(PA_OECM_Register!$AF$5:$AF$1504,PA_OECM_Register!$Z$5:$Z$1504,1,PA_OECM_Register!$AH$5:$AH$1504,"&gt;0",PA_OECM_Register!$AH$5:$AH$1504,"&lt;="&amp;A64)/Setup!$B$10,""))</f>
        <v/>
      </c>
      <c r="K64" s="26">
        <f>IF(A64="","",IF(N(Setup!$B$11)&gt;0,SUMIFS(PA_OECM_Register!$AG$5:$AG$1504,PA_OECM_Register!$Z$5:$Z$1504,1,PA_OECM_Register!$AH$5:$AH$1504,"&gt;0",PA_OECM_Register!$AH$5:$AH$1504,"&lt;="&amp;A64)/Setup!$B$11,""))</f>
        <v/>
      </c>
    </row>
    <row r="65">
      <c r="A65" s="33">
        <f>IF(Setup!$B$27+60&gt;Setup!$B$6,"",Setup!$B$27+60)</f>
        <v/>
      </c>
      <c r="B65" s="38">
        <f>IF(A65="","",COUNTIFS(PA_OECM_Register!$Z$5:$Z$1504,1,PA_OECM_Register!$E$5:$E$1504,"PA",PA_OECM_Register!$AH$5:$AH$1504,"&gt;0",PA_OECM_Register!$AH$5:$AH$1504,"&lt;="&amp;A65)/MAX(1,COUNTIFS(PA_OECM_Register!$Z$5:$Z$1504,1,PA_OECM_Register!$E$5:$E$1504,"PA",PA_OECM_Register!$AH$5:$AH$1504,"&gt;0")))</f>
        <v/>
      </c>
      <c r="C65" s="38">
        <f>IF(A65="","",COUNTIFS(PA_OECM_Register!$Z$5:$Z$1504,1,PA_OECM_Register!$E$5:$E$1504,"OECM",PA_OECM_Register!$AH$5:$AH$1504,"&gt;0",PA_OECM_Register!$AH$5:$AH$1504,"&lt;="&amp;A65)/MAX(1,COUNTIFS(PA_OECM_Register!$Z$5:$Z$1504,1,PA_OECM_Register!$E$5:$E$1504,"OECM",PA_OECM_Register!$AH$5:$AH$1504,"&gt;0")))</f>
        <v/>
      </c>
      <c r="D65" s="25">
        <f>IF(A65="","",SUMIFS(PA_OECM_Register!$AF$5:$AF$1504,PA_OECM_Register!$Z$5:$Z$1504,1,PA_OECM_Register!$E$5:$E$1504,"PA",PA_OECM_Register!$AH$5:$AH$1504,"&gt;0",PA_OECM_Register!$AH$5:$AH$1504,"&lt;="&amp;A65)+SUMIFS(PA_OECM_Register!$AF$5:$AF$1504,PA_OECM_Register!$Z$5:$Z$1504,1,PA_OECM_Register!$E$5:$E$1504,"PA",PA_OECM_Register!$AH$5:$AH$1504,0)*B65)</f>
        <v/>
      </c>
      <c r="E65" s="25">
        <f>IF(A65="","",SUMIFS(PA_OECM_Register!$AF$5:$AF$1504,PA_OECM_Register!$Z$5:$Z$1504,1,PA_OECM_Register!$E$5:$E$1504,"OECM",PA_OECM_Register!$AH$5:$AH$1504,"&gt;0",PA_OECM_Register!$AH$5:$AH$1504,"&lt;="&amp;A65)+SUMIFS(PA_OECM_Register!$AF$5:$AF$1504,PA_OECM_Register!$Z$5:$Z$1504,1,PA_OECM_Register!$E$5:$E$1504,"OECM",PA_OECM_Register!$AH$5:$AH$1504,0)*C65)</f>
        <v/>
      </c>
      <c r="F65" s="26">
        <f>IF(A65="","",IF(N(Setup!$B$10)&gt;0,(D65+E65)/Setup!$B$10,""))</f>
        <v/>
      </c>
      <c r="G65" s="25">
        <f>IF(A65="","",SUMIFS(PA_OECM_Register!$AG$5:$AG$1504,PA_OECM_Register!$Z$5:$Z$1504,1,PA_OECM_Register!$E$5:$E$1504,"PA",PA_OECM_Register!$AH$5:$AH$1504,"&gt;0",PA_OECM_Register!$AH$5:$AH$1504,"&lt;="&amp;A65)+SUMIFS(PA_OECM_Register!$AG$5:$AG$1504,PA_OECM_Register!$Z$5:$Z$1504,1,PA_OECM_Register!$E$5:$E$1504,"PA",PA_OECM_Register!$AH$5:$AH$1504,0)*B65)</f>
        <v/>
      </c>
      <c r="H65" s="25">
        <f>IF(A65="","",SUMIFS(PA_OECM_Register!$AG$5:$AG$1504,PA_OECM_Register!$Z$5:$Z$1504,1,PA_OECM_Register!$E$5:$E$1504,"OECM",PA_OECM_Register!$AH$5:$AH$1504,"&gt;0",PA_OECM_Register!$AH$5:$AH$1504,"&lt;="&amp;A65)+SUMIFS(PA_OECM_Register!$AG$5:$AG$1504,PA_OECM_Register!$Z$5:$Z$1504,1,PA_OECM_Register!$E$5:$E$1504,"OECM",PA_OECM_Register!$AH$5:$AH$1504,0)*C65)</f>
        <v/>
      </c>
      <c r="I65" s="26">
        <f>IF(A65="","",IF(N(Setup!$B$11)&gt;0,(G65+H65)/Setup!$B$11,""))</f>
        <v/>
      </c>
      <c r="J65" s="26">
        <f>IF(A65="","",IF(N(Setup!$B$10)&gt;0,SUMIFS(PA_OECM_Register!$AF$5:$AF$1504,PA_OECM_Register!$Z$5:$Z$1504,1,PA_OECM_Register!$AH$5:$AH$1504,"&gt;0",PA_OECM_Register!$AH$5:$AH$1504,"&lt;="&amp;A65)/Setup!$B$10,""))</f>
        <v/>
      </c>
      <c r="K65" s="26">
        <f>IF(A65="","",IF(N(Setup!$B$11)&gt;0,SUMIFS(PA_OECM_Register!$AG$5:$AG$1504,PA_OECM_Register!$Z$5:$Z$1504,1,PA_OECM_Register!$AH$5:$AH$1504,"&gt;0",PA_OECM_Register!$AH$5:$AH$1504,"&lt;="&amp;A65)/Setup!$B$11,""))</f>
        <v/>
      </c>
    </row>
    <row r="66">
      <c r="A66" s="33">
        <f>IF(Setup!$B$27+61&gt;Setup!$B$6,"",Setup!$B$27+61)</f>
        <v/>
      </c>
      <c r="B66" s="38">
        <f>IF(A66="","",COUNTIFS(PA_OECM_Register!$Z$5:$Z$1504,1,PA_OECM_Register!$E$5:$E$1504,"PA",PA_OECM_Register!$AH$5:$AH$1504,"&gt;0",PA_OECM_Register!$AH$5:$AH$1504,"&lt;="&amp;A66)/MAX(1,COUNTIFS(PA_OECM_Register!$Z$5:$Z$1504,1,PA_OECM_Register!$E$5:$E$1504,"PA",PA_OECM_Register!$AH$5:$AH$1504,"&gt;0")))</f>
        <v/>
      </c>
      <c r="C66" s="38">
        <f>IF(A66="","",COUNTIFS(PA_OECM_Register!$Z$5:$Z$1504,1,PA_OECM_Register!$E$5:$E$1504,"OECM",PA_OECM_Register!$AH$5:$AH$1504,"&gt;0",PA_OECM_Register!$AH$5:$AH$1504,"&lt;="&amp;A66)/MAX(1,COUNTIFS(PA_OECM_Register!$Z$5:$Z$1504,1,PA_OECM_Register!$E$5:$E$1504,"OECM",PA_OECM_Register!$AH$5:$AH$1504,"&gt;0")))</f>
        <v/>
      </c>
      <c r="D66" s="25">
        <f>IF(A66="","",SUMIFS(PA_OECM_Register!$AF$5:$AF$1504,PA_OECM_Register!$Z$5:$Z$1504,1,PA_OECM_Register!$E$5:$E$1504,"PA",PA_OECM_Register!$AH$5:$AH$1504,"&gt;0",PA_OECM_Register!$AH$5:$AH$1504,"&lt;="&amp;A66)+SUMIFS(PA_OECM_Register!$AF$5:$AF$1504,PA_OECM_Register!$Z$5:$Z$1504,1,PA_OECM_Register!$E$5:$E$1504,"PA",PA_OECM_Register!$AH$5:$AH$1504,0)*B66)</f>
        <v/>
      </c>
      <c r="E66" s="25">
        <f>IF(A66="","",SUMIFS(PA_OECM_Register!$AF$5:$AF$1504,PA_OECM_Register!$Z$5:$Z$1504,1,PA_OECM_Register!$E$5:$E$1504,"OECM",PA_OECM_Register!$AH$5:$AH$1504,"&gt;0",PA_OECM_Register!$AH$5:$AH$1504,"&lt;="&amp;A66)+SUMIFS(PA_OECM_Register!$AF$5:$AF$1504,PA_OECM_Register!$Z$5:$Z$1504,1,PA_OECM_Register!$E$5:$E$1504,"OECM",PA_OECM_Register!$AH$5:$AH$1504,0)*C66)</f>
        <v/>
      </c>
      <c r="F66" s="26">
        <f>IF(A66="","",IF(N(Setup!$B$10)&gt;0,(D66+E66)/Setup!$B$10,""))</f>
        <v/>
      </c>
      <c r="G66" s="25">
        <f>IF(A66="","",SUMIFS(PA_OECM_Register!$AG$5:$AG$1504,PA_OECM_Register!$Z$5:$Z$1504,1,PA_OECM_Register!$E$5:$E$1504,"PA",PA_OECM_Register!$AH$5:$AH$1504,"&gt;0",PA_OECM_Register!$AH$5:$AH$1504,"&lt;="&amp;A66)+SUMIFS(PA_OECM_Register!$AG$5:$AG$1504,PA_OECM_Register!$Z$5:$Z$1504,1,PA_OECM_Register!$E$5:$E$1504,"PA",PA_OECM_Register!$AH$5:$AH$1504,0)*B66)</f>
        <v/>
      </c>
      <c r="H66" s="25">
        <f>IF(A66="","",SUMIFS(PA_OECM_Register!$AG$5:$AG$1504,PA_OECM_Register!$Z$5:$Z$1504,1,PA_OECM_Register!$E$5:$E$1504,"OECM",PA_OECM_Register!$AH$5:$AH$1504,"&gt;0",PA_OECM_Register!$AH$5:$AH$1504,"&lt;="&amp;A66)+SUMIFS(PA_OECM_Register!$AG$5:$AG$1504,PA_OECM_Register!$Z$5:$Z$1504,1,PA_OECM_Register!$E$5:$E$1504,"OECM",PA_OECM_Register!$AH$5:$AH$1504,0)*C66)</f>
        <v/>
      </c>
      <c r="I66" s="26">
        <f>IF(A66="","",IF(N(Setup!$B$11)&gt;0,(G66+H66)/Setup!$B$11,""))</f>
        <v/>
      </c>
      <c r="J66" s="26">
        <f>IF(A66="","",IF(N(Setup!$B$10)&gt;0,SUMIFS(PA_OECM_Register!$AF$5:$AF$1504,PA_OECM_Register!$Z$5:$Z$1504,1,PA_OECM_Register!$AH$5:$AH$1504,"&gt;0",PA_OECM_Register!$AH$5:$AH$1504,"&lt;="&amp;A66)/Setup!$B$10,""))</f>
        <v/>
      </c>
      <c r="K66" s="26">
        <f>IF(A66="","",IF(N(Setup!$B$11)&gt;0,SUMIFS(PA_OECM_Register!$AG$5:$AG$1504,PA_OECM_Register!$Z$5:$Z$1504,1,PA_OECM_Register!$AH$5:$AH$1504,"&gt;0",PA_OECM_Register!$AH$5:$AH$1504,"&lt;="&amp;A66)/Setup!$B$11,""))</f>
        <v/>
      </c>
    </row>
    <row r="67">
      <c r="A67" s="33">
        <f>IF(Setup!$B$27+62&gt;Setup!$B$6,"",Setup!$B$27+62)</f>
        <v/>
      </c>
      <c r="B67" s="38">
        <f>IF(A67="","",COUNTIFS(PA_OECM_Register!$Z$5:$Z$1504,1,PA_OECM_Register!$E$5:$E$1504,"PA",PA_OECM_Register!$AH$5:$AH$1504,"&gt;0",PA_OECM_Register!$AH$5:$AH$1504,"&lt;="&amp;A67)/MAX(1,COUNTIFS(PA_OECM_Register!$Z$5:$Z$1504,1,PA_OECM_Register!$E$5:$E$1504,"PA",PA_OECM_Register!$AH$5:$AH$1504,"&gt;0")))</f>
        <v/>
      </c>
      <c r="C67" s="38">
        <f>IF(A67="","",COUNTIFS(PA_OECM_Register!$Z$5:$Z$1504,1,PA_OECM_Register!$E$5:$E$1504,"OECM",PA_OECM_Register!$AH$5:$AH$1504,"&gt;0",PA_OECM_Register!$AH$5:$AH$1504,"&lt;="&amp;A67)/MAX(1,COUNTIFS(PA_OECM_Register!$Z$5:$Z$1504,1,PA_OECM_Register!$E$5:$E$1504,"OECM",PA_OECM_Register!$AH$5:$AH$1504,"&gt;0")))</f>
        <v/>
      </c>
      <c r="D67" s="25">
        <f>IF(A67="","",SUMIFS(PA_OECM_Register!$AF$5:$AF$1504,PA_OECM_Register!$Z$5:$Z$1504,1,PA_OECM_Register!$E$5:$E$1504,"PA",PA_OECM_Register!$AH$5:$AH$1504,"&gt;0",PA_OECM_Register!$AH$5:$AH$1504,"&lt;="&amp;A67)+SUMIFS(PA_OECM_Register!$AF$5:$AF$1504,PA_OECM_Register!$Z$5:$Z$1504,1,PA_OECM_Register!$E$5:$E$1504,"PA",PA_OECM_Register!$AH$5:$AH$1504,0)*B67)</f>
        <v/>
      </c>
      <c r="E67" s="25">
        <f>IF(A67="","",SUMIFS(PA_OECM_Register!$AF$5:$AF$1504,PA_OECM_Register!$Z$5:$Z$1504,1,PA_OECM_Register!$E$5:$E$1504,"OECM",PA_OECM_Register!$AH$5:$AH$1504,"&gt;0",PA_OECM_Register!$AH$5:$AH$1504,"&lt;="&amp;A67)+SUMIFS(PA_OECM_Register!$AF$5:$AF$1504,PA_OECM_Register!$Z$5:$Z$1504,1,PA_OECM_Register!$E$5:$E$1504,"OECM",PA_OECM_Register!$AH$5:$AH$1504,0)*C67)</f>
        <v/>
      </c>
      <c r="F67" s="26">
        <f>IF(A67="","",IF(N(Setup!$B$10)&gt;0,(D67+E67)/Setup!$B$10,""))</f>
        <v/>
      </c>
      <c r="G67" s="25">
        <f>IF(A67="","",SUMIFS(PA_OECM_Register!$AG$5:$AG$1504,PA_OECM_Register!$Z$5:$Z$1504,1,PA_OECM_Register!$E$5:$E$1504,"PA",PA_OECM_Register!$AH$5:$AH$1504,"&gt;0",PA_OECM_Register!$AH$5:$AH$1504,"&lt;="&amp;A67)+SUMIFS(PA_OECM_Register!$AG$5:$AG$1504,PA_OECM_Register!$Z$5:$Z$1504,1,PA_OECM_Register!$E$5:$E$1504,"PA",PA_OECM_Register!$AH$5:$AH$1504,0)*B67)</f>
        <v/>
      </c>
      <c r="H67" s="25">
        <f>IF(A67="","",SUMIFS(PA_OECM_Register!$AG$5:$AG$1504,PA_OECM_Register!$Z$5:$Z$1504,1,PA_OECM_Register!$E$5:$E$1504,"OECM",PA_OECM_Register!$AH$5:$AH$1504,"&gt;0",PA_OECM_Register!$AH$5:$AH$1504,"&lt;="&amp;A67)+SUMIFS(PA_OECM_Register!$AG$5:$AG$1504,PA_OECM_Register!$Z$5:$Z$1504,1,PA_OECM_Register!$E$5:$E$1504,"OECM",PA_OECM_Register!$AH$5:$AH$1504,0)*C67)</f>
        <v/>
      </c>
      <c r="I67" s="26">
        <f>IF(A67="","",IF(N(Setup!$B$11)&gt;0,(G67+H67)/Setup!$B$11,""))</f>
        <v/>
      </c>
      <c r="J67" s="26">
        <f>IF(A67="","",IF(N(Setup!$B$10)&gt;0,SUMIFS(PA_OECM_Register!$AF$5:$AF$1504,PA_OECM_Register!$Z$5:$Z$1504,1,PA_OECM_Register!$AH$5:$AH$1504,"&gt;0",PA_OECM_Register!$AH$5:$AH$1504,"&lt;="&amp;A67)/Setup!$B$10,""))</f>
        <v/>
      </c>
      <c r="K67" s="26">
        <f>IF(A67="","",IF(N(Setup!$B$11)&gt;0,SUMIFS(PA_OECM_Register!$AG$5:$AG$1504,PA_OECM_Register!$Z$5:$Z$1504,1,PA_OECM_Register!$AH$5:$AH$1504,"&gt;0",PA_OECM_Register!$AH$5:$AH$1504,"&lt;="&amp;A67)/Setup!$B$11,""))</f>
        <v/>
      </c>
    </row>
    <row r="68">
      <c r="A68" s="33">
        <f>IF(Setup!$B$27+63&gt;Setup!$B$6,"",Setup!$B$27+63)</f>
        <v/>
      </c>
      <c r="B68" s="38">
        <f>IF(A68="","",COUNTIFS(PA_OECM_Register!$Z$5:$Z$1504,1,PA_OECM_Register!$E$5:$E$1504,"PA",PA_OECM_Register!$AH$5:$AH$1504,"&gt;0",PA_OECM_Register!$AH$5:$AH$1504,"&lt;="&amp;A68)/MAX(1,COUNTIFS(PA_OECM_Register!$Z$5:$Z$1504,1,PA_OECM_Register!$E$5:$E$1504,"PA",PA_OECM_Register!$AH$5:$AH$1504,"&gt;0")))</f>
        <v/>
      </c>
      <c r="C68" s="38">
        <f>IF(A68="","",COUNTIFS(PA_OECM_Register!$Z$5:$Z$1504,1,PA_OECM_Register!$E$5:$E$1504,"OECM",PA_OECM_Register!$AH$5:$AH$1504,"&gt;0",PA_OECM_Register!$AH$5:$AH$1504,"&lt;="&amp;A68)/MAX(1,COUNTIFS(PA_OECM_Register!$Z$5:$Z$1504,1,PA_OECM_Register!$E$5:$E$1504,"OECM",PA_OECM_Register!$AH$5:$AH$1504,"&gt;0")))</f>
        <v/>
      </c>
      <c r="D68" s="25">
        <f>IF(A68="","",SUMIFS(PA_OECM_Register!$AF$5:$AF$1504,PA_OECM_Register!$Z$5:$Z$1504,1,PA_OECM_Register!$E$5:$E$1504,"PA",PA_OECM_Register!$AH$5:$AH$1504,"&gt;0",PA_OECM_Register!$AH$5:$AH$1504,"&lt;="&amp;A68)+SUMIFS(PA_OECM_Register!$AF$5:$AF$1504,PA_OECM_Register!$Z$5:$Z$1504,1,PA_OECM_Register!$E$5:$E$1504,"PA",PA_OECM_Register!$AH$5:$AH$1504,0)*B68)</f>
        <v/>
      </c>
      <c r="E68" s="25">
        <f>IF(A68="","",SUMIFS(PA_OECM_Register!$AF$5:$AF$1504,PA_OECM_Register!$Z$5:$Z$1504,1,PA_OECM_Register!$E$5:$E$1504,"OECM",PA_OECM_Register!$AH$5:$AH$1504,"&gt;0",PA_OECM_Register!$AH$5:$AH$1504,"&lt;="&amp;A68)+SUMIFS(PA_OECM_Register!$AF$5:$AF$1504,PA_OECM_Register!$Z$5:$Z$1504,1,PA_OECM_Register!$E$5:$E$1504,"OECM",PA_OECM_Register!$AH$5:$AH$1504,0)*C68)</f>
        <v/>
      </c>
      <c r="F68" s="26">
        <f>IF(A68="","",IF(N(Setup!$B$10)&gt;0,(D68+E68)/Setup!$B$10,""))</f>
        <v/>
      </c>
      <c r="G68" s="25">
        <f>IF(A68="","",SUMIFS(PA_OECM_Register!$AG$5:$AG$1504,PA_OECM_Register!$Z$5:$Z$1504,1,PA_OECM_Register!$E$5:$E$1504,"PA",PA_OECM_Register!$AH$5:$AH$1504,"&gt;0",PA_OECM_Register!$AH$5:$AH$1504,"&lt;="&amp;A68)+SUMIFS(PA_OECM_Register!$AG$5:$AG$1504,PA_OECM_Register!$Z$5:$Z$1504,1,PA_OECM_Register!$E$5:$E$1504,"PA",PA_OECM_Register!$AH$5:$AH$1504,0)*B68)</f>
        <v/>
      </c>
      <c r="H68" s="25">
        <f>IF(A68="","",SUMIFS(PA_OECM_Register!$AG$5:$AG$1504,PA_OECM_Register!$Z$5:$Z$1504,1,PA_OECM_Register!$E$5:$E$1504,"OECM",PA_OECM_Register!$AH$5:$AH$1504,"&gt;0",PA_OECM_Register!$AH$5:$AH$1504,"&lt;="&amp;A68)+SUMIFS(PA_OECM_Register!$AG$5:$AG$1504,PA_OECM_Register!$Z$5:$Z$1504,1,PA_OECM_Register!$E$5:$E$1504,"OECM",PA_OECM_Register!$AH$5:$AH$1504,0)*C68)</f>
        <v/>
      </c>
      <c r="I68" s="26">
        <f>IF(A68="","",IF(N(Setup!$B$11)&gt;0,(G68+H68)/Setup!$B$11,""))</f>
        <v/>
      </c>
      <c r="J68" s="26">
        <f>IF(A68="","",IF(N(Setup!$B$10)&gt;0,SUMIFS(PA_OECM_Register!$AF$5:$AF$1504,PA_OECM_Register!$Z$5:$Z$1504,1,PA_OECM_Register!$AH$5:$AH$1504,"&gt;0",PA_OECM_Register!$AH$5:$AH$1504,"&lt;="&amp;A68)/Setup!$B$10,""))</f>
        <v/>
      </c>
      <c r="K68" s="26">
        <f>IF(A68="","",IF(N(Setup!$B$11)&gt;0,SUMIFS(PA_OECM_Register!$AG$5:$AG$1504,PA_OECM_Register!$Z$5:$Z$1504,1,PA_OECM_Register!$AH$5:$AH$1504,"&gt;0",PA_OECM_Register!$AH$5:$AH$1504,"&lt;="&amp;A68)/Setup!$B$11,""))</f>
        <v/>
      </c>
    </row>
    <row r="69">
      <c r="A69" s="33">
        <f>IF(Setup!$B$27+64&gt;Setup!$B$6,"",Setup!$B$27+64)</f>
        <v/>
      </c>
      <c r="B69" s="38">
        <f>IF(A69="","",COUNTIFS(PA_OECM_Register!$Z$5:$Z$1504,1,PA_OECM_Register!$E$5:$E$1504,"PA",PA_OECM_Register!$AH$5:$AH$1504,"&gt;0",PA_OECM_Register!$AH$5:$AH$1504,"&lt;="&amp;A69)/MAX(1,COUNTIFS(PA_OECM_Register!$Z$5:$Z$1504,1,PA_OECM_Register!$E$5:$E$1504,"PA",PA_OECM_Register!$AH$5:$AH$1504,"&gt;0")))</f>
        <v/>
      </c>
      <c r="C69" s="38">
        <f>IF(A69="","",COUNTIFS(PA_OECM_Register!$Z$5:$Z$1504,1,PA_OECM_Register!$E$5:$E$1504,"OECM",PA_OECM_Register!$AH$5:$AH$1504,"&gt;0",PA_OECM_Register!$AH$5:$AH$1504,"&lt;="&amp;A69)/MAX(1,COUNTIFS(PA_OECM_Register!$Z$5:$Z$1504,1,PA_OECM_Register!$E$5:$E$1504,"OECM",PA_OECM_Register!$AH$5:$AH$1504,"&gt;0")))</f>
        <v/>
      </c>
      <c r="D69" s="25">
        <f>IF(A69="","",SUMIFS(PA_OECM_Register!$AF$5:$AF$1504,PA_OECM_Register!$Z$5:$Z$1504,1,PA_OECM_Register!$E$5:$E$1504,"PA",PA_OECM_Register!$AH$5:$AH$1504,"&gt;0",PA_OECM_Register!$AH$5:$AH$1504,"&lt;="&amp;A69)+SUMIFS(PA_OECM_Register!$AF$5:$AF$1504,PA_OECM_Register!$Z$5:$Z$1504,1,PA_OECM_Register!$E$5:$E$1504,"PA",PA_OECM_Register!$AH$5:$AH$1504,0)*B69)</f>
        <v/>
      </c>
      <c r="E69" s="25">
        <f>IF(A69="","",SUMIFS(PA_OECM_Register!$AF$5:$AF$1504,PA_OECM_Register!$Z$5:$Z$1504,1,PA_OECM_Register!$E$5:$E$1504,"OECM",PA_OECM_Register!$AH$5:$AH$1504,"&gt;0",PA_OECM_Register!$AH$5:$AH$1504,"&lt;="&amp;A69)+SUMIFS(PA_OECM_Register!$AF$5:$AF$1504,PA_OECM_Register!$Z$5:$Z$1504,1,PA_OECM_Register!$E$5:$E$1504,"OECM",PA_OECM_Register!$AH$5:$AH$1504,0)*C69)</f>
        <v/>
      </c>
      <c r="F69" s="26">
        <f>IF(A69="","",IF(N(Setup!$B$10)&gt;0,(D69+E69)/Setup!$B$10,""))</f>
        <v/>
      </c>
      <c r="G69" s="25">
        <f>IF(A69="","",SUMIFS(PA_OECM_Register!$AG$5:$AG$1504,PA_OECM_Register!$Z$5:$Z$1504,1,PA_OECM_Register!$E$5:$E$1504,"PA",PA_OECM_Register!$AH$5:$AH$1504,"&gt;0",PA_OECM_Register!$AH$5:$AH$1504,"&lt;="&amp;A69)+SUMIFS(PA_OECM_Register!$AG$5:$AG$1504,PA_OECM_Register!$Z$5:$Z$1504,1,PA_OECM_Register!$E$5:$E$1504,"PA",PA_OECM_Register!$AH$5:$AH$1504,0)*B69)</f>
        <v/>
      </c>
      <c r="H69" s="25">
        <f>IF(A69="","",SUMIFS(PA_OECM_Register!$AG$5:$AG$1504,PA_OECM_Register!$Z$5:$Z$1504,1,PA_OECM_Register!$E$5:$E$1504,"OECM",PA_OECM_Register!$AH$5:$AH$1504,"&gt;0",PA_OECM_Register!$AH$5:$AH$1504,"&lt;="&amp;A69)+SUMIFS(PA_OECM_Register!$AG$5:$AG$1504,PA_OECM_Register!$Z$5:$Z$1504,1,PA_OECM_Register!$E$5:$E$1504,"OECM",PA_OECM_Register!$AH$5:$AH$1504,0)*C69)</f>
        <v/>
      </c>
      <c r="I69" s="26">
        <f>IF(A69="","",IF(N(Setup!$B$11)&gt;0,(G69+H69)/Setup!$B$11,""))</f>
        <v/>
      </c>
      <c r="J69" s="26">
        <f>IF(A69="","",IF(N(Setup!$B$10)&gt;0,SUMIFS(PA_OECM_Register!$AF$5:$AF$1504,PA_OECM_Register!$Z$5:$Z$1504,1,PA_OECM_Register!$AH$5:$AH$1504,"&gt;0",PA_OECM_Register!$AH$5:$AH$1504,"&lt;="&amp;A69)/Setup!$B$10,""))</f>
        <v/>
      </c>
      <c r="K69" s="26">
        <f>IF(A69="","",IF(N(Setup!$B$11)&gt;0,SUMIFS(PA_OECM_Register!$AG$5:$AG$1504,PA_OECM_Register!$Z$5:$Z$1504,1,PA_OECM_Register!$AH$5:$AH$1504,"&gt;0",PA_OECM_Register!$AH$5:$AH$1504,"&lt;="&amp;A69)/Setup!$B$11,""))</f>
        <v/>
      </c>
    </row>
    <row r="70">
      <c r="A70" s="33">
        <f>IF(Setup!$B$27+65&gt;Setup!$B$6,"",Setup!$B$27+65)</f>
        <v/>
      </c>
      <c r="B70" s="38">
        <f>IF(A70="","",COUNTIFS(PA_OECM_Register!$Z$5:$Z$1504,1,PA_OECM_Register!$E$5:$E$1504,"PA",PA_OECM_Register!$AH$5:$AH$1504,"&gt;0",PA_OECM_Register!$AH$5:$AH$1504,"&lt;="&amp;A70)/MAX(1,COUNTIFS(PA_OECM_Register!$Z$5:$Z$1504,1,PA_OECM_Register!$E$5:$E$1504,"PA",PA_OECM_Register!$AH$5:$AH$1504,"&gt;0")))</f>
        <v/>
      </c>
      <c r="C70" s="38">
        <f>IF(A70="","",COUNTIFS(PA_OECM_Register!$Z$5:$Z$1504,1,PA_OECM_Register!$E$5:$E$1504,"OECM",PA_OECM_Register!$AH$5:$AH$1504,"&gt;0",PA_OECM_Register!$AH$5:$AH$1504,"&lt;="&amp;A70)/MAX(1,COUNTIFS(PA_OECM_Register!$Z$5:$Z$1504,1,PA_OECM_Register!$E$5:$E$1504,"OECM",PA_OECM_Register!$AH$5:$AH$1504,"&gt;0")))</f>
        <v/>
      </c>
      <c r="D70" s="25">
        <f>IF(A70="","",SUMIFS(PA_OECM_Register!$AF$5:$AF$1504,PA_OECM_Register!$Z$5:$Z$1504,1,PA_OECM_Register!$E$5:$E$1504,"PA",PA_OECM_Register!$AH$5:$AH$1504,"&gt;0",PA_OECM_Register!$AH$5:$AH$1504,"&lt;="&amp;A70)+SUMIFS(PA_OECM_Register!$AF$5:$AF$1504,PA_OECM_Register!$Z$5:$Z$1504,1,PA_OECM_Register!$E$5:$E$1504,"PA",PA_OECM_Register!$AH$5:$AH$1504,0)*B70)</f>
        <v/>
      </c>
      <c r="E70" s="25">
        <f>IF(A70="","",SUMIFS(PA_OECM_Register!$AF$5:$AF$1504,PA_OECM_Register!$Z$5:$Z$1504,1,PA_OECM_Register!$E$5:$E$1504,"OECM",PA_OECM_Register!$AH$5:$AH$1504,"&gt;0",PA_OECM_Register!$AH$5:$AH$1504,"&lt;="&amp;A70)+SUMIFS(PA_OECM_Register!$AF$5:$AF$1504,PA_OECM_Register!$Z$5:$Z$1504,1,PA_OECM_Register!$E$5:$E$1504,"OECM",PA_OECM_Register!$AH$5:$AH$1504,0)*C70)</f>
        <v/>
      </c>
      <c r="F70" s="26">
        <f>IF(A70="","",IF(N(Setup!$B$10)&gt;0,(D70+E70)/Setup!$B$10,""))</f>
        <v/>
      </c>
      <c r="G70" s="25">
        <f>IF(A70="","",SUMIFS(PA_OECM_Register!$AG$5:$AG$1504,PA_OECM_Register!$Z$5:$Z$1504,1,PA_OECM_Register!$E$5:$E$1504,"PA",PA_OECM_Register!$AH$5:$AH$1504,"&gt;0",PA_OECM_Register!$AH$5:$AH$1504,"&lt;="&amp;A70)+SUMIFS(PA_OECM_Register!$AG$5:$AG$1504,PA_OECM_Register!$Z$5:$Z$1504,1,PA_OECM_Register!$E$5:$E$1504,"PA",PA_OECM_Register!$AH$5:$AH$1504,0)*B70)</f>
        <v/>
      </c>
      <c r="H70" s="25">
        <f>IF(A70="","",SUMIFS(PA_OECM_Register!$AG$5:$AG$1504,PA_OECM_Register!$Z$5:$Z$1504,1,PA_OECM_Register!$E$5:$E$1504,"OECM",PA_OECM_Register!$AH$5:$AH$1504,"&gt;0",PA_OECM_Register!$AH$5:$AH$1504,"&lt;="&amp;A70)+SUMIFS(PA_OECM_Register!$AG$5:$AG$1504,PA_OECM_Register!$Z$5:$Z$1504,1,PA_OECM_Register!$E$5:$E$1504,"OECM",PA_OECM_Register!$AH$5:$AH$1504,0)*C70)</f>
        <v/>
      </c>
      <c r="I70" s="26">
        <f>IF(A70="","",IF(N(Setup!$B$11)&gt;0,(G70+H70)/Setup!$B$11,""))</f>
        <v/>
      </c>
      <c r="J70" s="26">
        <f>IF(A70="","",IF(N(Setup!$B$10)&gt;0,SUMIFS(PA_OECM_Register!$AF$5:$AF$1504,PA_OECM_Register!$Z$5:$Z$1504,1,PA_OECM_Register!$AH$5:$AH$1504,"&gt;0",PA_OECM_Register!$AH$5:$AH$1504,"&lt;="&amp;A70)/Setup!$B$10,""))</f>
        <v/>
      </c>
      <c r="K70" s="26">
        <f>IF(A70="","",IF(N(Setup!$B$11)&gt;0,SUMIFS(PA_OECM_Register!$AG$5:$AG$1504,PA_OECM_Register!$Z$5:$Z$1504,1,PA_OECM_Register!$AH$5:$AH$1504,"&gt;0",PA_OECM_Register!$AH$5:$AH$1504,"&lt;="&amp;A70)/Setup!$B$11,""))</f>
        <v/>
      </c>
    </row>
    <row r="71">
      <c r="A71" s="33">
        <f>IF(Setup!$B$27+66&gt;Setup!$B$6,"",Setup!$B$27+66)</f>
        <v/>
      </c>
      <c r="B71" s="38">
        <f>IF(A71="","",COUNTIFS(PA_OECM_Register!$Z$5:$Z$1504,1,PA_OECM_Register!$E$5:$E$1504,"PA",PA_OECM_Register!$AH$5:$AH$1504,"&gt;0",PA_OECM_Register!$AH$5:$AH$1504,"&lt;="&amp;A71)/MAX(1,COUNTIFS(PA_OECM_Register!$Z$5:$Z$1504,1,PA_OECM_Register!$E$5:$E$1504,"PA",PA_OECM_Register!$AH$5:$AH$1504,"&gt;0")))</f>
        <v/>
      </c>
      <c r="C71" s="38">
        <f>IF(A71="","",COUNTIFS(PA_OECM_Register!$Z$5:$Z$1504,1,PA_OECM_Register!$E$5:$E$1504,"OECM",PA_OECM_Register!$AH$5:$AH$1504,"&gt;0",PA_OECM_Register!$AH$5:$AH$1504,"&lt;="&amp;A71)/MAX(1,COUNTIFS(PA_OECM_Register!$Z$5:$Z$1504,1,PA_OECM_Register!$E$5:$E$1504,"OECM",PA_OECM_Register!$AH$5:$AH$1504,"&gt;0")))</f>
        <v/>
      </c>
      <c r="D71" s="25">
        <f>IF(A71="","",SUMIFS(PA_OECM_Register!$AF$5:$AF$1504,PA_OECM_Register!$Z$5:$Z$1504,1,PA_OECM_Register!$E$5:$E$1504,"PA",PA_OECM_Register!$AH$5:$AH$1504,"&gt;0",PA_OECM_Register!$AH$5:$AH$1504,"&lt;="&amp;A71)+SUMIFS(PA_OECM_Register!$AF$5:$AF$1504,PA_OECM_Register!$Z$5:$Z$1504,1,PA_OECM_Register!$E$5:$E$1504,"PA",PA_OECM_Register!$AH$5:$AH$1504,0)*B71)</f>
        <v/>
      </c>
      <c r="E71" s="25">
        <f>IF(A71="","",SUMIFS(PA_OECM_Register!$AF$5:$AF$1504,PA_OECM_Register!$Z$5:$Z$1504,1,PA_OECM_Register!$E$5:$E$1504,"OECM",PA_OECM_Register!$AH$5:$AH$1504,"&gt;0",PA_OECM_Register!$AH$5:$AH$1504,"&lt;="&amp;A71)+SUMIFS(PA_OECM_Register!$AF$5:$AF$1504,PA_OECM_Register!$Z$5:$Z$1504,1,PA_OECM_Register!$E$5:$E$1504,"OECM",PA_OECM_Register!$AH$5:$AH$1504,0)*C71)</f>
        <v/>
      </c>
      <c r="F71" s="26">
        <f>IF(A71="","",IF(N(Setup!$B$10)&gt;0,(D71+E71)/Setup!$B$10,""))</f>
        <v/>
      </c>
      <c r="G71" s="25">
        <f>IF(A71="","",SUMIFS(PA_OECM_Register!$AG$5:$AG$1504,PA_OECM_Register!$Z$5:$Z$1504,1,PA_OECM_Register!$E$5:$E$1504,"PA",PA_OECM_Register!$AH$5:$AH$1504,"&gt;0",PA_OECM_Register!$AH$5:$AH$1504,"&lt;="&amp;A71)+SUMIFS(PA_OECM_Register!$AG$5:$AG$1504,PA_OECM_Register!$Z$5:$Z$1504,1,PA_OECM_Register!$E$5:$E$1504,"PA",PA_OECM_Register!$AH$5:$AH$1504,0)*B71)</f>
        <v/>
      </c>
      <c r="H71" s="25">
        <f>IF(A71="","",SUMIFS(PA_OECM_Register!$AG$5:$AG$1504,PA_OECM_Register!$Z$5:$Z$1504,1,PA_OECM_Register!$E$5:$E$1504,"OECM",PA_OECM_Register!$AH$5:$AH$1504,"&gt;0",PA_OECM_Register!$AH$5:$AH$1504,"&lt;="&amp;A71)+SUMIFS(PA_OECM_Register!$AG$5:$AG$1504,PA_OECM_Register!$Z$5:$Z$1504,1,PA_OECM_Register!$E$5:$E$1504,"OECM",PA_OECM_Register!$AH$5:$AH$1504,0)*C71)</f>
        <v/>
      </c>
      <c r="I71" s="26">
        <f>IF(A71="","",IF(N(Setup!$B$11)&gt;0,(G71+H71)/Setup!$B$11,""))</f>
        <v/>
      </c>
      <c r="J71" s="26">
        <f>IF(A71="","",IF(N(Setup!$B$10)&gt;0,SUMIFS(PA_OECM_Register!$AF$5:$AF$1504,PA_OECM_Register!$Z$5:$Z$1504,1,PA_OECM_Register!$AH$5:$AH$1504,"&gt;0",PA_OECM_Register!$AH$5:$AH$1504,"&lt;="&amp;A71)/Setup!$B$10,""))</f>
        <v/>
      </c>
      <c r="K71" s="26">
        <f>IF(A71="","",IF(N(Setup!$B$11)&gt;0,SUMIFS(PA_OECM_Register!$AG$5:$AG$1504,PA_OECM_Register!$Z$5:$Z$1504,1,PA_OECM_Register!$AH$5:$AH$1504,"&gt;0",PA_OECM_Register!$AH$5:$AH$1504,"&lt;="&amp;A71)/Setup!$B$11,""))</f>
        <v/>
      </c>
    </row>
    <row r="72">
      <c r="A72" s="33">
        <f>IF(Setup!$B$27+67&gt;Setup!$B$6,"",Setup!$B$27+67)</f>
        <v/>
      </c>
      <c r="B72" s="38">
        <f>IF(A72="","",COUNTIFS(PA_OECM_Register!$Z$5:$Z$1504,1,PA_OECM_Register!$E$5:$E$1504,"PA",PA_OECM_Register!$AH$5:$AH$1504,"&gt;0",PA_OECM_Register!$AH$5:$AH$1504,"&lt;="&amp;A72)/MAX(1,COUNTIFS(PA_OECM_Register!$Z$5:$Z$1504,1,PA_OECM_Register!$E$5:$E$1504,"PA",PA_OECM_Register!$AH$5:$AH$1504,"&gt;0")))</f>
        <v/>
      </c>
      <c r="C72" s="38">
        <f>IF(A72="","",COUNTIFS(PA_OECM_Register!$Z$5:$Z$1504,1,PA_OECM_Register!$E$5:$E$1504,"OECM",PA_OECM_Register!$AH$5:$AH$1504,"&gt;0",PA_OECM_Register!$AH$5:$AH$1504,"&lt;="&amp;A72)/MAX(1,COUNTIFS(PA_OECM_Register!$Z$5:$Z$1504,1,PA_OECM_Register!$E$5:$E$1504,"OECM",PA_OECM_Register!$AH$5:$AH$1504,"&gt;0")))</f>
        <v/>
      </c>
      <c r="D72" s="25">
        <f>IF(A72="","",SUMIFS(PA_OECM_Register!$AF$5:$AF$1504,PA_OECM_Register!$Z$5:$Z$1504,1,PA_OECM_Register!$E$5:$E$1504,"PA",PA_OECM_Register!$AH$5:$AH$1504,"&gt;0",PA_OECM_Register!$AH$5:$AH$1504,"&lt;="&amp;A72)+SUMIFS(PA_OECM_Register!$AF$5:$AF$1504,PA_OECM_Register!$Z$5:$Z$1504,1,PA_OECM_Register!$E$5:$E$1504,"PA",PA_OECM_Register!$AH$5:$AH$1504,0)*B72)</f>
        <v/>
      </c>
      <c r="E72" s="25">
        <f>IF(A72="","",SUMIFS(PA_OECM_Register!$AF$5:$AF$1504,PA_OECM_Register!$Z$5:$Z$1504,1,PA_OECM_Register!$E$5:$E$1504,"OECM",PA_OECM_Register!$AH$5:$AH$1504,"&gt;0",PA_OECM_Register!$AH$5:$AH$1504,"&lt;="&amp;A72)+SUMIFS(PA_OECM_Register!$AF$5:$AF$1504,PA_OECM_Register!$Z$5:$Z$1504,1,PA_OECM_Register!$E$5:$E$1504,"OECM",PA_OECM_Register!$AH$5:$AH$1504,0)*C72)</f>
        <v/>
      </c>
      <c r="F72" s="26">
        <f>IF(A72="","",IF(N(Setup!$B$10)&gt;0,(D72+E72)/Setup!$B$10,""))</f>
        <v/>
      </c>
      <c r="G72" s="25">
        <f>IF(A72="","",SUMIFS(PA_OECM_Register!$AG$5:$AG$1504,PA_OECM_Register!$Z$5:$Z$1504,1,PA_OECM_Register!$E$5:$E$1504,"PA",PA_OECM_Register!$AH$5:$AH$1504,"&gt;0",PA_OECM_Register!$AH$5:$AH$1504,"&lt;="&amp;A72)+SUMIFS(PA_OECM_Register!$AG$5:$AG$1504,PA_OECM_Register!$Z$5:$Z$1504,1,PA_OECM_Register!$E$5:$E$1504,"PA",PA_OECM_Register!$AH$5:$AH$1504,0)*B72)</f>
        <v/>
      </c>
      <c r="H72" s="25">
        <f>IF(A72="","",SUMIFS(PA_OECM_Register!$AG$5:$AG$1504,PA_OECM_Register!$Z$5:$Z$1504,1,PA_OECM_Register!$E$5:$E$1504,"OECM",PA_OECM_Register!$AH$5:$AH$1504,"&gt;0",PA_OECM_Register!$AH$5:$AH$1504,"&lt;="&amp;A72)+SUMIFS(PA_OECM_Register!$AG$5:$AG$1504,PA_OECM_Register!$Z$5:$Z$1504,1,PA_OECM_Register!$E$5:$E$1504,"OECM",PA_OECM_Register!$AH$5:$AH$1504,0)*C72)</f>
        <v/>
      </c>
      <c r="I72" s="26">
        <f>IF(A72="","",IF(N(Setup!$B$11)&gt;0,(G72+H72)/Setup!$B$11,""))</f>
        <v/>
      </c>
      <c r="J72" s="26">
        <f>IF(A72="","",IF(N(Setup!$B$10)&gt;0,SUMIFS(PA_OECM_Register!$AF$5:$AF$1504,PA_OECM_Register!$Z$5:$Z$1504,1,PA_OECM_Register!$AH$5:$AH$1504,"&gt;0",PA_OECM_Register!$AH$5:$AH$1504,"&lt;="&amp;A72)/Setup!$B$10,""))</f>
        <v/>
      </c>
      <c r="K72" s="26">
        <f>IF(A72="","",IF(N(Setup!$B$11)&gt;0,SUMIFS(PA_OECM_Register!$AG$5:$AG$1504,PA_OECM_Register!$Z$5:$Z$1504,1,PA_OECM_Register!$AH$5:$AH$1504,"&gt;0",PA_OECM_Register!$AH$5:$AH$1504,"&lt;="&amp;A72)/Setup!$B$11,""))</f>
        <v/>
      </c>
    </row>
    <row r="73">
      <c r="A73" s="33">
        <f>IF(Setup!$B$27+68&gt;Setup!$B$6,"",Setup!$B$27+68)</f>
        <v/>
      </c>
      <c r="B73" s="38">
        <f>IF(A73="","",COUNTIFS(PA_OECM_Register!$Z$5:$Z$1504,1,PA_OECM_Register!$E$5:$E$1504,"PA",PA_OECM_Register!$AH$5:$AH$1504,"&gt;0",PA_OECM_Register!$AH$5:$AH$1504,"&lt;="&amp;A73)/MAX(1,COUNTIFS(PA_OECM_Register!$Z$5:$Z$1504,1,PA_OECM_Register!$E$5:$E$1504,"PA",PA_OECM_Register!$AH$5:$AH$1504,"&gt;0")))</f>
        <v/>
      </c>
      <c r="C73" s="38">
        <f>IF(A73="","",COUNTIFS(PA_OECM_Register!$Z$5:$Z$1504,1,PA_OECM_Register!$E$5:$E$1504,"OECM",PA_OECM_Register!$AH$5:$AH$1504,"&gt;0",PA_OECM_Register!$AH$5:$AH$1504,"&lt;="&amp;A73)/MAX(1,COUNTIFS(PA_OECM_Register!$Z$5:$Z$1504,1,PA_OECM_Register!$E$5:$E$1504,"OECM",PA_OECM_Register!$AH$5:$AH$1504,"&gt;0")))</f>
        <v/>
      </c>
      <c r="D73" s="25">
        <f>IF(A73="","",SUMIFS(PA_OECM_Register!$AF$5:$AF$1504,PA_OECM_Register!$Z$5:$Z$1504,1,PA_OECM_Register!$E$5:$E$1504,"PA",PA_OECM_Register!$AH$5:$AH$1504,"&gt;0",PA_OECM_Register!$AH$5:$AH$1504,"&lt;="&amp;A73)+SUMIFS(PA_OECM_Register!$AF$5:$AF$1504,PA_OECM_Register!$Z$5:$Z$1504,1,PA_OECM_Register!$E$5:$E$1504,"PA",PA_OECM_Register!$AH$5:$AH$1504,0)*B73)</f>
        <v/>
      </c>
      <c r="E73" s="25">
        <f>IF(A73="","",SUMIFS(PA_OECM_Register!$AF$5:$AF$1504,PA_OECM_Register!$Z$5:$Z$1504,1,PA_OECM_Register!$E$5:$E$1504,"OECM",PA_OECM_Register!$AH$5:$AH$1504,"&gt;0",PA_OECM_Register!$AH$5:$AH$1504,"&lt;="&amp;A73)+SUMIFS(PA_OECM_Register!$AF$5:$AF$1504,PA_OECM_Register!$Z$5:$Z$1504,1,PA_OECM_Register!$E$5:$E$1504,"OECM",PA_OECM_Register!$AH$5:$AH$1504,0)*C73)</f>
        <v/>
      </c>
      <c r="F73" s="26">
        <f>IF(A73="","",IF(N(Setup!$B$10)&gt;0,(D73+E73)/Setup!$B$10,""))</f>
        <v/>
      </c>
      <c r="G73" s="25">
        <f>IF(A73="","",SUMIFS(PA_OECM_Register!$AG$5:$AG$1504,PA_OECM_Register!$Z$5:$Z$1504,1,PA_OECM_Register!$E$5:$E$1504,"PA",PA_OECM_Register!$AH$5:$AH$1504,"&gt;0",PA_OECM_Register!$AH$5:$AH$1504,"&lt;="&amp;A73)+SUMIFS(PA_OECM_Register!$AG$5:$AG$1504,PA_OECM_Register!$Z$5:$Z$1504,1,PA_OECM_Register!$E$5:$E$1504,"PA",PA_OECM_Register!$AH$5:$AH$1504,0)*B73)</f>
        <v/>
      </c>
      <c r="H73" s="25">
        <f>IF(A73="","",SUMIFS(PA_OECM_Register!$AG$5:$AG$1504,PA_OECM_Register!$Z$5:$Z$1504,1,PA_OECM_Register!$E$5:$E$1504,"OECM",PA_OECM_Register!$AH$5:$AH$1504,"&gt;0",PA_OECM_Register!$AH$5:$AH$1504,"&lt;="&amp;A73)+SUMIFS(PA_OECM_Register!$AG$5:$AG$1504,PA_OECM_Register!$Z$5:$Z$1504,1,PA_OECM_Register!$E$5:$E$1504,"OECM",PA_OECM_Register!$AH$5:$AH$1504,0)*C73)</f>
        <v/>
      </c>
      <c r="I73" s="26">
        <f>IF(A73="","",IF(N(Setup!$B$11)&gt;0,(G73+H73)/Setup!$B$11,""))</f>
        <v/>
      </c>
      <c r="J73" s="26">
        <f>IF(A73="","",IF(N(Setup!$B$10)&gt;0,SUMIFS(PA_OECM_Register!$AF$5:$AF$1504,PA_OECM_Register!$Z$5:$Z$1504,1,PA_OECM_Register!$AH$5:$AH$1504,"&gt;0",PA_OECM_Register!$AH$5:$AH$1504,"&lt;="&amp;A73)/Setup!$B$10,""))</f>
        <v/>
      </c>
      <c r="K73" s="26">
        <f>IF(A73="","",IF(N(Setup!$B$11)&gt;0,SUMIFS(PA_OECM_Register!$AG$5:$AG$1504,PA_OECM_Register!$Z$5:$Z$1504,1,PA_OECM_Register!$AH$5:$AH$1504,"&gt;0",PA_OECM_Register!$AH$5:$AH$1504,"&lt;="&amp;A73)/Setup!$B$11,""))</f>
        <v/>
      </c>
    </row>
    <row r="74">
      <c r="A74" s="33">
        <f>IF(Setup!$B$27+69&gt;Setup!$B$6,"",Setup!$B$27+69)</f>
        <v/>
      </c>
      <c r="B74" s="38">
        <f>IF(A74="","",COUNTIFS(PA_OECM_Register!$Z$5:$Z$1504,1,PA_OECM_Register!$E$5:$E$1504,"PA",PA_OECM_Register!$AH$5:$AH$1504,"&gt;0",PA_OECM_Register!$AH$5:$AH$1504,"&lt;="&amp;A74)/MAX(1,COUNTIFS(PA_OECM_Register!$Z$5:$Z$1504,1,PA_OECM_Register!$E$5:$E$1504,"PA",PA_OECM_Register!$AH$5:$AH$1504,"&gt;0")))</f>
        <v/>
      </c>
      <c r="C74" s="38">
        <f>IF(A74="","",COUNTIFS(PA_OECM_Register!$Z$5:$Z$1504,1,PA_OECM_Register!$E$5:$E$1504,"OECM",PA_OECM_Register!$AH$5:$AH$1504,"&gt;0",PA_OECM_Register!$AH$5:$AH$1504,"&lt;="&amp;A74)/MAX(1,COUNTIFS(PA_OECM_Register!$Z$5:$Z$1504,1,PA_OECM_Register!$E$5:$E$1504,"OECM",PA_OECM_Register!$AH$5:$AH$1504,"&gt;0")))</f>
        <v/>
      </c>
      <c r="D74" s="25">
        <f>IF(A74="","",SUMIFS(PA_OECM_Register!$AF$5:$AF$1504,PA_OECM_Register!$Z$5:$Z$1504,1,PA_OECM_Register!$E$5:$E$1504,"PA",PA_OECM_Register!$AH$5:$AH$1504,"&gt;0",PA_OECM_Register!$AH$5:$AH$1504,"&lt;="&amp;A74)+SUMIFS(PA_OECM_Register!$AF$5:$AF$1504,PA_OECM_Register!$Z$5:$Z$1504,1,PA_OECM_Register!$E$5:$E$1504,"PA",PA_OECM_Register!$AH$5:$AH$1504,0)*B74)</f>
        <v/>
      </c>
      <c r="E74" s="25">
        <f>IF(A74="","",SUMIFS(PA_OECM_Register!$AF$5:$AF$1504,PA_OECM_Register!$Z$5:$Z$1504,1,PA_OECM_Register!$E$5:$E$1504,"OECM",PA_OECM_Register!$AH$5:$AH$1504,"&gt;0",PA_OECM_Register!$AH$5:$AH$1504,"&lt;="&amp;A74)+SUMIFS(PA_OECM_Register!$AF$5:$AF$1504,PA_OECM_Register!$Z$5:$Z$1504,1,PA_OECM_Register!$E$5:$E$1504,"OECM",PA_OECM_Register!$AH$5:$AH$1504,0)*C74)</f>
        <v/>
      </c>
      <c r="F74" s="26">
        <f>IF(A74="","",IF(N(Setup!$B$10)&gt;0,(D74+E74)/Setup!$B$10,""))</f>
        <v/>
      </c>
      <c r="G74" s="25">
        <f>IF(A74="","",SUMIFS(PA_OECM_Register!$AG$5:$AG$1504,PA_OECM_Register!$Z$5:$Z$1504,1,PA_OECM_Register!$E$5:$E$1504,"PA",PA_OECM_Register!$AH$5:$AH$1504,"&gt;0",PA_OECM_Register!$AH$5:$AH$1504,"&lt;="&amp;A74)+SUMIFS(PA_OECM_Register!$AG$5:$AG$1504,PA_OECM_Register!$Z$5:$Z$1504,1,PA_OECM_Register!$E$5:$E$1504,"PA",PA_OECM_Register!$AH$5:$AH$1504,0)*B74)</f>
        <v/>
      </c>
      <c r="H74" s="25">
        <f>IF(A74="","",SUMIFS(PA_OECM_Register!$AG$5:$AG$1504,PA_OECM_Register!$Z$5:$Z$1504,1,PA_OECM_Register!$E$5:$E$1504,"OECM",PA_OECM_Register!$AH$5:$AH$1504,"&gt;0",PA_OECM_Register!$AH$5:$AH$1504,"&lt;="&amp;A74)+SUMIFS(PA_OECM_Register!$AG$5:$AG$1504,PA_OECM_Register!$Z$5:$Z$1504,1,PA_OECM_Register!$E$5:$E$1504,"OECM",PA_OECM_Register!$AH$5:$AH$1504,0)*C74)</f>
        <v/>
      </c>
      <c r="I74" s="26">
        <f>IF(A74="","",IF(N(Setup!$B$11)&gt;0,(G74+H74)/Setup!$B$11,""))</f>
        <v/>
      </c>
      <c r="J74" s="26">
        <f>IF(A74="","",IF(N(Setup!$B$10)&gt;0,SUMIFS(PA_OECM_Register!$AF$5:$AF$1504,PA_OECM_Register!$Z$5:$Z$1504,1,PA_OECM_Register!$AH$5:$AH$1504,"&gt;0",PA_OECM_Register!$AH$5:$AH$1504,"&lt;="&amp;A74)/Setup!$B$10,""))</f>
        <v/>
      </c>
      <c r="K74" s="26">
        <f>IF(A74="","",IF(N(Setup!$B$11)&gt;0,SUMIFS(PA_OECM_Register!$AG$5:$AG$1504,PA_OECM_Register!$Z$5:$Z$1504,1,PA_OECM_Register!$AH$5:$AH$1504,"&gt;0",PA_OECM_Register!$AH$5:$AH$1504,"&lt;="&amp;A74)/Setup!$B$11,""))</f>
        <v/>
      </c>
    </row>
    <row r="75">
      <c r="A75" s="33">
        <f>IF(Setup!$B$27+70&gt;Setup!$B$6,"",Setup!$B$27+70)</f>
        <v/>
      </c>
      <c r="B75" s="38">
        <f>IF(A75="","",COUNTIFS(PA_OECM_Register!$Z$5:$Z$1504,1,PA_OECM_Register!$E$5:$E$1504,"PA",PA_OECM_Register!$AH$5:$AH$1504,"&gt;0",PA_OECM_Register!$AH$5:$AH$1504,"&lt;="&amp;A75)/MAX(1,COUNTIFS(PA_OECM_Register!$Z$5:$Z$1504,1,PA_OECM_Register!$E$5:$E$1504,"PA",PA_OECM_Register!$AH$5:$AH$1504,"&gt;0")))</f>
        <v/>
      </c>
      <c r="C75" s="38">
        <f>IF(A75="","",COUNTIFS(PA_OECM_Register!$Z$5:$Z$1504,1,PA_OECM_Register!$E$5:$E$1504,"OECM",PA_OECM_Register!$AH$5:$AH$1504,"&gt;0",PA_OECM_Register!$AH$5:$AH$1504,"&lt;="&amp;A75)/MAX(1,COUNTIFS(PA_OECM_Register!$Z$5:$Z$1504,1,PA_OECM_Register!$E$5:$E$1504,"OECM",PA_OECM_Register!$AH$5:$AH$1504,"&gt;0")))</f>
        <v/>
      </c>
      <c r="D75" s="25">
        <f>IF(A75="","",SUMIFS(PA_OECM_Register!$AF$5:$AF$1504,PA_OECM_Register!$Z$5:$Z$1504,1,PA_OECM_Register!$E$5:$E$1504,"PA",PA_OECM_Register!$AH$5:$AH$1504,"&gt;0",PA_OECM_Register!$AH$5:$AH$1504,"&lt;="&amp;A75)+SUMIFS(PA_OECM_Register!$AF$5:$AF$1504,PA_OECM_Register!$Z$5:$Z$1504,1,PA_OECM_Register!$E$5:$E$1504,"PA",PA_OECM_Register!$AH$5:$AH$1504,0)*B75)</f>
        <v/>
      </c>
      <c r="E75" s="25">
        <f>IF(A75="","",SUMIFS(PA_OECM_Register!$AF$5:$AF$1504,PA_OECM_Register!$Z$5:$Z$1504,1,PA_OECM_Register!$E$5:$E$1504,"OECM",PA_OECM_Register!$AH$5:$AH$1504,"&gt;0",PA_OECM_Register!$AH$5:$AH$1504,"&lt;="&amp;A75)+SUMIFS(PA_OECM_Register!$AF$5:$AF$1504,PA_OECM_Register!$Z$5:$Z$1504,1,PA_OECM_Register!$E$5:$E$1504,"OECM",PA_OECM_Register!$AH$5:$AH$1504,0)*C75)</f>
        <v/>
      </c>
      <c r="F75" s="26">
        <f>IF(A75="","",IF(N(Setup!$B$10)&gt;0,(D75+E75)/Setup!$B$10,""))</f>
        <v/>
      </c>
      <c r="G75" s="25">
        <f>IF(A75="","",SUMIFS(PA_OECM_Register!$AG$5:$AG$1504,PA_OECM_Register!$Z$5:$Z$1504,1,PA_OECM_Register!$E$5:$E$1504,"PA",PA_OECM_Register!$AH$5:$AH$1504,"&gt;0",PA_OECM_Register!$AH$5:$AH$1504,"&lt;="&amp;A75)+SUMIFS(PA_OECM_Register!$AG$5:$AG$1504,PA_OECM_Register!$Z$5:$Z$1504,1,PA_OECM_Register!$E$5:$E$1504,"PA",PA_OECM_Register!$AH$5:$AH$1504,0)*B75)</f>
        <v/>
      </c>
      <c r="H75" s="25">
        <f>IF(A75="","",SUMIFS(PA_OECM_Register!$AG$5:$AG$1504,PA_OECM_Register!$Z$5:$Z$1504,1,PA_OECM_Register!$E$5:$E$1504,"OECM",PA_OECM_Register!$AH$5:$AH$1504,"&gt;0",PA_OECM_Register!$AH$5:$AH$1504,"&lt;="&amp;A75)+SUMIFS(PA_OECM_Register!$AG$5:$AG$1504,PA_OECM_Register!$Z$5:$Z$1504,1,PA_OECM_Register!$E$5:$E$1504,"OECM",PA_OECM_Register!$AH$5:$AH$1504,0)*C75)</f>
        <v/>
      </c>
      <c r="I75" s="26">
        <f>IF(A75="","",IF(N(Setup!$B$11)&gt;0,(G75+H75)/Setup!$B$11,""))</f>
        <v/>
      </c>
      <c r="J75" s="26">
        <f>IF(A75="","",IF(N(Setup!$B$10)&gt;0,SUMIFS(PA_OECM_Register!$AF$5:$AF$1504,PA_OECM_Register!$Z$5:$Z$1504,1,PA_OECM_Register!$AH$5:$AH$1504,"&gt;0",PA_OECM_Register!$AH$5:$AH$1504,"&lt;="&amp;A75)/Setup!$B$10,""))</f>
        <v/>
      </c>
      <c r="K75" s="26">
        <f>IF(A75="","",IF(N(Setup!$B$11)&gt;0,SUMIFS(PA_OECM_Register!$AG$5:$AG$1504,PA_OECM_Register!$Z$5:$Z$1504,1,PA_OECM_Register!$AH$5:$AH$1504,"&gt;0",PA_OECM_Register!$AH$5:$AH$1504,"&lt;="&amp;A75)/Setup!$B$11,""))</f>
        <v/>
      </c>
    </row>
    <row r="76">
      <c r="A76" s="33">
        <f>IF(Setup!$B$27+71&gt;Setup!$B$6,"",Setup!$B$27+71)</f>
        <v/>
      </c>
      <c r="B76" s="38">
        <f>IF(A76="","",COUNTIFS(PA_OECM_Register!$Z$5:$Z$1504,1,PA_OECM_Register!$E$5:$E$1504,"PA",PA_OECM_Register!$AH$5:$AH$1504,"&gt;0",PA_OECM_Register!$AH$5:$AH$1504,"&lt;="&amp;A76)/MAX(1,COUNTIFS(PA_OECM_Register!$Z$5:$Z$1504,1,PA_OECM_Register!$E$5:$E$1504,"PA",PA_OECM_Register!$AH$5:$AH$1504,"&gt;0")))</f>
        <v/>
      </c>
      <c r="C76" s="38">
        <f>IF(A76="","",COUNTIFS(PA_OECM_Register!$Z$5:$Z$1504,1,PA_OECM_Register!$E$5:$E$1504,"OECM",PA_OECM_Register!$AH$5:$AH$1504,"&gt;0",PA_OECM_Register!$AH$5:$AH$1504,"&lt;="&amp;A76)/MAX(1,COUNTIFS(PA_OECM_Register!$Z$5:$Z$1504,1,PA_OECM_Register!$E$5:$E$1504,"OECM",PA_OECM_Register!$AH$5:$AH$1504,"&gt;0")))</f>
        <v/>
      </c>
      <c r="D76" s="25">
        <f>IF(A76="","",SUMIFS(PA_OECM_Register!$AF$5:$AF$1504,PA_OECM_Register!$Z$5:$Z$1504,1,PA_OECM_Register!$E$5:$E$1504,"PA",PA_OECM_Register!$AH$5:$AH$1504,"&gt;0",PA_OECM_Register!$AH$5:$AH$1504,"&lt;="&amp;A76)+SUMIFS(PA_OECM_Register!$AF$5:$AF$1504,PA_OECM_Register!$Z$5:$Z$1504,1,PA_OECM_Register!$E$5:$E$1504,"PA",PA_OECM_Register!$AH$5:$AH$1504,0)*B76)</f>
        <v/>
      </c>
      <c r="E76" s="25">
        <f>IF(A76="","",SUMIFS(PA_OECM_Register!$AF$5:$AF$1504,PA_OECM_Register!$Z$5:$Z$1504,1,PA_OECM_Register!$E$5:$E$1504,"OECM",PA_OECM_Register!$AH$5:$AH$1504,"&gt;0",PA_OECM_Register!$AH$5:$AH$1504,"&lt;="&amp;A76)+SUMIFS(PA_OECM_Register!$AF$5:$AF$1504,PA_OECM_Register!$Z$5:$Z$1504,1,PA_OECM_Register!$E$5:$E$1504,"OECM",PA_OECM_Register!$AH$5:$AH$1504,0)*C76)</f>
        <v/>
      </c>
      <c r="F76" s="26">
        <f>IF(A76="","",IF(N(Setup!$B$10)&gt;0,(D76+E76)/Setup!$B$10,""))</f>
        <v/>
      </c>
      <c r="G76" s="25">
        <f>IF(A76="","",SUMIFS(PA_OECM_Register!$AG$5:$AG$1504,PA_OECM_Register!$Z$5:$Z$1504,1,PA_OECM_Register!$E$5:$E$1504,"PA",PA_OECM_Register!$AH$5:$AH$1504,"&gt;0",PA_OECM_Register!$AH$5:$AH$1504,"&lt;="&amp;A76)+SUMIFS(PA_OECM_Register!$AG$5:$AG$1504,PA_OECM_Register!$Z$5:$Z$1504,1,PA_OECM_Register!$E$5:$E$1504,"PA",PA_OECM_Register!$AH$5:$AH$1504,0)*B76)</f>
        <v/>
      </c>
      <c r="H76" s="25">
        <f>IF(A76="","",SUMIFS(PA_OECM_Register!$AG$5:$AG$1504,PA_OECM_Register!$Z$5:$Z$1504,1,PA_OECM_Register!$E$5:$E$1504,"OECM",PA_OECM_Register!$AH$5:$AH$1504,"&gt;0",PA_OECM_Register!$AH$5:$AH$1504,"&lt;="&amp;A76)+SUMIFS(PA_OECM_Register!$AG$5:$AG$1504,PA_OECM_Register!$Z$5:$Z$1504,1,PA_OECM_Register!$E$5:$E$1504,"OECM",PA_OECM_Register!$AH$5:$AH$1504,0)*C76)</f>
        <v/>
      </c>
      <c r="I76" s="26">
        <f>IF(A76="","",IF(N(Setup!$B$11)&gt;0,(G76+H76)/Setup!$B$11,""))</f>
        <v/>
      </c>
      <c r="J76" s="26">
        <f>IF(A76="","",IF(N(Setup!$B$10)&gt;0,SUMIFS(PA_OECM_Register!$AF$5:$AF$1504,PA_OECM_Register!$Z$5:$Z$1504,1,PA_OECM_Register!$AH$5:$AH$1504,"&gt;0",PA_OECM_Register!$AH$5:$AH$1504,"&lt;="&amp;A76)/Setup!$B$10,""))</f>
        <v/>
      </c>
      <c r="K76" s="26">
        <f>IF(A76="","",IF(N(Setup!$B$11)&gt;0,SUMIFS(PA_OECM_Register!$AG$5:$AG$1504,PA_OECM_Register!$Z$5:$Z$1504,1,PA_OECM_Register!$AH$5:$AH$1504,"&gt;0",PA_OECM_Register!$AH$5:$AH$1504,"&lt;="&amp;A76)/Setup!$B$11,""))</f>
        <v/>
      </c>
    </row>
    <row r="77">
      <c r="A77" s="33">
        <f>IF(Setup!$B$27+72&gt;Setup!$B$6,"",Setup!$B$27+72)</f>
        <v/>
      </c>
      <c r="B77" s="38">
        <f>IF(A77="","",COUNTIFS(PA_OECM_Register!$Z$5:$Z$1504,1,PA_OECM_Register!$E$5:$E$1504,"PA",PA_OECM_Register!$AH$5:$AH$1504,"&gt;0",PA_OECM_Register!$AH$5:$AH$1504,"&lt;="&amp;A77)/MAX(1,COUNTIFS(PA_OECM_Register!$Z$5:$Z$1504,1,PA_OECM_Register!$E$5:$E$1504,"PA",PA_OECM_Register!$AH$5:$AH$1504,"&gt;0")))</f>
        <v/>
      </c>
      <c r="C77" s="38">
        <f>IF(A77="","",COUNTIFS(PA_OECM_Register!$Z$5:$Z$1504,1,PA_OECM_Register!$E$5:$E$1504,"OECM",PA_OECM_Register!$AH$5:$AH$1504,"&gt;0",PA_OECM_Register!$AH$5:$AH$1504,"&lt;="&amp;A77)/MAX(1,COUNTIFS(PA_OECM_Register!$Z$5:$Z$1504,1,PA_OECM_Register!$E$5:$E$1504,"OECM",PA_OECM_Register!$AH$5:$AH$1504,"&gt;0")))</f>
        <v/>
      </c>
      <c r="D77" s="25">
        <f>IF(A77="","",SUMIFS(PA_OECM_Register!$AF$5:$AF$1504,PA_OECM_Register!$Z$5:$Z$1504,1,PA_OECM_Register!$E$5:$E$1504,"PA",PA_OECM_Register!$AH$5:$AH$1504,"&gt;0",PA_OECM_Register!$AH$5:$AH$1504,"&lt;="&amp;A77)+SUMIFS(PA_OECM_Register!$AF$5:$AF$1504,PA_OECM_Register!$Z$5:$Z$1504,1,PA_OECM_Register!$E$5:$E$1504,"PA",PA_OECM_Register!$AH$5:$AH$1504,0)*B77)</f>
        <v/>
      </c>
      <c r="E77" s="25">
        <f>IF(A77="","",SUMIFS(PA_OECM_Register!$AF$5:$AF$1504,PA_OECM_Register!$Z$5:$Z$1504,1,PA_OECM_Register!$E$5:$E$1504,"OECM",PA_OECM_Register!$AH$5:$AH$1504,"&gt;0",PA_OECM_Register!$AH$5:$AH$1504,"&lt;="&amp;A77)+SUMIFS(PA_OECM_Register!$AF$5:$AF$1504,PA_OECM_Register!$Z$5:$Z$1504,1,PA_OECM_Register!$E$5:$E$1504,"OECM",PA_OECM_Register!$AH$5:$AH$1504,0)*C77)</f>
        <v/>
      </c>
      <c r="F77" s="26">
        <f>IF(A77="","",IF(N(Setup!$B$10)&gt;0,(D77+E77)/Setup!$B$10,""))</f>
        <v/>
      </c>
      <c r="G77" s="25">
        <f>IF(A77="","",SUMIFS(PA_OECM_Register!$AG$5:$AG$1504,PA_OECM_Register!$Z$5:$Z$1504,1,PA_OECM_Register!$E$5:$E$1504,"PA",PA_OECM_Register!$AH$5:$AH$1504,"&gt;0",PA_OECM_Register!$AH$5:$AH$1504,"&lt;="&amp;A77)+SUMIFS(PA_OECM_Register!$AG$5:$AG$1504,PA_OECM_Register!$Z$5:$Z$1504,1,PA_OECM_Register!$E$5:$E$1504,"PA",PA_OECM_Register!$AH$5:$AH$1504,0)*B77)</f>
        <v/>
      </c>
      <c r="H77" s="25">
        <f>IF(A77="","",SUMIFS(PA_OECM_Register!$AG$5:$AG$1504,PA_OECM_Register!$Z$5:$Z$1504,1,PA_OECM_Register!$E$5:$E$1504,"OECM",PA_OECM_Register!$AH$5:$AH$1504,"&gt;0",PA_OECM_Register!$AH$5:$AH$1504,"&lt;="&amp;A77)+SUMIFS(PA_OECM_Register!$AG$5:$AG$1504,PA_OECM_Register!$Z$5:$Z$1504,1,PA_OECM_Register!$E$5:$E$1504,"OECM",PA_OECM_Register!$AH$5:$AH$1504,0)*C77)</f>
        <v/>
      </c>
      <c r="I77" s="26">
        <f>IF(A77="","",IF(N(Setup!$B$11)&gt;0,(G77+H77)/Setup!$B$11,""))</f>
        <v/>
      </c>
      <c r="J77" s="26">
        <f>IF(A77="","",IF(N(Setup!$B$10)&gt;0,SUMIFS(PA_OECM_Register!$AF$5:$AF$1504,PA_OECM_Register!$Z$5:$Z$1504,1,PA_OECM_Register!$AH$5:$AH$1504,"&gt;0",PA_OECM_Register!$AH$5:$AH$1504,"&lt;="&amp;A77)/Setup!$B$10,""))</f>
        <v/>
      </c>
      <c r="K77" s="26">
        <f>IF(A77="","",IF(N(Setup!$B$11)&gt;0,SUMIFS(PA_OECM_Register!$AG$5:$AG$1504,PA_OECM_Register!$Z$5:$Z$1504,1,PA_OECM_Register!$AH$5:$AH$1504,"&gt;0",PA_OECM_Register!$AH$5:$AH$1504,"&lt;="&amp;A77)/Setup!$B$11,""))</f>
        <v/>
      </c>
    </row>
    <row r="78">
      <c r="A78" s="33">
        <f>IF(Setup!$B$27+73&gt;Setup!$B$6,"",Setup!$B$27+73)</f>
        <v/>
      </c>
      <c r="B78" s="38">
        <f>IF(A78="","",COUNTIFS(PA_OECM_Register!$Z$5:$Z$1504,1,PA_OECM_Register!$E$5:$E$1504,"PA",PA_OECM_Register!$AH$5:$AH$1504,"&gt;0",PA_OECM_Register!$AH$5:$AH$1504,"&lt;="&amp;A78)/MAX(1,COUNTIFS(PA_OECM_Register!$Z$5:$Z$1504,1,PA_OECM_Register!$E$5:$E$1504,"PA",PA_OECM_Register!$AH$5:$AH$1504,"&gt;0")))</f>
        <v/>
      </c>
      <c r="C78" s="38">
        <f>IF(A78="","",COUNTIFS(PA_OECM_Register!$Z$5:$Z$1504,1,PA_OECM_Register!$E$5:$E$1504,"OECM",PA_OECM_Register!$AH$5:$AH$1504,"&gt;0",PA_OECM_Register!$AH$5:$AH$1504,"&lt;="&amp;A78)/MAX(1,COUNTIFS(PA_OECM_Register!$Z$5:$Z$1504,1,PA_OECM_Register!$E$5:$E$1504,"OECM",PA_OECM_Register!$AH$5:$AH$1504,"&gt;0")))</f>
        <v/>
      </c>
      <c r="D78" s="25">
        <f>IF(A78="","",SUMIFS(PA_OECM_Register!$AF$5:$AF$1504,PA_OECM_Register!$Z$5:$Z$1504,1,PA_OECM_Register!$E$5:$E$1504,"PA",PA_OECM_Register!$AH$5:$AH$1504,"&gt;0",PA_OECM_Register!$AH$5:$AH$1504,"&lt;="&amp;A78)+SUMIFS(PA_OECM_Register!$AF$5:$AF$1504,PA_OECM_Register!$Z$5:$Z$1504,1,PA_OECM_Register!$E$5:$E$1504,"PA",PA_OECM_Register!$AH$5:$AH$1504,0)*B78)</f>
        <v/>
      </c>
      <c r="E78" s="25">
        <f>IF(A78="","",SUMIFS(PA_OECM_Register!$AF$5:$AF$1504,PA_OECM_Register!$Z$5:$Z$1504,1,PA_OECM_Register!$E$5:$E$1504,"OECM",PA_OECM_Register!$AH$5:$AH$1504,"&gt;0",PA_OECM_Register!$AH$5:$AH$1504,"&lt;="&amp;A78)+SUMIFS(PA_OECM_Register!$AF$5:$AF$1504,PA_OECM_Register!$Z$5:$Z$1504,1,PA_OECM_Register!$E$5:$E$1504,"OECM",PA_OECM_Register!$AH$5:$AH$1504,0)*C78)</f>
        <v/>
      </c>
      <c r="F78" s="26">
        <f>IF(A78="","",IF(N(Setup!$B$10)&gt;0,(D78+E78)/Setup!$B$10,""))</f>
        <v/>
      </c>
      <c r="G78" s="25">
        <f>IF(A78="","",SUMIFS(PA_OECM_Register!$AG$5:$AG$1504,PA_OECM_Register!$Z$5:$Z$1504,1,PA_OECM_Register!$E$5:$E$1504,"PA",PA_OECM_Register!$AH$5:$AH$1504,"&gt;0",PA_OECM_Register!$AH$5:$AH$1504,"&lt;="&amp;A78)+SUMIFS(PA_OECM_Register!$AG$5:$AG$1504,PA_OECM_Register!$Z$5:$Z$1504,1,PA_OECM_Register!$E$5:$E$1504,"PA",PA_OECM_Register!$AH$5:$AH$1504,0)*B78)</f>
        <v/>
      </c>
      <c r="H78" s="25">
        <f>IF(A78="","",SUMIFS(PA_OECM_Register!$AG$5:$AG$1504,PA_OECM_Register!$Z$5:$Z$1504,1,PA_OECM_Register!$E$5:$E$1504,"OECM",PA_OECM_Register!$AH$5:$AH$1504,"&gt;0",PA_OECM_Register!$AH$5:$AH$1504,"&lt;="&amp;A78)+SUMIFS(PA_OECM_Register!$AG$5:$AG$1504,PA_OECM_Register!$Z$5:$Z$1504,1,PA_OECM_Register!$E$5:$E$1504,"OECM",PA_OECM_Register!$AH$5:$AH$1504,0)*C78)</f>
        <v/>
      </c>
      <c r="I78" s="26">
        <f>IF(A78="","",IF(N(Setup!$B$11)&gt;0,(G78+H78)/Setup!$B$11,""))</f>
        <v/>
      </c>
      <c r="J78" s="26">
        <f>IF(A78="","",IF(N(Setup!$B$10)&gt;0,SUMIFS(PA_OECM_Register!$AF$5:$AF$1504,PA_OECM_Register!$Z$5:$Z$1504,1,PA_OECM_Register!$AH$5:$AH$1504,"&gt;0",PA_OECM_Register!$AH$5:$AH$1504,"&lt;="&amp;A78)/Setup!$B$10,""))</f>
        <v/>
      </c>
      <c r="K78" s="26">
        <f>IF(A78="","",IF(N(Setup!$B$11)&gt;0,SUMIFS(PA_OECM_Register!$AG$5:$AG$1504,PA_OECM_Register!$Z$5:$Z$1504,1,PA_OECM_Register!$AH$5:$AH$1504,"&gt;0",PA_OECM_Register!$AH$5:$AH$1504,"&lt;="&amp;A78)/Setup!$B$11,""))</f>
        <v/>
      </c>
    </row>
    <row r="79">
      <c r="A79" s="33">
        <f>IF(Setup!$B$27+74&gt;Setup!$B$6,"",Setup!$B$27+74)</f>
        <v/>
      </c>
      <c r="B79" s="38">
        <f>IF(A79="","",COUNTIFS(PA_OECM_Register!$Z$5:$Z$1504,1,PA_OECM_Register!$E$5:$E$1504,"PA",PA_OECM_Register!$AH$5:$AH$1504,"&gt;0",PA_OECM_Register!$AH$5:$AH$1504,"&lt;="&amp;A79)/MAX(1,COUNTIFS(PA_OECM_Register!$Z$5:$Z$1504,1,PA_OECM_Register!$E$5:$E$1504,"PA",PA_OECM_Register!$AH$5:$AH$1504,"&gt;0")))</f>
        <v/>
      </c>
      <c r="C79" s="38">
        <f>IF(A79="","",COUNTIFS(PA_OECM_Register!$Z$5:$Z$1504,1,PA_OECM_Register!$E$5:$E$1504,"OECM",PA_OECM_Register!$AH$5:$AH$1504,"&gt;0",PA_OECM_Register!$AH$5:$AH$1504,"&lt;="&amp;A79)/MAX(1,COUNTIFS(PA_OECM_Register!$Z$5:$Z$1504,1,PA_OECM_Register!$E$5:$E$1504,"OECM",PA_OECM_Register!$AH$5:$AH$1504,"&gt;0")))</f>
        <v/>
      </c>
      <c r="D79" s="25">
        <f>IF(A79="","",SUMIFS(PA_OECM_Register!$AF$5:$AF$1504,PA_OECM_Register!$Z$5:$Z$1504,1,PA_OECM_Register!$E$5:$E$1504,"PA",PA_OECM_Register!$AH$5:$AH$1504,"&gt;0",PA_OECM_Register!$AH$5:$AH$1504,"&lt;="&amp;A79)+SUMIFS(PA_OECM_Register!$AF$5:$AF$1504,PA_OECM_Register!$Z$5:$Z$1504,1,PA_OECM_Register!$E$5:$E$1504,"PA",PA_OECM_Register!$AH$5:$AH$1504,0)*B79)</f>
        <v/>
      </c>
      <c r="E79" s="25">
        <f>IF(A79="","",SUMIFS(PA_OECM_Register!$AF$5:$AF$1504,PA_OECM_Register!$Z$5:$Z$1504,1,PA_OECM_Register!$E$5:$E$1504,"OECM",PA_OECM_Register!$AH$5:$AH$1504,"&gt;0",PA_OECM_Register!$AH$5:$AH$1504,"&lt;="&amp;A79)+SUMIFS(PA_OECM_Register!$AF$5:$AF$1504,PA_OECM_Register!$Z$5:$Z$1504,1,PA_OECM_Register!$E$5:$E$1504,"OECM",PA_OECM_Register!$AH$5:$AH$1504,0)*C79)</f>
        <v/>
      </c>
      <c r="F79" s="26">
        <f>IF(A79="","",IF(N(Setup!$B$10)&gt;0,(D79+E79)/Setup!$B$10,""))</f>
        <v/>
      </c>
      <c r="G79" s="25">
        <f>IF(A79="","",SUMIFS(PA_OECM_Register!$AG$5:$AG$1504,PA_OECM_Register!$Z$5:$Z$1504,1,PA_OECM_Register!$E$5:$E$1504,"PA",PA_OECM_Register!$AH$5:$AH$1504,"&gt;0",PA_OECM_Register!$AH$5:$AH$1504,"&lt;="&amp;A79)+SUMIFS(PA_OECM_Register!$AG$5:$AG$1504,PA_OECM_Register!$Z$5:$Z$1504,1,PA_OECM_Register!$E$5:$E$1504,"PA",PA_OECM_Register!$AH$5:$AH$1504,0)*B79)</f>
        <v/>
      </c>
      <c r="H79" s="25">
        <f>IF(A79="","",SUMIFS(PA_OECM_Register!$AG$5:$AG$1504,PA_OECM_Register!$Z$5:$Z$1504,1,PA_OECM_Register!$E$5:$E$1504,"OECM",PA_OECM_Register!$AH$5:$AH$1504,"&gt;0",PA_OECM_Register!$AH$5:$AH$1504,"&lt;="&amp;A79)+SUMIFS(PA_OECM_Register!$AG$5:$AG$1504,PA_OECM_Register!$Z$5:$Z$1504,1,PA_OECM_Register!$E$5:$E$1504,"OECM",PA_OECM_Register!$AH$5:$AH$1504,0)*C79)</f>
        <v/>
      </c>
      <c r="I79" s="26">
        <f>IF(A79="","",IF(N(Setup!$B$11)&gt;0,(G79+H79)/Setup!$B$11,""))</f>
        <v/>
      </c>
      <c r="J79" s="26">
        <f>IF(A79="","",IF(N(Setup!$B$10)&gt;0,SUMIFS(PA_OECM_Register!$AF$5:$AF$1504,PA_OECM_Register!$Z$5:$Z$1504,1,PA_OECM_Register!$AH$5:$AH$1504,"&gt;0",PA_OECM_Register!$AH$5:$AH$1504,"&lt;="&amp;A79)/Setup!$B$10,""))</f>
        <v/>
      </c>
      <c r="K79" s="26">
        <f>IF(A79="","",IF(N(Setup!$B$11)&gt;0,SUMIFS(PA_OECM_Register!$AG$5:$AG$1504,PA_OECM_Register!$Z$5:$Z$1504,1,PA_OECM_Register!$AH$5:$AH$1504,"&gt;0",PA_OECM_Register!$AH$5:$AH$1504,"&lt;="&amp;A79)/Setup!$B$11,""))</f>
        <v/>
      </c>
    </row>
    <row r="80">
      <c r="A80" s="33">
        <f>IF(Setup!$B$27+75&gt;Setup!$B$6,"",Setup!$B$27+75)</f>
        <v/>
      </c>
      <c r="B80" s="38">
        <f>IF(A80="","",COUNTIFS(PA_OECM_Register!$Z$5:$Z$1504,1,PA_OECM_Register!$E$5:$E$1504,"PA",PA_OECM_Register!$AH$5:$AH$1504,"&gt;0",PA_OECM_Register!$AH$5:$AH$1504,"&lt;="&amp;A80)/MAX(1,COUNTIFS(PA_OECM_Register!$Z$5:$Z$1504,1,PA_OECM_Register!$E$5:$E$1504,"PA",PA_OECM_Register!$AH$5:$AH$1504,"&gt;0")))</f>
        <v/>
      </c>
      <c r="C80" s="38">
        <f>IF(A80="","",COUNTIFS(PA_OECM_Register!$Z$5:$Z$1504,1,PA_OECM_Register!$E$5:$E$1504,"OECM",PA_OECM_Register!$AH$5:$AH$1504,"&gt;0",PA_OECM_Register!$AH$5:$AH$1504,"&lt;="&amp;A80)/MAX(1,COUNTIFS(PA_OECM_Register!$Z$5:$Z$1504,1,PA_OECM_Register!$E$5:$E$1504,"OECM",PA_OECM_Register!$AH$5:$AH$1504,"&gt;0")))</f>
        <v/>
      </c>
      <c r="D80" s="25">
        <f>IF(A80="","",SUMIFS(PA_OECM_Register!$AF$5:$AF$1504,PA_OECM_Register!$Z$5:$Z$1504,1,PA_OECM_Register!$E$5:$E$1504,"PA",PA_OECM_Register!$AH$5:$AH$1504,"&gt;0",PA_OECM_Register!$AH$5:$AH$1504,"&lt;="&amp;A80)+SUMIFS(PA_OECM_Register!$AF$5:$AF$1504,PA_OECM_Register!$Z$5:$Z$1504,1,PA_OECM_Register!$E$5:$E$1504,"PA",PA_OECM_Register!$AH$5:$AH$1504,0)*B80)</f>
        <v/>
      </c>
      <c r="E80" s="25">
        <f>IF(A80="","",SUMIFS(PA_OECM_Register!$AF$5:$AF$1504,PA_OECM_Register!$Z$5:$Z$1504,1,PA_OECM_Register!$E$5:$E$1504,"OECM",PA_OECM_Register!$AH$5:$AH$1504,"&gt;0",PA_OECM_Register!$AH$5:$AH$1504,"&lt;="&amp;A80)+SUMIFS(PA_OECM_Register!$AF$5:$AF$1504,PA_OECM_Register!$Z$5:$Z$1504,1,PA_OECM_Register!$E$5:$E$1504,"OECM",PA_OECM_Register!$AH$5:$AH$1504,0)*C80)</f>
        <v/>
      </c>
      <c r="F80" s="26">
        <f>IF(A80="","",IF(N(Setup!$B$10)&gt;0,(D80+E80)/Setup!$B$10,""))</f>
        <v/>
      </c>
      <c r="G80" s="25">
        <f>IF(A80="","",SUMIFS(PA_OECM_Register!$AG$5:$AG$1504,PA_OECM_Register!$Z$5:$Z$1504,1,PA_OECM_Register!$E$5:$E$1504,"PA",PA_OECM_Register!$AH$5:$AH$1504,"&gt;0",PA_OECM_Register!$AH$5:$AH$1504,"&lt;="&amp;A80)+SUMIFS(PA_OECM_Register!$AG$5:$AG$1504,PA_OECM_Register!$Z$5:$Z$1504,1,PA_OECM_Register!$E$5:$E$1504,"PA",PA_OECM_Register!$AH$5:$AH$1504,0)*B80)</f>
        <v/>
      </c>
      <c r="H80" s="25">
        <f>IF(A80="","",SUMIFS(PA_OECM_Register!$AG$5:$AG$1504,PA_OECM_Register!$Z$5:$Z$1504,1,PA_OECM_Register!$E$5:$E$1504,"OECM",PA_OECM_Register!$AH$5:$AH$1504,"&gt;0",PA_OECM_Register!$AH$5:$AH$1504,"&lt;="&amp;A80)+SUMIFS(PA_OECM_Register!$AG$5:$AG$1504,PA_OECM_Register!$Z$5:$Z$1504,1,PA_OECM_Register!$E$5:$E$1504,"OECM",PA_OECM_Register!$AH$5:$AH$1504,0)*C80)</f>
        <v/>
      </c>
      <c r="I80" s="26">
        <f>IF(A80="","",IF(N(Setup!$B$11)&gt;0,(G80+H80)/Setup!$B$11,""))</f>
        <v/>
      </c>
      <c r="J80" s="26">
        <f>IF(A80="","",IF(N(Setup!$B$10)&gt;0,SUMIFS(PA_OECM_Register!$AF$5:$AF$1504,PA_OECM_Register!$Z$5:$Z$1504,1,PA_OECM_Register!$AH$5:$AH$1504,"&gt;0",PA_OECM_Register!$AH$5:$AH$1504,"&lt;="&amp;A80)/Setup!$B$10,""))</f>
        <v/>
      </c>
      <c r="K80" s="26">
        <f>IF(A80="","",IF(N(Setup!$B$11)&gt;0,SUMIFS(PA_OECM_Register!$AG$5:$AG$1504,PA_OECM_Register!$Z$5:$Z$1504,1,PA_OECM_Register!$AH$5:$AH$1504,"&gt;0",PA_OECM_Register!$AH$5:$AH$1504,"&lt;="&amp;A80)/Setup!$B$11,""))</f>
        <v/>
      </c>
    </row>
    <row r="81">
      <c r="A81" s="33">
        <f>IF(Setup!$B$27+76&gt;Setup!$B$6,"",Setup!$B$27+76)</f>
        <v/>
      </c>
      <c r="B81" s="38">
        <f>IF(A81="","",COUNTIFS(PA_OECM_Register!$Z$5:$Z$1504,1,PA_OECM_Register!$E$5:$E$1504,"PA",PA_OECM_Register!$AH$5:$AH$1504,"&gt;0",PA_OECM_Register!$AH$5:$AH$1504,"&lt;="&amp;A81)/MAX(1,COUNTIFS(PA_OECM_Register!$Z$5:$Z$1504,1,PA_OECM_Register!$E$5:$E$1504,"PA",PA_OECM_Register!$AH$5:$AH$1504,"&gt;0")))</f>
        <v/>
      </c>
      <c r="C81" s="38">
        <f>IF(A81="","",COUNTIFS(PA_OECM_Register!$Z$5:$Z$1504,1,PA_OECM_Register!$E$5:$E$1504,"OECM",PA_OECM_Register!$AH$5:$AH$1504,"&gt;0",PA_OECM_Register!$AH$5:$AH$1504,"&lt;="&amp;A81)/MAX(1,COUNTIFS(PA_OECM_Register!$Z$5:$Z$1504,1,PA_OECM_Register!$E$5:$E$1504,"OECM",PA_OECM_Register!$AH$5:$AH$1504,"&gt;0")))</f>
        <v/>
      </c>
      <c r="D81" s="25">
        <f>IF(A81="","",SUMIFS(PA_OECM_Register!$AF$5:$AF$1504,PA_OECM_Register!$Z$5:$Z$1504,1,PA_OECM_Register!$E$5:$E$1504,"PA",PA_OECM_Register!$AH$5:$AH$1504,"&gt;0",PA_OECM_Register!$AH$5:$AH$1504,"&lt;="&amp;A81)+SUMIFS(PA_OECM_Register!$AF$5:$AF$1504,PA_OECM_Register!$Z$5:$Z$1504,1,PA_OECM_Register!$E$5:$E$1504,"PA",PA_OECM_Register!$AH$5:$AH$1504,0)*B81)</f>
        <v/>
      </c>
      <c r="E81" s="25">
        <f>IF(A81="","",SUMIFS(PA_OECM_Register!$AF$5:$AF$1504,PA_OECM_Register!$Z$5:$Z$1504,1,PA_OECM_Register!$E$5:$E$1504,"OECM",PA_OECM_Register!$AH$5:$AH$1504,"&gt;0",PA_OECM_Register!$AH$5:$AH$1504,"&lt;="&amp;A81)+SUMIFS(PA_OECM_Register!$AF$5:$AF$1504,PA_OECM_Register!$Z$5:$Z$1504,1,PA_OECM_Register!$E$5:$E$1504,"OECM",PA_OECM_Register!$AH$5:$AH$1504,0)*C81)</f>
        <v/>
      </c>
      <c r="F81" s="26">
        <f>IF(A81="","",IF(N(Setup!$B$10)&gt;0,(D81+E81)/Setup!$B$10,""))</f>
        <v/>
      </c>
      <c r="G81" s="25">
        <f>IF(A81="","",SUMIFS(PA_OECM_Register!$AG$5:$AG$1504,PA_OECM_Register!$Z$5:$Z$1504,1,PA_OECM_Register!$E$5:$E$1504,"PA",PA_OECM_Register!$AH$5:$AH$1504,"&gt;0",PA_OECM_Register!$AH$5:$AH$1504,"&lt;="&amp;A81)+SUMIFS(PA_OECM_Register!$AG$5:$AG$1504,PA_OECM_Register!$Z$5:$Z$1504,1,PA_OECM_Register!$E$5:$E$1504,"PA",PA_OECM_Register!$AH$5:$AH$1504,0)*B81)</f>
        <v/>
      </c>
      <c r="H81" s="25">
        <f>IF(A81="","",SUMIFS(PA_OECM_Register!$AG$5:$AG$1504,PA_OECM_Register!$Z$5:$Z$1504,1,PA_OECM_Register!$E$5:$E$1504,"OECM",PA_OECM_Register!$AH$5:$AH$1504,"&gt;0",PA_OECM_Register!$AH$5:$AH$1504,"&lt;="&amp;A81)+SUMIFS(PA_OECM_Register!$AG$5:$AG$1504,PA_OECM_Register!$Z$5:$Z$1504,1,PA_OECM_Register!$E$5:$E$1504,"OECM",PA_OECM_Register!$AH$5:$AH$1504,0)*C81)</f>
        <v/>
      </c>
      <c r="I81" s="26">
        <f>IF(A81="","",IF(N(Setup!$B$11)&gt;0,(G81+H81)/Setup!$B$11,""))</f>
        <v/>
      </c>
      <c r="J81" s="26">
        <f>IF(A81="","",IF(N(Setup!$B$10)&gt;0,SUMIFS(PA_OECM_Register!$AF$5:$AF$1504,PA_OECM_Register!$Z$5:$Z$1504,1,PA_OECM_Register!$AH$5:$AH$1504,"&gt;0",PA_OECM_Register!$AH$5:$AH$1504,"&lt;="&amp;A81)/Setup!$B$10,""))</f>
        <v/>
      </c>
      <c r="K81" s="26">
        <f>IF(A81="","",IF(N(Setup!$B$11)&gt;0,SUMIFS(PA_OECM_Register!$AG$5:$AG$1504,PA_OECM_Register!$Z$5:$Z$1504,1,PA_OECM_Register!$AH$5:$AH$1504,"&gt;0",PA_OECM_Register!$AH$5:$AH$1504,"&lt;="&amp;A81)/Setup!$B$11,""))</f>
        <v/>
      </c>
    </row>
    <row r="82">
      <c r="A82" s="33">
        <f>IF(Setup!$B$27+77&gt;Setup!$B$6,"",Setup!$B$27+77)</f>
        <v/>
      </c>
      <c r="B82" s="38">
        <f>IF(A82="","",COUNTIFS(PA_OECM_Register!$Z$5:$Z$1504,1,PA_OECM_Register!$E$5:$E$1504,"PA",PA_OECM_Register!$AH$5:$AH$1504,"&gt;0",PA_OECM_Register!$AH$5:$AH$1504,"&lt;="&amp;A82)/MAX(1,COUNTIFS(PA_OECM_Register!$Z$5:$Z$1504,1,PA_OECM_Register!$E$5:$E$1504,"PA",PA_OECM_Register!$AH$5:$AH$1504,"&gt;0")))</f>
        <v/>
      </c>
      <c r="C82" s="38">
        <f>IF(A82="","",COUNTIFS(PA_OECM_Register!$Z$5:$Z$1504,1,PA_OECM_Register!$E$5:$E$1504,"OECM",PA_OECM_Register!$AH$5:$AH$1504,"&gt;0",PA_OECM_Register!$AH$5:$AH$1504,"&lt;="&amp;A82)/MAX(1,COUNTIFS(PA_OECM_Register!$Z$5:$Z$1504,1,PA_OECM_Register!$E$5:$E$1504,"OECM",PA_OECM_Register!$AH$5:$AH$1504,"&gt;0")))</f>
        <v/>
      </c>
      <c r="D82" s="25">
        <f>IF(A82="","",SUMIFS(PA_OECM_Register!$AF$5:$AF$1504,PA_OECM_Register!$Z$5:$Z$1504,1,PA_OECM_Register!$E$5:$E$1504,"PA",PA_OECM_Register!$AH$5:$AH$1504,"&gt;0",PA_OECM_Register!$AH$5:$AH$1504,"&lt;="&amp;A82)+SUMIFS(PA_OECM_Register!$AF$5:$AF$1504,PA_OECM_Register!$Z$5:$Z$1504,1,PA_OECM_Register!$E$5:$E$1504,"PA",PA_OECM_Register!$AH$5:$AH$1504,0)*B82)</f>
        <v/>
      </c>
      <c r="E82" s="25">
        <f>IF(A82="","",SUMIFS(PA_OECM_Register!$AF$5:$AF$1504,PA_OECM_Register!$Z$5:$Z$1504,1,PA_OECM_Register!$E$5:$E$1504,"OECM",PA_OECM_Register!$AH$5:$AH$1504,"&gt;0",PA_OECM_Register!$AH$5:$AH$1504,"&lt;="&amp;A82)+SUMIFS(PA_OECM_Register!$AF$5:$AF$1504,PA_OECM_Register!$Z$5:$Z$1504,1,PA_OECM_Register!$E$5:$E$1504,"OECM",PA_OECM_Register!$AH$5:$AH$1504,0)*C82)</f>
        <v/>
      </c>
      <c r="F82" s="26">
        <f>IF(A82="","",IF(N(Setup!$B$10)&gt;0,(D82+E82)/Setup!$B$10,""))</f>
        <v/>
      </c>
      <c r="G82" s="25">
        <f>IF(A82="","",SUMIFS(PA_OECM_Register!$AG$5:$AG$1504,PA_OECM_Register!$Z$5:$Z$1504,1,PA_OECM_Register!$E$5:$E$1504,"PA",PA_OECM_Register!$AH$5:$AH$1504,"&gt;0",PA_OECM_Register!$AH$5:$AH$1504,"&lt;="&amp;A82)+SUMIFS(PA_OECM_Register!$AG$5:$AG$1504,PA_OECM_Register!$Z$5:$Z$1504,1,PA_OECM_Register!$E$5:$E$1504,"PA",PA_OECM_Register!$AH$5:$AH$1504,0)*B82)</f>
        <v/>
      </c>
      <c r="H82" s="25">
        <f>IF(A82="","",SUMIFS(PA_OECM_Register!$AG$5:$AG$1504,PA_OECM_Register!$Z$5:$Z$1504,1,PA_OECM_Register!$E$5:$E$1504,"OECM",PA_OECM_Register!$AH$5:$AH$1504,"&gt;0",PA_OECM_Register!$AH$5:$AH$1504,"&lt;="&amp;A82)+SUMIFS(PA_OECM_Register!$AG$5:$AG$1504,PA_OECM_Register!$Z$5:$Z$1504,1,PA_OECM_Register!$E$5:$E$1504,"OECM",PA_OECM_Register!$AH$5:$AH$1504,0)*C82)</f>
        <v/>
      </c>
      <c r="I82" s="26">
        <f>IF(A82="","",IF(N(Setup!$B$11)&gt;0,(G82+H82)/Setup!$B$11,""))</f>
        <v/>
      </c>
      <c r="J82" s="26">
        <f>IF(A82="","",IF(N(Setup!$B$10)&gt;0,SUMIFS(PA_OECM_Register!$AF$5:$AF$1504,PA_OECM_Register!$Z$5:$Z$1504,1,PA_OECM_Register!$AH$5:$AH$1504,"&gt;0",PA_OECM_Register!$AH$5:$AH$1504,"&lt;="&amp;A82)/Setup!$B$10,""))</f>
        <v/>
      </c>
      <c r="K82" s="26">
        <f>IF(A82="","",IF(N(Setup!$B$11)&gt;0,SUMIFS(PA_OECM_Register!$AG$5:$AG$1504,PA_OECM_Register!$Z$5:$Z$1504,1,PA_OECM_Register!$AH$5:$AH$1504,"&gt;0",PA_OECM_Register!$AH$5:$AH$1504,"&lt;="&amp;A82)/Setup!$B$11,""))</f>
        <v/>
      </c>
    </row>
    <row r="83">
      <c r="A83" s="33">
        <f>IF(Setup!$B$27+78&gt;Setup!$B$6,"",Setup!$B$27+78)</f>
        <v/>
      </c>
      <c r="B83" s="38">
        <f>IF(A83="","",COUNTIFS(PA_OECM_Register!$Z$5:$Z$1504,1,PA_OECM_Register!$E$5:$E$1504,"PA",PA_OECM_Register!$AH$5:$AH$1504,"&gt;0",PA_OECM_Register!$AH$5:$AH$1504,"&lt;="&amp;A83)/MAX(1,COUNTIFS(PA_OECM_Register!$Z$5:$Z$1504,1,PA_OECM_Register!$E$5:$E$1504,"PA",PA_OECM_Register!$AH$5:$AH$1504,"&gt;0")))</f>
        <v/>
      </c>
      <c r="C83" s="38">
        <f>IF(A83="","",COUNTIFS(PA_OECM_Register!$Z$5:$Z$1504,1,PA_OECM_Register!$E$5:$E$1504,"OECM",PA_OECM_Register!$AH$5:$AH$1504,"&gt;0",PA_OECM_Register!$AH$5:$AH$1504,"&lt;="&amp;A83)/MAX(1,COUNTIFS(PA_OECM_Register!$Z$5:$Z$1504,1,PA_OECM_Register!$E$5:$E$1504,"OECM",PA_OECM_Register!$AH$5:$AH$1504,"&gt;0")))</f>
        <v/>
      </c>
      <c r="D83" s="25">
        <f>IF(A83="","",SUMIFS(PA_OECM_Register!$AF$5:$AF$1504,PA_OECM_Register!$Z$5:$Z$1504,1,PA_OECM_Register!$E$5:$E$1504,"PA",PA_OECM_Register!$AH$5:$AH$1504,"&gt;0",PA_OECM_Register!$AH$5:$AH$1504,"&lt;="&amp;A83)+SUMIFS(PA_OECM_Register!$AF$5:$AF$1504,PA_OECM_Register!$Z$5:$Z$1504,1,PA_OECM_Register!$E$5:$E$1504,"PA",PA_OECM_Register!$AH$5:$AH$1504,0)*B83)</f>
        <v/>
      </c>
      <c r="E83" s="25">
        <f>IF(A83="","",SUMIFS(PA_OECM_Register!$AF$5:$AF$1504,PA_OECM_Register!$Z$5:$Z$1504,1,PA_OECM_Register!$E$5:$E$1504,"OECM",PA_OECM_Register!$AH$5:$AH$1504,"&gt;0",PA_OECM_Register!$AH$5:$AH$1504,"&lt;="&amp;A83)+SUMIFS(PA_OECM_Register!$AF$5:$AF$1504,PA_OECM_Register!$Z$5:$Z$1504,1,PA_OECM_Register!$E$5:$E$1504,"OECM",PA_OECM_Register!$AH$5:$AH$1504,0)*C83)</f>
        <v/>
      </c>
      <c r="F83" s="26">
        <f>IF(A83="","",IF(N(Setup!$B$10)&gt;0,(D83+E83)/Setup!$B$10,""))</f>
        <v/>
      </c>
      <c r="G83" s="25">
        <f>IF(A83="","",SUMIFS(PA_OECM_Register!$AG$5:$AG$1504,PA_OECM_Register!$Z$5:$Z$1504,1,PA_OECM_Register!$E$5:$E$1504,"PA",PA_OECM_Register!$AH$5:$AH$1504,"&gt;0",PA_OECM_Register!$AH$5:$AH$1504,"&lt;="&amp;A83)+SUMIFS(PA_OECM_Register!$AG$5:$AG$1504,PA_OECM_Register!$Z$5:$Z$1504,1,PA_OECM_Register!$E$5:$E$1504,"PA",PA_OECM_Register!$AH$5:$AH$1504,0)*B83)</f>
        <v/>
      </c>
      <c r="H83" s="25">
        <f>IF(A83="","",SUMIFS(PA_OECM_Register!$AG$5:$AG$1504,PA_OECM_Register!$Z$5:$Z$1504,1,PA_OECM_Register!$E$5:$E$1504,"OECM",PA_OECM_Register!$AH$5:$AH$1504,"&gt;0",PA_OECM_Register!$AH$5:$AH$1504,"&lt;="&amp;A83)+SUMIFS(PA_OECM_Register!$AG$5:$AG$1504,PA_OECM_Register!$Z$5:$Z$1504,1,PA_OECM_Register!$E$5:$E$1504,"OECM",PA_OECM_Register!$AH$5:$AH$1504,0)*C83)</f>
        <v/>
      </c>
      <c r="I83" s="26">
        <f>IF(A83="","",IF(N(Setup!$B$11)&gt;0,(G83+H83)/Setup!$B$11,""))</f>
        <v/>
      </c>
      <c r="J83" s="26">
        <f>IF(A83="","",IF(N(Setup!$B$10)&gt;0,SUMIFS(PA_OECM_Register!$AF$5:$AF$1504,PA_OECM_Register!$Z$5:$Z$1504,1,PA_OECM_Register!$AH$5:$AH$1504,"&gt;0",PA_OECM_Register!$AH$5:$AH$1504,"&lt;="&amp;A83)/Setup!$B$10,""))</f>
        <v/>
      </c>
      <c r="K83" s="26">
        <f>IF(A83="","",IF(N(Setup!$B$11)&gt;0,SUMIFS(PA_OECM_Register!$AG$5:$AG$1504,PA_OECM_Register!$Z$5:$Z$1504,1,PA_OECM_Register!$AH$5:$AH$1504,"&gt;0",PA_OECM_Register!$AH$5:$AH$1504,"&lt;="&amp;A83)/Setup!$B$11,""))</f>
        <v/>
      </c>
    </row>
    <row r="84">
      <c r="A84" s="33">
        <f>IF(Setup!$B$27+79&gt;Setup!$B$6,"",Setup!$B$27+79)</f>
        <v/>
      </c>
      <c r="B84" s="38">
        <f>IF(A84="","",COUNTIFS(PA_OECM_Register!$Z$5:$Z$1504,1,PA_OECM_Register!$E$5:$E$1504,"PA",PA_OECM_Register!$AH$5:$AH$1504,"&gt;0",PA_OECM_Register!$AH$5:$AH$1504,"&lt;="&amp;A84)/MAX(1,COUNTIFS(PA_OECM_Register!$Z$5:$Z$1504,1,PA_OECM_Register!$E$5:$E$1504,"PA",PA_OECM_Register!$AH$5:$AH$1504,"&gt;0")))</f>
        <v/>
      </c>
      <c r="C84" s="38">
        <f>IF(A84="","",COUNTIFS(PA_OECM_Register!$Z$5:$Z$1504,1,PA_OECM_Register!$E$5:$E$1504,"OECM",PA_OECM_Register!$AH$5:$AH$1504,"&gt;0",PA_OECM_Register!$AH$5:$AH$1504,"&lt;="&amp;A84)/MAX(1,COUNTIFS(PA_OECM_Register!$Z$5:$Z$1504,1,PA_OECM_Register!$E$5:$E$1504,"OECM",PA_OECM_Register!$AH$5:$AH$1504,"&gt;0")))</f>
        <v/>
      </c>
      <c r="D84" s="25">
        <f>IF(A84="","",SUMIFS(PA_OECM_Register!$AF$5:$AF$1504,PA_OECM_Register!$Z$5:$Z$1504,1,PA_OECM_Register!$E$5:$E$1504,"PA",PA_OECM_Register!$AH$5:$AH$1504,"&gt;0",PA_OECM_Register!$AH$5:$AH$1504,"&lt;="&amp;A84)+SUMIFS(PA_OECM_Register!$AF$5:$AF$1504,PA_OECM_Register!$Z$5:$Z$1504,1,PA_OECM_Register!$E$5:$E$1504,"PA",PA_OECM_Register!$AH$5:$AH$1504,0)*B84)</f>
        <v/>
      </c>
      <c r="E84" s="25">
        <f>IF(A84="","",SUMIFS(PA_OECM_Register!$AF$5:$AF$1504,PA_OECM_Register!$Z$5:$Z$1504,1,PA_OECM_Register!$E$5:$E$1504,"OECM",PA_OECM_Register!$AH$5:$AH$1504,"&gt;0",PA_OECM_Register!$AH$5:$AH$1504,"&lt;="&amp;A84)+SUMIFS(PA_OECM_Register!$AF$5:$AF$1504,PA_OECM_Register!$Z$5:$Z$1504,1,PA_OECM_Register!$E$5:$E$1504,"OECM",PA_OECM_Register!$AH$5:$AH$1504,0)*C84)</f>
        <v/>
      </c>
      <c r="F84" s="26">
        <f>IF(A84="","",IF(N(Setup!$B$10)&gt;0,(D84+E84)/Setup!$B$10,""))</f>
        <v/>
      </c>
      <c r="G84" s="25">
        <f>IF(A84="","",SUMIFS(PA_OECM_Register!$AG$5:$AG$1504,PA_OECM_Register!$Z$5:$Z$1504,1,PA_OECM_Register!$E$5:$E$1504,"PA",PA_OECM_Register!$AH$5:$AH$1504,"&gt;0",PA_OECM_Register!$AH$5:$AH$1504,"&lt;="&amp;A84)+SUMIFS(PA_OECM_Register!$AG$5:$AG$1504,PA_OECM_Register!$Z$5:$Z$1504,1,PA_OECM_Register!$E$5:$E$1504,"PA",PA_OECM_Register!$AH$5:$AH$1504,0)*B84)</f>
        <v/>
      </c>
      <c r="H84" s="25">
        <f>IF(A84="","",SUMIFS(PA_OECM_Register!$AG$5:$AG$1504,PA_OECM_Register!$Z$5:$Z$1504,1,PA_OECM_Register!$E$5:$E$1504,"OECM",PA_OECM_Register!$AH$5:$AH$1504,"&gt;0",PA_OECM_Register!$AH$5:$AH$1504,"&lt;="&amp;A84)+SUMIFS(PA_OECM_Register!$AG$5:$AG$1504,PA_OECM_Register!$Z$5:$Z$1504,1,PA_OECM_Register!$E$5:$E$1504,"OECM",PA_OECM_Register!$AH$5:$AH$1504,0)*C84)</f>
        <v/>
      </c>
      <c r="I84" s="26">
        <f>IF(A84="","",IF(N(Setup!$B$11)&gt;0,(G84+H84)/Setup!$B$11,""))</f>
        <v/>
      </c>
      <c r="J84" s="26">
        <f>IF(A84="","",IF(N(Setup!$B$10)&gt;0,SUMIFS(PA_OECM_Register!$AF$5:$AF$1504,PA_OECM_Register!$Z$5:$Z$1504,1,PA_OECM_Register!$AH$5:$AH$1504,"&gt;0",PA_OECM_Register!$AH$5:$AH$1504,"&lt;="&amp;A84)/Setup!$B$10,""))</f>
        <v/>
      </c>
      <c r="K84" s="26">
        <f>IF(A84="","",IF(N(Setup!$B$11)&gt;0,SUMIFS(PA_OECM_Register!$AG$5:$AG$1504,PA_OECM_Register!$Z$5:$Z$1504,1,PA_OECM_Register!$AH$5:$AH$1504,"&gt;0",PA_OECM_Register!$AH$5:$AH$1504,"&lt;="&amp;A84)/Setup!$B$11,""))</f>
        <v/>
      </c>
    </row>
    <row r="85">
      <c r="A85" s="33">
        <f>IF(Setup!$B$27+80&gt;Setup!$B$6,"",Setup!$B$27+80)</f>
        <v/>
      </c>
      <c r="B85" s="38">
        <f>IF(A85="","",COUNTIFS(PA_OECM_Register!$Z$5:$Z$1504,1,PA_OECM_Register!$E$5:$E$1504,"PA",PA_OECM_Register!$AH$5:$AH$1504,"&gt;0",PA_OECM_Register!$AH$5:$AH$1504,"&lt;="&amp;A85)/MAX(1,COUNTIFS(PA_OECM_Register!$Z$5:$Z$1504,1,PA_OECM_Register!$E$5:$E$1504,"PA",PA_OECM_Register!$AH$5:$AH$1504,"&gt;0")))</f>
        <v/>
      </c>
      <c r="C85" s="38">
        <f>IF(A85="","",COUNTIFS(PA_OECM_Register!$Z$5:$Z$1504,1,PA_OECM_Register!$E$5:$E$1504,"OECM",PA_OECM_Register!$AH$5:$AH$1504,"&gt;0",PA_OECM_Register!$AH$5:$AH$1504,"&lt;="&amp;A85)/MAX(1,COUNTIFS(PA_OECM_Register!$Z$5:$Z$1504,1,PA_OECM_Register!$E$5:$E$1504,"OECM",PA_OECM_Register!$AH$5:$AH$1504,"&gt;0")))</f>
        <v/>
      </c>
      <c r="D85" s="25">
        <f>IF(A85="","",SUMIFS(PA_OECM_Register!$AF$5:$AF$1504,PA_OECM_Register!$Z$5:$Z$1504,1,PA_OECM_Register!$E$5:$E$1504,"PA",PA_OECM_Register!$AH$5:$AH$1504,"&gt;0",PA_OECM_Register!$AH$5:$AH$1504,"&lt;="&amp;A85)+SUMIFS(PA_OECM_Register!$AF$5:$AF$1504,PA_OECM_Register!$Z$5:$Z$1504,1,PA_OECM_Register!$E$5:$E$1504,"PA",PA_OECM_Register!$AH$5:$AH$1504,0)*B85)</f>
        <v/>
      </c>
      <c r="E85" s="25">
        <f>IF(A85="","",SUMIFS(PA_OECM_Register!$AF$5:$AF$1504,PA_OECM_Register!$Z$5:$Z$1504,1,PA_OECM_Register!$E$5:$E$1504,"OECM",PA_OECM_Register!$AH$5:$AH$1504,"&gt;0",PA_OECM_Register!$AH$5:$AH$1504,"&lt;="&amp;A85)+SUMIFS(PA_OECM_Register!$AF$5:$AF$1504,PA_OECM_Register!$Z$5:$Z$1504,1,PA_OECM_Register!$E$5:$E$1504,"OECM",PA_OECM_Register!$AH$5:$AH$1504,0)*C85)</f>
        <v/>
      </c>
      <c r="F85" s="26">
        <f>IF(A85="","",IF(N(Setup!$B$10)&gt;0,(D85+E85)/Setup!$B$10,""))</f>
        <v/>
      </c>
      <c r="G85" s="25">
        <f>IF(A85="","",SUMIFS(PA_OECM_Register!$AG$5:$AG$1504,PA_OECM_Register!$Z$5:$Z$1504,1,PA_OECM_Register!$E$5:$E$1504,"PA",PA_OECM_Register!$AH$5:$AH$1504,"&gt;0",PA_OECM_Register!$AH$5:$AH$1504,"&lt;="&amp;A85)+SUMIFS(PA_OECM_Register!$AG$5:$AG$1504,PA_OECM_Register!$Z$5:$Z$1504,1,PA_OECM_Register!$E$5:$E$1504,"PA",PA_OECM_Register!$AH$5:$AH$1504,0)*B85)</f>
        <v/>
      </c>
      <c r="H85" s="25">
        <f>IF(A85="","",SUMIFS(PA_OECM_Register!$AG$5:$AG$1504,PA_OECM_Register!$Z$5:$Z$1504,1,PA_OECM_Register!$E$5:$E$1504,"OECM",PA_OECM_Register!$AH$5:$AH$1504,"&gt;0",PA_OECM_Register!$AH$5:$AH$1504,"&lt;="&amp;A85)+SUMIFS(PA_OECM_Register!$AG$5:$AG$1504,PA_OECM_Register!$Z$5:$Z$1504,1,PA_OECM_Register!$E$5:$E$1504,"OECM",PA_OECM_Register!$AH$5:$AH$1504,0)*C85)</f>
        <v/>
      </c>
      <c r="I85" s="26">
        <f>IF(A85="","",IF(N(Setup!$B$11)&gt;0,(G85+H85)/Setup!$B$11,""))</f>
        <v/>
      </c>
      <c r="J85" s="26">
        <f>IF(A85="","",IF(N(Setup!$B$10)&gt;0,SUMIFS(PA_OECM_Register!$AF$5:$AF$1504,PA_OECM_Register!$Z$5:$Z$1504,1,PA_OECM_Register!$AH$5:$AH$1504,"&gt;0",PA_OECM_Register!$AH$5:$AH$1504,"&lt;="&amp;A85)/Setup!$B$10,""))</f>
        <v/>
      </c>
      <c r="K85" s="26">
        <f>IF(A85="","",IF(N(Setup!$B$11)&gt;0,SUMIFS(PA_OECM_Register!$AG$5:$AG$1504,PA_OECM_Register!$Z$5:$Z$1504,1,PA_OECM_Register!$AH$5:$AH$1504,"&gt;0",PA_OECM_Register!$AH$5:$AH$1504,"&lt;="&amp;A85)/Setup!$B$11,""))</f>
        <v/>
      </c>
    </row>
    <row r="86">
      <c r="A86" s="33">
        <f>IF(Setup!$B$27+81&gt;Setup!$B$6,"",Setup!$B$27+81)</f>
        <v/>
      </c>
      <c r="B86" s="38">
        <f>IF(A86="","",COUNTIFS(PA_OECM_Register!$Z$5:$Z$1504,1,PA_OECM_Register!$E$5:$E$1504,"PA",PA_OECM_Register!$AH$5:$AH$1504,"&gt;0",PA_OECM_Register!$AH$5:$AH$1504,"&lt;="&amp;A86)/MAX(1,COUNTIFS(PA_OECM_Register!$Z$5:$Z$1504,1,PA_OECM_Register!$E$5:$E$1504,"PA",PA_OECM_Register!$AH$5:$AH$1504,"&gt;0")))</f>
        <v/>
      </c>
      <c r="C86" s="38">
        <f>IF(A86="","",COUNTIFS(PA_OECM_Register!$Z$5:$Z$1504,1,PA_OECM_Register!$E$5:$E$1504,"OECM",PA_OECM_Register!$AH$5:$AH$1504,"&gt;0",PA_OECM_Register!$AH$5:$AH$1504,"&lt;="&amp;A86)/MAX(1,COUNTIFS(PA_OECM_Register!$Z$5:$Z$1504,1,PA_OECM_Register!$E$5:$E$1504,"OECM",PA_OECM_Register!$AH$5:$AH$1504,"&gt;0")))</f>
        <v/>
      </c>
      <c r="D86" s="25">
        <f>IF(A86="","",SUMIFS(PA_OECM_Register!$AF$5:$AF$1504,PA_OECM_Register!$Z$5:$Z$1504,1,PA_OECM_Register!$E$5:$E$1504,"PA",PA_OECM_Register!$AH$5:$AH$1504,"&gt;0",PA_OECM_Register!$AH$5:$AH$1504,"&lt;="&amp;A86)+SUMIFS(PA_OECM_Register!$AF$5:$AF$1504,PA_OECM_Register!$Z$5:$Z$1504,1,PA_OECM_Register!$E$5:$E$1504,"PA",PA_OECM_Register!$AH$5:$AH$1504,0)*B86)</f>
        <v/>
      </c>
      <c r="E86" s="25">
        <f>IF(A86="","",SUMIFS(PA_OECM_Register!$AF$5:$AF$1504,PA_OECM_Register!$Z$5:$Z$1504,1,PA_OECM_Register!$E$5:$E$1504,"OECM",PA_OECM_Register!$AH$5:$AH$1504,"&gt;0",PA_OECM_Register!$AH$5:$AH$1504,"&lt;="&amp;A86)+SUMIFS(PA_OECM_Register!$AF$5:$AF$1504,PA_OECM_Register!$Z$5:$Z$1504,1,PA_OECM_Register!$E$5:$E$1504,"OECM",PA_OECM_Register!$AH$5:$AH$1504,0)*C86)</f>
        <v/>
      </c>
      <c r="F86" s="26">
        <f>IF(A86="","",IF(N(Setup!$B$10)&gt;0,(D86+E86)/Setup!$B$10,""))</f>
        <v/>
      </c>
      <c r="G86" s="25">
        <f>IF(A86="","",SUMIFS(PA_OECM_Register!$AG$5:$AG$1504,PA_OECM_Register!$Z$5:$Z$1504,1,PA_OECM_Register!$E$5:$E$1504,"PA",PA_OECM_Register!$AH$5:$AH$1504,"&gt;0",PA_OECM_Register!$AH$5:$AH$1504,"&lt;="&amp;A86)+SUMIFS(PA_OECM_Register!$AG$5:$AG$1504,PA_OECM_Register!$Z$5:$Z$1504,1,PA_OECM_Register!$E$5:$E$1504,"PA",PA_OECM_Register!$AH$5:$AH$1504,0)*B86)</f>
        <v/>
      </c>
      <c r="H86" s="25">
        <f>IF(A86="","",SUMIFS(PA_OECM_Register!$AG$5:$AG$1504,PA_OECM_Register!$Z$5:$Z$1504,1,PA_OECM_Register!$E$5:$E$1504,"OECM",PA_OECM_Register!$AH$5:$AH$1504,"&gt;0",PA_OECM_Register!$AH$5:$AH$1504,"&lt;="&amp;A86)+SUMIFS(PA_OECM_Register!$AG$5:$AG$1504,PA_OECM_Register!$Z$5:$Z$1504,1,PA_OECM_Register!$E$5:$E$1504,"OECM",PA_OECM_Register!$AH$5:$AH$1504,0)*C86)</f>
        <v/>
      </c>
      <c r="I86" s="26">
        <f>IF(A86="","",IF(N(Setup!$B$11)&gt;0,(G86+H86)/Setup!$B$11,""))</f>
        <v/>
      </c>
      <c r="J86" s="26">
        <f>IF(A86="","",IF(N(Setup!$B$10)&gt;0,SUMIFS(PA_OECM_Register!$AF$5:$AF$1504,PA_OECM_Register!$Z$5:$Z$1504,1,PA_OECM_Register!$AH$5:$AH$1504,"&gt;0",PA_OECM_Register!$AH$5:$AH$1504,"&lt;="&amp;A86)/Setup!$B$10,""))</f>
        <v/>
      </c>
      <c r="K86" s="26">
        <f>IF(A86="","",IF(N(Setup!$B$11)&gt;0,SUMIFS(PA_OECM_Register!$AG$5:$AG$1504,PA_OECM_Register!$Z$5:$Z$1504,1,PA_OECM_Register!$AH$5:$AH$1504,"&gt;0",PA_OECM_Register!$AH$5:$AH$1504,"&lt;="&amp;A86)/Setup!$B$11,""))</f>
        <v/>
      </c>
    </row>
    <row r="87">
      <c r="A87" s="33">
        <f>IF(Setup!$B$27+82&gt;Setup!$B$6,"",Setup!$B$27+82)</f>
        <v/>
      </c>
      <c r="B87" s="38">
        <f>IF(A87="","",COUNTIFS(PA_OECM_Register!$Z$5:$Z$1504,1,PA_OECM_Register!$E$5:$E$1504,"PA",PA_OECM_Register!$AH$5:$AH$1504,"&gt;0",PA_OECM_Register!$AH$5:$AH$1504,"&lt;="&amp;A87)/MAX(1,COUNTIFS(PA_OECM_Register!$Z$5:$Z$1504,1,PA_OECM_Register!$E$5:$E$1504,"PA",PA_OECM_Register!$AH$5:$AH$1504,"&gt;0")))</f>
        <v/>
      </c>
      <c r="C87" s="38">
        <f>IF(A87="","",COUNTIFS(PA_OECM_Register!$Z$5:$Z$1504,1,PA_OECM_Register!$E$5:$E$1504,"OECM",PA_OECM_Register!$AH$5:$AH$1504,"&gt;0",PA_OECM_Register!$AH$5:$AH$1504,"&lt;="&amp;A87)/MAX(1,COUNTIFS(PA_OECM_Register!$Z$5:$Z$1504,1,PA_OECM_Register!$E$5:$E$1504,"OECM",PA_OECM_Register!$AH$5:$AH$1504,"&gt;0")))</f>
        <v/>
      </c>
      <c r="D87" s="25">
        <f>IF(A87="","",SUMIFS(PA_OECM_Register!$AF$5:$AF$1504,PA_OECM_Register!$Z$5:$Z$1504,1,PA_OECM_Register!$E$5:$E$1504,"PA",PA_OECM_Register!$AH$5:$AH$1504,"&gt;0",PA_OECM_Register!$AH$5:$AH$1504,"&lt;="&amp;A87)+SUMIFS(PA_OECM_Register!$AF$5:$AF$1504,PA_OECM_Register!$Z$5:$Z$1504,1,PA_OECM_Register!$E$5:$E$1504,"PA",PA_OECM_Register!$AH$5:$AH$1504,0)*B87)</f>
        <v/>
      </c>
      <c r="E87" s="25">
        <f>IF(A87="","",SUMIFS(PA_OECM_Register!$AF$5:$AF$1504,PA_OECM_Register!$Z$5:$Z$1504,1,PA_OECM_Register!$E$5:$E$1504,"OECM",PA_OECM_Register!$AH$5:$AH$1504,"&gt;0",PA_OECM_Register!$AH$5:$AH$1504,"&lt;="&amp;A87)+SUMIFS(PA_OECM_Register!$AF$5:$AF$1504,PA_OECM_Register!$Z$5:$Z$1504,1,PA_OECM_Register!$E$5:$E$1504,"OECM",PA_OECM_Register!$AH$5:$AH$1504,0)*C87)</f>
        <v/>
      </c>
      <c r="F87" s="26">
        <f>IF(A87="","",IF(N(Setup!$B$10)&gt;0,(D87+E87)/Setup!$B$10,""))</f>
        <v/>
      </c>
      <c r="G87" s="25">
        <f>IF(A87="","",SUMIFS(PA_OECM_Register!$AG$5:$AG$1504,PA_OECM_Register!$Z$5:$Z$1504,1,PA_OECM_Register!$E$5:$E$1504,"PA",PA_OECM_Register!$AH$5:$AH$1504,"&gt;0",PA_OECM_Register!$AH$5:$AH$1504,"&lt;="&amp;A87)+SUMIFS(PA_OECM_Register!$AG$5:$AG$1504,PA_OECM_Register!$Z$5:$Z$1504,1,PA_OECM_Register!$E$5:$E$1504,"PA",PA_OECM_Register!$AH$5:$AH$1504,0)*B87)</f>
        <v/>
      </c>
      <c r="H87" s="25">
        <f>IF(A87="","",SUMIFS(PA_OECM_Register!$AG$5:$AG$1504,PA_OECM_Register!$Z$5:$Z$1504,1,PA_OECM_Register!$E$5:$E$1504,"OECM",PA_OECM_Register!$AH$5:$AH$1504,"&gt;0",PA_OECM_Register!$AH$5:$AH$1504,"&lt;="&amp;A87)+SUMIFS(PA_OECM_Register!$AG$5:$AG$1504,PA_OECM_Register!$Z$5:$Z$1504,1,PA_OECM_Register!$E$5:$E$1504,"OECM",PA_OECM_Register!$AH$5:$AH$1504,0)*C87)</f>
        <v/>
      </c>
      <c r="I87" s="26">
        <f>IF(A87="","",IF(N(Setup!$B$11)&gt;0,(G87+H87)/Setup!$B$11,""))</f>
        <v/>
      </c>
      <c r="J87" s="26">
        <f>IF(A87="","",IF(N(Setup!$B$10)&gt;0,SUMIFS(PA_OECM_Register!$AF$5:$AF$1504,PA_OECM_Register!$Z$5:$Z$1504,1,PA_OECM_Register!$AH$5:$AH$1504,"&gt;0",PA_OECM_Register!$AH$5:$AH$1504,"&lt;="&amp;A87)/Setup!$B$10,""))</f>
        <v/>
      </c>
      <c r="K87" s="26">
        <f>IF(A87="","",IF(N(Setup!$B$11)&gt;0,SUMIFS(PA_OECM_Register!$AG$5:$AG$1504,PA_OECM_Register!$Z$5:$Z$1504,1,PA_OECM_Register!$AH$5:$AH$1504,"&gt;0",PA_OECM_Register!$AH$5:$AH$1504,"&lt;="&amp;A87)/Setup!$B$11,""))</f>
        <v/>
      </c>
    </row>
    <row r="88">
      <c r="A88" s="33">
        <f>IF(Setup!$B$27+83&gt;Setup!$B$6,"",Setup!$B$27+83)</f>
        <v/>
      </c>
      <c r="B88" s="38">
        <f>IF(A88="","",COUNTIFS(PA_OECM_Register!$Z$5:$Z$1504,1,PA_OECM_Register!$E$5:$E$1504,"PA",PA_OECM_Register!$AH$5:$AH$1504,"&gt;0",PA_OECM_Register!$AH$5:$AH$1504,"&lt;="&amp;A88)/MAX(1,COUNTIFS(PA_OECM_Register!$Z$5:$Z$1504,1,PA_OECM_Register!$E$5:$E$1504,"PA",PA_OECM_Register!$AH$5:$AH$1504,"&gt;0")))</f>
        <v/>
      </c>
      <c r="C88" s="38">
        <f>IF(A88="","",COUNTIFS(PA_OECM_Register!$Z$5:$Z$1504,1,PA_OECM_Register!$E$5:$E$1504,"OECM",PA_OECM_Register!$AH$5:$AH$1504,"&gt;0",PA_OECM_Register!$AH$5:$AH$1504,"&lt;="&amp;A88)/MAX(1,COUNTIFS(PA_OECM_Register!$Z$5:$Z$1504,1,PA_OECM_Register!$E$5:$E$1504,"OECM",PA_OECM_Register!$AH$5:$AH$1504,"&gt;0")))</f>
        <v/>
      </c>
      <c r="D88" s="25">
        <f>IF(A88="","",SUMIFS(PA_OECM_Register!$AF$5:$AF$1504,PA_OECM_Register!$Z$5:$Z$1504,1,PA_OECM_Register!$E$5:$E$1504,"PA",PA_OECM_Register!$AH$5:$AH$1504,"&gt;0",PA_OECM_Register!$AH$5:$AH$1504,"&lt;="&amp;A88)+SUMIFS(PA_OECM_Register!$AF$5:$AF$1504,PA_OECM_Register!$Z$5:$Z$1504,1,PA_OECM_Register!$E$5:$E$1504,"PA",PA_OECM_Register!$AH$5:$AH$1504,0)*B88)</f>
        <v/>
      </c>
      <c r="E88" s="25">
        <f>IF(A88="","",SUMIFS(PA_OECM_Register!$AF$5:$AF$1504,PA_OECM_Register!$Z$5:$Z$1504,1,PA_OECM_Register!$E$5:$E$1504,"OECM",PA_OECM_Register!$AH$5:$AH$1504,"&gt;0",PA_OECM_Register!$AH$5:$AH$1504,"&lt;="&amp;A88)+SUMIFS(PA_OECM_Register!$AF$5:$AF$1504,PA_OECM_Register!$Z$5:$Z$1504,1,PA_OECM_Register!$E$5:$E$1504,"OECM",PA_OECM_Register!$AH$5:$AH$1504,0)*C88)</f>
        <v/>
      </c>
      <c r="F88" s="26">
        <f>IF(A88="","",IF(N(Setup!$B$10)&gt;0,(D88+E88)/Setup!$B$10,""))</f>
        <v/>
      </c>
      <c r="G88" s="25">
        <f>IF(A88="","",SUMIFS(PA_OECM_Register!$AG$5:$AG$1504,PA_OECM_Register!$Z$5:$Z$1504,1,PA_OECM_Register!$E$5:$E$1504,"PA",PA_OECM_Register!$AH$5:$AH$1504,"&gt;0",PA_OECM_Register!$AH$5:$AH$1504,"&lt;="&amp;A88)+SUMIFS(PA_OECM_Register!$AG$5:$AG$1504,PA_OECM_Register!$Z$5:$Z$1504,1,PA_OECM_Register!$E$5:$E$1504,"PA",PA_OECM_Register!$AH$5:$AH$1504,0)*B88)</f>
        <v/>
      </c>
      <c r="H88" s="25">
        <f>IF(A88="","",SUMIFS(PA_OECM_Register!$AG$5:$AG$1504,PA_OECM_Register!$Z$5:$Z$1504,1,PA_OECM_Register!$E$5:$E$1504,"OECM",PA_OECM_Register!$AH$5:$AH$1504,"&gt;0",PA_OECM_Register!$AH$5:$AH$1504,"&lt;="&amp;A88)+SUMIFS(PA_OECM_Register!$AG$5:$AG$1504,PA_OECM_Register!$Z$5:$Z$1504,1,PA_OECM_Register!$E$5:$E$1504,"OECM",PA_OECM_Register!$AH$5:$AH$1504,0)*C88)</f>
        <v/>
      </c>
      <c r="I88" s="26">
        <f>IF(A88="","",IF(N(Setup!$B$11)&gt;0,(G88+H88)/Setup!$B$11,""))</f>
        <v/>
      </c>
      <c r="J88" s="26">
        <f>IF(A88="","",IF(N(Setup!$B$10)&gt;0,SUMIFS(PA_OECM_Register!$AF$5:$AF$1504,PA_OECM_Register!$Z$5:$Z$1504,1,PA_OECM_Register!$AH$5:$AH$1504,"&gt;0",PA_OECM_Register!$AH$5:$AH$1504,"&lt;="&amp;A88)/Setup!$B$10,""))</f>
        <v/>
      </c>
      <c r="K88" s="26">
        <f>IF(A88="","",IF(N(Setup!$B$11)&gt;0,SUMIFS(PA_OECM_Register!$AG$5:$AG$1504,PA_OECM_Register!$Z$5:$Z$1504,1,PA_OECM_Register!$AH$5:$AH$1504,"&gt;0",PA_OECM_Register!$AH$5:$AH$1504,"&lt;="&amp;A88)/Setup!$B$11,""))</f>
        <v/>
      </c>
    </row>
    <row r="89">
      <c r="A89" s="33">
        <f>IF(Setup!$B$27+84&gt;Setup!$B$6,"",Setup!$B$27+84)</f>
        <v/>
      </c>
      <c r="B89" s="38">
        <f>IF(A89="","",COUNTIFS(PA_OECM_Register!$Z$5:$Z$1504,1,PA_OECM_Register!$E$5:$E$1504,"PA",PA_OECM_Register!$AH$5:$AH$1504,"&gt;0",PA_OECM_Register!$AH$5:$AH$1504,"&lt;="&amp;A89)/MAX(1,COUNTIFS(PA_OECM_Register!$Z$5:$Z$1504,1,PA_OECM_Register!$E$5:$E$1504,"PA",PA_OECM_Register!$AH$5:$AH$1504,"&gt;0")))</f>
        <v/>
      </c>
      <c r="C89" s="38">
        <f>IF(A89="","",COUNTIFS(PA_OECM_Register!$Z$5:$Z$1504,1,PA_OECM_Register!$E$5:$E$1504,"OECM",PA_OECM_Register!$AH$5:$AH$1504,"&gt;0",PA_OECM_Register!$AH$5:$AH$1504,"&lt;="&amp;A89)/MAX(1,COUNTIFS(PA_OECM_Register!$Z$5:$Z$1504,1,PA_OECM_Register!$E$5:$E$1504,"OECM",PA_OECM_Register!$AH$5:$AH$1504,"&gt;0")))</f>
        <v/>
      </c>
      <c r="D89" s="25">
        <f>IF(A89="","",SUMIFS(PA_OECM_Register!$AF$5:$AF$1504,PA_OECM_Register!$Z$5:$Z$1504,1,PA_OECM_Register!$E$5:$E$1504,"PA",PA_OECM_Register!$AH$5:$AH$1504,"&gt;0",PA_OECM_Register!$AH$5:$AH$1504,"&lt;="&amp;A89)+SUMIFS(PA_OECM_Register!$AF$5:$AF$1504,PA_OECM_Register!$Z$5:$Z$1504,1,PA_OECM_Register!$E$5:$E$1504,"PA",PA_OECM_Register!$AH$5:$AH$1504,0)*B89)</f>
        <v/>
      </c>
      <c r="E89" s="25">
        <f>IF(A89="","",SUMIFS(PA_OECM_Register!$AF$5:$AF$1504,PA_OECM_Register!$Z$5:$Z$1504,1,PA_OECM_Register!$E$5:$E$1504,"OECM",PA_OECM_Register!$AH$5:$AH$1504,"&gt;0",PA_OECM_Register!$AH$5:$AH$1504,"&lt;="&amp;A89)+SUMIFS(PA_OECM_Register!$AF$5:$AF$1504,PA_OECM_Register!$Z$5:$Z$1504,1,PA_OECM_Register!$E$5:$E$1504,"OECM",PA_OECM_Register!$AH$5:$AH$1504,0)*C89)</f>
        <v/>
      </c>
      <c r="F89" s="26">
        <f>IF(A89="","",IF(N(Setup!$B$10)&gt;0,(D89+E89)/Setup!$B$10,""))</f>
        <v/>
      </c>
      <c r="G89" s="25">
        <f>IF(A89="","",SUMIFS(PA_OECM_Register!$AG$5:$AG$1504,PA_OECM_Register!$Z$5:$Z$1504,1,PA_OECM_Register!$E$5:$E$1504,"PA",PA_OECM_Register!$AH$5:$AH$1504,"&gt;0",PA_OECM_Register!$AH$5:$AH$1504,"&lt;="&amp;A89)+SUMIFS(PA_OECM_Register!$AG$5:$AG$1504,PA_OECM_Register!$Z$5:$Z$1504,1,PA_OECM_Register!$E$5:$E$1504,"PA",PA_OECM_Register!$AH$5:$AH$1504,0)*B89)</f>
        <v/>
      </c>
      <c r="H89" s="25">
        <f>IF(A89="","",SUMIFS(PA_OECM_Register!$AG$5:$AG$1504,PA_OECM_Register!$Z$5:$Z$1504,1,PA_OECM_Register!$E$5:$E$1504,"OECM",PA_OECM_Register!$AH$5:$AH$1504,"&gt;0",PA_OECM_Register!$AH$5:$AH$1504,"&lt;="&amp;A89)+SUMIFS(PA_OECM_Register!$AG$5:$AG$1504,PA_OECM_Register!$Z$5:$Z$1504,1,PA_OECM_Register!$E$5:$E$1504,"OECM",PA_OECM_Register!$AH$5:$AH$1504,0)*C89)</f>
        <v/>
      </c>
      <c r="I89" s="26">
        <f>IF(A89="","",IF(N(Setup!$B$11)&gt;0,(G89+H89)/Setup!$B$11,""))</f>
        <v/>
      </c>
      <c r="J89" s="26">
        <f>IF(A89="","",IF(N(Setup!$B$10)&gt;0,SUMIFS(PA_OECM_Register!$AF$5:$AF$1504,PA_OECM_Register!$Z$5:$Z$1504,1,PA_OECM_Register!$AH$5:$AH$1504,"&gt;0",PA_OECM_Register!$AH$5:$AH$1504,"&lt;="&amp;A89)/Setup!$B$10,""))</f>
        <v/>
      </c>
      <c r="K89" s="26">
        <f>IF(A89="","",IF(N(Setup!$B$11)&gt;0,SUMIFS(PA_OECM_Register!$AG$5:$AG$1504,PA_OECM_Register!$Z$5:$Z$1504,1,PA_OECM_Register!$AH$5:$AH$1504,"&gt;0",PA_OECM_Register!$AH$5:$AH$1504,"&lt;="&amp;A89)/Setup!$B$11,""))</f>
        <v/>
      </c>
    </row>
    <row r="90">
      <c r="A90" s="33">
        <f>IF(Setup!$B$27+85&gt;Setup!$B$6,"",Setup!$B$27+85)</f>
        <v/>
      </c>
      <c r="B90" s="38">
        <f>IF(A90="","",COUNTIFS(PA_OECM_Register!$Z$5:$Z$1504,1,PA_OECM_Register!$E$5:$E$1504,"PA",PA_OECM_Register!$AH$5:$AH$1504,"&gt;0",PA_OECM_Register!$AH$5:$AH$1504,"&lt;="&amp;A90)/MAX(1,COUNTIFS(PA_OECM_Register!$Z$5:$Z$1504,1,PA_OECM_Register!$E$5:$E$1504,"PA",PA_OECM_Register!$AH$5:$AH$1504,"&gt;0")))</f>
        <v/>
      </c>
      <c r="C90" s="38">
        <f>IF(A90="","",COUNTIFS(PA_OECM_Register!$Z$5:$Z$1504,1,PA_OECM_Register!$E$5:$E$1504,"OECM",PA_OECM_Register!$AH$5:$AH$1504,"&gt;0",PA_OECM_Register!$AH$5:$AH$1504,"&lt;="&amp;A90)/MAX(1,COUNTIFS(PA_OECM_Register!$Z$5:$Z$1504,1,PA_OECM_Register!$E$5:$E$1504,"OECM",PA_OECM_Register!$AH$5:$AH$1504,"&gt;0")))</f>
        <v/>
      </c>
      <c r="D90" s="25">
        <f>IF(A90="","",SUMIFS(PA_OECM_Register!$AF$5:$AF$1504,PA_OECM_Register!$Z$5:$Z$1504,1,PA_OECM_Register!$E$5:$E$1504,"PA",PA_OECM_Register!$AH$5:$AH$1504,"&gt;0",PA_OECM_Register!$AH$5:$AH$1504,"&lt;="&amp;A90)+SUMIFS(PA_OECM_Register!$AF$5:$AF$1504,PA_OECM_Register!$Z$5:$Z$1504,1,PA_OECM_Register!$E$5:$E$1504,"PA",PA_OECM_Register!$AH$5:$AH$1504,0)*B90)</f>
        <v/>
      </c>
      <c r="E90" s="25">
        <f>IF(A90="","",SUMIFS(PA_OECM_Register!$AF$5:$AF$1504,PA_OECM_Register!$Z$5:$Z$1504,1,PA_OECM_Register!$E$5:$E$1504,"OECM",PA_OECM_Register!$AH$5:$AH$1504,"&gt;0",PA_OECM_Register!$AH$5:$AH$1504,"&lt;="&amp;A90)+SUMIFS(PA_OECM_Register!$AF$5:$AF$1504,PA_OECM_Register!$Z$5:$Z$1504,1,PA_OECM_Register!$E$5:$E$1504,"OECM",PA_OECM_Register!$AH$5:$AH$1504,0)*C90)</f>
        <v/>
      </c>
      <c r="F90" s="26">
        <f>IF(A90="","",IF(N(Setup!$B$10)&gt;0,(D90+E90)/Setup!$B$10,""))</f>
        <v/>
      </c>
      <c r="G90" s="25">
        <f>IF(A90="","",SUMIFS(PA_OECM_Register!$AG$5:$AG$1504,PA_OECM_Register!$Z$5:$Z$1504,1,PA_OECM_Register!$E$5:$E$1504,"PA",PA_OECM_Register!$AH$5:$AH$1504,"&gt;0",PA_OECM_Register!$AH$5:$AH$1504,"&lt;="&amp;A90)+SUMIFS(PA_OECM_Register!$AG$5:$AG$1504,PA_OECM_Register!$Z$5:$Z$1504,1,PA_OECM_Register!$E$5:$E$1504,"PA",PA_OECM_Register!$AH$5:$AH$1504,0)*B90)</f>
        <v/>
      </c>
      <c r="H90" s="25">
        <f>IF(A90="","",SUMIFS(PA_OECM_Register!$AG$5:$AG$1504,PA_OECM_Register!$Z$5:$Z$1504,1,PA_OECM_Register!$E$5:$E$1504,"OECM",PA_OECM_Register!$AH$5:$AH$1504,"&gt;0",PA_OECM_Register!$AH$5:$AH$1504,"&lt;="&amp;A90)+SUMIFS(PA_OECM_Register!$AG$5:$AG$1504,PA_OECM_Register!$Z$5:$Z$1504,1,PA_OECM_Register!$E$5:$E$1504,"OECM",PA_OECM_Register!$AH$5:$AH$1504,0)*C90)</f>
        <v/>
      </c>
      <c r="I90" s="26">
        <f>IF(A90="","",IF(N(Setup!$B$11)&gt;0,(G90+H90)/Setup!$B$11,""))</f>
        <v/>
      </c>
      <c r="J90" s="26">
        <f>IF(A90="","",IF(N(Setup!$B$10)&gt;0,SUMIFS(PA_OECM_Register!$AF$5:$AF$1504,PA_OECM_Register!$Z$5:$Z$1504,1,PA_OECM_Register!$AH$5:$AH$1504,"&gt;0",PA_OECM_Register!$AH$5:$AH$1504,"&lt;="&amp;A90)/Setup!$B$10,""))</f>
        <v/>
      </c>
      <c r="K90" s="26">
        <f>IF(A90="","",IF(N(Setup!$B$11)&gt;0,SUMIFS(PA_OECM_Register!$AG$5:$AG$1504,PA_OECM_Register!$Z$5:$Z$1504,1,PA_OECM_Register!$AH$5:$AH$1504,"&gt;0",PA_OECM_Register!$AH$5:$AH$1504,"&lt;="&amp;A90)/Setup!$B$11,""))</f>
        <v/>
      </c>
    </row>
    <row r="91">
      <c r="A91" s="33">
        <f>IF(Setup!$B$27+86&gt;Setup!$B$6,"",Setup!$B$27+86)</f>
        <v/>
      </c>
      <c r="B91" s="38">
        <f>IF(A91="","",COUNTIFS(PA_OECM_Register!$Z$5:$Z$1504,1,PA_OECM_Register!$E$5:$E$1504,"PA",PA_OECM_Register!$AH$5:$AH$1504,"&gt;0",PA_OECM_Register!$AH$5:$AH$1504,"&lt;="&amp;A91)/MAX(1,COUNTIFS(PA_OECM_Register!$Z$5:$Z$1504,1,PA_OECM_Register!$E$5:$E$1504,"PA",PA_OECM_Register!$AH$5:$AH$1504,"&gt;0")))</f>
        <v/>
      </c>
      <c r="C91" s="38">
        <f>IF(A91="","",COUNTIFS(PA_OECM_Register!$Z$5:$Z$1504,1,PA_OECM_Register!$E$5:$E$1504,"OECM",PA_OECM_Register!$AH$5:$AH$1504,"&gt;0",PA_OECM_Register!$AH$5:$AH$1504,"&lt;="&amp;A91)/MAX(1,COUNTIFS(PA_OECM_Register!$Z$5:$Z$1504,1,PA_OECM_Register!$E$5:$E$1504,"OECM",PA_OECM_Register!$AH$5:$AH$1504,"&gt;0")))</f>
        <v/>
      </c>
      <c r="D91" s="25">
        <f>IF(A91="","",SUMIFS(PA_OECM_Register!$AF$5:$AF$1504,PA_OECM_Register!$Z$5:$Z$1504,1,PA_OECM_Register!$E$5:$E$1504,"PA",PA_OECM_Register!$AH$5:$AH$1504,"&gt;0",PA_OECM_Register!$AH$5:$AH$1504,"&lt;="&amp;A91)+SUMIFS(PA_OECM_Register!$AF$5:$AF$1504,PA_OECM_Register!$Z$5:$Z$1504,1,PA_OECM_Register!$E$5:$E$1504,"PA",PA_OECM_Register!$AH$5:$AH$1504,0)*B91)</f>
        <v/>
      </c>
      <c r="E91" s="25">
        <f>IF(A91="","",SUMIFS(PA_OECM_Register!$AF$5:$AF$1504,PA_OECM_Register!$Z$5:$Z$1504,1,PA_OECM_Register!$E$5:$E$1504,"OECM",PA_OECM_Register!$AH$5:$AH$1504,"&gt;0",PA_OECM_Register!$AH$5:$AH$1504,"&lt;="&amp;A91)+SUMIFS(PA_OECM_Register!$AF$5:$AF$1504,PA_OECM_Register!$Z$5:$Z$1504,1,PA_OECM_Register!$E$5:$E$1504,"OECM",PA_OECM_Register!$AH$5:$AH$1504,0)*C91)</f>
        <v/>
      </c>
      <c r="F91" s="26">
        <f>IF(A91="","",IF(N(Setup!$B$10)&gt;0,(D91+E91)/Setup!$B$10,""))</f>
        <v/>
      </c>
      <c r="G91" s="25">
        <f>IF(A91="","",SUMIFS(PA_OECM_Register!$AG$5:$AG$1504,PA_OECM_Register!$Z$5:$Z$1504,1,PA_OECM_Register!$E$5:$E$1504,"PA",PA_OECM_Register!$AH$5:$AH$1504,"&gt;0",PA_OECM_Register!$AH$5:$AH$1504,"&lt;="&amp;A91)+SUMIFS(PA_OECM_Register!$AG$5:$AG$1504,PA_OECM_Register!$Z$5:$Z$1504,1,PA_OECM_Register!$E$5:$E$1504,"PA",PA_OECM_Register!$AH$5:$AH$1504,0)*B91)</f>
        <v/>
      </c>
      <c r="H91" s="25">
        <f>IF(A91="","",SUMIFS(PA_OECM_Register!$AG$5:$AG$1504,PA_OECM_Register!$Z$5:$Z$1504,1,PA_OECM_Register!$E$5:$E$1504,"OECM",PA_OECM_Register!$AH$5:$AH$1504,"&gt;0",PA_OECM_Register!$AH$5:$AH$1504,"&lt;="&amp;A91)+SUMIFS(PA_OECM_Register!$AG$5:$AG$1504,PA_OECM_Register!$Z$5:$Z$1504,1,PA_OECM_Register!$E$5:$E$1504,"OECM",PA_OECM_Register!$AH$5:$AH$1504,0)*C91)</f>
        <v/>
      </c>
      <c r="I91" s="26">
        <f>IF(A91="","",IF(N(Setup!$B$11)&gt;0,(G91+H91)/Setup!$B$11,""))</f>
        <v/>
      </c>
      <c r="J91" s="26">
        <f>IF(A91="","",IF(N(Setup!$B$10)&gt;0,SUMIFS(PA_OECM_Register!$AF$5:$AF$1504,PA_OECM_Register!$Z$5:$Z$1504,1,PA_OECM_Register!$AH$5:$AH$1504,"&gt;0",PA_OECM_Register!$AH$5:$AH$1504,"&lt;="&amp;A91)/Setup!$B$10,""))</f>
        <v/>
      </c>
      <c r="K91" s="26">
        <f>IF(A91="","",IF(N(Setup!$B$11)&gt;0,SUMIFS(PA_OECM_Register!$AG$5:$AG$1504,PA_OECM_Register!$Z$5:$Z$1504,1,PA_OECM_Register!$AH$5:$AH$1504,"&gt;0",PA_OECM_Register!$AH$5:$AH$1504,"&lt;="&amp;A91)/Setup!$B$11,""))</f>
        <v/>
      </c>
    </row>
    <row r="92">
      <c r="A92" s="33">
        <f>IF(Setup!$B$27+87&gt;Setup!$B$6,"",Setup!$B$27+87)</f>
        <v/>
      </c>
      <c r="B92" s="38">
        <f>IF(A92="","",COUNTIFS(PA_OECM_Register!$Z$5:$Z$1504,1,PA_OECM_Register!$E$5:$E$1504,"PA",PA_OECM_Register!$AH$5:$AH$1504,"&gt;0",PA_OECM_Register!$AH$5:$AH$1504,"&lt;="&amp;A92)/MAX(1,COUNTIFS(PA_OECM_Register!$Z$5:$Z$1504,1,PA_OECM_Register!$E$5:$E$1504,"PA",PA_OECM_Register!$AH$5:$AH$1504,"&gt;0")))</f>
        <v/>
      </c>
      <c r="C92" s="38">
        <f>IF(A92="","",COUNTIFS(PA_OECM_Register!$Z$5:$Z$1504,1,PA_OECM_Register!$E$5:$E$1504,"OECM",PA_OECM_Register!$AH$5:$AH$1504,"&gt;0",PA_OECM_Register!$AH$5:$AH$1504,"&lt;="&amp;A92)/MAX(1,COUNTIFS(PA_OECM_Register!$Z$5:$Z$1504,1,PA_OECM_Register!$E$5:$E$1504,"OECM",PA_OECM_Register!$AH$5:$AH$1504,"&gt;0")))</f>
        <v/>
      </c>
      <c r="D92" s="25">
        <f>IF(A92="","",SUMIFS(PA_OECM_Register!$AF$5:$AF$1504,PA_OECM_Register!$Z$5:$Z$1504,1,PA_OECM_Register!$E$5:$E$1504,"PA",PA_OECM_Register!$AH$5:$AH$1504,"&gt;0",PA_OECM_Register!$AH$5:$AH$1504,"&lt;="&amp;A92)+SUMIFS(PA_OECM_Register!$AF$5:$AF$1504,PA_OECM_Register!$Z$5:$Z$1504,1,PA_OECM_Register!$E$5:$E$1504,"PA",PA_OECM_Register!$AH$5:$AH$1504,0)*B92)</f>
        <v/>
      </c>
      <c r="E92" s="25">
        <f>IF(A92="","",SUMIFS(PA_OECM_Register!$AF$5:$AF$1504,PA_OECM_Register!$Z$5:$Z$1504,1,PA_OECM_Register!$E$5:$E$1504,"OECM",PA_OECM_Register!$AH$5:$AH$1504,"&gt;0",PA_OECM_Register!$AH$5:$AH$1504,"&lt;="&amp;A92)+SUMIFS(PA_OECM_Register!$AF$5:$AF$1504,PA_OECM_Register!$Z$5:$Z$1504,1,PA_OECM_Register!$E$5:$E$1504,"OECM",PA_OECM_Register!$AH$5:$AH$1504,0)*C92)</f>
        <v/>
      </c>
      <c r="F92" s="26">
        <f>IF(A92="","",IF(N(Setup!$B$10)&gt;0,(D92+E92)/Setup!$B$10,""))</f>
        <v/>
      </c>
      <c r="G92" s="25">
        <f>IF(A92="","",SUMIFS(PA_OECM_Register!$AG$5:$AG$1504,PA_OECM_Register!$Z$5:$Z$1504,1,PA_OECM_Register!$E$5:$E$1504,"PA",PA_OECM_Register!$AH$5:$AH$1504,"&gt;0",PA_OECM_Register!$AH$5:$AH$1504,"&lt;="&amp;A92)+SUMIFS(PA_OECM_Register!$AG$5:$AG$1504,PA_OECM_Register!$Z$5:$Z$1504,1,PA_OECM_Register!$E$5:$E$1504,"PA",PA_OECM_Register!$AH$5:$AH$1504,0)*B92)</f>
        <v/>
      </c>
      <c r="H92" s="25">
        <f>IF(A92="","",SUMIFS(PA_OECM_Register!$AG$5:$AG$1504,PA_OECM_Register!$Z$5:$Z$1504,1,PA_OECM_Register!$E$5:$E$1504,"OECM",PA_OECM_Register!$AH$5:$AH$1504,"&gt;0",PA_OECM_Register!$AH$5:$AH$1504,"&lt;="&amp;A92)+SUMIFS(PA_OECM_Register!$AG$5:$AG$1504,PA_OECM_Register!$Z$5:$Z$1504,1,PA_OECM_Register!$E$5:$E$1504,"OECM",PA_OECM_Register!$AH$5:$AH$1504,0)*C92)</f>
        <v/>
      </c>
      <c r="I92" s="26">
        <f>IF(A92="","",IF(N(Setup!$B$11)&gt;0,(G92+H92)/Setup!$B$11,""))</f>
        <v/>
      </c>
      <c r="J92" s="26">
        <f>IF(A92="","",IF(N(Setup!$B$10)&gt;0,SUMIFS(PA_OECM_Register!$AF$5:$AF$1504,PA_OECM_Register!$Z$5:$Z$1504,1,PA_OECM_Register!$AH$5:$AH$1504,"&gt;0",PA_OECM_Register!$AH$5:$AH$1504,"&lt;="&amp;A92)/Setup!$B$10,""))</f>
        <v/>
      </c>
      <c r="K92" s="26">
        <f>IF(A92="","",IF(N(Setup!$B$11)&gt;0,SUMIFS(PA_OECM_Register!$AG$5:$AG$1504,PA_OECM_Register!$Z$5:$Z$1504,1,PA_OECM_Register!$AH$5:$AH$1504,"&gt;0",PA_OECM_Register!$AH$5:$AH$1504,"&lt;="&amp;A92)/Setup!$B$11,""))</f>
        <v/>
      </c>
    </row>
    <row r="93">
      <c r="A93" s="33">
        <f>IF(Setup!$B$27+88&gt;Setup!$B$6,"",Setup!$B$27+88)</f>
        <v/>
      </c>
      <c r="B93" s="38">
        <f>IF(A93="","",COUNTIFS(PA_OECM_Register!$Z$5:$Z$1504,1,PA_OECM_Register!$E$5:$E$1504,"PA",PA_OECM_Register!$AH$5:$AH$1504,"&gt;0",PA_OECM_Register!$AH$5:$AH$1504,"&lt;="&amp;A93)/MAX(1,COUNTIFS(PA_OECM_Register!$Z$5:$Z$1504,1,PA_OECM_Register!$E$5:$E$1504,"PA",PA_OECM_Register!$AH$5:$AH$1504,"&gt;0")))</f>
        <v/>
      </c>
      <c r="C93" s="38">
        <f>IF(A93="","",COUNTIFS(PA_OECM_Register!$Z$5:$Z$1504,1,PA_OECM_Register!$E$5:$E$1504,"OECM",PA_OECM_Register!$AH$5:$AH$1504,"&gt;0",PA_OECM_Register!$AH$5:$AH$1504,"&lt;="&amp;A93)/MAX(1,COUNTIFS(PA_OECM_Register!$Z$5:$Z$1504,1,PA_OECM_Register!$E$5:$E$1504,"OECM",PA_OECM_Register!$AH$5:$AH$1504,"&gt;0")))</f>
        <v/>
      </c>
      <c r="D93" s="25">
        <f>IF(A93="","",SUMIFS(PA_OECM_Register!$AF$5:$AF$1504,PA_OECM_Register!$Z$5:$Z$1504,1,PA_OECM_Register!$E$5:$E$1504,"PA",PA_OECM_Register!$AH$5:$AH$1504,"&gt;0",PA_OECM_Register!$AH$5:$AH$1504,"&lt;="&amp;A93)+SUMIFS(PA_OECM_Register!$AF$5:$AF$1504,PA_OECM_Register!$Z$5:$Z$1504,1,PA_OECM_Register!$E$5:$E$1504,"PA",PA_OECM_Register!$AH$5:$AH$1504,0)*B93)</f>
        <v/>
      </c>
      <c r="E93" s="25">
        <f>IF(A93="","",SUMIFS(PA_OECM_Register!$AF$5:$AF$1504,PA_OECM_Register!$Z$5:$Z$1504,1,PA_OECM_Register!$E$5:$E$1504,"OECM",PA_OECM_Register!$AH$5:$AH$1504,"&gt;0",PA_OECM_Register!$AH$5:$AH$1504,"&lt;="&amp;A93)+SUMIFS(PA_OECM_Register!$AF$5:$AF$1504,PA_OECM_Register!$Z$5:$Z$1504,1,PA_OECM_Register!$E$5:$E$1504,"OECM",PA_OECM_Register!$AH$5:$AH$1504,0)*C93)</f>
        <v/>
      </c>
      <c r="F93" s="26">
        <f>IF(A93="","",IF(N(Setup!$B$10)&gt;0,(D93+E93)/Setup!$B$10,""))</f>
        <v/>
      </c>
      <c r="G93" s="25">
        <f>IF(A93="","",SUMIFS(PA_OECM_Register!$AG$5:$AG$1504,PA_OECM_Register!$Z$5:$Z$1504,1,PA_OECM_Register!$E$5:$E$1504,"PA",PA_OECM_Register!$AH$5:$AH$1504,"&gt;0",PA_OECM_Register!$AH$5:$AH$1504,"&lt;="&amp;A93)+SUMIFS(PA_OECM_Register!$AG$5:$AG$1504,PA_OECM_Register!$Z$5:$Z$1504,1,PA_OECM_Register!$E$5:$E$1504,"PA",PA_OECM_Register!$AH$5:$AH$1504,0)*B93)</f>
        <v/>
      </c>
      <c r="H93" s="25">
        <f>IF(A93="","",SUMIFS(PA_OECM_Register!$AG$5:$AG$1504,PA_OECM_Register!$Z$5:$Z$1504,1,PA_OECM_Register!$E$5:$E$1504,"OECM",PA_OECM_Register!$AH$5:$AH$1504,"&gt;0",PA_OECM_Register!$AH$5:$AH$1504,"&lt;="&amp;A93)+SUMIFS(PA_OECM_Register!$AG$5:$AG$1504,PA_OECM_Register!$Z$5:$Z$1504,1,PA_OECM_Register!$E$5:$E$1504,"OECM",PA_OECM_Register!$AH$5:$AH$1504,0)*C93)</f>
        <v/>
      </c>
      <c r="I93" s="26">
        <f>IF(A93="","",IF(N(Setup!$B$11)&gt;0,(G93+H93)/Setup!$B$11,""))</f>
        <v/>
      </c>
      <c r="J93" s="26">
        <f>IF(A93="","",IF(N(Setup!$B$10)&gt;0,SUMIFS(PA_OECM_Register!$AF$5:$AF$1504,PA_OECM_Register!$Z$5:$Z$1504,1,PA_OECM_Register!$AH$5:$AH$1504,"&gt;0",PA_OECM_Register!$AH$5:$AH$1504,"&lt;="&amp;A93)/Setup!$B$10,""))</f>
        <v/>
      </c>
      <c r="K93" s="26">
        <f>IF(A93="","",IF(N(Setup!$B$11)&gt;0,SUMIFS(PA_OECM_Register!$AG$5:$AG$1504,PA_OECM_Register!$Z$5:$Z$1504,1,PA_OECM_Register!$AH$5:$AH$1504,"&gt;0",PA_OECM_Register!$AH$5:$AH$1504,"&lt;="&amp;A93)/Setup!$B$11,""))</f>
        <v/>
      </c>
    </row>
    <row r="94">
      <c r="A94" s="33">
        <f>IF(Setup!$B$27+89&gt;Setup!$B$6,"",Setup!$B$27+89)</f>
        <v/>
      </c>
      <c r="B94" s="38">
        <f>IF(A94="","",COUNTIFS(PA_OECM_Register!$Z$5:$Z$1504,1,PA_OECM_Register!$E$5:$E$1504,"PA",PA_OECM_Register!$AH$5:$AH$1504,"&gt;0",PA_OECM_Register!$AH$5:$AH$1504,"&lt;="&amp;A94)/MAX(1,COUNTIFS(PA_OECM_Register!$Z$5:$Z$1504,1,PA_OECM_Register!$E$5:$E$1504,"PA",PA_OECM_Register!$AH$5:$AH$1504,"&gt;0")))</f>
        <v/>
      </c>
      <c r="C94" s="38">
        <f>IF(A94="","",COUNTIFS(PA_OECM_Register!$Z$5:$Z$1504,1,PA_OECM_Register!$E$5:$E$1504,"OECM",PA_OECM_Register!$AH$5:$AH$1504,"&gt;0",PA_OECM_Register!$AH$5:$AH$1504,"&lt;="&amp;A94)/MAX(1,COUNTIFS(PA_OECM_Register!$Z$5:$Z$1504,1,PA_OECM_Register!$E$5:$E$1504,"OECM",PA_OECM_Register!$AH$5:$AH$1504,"&gt;0")))</f>
        <v/>
      </c>
      <c r="D94" s="25">
        <f>IF(A94="","",SUMIFS(PA_OECM_Register!$AF$5:$AF$1504,PA_OECM_Register!$Z$5:$Z$1504,1,PA_OECM_Register!$E$5:$E$1504,"PA",PA_OECM_Register!$AH$5:$AH$1504,"&gt;0",PA_OECM_Register!$AH$5:$AH$1504,"&lt;="&amp;A94)+SUMIFS(PA_OECM_Register!$AF$5:$AF$1504,PA_OECM_Register!$Z$5:$Z$1504,1,PA_OECM_Register!$E$5:$E$1504,"PA",PA_OECM_Register!$AH$5:$AH$1504,0)*B94)</f>
        <v/>
      </c>
      <c r="E94" s="25">
        <f>IF(A94="","",SUMIFS(PA_OECM_Register!$AF$5:$AF$1504,PA_OECM_Register!$Z$5:$Z$1504,1,PA_OECM_Register!$E$5:$E$1504,"OECM",PA_OECM_Register!$AH$5:$AH$1504,"&gt;0",PA_OECM_Register!$AH$5:$AH$1504,"&lt;="&amp;A94)+SUMIFS(PA_OECM_Register!$AF$5:$AF$1504,PA_OECM_Register!$Z$5:$Z$1504,1,PA_OECM_Register!$E$5:$E$1504,"OECM",PA_OECM_Register!$AH$5:$AH$1504,0)*C94)</f>
        <v/>
      </c>
      <c r="F94" s="26">
        <f>IF(A94="","",IF(N(Setup!$B$10)&gt;0,(D94+E94)/Setup!$B$10,""))</f>
        <v/>
      </c>
      <c r="G94" s="25">
        <f>IF(A94="","",SUMIFS(PA_OECM_Register!$AG$5:$AG$1504,PA_OECM_Register!$Z$5:$Z$1504,1,PA_OECM_Register!$E$5:$E$1504,"PA",PA_OECM_Register!$AH$5:$AH$1504,"&gt;0",PA_OECM_Register!$AH$5:$AH$1504,"&lt;="&amp;A94)+SUMIFS(PA_OECM_Register!$AG$5:$AG$1504,PA_OECM_Register!$Z$5:$Z$1504,1,PA_OECM_Register!$E$5:$E$1504,"PA",PA_OECM_Register!$AH$5:$AH$1504,0)*B94)</f>
        <v/>
      </c>
      <c r="H94" s="25">
        <f>IF(A94="","",SUMIFS(PA_OECM_Register!$AG$5:$AG$1504,PA_OECM_Register!$Z$5:$Z$1504,1,PA_OECM_Register!$E$5:$E$1504,"OECM",PA_OECM_Register!$AH$5:$AH$1504,"&gt;0",PA_OECM_Register!$AH$5:$AH$1504,"&lt;="&amp;A94)+SUMIFS(PA_OECM_Register!$AG$5:$AG$1504,PA_OECM_Register!$Z$5:$Z$1504,1,PA_OECM_Register!$E$5:$E$1504,"OECM",PA_OECM_Register!$AH$5:$AH$1504,0)*C94)</f>
        <v/>
      </c>
      <c r="I94" s="26">
        <f>IF(A94="","",IF(N(Setup!$B$11)&gt;0,(G94+H94)/Setup!$B$11,""))</f>
        <v/>
      </c>
      <c r="J94" s="26">
        <f>IF(A94="","",IF(N(Setup!$B$10)&gt;0,SUMIFS(PA_OECM_Register!$AF$5:$AF$1504,PA_OECM_Register!$Z$5:$Z$1504,1,PA_OECM_Register!$AH$5:$AH$1504,"&gt;0",PA_OECM_Register!$AH$5:$AH$1504,"&lt;="&amp;A94)/Setup!$B$10,""))</f>
        <v/>
      </c>
      <c r="K94" s="26">
        <f>IF(A94="","",IF(N(Setup!$B$11)&gt;0,SUMIFS(PA_OECM_Register!$AG$5:$AG$1504,PA_OECM_Register!$Z$5:$Z$1504,1,PA_OECM_Register!$AH$5:$AH$1504,"&gt;0",PA_OECM_Register!$AH$5:$AH$1504,"&lt;="&amp;A94)/Setup!$B$11,""))</f>
        <v/>
      </c>
    </row>
    <row r="95">
      <c r="A95" s="33">
        <f>IF(Setup!$B$27+90&gt;Setup!$B$6,"",Setup!$B$27+90)</f>
        <v/>
      </c>
      <c r="B95" s="38">
        <f>IF(A95="","",COUNTIFS(PA_OECM_Register!$Z$5:$Z$1504,1,PA_OECM_Register!$E$5:$E$1504,"PA",PA_OECM_Register!$AH$5:$AH$1504,"&gt;0",PA_OECM_Register!$AH$5:$AH$1504,"&lt;="&amp;A95)/MAX(1,COUNTIFS(PA_OECM_Register!$Z$5:$Z$1504,1,PA_OECM_Register!$E$5:$E$1504,"PA",PA_OECM_Register!$AH$5:$AH$1504,"&gt;0")))</f>
        <v/>
      </c>
      <c r="C95" s="38">
        <f>IF(A95="","",COUNTIFS(PA_OECM_Register!$Z$5:$Z$1504,1,PA_OECM_Register!$E$5:$E$1504,"OECM",PA_OECM_Register!$AH$5:$AH$1504,"&gt;0",PA_OECM_Register!$AH$5:$AH$1504,"&lt;="&amp;A95)/MAX(1,COUNTIFS(PA_OECM_Register!$Z$5:$Z$1504,1,PA_OECM_Register!$E$5:$E$1504,"OECM",PA_OECM_Register!$AH$5:$AH$1504,"&gt;0")))</f>
        <v/>
      </c>
      <c r="D95" s="25">
        <f>IF(A95="","",SUMIFS(PA_OECM_Register!$AF$5:$AF$1504,PA_OECM_Register!$Z$5:$Z$1504,1,PA_OECM_Register!$E$5:$E$1504,"PA",PA_OECM_Register!$AH$5:$AH$1504,"&gt;0",PA_OECM_Register!$AH$5:$AH$1504,"&lt;="&amp;A95)+SUMIFS(PA_OECM_Register!$AF$5:$AF$1504,PA_OECM_Register!$Z$5:$Z$1504,1,PA_OECM_Register!$E$5:$E$1504,"PA",PA_OECM_Register!$AH$5:$AH$1504,0)*B95)</f>
        <v/>
      </c>
      <c r="E95" s="25">
        <f>IF(A95="","",SUMIFS(PA_OECM_Register!$AF$5:$AF$1504,PA_OECM_Register!$Z$5:$Z$1504,1,PA_OECM_Register!$E$5:$E$1504,"OECM",PA_OECM_Register!$AH$5:$AH$1504,"&gt;0",PA_OECM_Register!$AH$5:$AH$1504,"&lt;="&amp;A95)+SUMIFS(PA_OECM_Register!$AF$5:$AF$1504,PA_OECM_Register!$Z$5:$Z$1504,1,PA_OECM_Register!$E$5:$E$1504,"OECM",PA_OECM_Register!$AH$5:$AH$1504,0)*C95)</f>
        <v/>
      </c>
      <c r="F95" s="26">
        <f>IF(A95="","",IF(N(Setup!$B$10)&gt;0,(D95+E95)/Setup!$B$10,""))</f>
        <v/>
      </c>
      <c r="G95" s="25">
        <f>IF(A95="","",SUMIFS(PA_OECM_Register!$AG$5:$AG$1504,PA_OECM_Register!$Z$5:$Z$1504,1,PA_OECM_Register!$E$5:$E$1504,"PA",PA_OECM_Register!$AH$5:$AH$1504,"&gt;0",PA_OECM_Register!$AH$5:$AH$1504,"&lt;="&amp;A95)+SUMIFS(PA_OECM_Register!$AG$5:$AG$1504,PA_OECM_Register!$Z$5:$Z$1504,1,PA_OECM_Register!$E$5:$E$1504,"PA",PA_OECM_Register!$AH$5:$AH$1504,0)*B95)</f>
        <v/>
      </c>
      <c r="H95" s="25">
        <f>IF(A95="","",SUMIFS(PA_OECM_Register!$AG$5:$AG$1504,PA_OECM_Register!$Z$5:$Z$1504,1,PA_OECM_Register!$E$5:$E$1504,"OECM",PA_OECM_Register!$AH$5:$AH$1504,"&gt;0",PA_OECM_Register!$AH$5:$AH$1504,"&lt;="&amp;A95)+SUMIFS(PA_OECM_Register!$AG$5:$AG$1504,PA_OECM_Register!$Z$5:$Z$1504,1,PA_OECM_Register!$E$5:$E$1504,"OECM",PA_OECM_Register!$AH$5:$AH$1504,0)*C95)</f>
        <v/>
      </c>
      <c r="I95" s="26">
        <f>IF(A95="","",IF(N(Setup!$B$11)&gt;0,(G95+H95)/Setup!$B$11,""))</f>
        <v/>
      </c>
      <c r="J95" s="26">
        <f>IF(A95="","",IF(N(Setup!$B$10)&gt;0,SUMIFS(PA_OECM_Register!$AF$5:$AF$1504,PA_OECM_Register!$Z$5:$Z$1504,1,PA_OECM_Register!$AH$5:$AH$1504,"&gt;0",PA_OECM_Register!$AH$5:$AH$1504,"&lt;="&amp;A95)/Setup!$B$10,""))</f>
        <v/>
      </c>
      <c r="K95" s="26">
        <f>IF(A95="","",IF(N(Setup!$B$11)&gt;0,SUMIFS(PA_OECM_Register!$AG$5:$AG$1504,PA_OECM_Register!$Z$5:$Z$1504,1,PA_OECM_Register!$AH$5:$AH$1504,"&gt;0",PA_OECM_Register!$AH$5:$AH$1504,"&lt;="&amp;A95)/Setup!$B$11,""))</f>
        <v/>
      </c>
    </row>
    <row r="96">
      <c r="A96" s="33">
        <f>IF(Setup!$B$27+91&gt;Setup!$B$6,"",Setup!$B$27+91)</f>
        <v/>
      </c>
      <c r="B96" s="38">
        <f>IF(A96="","",COUNTIFS(PA_OECM_Register!$Z$5:$Z$1504,1,PA_OECM_Register!$E$5:$E$1504,"PA",PA_OECM_Register!$AH$5:$AH$1504,"&gt;0",PA_OECM_Register!$AH$5:$AH$1504,"&lt;="&amp;A96)/MAX(1,COUNTIFS(PA_OECM_Register!$Z$5:$Z$1504,1,PA_OECM_Register!$E$5:$E$1504,"PA",PA_OECM_Register!$AH$5:$AH$1504,"&gt;0")))</f>
        <v/>
      </c>
      <c r="C96" s="38">
        <f>IF(A96="","",COUNTIFS(PA_OECM_Register!$Z$5:$Z$1504,1,PA_OECM_Register!$E$5:$E$1504,"OECM",PA_OECM_Register!$AH$5:$AH$1504,"&gt;0",PA_OECM_Register!$AH$5:$AH$1504,"&lt;="&amp;A96)/MAX(1,COUNTIFS(PA_OECM_Register!$Z$5:$Z$1504,1,PA_OECM_Register!$E$5:$E$1504,"OECM",PA_OECM_Register!$AH$5:$AH$1504,"&gt;0")))</f>
        <v/>
      </c>
      <c r="D96" s="25">
        <f>IF(A96="","",SUMIFS(PA_OECM_Register!$AF$5:$AF$1504,PA_OECM_Register!$Z$5:$Z$1504,1,PA_OECM_Register!$E$5:$E$1504,"PA",PA_OECM_Register!$AH$5:$AH$1504,"&gt;0",PA_OECM_Register!$AH$5:$AH$1504,"&lt;="&amp;A96)+SUMIFS(PA_OECM_Register!$AF$5:$AF$1504,PA_OECM_Register!$Z$5:$Z$1504,1,PA_OECM_Register!$E$5:$E$1504,"PA",PA_OECM_Register!$AH$5:$AH$1504,0)*B96)</f>
        <v/>
      </c>
      <c r="E96" s="25">
        <f>IF(A96="","",SUMIFS(PA_OECM_Register!$AF$5:$AF$1504,PA_OECM_Register!$Z$5:$Z$1504,1,PA_OECM_Register!$E$5:$E$1504,"OECM",PA_OECM_Register!$AH$5:$AH$1504,"&gt;0",PA_OECM_Register!$AH$5:$AH$1504,"&lt;="&amp;A96)+SUMIFS(PA_OECM_Register!$AF$5:$AF$1504,PA_OECM_Register!$Z$5:$Z$1504,1,PA_OECM_Register!$E$5:$E$1504,"OECM",PA_OECM_Register!$AH$5:$AH$1504,0)*C96)</f>
        <v/>
      </c>
      <c r="F96" s="26">
        <f>IF(A96="","",IF(N(Setup!$B$10)&gt;0,(D96+E96)/Setup!$B$10,""))</f>
        <v/>
      </c>
      <c r="G96" s="25">
        <f>IF(A96="","",SUMIFS(PA_OECM_Register!$AG$5:$AG$1504,PA_OECM_Register!$Z$5:$Z$1504,1,PA_OECM_Register!$E$5:$E$1504,"PA",PA_OECM_Register!$AH$5:$AH$1504,"&gt;0",PA_OECM_Register!$AH$5:$AH$1504,"&lt;="&amp;A96)+SUMIFS(PA_OECM_Register!$AG$5:$AG$1504,PA_OECM_Register!$Z$5:$Z$1504,1,PA_OECM_Register!$E$5:$E$1504,"PA",PA_OECM_Register!$AH$5:$AH$1504,0)*B96)</f>
        <v/>
      </c>
      <c r="H96" s="25">
        <f>IF(A96="","",SUMIFS(PA_OECM_Register!$AG$5:$AG$1504,PA_OECM_Register!$Z$5:$Z$1504,1,PA_OECM_Register!$E$5:$E$1504,"OECM",PA_OECM_Register!$AH$5:$AH$1504,"&gt;0",PA_OECM_Register!$AH$5:$AH$1504,"&lt;="&amp;A96)+SUMIFS(PA_OECM_Register!$AG$5:$AG$1504,PA_OECM_Register!$Z$5:$Z$1504,1,PA_OECM_Register!$E$5:$E$1504,"OECM",PA_OECM_Register!$AH$5:$AH$1504,0)*C96)</f>
        <v/>
      </c>
      <c r="I96" s="26">
        <f>IF(A96="","",IF(N(Setup!$B$11)&gt;0,(G96+H96)/Setup!$B$11,""))</f>
        <v/>
      </c>
      <c r="J96" s="26">
        <f>IF(A96="","",IF(N(Setup!$B$10)&gt;0,SUMIFS(PA_OECM_Register!$AF$5:$AF$1504,PA_OECM_Register!$Z$5:$Z$1504,1,PA_OECM_Register!$AH$5:$AH$1504,"&gt;0",PA_OECM_Register!$AH$5:$AH$1504,"&lt;="&amp;A96)/Setup!$B$10,""))</f>
        <v/>
      </c>
      <c r="K96" s="26">
        <f>IF(A96="","",IF(N(Setup!$B$11)&gt;0,SUMIFS(PA_OECM_Register!$AG$5:$AG$1504,PA_OECM_Register!$Z$5:$Z$1504,1,PA_OECM_Register!$AH$5:$AH$1504,"&gt;0",PA_OECM_Register!$AH$5:$AH$1504,"&lt;="&amp;A96)/Setup!$B$11,""))</f>
        <v/>
      </c>
    </row>
    <row r="97">
      <c r="A97" s="33">
        <f>IF(Setup!$B$27+92&gt;Setup!$B$6,"",Setup!$B$27+92)</f>
        <v/>
      </c>
      <c r="B97" s="38">
        <f>IF(A97="","",COUNTIFS(PA_OECM_Register!$Z$5:$Z$1504,1,PA_OECM_Register!$E$5:$E$1504,"PA",PA_OECM_Register!$AH$5:$AH$1504,"&gt;0",PA_OECM_Register!$AH$5:$AH$1504,"&lt;="&amp;A97)/MAX(1,COUNTIFS(PA_OECM_Register!$Z$5:$Z$1504,1,PA_OECM_Register!$E$5:$E$1504,"PA",PA_OECM_Register!$AH$5:$AH$1504,"&gt;0")))</f>
        <v/>
      </c>
      <c r="C97" s="38">
        <f>IF(A97="","",COUNTIFS(PA_OECM_Register!$Z$5:$Z$1504,1,PA_OECM_Register!$E$5:$E$1504,"OECM",PA_OECM_Register!$AH$5:$AH$1504,"&gt;0",PA_OECM_Register!$AH$5:$AH$1504,"&lt;="&amp;A97)/MAX(1,COUNTIFS(PA_OECM_Register!$Z$5:$Z$1504,1,PA_OECM_Register!$E$5:$E$1504,"OECM",PA_OECM_Register!$AH$5:$AH$1504,"&gt;0")))</f>
        <v/>
      </c>
      <c r="D97" s="25">
        <f>IF(A97="","",SUMIFS(PA_OECM_Register!$AF$5:$AF$1504,PA_OECM_Register!$Z$5:$Z$1504,1,PA_OECM_Register!$E$5:$E$1504,"PA",PA_OECM_Register!$AH$5:$AH$1504,"&gt;0",PA_OECM_Register!$AH$5:$AH$1504,"&lt;="&amp;A97)+SUMIFS(PA_OECM_Register!$AF$5:$AF$1504,PA_OECM_Register!$Z$5:$Z$1504,1,PA_OECM_Register!$E$5:$E$1504,"PA",PA_OECM_Register!$AH$5:$AH$1504,0)*B97)</f>
        <v/>
      </c>
      <c r="E97" s="25">
        <f>IF(A97="","",SUMIFS(PA_OECM_Register!$AF$5:$AF$1504,PA_OECM_Register!$Z$5:$Z$1504,1,PA_OECM_Register!$E$5:$E$1504,"OECM",PA_OECM_Register!$AH$5:$AH$1504,"&gt;0",PA_OECM_Register!$AH$5:$AH$1504,"&lt;="&amp;A97)+SUMIFS(PA_OECM_Register!$AF$5:$AF$1504,PA_OECM_Register!$Z$5:$Z$1504,1,PA_OECM_Register!$E$5:$E$1504,"OECM",PA_OECM_Register!$AH$5:$AH$1504,0)*C97)</f>
        <v/>
      </c>
      <c r="F97" s="26">
        <f>IF(A97="","",IF(N(Setup!$B$10)&gt;0,(D97+E97)/Setup!$B$10,""))</f>
        <v/>
      </c>
      <c r="G97" s="25">
        <f>IF(A97="","",SUMIFS(PA_OECM_Register!$AG$5:$AG$1504,PA_OECM_Register!$Z$5:$Z$1504,1,PA_OECM_Register!$E$5:$E$1504,"PA",PA_OECM_Register!$AH$5:$AH$1504,"&gt;0",PA_OECM_Register!$AH$5:$AH$1504,"&lt;="&amp;A97)+SUMIFS(PA_OECM_Register!$AG$5:$AG$1504,PA_OECM_Register!$Z$5:$Z$1504,1,PA_OECM_Register!$E$5:$E$1504,"PA",PA_OECM_Register!$AH$5:$AH$1504,0)*B97)</f>
        <v/>
      </c>
      <c r="H97" s="25">
        <f>IF(A97="","",SUMIFS(PA_OECM_Register!$AG$5:$AG$1504,PA_OECM_Register!$Z$5:$Z$1504,1,PA_OECM_Register!$E$5:$E$1504,"OECM",PA_OECM_Register!$AH$5:$AH$1504,"&gt;0",PA_OECM_Register!$AH$5:$AH$1504,"&lt;="&amp;A97)+SUMIFS(PA_OECM_Register!$AG$5:$AG$1504,PA_OECM_Register!$Z$5:$Z$1504,1,PA_OECM_Register!$E$5:$E$1504,"OECM",PA_OECM_Register!$AH$5:$AH$1504,0)*C97)</f>
        <v/>
      </c>
      <c r="I97" s="26">
        <f>IF(A97="","",IF(N(Setup!$B$11)&gt;0,(G97+H97)/Setup!$B$11,""))</f>
        <v/>
      </c>
      <c r="J97" s="26">
        <f>IF(A97="","",IF(N(Setup!$B$10)&gt;0,SUMIFS(PA_OECM_Register!$AF$5:$AF$1504,PA_OECM_Register!$Z$5:$Z$1504,1,PA_OECM_Register!$AH$5:$AH$1504,"&gt;0",PA_OECM_Register!$AH$5:$AH$1504,"&lt;="&amp;A97)/Setup!$B$10,""))</f>
        <v/>
      </c>
      <c r="K97" s="26">
        <f>IF(A97="","",IF(N(Setup!$B$11)&gt;0,SUMIFS(PA_OECM_Register!$AG$5:$AG$1504,PA_OECM_Register!$Z$5:$Z$1504,1,PA_OECM_Register!$AH$5:$AH$1504,"&gt;0",PA_OECM_Register!$AH$5:$AH$1504,"&lt;="&amp;A97)/Setup!$B$11,""))</f>
        <v/>
      </c>
    </row>
    <row r="98">
      <c r="A98" s="33">
        <f>IF(Setup!$B$27+93&gt;Setup!$B$6,"",Setup!$B$27+93)</f>
        <v/>
      </c>
      <c r="B98" s="38">
        <f>IF(A98="","",COUNTIFS(PA_OECM_Register!$Z$5:$Z$1504,1,PA_OECM_Register!$E$5:$E$1504,"PA",PA_OECM_Register!$AH$5:$AH$1504,"&gt;0",PA_OECM_Register!$AH$5:$AH$1504,"&lt;="&amp;A98)/MAX(1,COUNTIFS(PA_OECM_Register!$Z$5:$Z$1504,1,PA_OECM_Register!$E$5:$E$1504,"PA",PA_OECM_Register!$AH$5:$AH$1504,"&gt;0")))</f>
        <v/>
      </c>
      <c r="C98" s="38">
        <f>IF(A98="","",COUNTIFS(PA_OECM_Register!$Z$5:$Z$1504,1,PA_OECM_Register!$E$5:$E$1504,"OECM",PA_OECM_Register!$AH$5:$AH$1504,"&gt;0",PA_OECM_Register!$AH$5:$AH$1504,"&lt;="&amp;A98)/MAX(1,COUNTIFS(PA_OECM_Register!$Z$5:$Z$1504,1,PA_OECM_Register!$E$5:$E$1504,"OECM",PA_OECM_Register!$AH$5:$AH$1504,"&gt;0")))</f>
        <v/>
      </c>
      <c r="D98" s="25">
        <f>IF(A98="","",SUMIFS(PA_OECM_Register!$AF$5:$AF$1504,PA_OECM_Register!$Z$5:$Z$1504,1,PA_OECM_Register!$E$5:$E$1504,"PA",PA_OECM_Register!$AH$5:$AH$1504,"&gt;0",PA_OECM_Register!$AH$5:$AH$1504,"&lt;="&amp;A98)+SUMIFS(PA_OECM_Register!$AF$5:$AF$1504,PA_OECM_Register!$Z$5:$Z$1504,1,PA_OECM_Register!$E$5:$E$1504,"PA",PA_OECM_Register!$AH$5:$AH$1504,0)*B98)</f>
        <v/>
      </c>
      <c r="E98" s="25">
        <f>IF(A98="","",SUMIFS(PA_OECM_Register!$AF$5:$AF$1504,PA_OECM_Register!$Z$5:$Z$1504,1,PA_OECM_Register!$E$5:$E$1504,"OECM",PA_OECM_Register!$AH$5:$AH$1504,"&gt;0",PA_OECM_Register!$AH$5:$AH$1504,"&lt;="&amp;A98)+SUMIFS(PA_OECM_Register!$AF$5:$AF$1504,PA_OECM_Register!$Z$5:$Z$1504,1,PA_OECM_Register!$E$5:$E$1504,"OECM",PA_OECM_Register!$AH$5:$AH$1504,0)*C98)</f>
        <v/>
      </c>
      <c r="F98" s="26">
        <f>IF(A98="","",IF(N(Setup!$B$10)&gt;0,(D98+E98)/Setup!$B$10,""))</f>
        <v/>
      </c>
      <c r="G98" s="25">
        <f>IF(A98="","",SUMIFS(PA_OECM_Register!$AG$5:$AG$1504,PA_OECM_Register!$Z$5:$Z$1504,1,PA_OECM_Register!$E$5:$E$1504,"PA",PA_OECM_Register!$AH$5:$AH$1504,"&gt;0",PA_OECM_Register!$AH$5:$AH$1504,"&lt;="&amp;A98)+SUMIFS(PA_OECM_Register!$AG$5:$AG$1504,PA_OECM_Register!$Z$5:$Z$1504,1,PA_OECM_Register!$E$5:$E$1504,"PA",PA_OECM_Register!$AH$5:$AH$1504,0)*B98)</f>
        <v/>
      </c>
      <c r="H98" s="25">
        <f>IF(A98="","",SUMIFS(PA_OECM_Register!$AG$5:$AG$1504,PA_OECM_Register!$Z$5:$Z$1504,1,PA_OECM_Register!$E$5:$E$1504,"OECM",PA_OECM_Register!$AH$5:$AH$1504,"&gt;0",PA_OECM_Register!$AH$5:$AH$1504,"&lt;="&amp;A98)+SUMIFS(PA_OECM_Register!$AG$5:$AG$1504,PA_OECM_Register!$Z$5:$Z$1504,1,PA_OECM_Register!$E$5:$E$1504,"OECM",PA_OECM_Register!$AH$5:$AH$1504,0)*C98)</f>
        <v/>
      </c>
      <c r="I98" s="26">
        <f>IF(A98="","",IF(N(Setup!$B$11)&gt;0,(G98+H98)/Setup!$B$11,""))</f>
        <v/>
      </c>
      <c r="J98" s="26">
        <f>IF(A98="","",IF(N(Setup!$B$10)&gt;0,SUMIFS(PA_OECM_Register!$AF$5:$AF$1504,PA_OECM_Register!$Z$5:$Z$1504,1,PA_OECM_Register!$AH$5:$AH$1504,"&gt;0",PA_OECM_Register!$AH$5:$AH$1504,"&lt;="&amp;A98)/Setup!$B$10,""))</f>
        <v/>
      </c>
      <c r="K98" s="26">
        <f>IF(A98="","",IF(N(Setup!$B$11)&gt;0,SUMIFS(PA_OECM_Register!$AG$5:$AG$1504,PA_OECM_Register!$Z$5:$Z$1504,1,PA_OECM_Register!$AH$5:$AH$1504,"&gt;0",PA_OECM_Register!$AH$5:$AH$1504,"&lt;="&amp;A98)/Setup!$B$11,""))</f>
        <v/>
      </c>
    </row>
    <row r="99">
      <c r="A99" s="33">
        <f>IF(Setup!$B$27+94&gt;Setup!$B$6,"",Setup!$B$27+94)</f>
        <v/>
      </c>
      <c r="B99" s="38">
        <f>IF(A99="","",COUNTIFS(PA_OECM_Register!$Z$5:$Z$1504,1,PA_OECM_Register!$E$5:$E$1504,"PA",PA_OECM_Register!$AH$5:$AH$1504,"&gt;0",PA_OECM_Register!$AH$5:$AH$1504,"&lt;="&amp;A99)/MAX(1,COUNTIFS(PA_OECM_Register!$Z$5:$Z$1504,1,PA_OECM_Register!$E$5:$E$1504,"PA",PA_OECM_Register!$AH$5:$AH$1504,"&gt;0")))</f>
        <v/>
      </c>
      <c r="C99" s="38">
        <f>IF(A99="","",COUNTIFS(PA_OECM_Register!$Z$5:$Z$1504,1,PA_OECM_Register!$E$5:$E$1504,"OECM",PA_OECM_Register!$AH$5:$AH$1504,"&gt;0",PA_OECM_Register!$AH$5:$AH$1504,"&lt;="&amp;A99)/MAX(1,COUNTIFS(PA_OECM_Register!$Z$5:$Z$1504,1,PA_OECM_Register!$E$5:$E$1504,"OECM",PA_OECM_Register!$AH$5:$AH$1504,"&gt;0")))</f>
        <v/>
      </c>
      <c r="D99" s="25">
        <f>IF(A99="","",SUMIFS(PA_OECM_Register!$AF$5:$AF$1504,PA_OECM_Register!$Z$5:$Z$1504,1,PA_OECM_Register!$E$5:$E$1504,"PA",PA_OECM_Register!$AH$5:$AH$1504,"&gt;0",PA_OECM_Register!$AH$5:$AH$1504,"&lt;="&amp;A99)+SUMIFS(PA_OECM_Register!$AF$5:$AF$1504,PA_OECM_Register!$Z$5:$Z$1504,1,PA_OECM_Register!$E$5:$E$1504,"PA",PA_OECM_Register!$AH$5:$AH$1504,0)*B99)</f>
        <v/>
      </c>
      <c r="E99" s="25">
        <f>IF(A99="","",SUMIFS(PA_OECM_Register!$AF$5:$AF$1504,PA_OECM_Register!$Z$5:$Z$1504,1,PA_OECM_Register!$E$5:$E$1504,"OECM",PA_OECM_Register!$AH$5:$AH$1504,"&gt;0",PA_OECM_Register!$AH$5:$AH$1504,"&lt;="&amp;A99)+SUMIFS(PA_OECM_Register!$AF$5:$AF$1504,PA_OECM_Register!$Z$5:$Z$1504,1,PA_OECM_Register!$E$5:$E$1504,"OECM",PA_OECM_Register!$AH$5:$AH$1504,0)*C99)</f>
        <v/>
      </c>
      <c r="F99" s="26">
        <f>IF(A99="","",IF(N(Setup!$B$10)&gt;0,(D99+E99)/Setup!$B$10,""))</f>
        <v/>
      </c>
      <c r="G99" s="25">
        <f>IF(A99="","",SUMIFS(PA_OECM_Register!$AG$5:$AG$1504,PA_OECM_Register!$Z$5:$Z$1504,1,PA_OECM_Register!$E$5:$E$1504,"PA",PA_OECM_Register!$AH$5:$AH$1504,"&gt;0",PA_OECM_Register!$AH$5:$AH$1504,"&lt;="&amp;A99)+SUMIFS(PA_OECM_Register!$AG$5:$AG$1504,PA_OECM_Register!$Z$5:$Z$1504,1,PA_OECM_Register!$E$5:$E$1504,"PA",PA_OECM_Register!$AH$5:$AH$1504,0)*B99)</f>
        <v/>
      </c>
      <c r="H99" s="25">
        <f>IF(A99="","",SUMIFS(PA_OECM_Register!$AG$5:$AG$1504,PA_OECM_Register!$Z$5:$Z$1504,1,PA_OECM_Register!$E$5:$E$1504,"OECM",PA_OECM_Register!$AH$5:$AH$1504,"&gt;0",PA_OECM_Register!$AH$5:$AH$1504,"&lt;="&amp;A99)+SUMIFS(PA_OECM_Register!$AG$5:$AG$1504,PA_OECM_Register!$Z$5:$Z$1504,1,PA_OECM_Register!$E$5:$E$1504,"OECM",PA_OECM_Register!$AH$5:$AH$1504,0)*C99)</f>
        <v/>
      </c>
      <c r="I99" s="26">
        <f>IF(A99="","",IF(N(Setup!$B$11)&gt;0,(G99+H99)/Setup!$B$11,""))</f>
        <v/>
      </c>
      <c r="J99" s="26">
        <f>IF(A99="","",IF(N(Setup!$B$10)&gt;0,SUMIFS(PA_OECM_Register!$AF$5:$AF$1504,PA_OECM_Register!$Z$5:$Z$1504,1,PA_OECM_Register!$AH$5:$AH$1504,"&gt;0",PA_OECM_Register!$AH$5:$AH$1504,"&lt;="&amp;A99)/Setup!$B$10,""))</f>
        <v/>
      </c>
      <c r="K99" s="26">
        <f>IF(A99="","",IF(N(Setup!$B$11)&gt;0,SUMIFS(PA_OECM_Register!$AG$5:$AG$1504,PA_OECM_Register!$Z$5:$Z$1504,1,PA_OECM_Register!$AH$5:$AH$1504,"&gt;0",PA_OECM_Register!$AH$5:$AH$1504,"&lt;="&amp;A99)/Setup!$B$11,""))</f>
        <v/>
      </c>
    </row>
    <row r="100">
      <c r="A100" s="33">
        <f>IF(Setup!$B$27+95&gt;Setup!$B$6,"",Setup!$B$27+95)</f>
        <v/>
      </c>
      <c r="B100" s="38">
        <f>IF(A100="","",COUNTIFS(PA_OECM_Register!$Z$5:$Z$1504,1,PA_OECM_Register!$E$5:$E$1504,"PA",PA_OECM_Register!$AH$5:$AH$1504,"&gt;0",PA_OECM_Register!$AH$5:$AH$1504,"&lt;="&amp;A100)/MAX(1,COUNTIFS(PA_OECM_Register!$Z$5:$Z$1504,1,PA_OECM_Register!$E$5:$E$1504,"PA",PA_OECM_Register!$AH$5:$AH$1504,"&gt;0")))</f>
        <v/>
      </c>
      <c r="C100" s="38">
        <f>IF(A100="","",COUNTIFS(PA_OECM_Register!$Z$5:$Z$1504,1,PA_OECM_Register!$E$5:$E$1504,"OECM",PA_OECM_Register!$AH$5:$AH$1504,"&gt;0",PA_OECM_Register!$AH$5:$AH$1504,"&lt;="&amp;A100)/MAX(1,COUNTIFS(PA_OECM_Register!$Z$5:$Z$1504,1,PA_OECM_Register!$E$5:$E$1504,"OECM",PA_OECM_Register!$AH$5:$AH$1504,"&gt;0")))</f>
        <v/>
      </c>
      <c r="D100" s="25">
        <f>IF(A100="","",SUMIFS(PA_OECM_Register!$AF$5:$AF$1504,PA_OECM_Register!$Z$5:$Z$1504,1,PA_OECM_Register!$E$5:$E$1504,"PA",PA_OECM_Register!$AH$5:$AH$1504,"&gt;0",PA_OECM_Register!$AH$5:$AH$1504,"&lt;="&amp;A100)+SUMIFS(PA_OECM_Register!$AF$5:$AF$1504,PA_OECM_Register!$Z$5:$Z$1504,1,PA_OECM_Register!$E$5:$E$1504,"PA",PA_OECM_Register!$AH$5:$AH$1504,0)*B100)</f>
        <v/>
      </c>
      <c r="E100" s="25">
        <f>IF(A100="","",SUMIFS(PA_OECM_Register!$AF$5:$AF$1504,PA_OECM_Register!$Z$5:$Z$1504,1,PA_OECM_Register!$E$5:$E$1504,"OECM",PA_OECM_Register!$AH$5:$AH$1504,"&gt;0",PA_OECM_Register!$AH$5:$AH$1504,"&lt;="&amp;A100)+SUMIFS(PA_OECM_Register!$AF$5:$AF$1504,PA_OECM_Register!$Z$5:$Z$1504,1,PA_OECM_Register!$E$5:$E$1504,"OECM",PA_OECM_Register!$AH$5:$AH$1504,0)*C100)</f>
        <v/>
      </c>
      <c r="F100" s="26">
        <f>IF(A100="","",IF(N(Setup!$B$10)&gt;0,(D100+E100)/Setup!$B$10,""))</f>
        <v/>
      </c>
      <c r="G100" s="25">
        <f>IF(A100="","",SUMIFS(PA_OECM_Register!$AG$5:$AG$1504,PA_OECM_Register!$Z$5:$Z$1504,1,PA_OECM_Register!$E$5:$E$1504,"PA",PA_OECM_Register!$AH$5:$AH$1504,"&gt;0",PA_OECM_Register!$AH$5:$AH$1504,"&lt;="&amp;A100)+SUMIFS(PA_OECM_Register!$AG$5:$AG$1504,PA_OECM_Register!$Z$5:$Z$1504,1,PA_OECM_Register!$E$5:$E$1504,"PA",PA_OECM_Register!$AH$5:$AH$1504,0)*B100)</f>
        <v/>
      </c>
      <c r="H100" s="25">
        <f>IF(A100="","",SUMIFS(PA_OECM_Register!$AG$5:$AG$1504,PA_OECM_Register!$Z$5:$Z$1504,1,PA_OECM_Register!$E$5:$E$1504,"OECM",PA_OECM_Register!$AH$5:$AH$1504,"&gt;0",PA_OECM_Register!$AH$5:$AH$1504,"&lt;="&amp;A100)+SUMIFS(PA_OECM_Register!$AG$5:$AG$1504,PA_OECM_Register!$Z$5:$Z$1504,1,PA_OECM_Register!$E$5:$E$1504,"OECM",PA_OECM_Register!$AH$5:$AH$1504,0)*C100)</f>
        <v/>
      </c>
      <c r="I100" s="26">
        <f>IF(A100="","",IF(N(Setup!$B$11)&gt;0,(G100+H100)/Setup!$B$11,""))</f>
        <v/>
      </c>
      <c r="J100" s="26">
        <f>IF(A100="","",IF(N(Setup!$B$10)&gt;0,SUMIFS(PA_OECM_Register!$AF$5:$AF$1504,PA_OECM_Register!$Z$5:$Z$1504,1,PA_OECM_Register!$AH$5:$AH$1504,"&gt;0",PA_OECM_Register!$AH$5:$AH$1504,"&lt;="&amp;A100)/Setup!$B$10,""))</f>
        <v/>
      </c>
      <c r="K100" s="26">
        <f>IF(A100="","",IF(N(Setup!$B$11)&gt;0,SUMIFS(PA_OECM_Register!$AG$5:$AG$1504,PA_OECM_Register!$Z$5:$Z$1504,1,PA_OECM_Register!$AH$5:$AH$1504,"&gt;0",PA_OECM_Register!$AH$5:$AH$1504,"&lt;="&amp;A100)/Setup!$B$11,""))</f>
        <v/>
      </c>
    </row>
    <row r="101">
      <c r="A101" s="33">
        <f>IF(Setup!$B$27+96&gt;Setup!$B$6,"",Setup!$B$27+96)</f>
        <v/>
      </c>
      <c r="B101" s="38">
        <f>IF(A101="","",COUNTIFS(PA_OECM_Register!$Z$5:$Z$1504,1,PA_OECM_Register!$E$5:$E$1504,"PA",PA_OECM_Register!$AH$5:$AH$1504,"&gt;0",PA_OECM_Register!$AH$5:$AH$1504,"&lt;="&amp;A101)/MAX(1,COUNTIFS(PA_OECM_Register!$Z$5:$Z$1504,1,PA_OECM_Register!$E$5:$E$1504,"PA",PA_OECM_Register!$AH$5:$AH$1504,"&gt;0")))</f>
        <v/>
      </c>
      <c r="C101" s="38">
        <f>IF(A101="","",COUNTIFS(PA_OECM_Register!$Z$5:$Z$1504,1,PA_OECM_Register!$E$5:$E$1504,"OECM",PA_OECM_Register!$AH$5:$AH$1504,"&gt;0",PA_OECM_Register!$AH$5:$AH$1504,"&lt;="&amp;A101)/MAX(1,COUNTIFS(PA_OECM_Register!$Z$5:$Z$1504,1,PA_OECM_Register!$E$5:$E$1504,"OECM",PA_OECM_Register!$AH$5:$AH$1504,"&gt;0")))</f>
        <v/>
      </c>
      <c r="D101" s="25">
        <f>IF(A101="","",SUMIFS(PA_OECM_Register!$AF$5:$AF$1504,PA_OECM_Register!$Z$5:$Z$1504,1,PA_OECM_Register!$E$5:$E$1504,"PA",PA_OECM_Register!$AH$5:$AH$1504,"&gt;0",PA_OECM_Register!$AH$5:$AH$1504,"&lt;="&amp;A101)+SUMIFS(PA_OECM_Register!$AF$5:$AF$1504,PA_OECM_Register!$Z$5:$Z$1504,1,PA_OECM_Register!$E$5:$E$1504,"PA",PA_OECM_Register!$AH$5:$AH$1504,0)*B101)</f>
        <v/>
      </c>
      <c r="E101" s="25">
        <f>IF(A101="","",SUMIFS(PA_OECM_Register!$AF$5:$AF$1504,PA_OECM_Register!$Z$5:$Z$1504,1,PA_OECM_Register!$E$5:$E$1504,"OECM",PA_OECM_Register!$AH$5:$AH$1504,"&gt;0",PA_OECM_Register!$AH$5:$AH$1504,"&lt;="&amp;A101)+SUMIFS(PA_OECM_Register!$AF$5:$AF$1504,PA_OECM_Register!$Z$5:$Z$1504,1,PA_OECM_Register!$E$5:$E$1504,"OECM",PA_OECM_Register!$AH$5:$AH$1504,0)*C101)</f>
        <v/>
      </c>
      <c r="F101" s="26">
        <f>IF(A101="","",IF(N(Setup!$B$10)&gt;0,(D101+E101)/Setup!$B$10,""))</f>
        <v/>
      </c>
      <c r="G101" s="25">
        <f>IF(A101="","",SUMIFS(PA_OECM_Register!$AG$5:$AG$1504,PA_OECM_Register!$Z$5:$Z$1504,1,PA_OECM_Register!$E$5:$E$1504,"PA",PA_OECM_Register!$AH$5:$AH$1504,"&gt;0",PA_OECM_Register!$AH$5:$AH$1504,"&lt;="&amp;A101)+SUMIFS(PA_OECM_Register!$AG$5:$AG$1504,PA_OECM_Register!$Z$5:$Z$1504,1,PA_OECM_Register!$E$5:$E$1504,"PA",PA_OECM_Register!$AH$5:$AH$1504,0)*B101)</f>
        <v/>
      </c>
      <c r="H101" s="25">
        <f>IF(A101="","",SUMIFS(PA_OECM_Register!$AG$5:$AG$1504,PA_OECM_Register!$Z$5:$Z$1504,1,PA_OECM_Register!$E$5:$E$1504,"OECM",PA_OECM_Register!$AH$5:$AH$1504,"&gt;0",PA_OECM_Register!$AH$5:$AH$1504,"&lt;="&amp;A101)+SUMIFS(PA_OECM_Register!$AG$5:$AG$1504,PA_OECM_Register!$Z$5:$Z$1504,1,PA_OECM_Register!$E$5:$E$1504,"OECM",PA_OECM_Register!$AH$5:$AH$1504,0)*C101)</f>
        <v/>
      </c>
      <c r="I101" s="26">
        <f>IF(A101="","",IF(N(Setup!$B$11)&gt;0,(G101+H101)/Setup!$B$11,""))</f>
        <v/>
      </c>
      <c r="J101" s="26">
        <f>IF(A101="","",IF(N(Setup!$B$10)&gt;0,SUMIFS(PA_OECM_Register!$AF$5:$AF$1504,PA_OECM_Register!$Z$5:$Z$1504,1,PA_OECM_Register!$AH$5:$AH$1504,"&gt;0",PA_OECM_Register!$AH$5:$AH$1504,"&lt;="&amp;A101)/Setup!$B$10,""))</f>
        <v/>
      </c>
      <c r="K101" s="26">
        <f>IF(A101="","",IF(N(Setup!$B$11)&gt;0,SUMIFS(PA_OECM_Register!$AG$5:$AG$1504,PA_OECM_Register!$Z$5:$Z$1504,1,PA_OECM_Register!$AH$5:$AH$1504,"&gt;0",PA_OECM_Register!$AH$5:$AH$1504,"&lt;="&amp;A101)/Setup!$B$11,""))</f>
        <v/>
      </c>
    </row>
    <row r="102">
      <c r="A102" s="33">
        <f>IF(Setup!$B$27+97&gt;Setup!$B$6,"",Setup!$B$27+97)</f>
        <v/>
      </c>
      <c r="B102" s="38">
        <f>IF(A102="","",COUNTIFS(PA_OECM_Register!$Z$5:$Z$1504,1,PA_OECM_Register!$E$5:$E$1504,"PA",PA_OECM_Register!$AH$5:$AH$1504,"&gt;0",PA_OECM_Register!$AH$5:$AH$1504,"&lt;="&amp;A102)/MAX(1,COUNTIFS(PA_OECM_Register!$Z$5:$Z$1504,1,PA_OECM_Register!$E$5:$E$1504,"PA",PA_OECM_Register!$AH$5:$AH$1504,"&gt;0")))</f>
        <v/>
      </c>
      <c r="C102" s="38">
        <f>IF(A102="","",COUNTIFS(PA_OECM_Register!$Z$5:$Z$1504,1,PA_OECM_Register!$E$5:$E$1504,"OECM",PA_OECM_Register!$AH$5:$AH$1504,"&gt;0",PA_OECM_Register!$AH$5:$AH$1504,"&lt;="&amp;A102)/MAX(1,COUNTIFS(PA_OECM_Register!$Z$5:$Z$1504,1,PA_OECM_Register!$E$5:$E$1504,"OECM",PA_OECM_Register!$AH$5:$AH$1504,"&gt;0")))</f>
        <v/>
      </c>
      <c r="D102" s="25">
        <f>IF(A102="","",SUMIFS(PA_OECM_Register!$AF$5:$AF$1504,PA_OECM_Register!$Z$5:$Z$1504,1,PA_OECM_Register!$E$5:$E$1504,"PA",PA_OECM_Register!$AH$5:$AH$1504,"&gt;0",PA_OECM_Register!$AH$5:$AH$1504,"&lt;="&amp;A102)+SUMIFS(PA_OECM_Register!$AF$5:$AF$1504,PA_OECM_Register!$Z$5:$Z$1504,1,PA_OECM_Register!$E$5:$E$1504,"PA",PA_OECM_Register!$AH$5:$AH$1504,0)*B102)</f>
        <v/>
      </c>
      <c r="E102" s="25">
        <f>IF(A102="","",SUMIFS(PA_OECM_Register!$AF$5:$AF$1504,PA_OECM_Register!$Z$5:$Z$1504,1,PA_OECM_Register!$E$5:$E$1504,"OECM",PA_OECM_Register!$AH$5:$AH$1504,"&gt;0",PA_OECM_Register!$AH$5:$AH$1504,"&lt;="&amp;A102)+SUMIFS(PA_OECM_Register!$AF$5:$AF$1504,PA_OECM_Register!$Z$5:$Z$1504,1,PA_OECM_Register!$E$5:$E$1504,"OECM",PA_OECM_Register!$AH$5:$AH$1504,0)*C102)</f>
        <v/>
      </c>
      <c r="F102" s="26">
        <f>IF(A102="","",IF(N(Setup!$B$10)&gt;0,(D102+E102)/Setup!$B$10,""))</f>
        <v/>
      </c>
      <c r="G102" s="25">
        <f>IF(A102="","",SUMIFS(PA_OECM_Register!$AG$5:$AG$1504,PA_OECM_Register!$Z$5:$Z$1504,1,PA_OECM_Register!$E$5:$E$1504,"PA",PA_OECM_Register!$AH$5:$AH$1504,"&gt;0",PA_OECM_Register!$AH$5:$AH$1504,"&lt;="&amp;A102)+SUMIFS(PA_OECM_Register!$AG$5:$AG$1504,PA_OECM_Register!$Z$5:$Z$1504,1,PA_OECM_Register!$E$5:$E$1504,"PA",PA_OECM_Register!$AH$5:$AH$1504,0)*B102)</f>
        <v/>
      </c>
      <c r="H102" s="25">
        <f>IF(A102="","",SUMIFS(PA_OECM_Register!$AG$5:$AG$1504,PA_OECM_Register!$Z$5:$Z$1504,1,PA_OECM_Register!$E$5:$E$1504,"OECM",PA_OECM_Register!$AH$5:$AH$1504,"&gt;0",PA_OECM_Register!$AH$5:$AH$1504,"&lt;="&amp;A102)+SUMIFS(PA_OECM_Register!$AG$5:$AG$1504,PA_OECM_Register!$Z$5:$Z$1504,1,PA_OECM_Register!$E$5:$E$1504,"OECM",PA_OECM_Register!$AH$5:$AH$1504,0)*C102)</f>
        <v/>
      </c>
      <c r="I102" s="26">
        <f>IF(A102="","",IF(N(Setup!$B$11)&gt;0,(G102+H102)/Setup!$B$11,""))</f>
        <v/>
      </c>
      <c r="J102" s="26">
        <f>IF(A102="","",IF(N(Setup!$B$10)&gt;0,SUMIFS(PA_OECM_Register!$AF$5:$AF$1504,PA_OECM_Register!$Z$5:$Z$1504,1,PA_OECM_Register!$AH$5:$AH$1504,"&gt;0",PA_OECM_Register!$AH$5:$AH$1504,"&lt;="&amp;A102)/Setup!$B$10,""))</f>
        <v/>
      </c>
      <c r="K102" s="26">
        <f>IF(A102="","",IF(N(Setup!$B$11)&gt;0,SUMIFS(PA_OECM_Register!$AG$5:$AG$1504,PA_OECM_Register!$Z$5:$Z$1504,1,PA_OECM_Register!$AH$5:$AH$1504,"&gt;0",PA_OECM_Register!$AH$5:$AH$1504,"&lt;="&amp;A102)/Setup!$B$11,""))</f>
        <v/>
      </c>
    </row>
    <row r="103">
      <c r="A103" s="33">
        <f>IF(Setup!$B$27+98&gt;Setup!$B$6,"",Setup!$B$27+98)</f>
        <v/>
      </c>
      <c r="B103" s="38">
        <f>IF(A103="","",COUNTIFS(PA_OECM_Register!$Z$5:$Z$1504,1,PA_OECM_Register!$E$5:$E$1504,"PA",PA_OECM_Register!$AH$5:$AH$1504,"&gt;0",PA_OECM_Register!$AH$5:$AH$1504,"&lt;="&amp;A103)/MAX(1,COUNTIFS(PA_OECM_Register!$Z$5:$Z$1504,1,PA_OECM_Register!$E$5:$E$1504,"PA",PA_OECM_Register!$AH$5:$AH$1504,"&gt;0")))</f>
        <v/>
      </c>
      <c r="C103" s="38">
        <f>IF(A103="","",COUNTIFS(PA_OECM_Register!$Z$5:$Z$1504,1,PA_OECM_Register!$E$5:$E$1504,"OECM",PA_OECM_Register!$AH$5:$AH$1504,"&gt;0",PA_OECM_Register!$AH$5:$AH$1504,"&lt;="&amp;A103)/MAX(1,COUNTIFS(PA_OECM_Register!$Z$5:$Z$1504,1,PA_OECM_Register!$E$5:$E$1504,"OECM",PA_OECM_Register!$AH$5:$AH$1504,"&gt;0")))</f>
        <v/>
      </c>
      <c r="D103" s="25">
        <f>IF(A103="","",SUMIFS(PA_OECM_Register!$AF$5:$AF$1504,PA_OECM_Register!$Z$5:$Z$1504,1,PA_OECM_Register!$E$5:$E$1504,"PA",PA_OECM_Register!$AH$5:$AH$1504,"&gt;0",PA_OECM_Register!$AH$5:$AH$1504,"&lt;="&amp;A103)+SUMIFS(PA_OECM_Register!$AF$5:$AF$1504,PA_OECM_Register!$Z$5:$Z$1504,1,PA_OECM_Register!$E$5:$E$1504,"PA",PA_OECM_Register!$AH$5:$AH$1504,0)*B103)</f>
        <v/>
      </c>
      <c r="E103" s="25">
        <f>IF(A103="","",SUMIFS(PA_OECM_Register!$AF$5:$AF$1504,PA_OECM_Register!$Z$5:$Z$1504,1,PA_OECM_Register!$E$5:$E$1504,"OECM",PA_OECM_Register!$AH$5:$AH$1504,"&gt;0",PA_OECM_Register!$AH$5:$AH$1504,"&lt;="&amp;A103)+SUMIFS(PA_OECM_Register!$AF$5:$AF$1504,PA_OECM_Register!$Z$5:$Z$1504,1,PA_OECM_Register!$E$5:$E$1504,"OECM",PA_OECM_Register!$AH$5:$AH$1504,0)*C103)</f>
        <v/>
      </c>
      <c r="F103" s="26">
        <f>IF(A103="","",IF(N(Setup!$B$10)&gt;0,(D103+E103)/Setup!$B$10,""))</f>
        <v/>
      </c>
      <c r="G103" s="25">
        <f>IF(A103="","",SUMIFS(PA_OECM_Register!$AG$5:$AG$1504,PA_OECM_Register!$Z$5:$Z$1504,1,PA_OECM_Register!$E$5:$E$1504,"PA",PA_OECM_Register!$AH$5:$AH$1504,"&gt;0",PA_OECM_Register!$AH$5:$AH$1504,"&lt;="&amp;A103)+SUMIFS(PA_OECM_Register!$AG$5:$AG$1504,PA_OECM_Register!$Z$5:$Z$1504,1,PA_OECM_Register!$E$5:$E$1504,"PA",PA_OECM_Register!$AH$5:$AH$1504,0)*B103)</f>
        <v/>
      </c>
      <c r="H103" s="25">
        <f>IF(A103="","",SUMIFS(PA_OECM_Register!$AG$5:$AG$1504,PA_OECM_Register!$Z$5:$Z$1504,1,PA_OECM_Register!$E$5:$E$1504,"OECM",PA_OECM_Register!$AH$5:$AH$1504,"&gt;0",PA_OECM_Register!$AH$5:$AH$1504,"&lt;="&amp;A103)+SUMIFS(PA_OECM_Register!$AG$5:$AG$1504,PA_OECM_Register!$Z$5:$Z$1504,1,PA_OECM_Register!$E$5:$E$1504,"OECM",PA_OECM_Register!$AH$5:$AH$1504,0)*C103)</f>
        <v/>
      </c>
      <c r="I103" s="26">
        <f>IF(A103="","",IF(N(Setup!$B$11)&gt;0,(G103+H103)/Setup!$B$11,""))</f>
        <v/>
      </c>
      <c r="J103" s="26">
        <f>IF(A103="","",IF(N(Setup!$B$10)&gt;0,SUMIFS(PA_OECM_Register!$AF$5:$AF$1504,PA_OECM_Register!$Z$5:$Z$1504,1,PA_OECM_Register!$AH$5:$AH$1504,"&gt;0",PA_OECM_Register!$AH$5:$AH$1504,"&lt;="&amp;A103)/Setup!$B$10,""))</f>
        <v/>
      </c>
      <c r="K103" s="26">
        <f>IF(A103="","",IF(N(Setup!$B$11)&gt;0,SUMIFS(PA_OECM_Register!$AG$5:$AG$1504,PA_OECM_Register!$Z$5:$Z$1504,1,PA_OECM_Register!$AH$5:$AH$1504,"&gt;0",PA_OECM_Register!$AH$5:$AH$1504,"&lt;="&amp;A103)/Setup!$B$11,""))</f>
        <v/>
      </c>
    </row>
    <row r="104">
      <c r="A104" s="33">
        <f>IF(Setup!$B$27+99&gt;Setup!$B$6,"",Setup!$B$27+99)</f>
        <v/>
      </c>
      <c r="B104" s="38">
        <f>IF(A104="","",COUNTIFS(PA_OECM_Register!$Z$5:$Z$1504,1,PA_OECM_Register!$E$5:$E$1504,"PA",PA_OECM_Register!$AH$5:$AH$1504,"&gt;0",PA_OECM_Register!$AH$5:$AH$1504,"&lt;="&amp;A104)/MAX(1,COUNTIFS(PA_OECM_Register!$Z$5:$Z$1504,1,PA_OECM_Register!$E$5:$E$1504,"PA",PA_OECM_Register!$AH$5:$AH$1504,"&gt;0")))</f>
        <v/>
      </c>
      <c r="C104" s="38">
        <f>IF(A104="","",COUNTIFS(PA_OECM_Register!$Z$5:$Z$1504,1,PA_OECM_Register!$E$5:$E$1504,"OECM",PA_OECM_Register!$AH$5:$AH$1504,"&gt;0",PA_OECM_Register!$AH$5:$AH$1504,"&lt;="&amp;A104)/MAX(1,COUNTIFS(PA_OECM_Register!$Z$5:$Z$1504,1,PA_OECM_Register!$E$5:$E$1504,"OECM",PA_OECM_Register!$AH$5:$AH$1504,"&gt;0")))</f>
        <v/>
      </c>
      <c r="D104" s="25">
        <f>IF(A104="","",SUMIFS(PA_OECM_Register!$AF$5:$AF$1504,PA_OECM_Register!$Z$5:$Z$1504,1,PA_OECM_Register!$E$5:$E$1504,"PA",PA_OECM_Register!$AH$5:$AH$1504,"&gt;0",PA_OECM_Register!$AH$5:$AH$1504,"&lt;="&amp;A104)+SUMIFS(PA_OECM_Register!$AF$5:$AF$1504,PA_OECM_Register!$Z$5:$Z$1504,1,PA_OECM_Register!$E$5:$E$1504,"PA",PA_OECM_Register!$AH$5:$AH$1504,0)*B104)</f>
        <v/>
      </c>
      <c r="E104" s="25">
        <f>IF(A104="","",SUMIFS(PA_OECM_Register!$AF$5:$AF$1504,PA_OECM_Register!$Z$5:$Z$1504,1,PA_OECM_Register!$E$5:$E$1504,"OECM",PA_OECM_Register!$AH$5:$AH$1504,"&gt;0",PA_OECM_Register!$AH$5:$AH$1504,"&lt;="&amp;A104)+SUMIFS(PA_OECM_Register!$AF$5:$AF$1504,PA_OECM_Register!$Z$5:$Z$1504,1,PA_OECM_Register!$E$5:$E$1504,"OECM",PA_OECM_Register!$AH$5:$AH$1504,0)*C104)</f>
        <v/>
      </c>
      <c r="F104" s="26">
        <f>IF(A104="","",IF(N(Setup!$B$10)&gt;0,(D104+E104)/Setup!$B$10,""))</f>
        <v/>
      </c>
      <c r="G104" s="25">
        <f>IF(A104="","",SUMIFS(PA_OECM_Register!$AG$5:$AG$1504,PA_OECM_Register!$Z$5:$Z$1504,1,PA_OECM_Register!$E$5:$E$1504,"PA",PA_OECM_Register!$AH$5:$AH$1504,"&gt;0",PA_OECM_Register!$AH$5:$AH$1504,"&lt;="&amp;A104)+SUMIFS(PA_OECM_Register!$AG$5:$AG$1504,PA_OECM_Register!$Z$5:$Z$1504,1,PA_OECM_Register!$E$5:$E$1504,"PA",PA_OECM_Register!$AH$5:$AH$1504,0)*B104)</f>
        <v/>
      </c>
      <c r="H104" s="25">
        <f>IF(A104="","",SUMIFS(PA_OECM_Register!$AG$5:$AG$1504,PA_OECM_Register!$Z$5:$Z$1504,1,PA_OECM_Register!$E$5:$E$1504,"OECM",PA_OECM_Register!$AH$5:$AH$1504,"&gt;0",PA_OECM_Register!$AH$5:$AH$1504,"&lt;="&amp;A104)+SUMIFS(PA_OECM_Register!$AG$5:$AG$1504,PA_OECM_Register!$Z$5:$Z$1504,1,PA_OECM_Register!$E$5:$E$1504,"OECM",PA_OECM_Register!$AH$5:$AH$1504,0)*C104)</f>
        <v/>
      </c>
      <c r="I104" s="26">
        <f>IF(A104="","",IF(N(Setup!$B$11)&gt;0,(G104+H104)/Setup!$B$11,""))</f>
        <v/>
      </c>
      <c r="J104" s="26">
        <f>IF(A104="","",IF(N(Setup!$B$10)&gt;0,SUMIFS(PA_OECM_Register!$AF$5:$AF$1504,PA_OECM_Register!$Z$5:$Z$1504,1,PA_OECM_Register!$AH$5:$AH$1504,"&gt;0",PA_OECM_Register!$AH$5:$AH$1504,"&lt;="&amp;A104)/Setup!$B$10,""))</f>
        <v/>
      </c>
      <c r="K104" s="26">
        <f>IF(A104="","",IF(N(Setup!$B$11)&gt;0,SUMIFS(PA_OECM_Register!$AG$5:$AG$1504,PA_OECM_Register!$Z$5:$Z$1504,1,PA_OECM_Register!$AH$5:$AH$1504,"&gt;0",PA_OECM_Register!$AH$5:$AH$1504,"&lt;="&amp;A104)/Setup!$B$11,""))</f>
        <v/>
      </c>
    </row>
    <row r="105">
      <c r="A105" s="33">
        <f>IF(Setup!$B$27+100&gt;Setup!$B$6,"",Setup!$B$27+100)</f>
        <v/>
      </c>
      <c r="B105" s="38">
        <f>IF(A105="","",COUNTIFS(PA_OECM_Register!$Z$5:$Z$1504,1,PA_OECM_Register!$E$5:$E$1504,"PA",PA_OECM_Register!$AH$5:$AH$1504,"&gt;0",PA_OECM_Register!$AH$5:$AH$1504,"&lt;="&amp;A105)/MAX(1,COUNTIFS(PA_OECM_Register!$Z$5:$Z$1504,1,PA_OECM_Register!$E$5:$E$1504,"PA",PA_OECM_Register!$AH$5:$AH$1504,"&gt;0")))</f>
        <v/>
      </c>
      <c r="C105" s="38">
        <f>IF(A105="","",COUNTIFS(PA_OECM_Register!$Z$5:$Z$1504,1,PA_OECM_Register!$E$5:$E$1504,"OECM",PA_OECM_Register!$AH$5:$AH$1504,"&gt;0",PA_OECM_Register!$AH$5:$AH$1504,"&lt;="&amp;A105)/MAX(1,COUNTIFS(PA_OECM_Register!$Z$5:$Z$1504,1,PA_OECM_Register!$E$5:$E$1504,"OECM",PA_OECM_Register!$AH$5:$AH$1504,"&gt;0")))</f>
        <v/>
      </c>
      <c r="D105" s="25">
        <f>IF(A105="","",SUMIFS(PA_OECM_Register!$AF$5:$AF$1504,PA_OECM_Register!$Z$5:$Z$1504,1,PA_OECM_Register!$E$5:$E$1504,"PA",PA_OECM_Register!$AH$5:$AH$1504,"&gt;0",PA_OECM_Register!$AH$5:$AH$1504,"&lt;="&amp;A105)+SUMIFS(PA_OECM_Register!$AF$5:$AF$1504,PA_OECM_Register!$Z$5:$Z$1504,1,PA_OECM_Register!$E$5:$E$1504,"PA",PA_OECM_Register!$AH$5:$AH$1504,0)*B105)</f>
        <v/>
      </c>
      <c r="E105" s="25">
        <f>IF(A105="","",SUMIFS(PA_OECM_Register!$AF$5:$AF$1504,PA_OECM_Register!$Z$5:$Z$1504,1,PA_OECM_Register!$E$5:$E$1504,"OECM",PA_OECM_Register!$AH$5:$AH$1504,"&gt;0",PA_OECM_Register!$AH$5:$AH$1504,"&lt;="&amp;A105)+SUMIFS(PA_OECM_Register!$AF$5:$AF$1504,PA_OECM_Register!$Z$5:$Z$1504,1,PA_OECM_Register!$E$5:$E$1504,"OECM",PA_OECM_Register!$AH$5:$AH$1504,0)*C105)</f>
        <v/>
      </c>
      <c r="F105" s="26">
        <f>IF(A105="","",IF(N(Setup!$B$10)&gt;0,(D105+E105)/Setup!$B$10,""))</f>
        <v/>
      </c>
      <c r="G105" s="25">
        <f>IF(A105="","",SUMIFS(PA_OECM_Register!$AG$5:$AG$1504,PA_OECM_Register!$Z$5:$Z$1504,1,PA_OECM_Register!$E$5:$E$1504,"PA",PA_OECM_Register!$AH$5:$AH$1504,"&gt;0",PA_OECM_Register!$AH$5:$AH$1504,"&lt;="&amp;A105)+SUMIFS(PA_OECM_Register!$AG$5:$AG$1504,PA_OECM_Register!$Z$5:$Z$1504,1,PA_OECM_Register!$E$5:$E$1504,"PA",PA_OECM_Register!$AH$5:$AH$1504,0)*B105)</f>
        <v/>
      </c>
      <c r="H105" s="25">
        <f>IF(A105="","",SUMIFS(PA_OECM_Register!$AG$5:$AG$1504,PA_OECM_Register!$Z$5:$Z$1504,1,PA_OECM_Register!$E$5:$E$1504,"OECM",PA_OECM_Register!$AH$5:$AH$1504,"&gt;0",PA_OECM_Register!$AH$5:$AH$1504,"&lt;="&amp;A105)+SUMIFS(PA_OECM_Register!$AG$5:$AG$1504,PA_OECM_Register!$Z$5:$Z$1504,1,PA_OECM_Register!$E$5:$E$1504,"OECM",PA_OECM_Register!$AH$5:$AH$1504,0)*C105)</f>
        <v/>
      </c>
      <c r="I105" s="26">
        <f>IF(A105="","",IF(N(Setup!$B$11)&gt;0,(G105+H105)/Setup!$B$11,""))</f>
        <v/>
      </c>
      <c r="J105" s="26">
        <f>IF(A105="","",IF(N(Setup!$B$10)&gt;0,SUMIFS(PA_OECM_Register!$AF$5:$AF$1504,PA_OECM_Register!$Z$5:$Z$1504,1,PA_OECM_Register!$AH$5:$AH$1504,"&gt;0",PA_OECM_Register!$AH$5:$AH$1504,"&lt;="&amp;A105)/Setup!$B$10,""))</f>
        <v/>
      </c>
      <c r="K105" s="26">
        <f>IF(A105="","",IF(N(Setup!$B$11)&gt;0,SUMIFS(PA_OECM_Register!$AG$5:$AG$1504,PA_OECM_Register!$Z$5:$Z$1504,1,PA_OECM_Register!$AH$5:$AH$1504,"&gt;0",PA_OECM_Register!$AH$5:$AH$1504,"&lt;="&amp;A105)/Setup!$B$11,""))</f>
        <v/>
      </c>
    </row>
    <row r="106">
      <c r="A106" s="33">
        <f>IF(Setup!$B$27+101&gt;Setup!$B$6,"",Setup!$B$27+101)</f>
        <v/>
      </c>
      <c r="B106" s="38">
        <f>IF(A106="","",COUNTIFS(PA_OECM_Register!$Z$5:$Z$1504,1,PA_OECM_Register!$E$5:$E$1504,"PA",PA_OECM_Register!$AH$5:$AH$1504,"&gt;0",PA_OECM_Register!$AH$5:$AH$1504,"&lt;="&amp;A106)/MAX(1,COUNTIFS(PA_OECM_Register!$Z$5:$Z$1504,1,PA_OECM_Register!$E$5:$E$1504,"PA",PA_OECM_Register!$AH$5:$AH$1504,"&gt;0")))</f>
        <v/>
      </c>
      <c r="C106" s="38">
        <f>IF(A106="","",COUNTIFS(PA_OECM_Register!$Z$5:$Z$1504,1,PA_OECM_Register!$E$5:$E$1504,"OECM",PA_OECM_Register!$AH$5:$AH$1504,"&gt;0",PA_OECM_Register!$AH$5:$AH$1504,"&lt;="&amp;A106)/MAX(1,COUNTIFS(PA_OECM_Register!$Z$5:$Z$1504,1,PA_OECM_Register!$E$5:$E$1504,"OECM",PA_OECM_Register!$AH$5:$AH$1504,"&gt;0")))</f>
        <v/>
      </c>
      <c r="D106" s="25">
        <f>IF(A106="","",SUMIFS(PA_OECM_Register!$AF$5:$AF$1504,PA_OECM_Register!$Z$5:$Z$1504,1,PA_OECM_Register!$E$5:$E$1504,"PA",PA_OECM_Register!$AH$5:$AH$1504,"&gt;0",PA_OECM_Register!$AH$5:$AH$1504,"&lt;="&amp;A106)+SUMIFS(PA_OECM_Register!$AF$5:$AF$1504,PA_OECM_Register!$Z$5:$Z$1504,1,PA_OECM_Register!$E$5:$E$1504,"PA",PA_OECM_Register!$AH$5:$AH$1504,0)*B106)</f>
        <v/>
      </c>
      <c r="E106" s="25">
        <f>IF(A106="","",SUMIFS(PA_OECM_Register!$AF$5:$AF$1504,PA_OECM_Register!$Z$5:$Z$1504,1,PA_OECM_Register!$E$5:$E$1504,"OECM",PA_OECM_Register!$AH$5:$AH$1504,"&gt;0",PA_OECM_Register!$AH$5:$AH$1504,"&lt;="&amp;A106)+SUMIFS(PA_OECM_Register!$AF$5:$AF$1504,PA_OECM_Register!$Z$5:$Z$1504,1,PA_OECM_Register!$E$5:$E$1504,"OECM",PA_OECM_Register!$AH$5:$AH$1504,0)*C106)</f>
        <v/>
      </c>
      <c r="F106" s="26">
        <f>IF(A106="","",IF(N(Setup!$B$10)&gt;0,(D106+E106)/Setup!$B$10,""))</f>
        <v/>
      </c>
      <c r="G106" s="25">
        <f>IF(A106="","",SUMIFS(PA_OECM_Register!$AG$5:$AG$1504,PA_OECM_Register!$Z$5:$Z$1504,1,PA_OECM_Register!$E$5:$E$1504,"PA",PA_OECM_Register!$AH$5:$AH$1504,"&gt;0",PA_OECM_Register!$AH$5:$AH$1504,"&lt;="&amp;A106)+SUMIFS(PA_OECM_Register!$AG$5:$AG$1504,PA_OECM_Register!$Z$5:$Z$1504,1,PA_OECM_Register!$E$5:$E$1504,"PA",PA_OECM_Register!$AH$5:$AH$1504,0)*B106)</f>
        <v/>
      </c>
      <c r="H106" s="25">
        <f>IF(A106="","",SUMIFS(PA_OECM_Register!$AG$5:$AG$1504,PA_OECM_Register!$Z$5:$Z$1504,1,PA_OECM_Register!$E$5:$E$1504,"OECM",PA_OECM_Register!$AH$5:$AH$1504,"&gt;0",PA_OECM_Register!$AH$5:$AH$1504,"&lt;="&amp;A106)+SUMIFS(PA_OECM_Register!$AG$5:$AG$1504,PA_OECM_Register!$Z$5:$Z$1504,1,PA_OECM_Register!$E$5:$E$1504,"OECM",PA_OECM_Register!$AH$5:$AH$1504,0)*C106)</f>
        <v/>
      </c>
      <c r="I106" s="26">
        <f>IF(A106="","",IF(N(Setup!$B$11)&gt;0,(G106+H106)/Setup!$B$11,""))</f>
        <v/>
      </c>
      <c r="J106" s="26">
        <f>IF(A106="","",IF(N(Setup!$B$10)&gt;0,SUMIFS(PA_OECM_Register!$AF$5:$AF$1504,PA_OECM_Register!$Z$5:$Z$1504,1,PA_OECM_Register!$AH$5:$AH$1504,"&gt;0",PA_OECM_Register!$AH$5:$AH$1504,"&lt;="&amp;A106)/Setup!$B$10,""))</f>
        <v/>
      </c>
      <c r="K106" s="26">
        <f>IF(A106="","",IF(N(Setup!$B$11)&gt;0,SUMIFS(PA_OECM_Register!$AG$5:$AG$1504,PA_OECM_Register!$Z$5:$Z$1504,1,PA_OECM_Register!$AH$5:$AH$1504,"&gt;0",PA_OECM_Register!$AH$5:$AH$1504,"&lt;="&amp;A106)/Setup!$B$11,""))</f>
        <v/>
      </c>
    </row>
    <row r="107">
      <c r="A107" s="33">
        <f>IF(Setup!$B$27+102&gt;Setup!$B$6,"",Setup!$B$27+102)</f>
        <v/>
      </c>
      <c r="B107" s="38">
        <f>IF(A107="","",COUNTIFS(PA_OECM_Register!$Z$5:$Z$1504,1,PA_OECM_Register!$E$5:$E$1504,"PA",PA_OECM_Register!$AH$5:$AH$1504,"&gt;0",PA_OECM_Register!$AH$5:$AH$1504,"&lt;="&amp;A107)/MAX(1,COUNTIFS(PA_OECM_Register!$Z$5:$Z$1504,1,PA_OECM_Register!$E$5:$E$1504,"PA",PA_OECM_Register!$AH$5:$AH$1504,"&gt;0")))</f>
        <v/>
      </c>
      <c r="C107" s="38">
        <f>IF(A107="","",COUNTIFS(PA_OECM_Register!$Z$5:$Z$1504,1,PA_OECM_Register!$E$5:$E$1504,"OECM",PA_OECM_Register!$AH$5:$AH$1504,"&gt;0",PA_OECM_Register!$AH$5:$AH$1504,"&lt;="&amp;A107)/MAX(1,COUNTIFS(PA_OECM_Register!$Z$5:$Z$1504,1,PA_OECM_Register!$E$5:$E$1504,"OECM",PA_OECM_Register!$AH$5:$AH$1504,"&gt;0")))</f>
        <v/>
      </c>
      <c r="D107" s="25">
        <f>IF(A107="","",SUMIFS(PA_OECM_Register!$AF$5:$AF$1504,PA_OECM_Register!$Z$5:$Z$1504,1,PA_OECM_Register!$E$5:$E$1504,"PA",PA_OECM_Register!$AH$5:$AH$1504,"&gt;0",PA_OECM_Register!$AH$5:$AH$1504,"&lt;="&amp;A107)+SUMIFS(PA_OECM_Register!$AF$5:$AF$1504,PA_OECM_Register!$Z$5:$Z$1504,1,PA_OECM_Register!$E$5:$E$1504,"PA",PA_OECM_Register!$AH$5:$AH$1504,0)*B107)</f>
        <v/>
      </c>
      <c r="E107" s="25">
        <f>IF(A107="","",SUMIFS(PA_OECM_Register!$AF$5:$AF$1504,PA_OECM_Register!$Z$5:$Z$1504,1,PA_OECM_Register!$E$5:$E$1504,"OECM",PA_OECM_Register!$AH$5:$AH$1504,"&gt;0",PA_OECM_Register!$AH$5:$AH$1504,"&lt;="&amp;A107)+SUMIFS(PA_OECM_Register!$AF$5:$AF$1504,PA_OECM_Register!$Z$5:$Z$1504,1,PA_OECM_Register!$E$5:$E$1504,"OECM",PA_OECM_Register!$AH$5:$AH$1504,0)*C107)</f>
        <v/>
      </c>
      <c r="F107" s="26">
        <f>IF(A107="","",IF(N(Setup!$B$10)&gt;0,(D107+E107)/Setup!$B$10,""))</f>
        <v/>
      </c>
      <c r="G107" s="25">
        <f>IF(A107="","",SUMIFS(PA_OECM_Register!$AG$5:$AG$1504,PA_OECM_Register!$Z$5:$Z$1504,1,PA_OECM_Register!$E$5:$E$1504,"PA",PA_OECM_Register!$AH$5:$AH$1504,"&gt;0",PA_OECM_Register!$AH$5:$AH$1504,"&lt;="&amp;A107)+SUMIFS(PA_OECM_Register!$AG$5:$AG$1504,PA_OECM_Register!$Z$5:$Z$1504,1,PA_OECM_Register!$E$5:$E$1504,"PA",PA_OECM_Register!$AH$5:$AH$1504,0)*B107)</f>
        <v/>
      </c>
      <c r="H107" s="25">
        <f>IF(A107="","",SUMIFS(PA_OECM_Register!$AG$5:$AG$1504,PA_OECM_Register!$Z$5:$Z$1504,1,PA_OECM_Register!$E$5:$E$1504,"OECM",PA_OECM_Register!$AH$5:$AH$1504,"&gt;0",PA_OECM_Register!$AH$5:$AH$1504,"&lt;="&amp;A107)+SUMIFS(PA_OECM_Register!$AG$5:$AG$1504,PA_OECM_Register!$Z$5:$Z$1504,1,PA_OECM_Register!$E$5:$E$1504,"OECM",PA_OECM_Register!$AH$5:$AH$1504,0)*C107)</f>
        <v/>
      </c>
      <c r="I107" s="26">
        <f>IF(A107="","",IF(N(Setup!$B$11)&gt;0,(G107+H107)/Setup!$B$11,""))</f>
        <v/>
      </c>
      <c r="J107" s="26">
        <f>IF(A107="","",IF(N(Setup!$B$10)&gt;0,SUMIFS(PA_OECM_Register!$AF$5:$AF$1504,PA_OECM_Register!$Z$5:$Z$1504,1,PA_OECM_Register!$AH$5:$AH$1504,"&gt;0",PA_OECM_Register!$AH$5:$AH$1504,"&lt;="&amp;A107)/Setup!$B$10,""))</f>
        <v/>
      </c>
      <c r="K107" s="26">
        <f>IF(A107="","",IF(N(Setup!$B$11)&gt;0,SUMIFS(PA_OECM_Register!$AG$5:$AG$1504,PA_OECM_Register!$Z$5:$Z$1504,1,PA_OECM_Register!$AH$5:$AH$1504,"&gt;0",PA_OECM_Register!$AH$5:$AH$1504,"&lt;="&amp;A107)/Setup!$B$11,""))</f>
        <v/>
      </c>
    </row>
    <row r="108">
      <c r="A108" s="33">
        <f>IF(Setup!$B$27+103&gt;Setup!$B$6,"",Setup!$B$27+103)</f>
        <v/>
      </c>
      <c r="B108" s="38">
        <f>IF(A108="","",COUNTIFS(PA_OECM_Register!$Z$5:$Z$1504,1,PA_OECM_Register!$E$5:$E$1504,"PA",PA_OECM_Register!$AH$5:$AH$1504,"&gt;0",PA_OECM_Register!$AH$5:$AH$1504,"&lt;="&amp;A108)/MAX(1,COUNTIFS(PA_OECM_Register!$Z$5:$Z$1504,1,PA_OECM_Register!$E$5:$E$1504,"PA",PA_OECM_Register!$AH$5:$AH$1504,"&gt;0")))</f>
        <v/>
      </c>
      <c r="C108" s="38">
        <f>IF(A108="","",COUNTIFS(PA_OECM_Register!$Z$5:$Z$1504,1,PA_OECM_Register!$E$5:$E$1504,"OECM",PA_OECM_Register!$AH$5:$AH$1504,"&gt;0",PA_OECM_Register!$AH$5:$AH$1504,"&lt;="&amp;A108)/MAX(1,COUNTIFS(PA_OECM_Register!$Z$5:$Z$1504,1,PA_OECM_Register!$E$5:$E$1504,"OECM",PA_OECM_Register!$AH$5:$AH$1504,"&gt;0")))</f>
        <v/>
      </c>
      <c r="D108" s="25">
        <f>IF(A108="","",SUMIFS(PA_OECM_Register!$AF$5:$AF$1504,PA_OECM_Register!$Z$5:$Z$1504,1,PA_OECM_Register!$E$5:$E$1504,"PA",PA_OECM_Register!$AH$5:$AH$1504,"&gt;0",PA_OECM_Register!$AH$5:$AH$1504,"&lt;="&amp;A108)+SUMIFS(PA_OECM_Register!$AF$5:$AF$1504,PA_OECM_Register!$Z$5:$Z$1504,1,PA_OECM_Register!$E$5:$E$1504,"PA",PA_OECM_Register!$AH$5:$AH$1504,0)*B108)</f>
        <v/>
      </c>
      <c r="E108" s="25">
        <f>IF(A108="","",SUMIFS(PA_OECM_Register!$AF$5:$AF$1504,PA_OECM_Register!$Z$5:$Z$1504,1,PA_OECM_Register!$E$5:$E$1504,"OECM",PA_OECM_Register!$AH$5:$AH$1504,"&gt;0",PA_OECM_Register!$AH$5:$AH$1504,"&lt;="&amp;A108)+SUMIFS(PA_OECM_Register!$AF$5:$AF$1504,PA_OECM_Register!$Z$5:$Z$1504,1,PA_OECM_Register!$E$5:$E$1504,"OECM",PA_OECM_Register!$AH$5:$AH$1504,0)*C108)</f>
        <v/>
      </c>
      <c r="F108" s="26">
        <f>IF(A108="","",IF(N(Setup!$B$10)&gt;0,(D108+E108)/Setup!$B$10,""))</f>
        <v/>
      </c>
      <c r="G108" s="25">
        <f>IF(A108="","",SUMIFS(PA_OECM_Register!$AG$5:$AG$1504,PA_OECM_Register!$Z$5:$Z$1504,1,PA_OECM_Register!$E$5:$E$1504,"PA",PA_OECM_Register!$AH$5:$AH$1504,"&gt;0",PA_OECM_Register!$AH$5:$AH$1504,"&lt;="&amp;A108)+SUMIFS(PA_OECM_Register!$AG$5:$AG$1504,PA_OECM_Register!$Z$5:$Z$1504,1,PA_OECM_Register!$E$5:$E$1504,"PA",PA_OECM_Register!$AH$5:$AH$1504,0)*B108)</f>
        <v/>
      </c>
      <c r="H108" s="25">
        <f>IF(A108="","",SUMIFS(PA_OECM_Register!$AG$5:$AG$1504,PA_OECM_Register!$Z$5:$Z$1504,1,PA_OECM_Register!$E$5:$E$1504,"OECM",PA_OECM_Register!$AH$5:$AH$1504,"&gt;0",PA_OECM_Register!$AH$5:$AH$1504,"&lt;="&amp;A108)+SUMIFS(PA_OECM_Register!$AG$5:$AG$1504,PA_OECM_Register!$Z$5:$Z$1504,1,PA_OECM_Register!$E$5:$E$1504,"OECM",PA_OECM_Register!$AH$5:$AH$1504,0)*C108)</f>
        <v/>
      </c>
      <c r="I108" s="26">
        <f>IF(A108="","",IF(N(Setup!$B$11)&gt;0,(G108+H108)/Setup!$B$11,""))</f>
        <v/>
      </c>
      <c r="J108" s="26">
        <f>IF(A108="","",IF(N(Setup!$B$10)&gt;0,SUMIFS(PA_OECM_Register!$AF$5:$AF$1504,PA_OECM_Register!$Z$5:$Z$1504,1,PA_OECM_Register!$AH$5:$AH$1504,"&gt;0",PA_OECM_Register!$AH$5:$AH$1504,"&lt;="&amp;A108)/Setup!$B$10,""))</f>
        <v/>
      </c>
      <c r="K108" s="26">
        <f>IF(A108="","",IF(N(Setup!$B$11)&gt;0,SUMIFS(PA_OECM_Register!$AG$5:$AG$1504,PA_OECM_Register!$Z$5:$Z$1504,1,PA_OECM_Register!$AH$5:$AH$1504,"&gt;0",PA_OECM_Register!$AH$5:$AH$1504,"&lt;="&amp;A108)/Setup!$B$11,""))</f>
        <v/>
      </c>
    </row>
    <row r="109">
      <c r="A109" s="33">
        <f>IF(Setup!$B$27+104&gt;Setup!$B$6,"",Setup!$B$27+104)</f>
        <v/>
      </c>
      <c r="B109" s="38">
        <f>IF(A109="","",COUNTIFS(PA_OECM_Register!$Z$5:$Z$1504,1,PA_OECM_Register!$E$5:$E$1504,"PA",PA_OECM_Register!$AH$5:$AH$1504,"&gt;0",PA_OECM_Register!$AH$5:$AH$1504,"&lt;="&amp;A109)/MAX(1,COUNTIFS(PA_OECM_Register!$Z$5:$Z$1504,1,PA_OECM_Register!$E$5:$E$1504,"PA",PA_OECM_Register!$AH$5:$AH$1504,"&gt;0")))</f>
        <v/>
      </c>
      <c r="C109" s="38">
        <f>IF(A109="","",COUNTIFS(PA_OECM_Register!$Z$5:$Z$1504,1,PA_OECM_Register!$E$5:$E$1504,"OECM",PA_OECM_Register!$AH$5:$AH$1504,"&gt;0",PA_OECM_Register!$AH$5:$AH$1504,"&lt;="&amp;A109)/MAX(1,COUNTIFS(PA_OECM_Register!$Z$5:$Z$1504,1,PA_OECM_Register!$E$5:$E$1504,"OECM",PA_OECM_Register!$AH$5:$AH$1504,"&gt;0")))</f>
        <v/>
      </c>
      <c r="D109" s="25">
        <f>IF(A109="","",SUMIFS(PA_OECM_Register!$AF$5:$AF$1504,PA_OECM_Register!$Z$5:$Z$1504,1,PA_OECM_Register!$E$5:$E$1504,"PA",PA_OECM_Register!$AH$5:$AH$1504,"&gt;0",PA_OECM_Register!$AH$5:$AH$1504,"&lt;="&amp;A109)+SUMIFS(PA_OECM_Register!$AF$5:$AF$1504,PA_OECM_Register!$Z$5:$Z$1504,1,PA_OECM_Register!$E$5:$E$1504,"PA",PA_OECM_Register!$AH$5:$AH$1504,0)*B109)</f>
        <v/>
      </c>
      <c r="E109" s="25">
        <f>IF(A109="","",SUMIFS(PA_OECM_Register!$AF$5:$AF$1504,PA_OECM_Register!$Z$5:$Z$1504,1,PA_OECM_Register!$E$5:$E$1504,"OECM",PA_OECM_Register!$AH$5:$AH$1504,"&gt;0",PA_OECM_Register!$AH$5:$AH$1504,"&lt;="&amp;A109)+SUMIFS(PA_OECM_Register!$AF$5:$AF$1504,PA_OECM_Register!$Z$5:$Z$1504,1,PA_OECM_Register!$E$5:$E$1504,"OECM",PA_OECM_Register!$AH$5:$AH$1504,0)*C109)</f>
        <v/>
      </c>
      <c r="F109" s="26">
        <f>IF(A109="","",IF(N(Setup!$B$10)&gt;0,(D109+E109)/Setup!$B$10,""))</f>
        <v/>
      </c>
      <c r="G109" s="25">
        <f>IF(A109="","",SUMIFS(PA_OECM_Register!$AG$5:$AG$1504,PA_OECM_Register!$Z$5:$Z$1504,1,PA_OECM_Register!$E$5:$E$1504,"PA",PA_OECM_Register!$AH$5:$AH$1504,"&gt;0",PA_OECM_Register!$AH$5:$AH$1504,"&lt;="&amp;A109)+SUMIFS(PA_OECM_Register!$AG$5:$AG$1504,PA_OECM_Register!$Z$5:$Z$1504,1,PA_OECM_Register!$E$5:$E$1504,"PA",PA_OECM_Register!$AH$5:$AH$1504,0)*B109)</f>
        <v/>
      </c>
      <c r="H109" s="25">
        <f>IF(A109="","",SUMIFS(PA_OECM_Register!$AG$5:$AG$1504,PA_OECM_Register!$Z$5:$Z$1504,1,PA_OECM_Register!$E$5:$E$1504,"OECM",PA_OECM_Register!$AH$5:$AH$1504,"&gt;0",PA_OECM_Register!$AH$5:$AH$1504,"&lt;="&amp;A109)+SUMIFS(PA_OECM_Register!$AG$5:$AG$1504,PA_OECM_Register!$Z$5:$Z$1504,1,PA_OECM_Register!$E$5:$E$1504,"OECM",PA_OECM_Register!$AH$5:$AH$1504,0)*C109)</f>
        <v/>
      </c>
      <c r="I109" s="26">
        <f>IF(A109="","",IF(N(Setup!$B$11)&gt;0,(G109+H109)/Setup!$B$11,""))</f>
        <v/>
      </c>
      <c r="J109" s="26">
        <f>IF(A109="","",IF(N(Setup!$B$10)&gt;0,SUMIFS(PA_OECM_Register!$AF$5:$AF$1504,PA_OECM_Register!$Z$5:$Z$1504,1,PA_OECM_Register!$AH$5:$AH$1504,"&gt;0",PA_OECM_Register!$AH$5:$AH$1504,"&lt;="&amp;A109)/Setup!$B$10,""))</f>
        <v/>
      </c>
      <c r="K109" s="26">
        <f>IF(A109="","",IF(N(Setup!$B$11)&gt;0,SUMIFS(PA_OECM_Register!$AG$5:$AG$1504,PA_OECM_Register!$Z$5:$Z$1504,1,PA_OECM_Register!$AH$5:$AH$1504,"&gt;0",PA_OECM_Register!$AH$5:$AH$1504,"&lt;="&amp;A109)/Setup!$B$11,""))</f>
        <v/>
      </c>
    </row>
    <row r="110">
      <c r="A110" s="33">
        <f>IF(Setup!$B$27+105&gt;Setup!$B$6,"",Setup!$B$27+105)</f>
        <v/>
      </c>
      <c r="B110" s="38">
        <f>IF(A110="","",COUNTIFS(PA_OECM_Register!$Z$5:$Z$1504,1,PA_OECM_Register!$E$5:$E$1504,"PA",PA_OECM_Register!$AH$5:$AH$1504,"&gt;0",PA_OECM_Register!$AH$5:$AH$1504,"&lt;="&amp;A110)/MAX(1,COUNTIFS(PA_OECM_Register!$Z$5:$Z$1504,1,PA_OECM_Register!$E$5:$E$1504,"PA",PA_OECM_Register!$AH$5:$AH$1504,"&gt;0")))</f>
        <v/>
      </c>
      <c r="C110" s="38">
        <f>IF(A110="","",COUNTIFS(PA_OECM_Register!$Z$5:$Z$1504,1,PA_OECM_Register!$E$5:$E$1504,"OECM",PA_OECM_Register!$AH$5:$AH$1504,"&gt;0",PA_OECM_Register!$AH$5:$AH$1504,"&lt;="&amp;A110)/MAX(1,COUNTIFS(PA_OECM_Register!$Z$5:$Z$1504,1,PA_OECM_Register!$E$5:$E$1504,"OECM",PA_OECM_Register!$AH$5:$AH$1504,"&gt;0")))</f>
        <v/>
      </c>
      <c r="D110" s="25">
        <f>IF(A110="","",SUMIFS(PA_OECM_Register!$AF$5:$AF$1504,PA_OECM_Register!$Z$5:$Z$1504,1,PA_OECM_Register!$E$5:$E$1504,"PA",PA_OECM_Register!$AH$5:$AH$1504,"&gt;0",PA_OECM_Register!$AH$5:$AH$1504,"&lt;="&amp;A110)+SUMIFS(PA_OECM_Register!$AF$5:$AF$1504,PA_OECM_Register!$Z$5:$Z$1504,1,PA_OECM_Register!$E$5:$E$1504,"PA",PA_OECM_Register!$AH$5:$AH$1504,0)*B110)</f>
        <v/>
      </c>
      <c r="E110" s="25">
        <f>IF(A110="","",SUMIFS(PA_OECM_Register!$AF$5:$AF$1504,PA_OECM_Register!$Z$5:$Z$1504,1,PA_OECM_Register!$E$5:$E$1504,"OECM",PA_OECM_Register!$AH$5:$AH$1504,"&gt;0",PA_OECM_Register!$AH$5:$AH$1504,"&lt;="&amp;A110)+SUMIFS(PA_OECM_Register!$AF$5:$AF$1504,PA_OECM_Register!$Z$5:$Z$1504,1,PA_OECM_Register!$E$5:$E$1504,"OECM",PA_OECM_Register!$AH$5:$AH$1504,0)*C110)</f>
        <v/>
      </c>
      <c r="F110" s="26">
        <f>IF(A110="","",IF(N(Setup!$B$10)&gt;0,(D110+E110)/Setup!$B$10,""))</f>
        <v/>
      </c>
      <c r="G110" s="25">
        <f>IF(A110="","",SUMIFS(PA_OECM_Register!$AG$5:$AG$1504,PA_OECM_Register!$Z$5:$Z$1504,1,PA_OECM_Register!$E$5:$E$1504,"PA",PA_OECM_Register!$AH$5:$AH$1504,"&gt;0",PA_OECM_Register!$AH$5:$AH$1504,"&lt;="&amp;A110)+SUMIFS(PA_OECM_Register!$AG$5:$AG$1504,PA_OECM_Register!$Z$5:$Z$1504,1,PA_OECM_Register!$E$5:$E$1504,"PA",PA_OECM_Register!$AH$5:$AH$1504,0)*B110)</f>
        <v/>
      </c>
      <c r="H110" s="25">
        <f>IF(A110="","",SUMIFS(PA_OECM_Register!$AG$5:$AG$1504,PA_OECM_Register!$Z$5:$Z$1504,1,PA_OECM_Register!$E$5:$E$1504,"OECM",PA_OECM_Register!$AH$5:$AH$1504,"&gt;0",PA_OECM_Register!$AH$5:$AH$1504,"&lt;="&amp;A110)+SUMIFS(PA_OECM_Register!$AG$5:$AG$1504,PA_OECM_Register!$Z$5:$Z$1504,1,PA_OECM_Register!$E$5:$E$1504,"OECM",PA_OECM_Register!$AH$5:$AH$1504,0)*C110)</f>
        <v/>
      </c>
      <c r="I110" s="26">
        <f>IF(A110="","",IF(N(Setup!$B$11)&gt;0,(G110+H110)/Setup!$B$11,""))</f>
        <v/>
      </c>
      <c r="J110" s="26">
        <f>IF(A110="","",IF(N(Setup!$B$10)&gt;0,SUMIFS(PA_OECM_Register!$AF$5:$AF$1504,PA_OECM_Register!$Z$5:$Z$1504,1,PA_OECM_Register!$AH$5:$AH$1504,"&gt;0",PA_OECM_Register!$AH$5:$AH$1504,"&lt;="&amp;A110)/Setup!$B$10,""))</f>
        <v/>
      </c>
      <c r="K110" s="26">
        <f>IF(A110="","",IF(N(Setup!$B$11)&gt;0,SUMIFS(PA_OECM_Register!$AG$5:$AG$1504,PA_OECM_Register!$Z$5:$Z$1504,1,PA_OECM_Register!$AH$5:$AH$1504,"&gt;0",PA_OECM_Register!$AH$5:$AH$1504,"&lt;="&amp;A110)/Setup!$B$11,""))</f>
        <v/>
      </c>
    </row>
    <row r="111">
      <c r="A111" s="33">
        <f>IF(Setup!$B$27+106&gt;Setup!$B$6,"",Setup!$B$27+106)</f>
        <v/>
      </c>
      <c r="B111" s="38">
        <f>IF(A111="","",COUNTIFS(PA_OECM_Register!$Z$5:$Z$1504,1,PA_OECM_Register!$E$5:$E$1504,"PA",PA_OECM_Register!$AH$5:$AH$1504,"&gt;0",PA_OECM_Register!$AH$5:$AH$1504,"&lt;="&amp;A111)/MAX(1,COUNTIFS(PA_OECM_Register!$Z$5:$Z$1504,1,PA_OECM_Register!$E$5:$E$1504,"PA",PA_OECM_Register!$AH$5:$AH$1504,"&gt;0")))</f>
        <v/>
      </c>
      <c r="C111" s="38">
        <f>IF(A111="","",COUNTIFS(PA_OECM_Register!$Z$5:$Z$1504,1,PA_OECM_Register!$E$5:$E$1504,"OECM",PA_OECM_Register!$AH$5:$AH$1504,"&gt;0",PA_OECM_Register!$AH$5:$AH$1504,"&lt;="&amp;A111)/MAX(1,COUNTIFS(PA_OECM_Register!$Z$5:$Z$1504,1,PA_OECM_Register!$E$5:$E$1504,"OECM",PA_OECM_Register!$AH$5:$AH$1504,"&gt;0")))</f>
        <v/>
      </c>
      <c r="D111" s="25">
        <f>IF(A111="","",SUMIFS(PA_OECM_Register!$AF$5:$AF$1504,PA_OECM_Register!$Z$5:$Z$1504,1,PA_OECM_Register!$E$5:$E$1504,"PA",PA_OECM_Register!$AH$5:$AH$1504,"&gt;0",PA_OECM_Register!$AH$5:$AH$1504,"&lt;="&amp;A111)+SUMIFS(PA_OECM_Register!$AF$5:$AF$1504,PA_OECM_Register!$Z$5:$Z$1504,1,PA_OECM_Register!$E$5:$E$1504,"PA",PA_OECM_Register!$AH$5:$AH$1504,0)*B111)</f>
        <v/>
      </c>
      <c r="E111" s="25">
        <f>IF(A111="","",SUMIFS(PA_OECM_Register!$AF$5:$AF$1504,PA_OECM_Register!$Z$5:$Z$1504,1,PA_OECM_Register!$E$5:$E$1504,"OECM",PA_OECM_Register!$AH$5:$AH$1504,"&gt;0",PA_OECM_Register!$AH$5:$AH$1504,"&lt;="&amp;A111)+SUMIFS(PA_OECM_Register!$AF$5:$AF$1504,PA_OECM_Register!$Z$5:$Z$1504,1,PA_OECM_Register!$E$5:$E$1504,"OECM",PA_OECM_Register!$AH$5:$AH$1504,0)*C111)</f>
        <v/>
      </c>
      <c r="F111" s="26">
        <f>IF(A111="","",IF(N(Setup!$B$10)&gt;0,(D111+E111)/Setup!$B$10,""))</f>
        <v/>
      </c>
      <c r="G111" s="25">
        <f>IF(A111="","",SUMIFS(PA_OECM_Register!$AG$5:$AG$1504,PA_OECM_Register!$Z$5:$Z$1504,1,PA_OECM_Register!$E$5:$E$1504,"PA",PA_OECM_Register!$AH$5:$AH$1504,"&gt;0",PA_OECM_Register!$AH$5:$AH$1504,"&lt;="&amp;A111)+SUMIFS(PA_OECM_Register!$AG$5:$AG$1504,PA_OECM_Register!$Z$5:$Z$1504,1,PA_OECM_Register!$E$5:$E$1504,"PA",PA_OECM_Register!$AH$5:$AH$1504,0)*B111)</f>
        <v/>
      </c>
      <c r="H111" s="25">
        <f>IF(A111="","",SUMIFS(PA_OECM_Register!$AG$5:$AG$1504,PA_OECM_Register!$Z$5:$Z$1504,1,PA_OECM_Register!$E$5:$E$1504,"OECM",PA_OECM_Register!$AH$5:$AH$1504,"&gt;0",PA_OECM_Register!$AH$5:$AH$1504,"&lt;="&amp;A111)+SUMIFS(PA_OECM_Register!$AG$5:$AG$1504,PA_OECM_Register!$Z$5:$Z$1504,1,PA_OECM_Register!$E$5:$E$1504,"OECM",PA_OECM_Register!$AH$5:$AH$1504,0)*C111)</f>
        <v/>
      </c>
      <c r="I111" s="26">
        <f>IF(A111="","",IF(N(Setup!$B$11)&gt;0,(G111+H111)/Setup!$B$11,""))</f>
        <v/>
      </c>
      <c r="J111" s="26">
        <f>IF(A111="","",IF(N(Setup!$B$10)&gt;0,SUMIFS(PA_OECM_Register!$AF$5:$AF$1504,PA_OECM_Register!$Z$5:$Z$1504,1,PA_OECM_Register!$AH$5:$AH$1504,"&gt;0",PA_OECM_Register!$AH$5:$AH$1504,"&lt;="&amp;A111)/Setup!$B$10,""))</f>
        <v/>
      </c>
      <c r="K111" s="26">
        <f>IF(A111="","",IF(N(Setup!$B$11)&gt;0,SUMIFS(PA_OECM_Register!$AG$5:$AG$1504,PA_OECM_Register!$Z$5:$Z$1504,1,PA_OECM_Register!$AH$5:$AH$1504,"&gt;0",PA_OECM_Register!$AH$5:$AH$1504,"&lt;="&amp;A111)/Setup!$B$11,""))</f>
        <v/>
      </c>
    </row>
    <row r="112">
      <c r="A112" s="33">
        <f>IF(Setup!$B$27+107&gt;Setup!$B$6,"",Setup!$B$27+107)</f>
        <v/>
      </c>
      <c r="B112" s="38">
        <f>IF(A112="","",COUNTIFS(PA_OECM_Register!$Z$5:$Z$1504,1,PA_OECM_Register!$E$5:$E$1504,"PA",PA_OECM_Register!$AH$5:$AH$1504,"&gt;0",PA_OECM_Register!$AH$5:$AH$1504,"&lt;="&amp;A112)/MAX(1,COUNTIFS(PA_OECM_Register!$Z$5:$Z$1504,1,PA_OECM_Register!$E$5:$E$1504,"PA",PA_OECM_Register!$AH$5:$AH$1504,"&gt;0")))</f>
        <v/>
      </c>
      <c r="C112" s="38">
        <f>IF(A112="","",COUNTIFS(PA_OECM_Register!$Z$5:$Z$1504,1,PA_OECM_Register!$E$5:$E$1504,"OECM",PA_OECM_Register!$AH$5:$AH$1504,"&gt;0",PA_OECM_Register!$AH$5:$AH$1504,"&lt;="&amp;A112)/MAX(1,COUNTIFS(PA_OECM_Register!$Z$5:$Z$1504,1,PA_OECM_Register!$E$5:$E$1504,"OECM",PA_OECM_Register!$AH$5:$AH$1504,"&gt;0")))</f>
        <v/>
      </c>
      <c r="D112" s="25">
        <f>IF(A112="","",SUMIFS(PA_OECM_Register!$AF$5:$AF$1504,PA_OECM_Register!$Z$5:$Z$1504,1,PA_OECM_Register!$E$5:$E$1504,"PA",PA_OECM_Register!$AH$5:$AH$1504,"&gt;0",PA_OECM_Register!$AH$5:$AH$1504,"&lt;="&amp;A112)+SUMIFS(PA_OECM_Register!$AF$5:$AF$1504,PA_OECM_Register!$Z$5:$Z$1504,1,PA_OECM_Register!$E$5:$E$1504,"PA",PA_OECM_Register!$AH$5:$AH$1504,0)*B112)</f>
        <v/>
      </c>
      <c r="E112" s="25">
        <f>IF(A112="","",SUMIFS(PA_OECM_Register!$AF$5:$AF$1504,PA_OECM_Register!$Z$5:$Z$1504,1,PA_OECM_Register!$E$5:$E$1504,"OECM",PA_OECM_Register!$AH$5:$AH$1504,"&gt;0",PA_OECM_Register!$AH$5:$AH$1504,"&lt;="&amp;A112)+SUMIFS(PA_OECM_Register!$AF$5:$AF$1504,PA_OECM_Register!$Z$5:$Z$1504,1,PA_OECM_Register!$E$5:$E$1504,"OECM",PA_OECM_Register!$AH$5:$AH$1504,0)*C112)</f>
        <v/>
      </c>
      <c r="F112" s="26">
        <f>IF(A112="","",IF(N(Setup!$B$10)&gt;0,(D112+E112)/Setup!$B$10,""))</f>
        <v/>
      </c>
      <c r="G112" s="25">
        <f>IF(A112="","",SUMIFS(PA_OECM_Register!$AG$5:$AG$1504,PA_OECM_Register!$Z$5:$Z$1504,1,PA_OECM_Register!$E$5:$E$1504,"PA",PA_OECM_Register!$AH$5:$AH$1504,"&gt;0",PA_OECM_Register!$AH$5:$AH$1504,"&lt;="&amp;A112)+SUMIFS(PA_OECM_Register!$AG$5:$AG$1504,PA_OECM_Register!$Z$5:$Z$1504,1,PA_OECM_Register!$E$5:$E$1504,"PA",PA_OECM_Register!$AH$5:$AH$1504,0)*B112)</f>
        <v/>
      </c>
      <c r="H112" s="25">
        <f>IF(A112="","",SUMIFS(PA_OECM_Register!$AG$5:$AG$1504,PA_OECM_Register!$Z$5:$Z$1504,1,PA_OECM_Register!$E$5:$E$1504,"OECM",PA_OECM_Register!$AH$5:$AH$1504,"&gt;0",PA_OECM_Register!$AH$5:$AH$1504,"&lt;="&amp;A112)+SUMIFS(PA_OECM_Register!$AG$5:$AG$1504,PA_OECM_Register!$Z$5:$Z$1504,1,PA_OECM_Register!$E$5:$E$1504,"OECM",PA_OECM_Register!$AH$5:$AH$1504,0)*C112)</f>
        <v/>
      </c>
      <c r="I112" s="26">
        <f>IF(A112="","",IF(N(Setup!$B$11)&gt;0,(G112+H112)/Setup!$B$11,""))</f>
        <v/>
      </c>
      <c r="J112" s="26">
        <f>IF(A112="","",IF(N(Setup!$B$10)&gt;0,SUMIFS(PA_OECM_Register!$AF$5:$AF$1504,PA_OECM_Register!$Z$5:$Z$1504,1,PA_OECM_Register!$AH$5:$AH$1504,"&gt;0",PA_OECM_Register!$AH$5:$AH$1504,"&lt;="&amp;A112)/Setup!$B$10,""))</f>
        <v/>
      </c>
      <c r="K112" s="26">
        <f>IF(A112="","",IF(N(Setup!$B$11)&gt;0,SUMIFS(PA_OECM_Register!$AG$5:$AG$1504,PA_OECM_Register!$Z$5:$Z$1504,1,PA_OECM_Register!$AH$5:$AH$1504,"&gt;0",PA_OECM_Register!$AH$5:$AH$1504,"&lt;="&amp;A112)/Setup!$B$11,""))</f>
        <v/>
      </c>
    </row>
    <row r="113">
      <c r="A113" s="33">
        <f>IF(Setup!$B$27+108&gt;Setup!$B$6,"",Setup!$B$27+108)</f>
        <v/>
      </c>
      <c r="B113" s="38">
        <f>IF(A113="","",COUNTIFS(PA_OECM_Register!$Z$5:$Z$1504,1,PA_OECM_Register!$E$5:$E$1504,"PA",PA_OECM_Register!$AH$5:$AH$1504,"&gt;0",PA_OECM_Register!$AH$5:$AH$1504,"&lt;="&amp;A113)/MAX(1,COUNTIFS(PA_OECM_Register!$Z$5:$Z$1504,1,PA_OECM_Register!$E$5:$E$1504,"PA",PA_OECM_Register!$AH$5:$AH$1504,"&gt;0")))</f>
        <v/>
      </c>
      <c r="C113" s="38">
        <f>IF(A113="","",COUNTIFS(PA_OECM_Register!$Z$5:$Z$1504,1,PA_OECM_Register!$E$5:$E$1504,"OECM",PA_OECM_Register!$AH$5:$AH$1504,"&gt;0",PA_OECM_Register!$AH$5:$AH$1504,"&lt;="&amp;A113)/MAX(1,COUNTIFS(PA_OECM_Register!$Z$5:$Z$1504,1,PA_OECM_Register!$E$5:$E$1504,"OECM",PA_OECM_Register!$AH$5:$AH$1504,"&gt;0")))</f>
        <v/>
      </c>
      <c r="D113" s="25">
        <f>IF(A113="","",SUMIFS(PA_OECM_Register!$AF$5:$AF$1504,PA_OECM_Register!$Z$5:$Z$1504,1,PA_OECM_Register!$E$5:$E$1504,"PA",PA_OECM_Register!$AH$5:$AH$1504,"&gt;0",PA_OECM_Register!$AH$5:$AH$1504,"&lt;="&amp;A113)+SUMIFS(PA_OECM_Register!$AF$5:$AF$1504,PA_OECM_Register!$Z$5:$Z$1504,1,PA_OECM_Register!$E$5:$E$1504,"PA",PA_OECM_Register!$AH$5:$AH$1504,0)*B113)</f>
        <v/>
      </c>
      <c r="E113" s="25">
        <f>IF(A113="","",SUMIFS(PA_OECM_Register!$AF$5:$AF$1504,PA_OECM_Register!$Z$5:$Z$1504,1,PA_OECM_Register!$E$5:$E$1504,"OECM",PA_OECM_Register!$AH$5:$AH$1504,"&gt;0",PA_OECM_Register!$AH$5:$AH$1504,"&lt;="&amp;A113)+SUMIFS(PA_OECM_Register!$AF$5:$AF$1504,PA_OECM_Register!$Z$5:$Z$1504,1,PA_OECM_Register!$E$5:$E$1504,"OECM",PA_OECM_Register!$AH$5:$AH$1504,0)*C113)</f>
        <v/>
      </c>
      <c r="F113" s="26">
        <f>IF(A113="","",IF(N(Setup!$B$10)&gt;0,(D113+E113)/Setup!$B$10,""))</f>
        <v/>
      </c>
      <c r="G113" s="25">
        <f>IF(A113="","",SUMIFS(PA_OECM_Register!$AG$5:$AG$1504,PA_OECM_Register!$Z$5:$Z$1504,1,PA_OECM_Register!$E$5:$E$1504,"PA",PA_OECM_Register!$AH$5:$AH$1504,"&gt;0",PA_OECM_Register!$AH$5:$AH$1504,"&lt;="&amp;A113)+SUMIFS(PA_OECM_Register!$AG$5:$AG$1504,PA_OECM_Register!$Z$5:$Z$1504,1,PA_OECM_Register!$E$5:$E$1504,"PA",PA_OECM_Register!$AH$5:$AH$1504,0)*B113)</f>
        <v/>
      </c>
      <c r="H113" s="25">
        <f>IF(A113="","",SUMIFS(PA_OECM_Register!$AG$5:$AG$1504,PA_OECM_Register!$Z$5:$Z$1504,1,PA_OECM_Register!$E$5:$E$1504,"OECM",PA_OECM_Register!$AH$5:$AH$1504,"&gt;0",PA_OECM_Register!$AH$5:$AH$1504,"&lt;="&amp;A113)+SUMIFS(PA_OECM_Register!$AG$5:$AG$1504,PA_OECM_Register!$Z$5:$Z$1504,1,PA_OECM_Register!$E$5:$E$1504,"OECM",PA_OECM_Register!$AH$5:$AH$1504,0)*C113)</f>
        <v/>
      </c>
      <c r="I113" s="26">
        <f>IF(A113="","",IF(N(Setup!$B$11)&gt;0,(G113+H113)/Setup!$B$11,""))</f>
        <v/>
      </c>
      <c r="J113" s="26">
        <f>IF(A113="","",IF(N(Setup!$B$10)&gt;0,SUMIFS(PA_OECM_Register!$AF$5:$AF$1504,PA_OECM_Register!$Z$5:$Z$1504,1,PA_OECM_Register!$AH$5:$AH$1504,"&gt;0",PA_OECM_Register!$AH$5:$AH$1504,"&lt;="&amp;A113)/Setup!$B$10,""))</f>
        <v/>
      </c>
      <c r="K113" s="26">
        <f>IF(A113="","",IF(N(Setup!$B$11)&gt;0,SUMIFS(PA_OECM_Register!$AG$5:$AG$1504,PA_OECM_Register!$Z$5:$Z$1504,1,PA_OECM_Register!$AH$5:$AH$1504,"&gt;0",PA_OECM_Register!$AH$5:$AH$1504,"&lt;="&amp;A113)/Setup!$B$11,""))</f>
        <v/>
      </c>
    </row>
    <row r="114">
      <c r="A114" s="33">
        <f>IF(Setup!$B$27+109&gt;Setup!$B$6,"",Setup!$B$27+109)</f>
        <v/>
      </c>
      <c r="B114" s="38">
        <f>IF(A114="","",COUNTIFS(PA_OECM_Register!$Z$5:$Z$1504,1,PA_OECM_Register!$E$5:$E$1504,"PA",PA_OECM_Register!$AH$5:$AH$1504,"&gt;0",PA_OECM_Register!$AH$5:$AH$1504,"&lt;="&amp;A114)/MAX(1,COUNTIFS(PA_OECM_Register!$Z$5:$Z$1504,1,PA_OECM_Register!$E$5:$E$1504,"PA",PA_OECM_Register!$AH$5:$AH$1504,"&gt;0")))</f>
        <v/>
      </c>
      <c r="C114" s="38">
        <f>IF(A114="","",COUNTIFS(PA_OECM_Register!$Z$5:$Z$1504,1,PA_OECM_Register!$E$5:$E$1504,"OECM",PA_OECM_Register!$AH$5:$AH$1504,"&gt;0",PA_OECM_Register!$AH$5:$AH$1504,"&lt;="&amp;A114)/MAX(1,COUNTIFS(PA_OECM_Register!$Z$5:$Z$1504,1,PA_OECM_Register!$E$5:$E$1504,"OECM",PA_OECM_Register!$AH$5:$AH$1504,"&gt;0")))</f>
        <v/>
      </c>
      <c r="D114" s="25">
        <f>IF(A114="","",SUMIFS(PA_OECM_Register!$AF$5:$AF$1504,PA_OECM_Register!$Z$5:$Z$1504,1,PA_OECM_Register!$E$5:$E$1504,"PA",PA_OECM_Register!$AH$5:$AH$1504,"&gt;0",PA_OECM_Register!$AH$5:$AH$1504,"&lt;="&amp;A114)+SUMIFS(PA_OECM_Register!$AF$5:$AF$1504,PA_OECM_Register!$Z$5:$Z$1504,1,PA_OECM_Register!$E$5:$E$1504,"PA",PA_OECM_Register!$AH$5:$AH$1504,0)*B114)</f>
        <v/>
      </c>
      <c r="E114" s="25">
        <f>IF(A114="","",SUMIFS(PA_OECM_Register!$AF$5:$AF$1504,PA_OECM_Register!$Z$5:$Z$1504,1,PA_OECM_Register!$E$5:$E$1504,"OECM",PA_OECM_Register!$AH$5:$AH$1504,"&gt;0",PA_OECM_Register!$AH$5:$AH$1504,"&lt;="&amp;A114)+SUMIFS(PA_OECM_Register!$AF$5:$AF$1504,PA_OECM_Register!$Z$5:$Z$1504,1,PA_OECM_Register!$E$5:$E$1504,"OECM",PA_OECM_Register!$AH$5:$AH$1504,0)*C114)</f>
        <v/>
      </c>
      <c r="F114" s="26">
        <f>IF(A114="","",IF(N(Setup!$B$10)&gt;0,(D114+E114)/Setup!$B$10,""))</f>
        <v/>
      </c>
      <c r="G114" s="25">
        <f>IF(A114="","",SUMIFS(PA_OECM_Register!$AG$5:$AG$1504,PA_OECM_Register!$Z$5:$Z$1504,1,PA_OECM_Register!$E$5:$E$1504,"PA",PA_OECM_Register!$AH$5:$AH$1504,"&gt;0",PA_OECM_Register!$AH$5:$AH$1504,"&lt;="&amp;A114)+SUMIFS(PA_OECM_Register!$AG$5:$AG$1504,PA_OECM_Register!$Z$5:$Z$1504,1,PA_OECM_Register!$E$5:$E$1504,"PA",PA_OECM_Register!$AH$5:$AH$1504,0)*B114)</f>
        <v/>
      </c>
      <c r="H114" s="25">
        <f>IF(A114="","",SUMIFS(PA_OECM_Register!$AG$5:$AG$1504,PA_OECM_Register!$Z$5:$Z$1504,1,PA_OECM_Register!$E$5:$E$1504,"OECM",PA_OECM_Register!$AH$5:$AH$1504,"&gt;0",PA_OECM_Register!$AH$5:$AH$1504,"&lt;="&amp;A114)+SUMIFS(PA_OECM_Register!$AG$5:$AG$1504,PA_OECM_Register!$Z$5:$Z$1504,1,PA_OECM_Register!$E$5:$E$1504,"OECM",PA_OECM_Register!$AH$5:$AH$1504,0)*C114)</f>
        <v/>
      </c>
      <c r="I114" s="26">
        <f>IF(A114="","",IF(N(Setup!$B$11)&gt;0,(G114+H114)/Setup!$B$11,""))</f>
        <v/>
      </c>
      <c r="J114" s="26">
        <f>IF(A114="","",IF(N(Setup!$B$10)&gt;0,SUMIFS(PA_OECM_Register!$AF$5:$AF$1504,PA_OECM_Register!$Z$5:$Z$1504,1,PA_OECM_Register!$AH$5:$AH$1504,"&gt;0",PA_OECM_Register!$AH$5:$AH$1504,"&lt;="&amp;A114)/Setup!$B$10,""))</f>
        <v/>
      </c>
      <c r="K114" s="26">
        <f>IF(A114="","",IF(N(Setup!$B$11)&gt;0,SUMIFS(PA_OECM_Register!$AG$5:$AG$1504,PA_OECM_Register!$Z$5:$Z$1504,1,PA_OECM_Register!$AH$5:$AH$1504,"&gt;0",PA_OECM_Register!$AH$5:$AH$1504,"&lt;="&amp;A114)/Setup!$B$11,""))</f>
        <v/>
      </c>
    </row>
    <row r="115">
      <c r="A115" s="33">
        <f>IF(Setup!$B$27+110&gt;Setup!$B$6,"",Setup!$B$27+110)</f>
        <v/>
      </c>
      <c r="B115" s="38">
        <f>IF(A115="","",COUNTIFS(PA_OECM_Register!$Z$5:$Z$1504,1,PA_OECM_Register!$E$5:$E$1504,"PA",PA_OECM_Register!$AH$5:$AH$1504,"&gt;0",PA_OECM_Register!$AH$5:$AH$1504,"&lt;="&amp;A115)/MAX(1,COUNTIFS(PA_OECM_Register!$Z$5:$Z$1504,1,PA_OECM_Register!$E$5:$E$1504,"PA",PA_OECM_Register!$AH$5:$AH$1504,"&gt;0")))</f>
        <v/>
      </c>
      <c r="C115" s="38">
        <f>IF(A115="","",COUNTIFS(PA_OECM_Register!$Z$5:$Z$1504,1,PA_OECM_Register!$E$5:$E$1504,"OECM",PA_OECM_Register!$AH$5:$AH$1504,"&gt;0",PA_OECM_Register!$AH$5:$AH$1504,"&lt;="&amp;A115)/MAX(1,COUNTIFS(PA_OECM_Register!$Z$5:$Z$1504,1,PA_OECM_Register!$E$5:$E$1504,"OECM",PA_OECM_Register!$AH$5:$AH$1504,"&gt;0")))</f>
        <v/>
      </c>
      <c r="D115" s="25">
        <f>IF(A115="","",SUMIFS(PA_OECM_Register!$AF$5:$AF$1504,PA_OECM_Register!$Z$5:$Z$1504,1,PA_OECM_Register!$E$5:$E$1504,"PA",PA_OECM_Register!$AH$5:$AH$1504,"&gt;0",PA_OECM_Register!$AH$5:$AH$1504,"&lt;="&amp;A115)+SUMIFS(PA_OECM_Register!$AF$5:$AF$1504,PA_OECM_Register!$Z$5:$Z$1504,1,PA_OECM_Register!$E$5:$E$1504,"PA",PA_OECM_Register!$AH$5:$AH$1504,0)*B115)</f>
        <v/>
      </c>
      <c r="E115" s="25">
        <f>IF(A115="","",SUMIFS(PA_OECM_Register!$AF$5:$AF$1504,PA_OECM_Register!$Z$5:$Z$1504,1,PA_OECM_Register!$E$5:$E$1504,"OECM",PA_OECM_Register!$AH$5:$AH$1504,"&gt;0",PA_OECM_Register!$AH$5:$AH$1504,"&lt;="&amp;A115)+SUMIFS(PA_OECM_Register!$AF$5:$AF$1504,PA_OECM_Register!$Z$5:$Z$1504,1,PA_OECM_Register!$E$5:$E$1504,"OECM",PA_OECM_Register!$AH$5:$AH$1504,0)*C115)</f>
        <v/>
      </c>
      <c r="F115" s="26">
        <f>IF(A115="","",IF(N(Setup!$B$10)&gt;0,(D115+E115)/Setup!$B$10,""))</f>
        <v/>
      </c>
      <c r="G115" s="25">
        <f>IF(A115="","",SUMIFS(PA_OECM_Register!$AG$5:$AG$1504,PA_OECM_Register!$Z$5:$Z$1504,1,PA_OECM_Register!$E$5:$E$1504,"PA",PA_OECM_Register!$AH$5:$AH$1504,"&gt;0",PA_OECM_Register!$AH$5:$AH$1504,"&lt;="&amp;A115)+SUMIFS(PA_OECM_Register!$AG$5:$AG$1504,PA_OECM_Register!$Z$5:$Z$1504,1,PA_OECM_Register!$E$5:$E$1504,"PA",PA_OECM_Register!$AH$5:$AH$1504,0)*B115)</f>
        <v/>
      </c>
      <c r="H115" s="25">
        <f>IF(A115="","",SUMIFS(PA_OECM_Register!$AG$5:$AG$1504,PA_OECM_Register!$Z$5:$Z$1504,1,PA_OECM_Register!$E$5:$E$1504,"OECM",PA_OECM_Register!$AH$5:$AH$1504,"&gt;0",PA_OECM_Register!$AH$5:$AH$1504,"&lt;="&amp;A115)+SUMIFS(PA_OECM_Register!$AG$5:$AG$1504,PA_OECM_Register!$Z$5:$Z$1504,1,PA_OECM_Register!$E$5:$E$1504,"OECM",PA_OECM_Register!$AH$5:$AH$1504,0)*C115)</f>
        <v/>
      </c>
      <c r="I115" s="26">
        <f>IF(A115="","",IF(N(Setup!$B$11)&gt;0,(G115+H115)/Setup!$B$11,""))</f>
        <v/>
      </c>
      <c r="J115" s="26">
        <f>IF(A115="","",IF(N(Setup!$B$10)&gt;0,SUMIFS(PA_OECM_Register!$AF$5:$AF$1504,PA_OECM_Register!$Z$5:$Z$1504,1,PA_OECM_Register!$AH$5:$AH$1504,"&gt;0",PA_OECM_Register!$AH$5:$AH$1504,"&lt;="&amp;A115)/Setup!$B$10,""))</f>
        <v/>
      </c>
      <c r="K115" s="26">
        <f>IF(A115="","",IF(N(Setup!$B$11)&gt;0,SUMIFS(PA_OECM_Register!$AG$5:$AG$1504,PA_OECM_Register!$Z$5:$Z$1504,1,PA_OECM_Register!$AH$5:$AH$1504,"&gt;0",PA_OECM_Register!$AH$5:$AH$1504,"&lt;="&amp;A115)/Setup!$B$11,""))</f>
        <v/>
      </c>
    </row>
    <row r="116">
      <c r="A116" s="33">
        <f>IF(Setup!$B$27+111&gt;Setup!$B$6,"",Setup!$B$27+111)</f>
        <v/>
      </c>
      <c r="B116" s="38">
        <f>IF(A116="","",COUNTIFS(PA_OECM_Register!$Z$5:$Z$1504,1,PA_OECM_Register!$E$5:$E$1504,"PA",PA_OECM_Register!$AH$5:$AH$1504,"&gt;0",PA_OECM_Register!$AH$5:$AH$1504,"&lt;="&amp;A116)/MAX(1,COUNTIFS(PA_OECM_Register!$Z$5:$Z$1504,1,PA_OECM_Register!$E$5:$E$1504,"PA",PA_OECM_Register!$AH$5:$AH$1504,"&gt;0")))</f>
        <v/>
      </c>
      <c r="C116" s="38">
        <f>IF(A116="","",COUNTIFS(PA_OECM_Register!$Z$5:$Z$1504,1,PA_OECM_Register!$E$5:$E$1504,"OECM",PA_OECM_Register!$AH$5:$AH$1504,"&gt;0",PA_OECM_Register!$AH$5:$AH$1504,"&lt;="&amp;A116)/MAX(1,COUNTIFS(PA_OECM_Register!$Z$5:$Z$1504,1,PA_OECM_Register!$E$5:$E$1504,"OECM",PA_OECM_Register!$AH$5:$AH$1504,"&gt;0")))</f>
        <v/>
      </c>
      <c r="D116" s="25">
        <f>IF(A116="","",SUMIFS(PA_OECM_Register!$AF$5:$AF$1504,PA_OECM_Register!$Z$5:$Z$1504,1,PA_OECM_Register!$E$5:$E$1504,"PA",PA_OECM_Register!$AH$5:$AH$1504,"&gt;0",PA_OECM_Register!$AH$5:$AH$1504,"&lt;="&amp;A116)+SUMIFS(PA_OECM_Register!$AF$5:$AF$1504,PA_OECM_Register!$Z$5:$Z$1504,1,PA_OECM_Register!$E$5:$E$1504,"PA",PA_OECM_Register!$AH$5:$AH$1504,0)*B116)</f>
        <v/>
      </c>
      <c r="E116" s="25">
        <f>IF(A116="","",SUMIFS(PA_OECM_Register!$AF$5:$AF$1504,PA_OECM_Register!$Z$5:$Z$1504,1,PA_OECM_Register!$E$5:$E$1504,"OECM",PA_OECM_Register!$AH$5:$AH$1504,"&gt;0",PA_OECM_Register!$AH$5:$AH$1504,"&lt;="&amp;A116)+SUMIFS(PA_OECM_Register!$AF$5:$AF$1504,PA_OECM_Register!$Z$5:$Z$1504,1,PA_OECM_Register!$E$5:$E$1504,"OECM",PA_OECM_Register!$AH$5:$AH$1504,0)*C116)</f>
        <v/>
      </c>
      <c r="F116" s="26">
        <f>IF(A116="","",IF(N(Setup!$B$10)&gt;0,(D116+E116)/Setup!$B$10,""))</f>
        <v/>
      </c>
      <c r="G116" s="25">
        <f>IF(A116="","",SUMIFS(PA_OECM_Register!$AG$5:$AG$1504,PA_OECM_Register!$Z$5:$Z$1504,1,PA_OECM_Register!$E$5:$E$1504,"PA",PA_OECM_Register!$AH$5:$AH$1504,"&gt;0",PA_OECM_Register!$AH$5:$AH$1504,"&lt;="&amp;A116)+SUMIFS(PA_OECM_Register!$AG$5:$AG$1504,PA_OECM_Register!$Z$5:$Z$1504,1,PA_OECM_Register!$E$5:$E$1504,"PA",PA_OECM_Register!$AH$5:$AH$1504,0)*B116)</f>
        <v/>
      </c>
      <c r="H116" s="25">
        <f>IF(A116="","",SUMIFS(PA_OECM_Register!$AG$5:$AG$1504,PA_OECM_Register!$Z$5:$Z$1504,1,PA_OECM_Register!$E$5:$E$1504,"OECM",PA_OECM_Register!$AH$5:$AH$1504,"&gt;0",PA_OECM_Register!$AH$5:$AH$1504,"&lt;="&amp;A116)+SUMIFS(PA_OECM_Register!$AG$5:$AG$1504,PA_OECM_Register!$Z$5:$Z$1504,1,PA_OECM_Register!$E$5:$E$1504,"OECM",PA_OECM_Register!$AH$5:$AH$1504,0)*C116)</f>
        <v/>
      </c>
      <c r="I116" s="26">
        <f>IF(A116="","",IF(N(Setup!$B$11)&gt;0,(G116+H116)/Setup!$B$11,""))</f>
        <v/>
      </c>
      <c r="J116" s="26">
        <f>IF(A116="","",IF(N(Setup!$B$10)&gt;0,SUMIFS(PA_OECM_Register!$AF$5:$AF$1504,PA_OECM_Register!$Z$5:$Z$1504,1,PA_OECM_Register!$AH$5:$AH$1504,"&gt;0",PA_OECM_Register!$AH$5:$AH$1504,"&lt;="&amp;A116)/Setup!$B$10,""))</f>
        <v/>
      </c>
      <c r="K116" s="26">
        <f>IF(A116="","",IF(N(Setup!$B$11)&gt;0,SUMIFS(PA_OECM_Register!$AG$5:$AG$1504,PA_OECM_Register!$Z$5:$Z$1504,1,PA_OECM_Register!$AH$5:$AH$1504,"&gt;0",PA_OECM_Register!$AH$5:$AH$1504,"&lt;="&amp;A116)/Setup!$B$11,""))</f>
        <v/>
      </c>
    </row>
    <row r="117">
      <c r="A117" s="33">
        <f>IF(Setup!$B$27+112&gt;Setup!$B$6,"",Setup!$B$27+112)</f>
        <v/>
      </c>
      <c r="B117" s="38">
        <f>IF(A117="","",COUNTIFS(PA_OECM_Register!$Z$5:$Z$1504,1,PA_OECM_Register!$E$5:$E$1504,"PA",PA_OECM_Register!$AH$5:$AH$1504,"&gt;0",PA_OECM_Register!$AH$5:$AH$1504,"&lt;="&amp;A117)/MAX(1,COUNTIFS(PA_OECM_Register!$Z$5:$Z$1504,1,PA_OECM_Register!$E$5:$E$1504,"PA",PA_OECM_Register!$AH$5:$AH$1504,"&gt;0")))</f>
        <v/>
      </c>
      <c r="C117" s="38">
        <f>IF(A117="","",COUNTIFS(PA_OECM_Register!$Z$5:$Z$1504,1,PA_OECM_Register!$E$5:$E$1504,"OECM",PA_OECM_Register!$AH$5:$AH$1504,"&gt;0",PA_OECM_Register!$AH$5:$AH$1504,"&lt;="&amp;A117)/MAX(1,COUNTIFS(PA_OECM_Register!$Z$5:$Z$1504,1,PA_OECM_Register!$E$5:$E$1504,"OECM",PA_OECM_Register!$AH$5:$AH$1504,"&gt;0")))</f>
        <v/>
      </c>
      <c r="D117" s="25">
        <f>IF(A117="","",SUMIFS(PA_OECM_Register!$AF$5:$AF$1504,PA_OECM_Register!$Z$5:$Z$1504,1,PA_OECM_Register!$E$5:$E$1504,"PA",PA_OECM_Register!$AH$5:$AH$1504,"&gt;0",PA_OECM_Register!$AH$5:$AH$1504,"&lt;="&amp;A117)+SUMIFS(PA_OECM_Register!$AF$5:$AF$1504,PA_OECM_Register!$Z$5:$Z$1504,1,PA_OECM_Register!$E$5:$E$1504,"PA",PA_OECM_Register!$AH$5:$AH$1504,0)*B117)</f>
        <v/>
      </c>
      <c r="E117" s="25">
        <f>IF(A117="","",SUMIFS(PA_OECM_Register!$AF$5:$AF$1504,PA_OECM_Register!$Z$5:$Z$1504,1,PA_OECM_Register!$E$5:$E$1504,"OECM",PA_OECM_Register!$AH$5:$AH$1504,"&gt;0",PA_OECM_Register!$AH$5:$AH$1504,"&lt;="&amp;A117)+SUMIFS(PA_OECM_Register!$AF$5:$AF$1504,PA_OECM_Register!$Z$5:$Z$1504,1,PA_OECM_Register!$E$5:$E$1504,"OECM",PA_OECM_Register!$AH$5:$AH$1504,0)*C117)</f>
        <v/>
      </c>
      <c r="F117" s="26">
        <f>IF(A117="","",IF(N(Setup!$B$10)&gt;0,(D117+E117)/Setup!$B$10,""))</f>
        <v/>
      </c>
      <c r="G117" s="25">
        <f>IF(A117="","",SUMIFS(PA_OECM_Register!$AG$5:$AG$1504,PA_OECM_Register!$Z$5:$Z$1504,1,PA_OECM_Register!$E$5:$E$1504,"PA",PA_OECM_Register!$AH$5:$AH$1504,"&gt;0",PA_OECM_Register!$AH$5:$AH$1504,"&lt;="&amp;A117)+SUMIFS(PA_OECM_Register!$AG$5:$AG$1504,PA_OECM_Register!$Z$5:$Z$1504,1,PA_OECM_Register!$E$5:$E$1504,"PA",PA_OECM_Register!$AH$5:$AH$1504,0)*B117)</f>
        <v/>
      </c>
      <c r="H117" s="25">
        <f>IF(A117="","",SUMIFS(PA_OECM_Register!$AG$5:$AG$1504,PA_OECM_Register!$Z$5:$Z$1504,1,PA_OECM_Register!$E$5:$E$1504,"OECM",PA_OECM_Register!$AH$5:$AH$1504,"&gt;0",PA_OECM_Register!$AH$5:$AH$1504,"&lt;="&amp;A117)+SUMIFS(PA_OECM_Register!$AG$5:$AG$1504,PA_OECM_Register!$Z$5:$Z$1504,1,PA_OECM_Register!$E$5:$E$1504,"OECM",PA_OECM_Register!$AH$5:$AH$1504,0)*C117)</f>
        <v/>
      </c>
      <c r="I117" s="26">
        <f>IF(A117="","",IF(N(Setup!$B$11)&gt;0,(G117+H117)/Setup!$B$11,""))</f>
        <v/>
      </c>
      <c r="J117" s="26">
        <f>IF(A117="","",IF(N(Setup!$B$10)&gt;0,SUMIFS(PA_OECM_Register!$AF$5:$AF$1504,PA_OECM_Register!$Z$5:$Z$1504,1,PA_OECM_Register!$AH$5:$AH$1504,"&gt;0",PA_OECM_Register!$AH$5:$AH$1504,"&lt;="&amp;A117)/Setup!$B$10,""))</f>
        <v/>
      </c>
      <c r="K117" s="26">
        <f>IF(A117="","",IF(N(Setup!$B$11)&gt;0,SUMIFS(PA_OECM_Register!$AG$5:$AG$1504,PA_OECM_Register!$Z$5:$Z$1504,1,PA_OECM_Register!$AH$5:$AH$1504,"&gt;0",PA_OECM_Register!$AH$5:$AH$1504,"&lt;="&amp;A117)/Setup!$B$11,""))</f>
        <v/>
      </c>
    </row>
    <row r="118">
      <c r="A118" s="33">
        <f>IF(Setup!$B$27+113&gt;Setup!$B$6,"",Setup!$B$27+113)</f>
        <v/>
      </c>
      <c r="B118" s="38">
        <f>IF(A118="","",COUNTIFS(PA_OECM_Register!$Z$5:$Z$1504,1,PA_OECM_Register!$E$5:$E$1504,"PA",PA_OECM_Register!$AH$5:$AH$1504,"&gt;0",PA_OECM_Register!$AH$5:$AH$1504,"&lt;="&amp;A118)/MAX(1,COUNTIFS(PA_OECM_Register!$Z$5:$Z$1504,1,PA_OECM_Register!$E$5:$E$1504,"PA",PA_OECM_Register!$AH$5:$AH$1504,"&gt;0")))</f>
        <v/>
      </c>
      <c r="C118" s="38">
        <f>IF(A118="","",COUNTIFS(PA_OECM_Register!$Z$5:$Z$1504,1,PA_OECM_Register!$E$5:$E$1504,"OECM",PA_OECM_Register!$AH$5:$AH$1504,"&gt;0",PA_OECM_Register!$AH$5:$AH$1504,"&lt;="&amp;A118)/MAX(1,COUNTIFS(PA_OECM_Register!$Z$5:$Z$1504,1,PA_OECM_Register!$E$5:$E$1504,"OECM",PA_OECM_Register!$AH$5:$AH$1504,"&gt;0")))</f>
        <v/>
      </c>
      <c r="D118" s="25">
        <f>IF(A118="","",SUMIFS(PA_OECM_Register!$AF$5:$AF$1504,PA_OECM_Register!$Z$5:$Z$1504,1,PA_OECM_Register!$E$5:$E$1504,"PA",PA_OECM_Register!$AH$5:$AH$1504,"&gt;0",PA_OECM_Register!$AH$5:$AH$1504,"&lt;="&amp;A118)+SUMIFS(PA_OECM_Register!$AF$5:$AF$1504,PA_OECM_Register!$Z$5:$Z$1504,1,PA_OECM_Register!$E$5:$E$1504,"PA",PA_OECM_Register!$AH$5:$AH$1504,0)*B118)</f>
        <v/>
      </c>
      <c r="E118" s="25">
        <f>IF(A118="","",SUMIFS(PA_OECM_Register!$AF$5:$AF$1504,PA_OECM_Register!$Z$5:$Z$1504,1,PA_OECM_Register!$E$5:$E$1504,"OECM",PA_OECM_Register!$AH$5:$AH$1504,"&gt;0",PA_OECM_Register!$AH$5:$AH$1504,"&lt;="&amp;A118)+SUMIFS(PA_OECM_Register!$AF$5:$AF$1504,PA_OECM_Register!$Z$5:$Z$1504,1,PA_OECM_Register!$E$5:$E$1504,"OECM",PA_OECM_Register!$AH$5:$AH$1504,0)*C118)</f>
        <v/>
      </c>
      <c r="F118" s="26">
        <f>IF(A118="","",IF(N(Setup!$B$10)&gt;0,(D118+E118)/Setup!$B$10,""))</f>
        <v/>
      </c>
      <c r="G118" s="25">
        <f>IF(A118="","",SUMIFS(PA_OECM_Register!$AG$5:$AG$1504,PA_OECM_Register!$Z$5:$Z$1504,1,PA_OECM_Register!$E$5:$E$1504,"PA",PA_OECM_Register!$AH$5:$AH$1504,"&gt;0",PA_OECM_Register!$AH$5:$AH$1504,"&lt;="&amp;A118)+SUMIFS(PA_OECM_Register!$AG$5:$AG$1504,PA_OECM_Register!$Z$5:$Z$1504,1,PA_OECM_Register!$E$5:$E$1504,"PA",PA_OECM_Register!$AH$5:$AH$1504,0)*B118)</f>
        <v/>
      </c>
      <c r="H118" s="25">
        <f>IF(A118="","",SUMIFS(PA_OECM_Register!$AG$5:$AG$1504,PA_OECM_Register!$Z$5:$Z$1504,1,PA_OECM_Register!$E$5:$E$1504,"OECM",PA_OECM_Register!$AH$5:$AH$1504,"&gt;0",PA_OECM_Register!$AH$5:$AH$1504,"&lt;="&amp;A118)+SUMIFS(PA_OECM_Register!$AG$5:$AG$1504,PA_OECM_Register!$Z$5:$Z$1504,1,PA_OECM_Register!$E$5:$E$1504,"OECM",PA_OECM_Register!$AH$5:$AH$1504,0)*C118)</f>
        <v/>
      </c>
      <c r="I118" s="26">
        <f>IF(A118="","",IF(N(Setup!$B$11)&gt;0,(G118+H118)/Setup!$B$11,""))</f>
        <v/>
      </c>
      <c r="J118" s="26">
        <f>IF(A118="","",IF(N(Setup!$B$10)&gt;0,SUMIFS(PA_OECM_Register!$AF$5:$AF$1504,PA_OECM_Register!$Z$5:$Z$1504,1,PA_OECM_Register!$AH$5:$AH$1504,"&gt;0",PA_OECM_Register!$AH$5:$AH$1504,"&lt;="&amp;A118)/Setup!$B$10,""))</f>
        <v/>
      </c>
      <c r="K118" s="26">
        <f>IF(A118="","",IF(N(Setup!$B$11)&gt;0,SUMIFS(PA_OECM_Register!$AG$5:$AG$1504,PA_OECM_Register!$Z$5:$Z$1504,1,PA_OECM_Register!$AH$5:$AH$1504,"&gt;0",PA_OECM_Register!$AH$5:$AH$1504,"&lt;="&amp;A118)/Setup!$B$11,""))</f>
        <v/>
      </c>
    </row>
    <row r="119">
      <c r="A119" s="33">
        <f>IF(Setup!$B$27+114&gt;Setup!$B$6,"",Setup!$B$27+114)</f>
        <v/>
      </c>
      <c r="B119" s="38">
        <f>IF(A119="","",COUNTIFS(PA_OECM_Register!$Z$5:$Z$1504,1,PA_OECM_Register!$E$5:$E$1504,"PA",PA_OECM_Register!$AH$5:$AH$1504,"&gt;0",PA_OECM_Register!$AH$5:$AH$1504,"&lt;="&amp;A119)/MAX(1,COUNTIFS(PA_OECM_Register!$Z$5:$Z$1504,1,PA_OECM_Register!$E$5:$E$1504,"PA",PA_OECM_Register!$AH$5:$AH$1504,"&gt;0")))</f>
        <v/>
      </c>
      <c r="C119" s="38">
        <f>IF(A119="","",COUNTIFS(PA_OECM_Register!$Z$5:$Z$1504,1,PA_OECM_Register!$E$5:$E$1504,"OECM",PA_OECM_Register!$AH$5:$AH$1504,"&gt;0",PA_OECM_Register!$AH$5:$AH$1504,"&lt;="&amp;A119)/MAX(1,COUNTIFS(PA_OECM_Register!$Z$5:$Z$1504,1,PA_OECM_Register!$E$5:$E$1504,"OECM",PA_OECM_Register!$AH$5:$AH$1504,"&gt;0")))</f>
        <v/>
      </c>
      <c r="D119" s="25">
        <f>IF(A119="","",SUMIFS(PA_OECM_Register!$AF$5:$AF$1504,PA_OECM_Register!$Z$5:$Z$1504,1,PA_OECM_Register!$E$5:$E$1504,"PA",PA_OECM_Register!$AH$5:$AH$1504,"&gt;0",PA_OECM_Register!$AH$5:$AH$1504,"&lt;="&amp;A119)+SUMIFS(PA_OECM_Register!$AF$5:$AF$1504,PA_OECM_Register!$Z$5:$Z$1504,1,PA_OECM_Register!$E$5:$E$1504,"PA",PA_OECM_Register!$AH$5:$AH$1504,0)*B119)</f>
        <v/>
      </c>
      <c r="E119" s="25">
        <f>IF(A119="","",SUMIFS(PA_OECM_Register!$AF$5:$AF$1504,PA_OECM_Register!$Z$5:$Z$1504,1,PA_OECM_Register!$E$5:$E$1504,"OECM",PA_OECM_Register!$AH$5:$AH$1504,"&gt;0",PA_OECM_Register!$AH$5:$AH$1504,"&lt;="&amp;A119)+SUMIFS(PA_OECM_Register!$AF$5:$AF$1504,PA_OECM_Register!$Z$5:$Z$1504,1,PA_OECM_Register!$E$5:$E$1504,"OECM",PA_OECM_Register!$AH$5:$AH$1504,0)*C119)</f>
        <v/>
      </c>
      <c r="F119" s="26">
        <f>IF(A119="","",IF(N(Setup!$B$10)&gt;0,(D119+E119)/Setup!$B$10,""))</f>
        <v/>
      </c>
      <c r="G119" s="25">
        <f>IF(A119="","",SUMIFS(PA_OECM_Register!$AG$5:$AG$1504,PA_OECM_Register!$Z$5:$Z$1504,1,PA_OECM_Register!$E$5:$E$1504,"PA",PA_OECM_Register!$AH$5:$AH$1504,"&gt;0",PA_OECM_Register!$AH$5:$AH$1504,"&lt;="&amp;A119)+SUMIFS(PA_OECM_Register!$AG$5:$AG$1504,PA_OECM_Register!$Z$5:$Z$1504,1,PA_OECM_Register!$E$5:$E$1504,"PA",PA_OECM_Register!$AH$5:$AH$1504,0)*B119)</f>
        <v/>
      </c>
      <c r="H119" s="25">
        <f>IF(A119="","",SUMIFS(PA_OECM_Register!$AG$5:$AG$1504,PA_OECM_Register!$Z$5:$Z$1504,1,PA_OECM_Register!$E$5:$E$1504,"OECM",PA_OECM_Register!$AH$5:$AH$1504,"&gt;0",PA_OECM_Register!$AH$5:$AH$1504,"&lt;="&amp;A119)+SUMIFS(PA_OECM_Register!$AG$5:$AG$1504,PA_OECM_Register!$Z$5:$Z$1504,1,PA_OECM_Register!$E$5:$E$1504,"OECM",PA_OECM_Register!$AH$5:$AH$1504,0)*C119)</f>
        <v/>
      </c>
      <c r="I119" s="26">
        <f>IF(A119="","",IF(N(Setup!$B$11)&gt;0,(G119+H119)/Setup!$B$11,""))</f>
        <v/>
      </c>
      <c r="J119" s="26">
        <f>IF(A119="","",IF(N(Setup!$B$10)&gt;0,SUMIFS(PA_OECM_Register!$AF$5:$AF$1504,PA_OECM_Register!$Z$5:$Z$1504,1,PA_OECM_Register!$AH$5:$AH$1504,"&gt;0",PA_OECM_Register!$AH$5:$AH$1504,"&lt;="&amp;A119)/Setup!$B$10,""))</f>
        <v/>
      </c>
      <c r="K119" s="26">
        <f>IF(A119="","",IF(N(Setup!$B$11)&gt;0,SUMIFS(PA_OECM_Register!$AG$5:$AG$1504,PA_OECM_Register!$Z$5:$Z$1504,1,PA_OECM_Register!$AH$5:$AH$1504,"&gt;0",PA_OECM_Register!$AH$5:$AH$1504,"&lt;="&amp;A119)/Setup!$B$11,""))</f>
        <v/>
      </c>
    </row>
    <row r="120">
      <c r="A120" s="33">
        <f>IF(Setup!$B$27+115&gt;Setup!$B$6,"",Setup!$B$27+115)</f>
        <v/>
      </c>
      <c r="B120" s="38">
        <f>IF(A120="","",COUNTIFS(PA_OECM_Register!$Z$5:$Z$1504,1,PA_OECM_Register!$E$5:$E$1504,"PA",PA_OECM_Register!$AH$5:$AH$1504,"&gt;0",PA_OECM_Register!$AH$5:$AH$1504,"&lt;="&amp;A120)/MAX(1,COUNTIFS(PA_OECM_Register!$Z$5:$Z$1504,1,PA_OECM_Register!$E$5:$E$1504,"PA",PA_OECM_Register!$AH$5:$AH$1504,"&gt;0")))</f>
        <v/>
      </c>
      <c r="C120" s="38">
        <f>IF(A120="","",COUNTIFS(PA_OECM_Register!$Z$5:$Z$1504,1,PA_OECM_Register!$E$5:$E$1504,"OECM",PA_OECM_Register!$AH$5:$AH$1504,"&gt;0",PA_OECM_Register!$AH$5:$AH$1504,"&lt;="&amp;A120)/MAX(1,COUNTIFS(PA_OECM_Register!$Z$5:$Z$1504,1,PA_OECM_Register!$E$5:$E$1504,"OECM",PA_OECM_Register!$AH$5:$AH$1504,"&gt;0")))</f>
        <v/>
      </c>
      <c r="D120" s="25">
        <f>IF(A120="","",SUMIFS(PA_OECM_Register!$AF$5:$AF$1504,PA_OECM_Register!$Z$5:$Z$1504,1,PA_OECM_Register!$E$5:$E$1504,"PA",PA_OECM_Register!$AH$5:$AH$1504,"&gt;0",PA_OECM_Register!$AH$5:$AH$1504,"&lt;="&amp;A120)+SUMIFS(PA_OECM_Register!$AF$5:$AF$1504,PA_OECM_Register!$Z$5:$Z$1504,1,PA_OECM_Register!$E$5:$E$1504,"PA",PA_OECM_Register!$AH$5:$AH$1504,0)*B120)</f>
        <v/>
      </c>
      <c r="E120" s="25">
        <f>IF(A120="","",SUMIFS(PA_OECM_Register!$AF$5:$AF$1504,PA_OECM_Register!$Z$5:$Z$1504,1,PA_OECM_Register!$E$5:$E$1504,"OECM",PA_OECM_Register!$AH$5:$AH$1504,"&gt;0",PA_OECM_Register!$AH$5:$AH$1504,"&lt;="&amp;A120)+SUMIFS(PA_OECM_Register!$AF$5:$AF$1504,PA_OECM_Register!$Z$5:$Z$1504,1,PA_OECM_Register!$E$5:$E$1504,"OECM",PA_OECM_Register!$AH$5:$AH$1504,0)*C120)</f>
        <v/>
      </c>
      <c r="F120" s="26">
        <f>IF(A120="","",IF(N(Setup!$B$10)&gt;0,(D120+E120)/Setup!$B$10,""))</f>
        <v/>
      </c>
      <c r="G120" s="25">
        <f>IF(A120="","",SUMIFS(PA_OECM_Register!$AG$5:$AG$1504,PA_OECM_Register!$Z$5:$Z$1504,1,PA_OECM_Register!$E$5:$E$1504,"PA",PA_OECM_Register!$AH$5:$AH$1504,"&gt;0",PA_OECM_Register!$AH$5:$AH$1504,"&lt;="&amp;A120)+SUMIFS(PA_OECM_Register!$AG$5:$AG$1504,PA_OECM_Register!$Z$5:$Z$1504,1,PA_OECM_Register!$E$5:$E$1504,"PA",PA_OECM_Register!$AH$5:$AH$1504,0)*B120)</f>
        <v/>
      </c>
      <c r="H120" s="25">
        <f>IF(A120="","",SUMIFS(PA_OECM_Register!$AG$5:$AG$1504,PA_OECM_Register!$Z$5:$Z$1504,1,PA_OECM_Register!$E$5:$E$1504,"OECM",PA_OECM_Register!$AH$5:$AH$1504,"&gt;0",PA_OECM_Register!$AH$5:$AH$1504,"&lt;="&amp;A120)+SUMIFS(PA_OECM_Register!$AG$5:$AG$1504,PA_OECM_Register!$Z$5:$Z$1504,1,PA_OECM_Register!$E$5:$E$1504,"OECM",PA_OECM_Register!$AH$5:$AH$1504,0)*C120)</f>
        <v/>
      </c>
      <c r="I120" s="26">
        <f>IF(A120="","",IF(N(Setup!$B$11)&gt;0,(G120+H120)/Setup!$B$11,""))</f>
        <v/>
      </c>
      <c r="J120" s="26">
        <f>IF(A120="","",IF(N(Setup!$B$10)&gt;0,SUMIFS(PA_OECM_Register!$AF$5:$AF$1504,PA_OECM_Register!$Z$5:$Z$1504,1,PA_OECM_Register!$AH$5:$AH$1504,"&gt;0",PA_OECM_Register!$AH$5:$AH$1504,"&lt;="&amp;A120)/Setup!$B$10,""))</f>
        <v/>
      </c>
      <c r="K120" s="26">
        <f>IF(A120="","",IF(N(Setup!$B$11)&gt;0,SUMIFS(PA_OECM_Register!$AG$5:$AG$1504,PA_OECM_Register!$Z$5:$Z$1504,1,PA_OECM_Register!$AH$5:$AH$1504,"&gt;0",PA_OECM_Register!$AH$5:$AH$1504,"&lt;="&amp;A120)/Setup!$B$11,""))</f>
        <v/>
      </c>
    </row>
    <row r="121">
      <c r="A121" s="33">
        <f>IF(Setup!$B$27+116&gt;Setup!$B$6,"",Setup!$B$27+116)</f>
        <v/>
      </c>
      <c r="B121" s="38">
        <f>IF(A121="","",COUNTIFS(PA_OECM_Register!$Z$5:$Z$1504,1,PA_OECM_Register!$E$5:$E$1504,"PA",PA_OECM_Register!$AH$5:$AH$1504,"&gt;0",PA_OECM_Register!$AH$5:$AH$1504,"&lt;="&amp;A121)/MAX(1,COUNTIFS(PA_OECM_Register!$Z$5:$Z$1504,1,PA_OECM_Register!$E$5:$E$1504,"PA",PA_OECM_Register!$AH$5:$AH$1504,"&gt;0")))</f>
        <v/>
      </c>
      <c r="C121" s="38">
        <f>IF(A121="","",COUNTIFS(PA_OECM_Register!$Z$5:$Z$1504,1,PA_OECM_Register!$E$5:$E$1504,"OECM",PA_OECM_Register!$AH$5:$AH$1504,"&gt;0",PA_OECM_Register!$AH$5:$AH$1504,"&lt;="&amp;A121)/MAX(1,COUNTIFS(PA_OECM_Register!$Z$5:$Z$1504,1,PA_OECM_Register!$E$5:$E$1504,"OECM",PA_OECM_Register!$AH$5:$AH$1504,"&gt;0")))</f>
        <v/>
      </c>
      <c r="D121" s="25">
        <f>IF(A121="","",SUMIFS(PA_OECM_Register!$AF$5:$AF$1504,PA_OECM_Register!$Z$5:$Z$1504,1,PA_OECM_Register!$E$5:$E$1504,"PA",PA_OECM_Register!$AH$5:$AH$1504,"&gt;0",PA_OECM_Register!$AH$5:$AH$1504,"&lt;="&amp;A121)+SUMIFS(PA_OECM_Register!$AF$5:$AF$1504,PA_OECM_Register!$Z$5:$Z$1504,1,PA_OECM_Register!$E$5:$E$1504,"PA",PA_OECM_Register!$AH$5:$AH$1504,0)*B121)</f>
        <v/>
      </c>
      <c r="E121" s="25">
        <f>IF(A121="","",SUMIFS(PA_OECM_Register!$AF$5:$AF$1504,PA_OECM_Register!$Z$5:$Z$1504,1,PA_OECM_Register!$E$5:$E$1504,"OECM",PA_OECM_Register!$AH$5:$AH$1504,"&gt;0",PA_OECM_Register!$AH$5:$AH$1504,"&lt;="&amp;A121)+SUMIFS(PA_OECM_Register!$AF$5:$AF$1504,PA_OECM_Register!$Z$5:$Z$1504,1,PA_OECM_Register!$E$5:$E$1504,"OECM",PA_OECM_Register!$AH$5:$AH$1504,0)*C121)</f>
        <v/>
      </c>
      <c r="F121" s="26">
        <f>IF(A121="","",IF(N(Setup!$B$10)&gt;0,(D121+E121)/Setup!$B$10,""))</f>
        <v/>
      </c>
      <c r="G121" s="25">
        <f>IF(A121="","",SUMIFS(PA_OECM_Register!$AG$5:$AG$1504,PA_OECM_Register!$Z$5:$Z$1504,1,PA_OECM_Register!$E$5:$E$1504,"PA",PA_OECM_Register!$AH$5:$AH$1504,"&gt;0",PA_OECM_Register!$AH$5:$AH$1504,"&lt;="&amp;A121)+SUMIFS(PA_OECM_Register!$AG$5:$AG$1504,PA_OECM_Register!$Z$5:$Z$1504,1,PA_OECM_Register!$E$5:$E$1504,"PA",PA_OECM_Register!$AH$5:$AH$1504,0)*B121)</f>
        <v/>
      </c>
      <c r="H121" s="25">
        <f>IF(A121="","",SUMIFS(PA_OECM_Register!$AG$5:$AG$1504,PA_OECM_Register!$Z$5:$Z$1504,1,PA_OECM_Register!$E$5:$E$1504,"OECM",PA_OECM_Register!$AH$5:$AH$1504,"&gt;0",PA_OECM_Register!$AH$5:$AH$1504,"&lt;="&amp;A121)+SUMIFS(PA_OECM_Register!$AG$5:$AG$1504,PA_OECM_Register!$Z$5:$Z$1504,1,PA_OECM_Register!$E$5:$E$1504,"OECM",PA_OECM_Register!$AH$5:$AH$1504,0)*C121)</f>
        <v/>
      </c>
      <c r="I121" s="26">
        <f>IF(A121="","",IF(N(Setup!$B$11)&gt;0,(G121+H121)/Setup!$B$11,""))</f>
        <v/>
      </c>
      <c r="J121" s="26">
        <f>IF(A121="","",IF(N(Setup!$B$10)&gt;0,SUMIFS(PA_OECM_Register!$AF$5:$AF$1504,PA_OECM_Register!$Z$5:$Z$1504,1,PA_OECM_Register!$AH$5:$AH$1504,"&gt;0",PA_OECM_Register!$AH$5:$AH$1504,"&lt;="&amp;A121)/Setup!$B$10,""))</f>
        <v/>
      </c>
      <c r="K121" s="26">
        <f>IF(A121="","",IF(N(Setup!$B$11)&gt;0,SUMIFS(PA_OECM_Register!$AG$5:$AG$1504,PA_OECM_Register!$Z$5:$Z$1504,1,PA_OECM_Register!$AH$5:$AH$1504,"&gt;0",PA_OECM_Register!$AH$5:$AH$1504,"&lt;="&amp;A121)/Setup!$B$11,""))</f>
        <v/>
      </c>
    </row>
    <row r="122">
      <c r="A122" s="33">
        <f>IF(Setup!$B$27+117&gt;Setup!$B$6,"",Setup!$B$27+117)</f>
        <v/>
      </c>
      <c r="B122" s="38">
        <f>IF(A122="","",COUNTIFS(PA_OECM_Register!$Z$5:$Z$1504,1,PA_OECM_Register!$E$5:$E$1504,"PA",PA_OECM_Register!$AH$5:$AH$1504,"&gt;0",PA_OECM_Register!$AH$5:$AH$1504,"&lt;="&amp;A122)/MAX(1,COUNTIFS(PA_OECM_Register!$Z$5:$Z$1504,1,PA_OECM_Register!$E$5:$E$1504,"PA",PA_OECM_Register!$AH$5:$AH$1504,"&gt;0")))</f>
        <v/>
      </c>
      <c r="C122" s="38">
        <f>IF(A122="","",COUNTIFS(PA_OECM_Register!$Z$5:$Z$1504,1,PA_OECM_Register!$E$5:$E$1504,"OECM",PA_OECM_Register!$AH$5:$AH$1504,"&gt;0",PA_OECM_Register!$AH$5:$AH$1504,"&lt;="&amp;A122)/MAX(1,COUNTIFS(PA_OECM_Register!$Z$5:$Z$1504,1,PA_OECM_Register!$E$5:$E$1504,"OECM",PA_OECM_Register!$AH$5:$AH$1504,"&gt;0")))</f>
        <v/>
      </c>
      <c r="D122" s="25">
        <f>IF(A122="","",SUMIFS(PA_OECM_Register!$AF$5:$AF$1504,PA_OECM_Register!$Z$5:$Z$1504,1,PA_OECM_Register!$E$5:$E$1504,"PA",PA_OECM_Register!$AH$5:$AH$1504,"&gt;0",PA_OECM_Register!$AH$5:$AH$1504,"&lt;="&amp;A122)+SUMIFS(PA_OECM_Register!$AF$5:$AF$1504,PA_OECM_Register!$Z$5:$Z$1504,1,PA_OECM_Register!$E$5:$E$1504,"PA",PA_OECM_Register!$AH$5:$AH$1504,0)*B122)</f>
        <v/>
      </c>
      <c r="E122" s="25">
        <f>IF(A122="","",SUMIFS(PA_OECM_Register!$AF$5:$AF$1504,PA_OECM_Register!$Z$5:$Z$1504,1,PA_OECM_Register!$E$5:$E$1504,"OECM",PA_OECM_Register!$AH$5:$AH$1504,"&gt;0",PA_OECM_Register!$AH$5:$AH$1504,"&lt;="&amp;A122)+SUMIFS(PA_OECM_Register!$AF$5:$AF$1504,PA_OECM_Register!$Z$5:$Z$1504,1,PA_OECM_Register!$E$5:$E$1504,"OECM",PA_OECM_Register!$AH$5:$AH$1504,0)*C122)</f>
        <v/>
      </c>
      <c r="F122" s="26">
        <f>IF(A122="","",IF(N(Setup!$B$10)&gt;0,(D122+E122)/Setup!$B$10,""))</f>
        <v/>
      </c>
      <c r="G122" s="25">
        <f>IF(A122="","",SUMIFS(PA_OECM_Register!$AG$5:$AG$1504,PA_OECM_Register!$Z$5:$Z$1504,1,PA_OECM_Register!$E$5:$E$1504,"PA",PA_OECM_Register!$AH$5:$AH$1504,"&gt;0",PA_OECM_Register!$AH$5:$AH$1504,"&lt;="&amp;A122)+SUMIFS(PA_OECM_Register!$AG$5:$AG$1504,PA_OECM_Register!$Z$5:$Z$1504,1,PA_OECM_Register!$E$5:$E$1504,"PA",PA_OECM_Register!$AH$5:$AH$1504,0)*B122)</f>
        <v/>
      </c>
      <c r="H122" s="25">
        <f>IF(A122="","",SUMIFS(PA_OECM_Register!$AG$5:$AG$1504,PA_OECM_Register!$Z$5:$Z$1504,1,PA_OECM_Register!$E$5:$E$1504,"OECM",PA_OECM_Register!$AH$5:$AH$1504,"&gt;0",PA_OECM_Register!$AH$5:$AH$1504,"&lt;="&amp;A122)+SUMIFS(PA_OECM_Register!$AG$5:$AG$1504,PA_OECM_Register!$Z$5:$Z$1504,1,PA_OECM_Register!$E$5:$E$1504,"OECM",PA_OECM_Register!$AH$5:$AH$1504,0)*C122)</f>
        <v/>
      </c>
      <c r="I122" s="26">
        <f>IF(A122="","",IF(N(Setup!$B$11)&gt;0,(G122+H122)/Setup!$B$11,""))</f>
        <v/>
      </c>
      <c r="J122" s="26">
        <f>IF(A122="","",IF(N(Setup!$B$10)&gt;0,SUMIFS(PA_OECM_Register!$AF$5:$AF$1504,PA_OECM_Register!$Z$5:$Z$1504,1,PA_OECM_Register!$AH$5:$AH$1504,"&gt;0",PA_OECM_Register!$AH$5:$AH$1504,"&lt;="&amp;A122)/Setup!$B$10,""))</f>
        <v/>
      </c>
      <c r="K122" s="26">
        <f>IF(A122="","",IF(N(Setup!$B$11)&gt;0,SUMIFS(PA_OECM_Register!$AG$5:$AG$1504,PA_OECM_Register!$Z$5:$Z$1504,1,PA_OECM_Register!$AH$5:$AH$1504,"&gt;0",PA_OECM_Register!$AH$5:$AH$1504,"&lt;="&amp;A122)/Setup!$B$11,""))</f>
        <v/>
      </c>
    </row>
    <row r="123">
      <c r="A123" s="33">
        <f>IF(Setup!$B$27+118&gt;Setup!$B$6,"",Setup!$B$27+118)</f>
        <v/>
      </c>
      <c r="B123" s="38">
        <f>IF(A123="","",COUNTIFS(PA_OECM_Register!$Z$5:$Z$1504,1,PA_OECM_Register!$E$5:$E$1504,"PA",PA_OECM_Register!$AH$5:$AH$1504,"&gt;0",PA_OECM_Register!$AH$5:$AH$1504,"&lt;="&amp;A123)/MAX(1,COUNTIFS(PA_OECM_Register!$Z$5:$Z$1504,1,PA_OECM_Register!$E$5:$E$1504,"PA",PA_OECM_Register!$AH$5:$AH$1504,"&gt;0")))</f>
        <v/>
      </c>
      <c r="C123" s="38">
        <f>IF(A123="","",COUNTIFS(PA_OECM_Register!$Z$5:$Z$1504,1,PA_OECM_Register!$E$5:$E$1504,"OECM",PA_OECM_Register!$AH$5:$AH$1504,"&gt;0",PA_OECM_Register!$AH$5:$AH$1504,"&lt;="&amp;A123)/MAX(1,COUNTIFS(PA_OECM_Register!$Z$5:$Z$1504,1,PA_OECM_Register!$E$5:$E$1504,"OECM",PA_OECM_Register!$AH$5:$AH$1504,"&gt;0")))</f>
        <v/>
      </c>
      <c r="D123" s="25">
        <f>IF(A123="","",SUMIFS(PA_OECM_Register!$AF$5:$AF$1504,PA_OECM_Register!$Z$5:$Z$1504,1,PA_OECM_Register!$E$5:$E$1504,"PA",PA_OECM_Register!$AH$5:$AH$1504,"&gt;0",PA_OECM_Register!$AH$5:$AH$1504,"&lt;="&amp;A123)+SUMIFS(PA_OECM_Register!$AF$5:$AF$1504,PA_OECM_Register!$Z$5:$Z$1504,1,PA_OECM_Register!$E$5:$E$1504,"PA",PA_OECM_Register!$AH$5:$AH$1504,0)*B123)</f>
        <v/>
      </c>
      <c r="E123" s="25">
        <f>IF(A123="","",SUMIFS(PA_OECM_Register!$AF$5:$AF$1504,PA_OECM_Register!$Z$5:$Z$1504,1,PA_OECM_Register!$E$5:$E$1504,"OECM",PA_OECM_Register!$AH$5:$AH$1504,"&gt;0",PA_OECM_Register!$AH$5:$AH$1504,"&lt;="&amp;A123)+SUMIFS(PA_OECM_Register!$AF$5:$AF$1504,PA_OECM_Register!$Z$5:$Z$1504,1,PA_OECM_Register!$E$5:$E$1504,"OECM",PA_OECM_Register!$AH$5:$AH$1504,0)*C123)</f>
        <v/>
      </c>
      <c r="F123" s="26">
        <f>IF(A123="","",IF(N(Setup!$B$10)&gt;0,(D123+E123)/Setup!$B$10,""))</f>
        <v/>
      </c>
      <c r="G123" s="25">
        <f>IF(A123="","",SUMIFS(PA_OECM_Register!$AG$5:$AG$1504,PA_OECM_Register!$Z$5:$Z$1504,1,PA_OECM_Register!$E$5:$E$1504,"PA",PA_OECM_Register!$AH$5:$AH$1504,"&gt;0",PA_OECM_Register!$AH$5:$AH$1504,"&lt;="&amp;A123)+SUMIFS(PA_OECM_Register!$AG$5:$AG$1504,PA_OECM_Register!$Z$5:$Z$1504,1,PA_OECM_Register!$E$5:$E$1504,"PA",PA_OECM_Register!$AH$5:$AH$1504,0)*B123)</f>
        <v/>
      </c>
      <c r="H123" s="25">
        <f>IF(A123="","",SUMIFS(PA_OECM_Register!$AG$5:$AG$1504,PA_OECM_Register!$Z$5:$Z$1504,1,PA_OECM_Register!$E$5:$E$1504,"OECM",PA_OECM_Register!$AH$5:$AH$1504,"&gt;0",PA_OECM_Register!$AH$5:$AH$1504,"&lt;="&amp;A123)+SUMIFS(PA_OECM_Register!$AG$5:$AG$1504,PA_OECM_Register!$Z$5:$Z$1504,1,PA_OECM_Register!$E$5:$E$1504,"OECM",PA_OECM_Register!$AH$5:$AH$1504,0)*C123)</f>
        <v/>
      </c>
      <c r="I123" s="26">
        <f>IF(A123="","",IF(N(Setup!$B$11)&gt;0,(G123+H123)/Setup!$B$11,""))</f>
        <v/>
      </c>
      <c r="J123" s="26">
        <f>IF(A123="","",IF(N(Setup!$B$10)&gt;0,SUMIFS(PA_OECM_Register!$AF$5:$AF$1504,PA_OECM_Register!$Z$5:$Z$1504,1,PA_OECM_Register!$AH$5:$AH$1504,"&gt;0",PA_OECM_Register!$AH$5:$AH$1504,"&lt;="&amp;A123)/Setup!$B$10,""))</f>
        <v/>
      </c>
      <c r="K123" s="26">
        <f>IF(A123="","",IF(N(Setup!$B$11)&gt;0,SUMIFS(PA_OECM_Register!$AG$5:$AG$1504,PA_OECM_Register!$Z$5:$Z$1504,1,PA_OECM_Register!$AH$5:$AH$1504,"&gt;0",PA_OECM_Register!$AH$5:$AH$1504,"&lt;="&amp;A123)/Setup!$B$11,""))</f>
        <v/>
      </c>
    </row>
    <row r="124">
      <c r="A124" s="33">
        <f>IF(Setup!$B$27+119&gt;Setup!$B$6,"",Setup!$B$27+119)</f>
        <v/>
      </c>
      <c r="B124" s="38">
        <f>IF(A124="","",COUNTIFS(PA_OECM_Register!$Z$5:$Z$1504,1,PA_OECM_Register!$E$5:$E$1504,"PA",PA_OECM_Register!$AH$5:$AH$1504,"&gt;0",PA_OECM_Register!$AH$5:$AH$1504,"&lt;="&amp;A124)/MAX(1,COUNTIFS(PA_OECM_Register!$Z$5:$Z$1504,1,PA_OECM_Register!$E$5:$E$1504,"PA",PA_OECM_Register!$AH$5:$AH$1504,"&gt;0")))</f>
        <v/>
      </c>
      <c r="C124" s="38">
        <f>IF(A124="","",COUNTIFS(PA_OECM_Register!$Z$5:$Z$1504,1,PA_OECM_Register!$E$5:$E$1504,"OECM",PA_OECM_Register!$AH$5:$AH$1504,"&gt;0",PA_OECM_Register!$AH$5:$AH$1504,"&lt;="&amp;A124)/MAX(1,COUNTIFS(PA_OECM_Register!$Z$5:$Z$1504,1,PA_OECM_Register!$E$5:$E$1504,"OECM",PA_OECM_Register!$AH$5:$AH$1504,"&gt;0")))</f>
        <v/>
      </c>
      <c r="D124" s="25">
        <f>IF(A124="","",SUMIFS(PA_OECM_Register!$AF$5:$AF$1504,PA_OECM_Register!$Z$5:$Z$1504,1,PA_OECM_Register!$E$5:$E$1504,"PA",PA_OECM_Register!$AH$5:$AH$1504,"&gt;0",PA_OECM_Register!$AH$5:$AH$1504,"&lt;="&amp;A124)+SUMIFS(PA_OECM_Register!$AF$5:$AF$1504,PA_OECM_Register!$Z$5:$Z$1504,1,PA_OECM_Register!$E$5:$E$1504,"PA",PA_OECM_Register!$AH$5:$AH$1504,0)*B124)</f>
        <v/>
      </c>
      <c r="E124" s="25">
        <f>IF(A124="","",SUMIFS(PA_OECM_Register!$AF$5:$AF$1504,PA_OECM_Register!$Z$5:$Z$1504,1,PA_OECM_Register!$E$5:$E$1504,"OECM",PA_OECM_Register!$AH$5:$AH$1504,"&gt;0",PA_OECM_Register!$AH$5:$AH$1504,"&lt;="&amp;A124)+SUMIFS(PA_OECM_Register!$AF$5:$AF$1504,PA_OECM_Register!$Z$5:$Z$1504,1,PA_OECM_Register!$E$5:$E$1504,"OECM",PA_OECM_Register!$AH$5:$AH$1504,0)*C124)</f>
        <v/>
      </c>
      <c r="F124" s="26">
        <f>IF(A124="","",IF(N(Setup!$B$10)&gt;0,(D124+E124)/Setup!$B$10,""))</f>
        <v/>
      </c>
      <c r="G124" s="25">
        <f>IF(A124="","",SUMIFS(PA_OECM_Register!$AG$5:$AG$1504,PA_OECM_Register!$Z$5:$Z$1504,1,PA_OECM_Register!$E$5:$E$1504,"PA",PA_OECM_Register!$AH$5:$AH$1504,"&gt;0",PA_OECM_Register!$AH$5:$AH$1504,"&lt;="&amp;A124)+SUMIFS(PA_OECM_Register!$AG$5:$AG$1504,PA_OECM_Register!$Z$5:$Z$1504,1,PA_OECM_Register!$E$5:$E$1504,"PA",PA_OECM_Register!$AH$5:$AH$1504,0)*B124)</f>
        <v/>
      </c>
      <c r="H124" s="25">
        <f>IF(A124="","",SUMIFS(PA_OECM_Register!$AG$5:$AG$1504,PA_OECM_Register!$Z$5:$Z$1504,1,PA_OECM_Register!$E$5:$E$1504,"OECM",PA_OECM_Register!$AH$5:$AH$1504,"&gt;0",PA_OECM_Register!$AH$5:$AH$1504,"&lt;="&amp;A124)+SUMIFS(PA_OECM_Register!$AG$5:$AG$1504,PA_OECM_Register!$Z$5:$Z$1504,1,PA_OECM_Register!$E$5:$E$1504,"OECM",PA_OECM_Register!$AH$5:$AH$1504,0)*C124)</f>
        <v/>
      </c>
      <c r="I124" s="26">
        <f>IF(A124="","",IF(N(Setup!$B$11)&gt;0,(G124+H124)/Setup!$B$11,""))</f>
        <v/>
      </c>
      <c r="J124" s="26">
        <f>IF(A124="","",IF(N(Setup!$B$10)&gt;0,SUMIFS(PA_OECM_Register!$AF$5:$AF$1504,PA_OECM_Register!$Z$5:$Z$1504,1,PA_OECM_Register!$AH$5:$AH$1504,"&gt;0",PA_OECM_Register!$AH$5:$AH$1504,"&lt;="&amp;A124)/Setup!$B$10,""))</f>
        <v/>
      </c>
      <c r="K124" s="26">
        <f>IF(A124="","",IF(N(Setup!$B$11)&gt;0,SUMIFS(PA_OECM_Register!$AG$5:$AG$1504,PA_OECM_Register!$Z$5:$Z$1504,1,PA_OECM_Register!$AH$5:$AH$1504,"&gt;0",PA_OECM_Register!$AH$5:$AH$1504,"&lt;="&amp;A124)/Setup!$B$11,""))</f>
        <v/>
      </c>
    </row>
    <row r="125">
      <c r="A125" s="33">
        <f>IF(Setup!$B$27+120&gt;Setup!$B$6,"",Setup!$B$27+120)</f>
        <v/>
      </c>
      <c r="B125" s="38">
        <f>IF(A125="","",COUNTIFS(PA_OECM_Register!$Z$5:$Z$1504,1,PA_OECM_Register!$E$5:$E$1504,"PA",PA_OECM_Register!$AH$5:$AH$1504,"&gt;0",PA_OECM_Register!$AH$5:$AH$1504,"&lt;="&amp;A125)/MAX(1,COUNTIFS(PA_OECM_Register!$Z$5:$Z$1504,1,PA_OECM_Register!$E$5:$E$1504,"PA",PA_OECM_Register!$AH$5:$AH$1504,"&gt;0")))</f>
        <v/>
      </c>
      <c r="C125" s="38">
        <f>IF(A125="","",COUNTIFS(PA_OECM_Register!$Z$5:$Z$1504,1,PA_OECM_Register!$E$5:$E$1504,"OECM",PA_OECM_Register!$AH$5:$AH$1504,"&gt;0",PA_OECM_Register!$AH$5:$AH$1504,"&lt;="&amp;A125)/MAX(1,COUNTIFS(PA_OECM_Register!$Z$5:$Z$1504,1,PA_OECM_Register!$E$5:$E$1504,"OECM",PA_OECM_Register!$AH$5:$AH$1504,"&gt;0")))</f>
        <v/>
      </c>
      <c r="D125" s="25">
        <f>IF(A125="","",SUMIFS(PA_OECM_Register!$AF$5:$AF$1504,PA_OECM_Register!$Z$5:$Z$1504,1,PA_OECM_Register!$E$5:$E$1504,"PA",PA_OECM_Register!$AH$5:$AH$1504,"&gt;0",PA_OECM_Register!$AH$5:$AH$1504,"&lt;="&amp;A125)+SUMIFS(PA_OECM_Register!$AF$5:$AF$1504,PA_OECM_Register!$Z$5:$Z$1504,1,PA_OECM_Register!$E$5:$E$1504,"PA",PA_OECM_Register!$AH$5:$AH$1504,0)*B125)</f>
        <v/>
      </c>
      <c r="E125" s="25">
        <f>IF(A125="","",SUMIFS(PA_OECM_Register!$AF$5:$AF$1504,PA_OECM_Register!$Z$5:$Z$1504,1,PA_OECM_Register!$E$5:$E$1504,"OECM",PA_OECM_Register!$AH$5:$AH$1504,"&gt;0",PA_OECM_Register!$AH$5:$AH$1504,"&lt;="&amp;A125)+SUMIFS(PA_OECM_Register!$AF$5:$AF$1504,PA_OECM_Register!$Z$5:$Z$1504,1,PA_OECM_Register!$E$5:$E$1504,"OECM",PA_OECM_Register!$AH$5:$AH$1504,0)*C125)</f>
        <v/>
      </c>
      <c r="F125" s="26">
        <f>IF(A125="","",IF(N(Setup!$B$10)&gt;0,(D125+E125)/Setup!$B$10,""))</f>
        <v/>
      </c>
      <c r="G125" s="25">
        <f>IF(A125="","",SUMIFS(PA_OECM_Register!$AG$5:$AG$1504,PA_OECM_Register!$Z$5:$Z$1504,1,PA_OECM_Register!$E$5:$E$1504,"PA",PA_OECM_Register!$AH$5:$AH$1504,"&gt;0",PA_OECM_Register!$AH$5:$AH$1504,"&lt;="&amp;A125)+SUMIFS(PA_OECM_Register!$AG$5:$AG$1504,PA_OECM_Register!$Z$5:$Z$1504,1,PA_OECM_Register!$E$5:$E$1504,"PA",PA_OECM_Register!$AH$5:$AH$1504,0)*B125)</f>
        <v/>
      </c>
      <c r="H125" s="25">
        <f>IF(A125="","",SUMIFS(PA_OECM_Register!$AG$5:$AG$1504,PA_OECM_Register!$Z$5:$Z$1504,1,PA_OECM_Register!$E$5:$E$1504,"OECM",PA_OECM_Register!$AH$5:$AH$1504,"&gt;0",PA_OECM_Register!$AH$5:$AH$1504,"&lt;="&amp;A125)+SUMIFS(PA_OECM_Register!$AG$5:$AG$1504,PA_OECM_Register!$Z$5:$Z$1504,1,PA_OECM_Register!$E$5:$E$1504,"OECM",PA_OECM_Register!$AH$5:$AH$1504,0)*C125)</f>
        <v/>
      </c>
      <c r="I125" s="26">
        <f>IF(A125="","",IF(N(Setup!$B$11)&gt;0,(G125+H125)/Setup!$B$11,""))</f>
        <v/>
      </c>
      <c r="J125" s="26">
        <f>IF(A125="","",IF(N(Setup!$B$10)&gt;0,SUMIFS(PA_OECM_Register!$AF$5:$AF$1504,PA_OECM_Register!$Z$5:$Z$1504,1,PA_OECM_Register!$AH$5:$AH$1504,"&gt;0",PA_OECM_Register!$AH$5:$AH$1504,"&lt;="&amp;A125)/Setup!$B$10,""))</f>
        <v/>
      </c>
      <c r="K125" s="26">
        <f>IF(A125="","",IF(N(Setup!$B$11)&gt;0,SUMIFS(PA_OECM_Register!$AG$5:$AG$1504,PA_OECM_Register!$Z$5:$Z$1504,1,PA_OECM_Register!$AH$5:$AH$1504,"&gt;0",PA_OECM_Register!$AH$5:$AH$1504,"&lt;="&amp;A125)/Setup!$B$11,""))</f>
        <v/>
      </c>
    </row>
    <row r="126">
      <c r="A126" s="33">
        <f>IF(Setup!$B$27+121&gt;Setup!$B$6,"",Setup!$B$27+121)</f>
        <v/>
      </c>
      <c r="B126" s="38">
        <f>IF(A126="","",COUNTIFS(PA_OECM_Register!$Z$5:$Z$1504,1,PA_OECM_Register!$E$5:$E$1504,"PA",PA_OECM_Register!$AH$5:$AH$1504,"&gt;0",PA_OECM_Register!$AH$5:$AH$1504,"&lt;="&amp;A126)/MAX(1,COUNTIFS(PA_OECM_Register!$Z$5:$Z$1504,1,PA_OECM_Register!$E$5:$E$1504,"PA",PA_OECM_Register!$AH$5:$AH$1504,"&gt;0")))</f>
        <v/>
      </c>
      <c r="C126" s="38">
        <f>IF(A126="","",COUNTIFS(PA_OECM_Register!$Z$5:$Z$1504,1,PA_OECM_Register!$E$5:$E$1504,"OECM",PA_OECM_Register!$AH$5:$AH$1504,"&gt;0",PA_OECM_Register!$AH$5:$AH$1504,"&lt;="&amp;A126)/MAX(1,COUNTIFS(PA_OECM_Register!$Z$5:$Z$1504,1,PA_OECM_Register!$E$5:$E$1504,"OECM",PA_OECM_Register!$AH$5:$AH$1504,"&gt;0")))</f>
        <v/>
      </c>
      <c r="D126" s="25">
        <f>IF(A126="","",SUMIFS(PA_OECM_Register!$AF$5:$AF$1504,PA_OECM_Register!$Z$5:$Z$1504,1,PA_OECM_Register!$E$5:$E$1504,"PA",PA_OECM_Register!$AH$5:$AH$1504,"&gt;0",PA_OECM_Register!$AH$5:$AH$1504,"&lt;="&amp;A126)+SUMIFS(PA_OECM_Register!$AF$5:$AF$1504,PA_OECM_Register!$Z$5:$Z$1504,1,PA_OECM_Register!$E$5:$E$1504,"PA",PA_OECM_Register!$AH$5:$AH$1504,0)*B126)</f>
        <v/>
      </c>
      <c r="E126" s="25">
        <f>IF(A126="","",SUMIFS(PA_OECM_Register!$AF$5:$AF$1504,PA_OECM_Register!$Z$5:$Z$1504,1,PA_OECM_Register!$E$5:$E$1504,"OECM",PA_OECM_Register!$AH$5:$AH$1504,"&gt;0",PA_OECM_Register!$AH$5:$AH$1504,"&lt;="&amp;A126)+SUMIFS(PA_OECM_Register!$AF$5:$AF$1504,PA_OECM_Register!$Z$5:$Z$1504,1,PA_OECM_Register!$E$5:$E$1504,"OECM",PA_OECM_Register!$AH$5:$AH$1504,0)*C126)</f>
        <v/>
      </c>
      <c r="F126" s="26">
        <f>IF(A126="","",IF(N(Setup!$B$10)&gt;0,(D126+E126)/Setup!$B$10,""))</f>
        <v/>
      </c>
      <c r="G126" s="25">
        <f>IF(A126="","",SUMIFS(PA_OECM_Register!$AG$5:$AG$1504,PA_OECM_Register!$Z$5:$Z$1504,1,PA_OECM_Register!$E$5:$E$1504,"PA",PA_OECM_Register!$AH$5:$AH$1504,"&gt;0",PA_OECM_Register!$AH$5:$AH$1504,"&lt;="&amp;A126)+SUMIFS(PA_OECM_Register!$AG$5:$AG$1504,PA_OECM_Register!$Z$5:$Z$1504,1,PA_OECM_Register!$E$5:$E$1504,"PA",PA_OECM_Register!$AH$5:$AH$1504,0)*B126)</f>
        <v/>
      </c>
      <c r="H126" s="25">
        <f>IF(A126="","",SUMIFS(PA_OECM_Register!$AG$5:$AG$1504,PA_OECM_Register!$Z$5:$Z$1504,1,PA_OECM_Register!$E$5:$E$1504,"OECM",PA_OECM_Register!$AH$5:$AH$1504,"&gt;0",PA_OECM_Register!$AH$5:$AH$1504,"&lt;="&amp;A126)+SUMIFS(PA_OECM_Register!$AG$5:$AG$1504,PA_OECM_Register!$Z$5:$Z$1504,1,PA_OECM_Register!$E$5:$E$1504,"OECM",PA_OECM_Register!$AH$5:$AH$1504,0)*C126)</f>
        <v/>
      </c>
      <c r="I126" s="26">
        <f>IF(A126="","",IF(N(Setup!$B$11)&gt;0,(G126+H126)/Setup!$B$11,""))</f>
        <v/>
      </c>
      <c r="J126" s="26">
        <f>IF(A126="","",IF(N(Setup!$B$10)&gt;0,SUMIFS(PA_OECM_Register!$AF$5:$AF$1504,PA_OECM_Register!$Z$5:$Z$1504,1,PA_OECM_Register!$AH$5:$AH$1504,"&gt;0",PA_OECM_Register!$AH$5:$AH$1504,"&lt;="&amp;A126)/Setup!$B$10,""))</f>
        <v/>
      </c>
      <c r="K126" s="26">
        <f>IF(A126="","",IF(N(Setup!$B$11)&gt;0,SUMIFS(PA_OECM_Register!$AG$5:$AG$1504,PA_OECM_Register!$Z$5:$Z$1504,1,PA_OECM_Register!$AH$5:$AH$1504,"&gt;0",PA_OECM_Register!$AH$5:$AH$1504,"&lt;="&amp;A126)/Setup!$B$11,""))</f>
        <v/>
      </c>
    </row>
    <row r="127">
      <c r="A127" s="33">
        <f>IF(Setup!$B$27+122&gt;Setup!$B$6,"",Setup!$B$27+122)</f>
        <v/>
      </c>
      <c r="B127" s="38">
        <f>IF(A127="","",COUNTIFS(PA_OECM_Register!$Z$5:$Z$1504,1,PA_OECM_Register!$E$5:$E$1504,"PA",PA_OECM_Register!$AH$5:$AH$1504,"&gt;0",PA_OECM_Register!$AH$5:$AH$1504,"&lt;="&amp;A127)/MAX(1,COUNTIFS(PA_OECM_Register!$Z$5:$Z$1504,1,PA_OECM_Register!$E$5:$E$1504,"PA",PA_OECM_Register!$AH$5:$AH$1504,"&gt;0")))</f>
        <v/>
      </c>
      <c r="C127" s="38">
        <f>IF(A127="","",COUNTIFS(PA_OECM_Register!$Z$5:$Z$1504,1,PA_OECM_Register!$E$5:$E$1504,"OECM",PA_OECM_Register!$AH$5:$AH$1504,"&gt;0",PA_OECM_Register!$AH$5:$AH$1504,"&lt;="&amp;A127)/MAX(1,COUNTIFS(PA_OECM_Register!$Z$5:$Z$1504,1,PA_OECM_Register!$E$5:$E$1504,"OECM",PA_OECM_Register!$AH$5:$AH$1504,"&gt;0")))</f>
        <v/>
      </c>
      <c r="D127" s="25">
        <f>IF(A127="","",SUMIFS(PA_OECM_Register!$AF$5:$AF$1504,PA_OECM_Register!$Z$5:$Z$1504,1,PA_OECM_Register!$E$5:$E$1504,"PA",PA_OECM_Register!$AH$5:$AH$1504,"&gt;0",PA_OECM_Register!$AH$5:$AH$1504,"&lt;="&amp;A127)+SUMIFS(PA_OECM_Register!$AF$5:$AF$1504,PA_OECM_Register!$Z$5:$Z$1504,1,PA_OECM_Register!$E$5:$E$1504,"PA",PA_OECM_Register!$AH$5:$AH$1504,0)*B127)</f>
        <v/>
      </c>
      <c r="E127" s="25">
        <f>IF(A127="","",SUMIFS(PA_OECM_Register!$AF$5:$AF$1504,PA_OECM_Register!$Z$5:$Z$1504,1,PA_OECM_Register!$E$5:$E$1504,"OECM",PA_OECM_Register!$AH$5:$AH$1504,"&gt;0",PA_OECM_Register!$AH$5:$AH$1504,"&lt;="&amp;A127)+SUMIFS(PA_OECM_Register!$AF$5:$AF$1504,PA_OECM_Register!$Z$5:$Z$1504,1,PA_OECM_Register!$E$5:$E$1504,"OECM",PA_OECM_Register!$AH$5:$AH$1504,0)*C127)</f>
        <v/>
      </c>
      <c r="F127" s="26">
        <f>IF(A127="","",IF(N(Setup!$B$10)&gt;0,(D127+E127)/Setup!$B$10,""))</f>
        <v/>
      </c>
      <c r="G127" s="25">
        <f>IF(A127="","",SUMIFS(PA_OECM_Register!$AG$5:$AG$1504,PA_OECM_Register!$Z$5:$Z$1504,1,PA_OECM_Register!$E$5:$E$1504,"PA",PA_OECM_Register!$AH$5:$AH$1504,"&gt;0",PA_OECM_Register!$AH$5:$AH$1504,"&lt;="&amp;A127)+SUMIFS(PA_OECM_Register!$AG$5:$AG$1504,PA_OECM_Register!$Z$5:$Z$1504,1,PA_OECM_Register!$E$5:$E$1504,"PA",PA_OECM_Register!$AH$5:$AH$1504,0)*B127)</f>
        <v/>
      </c>
      <c r="H127" s="25">
        <f>IF(A127="","",SUMIFS(PA_OECM_Register!$AG$5:$AG$1504,PA_OECM_Register!$Z$5:$Z$1504,1,PA_OECM_Register!$E$5:$E$1504,"OECM",PA_OECM_Register!$AH$5:$AH$1504,"&gt;0",PA_OECM_Register!$AH$5:$AH$1504,"&lt;="&amp;A127)+SUMIFS(PA_OECM_Register!$AG$5:$AG$1504,PA_OECM_Register!$Z$5:$Z$1504,1,PA_OECM_Register!$E$5:$E$1504,"OECM",PA_OECM_Register!$AH$5:$AH$1504,0)*C127)</f>
        <v/>
      </c>
      <c r="I127" s="26">
        <f>IF(A127="","",IF(N(Setup!$B$11)&gt;0,(G127+H127)/Setup!$B$11,""))</f>
        <v/>
      </c>
      <c r="J127" s="26">
        <f>IF(A127="","",IF(N(Setup!$B$10)&gt;0,SUMIFS(PA_OECM_Register!$AF$5:$AF$1504,PA_OECM_Register!$Z$5:$Z$1504,1,PA_OECM_Register!$AH$5:$AH$1504,"&gt;0",PA_OECM_Register!$AH$5:$AH$1504,"&lt;="&amp;A127)/Setup!$B$10,""))</f>
        <v/>
      </c>
      <c r="K127" s="26">
        <f>IF(A127="","",IF(N(Setup!$B$11)&gt;0,SUMIFS(PA_OECM_Register!$AG$5:$AG$1504,PA_OECM_Register!$Z$5:$Z$1504,1,PA_OECM_Register!$AH$5:$AH$1504,"&gt;0",PA_OECM_Register!$AH$5:$AH$1504,"&lt;="&amp;A127)/Setup!$B$11,""))</f>
        <v/>
      </c>
    </row>
    <row r="128">
      <c r="A128" s="33">
        <f>IF(Setup!$B$27+123&gt;Setup!$B$6,"",Setup!$B$27+123)</f>
        <v/>
      </c>
      <c r="B128" s="38">
        <f>IF(A128="","",COUNTIFS(PA_OECM_Register!$Z$5:$Z$1504,1,PA_OECM_Register!$E$5:$E$1504,"PA",PA_OECM_Register!$AH$5:$AH$1504,"&gt;0",PA_OECM_Register!$AH$5:$AH$1504,"&lt;="&amp;A128)/MAX(1,COUNTIFS(PA_OECM_Register!$Z$5:$Z$1504,1,PA_OECM_Register!$E$5:$E$1504,"PA",PA_OECM_Register!$AH$5:$AH$1504,"&gt;0")))</f>
        <v/>
      </c>
      <c r="C128" s="38">
        <f>IF(A128="","",COUNTIFS(PA_OECM_Register!$Z$5:$Z$1504,1,PA_OECM_Register!$E$5:$E$1504,"OECM",PA_OECM_Register!$AH$5:$AH$1504,"&gt;0",PA_OECM_Register!$AH$5:$AH$1504,"&lt;="&amp;A128)/MAX(1,COUNTIFS(PA_OECM_Register!$Z$5:$Z$1504,1,PA_OECM_Register!$E$5:$E$1504,"OECM",PA_OECM_Register!$AH$5:$AH$1504,"&gt;0")))</f>
        <v/>
      </c>
      <c r="D128" s="25">
        <f>IF(A128="","",SUMIFS(PA_OECM_Register!$AF$5:$AF$1504,PA_OECM_Register!$Z$5:$Z$1504,1,PA_OECM_Register!$E$5:$E$1504,"PA",PA_OECM_Register!$AH$5:$AH$1504,"&gt;0",PA_OECM_Register!$AH$5:$AH$1504,"&lt;="&amp;A128)+SUMIFS(PA_OECM_Register!$AF$5:$AF$1504,PA_OECM_Register!$Z$5:$Z$1504,1,PA_OECM_Register!$E$5:$E$1504,"PA",PA_OECM_Register!$AH$5:$AH$1504,0)*B128)</f>
        <v/>
      </c>
      <c r="E128" s="25">
        <f>IF(A128="","",SUMIFS(PA_OECM_Register!$AF$5:$AF$1504,PA_OECM_Register!$Z$5:$Z$1504,1,PA_OECM_Register!$E$5:$E$1504,"OECM",PA_OECM_Register!$AH$5:$AH$1504,"&gt;0",PA_OECM_Register!$AH$5:$AH$1504,"&lt;="&amp;A128)+SUMIFS(PA_OECM_Register!$AF$5:$AF$1504,PA_OECM_Register!$Z$5:$Z$1504,1,PA_OECM_Register!$E$5:$E$1504,"OECM",PA_OECM_Register!$AH$5:$AH$1504,0)*C128)</f>
        <v/>
      </c>
      <c r="F128" s="26">
        <f>IF(A128="","",IF(N(Setup!$B$10)&gt;0,(D128+E128)/Setup!$B$10,""))</f>
        <v/>
      </c>
      <c r="G128" s="25">
        <f>IF(A128="","",SUMIFS(PA_OECM_Register!$AG$5:$AG$1504,PA_OECM_Register!$Z$5:$Z$1504,1,PA_OECM_Register!$E$5:$E$1504,"PA",PA_OECM_Register!$AH$5:$AH$1504,"&gt;0",PA_OECM_Register!$AH$5:$AH$1504,"&lt;="&amp;A128)+SUMIFS(PA_OECM_Register!$AG$5:$AG$1504,PA_OECM_Register!$Z$5:$Z$1504,1,PA_OECM_Register!$E$5:$E$1504,"PA",PA_OECM_Register!$AH$5:$AH$1504,0)*B128)</f>
        <v/>
      </c>
      <c r="H128" s="25">
        <f>IF(A128="","",SUMIFS(PA_OECM_Register!$AG$5:$AG$1504,PA_OECM_Register!$Z$5:$Z$1504,1,PA_OECM_Register!$E$5:$E$1504,"OECM",PA_OECM_Register!$AH$5:$AH$1504,"&gt;0",PA_OECM_Register!$AH$5:$AH$1504,"&lt;="&amp;A128)+SUMIFS(PA_OECM_Register!$AG$5:$AG$1504,PA_OECM_Register!$Z$5:$Z$1504,1,PA_OECM_Register!$E$5:$E$1504,"OECM",PA_OECM_Register!$AH$5:$AH$1504,0)*C128)</f>
        <v/>
      </c>
      <c r="I128" s="26">
        <f>IF(A128="","",IF(N(Setup!$B$11)&gt;0,(G128+H128)/Setup!$B$11,""))</f>
        <v/>
      </c>
      <c r="J128" s="26">
        <f>IF(A128="","",IF(N(Setup!$B$10)&gt;0,SUMIFS(PA_OECM_Register!$AF$5:$AF$1504,PA_OECM_Register!$Z$5:$Z$1504,1,PA_OECM_Register!$AH$5:$AH$1504,"&gt;0",PA_OECM_Register!$AH$5:$AH$1504,"&lt;="&amp;A128)/Setup!$B$10,""))</f>
        <v/>
      </c>
      <c r="K128" s="26">
        <f>IF(A128="","",IF(N(Setup!$B$11)&gt;0,SUMIFS(PA_OECM_Register!$AG$5:$AG$1504,PA_OECM_Register!$Z$5:$Z$1504,1,PA_OECM_Register!$AH$5:$AH$1504,"&gt;0",PA_OECM_Register!$AH$5:$AH$1504,"&lt;="&amp;A128)/Setup!$B$11,""))</f>
        <v/>
      </c>
    </row>
    <row r="129">
      <c r="A129" s="33">
        <f>IF(Setup!$B$27+124&gt;Setup!$B$6,"",Setup!$B$27+124)</f>
        <v/>
      </c>
      <c r="B129" s="38">
        <f>IF(A129="","",COUNTIFS(PA_OECM_Register!$Z$5:$Z$1504,1,PA_OECM_Register!$E$5:$E$1504,"PA",PA_OECM_Register!$AH$5:$AH$1504,"&gt;0",PA_OECM_Register!$AH$5:$AH$1504,"&lt;="&amp;A129)/MAX(1,COUNTIFS(PA_OECM_Register!$Z$5:$Z$1504,1,PA_OECM_Register!$E$5:$E$1504,"PA",PA_OECM_Register!$AH$5:$AH$1504,"&gt;0")))</f>
        <v/>
      </c>
      <c r="C129" s="38">
        <f>IF(A129="","",COUNTIFS(PA_OECM_Register!$Z$5:$Z$1504,1,PA_OECM_Register!$E$5:$E$1504,"OECM",PA_OECM_Register!$AH$5:$AH$1504,"&gt;0",PA_OECM_Register!$AH$5:$AH$1504,"&lt;="&amp;A129)/MAX(1,COUNTIFS(PA_OECM_Register!$Z$5:$Z$1504,1,PA_OECM_Register!$E$5:$E$1504,"OECM",PA_OECM_Register!$AH$5:$AH$1504,"&gt;0")))</f>
        <v/>
      </c>
      <c r="D129" s="25">
        <f>IF(A129="","",SUMIFS(PA_OECM_Register!$AF$5:$AF$1504,PA_OECM_Register!$Z$5:$Z$1504,1,PA_OECM_Register!$E$5:$E$1504,"PA",PA_OECM_Register!$AH$5:$AH$1504,"&gt;0",PA_OECM_Register!$AH$5:$AH$1504,"&lt;="&amp;A129)+SUMIFS(PA_OECM_Register!$AF$5:$AF$1504,PA_OECM_Register!$Z$5:$Z$1504,1,PA_OECM_Register!$E$5:$E$1504,"PA",PA_OECM_Register!$AH$5:$AH$1504,0)*B129)</f>
        <v/>
      </c>
      <c r="E129" s="25">
        <f>IF(A129="","",SUMIFS(PA_OECM_Register!$AF$5:$AF$1504,PA_OECM_Register!$Z$5:$Z$1504,1,PA_OECM_Register!$E$5:$E$1504,"OECM",PA_OECM_Register!$AH$5:$AH$1504,"&gt;0",PA_OECM_Register!$AH$5:$AH$1504,"&lt;="&amp;A129)+SUMIFS(PA_OECM_Register!$AF$5:$AF$1504,PA_OECM_Register!$Z$5:$Z$1504,1,PA_OECM_Register!$E$5:$E$1504,"OECM",PA_OECM_Register!$AH$5:$AH$1504,0)*C129)</f>
        <v/>
      </c>
      <c r="F129" s="26">
        <f>IF(A129="","",IF(N(Setup!$B$10)&gt;0,(D129+E129)/Setup!$B$10,""))</f>
        <v/>
      </c>
      <c r="G129" s="25">
        <f>IF(A129="","",SUMIFS(PA_OECM_Register!$AG$5:$AG$1504,PA_OECM_Register!$Z$5:$Z$1504,1,PA_OECM_Register!$E$5:$E$1504,"PA",PA_OECM_Register!$AH$5:$AH$1504,"&gt;0",PA_OECM_Register!$AH$5:$AH$1504,"&lt;="&amp;A129)+SUMIFS(PA_OECM_Register!$AG$5:$AG$1504,PA_OECM_Register!$Z$5:$Z$1504,1,PA_OECM_Register!$E$5:$E$1504,"PA",PA_OECM_Register!$AH$5:$AH$1504,0)*B129)</f>
        <v/>
      </c>
      <c r="H129" s="25">
        <f>IF(A129="","",SUMIFS(PA_OECM_Register!$AG$5:$AG$1504,PA_OECM_Register!$Z$5:$Z$1504,1,PA_OECM_Register!$E$5:$E$1504,"OECM",PA_OECM_Register!$AH$5:$AH$1504,"&gt;0",PA_OECM_Register!$AH$5:$AH$1504,"&lt;="&amp;A129)+SUMIFS(PA_OECM_Register!$AG$5:$AG$1504,PA_OECM_Register!$Z$5:$Z$1504,1,PA_OECM_Register!$E$5:$E$1504,"OECM",PA_OECM_Register!$AH$5:$AH$1504,0)*C129)</f>
        <v/>
      </c>
      <c r="I129" s="26">
        <f>IF(A129="","",IF(N(Setup!$B$11)&gt;0,(G129+H129)/Setup!$B$11,""))</f>
        <v/>
      </c>
      <c r="J129" s="26">
        <f>IF(A129="","",IF(N(Setup!$B$10)&gt;0,SUMIFS(PA_OECM_Register!$AF$5:$AF$1504,PA_OECM_Register!$Z$5:$Z$1504,1,PA_OECM_Register!$AH$5:$AH$1504,"&gt;0",PA_OECM_Register!$AH$5:$AH$1504,"&lt;="&amp;A129)/Setup!$B$10,""))</f>
        <v/>
      </c>
      <c r="K129" s="26">
        <f>IF(A129="","",IF(N(Setup!$B$11)&gt;0,SUMIFS(PA_OECM_Register!$AG$5:$AG$1504,PA_OECM_Register!$Z$5:$Z$1504,1,PA_OECM_Register!$AH$5:$AH$1504,"&gt;0",PA_OECM_Register!$AH$5:$AH$1504,"&lt;="&amp;A129)/Setup!$B$11,""))</f>
        <v/>
      </c>
    </row>
    <row r="130">
      <c r="A130" s="33">
        <f>IF(Setup!$B$27+125&gt;Setup!$B$6,"",Setup!$B$27+125)</f>
        <v/>
      </c>
      <c r="B130" s="38">
        <f>IF(A130="","",COUNTIFS(PA_OECM_Register!$Z$5:$Z$1504,1,PA_OECM_Register!$E$5:$E$1504,"PA",PA_OECM_Register!$AH$5:$AH$1504,"&gt;0",PA_OECM_Register!$AH$5:$AH$1504,"&lt;="&amp;A130)/MAX(1,COUNTIFS(PA_OECM_Register!$Z$5:$Z$1504,1,PA_OECM_Register!$E$5:$E$1504,"PA",PA_OECM_Register!$AH$5:$AH$1504,"&gt;0")))</f>
        <v/>
      </c>
      <c r="C130" s="38">
        <f>IF(A130="","",COUNTIFS(PA_OECM_Register!$Z$5:$Z$1504,1,PA_OECM_Register!$E$5:$E$1504,"OECM",PA_OECM_Register!$AH$5:$AH$1504,"&gt;0",PA_OECM_Register!$AH$5:$AH$1504,"&lt;="&amp;A130)/MAX(1,COUNTIFS(PA_OECM_Register!$Z$5:$Z$1504,1,PA_OECM_Register!$E$5:$E$1504,"OECM",PA_OECM_Register!$AH$5:$AH$1504,"&gt;0")))</f>
        <v/>
      </c>
      <c r="D130" s="25">
        <f>IF(A130="","",SUMIFS(PA_OECM_Register!$AF$5:$AF$1504,PA_OECM_Register!$Z$5:$Z$1504,1,PA_OECM_Register!$E$5:$E$1504,"PA",PA_OECM_Register!$AH$5:$AH$1504,"&gt;0",PA_OECM_Register!$AH$5:$AH$1504,"&lt;="&amp;A130)+SUMIFS(PA_OECM_Register!$AF$5:$AF$1504,PA_OECM_Register!$Z$5:$Z$1504,1,PA_OECM_Register!$E$5:$E$1504,"PA",PA_OECM_Register!$AH$5:$AH$1504,0)*B130)</f>
        <v/>
      </c>
      <c r="E130" s="25">
        <f>IF(A130="","",SUMIFS(PA_OECM_Register!$AF$5:$AF$1504,PA_OECM_Register!$Z$5:$Z$1504,1,PA_OECM_Register!$E$5:$E$1504,"OECM",PA_OECM_Register!$AH$5:$AH$1504,"&gt;0",PA_OECM_Register!$AH$5:$AH$1504,"&lt;="&amp;A130)+SUMIFS(PA_OECM_Register!$AF$5:$AF$1504,PA_OECM_Register!$Z$5:$Z$1504,1,PA_OECM_Register!$E$5:$E$1504,"OECM",PA_OECM_Register!$AH$5:$AH$1504,0)*C130)</f>
        <v/>
      </c>
      <c r="F130" s="26">
        <f>IF(A130="","",IF(N(Setup!$B$10)&gt;0,(D130+E130)/Setup!$B$10,""))</f>
        <v/>
      </c>
      <c r="G130" s="25">
        <f>IF(A130="","",SUMIFS(PA_OECM_Register!$AG$5:$AG$1504,PA_OECM_Register!$Z$5:$Z$1504,1,PA_OECM_Register!$E$5:$E$1504,"PA",PA_OECM_Register!$AH$5:$AH$1504,"&gt;0",PA_OECM_Register!$AH$5:$AH$1504,"&lt;="&amp;A130)+SUMIFS(PA_OECM_Register!$AG$5:$AG$1504,PA_OECM_Register!$Z$5:$Z$1504,1,PA_OECM_Register!$E$5:$E$1504,"PA",PA_OECM_Register!$AH$5:$AH$1504,0)*B130)</f>
        <v/>
      </c>
      <c r="H130" s="25">
        <f>IF(A130="","",SUMIFS(PA_OECM_Register!$AG$5:$AG$1504,PA_OECM_Register!$Z$5:$Z$1504,1,PA_OECM_Register!$E$5:$E$1504,"OECM",PA_OECM_Register!$AH$5:$AH$1504,"&gt;0",PA_OECM_Register!$AH$5:$AH$1504,"&lt;="&amp;A130)+SUMIFS(PA_OECM_Register!$AG$5:$AG$1504,PA_OECM_Register!$Z$5:$Z$1504,1,PA_OECM_Register!$E$5:$E$1504,"OECM",PA_OECM_Register!$AH$5:$AH$1504,0)*C130)</f>
        <v/>
      </c>
      <c r="I130" s="26">
        <f>IF(A130="","",IF(N(Setup!$B$11)&gt;0,(G130+H130)/Setup!$B$11,""))</f>
        <v/>
      </c>
      <c r="J130" s="26">
        <f>IF(A130="","",IF(N(Setup!$B$10)&gt;0,SUMIFS(PA_OECM_Register!$AF$5:$AF$1504,PA_OECM_Register!$Z$5:$Z$1504,1,PA_OECM_Register!$AH$5:$AH$1504,"&gt;0",PA_OECM_Register!$AH$5:$AH$1504,"&lt;="&amp;A130)/Setup!$B$10,""))</f>
        <v/>
      </c>
      <c r="K130" s="26">
        <f>IF(A130="","",IF(N(Setup!$B$11)&gt;0,SUMIFS(PA_OECM_Register!$AG$5:$AG$1504,PA_OECM_Register!$Z$5:$Z$1504,1,PA_OECM_Register!$AH$5:$AH$1504,"&gt;0",PA_OECM_Register!$AH$5:$AH$1504,"&lt;="&amp;A130)/Setup!$B$11,""))</f>
        <v/>
      </c>
    </row>
    <row r="131">
      <c r="A131" s="33">
        <f>IF(Setup!$B$27+126&gt;Setup!$B$6,"",Setup!$B$27+126)</f>
        <v/>
      </c>
      <c r="B131" s="38">
        <f>IF(A131="","",COUNTIFS(PA_OECM_Register!$Z$5:$Z$1504,1,PA_OECM_Register!$E$5:$E$1504,"PA",PA_OECM_Register!$AH$5:$AH$1504,"&gt;0",PA_OECM_Register!$AH$5:$AH$1504,"&lt;="&amp;A131)/MAX(1,COUNTIFS(PA_OECM_Register!$Z$5:$Z$1504,1,PA_OECM_Register!$E$5:$E$1504,"PA",PA_OECM_Register!$AH$5:$AH$1504,"&gt;0")))</f>
        <v/>
      </c>
      <c r="C131" s="38">
        <f>IF(A131="","",COUNTIFS(PA_OECM_Register!$Z$5:$Z$1504,1,PA_OECM_Register!$E$5:$E$1504,"OECM",PA_OECM_Register!$AH$5:$AH$1504,"&gt;0",PA_OECM_Register!$AH$5:$AH$1504,"&lt;="&amp;A131)/MAX(1,COUNTIFS(PA_OECM_Register!$Z$5:$Z$1504,1,PA_OECM_Register!$E$5:$E$1504,"OECM",PA_OECM_Register!$AH$5:$AH$1504,"&gt;0")))</f>
        <v/>
      </c>
      <c r="D131" s="25">
        <f>IF(A131="","",SUMIFS(PA_OECM_Register!$AF$5:$AF$1504,PA_OECM_Register!$Z$5:$Z$1504,1,PA_OECM_Register!$E$5:$E$1504,"PA",PA_OECM_Register!$AH$5:$AH$1504,"&gt;0",PA_OECM_Register!$AH$5:$AH$1504,"&lt;="&amp;A131)+SUMIFS(PA_OECM_Register!$AF$5:$AF$1504,PA_OECM_Register!$Z$5:$Z$1504,1,PA_OECM_Register!$E$5:$E$1504,"PA",PA_OECM_Register!$AH$5:$AH$1504,0)*B131)</f>
        <v/>
      </c>
      <c r="E131" s="25">
        <f>IF(A131="","",SUMIFS(PA_OECM_Register!$AF$5:$AF$1504,PA_OECM_Register!$Z$5:$Z$1504,1,PA_OECM_Register!$E$5:$E$1504,"OECM",PA_OECM_Register!$AH$5:$AH$1504,"&gt;0",PA_OECM_Register!$AH$5:$AH$1504,"&lt;="&amp;A131)+SUMIFS(PA_OECM_Register!$AF$5:$AF$1504,PA_OECM_Register!$Z$5:$Z$1504,1,PA_OECM_Register!$E$5:$E$1504,"OECM",PA_OECM_Register!$AH$5:$AH$1504,0)*C131)</f>
        <v/>
      </c>
      <c r="F131" s="26">
        <f>IF(A131="","",IF(N(Setup!$B$10)&gt;0,(D131+E131)/Setup!$B$10,""))</f>
        <v/>
      </c>
      <c r="G131" s="25">
        <f>IF(A131="","",SUMIFS(PA_OECM_Register!$AG$5:$AG$1504,PA_OECM_Register!$Z$5:$Z$1504,1,PA_OECM_Register!$E$5:$E$1504,"PA",PA_OECM_Register!$AH$5:$AH$1504,"&gt;0",PA_OECM_Register!$AH$5:$AH$1504,"&lt;="&amp;A131)+SUMIFS(PA_OECM_Register!$AG$5:$AG$1504,PA_OECM_Register!$Z$5:$Z$1504,1,PA_OECM_Register!$E$5:$E$1504,"PA",PA_OECM_Register!$AH$5:$AH$1504,0)*B131)</f>
        <v/>
      </c>
      <c r="H131" s="25">
        <f>IF(A131="","",SUMIFS(PA_OECM_Register!$AG$5:$AG$1504,PA_OECM_Register!$Z$5:$Z$1504,1,PA_OECM_Register!$E$5:$E$1504,"OECM",PA_OECM_Register!$AH$5:$AH$1504,"&gt;0",PA_OECM_Register!$AH$5:$AH$1504,"&lt;="&amp;A131)+SUMIFS(PA_OECM_Register!$AG$5:$AG$1504,PA_OECM_Register!$Z$5:$Z$1504,1,PA_OECM_Register!$E$5:$E$1504,"OECM",PA_OECM_Register!$AH$5:$AH$1504,0)*C131)</f>
        <v/>
      </c>
      <c r="I131" s="26">
        <f>IF(A131="","",IF(N(Setup!$B$11)&gt;0,(G131+H131)/Setup!$B$11,""))</f>
        <v/>
      </c>
      <c r="J131" s="26">
        <f>IF(A131="","",IF(N(Setup!$B$10)&gt;0,SUMIFS(PA_OECM_Register!$AF$5:$AF$1504,PA_OECM_Register!$Z$5:$Z$1504,1,PA_OECM_Register!$AH$5:$AH$1504,"&gt;0",PA_OECM_Register!$AH$5:$AH$1504,"&lt;="&amp;A131)/Setup!$B$10,""))</f>
        <v/>
      </c>
      <c r="K131" s="26">
        <f>IF(A131="","",IF(N(Setup!$B$11)&gt;0,SUMIFS(PA_OECM_Register!$AG$5:$AG$1504,PA_OECM_Register!$Z$5:$Z$1504,1,PA_OECM_Register!$AH$5:$AH$1504,"&gt;0",PA_OECM_Register!$AH$5:$AH$1504,"&lt;="&amp;A131)/Setup!$B$11,""))</f>
        <v/>
      </c>
    </row>
    <row r="132">
      <c r="A132" s="33">
        <f>IF(Setup!$B$27+127&gt;Setup!$B$6,"",Setup!$B$27+127)</f>
        <v/>
      </c>
      <c r="B132" s="38">
        <f>IF(A132="","",COUNTIFS(PA_OECM_Register!$Z$5:$Z$1504,1,PA_OECM_Register!$E$5:$E$1504,"PA",PA_OECM_Register!$AH$5:$AH$1504,"&gt;0",PA_OECM_Register!$AH$5:$AH$1504,"&lt;="&amp;A132)/MAX(1,COUNTIFS(PA_OECM_Register!$Z$5:$Z$1504,1,PA_OECM_Register!$E$5:$E$1504,"PA",PA_OECM_Register!$AH$5:$AH$1504,"&gt;0")))</f>
        <v/>
      </c>
      <c r="C132" s="38">
        <f>IF(A132="","",COUNTIFS(PA_OECM_Register!$Z$5:$Z$1504,1,PA_OECM_Register!$E$5:$E$1504,"OECM",PA_OECM_Register!$AH$5:$AH$1504,"&gt;0",PA_OECM_Register!$AH$5:$AH$1504,"&lt;="&amp;A132)/MAX(1,COUNTIFS(PA_OECM_Register!$Z$5:$Z$1504,1,PA_OECM_Register!$E$5:$E$1504,"OECM",PA_OECM_Register!$AH$5:$AH$1504,"&gt;0")))</f>
        <v/>
      </c>
      <c r="D132" s="25">
        <f>IF(A132="","",SUMIFS(PA_OECM_Register!$AF$5:$AF$1504,PA_OECM_Register!$Z$5:$Z$1504,1,PA_OECM_Register!$E$5:$E$1504,"PA",PA_OECM_Register!$AH$5:$AH$1504,"&gt;0",PA_OECM_Register!$AH$5:$AH$1504,"&lt;="&amp;A132)+SUMIFS(PA_OECM_Register!$AF$5:$AF$1504,PA_OECM_Register!$Z$5:$Z$1504,1,PA_OECM_Register!$E$5:$E$1504,"PA",PA_OECM_Register!$AH$5:$AH$1504,0)*B132)</f>
        <v/>
      </c>
      <c r="E132" s="25">
        <f>IF(A132="","",SUMIFS(PA_OECM_Register!$AF$5:$AF$1504,PA_OECM_Register!$Z$5:$Z$1504,1,PA_OECM_Register!$E$5:$E$1504,"OECM",PA_OECM_Register!$AH$5:$AH$1504,"&gt;0",PA_OECM_Register!$AH$5:$AH$1504,"&lt;="&amp;A132)+SUMIFS(PA_OECM_Register!$AF$5:$AF$1504,PA_OECM_Register!$Z$5:$Z$1504,1,PA_OECM_Register!$E$5:$E$1504,"OECM",PA_OECM_Register!$AH$5:$AH$1504,0)*C132)</f>
        <v/>
      </c>
      <c r="F132" s="26">
        <f>IF(A132="","",IF(N(Setup!$B$10)&gt;0,(D132+E132)/Setup!$B$10,""))</f>
        <v/>
      </c>
      <c r="G132" s="25">
        <f>IF(A132="","",SUMIFS(PA_OECM_Register!$AG$5:$AG$1504,PA_OECM_Register!$Z$5:$Z$1504,1,PA_OECM_Register!$E$5:$E$1504,"PA",PA_OECM_Register!$AH$5:$AH$1504,"&gt;0",PA_OECM_Register!$AH$5:$AH$1504,"&lt;="&amp;A132)+SUMIFS(PA_OECM_Register!$AG$5:$AG$1504,PA_OECM_Register!$Z$5:$Z$1504,1,PA_OECM_Register!$E$5:$E$1504,"PA",PA_OECM_Register!$AH$5:$AH$1504,0)*B132)</f>
        <v/>
      </c>
      <c r="H132" s="25">
        <f>IF(A132="","",SUMIFS(PA_OECM_Register!$AG$5:$AG$1504,PA_OECM_Register!$Z$5:$Z$1504,1,PA_OECM_Register!$E$5:$E$1504,"OECM",PA_OECM_Register!$AH$5:$AH$1504,"&gt;0",PA_OECM_Register!$AH$5:$AH$1504,"&lt;="&amp;A132)+SUMIFS(PA_OECM_Register!$AG$5:$AG$1504,PA_OECM_Register!$Z$5:$Z$1504,1,PA_OECM_Register!$E$5:$E$1504,"OECM",PA_OECM_Register!$AH$5:$AH$1504,0)*C132)</f>
        <v/>
      </c>
      <c r="I132" s="26">
        <f>IF(A132="","",IF(N(Setup!$B$11)&gt;0,(G132+H132)/Setup!$B$11,""))</f>
        <v/>
      </c>
      <c r="J132" s="26">
        <f>IF(A132="","",IF(N(Setup!$B$10)&gt;0,SUMIFS(PA_OECM_Register!$AF$5:$AF$1504,PA_OECM_Register!$Z$5:$Z$1504,1,PA_OECM_Register!$AH$5:$AH$1504,"&gt;0",PA_OECM_Register!$AH$5:$AH$1504,"&lt;="&amp;A132)/Setup!$B$10,""))</f>
        <v/>
      </c>
      <c r="K132" s="26">
        <f>IF(A132="","",IF(N(Setup!$B$11)&gt;0,SUMIFS(PA_OECM_Register!$AG$5:$AG$1504,PA_OECM_Register!$Z$5:$Z$1504,1,PA_OECM_Register!$AH$5:$AH$1504,"&gt;0",PA_OECM_Register!$AH$5:$AH$1504,"&lt;="&amp;A132)/Setup!$B$11,""))</f>
        <v/>
      </c>
    </row>
    <row r="133">
      <c r="A133" s="33">
        <f>IF(Setup!$B$27+128&gt;Setup!$B$6,"",Setup!$B$27+128)</f>
        <v/>
      </c>
      <c r="B133" s="38">
        <f>IF(A133="","",COUNTIFS(PA_OECM_Register!$Z$5:$Z$1504,1,PA_OECM_Register!$E$5:$E$1504,"PA",PA_OECM_Register!$AH$5:$AH$1504,"&gt;0",PA_OECM_Register!$AH$5:$AH$1504,"&lt;="&amp;A133)/MAX(1,COUNTIFS(PA_OECM_Register!$Z$5:$Z$1504,1,PA_OECM_Register!$E$5:$E$1504,"PA",PA_OECM_Register!$AH$5:$AH$1504,"&gt;0")))</f>
        <v/>
      </c>
      <c r="C133" s="38">
        <f>IF(A133="","",COUNTIFS(PA_OECM_Register!$Z$5:$Z$1504,1,PA_OECM_Register!$E$5:$E$1504,"OECM",PA_OECM_Register!$AH$5:$AH$1504,"&gt;0",PA_OECM_Register!$AH$5:$AH$1504,"&lt;="&amp;A133)/MAX(1,COUNTIFS(PA_OECM_Register!$Z$5:$Z$1504,1,PA_OECM_Register!$E$5:$E$1504,"OECM",PA_OECM_Register!$AH$5:$AH$1504,"&gt;0")))</f>
        <v/>
      </c>
      <c r="D133" s="25">
        <f>IF(A133="","",SUMIFS(PA_OECM_Register!$AF$5:$AF$1504,PA_OECM_Register!$Z$5:$Z$1504,1,PA_OECM_Register!$E$5:$E$1504,"PA",PA_OECM_Register!$AH$5:$AH$1504,"&gt;0",PA_OECM_Register!$AH$5:$AH$1504,"&lt;="&amp;A133)+SUMIFS(PA_OECM_Register!$AF$5:$AF$1504,PA_OECM_Register!$Z$5:$Z$1504,1,PA_OECM_Register!$E$5:$E$1504,"PA",PA_OECM_Register!$AH$5:$AH$1504,0)*B133)</f>
        <v/>
      </c>
      <c r="E133" s="25">
        <f>IF(A133="","",SUMIFS(PA_OECM_Register!$AF$5:$AF$1504,PA_OECM_Register!$Z$5:$Z$1504,1,PA_OECM_Register!$E$5:$E$1504,"OECM",PA_OECM_Register!$AH$5:$AH$1504,"&gt;0",PA_OECM_Register!$AH$5:$AH$1504,"&lt;="&amp;A133)+SUMIFS(PA_OECM_Register!$AF$5:$AF$1504,PA_OECM_Register!$Z$5:$Z$1504,1,PA_OECM_Register!$E$5:$E$1504,"OECM",PA_OECM_Register!$AH$5:$AH$1504,0)*C133)</f>
        <v/>
      </c>
      <c r="F133" s="26">
        <f>IF(A133="","",IF(N(Setup!$B$10)&gt;0,(D133+E133)/Setup!$B$10,""))</f>
        <v/>
      </c>
      <c r="G133" s="25">
        <f>IF(A133="","",SUMIFS(PA_OECM_Register!$AG$5:$AG$1504,PA_OECM_Register!$Z$5:$Z$1504,1,PA_OECM_Register!$E$5:$E$1504,"PA",PA_OECM_Register!$AH$5:$AH$1504,"&gt;0",PA_OECM_Register!$AH$5:$AH$1504,"&lt;="&amp;A133)+SUMIFS(PA_OECM_Register!$AG$5:$AG$1504,PA_OECM_Register!$Z$5:$Z$1504,1,PA_OECM_Register!$E$5:$E$1504,"PA",PA_OECM_Register!$AH$5:$AH$1504,0)*B133)</f>
        <v/>
      </c>
      <c r="H133" s="25">
        <f>IF(A133="","",SUMIFS(PA_OECM_Register!$AG$5:$AG$1504,PA_OECM_Register!$Z$5:$Z$1504,1,PA_OECM_Register!$E$5:$E$1504,"OECM",PA_OECM_Register!$AH$5:$AH$1504,"&gt;0",PA_OECM_Register!$AH$5:$AH$1504,"&lt;="&amp;A133)+SUMIFS(PA_OECM_Register!$AG$5:$AG$1504,PA_OECM_Register!$Z$5:$Z$1504,1,PA_OECM_Register!$E$5:$E$1504,"OECM",PA_OECM_Register!$AH$5:$AH$1504,0)*C133)</f>
        <v/>
      </c>
      <c r="I133" s="26">
        <f>IF(A133="","",IF(N(Setup!$B$11)&gt;0,(G133+H133)/Setup!$B$11,""))</f>
        <v/>
      </c>
      <c r="J133" s="26">
        <f>IF(A133="","",IF(N(Setup!$B$10)&gt;0,SUMIFS(PA_OECM_Register!$AF$5:$AF$1504,PA_OECM_Register!$Z$5:$Z$1504,1,PA_OECM_Register!$AH$5:$AH$1504,"&gt;0",PA_OECM_Register!$AH$5:$AH$1504,"&lt;="&amp;A133)/Setup!$B$10,""))</f>
        <v/>
      </c>
      <c r="K133" s="26">
        <f>IF(A133="","",IF(N(Setup!$B$11)&gt;0,SUMIFS(PA_OECM_Register!$AG$5:$AG$1504,PA_OECM_Register!$Z$5:$Z$1504,1,PA_OECM_Register!$AH$5:$AH$1504,"&gt;0",PA_OECM_Register!$AH$5:$AH$1504,"&lt;="&amp;A133)/Setup!$B$11,""))</f>
        <v/>
      </c>
    </row>
    <row r="134">
      <c r="A134" s="33">
        <f>IF(Setup!$B$27+129&gt;Setup!$B$6,"",Setup!$B$27+129)</f>
        <v/>
      </c>
      <c r="B134" s="38">
        <f>IF(A134="","",COUNTIFS(PA_OECM_Register!$Z$5:$Z$1504,1,PA_OECM_Register!$E$5:$E$1504,"PA",PA_OECM_Register!$AH$5:$AH$1504,"&gt;0",PA_OECM_Register!$AH$5:$AH$1504,"&lt;="&amp;A134)/MAX(1,COUNTIFS(PA_OECM_Register!$Z$5:$Z$1504,1,PA_OECM_Register!$E$5:$E$1504,"PA",PA_OECM_Register!$AH$5:$AH$1504,"&gt;0")))</f>
        <v/>
      </c>
      <c r="C134" s="38">
        <f>IF(A134="","",COUNTIFS(PA_OECM_Register!$Z$5:$Z$1504,1,PA_OECM_Register!$E$5:$E$1504,"OECM",PA_OECM_Register!$AH$5:$AH$1504,"&gt;0",PA_OECM_Register!$AH$5:$AH$1504,"&lt;="&amp;A134)/MAX(1,COUNTIFS(PA_OECM_Register!$Z$5:$Z$1504,1,PA_OECM_Register!$E$5:$E$1504,"OECM",PA_OECM_Register!$AH$5:$AH$1504,"&gt;0")))</f>
        <v/>
      </c>
      <c r="D134" s="25">
        <f>IF(A134="","",SUMIFS(PA_OECM_Register!$AF$5:$AF$1504,PA_OECM_Register!$Z$5:$Z$1504,1,PA_OECM_Register!$E$5:$E$1504,"PA",PA_OECM_Register!$AH$5:$AH$1504,"&gt;0",PA_OECM_Register!$AH$5:$AH$1504,"&lt;="&amp;A134)+SUMIFS(PA_OECM_Register!$AF$5:$AF$1504,PA_OECM_Register!$Z$5:$Z$1504,1,PA_OECM_Register!$E$5:$E$1504,"PA",PA_OECM_Register!$AH$5:$AH$1504,0)*B134)</f>
        <v/>
      </c>
      <c r="E134" s="25">
        <f>IF(A134="","",SUMIFS(PA_OECM_Register!$AF$5:$AF$1504,PA_OECM_Register!$Z$5:$Z$1504,1,PA_OECM_Register!$E$5:$E$1504,"OECM",PA_OECM_Register!$AH$5:$AH$1504,"&gt;0",PA_OECM_Register!$AH$5:$AH$1504,"&lt;="&amp;A134)+SUMIFS(PA_OECM_Register!$AF$5:$AF$1504,PA_OECM_Register!$Z$5:$Z$1504,1,PA_OECM_Register!$E$5:$E$1504,"OECM",PA_OECM_Register!$AH$5:$AH$1504,0)*C134)</f>
        <v/>
      </c>
      <c r="F134" s="26">
        <f>IF(A134="","",IF(N(Setup!$B$10)&gt;0,(D134+E134)/Setup!$B$10,""))</f>
        <v/>
      </c>
      <c r="G134" s="25">
        <f>IF(A134="","",SUMIFS(PA_OECM_Register!$AG$5:$AG$1504,PA_OECM_Register!$Z$5:$Z$1504,1,PA_OECM_Register!$E$5:$E$1504,"PA",PA_OECM_Register!$AH$5:$AH$1504,"&gt;0",PA_OECM_Register!$AH$5:$AH$1504,"&lt;="&amp;A134)+SUMIFS(PA_OECM_Register!$AG$5:$AG$1504,PA_OECM_Register!$Z$5:$Z$1504,1,PA_OECM_Register!$E$5:$E$1504,"PA",PA_OECM_Register!$AH$5:$AH$1504,0)*B134)</f>
        <v/>
      </c>
      <c r="H134" s="25">
        <f>IF(A134="","",SUMIFS(PA_OECM_Register!$AG$5:$AG$1504,PA_OECM_Register!$Z$5:$Z$1504,1,PA_OECM_Register!$E$5:$E$1504,"OECM",PA_OECM_Register!$AH$5:$AH$1504,"&gt;0",PA_OECM_Register!$AH$5:$AH$1504,"&lt;="&amp;A134)+SUMIFS(PA_OECM_Register!$AG$5:$AG$1504,PA_OECM_Register!$Z$5:$Z$1504,1,PA_OECM_Register!$E$5:$E$1504,"OECM",PA_OECM_Register!$AH$5:$AH$1504,0)*C134)</f>
        <v/>
      </c>
      <c r="I134" s="26">
        <f>IF(A134="","",IF(N(Setup!$B$11)&gt;0,(G134+H134)/Setup!$B$11,""))</f>
        <v/>
      </c>
      <c r="J134" s="26">
        <f>IF(A134="","",IF(N(Setup!$B$10)&gt;0,SUMIFS(PA_OECM_Register!$AF$5:$AF$1504,PA_OECM_Register!$Z$5:$Z$1504,1,PA_OECM_Register!$AH$5:$AH$1504,"&gt;0",PA_OECM_Register!$AH$5:$AH$1504,"&lt;="&amp;A134)/Setup!$B$10,""))</f>
        <v/>
      </c>
      <c r="K134" s="26">
        <f>IF(A134="","",IF(N(Setup!$B$11)&gt;0,SUMIFS(PA_OECM_Register!$AG$5:$AG$1504,PA_OECM_Register!$Z$5:$Z$1504,1,PA_OECM_Register!$AH$5:$AH$1504,"&gt;0",PA_OECM_Register!$AH$5:$AH$1504,"&lt;="&amp;A134)/Setup!$B$11,""))</f>
        <v/>
      </c>
    </row>
    <row r="135">
      <c r="A135" s="33">
        <f>IF(Setup!$B$27+130&gt;Setup!$B$6,"",Setup!$B$27+130)</f>
        <v/>
      </c>
      <c r="B135" s="38">
        <f>IF(A135="","",COUNTIFS(PA_OECM_Register!$Z$5:$Z$1504,1,PA_OECM_Register!$E$5:$E$1504,"PA",PA_OECM_Register!$AH$5:$AH$1504,"&gt;0",PA_OECM_Register!$AH$5:$AH$1504,"&lt;="&amp;A135)/MAX(1,COUNTIFS(PA_OECM_Register!$Z$5:$Z$1504,1,PA_OECM_Register!$E$5:$E$1504,"PA",PA_OECM_Register!$AH$5:$AH$1504,"&gt;0")))</f>
        <v/>
      </c>
      <c r="C135" s="38">
        <f>IF(A135="","",COUNTIFS(PA_OECM_Register!$Z$5:$Z$1504,1,PA_OECM_Register!$E$5:$E$1504,"OECM",PA_OECM_Register!$AH$5:$AH$1504,"&gt;0",PA_OECM_Register!$AH$5:$AH$1504,"&lt;="&amp;A135)/MAX(1,COUNTIFS(PA_OECM_Register!$Z$5:$Z$1504,1,PA_OECM_Register!$E$5:$E$1504,"OECM",PA_OECM_Register!$AH$5:$AH$1504,"&gt;0")))</f>
        <v/>
      </c>
      <c r="D135" s="25">
        <f>IF(A135="","",SUMIFS(PA_OECM_Register!$AF$5:$AF$1504,PA_OECM_Register!$Z$5:$Z$1504,1,PA_OECM_Register!$E$5:$E$1504,"PA",PA_OECM_Register!$AH$5:$AH$1504,"&gt;0",PA_OECM_Register!$AH$5:$AH$1504,"&lt;="&amp;A135)+SUMIFS(PA_OECM_Register!$AF$5:$AF$1504,PA_OECM_Register!$Z$5:$Z$1504,1,PA_OECM_Register!$E$5:$E$1504,"PA",PA_OECM_Register!$AH$5:$AH$1504,0)*B135)</f>
        <v/>
      </c>
      <c r="E135" s="25">
        <f>IF(A135="","",SUMIFS(PA_OECM_Register!$AF$5:$AF$1504,PA_OECM_Register!$Z$5:$Z$1504,1,PA_OECM_Register!$E$5:$E$1504,"OECM",PA_OECM_Register!$AH$5:$AH$1504,"&gt;0",PA_OECM_Register!$AH$5:$AH$1504,"&lt;="&amp;A135)+SUMIFS(PA_OECM_Register!$AF$5:$AF$1504,PA_OECM_Register!$Z$5:$Z$1504,1,PA_OECM_Register!$E$5:$E$1504,"OECM",PA_OECM_Register!$AH$5:$AH$1504,0)*C135)</f>
        <v/>
      </c>
      <c r="F135" s="26">
        <f>IF(A135="","",IF(N(Setup!$B$10)&gt;0,(D135+E135)/Setup!$B$10,""))</f>
        <v/>
      </c>
      <c r="G135" s="25">
        <f>IF(A135="","",SUMIFS(PA_OECM_Register!$AG$5:$AG$1504,PA_OECM_Register!$Z$5:$Z$1504,1,PA_OECM_Register!$E$5:$E$1504,"PA",PA_OECM_Register!$AH$5:$AH$1504,"&gt;0",PA_OECM_Register!$AH$5:$AH$1504,"&lt;="&amp;A135)+SUMIFS(PA_OECM_Register!$AG$5:$AG$1504,PA_OECM_Register!$Z$5:$Z$1504,1,PA_OECM_Register!$E$5:$E$1504,"PA",PA_OECM_Register!$AH$5:$AH$1504,0)*B135)</f>
        <v/>
      </c>
      <c r="H135" s="25">
        <f>IF(A135="","",SUMIFS(PA_OECM_Register!$AG$5:$AG$1504,PA_OECM_Register!$Z$5:$Z$1504,1,PA_OECM_Register!$E$5:$E$1504,"OECM",PA_OECM_Register!$AH$5:$AH$1504,"&gt;0",PA_OECM_Register!$AH$5:$AH$1504,"&lt;="&amp;A135)+SUMIFS(PA_OECM_Register!$AG$5:$AG$1504,PA_OECM_Register!$Z$5:$Z$1504,1,PA_OECM_Register!$E$5:$E$1504,"OECM",PA_OECM_Register!$AH$5:$AH$1504,0)*C135)</f>
        <v/>
      </c>
      <c r="I135" s="26">
        <f>IF(A135="","",IF(N(Setup!$B$11)&gt;0,(G135+H135)/Setup!$B$11,""))</f>
        <v/>
      </c>
      <c r="J135" s="26">
        <f>IF(A135="","",IF(N(Setup!$B$10)&gt;0,SUMIFS(PA_OECM_Register!$AF$5:$AF$1504,PA_OECM_Register!$Z$5:$Z$1504,1,PA_OECM_Register!$AH$5:$AH$1504,"&gt;0",PA_OECM_Register!$AH$5:$AH$1504,"&lt;="&amp;A135)/Setup!$B$10,""))</f>
        <v/>
      </c>
      <c r="K135" s="26">
        <f>IF(A135="","",IF(N(Setup!$B$11)&gt;0,SUMIFS(PA_OECM_Register!$AG$5:$AG$1504,PA_OECM_Register!$Z$5:$Z$1504,1,PA_OECM_Register!$AH$5:$AH$1504,"&gt;0",PA_OECM_Register!$AH$5:$AH$1504,"&lt;="&amp;A135)/Setup!$B$11,""))</f>
        <v/>
      </c>
    </row>
    <row r="136">
      <c r="A136" s="33">
        <f>IF(Setup!$B$27+131&gt;Setup!$B$6,"",Setup!$B$27+131)</f>
        <v/>
      </c>
      <c r="B136" s="38">
        <f>IF(A136="","",COUNTIFS(PA_OECM_Register!$Z$5:$Z$1504,1,PA_OECM_Register!$E$5:$E$1504,"PA",PA_OECM_Register!$AH$5:$AH$1504,"&gt;0",PA_OECM_Register!$AH$5:$AH$1504,"&lt;="&amp;A136)/MAX(1,COUNTIFS(PA_OECM_Register!$Z$5:$Z$1504,1,PA_OECM_Register!$E$5:$E$1504,"PA",PA_OECM_Register!$AH$5:$AH$1504,"&gt;0")))</f>
        <v/>
      </c>
      <c r="C136" s="38">
        <f>IF(A136="","",COUNTIFS(PA_OECM_Register!$Z$5:$Z$1504,1,PA_OECM_Register!$E$5:$E$1504,"OECM",PA_OECM_Register!$AH$5:$AH$1504,"&gt;0",PA_OECM_Register!$AH$5:$AH$1504,"&lt;="&amp;A136)/MAX(1,COUNTIFS(PA_OECM_Register!$Z$5:$Z$1504,1,PA_OECM_Register!$E$5:$E$1504,"OECM",PA_OECM_Register!$AH$5:$AH$1504,"&gt;0")))</f>
        <v/>
      </c>
      <c r="D136" s="25">
        <f>IF(A136="","",SUMIFS(PA_OECM_Register!$AF$5:$AF$1504,PA_OECM_Register!$Z$5:$Z$1504,1,PA_OECM_Register!$E$5:$E$1504,"PA",PA_OECM_Register!$AH$5:$AH$1504,"&gt;0",PA_OECM_Register!$AH$5:$AH$1504,"&lt;="&amp;A136)+SUMIFS(PA_OECM_Register!$AF$5:$AF$1504,PA_OECM_Register!$Z$5:$Z$1504,1,PA_OECM_Register!$E$5:$E$1504,"PA",PA_OECM_Register!$AH$5:$AH$1504,0)*B136)</f>
        <v/>
      </c>
      <c r="E136" s="25">
        <f>IF(A136="","",SUMIFS(PA_OECM_Register!$AF$5:$AF$1504,PA_OECM_Register!$Z$5:$Z$1504,1,PA_OECM_Register!$E$5:$E$1504,"OECM",PA_OECM_Register!$AH$5:$AH$1504,"&gt;0",PA_OECM_Register!$AH$5:$AH$1504,"&lt;="&amp;A136)+SUMIFS(PA_OECM_Register!$AF$5:$AF$1504,PA_OECM_Register!$Z$5:$Z$1504,1,PA_OECM_Register!$E$5:$E$1504,"OECM",PA_OECM_Register!$AH$5:$AH$1504,0)*C136)</f>
        <v/>
      </c>
      <c r="F136" s="26">
        <f>IF(A136="","",IF(N(Setup!$B$10)&gt;0,(D136+E136)/Setup!$B$10,""))</f>
        <v/>
      </c>
      <c r="G136" s="25">
        <f>IF(A136="","",SUMIFS(PA_OECM_Register!$AG$5:$AG$1504,PA_OECM_Register!$Z$5:$Z$1504,1,PA_OECM_Register!$E$5:$E$1504,"PA",PA_OECM_Register!$AH$5:$AH$1504,"&gt;0",PA_OECM_Register!$AH$5:$AH$1504,"&lt;="&amp;A136)+SUMIFS(PA_OECM_Register!$AG$5:$AG$1504,PA_OECM_Register!$Z$5:$Z$1504,1,PA_OECM_Register!$E$5:$E$1504,"PA",PA_OECM_Register!$AH$5:$AH$1504,0)*B136)</f>
        <v/>
      </c>
      <c r="H136" s="25">
        <f>IF(A136="","",SUMIFS(PA_OECM_Register!$AG$5:$AG$1504,PA_OECM_Register!$Z$5:$Z$1504,1,PA_OECM_Register!$E$5:$E$1504,"OECM",PA_OECM_Register!$AH$5:$AH$1504,"&gt;0",PA_OECM_Register!$AH$5:$AH$1504,"&lt;="&amp;A136)+SUMIFS(PA_OECM_Register!$AG$5:$AG$1504,PA_OECM_Register!$Z$5:$Z$1504,1,PA_OECM_Register!$E$5:$E$1504,"OECM",PA_OECM_Register!$AH$5:$AH$1504,0)*C136)</f>
        <v/>
      </c>
      <c r="I136" s="26">
        <f>IF(A136="","",IF(N(Setup!$B$11)&gt;0,(G136+H136)/Setup!$B$11,""))</f>
        <v/>
      </c>
      <c r="J136" s="26">
        <f>IF(A136="","",IF(N(Setup!$B$10)&gt;0,SUMIFS(PA_OECM_Register!$AF$5:$AF$1504,PA_OECM_Register!$Z$5:$Z$1504,1,PA_OECM_Register!$AH$5:$AH$1504,"&gt;0",PA_OECM_Register!$AH$5:$AH$1504,"&lt;="&amp;A136)/Setup!$B$10,""))</f>
        <v/>
      </c>
      <c r="K136" s="26">
        <f>IF(A136="","",IF(N(Setup!$B$11)&gt;0,SUMIFS(PA_OECM_Register!$AG$5:$AG$1504,PA_OECM_Register!$Z$5:$Z$1504,1,PA_OECM_Register!$AH$5:$AH$1504,"&gt;0",PA_OECM_Register!$AH$5:$AH$1504,"&lt;="&amp;A136)/Setup!$B$11,""))</f>
        <v/>
      </c>
    </row>
    <row r="137">
      <c r="A137" s="33">
        <f>IF(Setup!$B$27+132&gt;Setup!$B$6,"",Setup!$B$27+132)</f>
        <v/>
      </c>
      <c r="B137" s="38">
        <f>IF(A137="","",COUNTIFS(PA_OECM_Register!$Z$5:$Z$1504,1,PA_OECM_Register!$E$5:$E$1504,"PA",PA_OECM_Register!$AH$5:$AH$1504,"&gt;0",PA_OECM_Register!$AH$5:$AH$1504,"&lt;="&amp;A137)/MAX(1,COUNTIFS(PA_OECM_Register!$Z$5:$Z$1504,1,PA_OECM_Register!$E$5:$E$1504,"PA",PA_OECM_Register!$AH$5:$AH$1504,"&gt;0")))</f>
        <v/>
      </c>
      <c r="C137" s="38">
        <f>IF(A137="","",COUNTIFS(PA_OECM_Register!$Z$5:$Z$1504,1,PA_OECM_Register!$E$5:$E$1504,"OECM",PA_OECM_Register!$AH$5:$AH$1504,"&gt;0",PA_OECM_Register!$AH$5:$AH$1504,"&lt;="&amp;A137)/MAX(1,COUNTIFS(PA_OECM_Register!$Z$5:$Z$1504,1,PA_OECM_Register!$E$5:$E$1504,"OECM",PA_OECM_Register!$AH$5:$AH$1504,"&gt;0")))</f>
        <v/>
      </c>
      <c r="D137" s="25">
        <f>IF(A137="","",SUMIFS(PA_OECM_Register!$AF$5:$AF$1504,PA_OECM_Register!$Z$5:$Z$1504,1,PA_OECM_Register!$E$5:$E$1504,"PA",PA_OECM_Register!$AH$5:$AH$1504,"&gt;0",PA_OECM_Register!$AH$5:$AH$1504,"&lt;="&amp;A137)+SUMIFS(PA_OECM_Register!$AF$5:$AF$1504,PA_OECM_Register!$Z$5:$Z$1504,1,PA_OECM_Register!$E$5:$E$1504,"PA",PA_OECM_Register!$AH$5:$AH$1504,0)*B137)</f>
        <v/>
      </c>
      <c r="E137" s="25">
        <f>IF(A137="","",SUMIFS(PA_OECM_Register!$AF$5:$AF$1504,PA_OECM_Register!$Z$5:$Z$1504,1,PA_OECM_Register!$E$5:$E$1504,"OECM",PA_OECM_Register!$AH$5:$AH$1504,"&gt;0",PA_OECM_Register!$AH$5:$AH$1504,"&lt;="&amp;A137)+SUMIFS(PA_OECM_Register!$AF$5:$AF$1504,PA_OECM_Register!$Z$5:$Z$1504,1,PA_OECM_Register!$E$5:$E$1504,"OECM",PA_OECM_Register!$AH$5:$AH$1504,0)*C137)</f>
        <v/>
      </c>
      <c r="F137" s="26">
        <f>IF(A137="","",IF(N(Setup!$B$10)&gt;0,(D137+E137)/Setup!$B$10,""))</f>
        <v/>
      </c>
      <c r="G137" s="25">
        <f>IF(A137="","",SUMIFS(PA_OECM_Register!$AG$5:$AG$1504,PA_OECM_Register!$Z$5:$Z$1504,1,PA_OECM_Register!$E$5:$E$1504,"PA",PA_OECM_Register!$AH$5:$AH$1504,"&gt;0",PA_OECM_Register!$AH$5:$AH$1504,"&lt;="&amp;A137)+SUMIFS(PA_OECM_Register!$AG$5:$AG$1504,PA_OECM_Register!$Z$5:$Z$1504,1,PA_OECM_Register!$E$5:$E$1504,"PA",PA_OECM_Register!$AH$5:$AH$1504,0)*B137)</f>
        <v/>
      </c>
      <c r="H137" s="25">
        <f>IF(A137="","",SUMIFS(PA_OECM_Register!$AG$5:$AG$1504,PA_OECM_Register!$Z$5:$Z$1504,1,PA_OECM_Register!$E$5:$E$1504,"OECM",PA_OECM_Register!$AH$5:$AH$1504,"&gt;0",PA_OECM_Register!$AH$5:$AH$1504,"&lt;="&amp;A137)+SUMIFS(PA_OECM_Register!$AG$5:$AG$1504,PA_OECM_Register!$Z$5:$Z$1504,1,PA_OECM_Register!$E$5:$E$1504,"OECM",PA_OECM_Register!$AH$5:$AH$1504,0)*C137)</f>
        <v/>
      </c>
      <c r="I137" s="26">
        <f>IF(A137="","",IF(N(Setup!$B$11)&gt;0,(G137+H137)/Setup!$B$11,""))</f>
        <v/>
      </c>
      <c r="J137" s="26">
        <f>IF(A137="","",IF(N(Setup!$B$10)&gt;0,SUMIFS(PA_OECM_Register!$AF$5:$AF$1504,PA_OECM_Register!$Z$5:$Z$1504,1,PA_OECM_Register!$AH$5:$AH$1504,"&gt;0",PA_OECM_Register!$AH$5:$AH$1504,"&lt;="&amp;A137)/Setup!$B$10,""))</f>
        <v/>
      </c>
      <c r="K137" s="26">
        <f>IF(A137="","",IF(N(Setup!$B$11)&gt;0,SUMIFS(PA_OECM_Register!$AG$5:$AG$1504,PA_OECM_Register!$Z$5:$Z$1504,1,PA_OECM_Register!$AH$5:$AH$1504,"&gt;0",PA_OECM_Register!$AH$5:$AH$1504,"&lt;="&amp;A137)/Setup!$B$11,""))</f>
        <v/>
      </c>
    </row>
    <row r="138">
      <c r="A138" s="33">
        <f>IF(Setup!$B$27+133&gt;Setup!$B$6,"",Setup!$B$27+133)</f>
        <v/>
      </c>
      <c r="B138" s="38">
        <f>IF(A138="","",COUNTIFS(PA_OECM_Register!$Z$5:$Z$1504,1,PA_OECM_Register!$E$5:$E$1504,"PA",PA_OECM_Register!$AH$5:$AH$1504,"&gt;0",PA_OECM_Register!$AH$5:$AH$1504,"&lt;="&amp;A138)/MAX(1,COUNTIFS(PA_OECM_Register!$Z$5:$Z$1504,1,PA_OECM_Register!$E$5:$E$1504,"PA",PA_OECM_Register!$AH$5:$AH$1504,"&gt;0")))</f>
        <v/>
      </c>
      <c r="C138" s="38">
        <f>IF(A138="","",COUNTIFS(PA_OECM_Register!$Z$5:$Z$1504,1,PA_OECM_Register!$E$5:$E$1504,"OECM",PA_OECM_Register!$AH$5:$AH$1504,"&gt;0",PA_OECM_Register!$AH$5:$AH$1504,"&lt;="&amp;A138)/MAX(1,COUNTIFS(PA_OECM_Register!$Z$5:$Z$1504,1,PA_OECM_Register!$E$5:$E$1504,"OECM",PA_OECM_Register!$AH$5:$AH$1504,"&gt;0")))</f>
        <v/>
      </c>
      <c r="D138" s="25">
        <f>IF(A138="","",SUMIFS(PA_OECM_Register!$AF$5:$AF$1504,PA_OECM_Register!$Z$5:$Z$1504,1,PA_OECM_Register!$E$5:$E$1504,"PA",PA_OECM_Register!$AH$5:$AH$1504,"&gt;0",PA_OECM_Register!$AH$5:$AH$1504,"&lt;="&amp;A138)+SUMIFS(PA_OECM_Register!$AF$5:$AF$1504,PA_OECM_Register!$Z$5:$Z$1504,1,PA_OECM_Register!$E$5:$E$1504,"PA",PA_OECM_Register!$AH$5:$AH$1504,0)*B138)</f>
        <v/>
      </c>
      <c r="E138" s="25">
        <f>IF(A138="","",SUMIFS(PA_OECM_Register!$AF$5:$AF$1504,PA_OECM_Register!$Z$5:$Z$1504,1,PA_OECM_Register!$E$5:$E$1504,"OECM",PA_OECM_Register!$AH$5:$AH$1504,"&gt;0",PA_OECM_Register!$AH$5:$AH$1504,"&lt;="&amp;A138)+SUMIFS(PA_OECM_Register!$AF$5:$AF$1504,PA_OECM_Register!$Z$5:$Z$1504,1,PA_OECM_Register!$E$5:$E$1504,"OECM",PA_OECM_Register!$AH$5:$AH$1504,0)*C138)</f>
        <v/>
      </c>
      <c r="F138" s="26">
        <f>IF(A138="","",IF(N(Setup!$B$10)&gt;0,(D138+E138)/Setup!$B$10,""))</f>
        <v/>
      </c>
      <c r="G138" s="25">
        <f>IF(A138="","",SUMIFS(PA_OECM_Register!$AG$5:$AG$1504,PA_OECM_Register!$Z$5:$Z$1504,1,PA_OECM_Register!$E$5:$E$1504,"PA",PA_OECM_Register!$AH$5:$AH$1504,"&gt;0",PA_OECM_Register!$AH$5:$AH$1504,"&lt;="&amp;A138)+SUMIFS(PA_OECM_Register!$AG$5:$AG$1504,PA_OECM_Register!$Z$5:$Z$1504,1,PA_OECM_Register!$E$5:$E$1504,"PA",PA_OECM_Register!$AH$5:$AH$1504,0)*B138)</f>
        <v/>
      </c>
      <c r="H138" s="25">
        <f>IF(A138="","",SUMIFS(PA_OECM_Register!$AG$5:$AG$1504,PA_OECM_Register!$Z$5:$Z$1504,1,PA_OECM_Register!$E$5:$E$1504,"OECM",PA_OECM_Register!$AH$5:$AH$1504,"&gt;0",PA_OECM_Register!$AH$5:$AH$1504,"&lt;="&amp;A138)+SUMIFS(PA_OECM_Register!$AG$5:$AG$1504,PA_OECM_Register!$Z$5:$Z$1504,1,PA_OECM_Register!$E$5:$E$1504,"OECM",PA_OECM_Register!$AH$5:$AH$1504,0)*C138)</f>
        <v/>
      </c>
      <c r="I138" s="26">
        <f>IF(A138="","",IF(N(Setup!$B$11)&gt;0,(G138+H138)/Setup!$B$11,""))</f>
        <v/>
      </c>
      <c r="J138" s="26">
        <f>IF(A138="","",IF(N(Setup!$B$10)&gt;0,SUMIFS(PA_OECM_Register!$AF$5:$AF$1504,PA_OECM_Register!$Z$5:$Z$1504,1,PA_OECM_Register!$AH$5:$AH$1504,"&gt;0",PA_OECM_Register!$AH$5:$AH$1504,"&lt;="&amp;A138)/Setup!$B$10,""))</f>
        <v/>
      </c>
      <c r="K138" s="26">
        <f>IF(A138="","",IF(N(Setup!$B$11)&gt;0,SUMIFS(PA_OECM_Register!$AG$5:$AG$1504,PA_OECM_Register!$Z$5:$Z$1504,1,PA_OECM_Register!$AH$5:$AH$1504,"&gt;0",PA_OECM_Register!$AH$5:$AH$1504,"&lt;="&amp;A138)/Setup!$B$11,""))</f>
        <v/>
      </c>
    </row>
    <row r="139">
      <c r="A139" s="33">
        <f>IF(Setup!$B$27+134&gt;Setup!$B$6,"",Setup!$B$27+134)</f>
        <v/>
      </c>
      <c r="B139" s="38">
        <f>IF(A139="","",COUNTIFS(PA_OECM_Register!$Z$5:$Z$1504,1,PA_OECM_Register!$E$5:$E$1504,"PA",PA_OECM_Register!$AH$5:$AH$1504,"&gt;0",PA_OECM_Register!$AH$5:$AH$1504,"&lt;="&amp;A139)/MAX(1,COUNTIFS(PA_OECM_Register!$Z$5:$Z$1504,1,PA_OECM_Register!$E$5:$E$1504,"PA",PA_OECM_Register!$AH$5:$AH$1504,"&gt;0")))</f>
        <v/>
      </c>
      <c r="C139" s="38">
        <f>IF(A139="","",COUNTIFS(PA_OECM_Register!$Z$5:$Z$1504,1,PA_OECM_Register!$E$5:$E$1504,"OECM",PA_OECM_Register!$AH$5:$AH$1504,"&gt;0",PA_OECM_Register!$AH$5:$AH$1504,"&lt;="&amp;A139)/MAX(1,COUNTIFS(PA_OECM_Register!$Z$5:$Z$1504,1,PA_OECM_Register!$E$5:$E$1504,"OECM",PA_OECM_Register!$AH$5:$AH$1504,"&gt;0")))</f>
        <v/>
      </c>
      <c r="D139" s="25">
        <f>IF(A139="","",SUMIFS(PA_OECM_Register!$AF$5:$AF$1504,PA_OECM_Register!$Z$5:$Z$1504,1,PA_OECM_Register!$E$5:$E$1504,"PA",PA_OECM_Register!$AH$5:$AH$1504,"&gt;0",PA_OECM_Register!$AH$5:$AH$1504,"&lt;="&amp;A139)+SUMIFS(PA_OECM_Register!$AF$5:$AF$1504,PA_OECM_Register!$Z$5:$Z$1504,1,PA_OECM_Register!$E$5:$E$1504,"PA",PA_OECM_Register!$AH$5:$AH$1504,0)*B139)</f>
        <v/>
      </c>
      <c r="E139" s="25">
        <f>IF(A139="","",SUMIFS(PA_OECM_Register!$AF$5:$AF$1504,PA_OECM_Register!$Z$5:$Z$1504,1,PA_OECM_Register!$E$5:$E$1504,"OECM",PA_OECM_Register!$AH$5:$AH$1504,"&gt;0",PA_OECM_Register!$AH$5:$AH$1504,"&lt;="&amp;A139)+SUMIFS(PA_OECM_Register!$AF$5:$AF$1504,PA_OECM_Register!$Z$5:$Z$1504,1,PA_OECM_Register!$E$5:$E$1504,"OECM",PA_OECM_Register!$AH$5:$AH$1504,0)*C139)</f>
        <v/>
      </c>
      <c r="F139" s="26">
        <f>IF(A139="","",IF(N(Setup!$B$10)&gt;0,(D139+E139)/Setup!$B$10,""))</f>
        <v/>
      </c>
      <c r="G139" s="25">
        <f>IF(A139="","",SUMIFS(PA_OECM_Register!$AG$5:$AG$1504,PA_OECM_Register!$Z$5:$Z$1504,1,PA_OECM_Register!$E$5:$E$1504,"PA",PA_OECM_Register!$AH$5:$AH$1504,"&gt;0",PA_OECM_Register!$AH$5:$AH$1504,"&lt;="&amp;A139)+SUMIFS(PA_OECM_Register!$AG$5:$AG$1504,PA_OECM_Register!$Z$5:$Z$1504,1,PA_OECM_Register!$E$5:$E$1504,"PA",PA_OECM_Register!$AH$5:$AH$1504,0)*B139)</f>
        <v/>
      </c>
      <c r="H139" s="25">
        <f>IF(A139="","",SUMIFS(PA_OECM_Register!$AG$5:$AG$1504,PA_OECM_Register!$Z$5:$Z$1504,1,PA_OECM_Register!$E$5:$E$1504,"OECM",PA_OECM_Register!$AH$5:$AH$1504,"&gt;0",PA_OECM_Register!$AH$5:$AH$1504,"&lt;="&amp;A139)+SUMIFS(PA_OECM_Register!$AG$5:$AG$1504,PA_OECM_Register!$Z$5:$Z$1504,1,PA_OECM_Register!$E$5:$E$1504,"OECM",PA_OECM_Register!$AH$5:$AH$1504,0)*C139)</f>
        <v/>
      </c>
      <c r="I139" s="26">
        <f>IF(A139="","",IF(N(Setup!$B$11)&gt;0,(G139+H139)/Setup!$B$11,""))</f>
        <v/>
      </c>
      <c r="J139" s="26">
        <f>IF(A139="","",IF(N(Setup!$B$10)&gt;0,SUMIFS(PA_OECM_Register!$AF$5:$AF$1504,PA_OECM_Register!$Z$5:$Z$1504,1,PA_OECM_Register!$AH$5:$AH$1504,"&gt;0",PA_OECM_Register!$AH$5:$AH$1504,"&lt;="&amp;A139)/Setup!$B$10,""))</f>
        <v/>
      </c>
      <c r="K139" s="26">
        <f>IF(A139="","",IF(N(Setup!$B$11)&gt;0,SUMIFS(PA_OECM_Register!$AG$5:$AG$1504,PA_OECM_Register!$Z$5:$Z$1504,1,PA_OECM_Register!$AH$5:$AH$1504,"&gt;0",PA_OECM_Register!$AH$5:$AH$1504,"&lt;="&amp;A139)/Setup!$B$11,""))</f>
        <v/>
      </c>
    </row>
    <row r="140">
      <c r="A140" s="33">
        <f>IF(Setup!$B$27+135&gt;Setup!$B$6,"",Setup!$B$27+135)</f>
        <v/>
      </c>
      <c r="B140" s="38">
        <f>IF(A140="","",COUNTIFS(PA_OECM_Register!$Z$5:$Z$1504,1,PA_OECM_Register!$E$5:$E$1504,"PA",PA_OECM_Register!$AH$5:$AH$1504,"&gt;0",PA_OECM_Register!$AH$5:$AH$1504,"&lt;="&amp;A140)/MAX(1,COUNTIFS(PA_OECM_Register!$Z$5:$Z$1504,1,PA_OECM_Register!$E$5:$E$1504,"PA",PA_OECM_Register!$AH$5:$AH$1504,"&gt;0")))</f>
        <v/>
      </c>
      <c r="C140" s="38">
        <f>IF(A140="","",COUNTIFS(PA_OECM_Register!$Z$5:$Z$1504,1,PA_OECM_Register!$E$5:$E$1504,"OECM",PA_OECM_Register!$AH$5:$AH$1504,"&gt;0",PA_OECM_Register!$AH$5:$AH$1504,"&lt;="&amp;A140)/MAX(1,COUNTIFS(PA_OECM_Register!$Z$5:$Z$1504,1,PA_OECM_Register!$E$5:$E$1504,"OECM",PA_OECM_Register!$AH$5:$AH$1504,"&gt;0")))</f>
        <v/>
      </c>
      <c r="D140" s="25">
        <f>IF(A140="","",SUMIFS(PA_OECM_Register!$AF$5:$AF$1504,PA_OECM_Register!$Z$5:$Z$1504,1,PA_OECM_Register!$E$5:$E$1504,"PA",PA_OECM_Register!$AH$5:$AH$1504,"&gt;0",PA_OECM_Register!$AH$5:$AH$1504,"&lt;="&amp;A140)+SUMIFS(PA_OECM_Register!$AF$5:$AF$1504,PA_OECM_Register!$Z$5:$Z$1504,1,PA_OECM_Register!$E$5:$E$1504,"PA",PA_OECM_Register!$AH$5:$AH$1504,0)*B140)</f>
        <v/>
      </c>
      <c r="E140" s="25">
        <f>IF(A140="","",SUMIFS(PA_OECM_Register!$AF$5:$AF$1504,PA_OECM_Register!$Z$5:$Z$1504,1,PA_OECM_Register!$E$5:$E$1504,"OECM",PA_OECM_Register!$AH$5:$AH$1504,"&gt;0",PA_OECM_Register!$AH$5:$AH$1504,"&lt;="&amp;A140)+SUMIFS(PA_OECM_Register!$AF$5:$AF$1504,PA_OECM_Register!$Z$5:$Z$1504,1,PA_OECM_Register!$E$5:$E$1504,"OECM",PA_OECM_Register!$AH$5:$AH$1504,0)*C140)</f>
        <v/>
      </c>
      <c r="F140" s="26">
        <f>IF(A140="","",IF(N(Setup!$B$10)&gt;0,(D140+E140)/Setup!$B$10,""))</f>
        <v/>
      </c>
      <c r="G140" s="25">
        <f>IF(A140="","",SUMIFS(PA_OECM_Register!$AG$5:$AG$1504,PA_OECM_Register!$Z$5:$Z$1504,1,PA_OECM_Register!$E$5:$E$1504,"PA",PA_OECM_Register!$AH$5:$AH$1504,"&gt;0",PA_OECM_Register!$AH$5:$AH$1504,"&lt;="&amp;A140)+SUMIFS(PA_OECM_Register!$AG$5:$AG$1504,PA_OECM_Register!$Z$5:$Z$1504,1,PA_OECM_Register!$E$5:$E$1504,"PA",PA_OECM_Register!$AH$5:$AH$1504,0)*B140)</f>
        <v/>
      </c>
      <c r="H140" s="25">
        <f>IF(A140="","",SUMIFS(PA_OECM_Register!$AG$5:$AG$1504,PA_OECM_Register!$Z$5:$Z$1504,1,PA_OECM_Register!$E$5:$E$1504,"OECM",PA_OECM_Register!$AH$5:$AH$1504,"&gt;0",PA_OECM_Register!$AH$5:$AH$1504,"&lt;="&amp;A140)+SUMIFS(PA_OECM_Register!$AG$5:$AG$1504,PA_OECM_Register!$Z$5:$Z$1504,1,PA_OECM_Register!$E$5:$E$1504,"OECM",PA_OECM_Register!$AH$5:$AH$1504,0)*C140)</f>
        <v/>
      </c>
      <c r="I140" s="26">
        <f>IF(A140="","",IF(N(Setup!$B$11)&gt;0,(G140+H140)/Setup!$B$11,""))</f>
        <v/>
      </c>
      <c r="J140" s="26">
        <f>IF(A140="","",IF(N(Setup!$B$10)&gt;0,SUMIFS(PA_OECM_Register!$AF$5:$AF$1504,PA_OECM_Register!$Z$5:$Z$1504,1,PA_OECM_Register!$AH$5:$AH$1504,"&gt;0",PA_OECM_Register!$AH$5:$AH$1504,"&lt;="&amp;A140)/Setup!$B$10,""))</f>
        <v/>
      </c>
      <c r="K140" s="26">
        <f>IF(A140="","",IF(N(Setup!$B$11)&gt;0,SUMIFS(PA_OECM_Register!$AG$5:$AG$1504,PA_OECM_Register!$Z$5:$Z$1504,1,PA_OECM_Register!$AH$5:$AH$1504,"&gt;0",PA_OECM_Register!$AH$5:$AH$1504,"&lt;="&amp;A140)/Setup!$B$11,""))</f>
        <v/>
      </c>
    </row>
    <row r="141">
      <c r="A141" s="33">
        <f>IF(Setup!$B$27+136&gt;Setup!$B$6,"",Setup!$B$27+136)</f>
        <v/>
      </c>
      <c r="B141" s="38">
        <f>IF(A141="","",COUNTIFS(PA_OECM_Register!$Z$5:$Z$1504,1,PA_OECM_Register!$E$5:$E$1504,"PA",PA_OECM_Register!$AH$5:$AH$1504,"&gt;0",PA_OECM_Register!$AH$5:$AH$1504,"&lt;="&amp;A141)/MAX(1,COUNTIFS(PA_OECM_Register!$Z$5:$Z$1504,1,PA_OECM_Register!$E$5:$E$1504,"PA",PA_OECM_Register!$AH$5:$AH$1504,"&gt;0")))</f>
        <v/>
      </c>
      <c r="C141" s="38">
        <f>IF(A141="","",COUNTIFS(PA_OECM_Register!$Z$5:$Z$1504,1,PA_OECM_Register!$E$5:$E$1504,"OECM",PA_OECM_Register!$AH$5:$AH$1504,"&gt;0",PA_OECM_Register!$AH$5:$AH$1504,"&lt;="&amp;A141)/MAX(1,COUNTIFS(PA_OECM_Register!$Z$5:$Z$1504,1,PA_OECM_Register!$E$5:$E$1504,"OECM",PA_OECM_Register!$AH$5:$AH$1504,"&gt;0")))</f>
        <v/>
      </c>
      <c r="D141" s="25">
        <f>IF(A141="","",SUMIFS(PA_OECM_Register!$AF$5:$AF$1504,PA_OECM_Register!$Z$5:$Z$1504,1,PA_OECM_Register!$E$5:$E$1504,"PA",PA_OECM_Register!$AH$5:$AH$1504,"&gt;0",PA_OECM_Register!$AH$5:$AH$1504,"&lt;="&amp;A141)+SUMIFS(PA_OECM_Register!$AF$5:$AF$1504,PA_OECM_Register!$Z$5:$Z$1504,1,PA_OECM_Register!$E$5:$E$1504,"PA",PA_OECM_Register!$AH$5:$AH$1504,0)*B141)</f>
        <v/>
      </c>
      <c r="E141" s="25">
        <f>IF(A141="","",SUMIFS(PA_OECM_Register!$AF$5:$AF$1504,PA_OECM_Register!$Z$5:$Z$1504,1,PA_OECM_Register!$E$5:$E$1504,"OECM",PA_OECM_Register!$AH$5:$AH$1504,"&gt;0",PA_OECM_Register!$AH$5:$AH$1504,"&lt;="&amp;A141)+SUMIFS(PA_OECM_Register!$AF$5:$AF$1504,PA_OECM_Register!$Z$5:$Z$1504,1,PA_OECM_Register!$E$5:$E$1504,"OECM",PA_OECM_Register!$AH$5:$AH$1504,0)*C141)</f>
        <v/>
      </c>
      <c r="F141" s="26">
        <f>IF(A141="","",IF(N(Setup!$B$10)&gt;0,(D141+E141)/Setup!$B$10,""))</f>
        <v/>
      </c>
      <c r="G141" s="25">
        <f>IF(A141="","",SUMIFS(PA_OECM_Register!$AG$5:$AG$1504,PA_OECM_Register!$Z$5:$Z$1504,1,PA_OECM_Register!$E$5:$E$1504,"PA",PA_OECM_Register!$AH$5:$AH$1504,"&gt;0",PA_OECM_Register!$AH$5:$AH$1504,"&lt;="&amp;A141)+SUMIFS(PA_OECM_Register!$AG$5:$AG$1504,PA_OECM_Register!$Z$5:$Z$1504,1,PA_OECM_Register!$E$5:$E$1504,"PA",PA_OECM_Register!$AH$5:$AH$1504,0)*B141)</f>
        <v/>
      </c>
      <c r="H141" s="25">
        <f>IF(A141="","",SUMIFS(PA_OECM_Register!$AG$5:$AG$1504,PA_OECM_Register!$Z$5:$Z$1504,1,PA_OECM_Register!$E$5:$E$1504,"OECM",PA_OECM_Register!$AH$5:$AH$1504,"&gt;0",PA_OECM_Register!$AH$5:$AH$1504,"&lt;="&amp;A141)+SUMIFS(PA_OECM_Register!$AG$5:$AG$1504,PA_OECM_Register!$Z$5:$Z$1504,1,PA_OECM_Register!$E$5:$E$1504,"OECM",PA_OECM_Register!$AH$5:$AH$1504,0)*C141)</f>
        <v/>
      </c>
      <c r="I141" s="26">
        <f>IF(A141="","",IF(N(Setup!$B$11)&gt;0,(G141+H141)/Setup!$B$11,""))</f>
        <v/>
      </c>
      <c r="J141" s="26">
        <f>IF(A141="","",IF(N(Setup!$B$10)&gt;0,SUMIFS(PA_OECM_Register!$AF$5:$AF$1504,PA_OECM_Register!$Z$5:$Z$1504,1,PA_OECM_Register!$AH$5:$AH$1504,"&gt;0",PA_OECM_Register!$AH$5:$AH$1504,"&lt;="&amp;A141)/Setup!$B$10,""))</f>
        <v/>
      </c>
      <c r="K141" s="26">
        <f>IF(A141="","",IF(N(Setup!$B$11)&gt;0,SUMIFS(PA_OECM_Register!$AG$5:$AG$1504,PA_OECM_Register!$Z$5:$Z$1504,1,PA_OECM_Register!$AH$5:$AH$1504,"&gt;0",PA_OECM_Register!$AH$5:$AH$1504,"&lt;="&amp;A141)/Setup!$B$11,""))</f>
        <v/>
      </c>
    </row>
    <row r="142">
      <c r="A142" s="33">
        <f>IF(Setup!$B$27+137&gt;Setup!$B$6,"",Setup!$B$27+137)</f>
        <v/>
      </c>
      <c r="B142" s="38">
        <f>IF(A142="","",COUNTIFS(PA_OECM_Register!$Z$5:$Z$1504,1,PA_OECM_Register!$E$5:$E$1504,"PA",PA_OECM_Register!$AH$5:$AH$1504,"&gt;0",PA_OECM_Register!$AH$5:$AH$1504,"&lt;="&amp;A142)/MAX(1,COUNTIFS(PA_OECM_Register!$Z$5:$Z$1504,1,PA_OECM_Register!$E$5:$E$1504,"PA",PA_OECM_Register!$AH$5:$AH$1504,"&gt;0")))</f>
        <v/>
      </c>
      <c r="C142" s="38">
        <f>IF(A142="","",COUNTIFS(PA_OECM_Register!$Z$5:$Z$1504,1,PA_OECM_Register!$E$5:$E$1504,"OECM",PA_OECM_Register!$AH$5:$AH$1504,"&gt;0",PA_OECM_Register!$AH$5:$AH$1504,"&lt;="&amp;A142)/MAX(1,COUNTIFS(PA_OECM_Register!$Z$5:$Z$1504,1,PA_OECM_Register!$E$5:$E$1504,"OECM",PA_OECM_Register!$AH$5:$AH$1504,"&gt;0")))</f>
        <v/>
      </c>
      <c r="D142" s="25">
        <f>IF(A142="","",SUMIFS(PA_OECM_Register!$AF$5:$AF$1504,PA_OECM_Register!$Z$5:$Z$1504,1,PA_OECM_Register!$E$5:$E$1504,"PA",PA_OECM_Register!$AH$5:$AH$1504,"&gt;0",PA_OECM_Register!$AH$5:$AH$1504,"&lt;="&amp;A142)+SUMIFS(PA_OECM_Register!$AF$5:$AF$1504,PA_OECM_Register!$Z$5:$Z$1504,1,PA_OECM_Register!$E$5:$E$1504,"PA",PA_OECM_Register!$AH$5:$AH$1504,0)*B142)</f>
        <v/>
      </c>
      <c r="E142" s="25">
        <f>IF(A142="","",SUMIFS(PA_OECM_Register!$AF$5:$AF$1504,PA_OECM_Register!$Z$5:$Z$1504,1,PA_OECM_Register!$E$5:$E$1504,"OECM",PA_OECM_Register!$AH$5:$AH$1504,"&gt;0",PA_OECM_Register!$AH$5:$AH$1504,"&lt;="&amp;A142)+SUMIFS(PA_OECM_Register!$AF$5:$AF$1504,PA_OECM_Register!$Z$5:$Z$1504,1,PA_OECM_Register!$E$5:$E$1504,"OECM",PA_OECM_Register!$AH$5:$AH$1504,0)*C142)</f>
        <v/>
      </c>
      <c r="F142" s="26">
        <f>IF(A142="","",IF(N(Setup!$B$10)&gt;0,(D142+E142)/Setup!$B$10,""))</f>
        <v/>
      </c>
      <c r="G142" s="25">
        <f>IF(A142="","",SUMIFS(PA_OECM_Register!$AG$5:$AG$1504,PA_OECM_Register!$Z$5:$Z$1504,1,PA_OECM_Register!$E$5:$E$1504,"PA",PA_OECM_Register!$AH$5:$AH$1504,"&gt;0",PA_OECM_Register!$AH$5:$AH$1504,"&lt;="&amp;A142)+SUMIFS(PA_OECM_Register!$AG$5:$AG$1504,PA_OECM_Register!$Z$5:$Z$1504,1,PA_OECM_Register!$E$5:$E$1504,"PA",PA_OECM_Register!$AH$5:$AH$1504,0)*B142)</f>
        <v/>
      </c>
      <c r="H142" s="25">
        <f>IF(A142="","",SUMIFS(PA_OECM_Register!$AG$5:$AG$1504,PA_OECM_Register!$Z$5:$Z$1504,1,PA_OECM_Register!$E$5:$E$1504,"OECM",PA_OECM_Register!$AH$5:$AH$1504,"&gt;0",PA_OECM_Register!$AH$5:$AH$1504,"&lt;="&amp;A142)+SUMIFS(PA_OECM_Register!$AG$5:$AG$1504,PA_OECM_Register!$Z$5:$Z$1504,1,PA_OECM_Register!$E$5:$E$1504,"OECM",PA_OECM_Register!$AH$5:$AH$1504,0)*C142)</f>
        <v/>
      </c>
      <c r="I142" s="26">
        <f>IF(A142="","",IF(N(Setup!$B$11)&gt;0,(G142+H142)/Setup!$B$11,""))</f>
        <v/>
      </c>
      <c r="J142" s="26">
        <f>IF(A142="","",IF(N(Setup!$B$10)&gt;0,SUMIFS(PA_OECM_Register!$AF$5:$AF$1504,PA_OECM_Register!$Z$5:$Z$1504,1,PA_OECM_Register!$AH$5:$AH$1504,"&gt;0",PA_OECM_Register!$AH$5:$AH$1504,"&lt;="&amp;A142)/Setup!$B$10,""))</f>
        <v/>
      </c>
      <c r="K142" s="26">
        <f>IF(A142="","",IF(N(Setup!$B$11)&gt;0,SUMIFS(PA_OECM_Register!$AG$5:$AG$1504,PA_OECM_Register!$Z$5:$Z$1504,1,PA_OECM_Register!$AH$5:$AH$1504,"&gt;0",PA_OECM_Register!$AH$5:$AH$1504,"&lt;="&amp;A142)/Setup!$B$11,""))</f>
        <v/>
      </c>
    </row>
    <row r="143">
      <c r="A143" s="33">
        <f>IF(Setup!$B$27+138&gt;Setup!$B$6,"",Setup!$B$27+138)</f>
        <v/>
      </c>
      <c r="B143" s="38">
        <f>IF(A143="","",COUNTIFS(PA_OECM_Register!$Z$5:$Z$1504,1,PA_OECM_Register!$E$5:$E$1504,"PA",PA_OECM_Register!$AH$5:$AH$1504,"&gt;0",PA_OECM_Register!$AH$5:$AH$1504,"&lt;="&amp;A143)/MAX(1,COUNTIFS(PA_OECM_Register!$Z$5:$Z$1504,1,PA_OECM_Register!$E$5:$E$1504,"PA",PA_OECM_Register!$AH$5:$AH$1504,"&gt;0")))</f>
        <v/>
      </c>
      <c r="C143" s="38">
        <f>IF(A143="","",COUNTIFS(PA_OECM_Register!$Z$5:$Z$1504,1,PA_OECM_Register!$E$5:$E$1504,"OECM",PA_OECM_Register!$AH$5:$AH$1504,"&gt;0",PA_OECM_Register!$AH$5:$AH$1504,"&lt;="&amp;A143)/MAX(1,COUNTIFS(PA_OECM_Register!$Z$5:$Z$1504,1,PA_OECM_Register!$E$5:$E$1504,"OECM",PA_OECM_Register!$AH$5:$AH$1504,"&gt;0")))</f>
        <v/>
      </c>
      <c r="D143" s="25">
        <f>IF(A143="","",SUMIFS(PA_OECM_Register!$AF$5:$AF$1504,PA_OECM_Register!$Z$5:$Z$1504,1,PA_OECM_Register!$E$5:$E$1504,"PA",PA_OECM_Register!$AH$5:$AH$1504,"&gt;0",PA_OECM_Register!$AH$5:$AH$1504,"&lt;="&amp;A143)+SUMIFS(PA_OECM_Register!$AF$5:$AF$1504,PA_OECM_Register!$Z$5:$Z$1504,1,PA_OECM_Register!$E$5:$E$1504,"PA",PA_OECM_Register!$AH$5:$AH$1504,0)*B143)</f>
        <v/>
      </c>
      <c r="E143" s="25">
        <f>IF(A143="","",SUMIFS(PA_OECM_Register!$AF$5:$AF$1504,PA_OECM_Register!$Z$5:$Z$1504,1,PA_OECM_Register!$E$5:$E$1504,"OECM",PA_OECM_Register!$AH$5:$AH$1504,"&gt;0",PA_OECM_Register!$AH$5:$AH$1504,"&lt;="&amp;A143)+SUMIFS(PA_OECM_Register!$AF$5:$AF$1504,PA_OECM_Register!$Z$5:$Z$1504,1,PA_OECM_Register!$E$5:$E$1504,"OECM",PA_OECM_Register!$AH$5:$AH$1504,0)*C143)</f>
        <v/>
      </c>
      <c r="F143" s="26">
        <f>IF(A143="","",IF(N(Setup!$B$10)&gt;0,(D143+E143)/Setup!$B$10,""))</f>
        <v/>
      </c>
      <c r="G143" s="25">
        <f>IF(A143="","",SUMIFS(PA_OECM_Register!$AG$5:$AG$1504,PA_OECM_Register!$Z$5:$Z$1504,1,PA_OECM_Register!$E$5:$E$1504,"PA",PA_OECM_Register!$AH$5:$AH$1504,"&gt;0",PA_OECM_Register!$AH$5:$AH$1504,"&lt;="&amp;A143)+SUMIFS(PA_OECM_Register!$AG$5:$AG$1504,PA_OECM_Register!$Z$5:$Z$1504,1,PA_OECM_Register!$E$5:$E$1504,"PA",PA_OECM_Register!$AH$5:$AH$1504,0)*B143)</f>
        <v/>
      </c>
      <c r="H143" s="25">
        <f>IF(A143="","",SUMIFS(PA_OECM_Register!$AG$5:$AG$1504,PA_OECM_Register!$Z$5:$Z$1504,1,PA_OECM_Register!$E$5:$E$1504,"OECM",PA_OECM_Register!$AH$5:$AH$1504,"&gt;0",PA_OECM_Register!$AH$5:$AH$1504,"&lt;="&amp;A143)+SUMIFS(PA_OECM_Register!$AG$5:$AG$1504,PA_OECM_Register!$Z$5:$Z$1504,1,PA_OECM_Register!$E$5:$E$1504,"OECM",PA_OECM_Register!$AH$5:$AH$1504,0)*C143)</f>
        <v/>
      </c>
      <c r="I143" s="26">
        <f>IF(A143="","",IF(N(Setup!$B$11)&gt;0,(G143+H143)/Setup!$B$11,""))</f>
        <v/>
      </c>
      <c r="J143" s="26">
        <f>IF(A143="","",IF(N(Setup!$B$10)&gt;0,SUMIFS(PA_OECM_Register!$AF$5:$AF$1504,PA_OECM_Register!$Z$5:$Z$1504,1,PA_OECM_Register!$AH$5:$AH$1504,"&gt;0",PA_OECM_Register!$AH$5:$AH$1504,"&lt;="&amp;A143)/Setup!$B$10,""))</f>
        <v/>
      </c>
      <c r="K143" s="26">
        <f>IF(A143="","",IF(N(Setup!$B$11)&gt;0,SUMIFS(PA_OECM_Register!$AG$5:$AG$1504,PA_OECM_Register!$Z$5:$Z$1504,1,PA_OECM_Register!$AH$5:$AH$1504,"&gt;0",PA_OECM_Register!$AH$5:$AH$1504,"&lt;="&amp;A143)/Setup!$B$11,""))</f>
        <v/>
      </c>
    </row>
    <row r="144">
      <c r="A144" s="33">
        <f>IF(Setup!$B$27+139&gt;Setup!$B$6,"",Setup!$B$27+139)</f>
        <v/>
      </c>
      <c r="B144" s="38">
        <f>IF(A144="","",COUNTIFS(PA_OECM_Register!$Z$5:$Z$1504,1,PA_OECM_Register!$E$5:$E$1504,"PA",PA_OECM_Register!$AH$5:$AH$1504,"&gt;0",PA_OECM_Register!$AH$5:$AH$1504,"&lt;="&amp;A144)/MAX(1,COUNTIFS(PA_OECM_Register!$Z$5:$Z$1504,1,PA_OECM_Register!$E$5:$E$1504,"PA",PA_OECM_Register!$AH$5:$AH$1504,"&gt;0")))</f>
        <v/>
      </c>
      <c r="C144" s="38">
        <f>IF(A144="","",COUNTIFS(PA_OECM_Register!$Z$5:$Z$1504,1,PA_OECM_Register!$E$5:$E$1504,"OECM",PA_OECM_Register!$AH$5:$AH$1504,"&gt;0",PA_OECM_Register!$AH$5:$AH$1504,"&lt;="&amp;A144)/MAX(1,COUNTIFS(PA_OECM_Register!$Z$5:$Z$1504,1,PA_OECM_Register!$E$5:$E$1504,"OECM",PA_OECM_Register!$AH$5:$AH$1504,"&gt;0")))</f>
        <v/>
      </c>
      <c r="D144" s="25">
        <f>IF(A144="","",SUMIFS(PA_OECM_Register!$AF$5:$AF$1504,PA_OECM_Register!$Z$5:$Z$1504,1,PA_OECM_Register!$E$5:$E$1504,"PA",PA_OECM_Register!$AH$5:$AH$1504,"&gt;0",PA_OECM_Register!$AH$5:$AH$1504,"&lt;="&amp;A144)+SUMIFS(PA_OECM_Register!$AF$5:$AF$1504,PA_OECM_Register!$Z$5:$Z$1504,1,PA_OECM_Register!$E$5:$E$1504,"PA",PA_OECM_Register!$AH$5:$AH$1504,0)*B144)</f>
        <v/>
      </c>
      <c r="E144" s="25">
        <f>IF(A144="","",SUMIFS(PA_OECM_Register!$AF$5:$AF$1504,PA_OECM_Register!$Z$5:$Z$1504,1,PA_OECM_Register!$E$5:$E$1504,"OECM",PA_OECM_Register!$AH$5:$AH$1504,"&gt;0",PA_OECM_Register!$AH$5:$AH$1504,"&lt;="&amp;A144)+SUMIFS(PA_OECM_Register!$AF$5:$AF$1504,PA_OECM_Register!$Z$5:$Z$1504,1,PA_OECM_Register!$E$5:$E$1504,"OECM",PA_OECM_Register!$AH$5:$AH$1504,0)*C144)</f>
        <v/>
      </c>
      <c r="F144" s="26">
        <f>IF(A144="","",IF(N(Setup!$B$10)&gt;0,(D144+E144)/Setup!$B$10,""))</f>
        <v/>
      </c>
      <c r="G144" s="25">
        <f>IF(A144="","",SUMIFS(PA_OECM_Register!$AG$5:$AG$1504,PA_OECM_Register!$Z$5:$Z$1504,1,PA_OECM_Register!$E$5:$E$1504,"PA",PA_OECM_Register!$AH$5:$AH$1504,"&gt;0",PA_OECM_Register!$AH$5:$AH$1504,"&lt;="&amp;A144)+SUMIFS(PA_OECM_Register!$AG$5:$AG$1504,PA_OECM_Register!$Z$5:$Z$1504,1,PA_OECM_Register!$E$5:$E$1504,"PA",PA_OECM_Register!$AH$5:$AH$1504,0)*B144)</f>
        <v/>
      </c>
      <c r="H144" s="25">
        <f>IF(A144="","",SUMIFS(PA_OECM_Register!$AG$5:$AG$1504,PA_OECM_Register!$Z$5:$Z$1504,1,PA_OECM_Register!$E$5:$E$1504,"OECM",PA_OECM_Register!$AH$5:$AH$1504,"&gt;0",PA_OECM_Register!$AH$5:$AH$1504,"&lt;="&amp;A144)+SUMIFS(PA_OECM_Register!$AG$5:$AG$1504,PA_OECM_Register!$Z$5:$Z$1504,1,PA_OECM_Register!$E$5:$E$1504,"OECM",PA_OECM_Register!$AH$5:$AH$1504,0)*C144)</f>
        <v/>
      </c>
      <c r="I144" s="26">
        <f>IF(A144="","",IF(N(Setup!$B$11)&gt;0,(G144+H144)/Setup!$B$11,""))</f>
        <v/>
      </c>
      <c r="J144" s="26">
        <f>IF(A144="","",IF(N(Setup!$B$10)&gt;0,SUMIFS(PA_OECM_Register!$AF$5:$AF$1504,PA_OECM_Register!$Z$5:$Z$1504,1,PA_OECM_Register!$AH$5:$AH$1504,"&gt;0",PA_OECM_Register!$AH$5:$AH$1504,"&lt;="&amp;A144)/Setup!$B$10,""))</f>
        <v/>
      </c>
      <c r="K144" s="26">
        <f>IF(A144="","",IF(N(Setup!$B$11)&gt;0,SUMIFS(PA_OECM_Register!$AG$5:$AG$1504,PA_OECM_Register!$Z$5:$Z$1504,1,PA_OECM_Register!$AH$5:$AH$1504,"&gt;0",PA_OECM_Register!$AH$5:$AH$1504,"&lt;="&amp;A144)/Setup!$B$11,""))</f>
        <v/>
      </c>
    </row>
    <row r="145">
      <c r="A145" s="33">
        <f>IF(Setup!$B$27+140&gt;Setup!$B$6,"",Setup!$B$27+140)</f>
        <v/>
      </c>
      <c r="B145" s="38">
        <f>IF(A145="","",COUNTIFS(PA_OECM_Register!$Z$5:$Z$1504,1,PA_OECM_Register!$E$5:$E$1504,"PA",PA_OECM_Register!$AH$5:$AH$1504,"&gt;0",PA_OECM_Register!$AH$5:$AH$1504,"&lt;="&amp;A145)/MAX(1,COUNTIFS(PA_OECM_Register!$Z$5:$Z$1504,1,PA_OECM_Register!$E$5:$E$1504,"PA",PA_OECM_Register!$AH$5:$AH$1504,"&gt;0")))</f>
        <v/>
      </c>
      <c r="C145" s="38">
        <f>IF(A145="","",COUNTIFS(PA_OECM_Register!$Z$5:$Z$1504,1,PA_OECM_Register!$E$5:$E$1504,"OECM",PA_OECM_Register!$AH$5:$AH$1504,"&gt;0",PA_OECM_Register!$AH$5:$AH$1504,"&lt;="&amp;A145)/MAX(1,COUNTIFS(PA_OECM_Register!$Z$5:$Z$1504,1,PA_OECM_Register!$E$5:$E$1504,"OECM",PA_OECM_Register!$AH$5:$AH$1504,"&gt;0")))</f>
        <v/>
      </c>
      <c r="D145" s="25">
        <f>IF(A145="","",SUMIFS(PA_OECM_Register!$AF$5:$AF$1504,PA_OECM_Register!$Z$5:$Z$1504,1,PA_OECM_Register!$E$5:$E$1504,"PA",PA_OECM_Register!$AH$5:$AH$1504,"&gt;0",PA_OECM_Register!$AH$5:$AH$1504,"&lt;="&amp;A145)+SUMIFS(PA_OECM_Register!$AF$5:$AF$1504,PA_OECM_Register!$Z$5:$Z$1504,1,PA_OECM_Register!$E$5:$E$1504,"PA",PA_OECM_Register!$AH$5:$AH$1504,0)*B145)</f>
        <v/>
      </c>
      <c r="E145" s="25">
        <f>IF(A145="","",SUMIFS(PA_OECM_Register!$AF$5:$AF$1504,PA_OECM_Register!$Z$5:$Z$1504,1,PA_OECM_Register!$E$5:$E$1504,"OECM",PA_OECM_Register!$AH$5:$AH$1504,"&gt;0",PA_OECM_Register!$AH$5:$AH$1504,"&lt;="&amp;A145)+SUMIFS(PA_OECM_Register!$AF$5:$AF$1504,PA_OECM_Register!$Z$5:$Z$1504,1,PA_OECM_Register!$E$5:$E$1504,"OECM",PA_OECM_Register!$AH$5:$AH$1504,0)*C145)</f>
        <v/>
      </c>
      <c r="F145" s="26">
        <f>IF(A145="","",IF(N(Setup!$B$10)&gt;0,(D145+E145)/Setup!$B$10,""))</f>
        <v/>
      </c>
      <c r="G145" s="25">
        <f>IF(A145="","",SUMIFS(PA_OECM_Register!$AG$5:$AG$1504,PA_OECM_Register!$Z$5:$Z$1504,1,PA_OECM_Register!$E$5:$E$1504,"PA",PA_OECM_Register!$AH$5:$AH$1504,"&gt;0",PA_OECM_Register!$AH$5:$AH$1504,"&lt;="&amp;A145)+SUMIFS(PA_OECM_Register!$AG$5:$AG$1504,PA_OECM_Register!$Z$5:$Z$1504,1,PA_OECM_Register!$E$5:$E$1504,"PA",PA_OECM_Register!$AH$5:$AH$1504,0)*B145)</f>
        <v/>
      </c>
      <c r="H145" s="25">
        <f>IF(A145="","",SUMIFS(PA_OECM_Register!$AG$5:$AG$1504,PA_OECM_Register!$Z$5:$Z$1504,1,PA_OECM_Register!$E$5:$E$1504,"OECM",PA_OECM_Register!$AH$5:$AH$1504,"&gt;0",PA_OECM_Register!$AH$5:$AH$1504,"&lt;="&amp;A145)+SUMIFS(PA_OECM_Register!$AG$5:$AG$1504,PA_OECM_Register!$Z$5:$Z$1504,1,PA_OECM_Register!$E$5:$E$1504,"OECM",PA_OECM_Register!$AH$5:$AH$1504,0)*C145)</f>
        <v/>
      </c>
      <c r="I145" s="26">
        <f>IF(A145="","",IF(N(Setup!$B$11)&gt;0,(G145+H145)/Setup!$B$11,""))</f>
        <v/>
      </c>
      <c r="J145" s="26">
        <f>IF(A145="","",IF(N(Setup!$B$10)&gt;0,SUMIFS(PA_OECM_Register!$AF$5:$AF$1504,PA_OECM_Register!$Z$5:$Z$1504,1,PA_OECM_Register!$AH$5:$AH$1504,"&gt;0",PA_OECM_Register!$AH$5:$AH$1504,"&lt;="&amp;A145)/Setup!$B$10,""))</f>
        <v/>
      </c>
      <c r="K145" s="26">
        <f>IF(A145="","",IF(N(Setup!$B$11)&gt;0,SUMIFS(PA_OECM_Register!$AG$5:$AG$1504,PA_OECM_Register!$Z$5:$Z$1504,1,PA_OECM_Register!$AH$5:$AH$1504,"&gt;0",PA_OECM_Register!$AH$5:$AH$1504,"&lt;="&amp;A145)/Setup!$B$11,""))</f>
        <v/>
      </c>
    </row>
    <row r="146">
      <c r="A146" s="33">
        <f>IF(Setup!$B$27+141&gt;Setup!$B$6,"",Setup!$B$27+141)</f>
        <v/>
      </c>
      <c r="B146" s="38">
        <f>IF(A146="","",COUNTIFS(PA_OECM_Register!$Z$5:$Z$1504,1,PA_OECM_Register!$E$5:$E$1504,"PA",PA_OECM_Register!$AH$5:$AH$1504,"&gt;0",PA_OECM_Register!$AH$5:$AH$1504,"&lt;="&amp;A146)/MAX(1,COUNTIFS(PA_OECM_Register!$Z$5:$Z$1504,1,PA_OECM_Register!$E$5:$E$1504,"PA",PA_OECM_Register!$AH$5:$AH$1504,"&gt;0")))</f>
        <v/>
      </c>
      <c r="C146" s="38">
        <f>IF(A146="","",COUNTIFS(PA_OECM_Register!$Z$5:$Z$1504,1,PA_OECM_Register!$E$5:$E$1504,"OECM",PA_OECM_Register!$AH$5:$AH$1504,"&gt;0",PA_OECM_Register!$AH$5:$AH$1504,"&lt;="&amp;A146)/MAX(1,COUNTIFS(PA_OECM_Register!$Z$5:$Z$1504,1,PA_OECM_Register!$E$5:$E$1504,"OECM",PA_OECM_Register!$AH$5:$AH$1504,"&gt;0")))</f>
        <v/>
      </c>
      <c r="D146" s="25">
        <f>IF(A146="","",SUMIFS(PA_OECM_Register!$AF$5:$AF$1504,PA_OECM_Register!$Z$5:$Z$1504,1,PA_OECM_Register!$E$5:$E$1504,"PA",PA_OECM_Register!$AH$5:$AH$1504,"&gt;0",PA_OECM_Register!$AH$5:$AH$1504,"&lt;="&amp;A146)+SUMIFS(PA_OECM_Register!$AF$5:$AF$1504,PA_OECM_Register!$Z$5:$Z$1504,1,PA_OECM_Register!$E$5:$E$1504,"PA",PA_OECM_Register!$AH$5:$AH$1504,0)*B146)</f>
        <v/>
      </c>
      <c r="E146" s="25">
        <f>IF(A146="","",SUMIFS(PA_OECM_Register!$AF$5:$AF$1504,PA_OECM_Register!$Z$5:$Z$1504,1,PA_OECM_Register!$E$5:$E$1504,"OECM",PA_OECM_Register!$AH$5:$AH$1504,"&gt;0",PA_OECM_Register!$AH$5:$AH$1504,"&lt;="&amp;A146)+SUMIFS(PA_OECM_Register!$AF$5:$AF$1504,PA_OECM_Register!$Z$5:$Z$1504,1,PA_OECM_Register!$E$5:$E$1504,"OECM",PA_OECM_Register!$AH$5:$AH$1504,0)*C146)</f>
        <v/>
      </c>
      <c r="F146" s="26">
        <f>IF(A146="","",IF(N(Setup!$B$10)&gt;0,(D146+E146)/Setup!$B$10,""))</f>
        <v/>
      </c>
      <c r="G146" s="25">
        <f>IF(A146="","",SUMIFS(PA_OECM_Register!$AG$5:$AG$1504,PA_OECM_Register!$Z$5:$Z$1504,1,PA_OECM_Register!$E$5:$E$1504,"PA",PA_OECM_Register!$AH$5:$AH$1504,"&gt;0",PA_OECM_Register!$AH$5:$AH$1504,"&lt;="&amp;A146)+SUMIFS(PA_OECM_Register!$AG$5:$AG$1504,PA_OECM_Register!$Z$5:$Z$1504,1,PA_OECM_Register!$E$5:$E$1504,"PA",PA_OECM_Register!$AH$5:$AH$1504,0)*B146)</f>
        <v/>
      </c>
      <c r="H146" s="25">
        <f>IF(A146="","",SUMIFS(PA_OECM_Register!$AG$5:$AG$1504,PA_OECM_Register!$Z$5:$Z$1504,1,PA_OECM_Register!$E$5:$E$1504,"OECM",PA_OECM_Register!$AH$5:$AH$1504,"&gt;0",PA_OECM_Register!$AH$5:$AH$1504,"&lt;="&amp;A146)+SUMIFS(PA_OECM_Register!$AG$5:$AG$1504,PA_OECM_Register!$Z$5:$Z$1504,1,PA_OECM_Register!$E$5:$E$1504,"OECM",PA_OECM_Register!$AH$5:$AH$1504,0)*C146)</f>
        <v/>
      </c>
      <c r="I146" s="26">
        <f>IF(A146="","",IF(N(Setup!$B$11)&gt;0,(G146+H146)/Setup!$B$11,""))</f>
        <v/>
      </c>
      <c r="J146" s="26">
        <f>IF(A146="","",IF(N(Setup!$B$10)&gt;0,SUMIFS(PA_OECM_Register!$AF$5:$AF$1504,PA_OECM_Register!$Z$5:$Z$1504,1,PA_OECM_Register!$AH$5:$AH$1504,"&gt;0",PA_OECM_Register!$AH$5:$AH$1504,"&lt;="&amp;A146)/Setup!$B$10,""))</f>
        <v/>
      </c>
      <c r="K146" s="26">
        <f>IF(A146="","",IF(N(Setup!$B$11)&gt;0,SUMIFS(PA_OECM_Register!$AG$5:$AG$1504,PA_OECM_Register!$Z$5:$Z$1504,1,PA_OECM_Register!$AH$5:$AH$1504,"&gt;0",PA_OECM_Register!$AH$5:$AH$1504,"&lt;="&amp;A146)/Setup!$B$11,""))</f>
        <v/>
      </c>
    </row>
    <row r="147">
      <c r="A147" s="33">
        <f>IF(Setup!$B$27+142&gt;Setup!$B$6,"",Setup!$B$27+142)</f>
        <v/>
      </c>
      <c r="B147" s="38">
        <f>IF(A147="","",COUNTIFS(PA_OECM_Register!$Z$5:$Z$1504,1,PA_OECM_Register!$E$5:$E$1504,"PA",PA_OECM_Register!$AH$5:$AH$1504,"&gt;0",PA_OECM_Register!$AH$5:$AH$1504,"&lt;="&amp;A147)/MAX(1,COUNTIFS(PA_OECM_Register!$Z$5:$Z$1504,1,PA_OECM_Register!$E$5:$E$1504,"PA",PA_OECM_Register!$AH$5:$AH$1504,"&gt;0")))</f>
        <v/>
      </c>
      <c r="C147" s="38">
        <f>IF(A147="","",COUNTIFS(PA_OECM_Register!$Z$5:$Z$1504,1,PA_OECM_Register!$E$5:$E$1504,"OECM",PA_OECM_Register!$AH$5:$AH$1504,"&gt;0",PA_OECM_Register!$AH$5:$AH$1504,"&lt;="&amp;A147)/MAX(1,COUNTIFS(PA_OECM_Register!$Z$5:$Z$1504,1,PA_OECM_Register!$E$5:$E$1504,"OECM",PA_OECM_Register!$AH$5:$AH$1504,"&gt;0")))</f>
        <v/>
      </c>
      <c r="D147" s="25">
        <f>IF(A147="","",SUMIFS(PA_OECM_Register!$AF$5:$AF$1504,PA_OECM_Register!$Z$5:$Z$1504,1,PA_OECM_Register!$E$5:$E$1504,"PA",PA_OECM_Register!$AH$5:$AH$1504,"&gt;0",PA_OECM_Register!$AH$5:$AH$1504,"&lt;="&amp;A147)+SUMIFS(PA_OECM_Register!$AF$5:$AF$1504,PA_OECM_Register!$Z$5:$Z$1504,1,PA_OECM_Register!$E$5:$E$1504,"PA",PA_OECM_Register!$AH$5:$AH$1504,0)*B147)</f>
        <v/>
      </c>
      <c r="E147" s="25">
        <f>IF(A147="","",SUMIFS(PA_OECM_Register!$AF$5:$AF$1504,PA_OECM_Register!$Z$5:$Z$1504,1,PA_OECM_Register!$E$5:$E$1504,"OECM",PA_OECM_Register!$AH$5:$AH$1504,"&gt;0",PA_OECM_Register!$AH$5:$AH$1504,"&lt;="&amp;A147)+SUMIFS(PA_OECM_Register!$AF$5:$AF$1504,PA_OECM_Register!$Z$5:$Z$1504,1,PA_OECM_Register!$E$5:$E$1504,"OECM",PA_OECM_Register!$AH$5:$AH$1504,0)*C147)</f>
        <v/>
      </c>
      <c r="F147" s="26">
        <f>IF(A147="","",IF(N(Setup!$B$10)&gt;0,(D147+E147)/Setup!$B$10,""))</f>
        <v/>
      </c>
      <c r="G147" s="25">
        <f>IF(A147="","",SUMIFS(PA_OECM_Register!$AG$5:$AG$1504,PA_OECM_Register!$Z$5:$Z$1504,1,PA_OECM_Register!$E$5:$E$1504,"PA",PA_OECM_Register!$AH$5:$AH$1504,"&gt;0",PA_OECM_Register!$AH$5:$AH$1504,"&lt;="&amp;A147)+SUMIFS(PA_OECM_Register!$AG$5:$AG$1504,PA_OECM_Register!$Z$5:$Z$1504,1,PA_OECM_Register!$E$5:$E$1504,"PA",PA_OECM_Register!$AH$5:$AH$1504,0)*B147)</f>
        <v/>
      </c>
      <c r="H147" s="25">
        <f>IF(A147="","",SUMIFS(PA_OECM_Register!$AG$5:$AG$1504,PA_OECM_Register!$Z$5:$Z$1504,1,PA_OECM_Register!$E$5:$E$1504,"OECM",PA_OECM_Register!$AH$5:$AH$1504,"&gt;0",PA_OECM_Register!$AH$5:$AH$1504,"&lt;="&amp;A147)+SUMIFS(PA_OECM_Register!$AG$5:$AG$1504,PA_OECM_Register!$Z$5:$Z$1504,1,PA_OECM_Register!$E$5:$E$1504,"OECM",PA_OECM_Register!$AH$5:$AH$1504,0)*C147)</f>
        <v/>
      </c>
      <c r="I147" s="26">
        <f>IF(A147="","",IF(N(Setup!$B$11)&gt;0,(G147+H147)/Setup!$B$11,""))</f>
        <v/>
      </c>
      <c r="J147" s="26">
        <f>IF(A147="","",IF(N(Setup!$B$10)&gt;0,SUMIFS(PA_OECM_Register!$AF$5:$AF$1504,PA_OECM_Register!$Z$5:$Z$1504,1,PA_OECM_Register!$AH$5:$AH$1504,"&gt;0",PA_OECM_Register!$AH$5:$AH$1504,"&lt;="&amp;A147)/Setup!$B$10,""))</f>
        <v/>
      </c>
      <c r="K147" s="26">
        <f>IF(A147="","",IF(N(Setup!$B$11)&gt;0,SUMIFS(PA_OECM_Register!$AG$5:$AG$1504,PA_OECM_Register!$Z$5:$Z$1504,1,PA_OECM_Register!$AH$5:$AH$1504,"&gt;0",PA_OECM_Register!$AH$5:$AH$1504,"&lt;="&amp;A147)/Setup!$B$11,""))</f>
        <v/>
      </c>
    </row>
    <row r="148">
      <c r="A148" s="33">
        <f>IF(Setup!$B$27+143&gt;Setup!$B$6,"",Setup!$B$27+143)</f>
        <v/>
      </c>
      <c r="B148" s="38">
        <f>IF(A148="","",COUNTIFS(PA_OECM_Register!$Z$5:$Z$1504,1,PA_OECM_Register!$E$5:$E$1504,"PA",PA_OECM_Register!$AH$5:$AH$1504,"&gt;0",PA_OECM_Register!$AH$5:$AH$1504,"&lt;="&amp;A148)/MAX(1,COUNTIFS(PA_OECM_Register!$Z$5:$Z$1504,1,PA_OECM_Register!$E$5:$E$1504,"PA",PA_OECM_Register!$AH$5:$AH$1504,"&gt;0")))</f>
        <v/>
      </c>
      <c r="C148" s="38">
        <f>IF(A148="","",COUNTIFS(PA_OECM_Register!$Z$5:$Z$1504,1,PA_OECM_Register!$E$5:$E$1504,"OECM",PA_OECM_Register!$AH$5:$AH$1504,"&gt;0",PA_OECM_Register!$AH$5:$AH$1504,"&lt;="&amp;A148)/MAX(1,COUNTIFS(PA_OECM_Register!$Z$5:$Z$1504,1,PA_OECM_Register!$E$5:$E$1504,"OECM",PA_OECM_Register!$AH$5:$AH$1504,"&gt;0")))</f>
        <v/>
      </c>
      <c r="D148" s="25">
        <f>IF(A148="","",SUMIFS(PA_OECM_Register!$AF$5:$AF$1504,PA_OECM_Register!$Z$5:$Z$1504,1,PA_OECM_Register!$E$5:$E$1504,"PA",PA_OECM_Register!$AH$5:$AH$1504,"&gt;0",PA_OECM_Register!$AH$5:$AH$1504,"&lt;="&amp;A148)+SUMIFS(PA_OECM_Register!$AF$5:$AF$1504,PA_OECM_Register!$Z$5:$Z$1504,1,PA_OECM_Register!$E$5:$E$1504,"PA",PA_OECM_Register!$AH$5:$AH$1504,0)*B148)</f>
        <v/>
      </c>
      <c r="E148" s="25">
        <f>IF(A148="","",SUMIFS(PA_OECM_Register!$AF$5:$AF$1504,PA_OECM_Register!$Z$5:$Z$1504,1,PA_OECM_Register!$E$5:$E$1504,"OECM",PA_OECM_Register!$AH$5:$AH$1504,"&gt;0",PA_OECM_Register!$AH$5:$AH$1504,"&lt;="&amp;A148)+SUMIFS(PA_OECM_Register!$AF$5:$AF$1504,PA_OECM_Register!$Z$5:$Z$1504,1,PA_OECM_Register!$E$5:$E$1504,"OECM",PA_OECM_Register!$AH$5:$AH$1504,0)*C148)</f>
        <v/>
      </c>
      <c r="F148" s="26">
        <f>IF(A148="","",IF(N(Setup!$B$10)&gt;0,(D148+E148)/Setup!$B$10,""))</f>
        <v/>
      </c>
      <c r="G148" s="25">
        <f>IF(A148="","",SUMIFS(PA_OECM_Register!$AG$5:$AG$1504,PA_OECM_Register!$Z$5:$Z$1504,1,PA_OECM_Register!$E$5:$E$1504,"PA",PA_OECM_Register!$AH$5:$AH$1504,"&gt;0",PA_OECM_Register!$AH$5:$AH$1504,"&lt;="&amp;A148)+SUMIFS(PA_OECM_Register!$AG$5:$AG$1504,PA_OECM_Register!$Z$5:$Z$1504,1,PA_OECM_Register!$E$5:$E$1504,"PA",PA_OECM_Register!$AH$5:$AH$1504,0)*B148)</f>
        <v/>
      </c>
      <c r="H148" s="25">
        <f>IF(A148="","",SUMIFS(PA_OECM_Register!$AG$5:$AG$1504,PA_OECM_Register!$Z$5:$Z$1504,1,PA_OECM_Register!$E$5:$E$1504,"OECM",PA_OECM_Register!$AH$5:$AH$1504,"&gt;0",PA_OECM_Register!$AH$5:$AH$1504,"&lt;="&amp;A148)+SUMIFS(PA_OECM_Register!$AG$5:$AG$1504,PA_OECM_Register!$Z$5:$Z$1504,1,PA_OECM_Register!$E$5:$E$1504,"OECM",PA_OECM_Register!$AH$5:$AH$1504,0)*C148)</f>
        <v/>
      </c>
      <c r="I148" s="26">
        <f>IF(A148="","",IF(N(Setup!$B$11)&gt;0,(G148+H148)/Setup!$B$11,""))</f>
        <v/>
      </c>
      <c r="J148" s="26">
        <f>IF(A148="","",IF(N(Setup!$B$10)&gt;0,SUMIFS(PA_OECM_Register!$AF$5:$AF$1504,PA_OECM_Register!$Z$5:$Z$1504,1,PA_OECM_Register!$AH$5:$AH$1504,"&gt;0",PA_OECM_Register!$AH$5:$AH$1504,"&lt;="&amp;A148)/Setup!$B$10,""))</f>
        <v/>
      </c>
      <c r="K148" s="26">
        <f>IF(A148="","",IF(N(Setup!$B$11)&gt;0,SUMIFS(PA_OECM_Register!$AG$5:$AG$1504,PA_OECM_Register!$Z$5:$Z$1504,1,PA_OECM_Register!$AH$5:$AH$1504,"&gt;0",PA_OECM_Register!$AH$5:$AH$1504,"&lt;="&amp;A148)/Setup!$B$11,""))</f>
        <v/>
      </c>
    </row>
    <row r="149">
      <c r="A149" s="33">
        <f>IF(Setup!$B$27+144&gt;Setup!$B$6,"",Setup!$B$27+144)</f>
        <v/>
      </c>
      <c r="B149" s="38">
        <f>IF(A149="","",COUNTIFS(PA_OECM_Register!$Z$5:$Z$1504,1,PA_OECM_Register!$E$5:$E$1504,"PA",PA_OECM_Register!$AH$5:$AH$1504,"&gt;0",PA_OECM_Register!$AH$5:$AH$1504,"&lt;="&amp;A149)/MAX(1,COUNTIFS(PA_OECM_Register!$Z$5:$Z$1504,1,PA_OECM_Register!$E$5:$E$1504,"PA",PA_OECM_Register!$AH$5:$AH$1504,"&gt;0")))</f>
        <v/>
      </c>
      <c r="C149" s="38">
        <f>IF(A149="","",COUNTIFS(PA_OECM_Register!$Z$5:$Z$1504,1,PA_OECM_Register!$E$5:$E$1504,"OECM",PA_OECM_Register!$AH$5:$AH$1504,"&gt;0",PA_OECM_Register!$AH$5:$AH$1504,"&lt;="&amp;A149)/MAX(1,COUNTIFS(PA_OECM_Register!$Z$5:$Z$1504,1,PA_OECM_Register!$E$5:$E$1504,"OECM",PA_OECM_Register!$AH$5:$AH$1504,"&gt;0")))</f>
        <v/>
      </c>
      <c r="D149" s="25">
        <f>IF(A149="","",SUMIFS(PA_OECM_Register!$AF$5:$AF$1504,PA_OECM_Register!$Z$5:$Z$1504,1,PA_OECM_Register!$E$5:$E$1504,"PA",PA_OECM_Register!$AH$5:$AH$1504,"&gt;0",PA_OECM_Register!$AH$5:$AH$1504,"&lt;="&amp;A149)+SUMIFS(PA_OECM_Register!$AF$5:$AF$1504,PA_OECM_Register!$Z$5:$Z$1504,1,PA_OECM_Register!$E$5:$E$1504,"PA",PA_OECM_Register!$AH$5:$AH$1504,0)*B149)</f>
        <v/>
      </c>
      <c r="E149" s="25">
        <f>IF(A149="","",SUMIFS(PA_OECM_Register!$AF$5:$AF$1504,PA_OECM_Register!$Z$5:$Z$1504,1,PA_OECM_Register!$E$5:$E$1504,"OECM",PA_OECM_Register!$AH$5:$AH$1504,"&gt;0",PA_OECM_Register!$AH$5:$AH$1504,"&lt;="&amp;A149)+SUMIFS(PA_OECM_Register!$AF$5:$AF$1504,PA_OECM_Register!$Z$5:$Z$1504,1,PA_OECM_Register!$E$5:$E$1504,"OECM",PA_OECM_Register!$AH$5:$AH$1504,0)*C149)</f>
        <v/>
      </c>
      <c r="F149" s="26">
        <f>IF(A149="","",IF(N(Setup!$B$10)&gt;0,(D149+E149)/Setup!$B$10,""))</f>
        <v/>
      </c>
      <c r="G149" s="25">
        <f>IF(A149="","",SUMIFS(PA_OECM_Register!$AG$5:$AG$1504,PA_OECM_Register!$Z$5:$Z$1504,1,PA_OECM_Register!$E$5:$E$1504,"PA",PA_OECM_Register!$AH$5:$AH$1504,"&gt;0",PA_OECM_Register!$AH$5:$AH$1504,"&lt;="&amp;A149)+SUMIFS(PA_OECM_Register!$AG$5:$AG$1504,PA_OECM_Register!$Z$5:$Z$1504,1,PA_OECM_Register!$E$5:$E$1504,"PA",PA_OECM_Register!$AH$5:$AH$1504,0)*B149)</f>
        <v/>
      </c>
      <c r="H149" s="25">
        <f>IF(A149="","",SUMIFS(PA_OECM_Register!$AG$5:$AG$1504,PA_OECM_Register!$Z$5:$Z$1504,1,PA_OECM_Register!$E$5:$E$1504,"OECM",PA_OECM_Register!$AH$5:$AH$1504,"&gt;0",PA_OECM_Register!$AH$5:$AH$1504,"&lt;="&amp;A149)+SUMIFS(PA_OECM_Register!$AG$5:$AG$1504,PA_OECM_Register!$Z$5:$Z$1504,1,PA_OECM_Register!$E$5:$E$1504,"OECM",PA_OECM_Register!$AH$5:$AH$1504,0)*C149)</f>
        <v/>
      </c>
      <c r="I149" s="26">
        <f>IF(A149="","",IF(N(Setup!$B$11)&gt;0,(G149+H149)/Setup!$B$11,""))</f>
        <v/>
      </c>
      <c r="J149" s="26">
        <f>IF(A149="","",IF(N(Setup!$B$10)&gt;0,SUMIFS(PA_OECM_Register!$AF$5:$AF$1504,PA_OECM_Register!$Z$5:$Z$1504,1,PA_OECM_Register!$AH$5:$AH$1504,"&gt;0",PA_OECM_Register!$AH$5:$AH$1504,"&lt;="&amp;A149)/Setup!$B$10,""))</f>
        <v/>
      </c>
      <c r="K149" s="26">
        <f>IF(A149="","",IF(N(Setup!$B$11)&gt;0,SUMIFS(PA_OECM_Register!$AG$5:$AG$1504,PA_OECM_Register!$Z$5:$Z$1504,1,PA_OECM_Register!$AH$5:$AH$1504,"&gt;0",PA_OECM_Register!$AH$5:$AH$1504,"&lt;="&amp;A149)/Setup!$B$11,""))</f>
        <v/>
      </c>
    </row>
    <row r="150">
      <c r="A150" s="33">
        <f>IF(Setup!$B$27+145&gt;Setup!$B$6,"",Setup!$B$27+145)</f>
        <v/>
      </c>
      <c r="B150" s="38">
        <f>IF(A150="","",COUNTIFS(PA_OECM_Register!$Z$5:$Z$1504,1,PA_OECM_Register!$E$5:$E$1504,"PA",PA_OECM_Register!$AH$5:$AH$1504,"&gt;0",PA_OECM_Register!$AH$5:$AH$1504,"&lt;="&amp;A150)/MAX(1,COUNTIFS(PA_OECM_Register!$Z$5:$Z$1504,1,PA_OECM_Register!$E$5:$E$1504,"PA",PA_OECM_Register!$AH$5:$AH$1504,"&gt;0")))</f>
        <v/>
      </c>
      <c r="C150" s="38">
        <f>IF(A150="","",COUNTIFS(PA_OECM_Register!$Z$5:$Z$1504,1,PA_OECM_Register!$E$5:$E$1504,"OECM",PA_OECM_Register!$AH$5:$AH$1504,"&gt;0",PA_OECM_Register!$AH$5:$AH$1504,"&lt;="&amp;A150)/MAX(1,COUNTIFS(PA_OECM_Register!$Z$5:$Z$1504,1,PA_OECM_Register!$E$5:$E$1504,"OECM",PA_OECM_Register!$AH$5:$AH$1504,"&gt;0")))</f>
        <v/>
      </c>
      <c r="D150" s="25">
        <f>IF(A150="","",SUMIFS(PA_OECM_Register!$AF$5:$AF$1504,PA_OECM_Register!$Z$5:$Z$1504,1,PA_OECM_Register!$E$5:$E$1504,"PA",PA_OECM_Register!$AH$5:$AH$1504,"&gt;0",PA_OECM_Register!$AH$5:$AH$1504,"&lt;="&amp;A150)+SUMIFS(PA_OECM_Register!$AF$5:$AF$1504,PA_OECM_Register!$Z$5:$Z$1504,1,PA_OECM_Register!$E$5:$E$1504,"PA",PA_OECM_Register!$AH$5:$AH$1504,0)*B150)</f>
        <v/>
      </c>
      <c r="E150" s="25">
        <f>IF(A150="","",SUMIFS(PA_OECM_Register!$AF$5:$AF$1504,PA_OECM_Register!$Z$5:$Z$1504,1,PA_OECM_Register!$E$5:$E$1504,"OECM",PA_OECM_Register!$AH$5:$AH$1504,"&gt;0",PA_OECM_Register!$AH$5:$AH$1504,"&lt;="&amp;A150)+SUMIFS(PA_OECM_Register!$AF$5:$AF$1504,PA_OECM_Register!$Z$5:$Z$1504,1,PA_OECM_Register!$E$5:$E$1504,"OECM",PA_OECM_Register!$AH$5:$AH$1504,0)*C150)</f>
        <v/>
      </c>
      <c r="F150" s="26">
        <f>IF(A150="","",IF(N(Setup!$B$10)&gt;0,(D150+E150)/Setup!$B$10,""))</f>
        <v/>
      </c>
      <c r="G150" s="25">
        <f>IF(A150="","",SUMIFS(PA_OECM_Register!$AG$5:$AG$1504,PA_OECM_Register!$Z$5:$Z$1504,1,PA_OECM_Register!$E$5:$E$1504,"PA",PA_OECM_Register!$AH$5:$AH$1504,"&gt;0",PA_OECM_Register!$AH$5:$AH$1504,"&lt;="&amp;A150)+SUMIFS(PA_OECM_Register!$AG$5:$AG$1504,PA_OECM_Register!$Z$5:$Z$1504,1,PA_OECM_Register!$E$5:$E$1504,"PA",PA_OECM_Register!$AH$5:$AH$1504,0)*B150)</f>
        <v/>
      </c>
      <c r="H150" s="25">
        <f>IF(A150="","",SUMIFS(PA_OECM_Register!$AG$5:$AG$1504,PA_OECM_Register!$Z$5:$Z$1504,1,PA_OECM_Register!$E$5:$E$1504,"OECM",PA_OECM_Register!$AH$5:$AH$1504,"&gt;0",PA_OECM_Register!$AH$5:$AH$1504,"&lt;="&amp;A150)+SUMIFS(PA_OECM_Register!$AG$5:$AG$1504,PA_OECM_Register!$Z$5:$Z$1504,1,PA_OECM_Register!$E$5:$E$1504,"OECM",PA_OECM_Register!$AH$5:$AH$1504,0)*C150)</f>
        <v/>
      </c>
      <c r="I150" s="26">
        <f>IF(A150="","",IF(N(Setup!$B$11)&gt;0,(G150+H150)/Setup!$B$11,""))</f>
        <v/>
      </c>
      <c r="J150" s="26">
        <f>IF(A150="","",IF(N(Setup!$B$10)&gt;0,SUMIFS(PA_OECM_Register!$AF$5:$AF$1504,PA_OECM_Register!$Z$5:$Z$1504,1,PA_OECM_Register!$AH$5:$AH$1504,"&gt;0",PA_OECM_Register!$AH$5:$AH$1504,"&lt;="&amp;A150)/Setup!$B$10,""))</f>
        <v/>
      </c>
      <c r="K150" s="26">
        <f>IF(A150="","",IF(N(Setup!$B$11)&gt;0,SUMIFS(PA_OECM_Register!$AG$5:$AG$1504,PA_OECM_Register!$Z$5:$Z$1504,1,PA_OECM_Register!$AH$5:$AH$1504,"&gt;0",PA_OECM_Register!$AH$5:$AH$1504,"&lt;="&amp;A150)/Setup!$B$11,""))</f>
        <v/>
      </c>
    </row>
    <row r="151">
      <c r="A151" s="33">
        <f>IF(Setup!$B$27+146&gt;Setup!$B$6,"",Setup!$B$27+146)</f>
        <v/>
      </c>
      <c r="B151" s="38">
        <f>IF(A151="","",COUNTIFS(PA_OECM_Register!$Z$5:$Z$1504,1,PA_OECM_Register!$E$5:$E$1504,"PA",PA_OECM_Register!$AH$5:$AH$1504,"&gt;0",PA_OECM_Register!$AH$5:$AH$1504,"&lt;="&amp;A151)/MAX(1,COUNTIFS(PA_OECM_Register!$Z$5:$Z$1504,1,PA_OECM_Register!$E$5:$E$1504,"PA",PA_OECM_Register!$AH$5:$AH$1504,"&gt;0")))</f>
        <v/>
      </c>
      <c r="C151" s="38">
        <f>IF(A151="","",COUNTIFS(PA_OECM_Register!$Z$5:$Z$1504,1,PA_OECM_Register!$E$5:$E$1504,"OECM",PA_OECM_Register!$AH$5:$AH$1504,"&gt;0",PA_OECM_Register!$AH$5:$AH$1504,"&lt;="&amp;A151)/MAX(1,COUNTIFS(PA_OECM_Register!$Z$5:$Z$1504,1,PA_OECM_Register!$E$5:$E$1504,"OECM",PA_OECM_Register!$AH$5:$AH$1504,"&gt;0")))</f>
        <v/>
      </c>
      <c r="D151" s="25">
        <f>IF(A151="","",SUMIFS(PA_OECM_Register!$AF$5:$AF$1504,PA_OECM_Register!$Z$5:$Z$1504,1,PA_OECM_Register!$E$5:$E$1504,"PA",PA_OECM_Register!$AH$5:$AH$1504,"&gt;0",PA_OECM_Register!$AH$5:$AH$1504,"&lt;="&amp;A151)+SUMIFS(PA_OECM_Register!$AF$5:$AF$1504,PA_OECM_Register!$Z$5:$Z$1504,1,PA_OECM_Register!$E$5:$E$1504,"PA",PA_OECM_Register!$AH$5:$AH$1504,0)*B151)</f>
        <v/>
      </c>
      <c r="E151" s="25">
        <f>IF(A151="","",SUMIFS(PA_OECM_Register!$AF$5:$AF$1504,PA_OECM_Register!$Z$5:$Z$1504,1,PA_OECM_Register!$E$5:$E$1504,"OECM",PA_OECM_Register!$AH$5:$AH$1504,"&gt;0",PA_OECM_Register!$AH$5:$AH$1504,"&lt;="&amp;A151)+SUMIFS(PA_OECM_Register!$AF$5:$AF$1504,PA_OECM_Register!$Z$5:$Z$1504,1,PA_OECM_Register!$E$5:$E$1504,"OECM",PA_OECM_Register!$AH$5:$AH$1504,0)*C151)</f>
        <v/>
      </c>
      <c r="F151" s="26">
        <f>IF(A151="","",IF(N(Setup!$B$10)&gt;0,(D151+E151)/Setup!$B$10,""))</f>
        <v/>
      </c>
      <c r="G151" s="25">
        <f>IF(A151="","",SUMIFS(PA_OECM_Register!$AG$5:$AG$1504,PA_OECM_Register!$Z$5:$Z$1504,1,PA_OECM_Register!$E$5:$E$1504,"PA",PA_OECM_Register!$AH$5:$AH$1504,"&gt;0",PA_OECM_Register!$AH$5:$AH$1504,"&lt;="&amp;A151)+SUMIFS(PA_OECM_Register!$AG$5:$AG$1504,PA_OECM_Register!$Z$5:$Z$1504,1,PA_OECM_Register!$E$5:$E$1504,"PA",PA_OECM_Register!$AH$5:$AH$1504,0)*B151)</f>
        <v/>
      </c>
      <c r="H151" s="25">
        <f>IF(A151="","",SUMIFS(PA_OECM_Register!$AG$5:$AG$1504,PA_OECM_Register!$Z$5:$Z$1504,1,PA_OECM_Register!$E$5:$E$1504,"OECM",PA_OECM_Register!$AH$5:$AH$1504,"&gt;0",PA_OECM_Register!$AH$5:$AH$1504,"&lt;="&amp;A151)+SUMIFS(PA_OECM_Register!$AG$5:$AG$1504,PA_OECM_Register!$Z$5:$Z$1504,1,PA_OECM_Register!$E$5:$E$1504,"OECM",PA_OECM_Register!$AH$5:$AH$1504,0)*C151)</f>
        <v/>
      </c>
      <c r="I151" s="26">
        <f>IF(A151="","",IF(N(Setup!$B$11)&gt;0,(G151+H151)/Setup!$B$11,""))</f>
        <v/>
      </c>
      <c r="J151" s="26">
        <f>IF(A151="","",IF(N(Setup!$B$10)&gt;0,SUMIFS(PA_OECM_Register!$AF$5:$AF$1504,PA_OECM_Register!$Z$5:$Z$1504,1,PA_OECM_Register!$AH$5:$AH$1504,"&gt;0",PA_OECM_Register!$AH$5:$AH$1504,"&lt;="&amp;A151)/Setup!$B$10,""))</f>
        <v/>
      </c>
      <c r="K151" s="26">
        <f>IF(A151="","",IF(N(Setup!$B$11)&gt;0,SUMIFS(PA_OECM_Register!$AG$5:$AG$1504,PA_OECM_Register!$Z$5:$Z$1504,1,PA_OECM_Register!$AH$5:$AH$1504,"&gt;0",PA_OECM_Register!$AH$5:$AH$1504,"&lt;="&amp;A151)/Setup!$B$11,""))</f>
        <v/>
      </c>
    </row>
    <row r="152">
      <c r="A152" s="33">
        <f>IF(Setup!$B$27+147&gt;Setup!$B$6,"",Setup!$B$27+147)</f>
        <v/>
      </c>
      <c r="B152" s="38">
        <f>IF(A152="","",COUNTIFS(PA_OECM_Register!$Z$5:$Z$1504,1,PA_OECM_Register!$E$5:$E$1504,"PA",PA_OECM_Register!$AH$5:$AH$1504,"&gt;0",PA_OECM_Register!$AH$5:$AH$1504,"&lt;="&amp;A152)/MAX(1,COUNTIFS(PA_OECM_Register!$Z$5:$Z$1504,1,PA_OECM_Register!$E$5:$E$1504,"PA",PA_OECM_Register!$AH$5:$AH$1504,"&gt;0")))</f>
        <v/>
      </c>
      <c r="C152" s="38">
        <f>IF(A152="","",COUNTIFS(PA_OECM_Register!$Z$5:$Z$1504,1,PA_OECM_Register!$E$5:$E$1504,"OECM",PA_OECM_Register!$AH$5:$AH$1504,"&gt;0",PA_OECM_Register!$AH$5:$AH$1504,"&lt;="&amp;A152)/MAX(1,COUNTIFS(PA_OECM_Register!$Z$5:$Z$1504,1,PA_OECM_Register!$E$5:$E$1504,"OECM",PA_OECM_Register!$AH$5:$AH$1504,"&gt;0")))</f>
        <v/>
      </c>
      <c r="D152" s="25">
        <f>IF(A152="","",SUMIFS(PA_OECM_Register!$AF$5:$AF$1504,PA_OECM_Register!$Z$5:$Z$1504,1,PA_OECM_Register!$E$5:$E$1504,"PA",PA_OECM_Register!$AH$5:$AH$1504,"&gt;0",PA_OECM_Register!$AH$5:$AH$1504,"&lt;="&amp;A152)+SUMIFS(PA_OECM_Register!$AF$5:$AF$1504,PA_OECM_Register!$Z$5:$Z$1504,1,PA_OECM_Register!$E$5:$E$1504,"PA",PA_OECM_Register!$AH$5:$AH$1504,0)*B152)</f>
        <v/>
      </c>
      <c r="E152" s="25">
        <f>IF(A152="","",SUMIFS(PA_OECM_Register!$AF$5:$AF$1504,PA_OECM_Register!$Z$5:$Z$1504,1,PA_OECM_Register!$E$5:$E$1504,"OECM",PA_OECM_Register!$AH$5:$AH$1504,"&gt;0",PA_OECM_Register!$AH$5:$AH$1504,"&lt;="&amp;A152)+SUMIFS(PA_OECM_Register!$AF$5:$AF$1504,PA_OECM_Register!$Z$5:$Z$1504,1,PA_OECM_Register!$E$5:$E$1504,"OECM",PA_OECM_Register!$AH$5:$AH$1504,0)*C152)</f>
        <v/>
      </c>
      <c r="F152" s="26">
        <f>IF(A152="","",IF(N(Setup!$B$10)&gt;0,(D152+E152)/Setup!$B$10,""))</f>
        <v/>
      </c>
      <c r="G152" s="25">
        <f>IF(A152="","",SUMIFS(PA_OECM_Register!$AG$5:$AG$1504,PA_OECM_Register!$Z$5:$Z$1504,1,PA_OECM_Register!$E$5:$E$1504,"PA",PA_OECM_Register!$AH$5:$AH$1504,"&gt;0",PA_OECM_Register!$AH$5:$AH$1504,"&lt;="&amp;A152)+SUMIFS(PA_OECM_Register!$AG$5:$AG$1504,PA_OECM_Register!$Z$5:$Z$1504,1,PA_OECM_Register!$E$5:$E$1504,"PA",PA_OECM_Register!$AH$5:$AH$1504,0)*B152)</f>
        <v/>
      </c>
      <c r="H152" s="25">
        <f>IF(A152="","",SUMIFS(PA_OECM_Register!$AG$5:$AG$1504,PA_OECM_Register!$Z$5:$Z$1504,1,PA_OECM_Register!$E$5:$E$1504,"OECM",PA_OECM_Register!$AH$5:$AH$1504,"&gt;0",PA_OECM_Register!$AH$5:$AH$1504,"&lt;="&amp;A152)+SUMIFS(PA_OECM_Register!$AG$5:$AG$1504,PA_OECM_Register!$Z$5:$Z$1504,1,PA_OECM_Register!$E$5:$E$1504,"OECM",PA_OECM_Register!$AH$5:$AH$1504,0)*C152)</f>
        <v/>
      </c>
      <c r="I152" s="26">
        <f>IF(A152="","",IF(N(Setup!$B$11)&gt;0,(G152+H152)/Setup!$B$11,""))</f>
        <v/>
      </c>
      <c r="J152" s="26">
        <f>IF(A152="","",IF(N(Setup!$B$10)&gt;0,SUMIFS(PA_OECM_Register!$AF$5:$AF$1504,PA_OECM_Register!$Z$5:$Z$1504,1,PA_OECM_Register!$AH$5:$AH$1504,"&gt;0",PA_OECM_Register!$AH$5:$AH$1504,"&lt;="&amp;A152)/Setup!$B$10,""))</f>
        <v/>
      </c>
      <c r="K152" s="26">
        <f>IF(A152="","",IF(N(Setup!$B$11)&gt;0,SUMIFS(PA_OECM_Register!$AG$5:$AG$1504,PA_OECM_Register!$Z$5:$Z$1504,1,PA_OECM_Register!$AH$5:$AH$1504,"&gt;0",PA_OECM_Register!$AH$5:$AH$1504,"&lt;="&amp;A152)/Setup!$B$11,""))</f>
        <v/>
      </c>
    </row>
    <row r="153">
      <c r="A153" s="33">
        <f>IF(Setup!$B$27+148&gt;Setup!$B$6,"",Setup!$B$27+148)</f>
        <v/>
      </c>
      <c r="B153" s="38">
        <f>IF(A153="","",COUNTIFS(PA_OECM_Register!$Z$5:$Z$1504,1,PA_OECM_Register!$E$5:$E$1504,"PA",PA_OECM_Register!$AH$5:$AH$1504,"&gt;0",PA_OECM_Register!$AH$5:$AH$1504,"&lt;="&amp;A153)/MAX(1,COUNTIFS(PA_OECM_Register!$Z$5:$Z$1504,1,PA_OECM_Register!$E$5:$E$1504,"PA",PA_OECM_Register!$AH$5:$AH$1504,"&gt;0")))</f>
        <v/>
      </c>
      <c r="C153" s="38">
        <f>IF(A153="","",COUNTIFS(PA_OECM_Register!$Z$5:$Z$1504,1,PA_OECM_Register!$E$5:$E$1504,"OECM",PA_OECM_Register!$AH$5:$AH$1504,"&gt;0",PA_OECM_Register!$AH$5:$AH$1504,"&lt;="&amp;A153)/MAX(1,COUNTIFS(PA_OECM_Register!$Z$5:$Z$1504,1,PA_OECM_Register!$E$5:$E$1504,"OECM",PA_OECM_Register!$AH$5:$AH$1504,"&gt;0")))</f>
        <v/>
      </c>
      <c r="D153" s="25">
        <f>IF(A153="","",SUMIFS(PA_OECM_Register!$AF$5:$AF$1504,PA_OECM_Register!$Z$5:$Z$1504,1,PA_OECM_Register!$E$5:$E$1504,"PA",PA_OECM_Register!$AH$5:$AH$1504,"&gt;0",PA_OECM_Register!$AH$5:$AH$1504,"&lt;="&amp;A153)+SUMIFS(PA_OECM_Register!$AF$5:$AF$1504,PA_OECM_Register!$Z$5:$Z$1504,1,PA_OECM_Register!$E$5:$E$1504,"PA",PA_OECM_Register!$AH$5:$AH$1504,0)*B153)</f>
        <v/>
      </c>
      <c r="E153" s="25">
        <f>IF(A153="","",SUMIFS(PA_OECM_Register!$AF$5:$AF$1504,PA_OECM_Register!$Z$5:$Z$1504,1,PA_OECM_Register!$E$5:$E$1504,"OECM",PA_OECM_Register!$AH$5:$AH$1504,"&gt;0",PA_OECM_Register!$AH$5:$AH$1504,"&lt;="&amp;A153)+SUMIFS(PA_OECM_Register!$AF$5:$AF$1504,PA_OECM_Register!$Z$5:$Z$1504,1,PA_OECM_Register!$E$5:$E$1504,"OECM",PA_OECM_Register!$AH$5:$AH$1504,0)*C153)</f>
        <v/>
      </c>
      <c r="F153" s="26">
        <f>IF(A153="","",IF(N(Setup!$B$10)&gt;0,(D153+E153)/Setup!$B$10,""))</f>
        <v/>
      </c>
      <c r="G153" s="25">
        <f>IF(A153="","",SUMIFS(PA_OECM_Register!$AG$5:$AG$1504,PA_OECM_Register!$Z$5:$Z$1504,1,PA_OECM_Register!$E$5:$E$1504,"PA",PA_OECM_Register!$AH$5:$AH$1504,"&gt;0",PA_OECM_Register!$AH$5:$AH$1504,"&lt;="&amp;A153)+SUMIFS(PA_OECM_Register!$AG$5:$AG$1504,PA_OECM_Register!$Z$5:$Z$1504,1,PA_OECM_Register!$E$5:$E$1504,"PA",PA_OECM_Register!$AH$5:$AH$1504,0)*B153)</f>
        <v/>
      </c>
      <c r="H153" s="25">
        <f>IF(A153="","",SUMIFS(PA_OECM_Register!$AG$5:$AG$1504,PA_OECM_Register!$Z$5:$Z$1504,1,PA_OECM_Register!$E$5:$E$1504,"OECM",PA_OECM_Register!$AH$5:$AH$1504,"&gt;0",PA_OECM_Register!$AH$5:$AH$1504,"&lt;="&amp;A153)+SUMIFS(PA_OECM_Register!$AG$5:$AG$1504,PA_OECM_Register!$Z$5:$Z$1504,1,PA_OECM_Register!$E$5:$E$1504,"OECM",PA_OECM_Register!$AH$5:$AH$1504,0)*C153)</f>
        <v/>
      </c>
      <c r="I153" s="26">
        <f>IF(A153="","",IF(N(Setup!$B$11)&gt;0,(G153+H153)/Setup!$B$11,""))</f>
        <v/>
      </c>
      <c r="J153" s="26">
        <f>IF(A153="","",IF(N(Setup!$B$10)&gt;0,SUMIFS(PA_OECM_Register!$AF$5:$AF$1504,PA_OECM_Register!$Z$5:$Z$1504,1,PA_OECM_Register!$AH$5:$AH$1504,"&gt;0",PA_OECM_Register!$AH$5:$AH$1504,"&lt;="&amp;A153)/Setup!$B$10,""))</f>
        <v/>
      </c>
      <c r="K153" s="26">
        <f>IF(A153="","",IF(N(Setup!$B$11)&gt;0,SUMIFS(PA_OECM_Register!$AG$5:$AG$1504,PA_OECM_Register!$Z$5:$Z$1504,1,PA_OECM_Register!$AH$5:$AH$1504,"&gt;0",PA_OECM_Register!$AH$5:$AH$1504,"&lt;="&amp;A153)/Setup!$B$11,""))</f>
        <v/>
      </c>
    </row>
    <row r="154">
      <c r="A154" s="33">
        <f>IF(Setup!$B$27+149&gt;Setup!$B$6,"",Setup!$B$27+149)</f>
        <v/>
      </c>
      <c r="B154" s="38">
        <f>IF(A154="","",COUNTIFS(PA_OECM_Register!$Z$5:$Z$1504,1,PA_OECM_Register!$E$5:$E$1504,"PA",PA_OECM_Register!$AH$5:$AH$1504,"&gt;0",PA_OECM_Register!$AH$5:$AH$1504,"&lt;="&amp;A154)/MAX(1,COUNTIFS(PA_OECM_Register!$Z$5:$Z$1504,1,PA_OECM_Register!$E$5:$E$1504,"PA",PA_OECM_Register!$AH$5:$AH$1504,"&gt;0")))</f>
        <v/>
      </c>
      <c r="C154" s="38">
        <f>IF(A154="","",COUNTIFS(PA_OECM_Register!$Z$5:$Z$1504,1,PA_OECM_Register!$E$5:$E$1504,"OECM",PA_OECM_Register!$AH$5:$AH$1504,"&gt;0",PA_OECM_Register!$AH$5:$AH$1504,"&lt;="&amp;A154)/MAX(1,COUNTIFS(PA_OECM_Register!$Z$5:$Z$1504,1,PA_OECM_Register!$E$5:$E$1504,"OECM",PA_OECM_Register!$AH$5:$AH$1504,"&gt;0")))</f>
        <v/>
      </c>
      <c r="D154" s="25">
        <f>IF(A154="","",SUMIFS(PA_OECM_Register!$AF$5:$AF$1504,PA_OECM_Register!$Z$5:$Z$1504,1,PA_OECM_Register!$E$5:$E$1504,"PA",PA_OECM_Register!$AH$5:$AH$1504,"&gt;0",PA_OECM_Register!$AH$5:$AH$1504,"&lt;="&amp;A154)+SUMIFS(PA_OECM_Register!$AF$5:$AF$1504,PA_OECM_Register!$Z$5:$Z$1504,1,PA_OECM_Register!$E$5:$E$1504,"PA",PA_OECM_Register!$AH$5:$AH$1504,0)*B154)</f>
        <v/>
      </c>
      <c r="E154" s="25">
        <f>IF(A154="","",SUMIFS(PA_OECM_Register!$AF$5:$AF$1504,PA_OECM_Register!$Z$5:$Z$1504,1,PA_OECM_Register!$E$5:$E$1504,"OECM",PA_OECM_Register!$AH$5:$AH$1504,"&gt;0",PA_OECM_Register!$AH$5:$AH$1504,"&lt;="&amp;A154)+SUMIFS(PA_OECM_Register!$AF$5:$AF$1504,PA_OECM_Register!$Z$5:$Z$1504,1,PA_OECM_Register!$E$5:$E$1504,"OECM",PA_OECM_Register!$AH$5:$AH$1504,0)*C154)</f>
        <v/>
      </c>
      <c r="F154" s="26">
        <f>IF(A154="","",IF(N(Setup!$B$10)&gt;0,(D154+E154)/Setup!$B$10,""))</f>
        <v/>
      </c>
      <c r="G154" s="25">
        <f>IF(A154="","",SUMIFS(PA_OECM_Register!$AG$5:$AG$1504,PA_OECM_Register!$Z$5:$Z$1504,1,PA_OECM_Register!$E$5:$E$1504,"PA",PA_OECM_Register!$AH$5:$AH$1504,"&gt;0",PA_OECM_Register!$AH$5:$AH$1504,"&lt;="&amp;A154)+SUMIFS(PA_OECM_Register!$AG$5:$AG$1504,PA_OECM_Register!$Z$5:$Z$1504,1,PA_OECM_Register!$E$5:$E$1504,"PA",PA_OECM_Register!$AH$5:$AH$1504,0)*B154)</f>
        <v/>
      </c>
      <c r="H154" s="25">
        <f>IF(A154="","",SUMIFS(PA_OECM_Register!$AG$5:$AG$1504,PA_OECM_Register!$Z$5:$Z$1504,1,PA_OECM_Register!$E$5:$E$1504,"OECM",PA_OECM_Register!$AH$5:$AH$1504,"&gt;0",PA_OECM_Register!$AH$5:$AH$1504,"&lt;="&amp;A154)+SUMIFS(PA_OECM_Register!$AG$5:$AG$1504,PA_OECM_Register!$Z$5:$Z$1504,1,PA_OECM_Register!$E$5:$E$1504,"OECM",PA_OECM_Register!$AH$5:$AH$1504,0)*C154)</f>
        <v/>
      </c>
      <c r="I154" s="26">
        <f>IF(A154="","",IF(N(Setup!$B$11)&gt;0,(G154+H154)/Setup!$B$11,""))</f>
        <v/>
      </c>
      <c r="J154" s="26">
        <f>IF(A154="","",IF(N(Setup!$B$10)&gt;0,SUMIFS(PA_OECM_Register!$AF$5:$AF$1504,PA_OECM_Register!$Z$5:$Z$1504,1,PA_OECM_Register!$AH$5:$AH$1504,"&gt;0",PA_OECM_Register!$AH$5:$AH$1504,"&lt;="&amp;A154)/Setup!$B$10,""))</f>
        <v/>
      </c>
      <c r="K154" s="26">
        <f>IF(A154="","",IF(N(Setup!$B$11)&gt;0,SUMIFS(PA_OECM_Register!$AG$5:$AG$1504,PA_OECM_Register!$Z$5:$Z$1504,1,PA_OECM_Register!$AH$5:$AH$1504,"&gt;0",PA_OECM_Register!$AH$5:$AH$1504,"&lt;="&amp;A154)/Setup!$B$11,""))</f>
        <v/>
      </c>
    </row>
    <row r="155">
      <c r="A155" s="33">
        <f>IF(Setup!$B$27+150&gt;Setup!$B$6,"",Setup!$B$27+150)</f>
        <v/>
      </c>
      <c r="B155" s="38">
        <f>IF(A155="","",COUNTIFS(PA_OECM_Register!$Z$5:$Z$1504,1,PA_OECM_Register!$E$5:$E$1504,"PA",PA_OECM_Register!$AH$5:$AH$1504,"&gt;0",PA_OECM_Register!$AH$5:$AH$1504,"&lt;="&amp;A155)/MAX(1,COUNTIFS(PA_OECM_Register!$Z$5:$Z$1504,1,PA_OECM_Register!$E$5:$E$1504,"PA",PA_OECM_Register!$AH$5:$AH$1504,"&gt;0")))</f>
        <v/>
      </c>
      <c r="C155" s="38">
        <f>IF(A155="","",COUNTIFS(PA_OECM_Register!$Z$5:$Z$1504,1,PA_OECM_Register!$E$5:$E$1504,"OECM",PA_OECM_Register!$AH$5:$AH$1504,"&gt;0",PA_OECM_Register!$AH$5:$AH$1504,"&lt;="&amp;A155)/MAX(1,COUNTIFS(PA_OECM_Register!$Z$5:$Z$1504,1,PA_OECM_Register!$E$5:$E$1504,"OECM",PA_OECM_Register!$AH$5:$AH$1504,"&gt;0")))</f>
        <v/>
      </c>
      <c r="D155" s="25">
        <f>IF(A155="","",SUMIFS(PA_OECM_Register!$AF$5:$AF$1504,PA_OECM_Register!$Z$5:$Z$1504,1,PA_OECM_Register!$E$5:$E$1504,"PA",PA_OECM_Register!$AH$5:$AH$1504,"&gt;0",PA_OECM_Register!$AH$5:$AH$1504,"&lt;="&amp;A155)+SUMIFS(PA_OECM_Register!$AF$5:$AF$1504,PA_OECM_Register!$Z$5:$Z$1504,1,PA_OECM_Register!$E$5:$E$1504,"PA",PA_OECM_Register!$AH$5:$AH$1504,0)*B155)</f>
        <v/>
      </c>
      <c r="E155" s="25">
        <f>IF(A155="","",SUMIFS(PA_OECM_Register!$AF$5:$AF$1504,PA_OECM_Register!$Z$5:$Z$1504,1,PA_OECM_Register!$E$5:$E$1504,"OECM",PA_OECM_Register!$AH$5:$AH$1504,"&gt;0",PA_OECM_Register!$AH$5:$AH$1504,"&lt;="&amp;A155)+SUMIFS(PA_OECM_Register!$AF$5:$AF$1504,PA_OECM_Register!$Z$5:$Z$1504,1,PA_OECM_Register!$E$5:$E$1504,"OECM",PA_OECM_Register!$AH$5:$AH$1504,0)*C155)</f>
        <v/>
      </c>
      <c r="F155" s="26">
        <f>IF(A155="","",IF(N(Setup!$B$10)&gt;0,(D155+E155)/Setup!$B$10,""))</f>
        <v/>
      </c>
      <c r="G155" s="25">
        <f>IF(A155="","",SUMIFS(PA_OECM_Register!$AG$5:$AG$1504,PA_OECM_Register!$Z$5:$Z$1504,1,PA_OECM_Register!$E$5:$E$1504,"PA",PA_OECM_Register!$AH$5:$AH$1504,"&gt;0",PA_OECM_Register!$AH$5:$AH$1504,"&lt;="&amp;A155)+SUMIFS(PA_OECM_Register!$AG$5:$AG$1504,PA_OECM_Register!$Z$5:$Z$1504,1,PA_OECM_Register!$E$5:$E$1504,"PA",PA_OECM_Register!$AH$5:$AH$1504,0)*B155)</f>
        <v/>
      </c>
      <c r="H155" s="25">
        <f>IF(A155="","",SUMIFS(PA_OECM_Register!$AG$5:$AG$1504,PA_OECM_Register!$Z$5:$Z$1504,1,PA_OECM_Register!$E$5:$E$1504,"OECM",PA_OECM_Register!$AH$5:$AH$1504,"&gt;0",PA_OECM_Register!$AH$5:$AH$1504,"&lt;="&amp;A155)+SUMIFS(PA_OECM_Register!$AG$5:$AG$1504,PA_OECM_Register!$Z$5:$Z$1504,1,PA_OECM_Register!$E$5:$E$1504,"OECM",PA_OECM_Register!$AH$5:$AH$1504,0)*C155)</f>
        <v/>
      </c>
      <c r="I155" s="26">
        <f>IF(A155="","",IF(N(Setup!$B$11)&gt;0,(G155+H155)/Setup!$B$11,""))</f>
        <v/>
      </c>
      <c r="J155" s="26">
        <f>IF(A155="","",IF(N(Setup!$B$10)&gt;0,SUMIFS(PA_OECM_Register!$AF$5:$AF$1504,PA_OECM_Register!$Z$5:$Z$1504,1,PA_OECM_Register!$AH$5:$AH$1504,"&gt;0",PA_OECM_Register!$AH$5:$AH$1504,"&lt;="&amp;A155)/Setup!$B$10,""))</f>
        <v/>
      </c>
      <c r="K155" s="26">
        <f>IF(A155="","",IF(N(Setup!$B$11)&gt;0,SUMIFS(PA_OECM_Register!$AG$5:$AG$1504,PA_OECM_Register!$Z$5:$Z$1504,1,PA_OECM_Register!$AH$5:$AH$1504,"&gt;0",PA_OECM_Register!$AH$5:$AH$1504,"&lt;="&amp;A155)/Setup!$B$11,""))</f>
        <v/>
      </c>
    </row>
    <row r="156">
      <c r="A156" s="33">
        <f>IF(Setup!$B$27+151&gt;Setup!$B$6,"",Setup!$B$27+151)</f>
        <v/>
      </c>
      <c r="B156" s="38">
        <f>IF(A156="","",COUNTIFS(PA_OECM_Register!$Z$5:$Z$1504,1,PA_OECM_Register!$E$5:$E$1504,"PA",PA_OECM_Register!$AH$5:$AH$1504,"&gt;0",PA_OECM_Register!$AH$5:$AH$1504,"&lt;="&amp;A156)/MAX(1,COUNTIFS(PA_OECM_Register!$Z$5:$Z$1504,1,PA_OECM_Register!$E$5:$E$1504,"PA",PA_OECM_Register!$AH$5:$AH$1504,"&gt;0")))</f>
        <v/>
      </c>
      <c r="C156" s="38">
        <f>IF(A156="","",COUNTIFS(PA_OECM_Register!$Z$5:$Z$1504,1,PA_OECM_Register!$E$5:$E$1504,"OECM",PA_OECM_Register!$AH$5:$AH$1504,"&gt;0",PA_OECM_Register!$AH$5:$AH$1504,"&lt;="&amp;A156)/MAX(1,COUNTIFS(PA_OECM_Register!$Z$5:$Z$1504,1,PA_OECM_Register!$E$5:$E$1504,"OECM",PA_OECM_Register!$AH$5:$AH$1504,"&gt;0")))</f>
        <v/>
      </c>
      <c r="D156" s="25">
        <f>IF(A156="","",SUMIFS(PA_OECM_Register!$AF$5:$AF$1504,PA_OECM_Register!$Z$5:$Z$1504,1,PA_OECM_Register!$E$5:$E$1504,"PA",PA_OECM_Register!$AH$5:$AH$1504,"&gt;0",PA_OECM_Register!$AH$5:$AH$1504,"&lt;="&amp;A156)+SUMIFS(PA_OECM_Register!$AF$5:$AF$1504,PA_OECM_Register!$Z$5:$Z$1504,1,PA_OECM_Register!$E$5:$E$1504,"PA",PA_OECM_Register!$AH$5:$AH$1504,0)*B156)</f>
        <v/>
      </c>
      <c r="E156" s="25">
        <f>IF(A156="","",SUMIFS(PA_OECM_Register!$AF$5:$AF$1504,PA_OECM_Register!$Z$5:$Z$1504,1,PA_OECM_Register!$E$5:$E$1504,"OECM",PA_OECM_Register!$AH$5:$AH$1504,"&gt;0",PA_OECM_Register!$AH$5:$AH$1504,"&lt;="&amp;A156)+SUMIFS(PA_OECM_Register!$AF$5:$AF$1504,PA_OECM_Register!$Z$5:$Z$1504,1,PA_OECM_Register!$E$5:$E$1504,"OECM",PA_OECM_Register!$AH$5:$AH$1504,0)*C156)</f>
        <v/>
      </c>
      <c r="F156" s="26">
        <f>IF(A156="","",IF(N(Setup!$B$10)&gt;0,(D156+E156)/Setup!$B$10,""))</f>
        <v/>
      </c>
      <c r="G156" s="25">
        <f>IF(A156="","",SUMIFS(PA_OECM_Register!$AG$5:$AG$1504,PA_OECM_Register!$Z$5:$Z$1504,1,PA_OECM_Register!$E$5:$E$1504,"PA",PA_OECM_Register!$AH$5:$AH$1504,"&gt;0",PA_OECM_Register!$AH$5:$AH$1504,"&lt;="&amp;A156)+SUMIFS(PA_OECM_Register!$AG$5:$AG$1504,PA_OECM_Register!$Z$5:$Z$1504,1,PA_OECM_Register!$E$5:$E$1504,"PA",PA_OECM_Register!$AH$5:$AH$1504,0)*B156)</f>
        <v/>
      </c>
      <c r="H156" s="25">
        <f>IF(A156="","",SUMIFS(PA_OECM_Register!$AG$5:$AG$1504,PA_OECM_Register!$Z$5:$Z$1504,1,PA_OECM_Register!$E$5:$E$1504,"OECM",PA_OECM_Register!$AH$5:$AH$1504,"&gt;0",PA_OECM_Register!$AH$5:$AH$1504,"&lt;="&amp;A156)+SUMIFS(PA_OECM_Register!$AG$5:$AG$1504,PA_OECM_Register!$Z$5:$Z$1504,1,PA_OECM_Register!$E$5:$E$1504,"OECM",PA_OECM_Register!$AH$5:$AH$1504,0)*C156)</f>
        <v/>
      </c>
      <c r="I156" s="26">
        <f>IF(A156="","",IF(N(Setup!$B$11)&gt;0,(G156+H156)/Setup!$B$11,""))</f>
        <v/>
      </c>
      <c r="J156" s="26">
        <f>IF(A156="","",IF(N(Setup!$B$10)&gt;0,SUMIFS(PA_OECM_Register!$AF$5:$AF$1504,PA_OECM_Register!$Z$5:$Z$1504,1,PA_OECM_Register!$AH$5:$AH$1504,"&gt;0",PA_OECM_Register!$AH$5:$AH$1504,"&lt;="&amp;A156)/Setup!$B$10,""))</f>
        <v/>
      </c>
      <c r="K156" s="26">
        <f>IF(A156="","",IF(N(Setup!$B$11)&gt;0,SUMIFS(PA_OECM_Register!$AG$5:$AG$1504,PA_OECM_Register!$Z$5:$Z$1504,1,PA_OECM_Register!$AH$5:$AH$1504,"&gt;0",PA_OECM_Register!$AH$5:$AH$1504,"&lt;="&amp;A156)/Setup!$B$11,""))</f>
        <v/>
      </c>
    </row>
    <row r="157">
      <c r="A157" s="33">
        <f>IF(Setup!$B$27+152&gt;Setup!$B$6,"",Setup!$B$27+152)</f>
        <v/>
      </c>
      <c r="B157" s="38">
        <f>IF(A157="","",COUNTIFS(PA_OECM_Register!$Z$5:$Z$1504,1,PA_OECM_Register!$E$5:$E$1504,"PA",PA_OECM_Register!$AH$5:$AH$1504,"&gt;0",PA_OECM_Register!$AH$5:$AH$1504,"&lt;="&amp;A157)/MAX(1,COUNTIFS(PA_OECM_Register!$Z$5:$Z$1504,1,PA_OECM_Register!$E$5:$E$1504,"PA",PA_OECM_Register!$AH$5:$AH$1504,"&gt;0")))</f>
        <v/>
      </c>
      <c r="C157" s="38">
        <f>IF(A157="","",COUNTIFS(PA_OECM_Register!$Z$5:$Z$1504,1,PA_OECM_Register!$E$5:$E$1504,"OECM",PA_OECM_Register!$AH$5:$AH$1504,"&gt;0",PA_OECM_Register!$AH$5:$AH$1504,"&lt;="&amp;A157)/MAX(1,COUNTIFS(PA_OECM_Register!$Z$5:$Z$1504,1,PA_OECM_Register!$E$5:$E$1504,"OECM",PA_OECM_Register!$AH$5:$AH$1504,"&gt;0")))</f>
        <v/>
      </c>
      <c r="D157" s="25">
        <f>IF(A157="","",SUMIFS(PA_OECM_Register!$AF$5:$AF$1504,PA_OECM_Register!$Z$5:$Z$1504,1,PA_OECM_Register!$E$5:$E$1504,"PA",PA_OECM_Register!$AH$5:$AH$1504,"&gt;0",PA_OECM_Register!$AH$5:$AH$1504,"&lt;="&amp;A157)+SUMIFS(PA_OECM_Register!$AF$5:$AF$1504,PA_OECM_Register!$Z$5:$Z$1504,1,PA_OECM_Register!$E$5:$E$1504,"PA",PA_OECM_Register!$AH$5:$AH$1504,0)*B157)</f>
        <v/>
      </c>
      <c r="E157" s="25">
        <f>IF(A157="","",SUMIFS(PA_OECM_Register!$AF$5:$AF$1504,PA_OECM_Register!$Z$5:$Z$1504,1,PA_OECM_Register!$E$5:$E$1504,"OECM",PA_OECM_Register!$AH$5:$AH$1504,"&gt;0",PA_OECM_Register!$AH$5:$AH$1504,"&lt;="&amp;A157)+SUMIFS(PA_OECM_Register!$AF$5:$AF$1504,PA_OECM_Register!$Z$5:$Z$1504,1,PA_OECM_Register!$E$5:$E$1504,"OECM",PA_OECM_Register!$AH$5:$AH$1504,0)*C157)</f>
        <v/>
      </c>
      <c r="F157" s="26">
        <f>IF(A157="","",IF(N(Setup!$B$10)&gt;0,(D157+E157)/Setup!$B$10,""))</f>
        <v/>
      </c>
      <c r="G157" s="25">
        <f>IF(A157="","",SUMIFS(PA_OECM_Register!$AG$5:$AG$1504,PA_OECM_Register!$Z$5:$Z$1504,1,PA_OECM_Register!$E$5:$E$1504,"PA",PA_OECM_Register!$AH$5:$AH$1504,"&gt;0",PA_OECM_Register!$AH$5:$AH$1504,"&lt;="&amp;A157)+SUMIFS(PA_OECM_Register!$AG$5:$AG$1504,PA_OECM_Register!$Z$5:$Z$1504,1,PA_OECM_Register!$E$5:$E$1504,"PA",PA_OECM_Register!$AH$5:$AH$1504,0)*B157)</f>
        <v/>
      </c>
      <c r="H157" s="25">
        <f>IF(A157="","",SUMIFS(PA_OECM_Register!$AG$5:$AG$1504,PA_OECM_Register!$Z$5:$Z$1504,1,PA_OECM_Register!$E$5:$E$1504,"OECM",PA_OECM_Register!$AH$5:$AH$1504,"&gt;0",PA_OECM_Register!$AH$5:$AH$1504,"&lt;="&amp;A157)+SUMIFS(PA_OECM_Register!$AG$5:$AG$1504,PA_OECM_Register!$Z$5:$Z$1504,1,PA_OECM_Register!$E$5:$E$1504,"OECM",PA_OECM_Register!$AH$5:$AH$1504,0)*C157)</f>
        <v/>
      </c>
      <c r="I157" s="26">
        <f>IF(A157="","",IF(N(Setup!$B$11)&gt;0,(G157+H157)/Setup!$B$11,""))</f>
        <v/>
      </c>
      <c r="J157" s="26">
        <f>IF(A157="","",IF(N(Setup!$B$10)&gt;0,SUMIFS(PA_OECM_Register!$AF$5:$AF$1504,PA_OECM_Register!$Z$5:$Z$1504,1,PA_OECM_Register!$AH$5:$AH$1504,"&gt;0",PA_OECM_Register!$AH$5:$AH$1504,"&lt;="&amp;A157)/Setup!$B$10,""))</f>
        <v/>
      </c>
      <c r="K157" s="26">
        <f>IF(A157="","",IF(N(Setup!$B$11)&gt;0,SUMIFS(PA_OECM_Register!$AG$5:$AG$1504,PA_OECM_Register!$Z$5:$Z$1504,1,PA_OECM_Register!$AH$5:$AH$1504,"&gt;0",PA_OECM_Register!$AH$5:$AH$1504,"&lt;="&amp;A157)/Setup!$B$11,""))</f>
        <v/>
      </c>
    </row>
    <row r="158">
      <c r="A158" s="33">
        <f>IF(Setup!$B$27+153&gt;Setup!$B$6,"",Setup!$B$27+153)</f>
        <v/>
      </c>
      <c r="B158" s="38">
        <f>IF(A158="","",COUNTIFS(PA_OECM_Register!$Z$5:$Z$1504,1,PA_OECM_Register!$E$5:$E$1504,"PA",PA_OECM_Register!$AH$5:$AH$1504,"&gt;0",PA_OECM_Register!$AH$5:$AH$1504,"&lt;="&amp;A158)/MAX(1,COUNTIFS(PA_OECM_Register!$Z$5:$Z$1504,1,PA_OECM_Register!$E$5:$E$1504,"PA",PA_OECM_Register!$AH$5:$AH$1504,"&gt;0")))</f>
        <v/>
      </c>
      <c r="C158" s="38">
        <f>IF(A158="","",COUNTIFS(PA_OECM_Register!$Z$5:$Z$1504,1,PA_OECM_Register!$E$5:$E$1504,"OECM",PA_OECM_Register!$AH$5:$AH$1504,"&gt;0",PA_OECM_Register!$AH$5:$AH$1504,"&lt;="&amp;A158)/MAX(1,COUNTIFS(PA_OECM_Register!$Z$5:$Z$1504,1,PA_OECM_Register!$E$5:$E$1504,"OECM",PA_OECM_Register!$AH$5:$AH$1504,"&gt;0")))</f>
        <v/>
      </c>
      <c r="D158" s="25">
        <f>IF(A158="","",SUMIFS(PA_OECM_Register!$AF$5:$AF$1504,PA_OECM_Register!$Z$5:$Z$1504,1,PA_OECM_Register!$E$5:$E$1504,"PA",PA_OECM_Register!$AH$5:$AH$1504,"&gt;0",PA_OECM_Register!$AH$5:$AH$1504,"&lt;="&amp;A158)+SUMIFS(PA_OECM_Register!$AF$5:$AF$1504,PA_OECM_Register!$Z$5:$Z$1504,1,PA_OECM_Register!$E$5:$E$1504,"PA",PA_OECM_Register!$AH$5:$AH$1504,0)*B158)</f>
        <v/>
      </c>
      <c r="E158" s="25">
        <f>IF(A158="","",SUMIFS(PA_OECM_Register!$AF$5:$AF$1504,PA_OECM_Register!$Z$5:$Z$1504,1,PA_OECM_Register!$E$5:$E$1504,"OECM",PA_OECM_Register!$AH$5:$AH$1504,"&gt;0",PA_OECM_Register!$AH$5:$AH$1504,"&lt;="&amp;A158)+SUMIFS(PA_OECM_Register!$AF$5:$AF$1504,PA_OECM_Register!$Z$5:$Z$1504,1,PA_OECM_Register!$E$5:$E$1504,"OECM",PA_OECM_Register!$AH$5:$AH$1504,0)*C158)</f>
        <v/>
      </c>
      <c r="F158" s="26">
        <f>IF(A158="","",IF(N(Setup!$B$10)&gt;0,(D158+E158)/Setup!$B$10,""))</f>
        <v/>
      </c>
      <c r="G158" s="25">
        <f>IF(A158="","",SUMIFS(PA_OECM_Register!$AG$5:$AG$1504,PA_OECM_Register!$Z$5:$Z$1504,1,PA_OECM_Register!$E$5:$E$1504,"PA",PA_OECM_Register!$AH$5:$AH$1504,"&gt;0",PA_OECM_Register!$AH$5:$AH$1504,"&lt;="&amp;A158)+SUMIFS(PA_OECM_Register!$AG$5:$AG$1504,PA_OECM_Register!$Z$5:$Z$1504,1,PA_OECM_Register!$E$5:$E$1504,"PA",PA_OECM_Register!$AH$5:$AH$1504,0)*B158)</f>
        <v/>
      </c>
      <c r="H158" s="25">
        <f>IF(A158="","",SUMIFS(PA_OECM_Register!$AG$5:$AG$1504,PA_OECM_Register!$Z$5:$Z$1504,1,PA_OECM_Register!$E$5:$E$1504,"OECM",PA_OECM_Register!$AH$5:$AH$1504,"&gt;0",PA_OECM_Register!$AH$5:$AH$1504,"&lt;="&amp;A158)+SUMIFS(PA_OECM_Register!$AG$5:$AG$1504,PA_OECM_Register!$Z$5:$Z$1504,1,PA_OECM_Register!$E$5:$E$1504,"OECM",PA_OECM_Register!$AH$5:$AH$1504,0)*C158)</f>
        <v/>
      </c>
      <c r="I158" s="26">
        <f>IF(A158="","",IF(N(Setup!$B$11)&gt;0,(G158+H158)/Setup!$B$11,""))</f>
        <v/>
      </c>
      <c r="J158" s="26">
        <f>IF(A158="","",IF(N(Setup!$B$10)&gt;0,SUMIFS(PA_OECM_Register!$AF$5:$AF$1504,PA_OECM_Register!$Z$5:$Z$1504,1,PA_OECM_Register!$AH$5:$AH$1504,"&gt;0",PA_OECM_Register!$AH$5:$AH$1504,"&lt;="&amp;A158)/Setup!$B$10,""))</f>
        <v/>
      </c>
      <c r="K158" s="26">
        <f>IF(A158="","",IF(N(Setup!$B$11)&gt;0,SUMIFS(PA_OECM_Register!$AG$5:$AG$1504,PA_OECM_Register!$Z$5:$Z$1504,1,PA_OECM_Register!$AH$5:$AH$1504,"&gt;0",PA_OECM_Register!$AH$5:$AH$1504,"&lt;="&amp;A158)/Setup!$B$11,""))</f>
        <v/>
      </c>
    </row>
    <row r="159">
      <c r="A159" s="33">
        <f>IF(Setup!$B$27+154&gt;Setup!$B$6,"",Setup!$B$27+154)</f>
        <v/>
      </c>
      <c r="B159" s="38">
        <f>IF(A159="","",COUNTIFS(PA_OECM_Register!$Z$5:$Z$1504,1,PA_OECM_Register!$E$5:$E$1504,"PA",PA_OECM_Register!$AH$5:$AH$1504,"&gt;0",PA_OECM_Register!$AH$5:$AH$1504,"&lt;="&amp;A159)/MAX(1,COUNTIFS(PA_OECM_Register!$Z$5:$Z$1504,1,PA_OECM_Register!$E$5:$E$1504,"PA",PA_OECM_Register!$AH$5:$AH$1504,"&gt;0")))</f>
        <v/>
      </c>
      <c r="C159" s="38">
        <f>IF(A159="","",COUNTIFS(PA_OECM_Register!$Z$5:$Z$1504,1,PA_OECM_Register!$E$5:$E$1504,"OECM",PA_OECM_Register!$AH$5:$AH$1504,"&gt;0",PA_OECM_Register!$AH$5:$AH$1504,"&lt;="&amp;A159)/MAX(1,COUNTIFS(PA_OECM_Register!$Z$5:$Z$1504,1,PA_OECM_Register!$E$5:$E$1504,"OECM",PA_OECM_Register!$AH$5:$AH$1504,"&gt;0")))</f>
        <v/>
      </c>
      <c r="D159" s="25">
        <f>IF(A159="","",SUMIFS(PA_OECM_Register!$AF$5:$AF$1504,PA_OECM_Register!$Z$5:$Z$1504,1,PA_OECM_Register!$E$5:$E$1504,"PA",PA_OECM_Register!$AH$5:$AH$1504,"&gt;0",PA_OECM_Register!$AH$5:$AH$1504,"&lt;="&amp;A159)+SUMIFS(PA_OECM_Register!$AF$5:$AF$1504,PA_OECM_Register!$Z$5:$Z$1504,1,PA_OECM_Register!$E$5:$E$1504,"PA",PA_OECM_Register!$AH$5:$AH$1504,0)*B159)</f>
        <v/>
      </c>
      <c r="E159" s="25">
        <f>IF(A159="","",SUMIFS(PA_OECM_Register!$AF$5:$AF$1504,PA_OECM_Register!$Z$5:$Z$1504,1,PA_OECM_Register!$E$5:$E$1504,"OECM",PA_OECM_Register!$AH$5:$AH$1504,"&gt;0",PA_OECM_Register!$AH$5:$AH$1504,"&lt;="&amp;A159)+SUMIFS(PA_OECM_Register!$AF$5:$AF$1504,PA_OECM_Register!$Z$5:$Z$1504,1,PA_OECM_Register!$E$5:$E$1504,"OECM",PA_OECM_Register!$AH$5:$AH$1504,0)*C159)</f>
        <v/>
      </c>
      <c r="F159" s="26">
        <f>IF(A159="","",IF(N(Setup!$B$10)&gt;0,(D159+E159)/Setup!$B$10,""))</f>
        <v/>
      </c>
      <c r="G159" s="25">
        <f>IF(A159="","",SUMIFS(PA_OECM_Register!$AG$5:$AG$1504,PA_OECM_Register!$Z$5:$Z$1504,1,PA_OECM_Register!$E$5:$E$1504,"PA",PA_OECM_Register!$AH$5:$AH$1504,"&gt;0",PA_OECM_Register!$AH$5:$AH$1504,"&lt;="&amp;A159)+SUMIFS(PA_OECM_Register!$AG$5:$AG$1504,PA_OECM_Register!$Z$5:$Z$1504,1,PA_OECM_Register!$E$5:$E$1504,"PA",PA_OECM_Register!$AH$5:$AH$1504,0)*B159)</f>
        <v/>
      </c>
      <c r="H159" s="25">
        <f>IF(A159="","",SUMIFS(PA_OECM_Register!$AG$5:$AG$1504,PA_OECM_Register!$Z$5:$Z$1504,1,PA_OECM_Register!$E$5:$E$1504,"OECM",PA_OECM_Register!$AH$5:$AH$1504,"&gt;0",PA_OECM_Register!$AH$5:$AH$1504,"&lt;="&amp;A159)+SUMIFS(PA_OECM_Register!$AG$5:$AG$1504,PA_OECM_Register!$Z$5:$Z$1504,1,PA_OECM_Register!$E$5:$E$1504,"OECM",PA_OECM_Register!$AH$5:$AH$1504,0)*C159)</f>
        <v/>
      </c>
      <c r="I159" s="26">
        <f>IF(A159="","",IF(N(Setup!$B$11)&gt;0,(G159+H159)/Setup!$B$11,""))</f>
        <v/>
      </c>
      <c r="J159" s="26">
        <f>IF(A159="","",IF(N(Setup!$B$10)&gt;0,SUMIFS(PA_OECM_Register!$AF$5:$AF$1504,PA_OECM_Register!$Z$5:$Z$1504,1,PA_OECM_Register!$AH$5:$AH$1504,"&gt;0",PA_OECM_Register!$AH$5:$AH$1504,"&lt;="&amp;A159)/Setup!$B$10,""))</f>
        <v/>
      </c>
      <c r="K159" s="26">
        <f>IF(A159="","",IF(N(Setup!$B$11)&gt;0,SUMIFS(PA_OECM_Register!$AG$5:$AG$1504,PA_OECM_Register!$Z$5:$Z$1504,1,PA_OECM_Register!$AH$5:$AH$1504,"&gt;0",PA_OECM_Register!$AH$5:$AH$1504,"&lt;="&amp;A159)/Setup!$B$11,""))</f>
        <v/>
      </c>
    </row>
    <row r="160">
      <c r="A160" s="33">
        <f>IF(Setup!$B$27+155&gt;Setup!$B$6,"",Setup!$B$27+155)</f>
        <v/>
      </c>
      <c r="B160" s="38">
        <f>IF(A160="","",COUNTIFS(PA_OECM_Register!$Z$5:$Z$1504,1,PA_OECM_Register!$E$5:$E$1504,"PA",PA_OECM_Register!$AH$5:$AH$1504,"&gt;0",PA_OECM_Register!$AH$5:$AH$1504,"&lt;="&amp;A160)/MAX(1,COUNTIFS(PA_OECM_Register!$Z$5:$Z$1504,1,PA_OECM_Register!$E$5:$E$1504,"PA",PA_OECM_Register!$AH$5:$AH$1504,"&gt;0")))</f>
        <v/>
      </c>
      <c r="C160" s="38">
        <f>IF(A160="","",COUNTIFS(PA_OECM_Register!$Z$5:$Z$1504,1,PA_OECM_Register!$E$5:$E$1504,"OECM",PA_OECM_Register!$AH$5:$AH$1504,"&gt;0",PA_OECM_Register!$AH$5:$AH$1504,"&lt;="&amp;A160)/MAX(1,COUNTIFS(PA_OECM_Register!$Z$5:$Z$1504,1,PA_OECM_Register!$E$5:$E$1504,"OECM",PA_OECM_Register!$AH$5:$AH$1504,"&gt;0")))</f>
        <v/>
      </c>
      <c r="D160" s="25">
        <f>IF(A160="","",SUMIFS(PA_OECM_Register!$AF$5:$AF$1504,PA_OECM_Register!$Z$5:$Z$1504,1,PA_OECM_Register!$E$5:$E$1504,"PA",PA_OECM_Register!$AH$5:$AH$1504,"&gt;0",PA_OECM_Register!$AH$5:$AH$1504,"&lt;="&amp;A160)+SUMIFS(PA_OECM_Register!$AF$5:$AF$1504,PA_OECM_Register!$Z$5:$Z$1504,1,PA_OECM_Register!$E$5:$E$1504,"PA",PA_OECM_Register!$AH$5:$AH$1504,0)*B160)</f>
        <v/>
      </c>
      <c r="E160" s="25">
        <f>IF(A160="","",SUMIFS(PA_OECM_Register!$AF$5:$AF$1504,PA_OECM_Register!$Z$5:$Z$1504,1,PA_OECM_Register!$E$5:$E$1504,"OECM",PA_OECM_Register!$AH$5:$AH$1504,"&gt;0",PA_OECM_Register!$AH$5:$AH$1504,"&lt;="&amp;A160)+SUMIFS(PA_OECM_Register!$AF$5:$AF$1504,PA_OECM_Register!$Z$5:$Z$1504,1,PA_OECM_Register!$E$5:$E$1504,"OECM",PA_OECM_Register!$AH$5:$AH$1504,0)*C160)</f>
        <v/>
      </c>
      <c r="F160" s="26">
        <f>IF(A160="","",IF(N(Setup!$B$10)&gt;0,(D160+E160)/Setup!$B$10,""))</f>
        <v/>
      </c>
      <c r="G160" s="25">
        <f>IF(A160="","",SUMIFS(PA_OECM_Register!$AG$5:$AG$1504,PA_OECM_Register!$Z$5:$Z$1504,1,PA_OECM_Register!$E$5:$E$1504,"PA",PA_OECM_Register!$AH$5:$AH$1504,"&gt;0",PA_OECM_Register!$AH$5:$AH$1504,"&lt;="&amp;A160)+SUMIFS(PA_OECM_Register!$AG$5:$AG$1504,PA_OECM_Register!$Z$5:$Z$1504,1,PA_OECM_Register!$E$5:$E$1504,"PA",PA_OECM_Register!$AH$5:$AH$1504,0)*B160)</f>
        <v/>
      </c>
      <c r="H160" s="25">
        <f>IF(A160="","",SUMIFS(PA_OECM_Register!$AG$5:$AG$1504,PA_OECM_Register!$Z$5:$Z$1504,1,PA_OECM_Register!$E$5:$E$1504,"OECM",PA_OECM_Register!$AH$5:$AH$1504,"&gt;0",PA_OECM_Register!$AH$5:$AH$1504,"&lt;="&amp;A160)+SUMIFS(PA_OECM_Register!$AG$5:$AG$1504,PA_OECM_Register!$Z$5:$Z$1504,1,PA_OECM_Register!$E$5:$E$1504,"OECM",PA_OECM_Register!$AH$5:$AH$1504,0)*C160)</f>
        <v/>
      </c>
      <c r="I160" s="26">
        <f>IF(A160="","",IF(N(Setup!$B$11)&gt;0,(G160+H160)/Setup!$B$11,""))</f>
        <v/>
      </c>
      <c r="J160" s="26">
        <f>IF(A160="","",IF(N(Setup!$B$10)&gt;0,SUMIFS(PA_OECM_Register!$AF$5:$AF$1504,PA_OECM_Register!$Z$5:$Z$1504,1,PA_OECM_Register!$AH$5:$AH$1504,"&gt;0",PA_OECM_Register!$AH$5:$AH$1504,"&lt;="&amp;A160)/Setup!$B$10,""))</f>
        <v/>
      </c>
      <c r="K160" s="26">
        <f>IF(A160="","",IF(N(Setup!$B$11)&gt;0,SUMIFS(PA_OECM_Register!$AG$5:$AG$1504,PA_OECM_Register!$Z$5:$Z$1504,1,PA_OECM_Register!$AH$5:$AH$1504,"&gt;0",PA_OECM_Register!$AH$5:$AH$1504,"&lt;="&amp;A160)/Setup!$B$11,""))</f>
        <v/>
      </c>
    </row>
    <row r="161">
      <c r="A161" s="33">
        <f>IF(Setup!$B$27+156&gt;Setup!$B$6,"",Setup!$B$27+156)</f>
        <v/>
      </c>
      <c r="B161" s="38">
        <f>IF(A161="","",COUNTIFS(PA_OECM_Register!$Z$5:$Z$1504,1,PA_OECM_Register!$E$5:$E$1504,"PA",PA_OECM_Register!$AH$5:$AH$1504,"&gt;0",PA_OECM_Register!$AH$5:$AH$1504,"&lt;="&amp;A161)/MAX(1,COUNTIFS(PA_OECM_Register!$Z$5:$Z$1504,1,PA_OECM_Register!$E$5:$E$1504,"PA",PA_OECM_Register!$AH$5:$AH$1504,"&gt;0")))</f>
        <v/>
      </c>
      <c r="C161" s="38">
        <f>IF(A161="","",COUNTIFS(PA_OECM_Register!$Z$5:$Z$1504,1,PA_OECM_Register!$E$5:$E$1504,"OECM",PA_OECM_Register!$AH$5:$AH$1504,"&gt;0",PA_OECM_Register!$AH$5:$AH$1504,"&lt;="&amp;A161)/MAX(1,COUNTIFS(PA_OECM_Register!$Z$5:$Z$1504,1,PA_OECM_Register!$E$5:$E$1504,"OECM",PA_OECM_Register!$AH$5:$AH$1504,"&gt;0")))</f>
        <v/>
      </c>
      <c r="D161" s="25">
        <f>IF(A161="","",SUMIFS(PA_OECM_Register!$AF$5:$AF$1504,PA_OECM_Register!$Z$5:$Z$1504,1,PA_OECM_Register!$E$5:$E$1504,"PA",PA_OECM_Register!$AH$5:$AH$1504,"&gt;0",PA_OECM_Register!$AH$5:$AH$1504,"&lt;="&amp;A161)+SUMIFS(PA_OECM_Register!$AF$5:$AF$1504,PA_OECM_Register!$Z$5:$Z$1504,1,PA_OECM_Register!$E$5:$E$1504,"PA",PA_OECM_Register!$AH$5:$AH$1504,0)*B161)</f>
        <v/>
      </c>
      <c r="E161" s="25">
        <f>IF(A161="","",SUMIFS(PA_OECM_Register!$AF$5:$AF$1504,PA_OECM_Register!$Z$5:$Z$1504,1,PA_OECM_Register!$E$5:$E$1504,"OECM",PA_OECM_Register!$AH$5:$AH$1504,"&gt;0",PA_OECM_Register!$AH$5:$AH$1504,"&lt;="&amp;A161)+SUMIFS(PA_OECM_Register!$AF$5:$AF$1504,PA_OECM_Register!$Z$5:$Z$1504,1,PA_OECM_Register!$E$5:$E$1504,"OECM",PA_OECM_Register!$AH$5:$AH$1504,0)*C161)</f>
        <v/>
      </c>
      <c r="F161" s="26">
        <f>IF(A161="","",IF(N(Setup!$B$10)&gt;0,(D161+E161)/Setup!$B$10,""))</f>
        <v/>
      </c>
      <c r="G161" s="25">
        <f>IF(A161="","",SUMIFS(PA_OECM_Register!$AG$5:$AG$1504,PA_OECM_Register!$Z$5:$Z$1504,1,PA_OECM_Register!$E$5:$E$1504,"PA",PA_OECM_Register!$AH$5:$AH$1504,"&gt;0",PA_OECM_Register!$AH$5:$AH$1504,"&lt;="&amp;A161)+SUMIFS(PA_OECM_Register!$AG$5:$AG$1504,PA_OECM_Register!$Z$5:$Z$1504,1,PA_OECM_Register!$E$5:$E$1504,"PA",PA_OECM_Register!$AH$5:$AH$1504,0)*B161)</f>
        <v/>
      </c>
      <c r="H161" s="25">
        <f>IF(A161="","",SUMIFS(PA_OECM_Register!$AG$5:$AG$1504,PA_OECM_Register!$Z$5:$Z$1504,1,PA_OECM_Register!$E$5:$E$1504,"OECM",PA_OECM_Register!$AH$5:$AH$1504,"&gt;0",PA_OECM_Register!$AH$5:$AH$1504,"&lt;="&amp;A161)+SUMIFS(PA_OECM_Register!$AG$5:$AG$1504,PA_OECM_Register!$Z$5:$Z$1504,1,PA_OECM_Register!$E$5:$E$1504,"OECM",PA_OECM_Register!$AH$5:$AH$1504,0)*C161)</f>
        <v/>
      </c>
      <c r="I161" s="26">
        <f>IF(A161="","",IF(N(Setup!$B$11)&gt;0,(G161+H161)/Setup!$B$11,""))</f>
        <v/>
      </c>
      <c r="J161" s="26">
        <f>IF(A161="","",IF(N(Setup!$B$10)&gt;0,SUMIFS(PA_OECM_Register!$AF$5:$AF$1504,PA_OECM_Register!$Z$5:$Z$1504,1,PA_OECM_Register!$AH$5:$AH$1504,"&gt;0",PA_OECM_Register!$AH$5:$AH$1504,"&lt;="&amp;A161)/Setup!$B$10,""))</f>
        <v/>
      </c>
      <c r="K161" s="26">
        <f>IF(A161="","",IF(N(Setup!$B$11)&gt;0,SUMIFS(PA_OECM_Register!$AG$5:$AG$1504,PA_OECM_Register!$Z$5:$Z$1504,1,PA_OECM_Register!$AH$5:$AH$1504,"&gt;0",PA_OECM_Register!$AH$5:$AH$1504,"&lt;="&amp;A161)/Setup!$B$11,""))</f>
        <v/>
      </c>
    </row>
    <row r="162">
      <c r="A162" s="33">
        <f>IF(Setup!$B$27+157&gt;Setup!$B$6,"",Setup!$B$27+157)</f>
        <v/>
      </c>
      <c r="B162" s="38">
        <f>IF(A162="","",COUNTIFS(PA_OECM_Register!$Z$5:$Z$1504,1,PA_OECM_Register!$E$5:$E$1504,"PA",PA_OECM_Register!$AH$5:$AH$1504,"&gt;0",PA_OECM_Register!$AH$5:$AH$1504,"&lt;="&amp;A162)/MAX(1,COUNTIFS(PA_OECM_Register!$Z$5:$Z$1504,1,PA_OECM_Register!$E$5:$E$1504,"PA",PA_OECM_Register!$AH$5:$AH$1504,"&gt;0")))</f>
        <v/>
      </c>
      <c r="C162" s="38">
        <f>IF(A162="","",COUNTIFS(PA_OECM_Register!$Z$5:$Z$1504,1,PA_OECM_Register!$E$5:$E$1504,"OECM",PA_OECM_Register!$AH$5:$AH$1504,"&gt;0",PA_OECM_Register!$AH$5:$AH$1504,"&lt;="&amp;A162)/MAX(1,COUNTIFS(PA_OECM_Register!$Z$5:$Z$1504,1,PA_OECM_Register!$E$5:$E$1504,"OECM",PA_OECM_Register!$AH$5:$AH$1504,"&gt;0")))</f>
        <v/>
      </c>
      <c r="D162" s="25">
        <f>IF(A162="","",SUMIFS(PA_OECM_Register!$AF$5:$AF$1504,PA_OECM_Register!$Z$5:$Z$1504,1,PA_OECM_Register!$E$5:$E$1504,"PA",PA_OECM_Register!$AH$5:$AH$1504,"&gt;0",PA_OECM_Register!$AH$5:$AH$1504,"&lt;="&amp;A162)+SUMIFS(PA_OECM_Register!$AF$5:$AF$1504,PA_OECM_Register!$Z$5:$Z$1504,1,PA_OECM_Register!$E$5:$E$1504,"PA",PA_OECM_Register!$AH$5:$AH$1504,0)*B162)</f>
        <v/>
      </c>
      <c r="E162" s="25">
        <f>IF(A162="","",SUMIFS(PA_OECM_Register!$AF$5:$AF$1504,PA_OECM_Register!$Z$5:$Z$1504,1,PA_OECM_Register!$E$5:$E$1504,"OECM",PA_OECM_Register!$AH$5:$AH$1504,"&gt;0",PA_OECM_Register!$AH$5:$AH$1504,"&lt;="&amp;A162)+SUMIFS(PA_OECM_Register!$AF$5:$AF$1504,PA_OECM_Register!$Z$5:$Z$1504,1,PA_OECM_Register!$E$5:$E$1504,"OECM",PA_OECM_Register!$AH$5:$AH$1504,0)*C162)</f>
        <v/>
      </c>
      <c r="F162" s="26">
        <f>IF(A162="","",IF(N(Setup!$B$10)&gt;0,(D162+E162)/Setup!$B$10,""))</f>
        <v/>
      </c>
      <c r="G162" s="25">
        <f>IF(A162="","",SUMIFS(PA_OECM_Register!$AG$5:$AG$1504,PA_OECM_Register!$Z$5:$Z$1504,1,PA_OECM_Register!$E$5:$E$1504,"PA",PA_OECM_Register!$AH$5:$AH$1504,"&gt;0",PA_OECM_Register!$AH$5:$AH$1504,"&lt;="&amp;A162)+SUMIFS(PA_OECM_Register!$AG$5:$AG$1504,PA_OECM_Register!$Z$5:$Z$1504,1,PA_OECM_Register!$E$5:$E$1504,"PA",PA_OECM_Register!$AH$5:$AH$1504,0)*B162)</f>
        <v/>
      </c>
      <c r="H162" s="25">
        <f>IF(A162="","",SUMIFS(PA_OECM_Register!$AG$5:$AG$1504,PA_OECM_Register!$Z$5:$Z$1504,1,PA_OECM_Register!$E$5:$E$1504,"OECM",PA_OECM_Register!$AH$5:$AH$1504,"&gt;0",PA_OECM_Register!$AH$5:$AH$1504,"&lt;="&amp;A162)+SUMIFS(PA_OECM_Register!$AG$5:$AG$1504,PA_OECM_Register!$Z$5:$Z$1504,1,PA_OECM_Register!$E$5:$E$1504,"OECM",PA_OECM_Register!$AH$5:$AH$1504,0)*C162)</f>
        <v/>
      </c>
      <c r="I162" s="26">
        <f>IF(A162="","",IF(N(Setup!$B$11)&gt;0,(G162+H162)/Setup!$B$11,""))</f>
        <v/>
      </c>
      <c r="J162" s="26">
        <f>IF(A162="","",IF(N(Setup!$B$10)&gt;0,SUMIFS(PA_OECM_Register!$AF$5:$AF$1504,PA_OECM_Register!$Z$5:$Z$1504,1,PA_OECM_Register!$AH$5:$AH$1504,"&gt;0",PA_OECM_Register!$AH$5:$AH$1504,"&lt;="&amp;A162)/Setup!$B$10,""))</f>
        <v/>
      </c>
      <c r="K162" s="26">
        <f>IF(A162="","",IF(N(Setup!$B$11)&gt;0,SUMIFS(PA_OECM_Register!$AG$5:$AG$1504,PA_OECM_Register!$Z$5:$Z$1504,1,PA_OECM_Register!$AH$5:$AH$1504,"&gt;0",PA_OECM_Register!$AH$5:$AH$1504,"&lt;="&amp;A162)/Setup!$B$11,""))</f>
        <v/>
      </c>
    </row>
    <row r="163">
      <c r="A163" s="33">
        <f>IF(Setup!$B$27+158&gt;Setup!$B$6,"",Setup!$B$27+158)</f>
        <v/>
      </c>
      <c r="B163" s="38">
        <f>IF(A163="","",COUNTIFS(PA_OECM_Register!$Z$5:$Z$1504,1,PA_OECM_Register!$E$5:$E$1504,"PA",PA_OECM_Register!$AH$5:$AH$1504,"&gt;0",PA_OECM_Register!$AH$5:$AH$1504,"&lt;="&amp;A163)/MAX(1,COUNTIFS(PA_OECM_Register!$Z$5:$Z$1504,1,PA_OECM_Register!$E$5:$E$1504,"PA",PA_OECM_Register!$AH$5:$AH$1504,"&gt;0")))</f>
        <v/>
      </c>
      <c r="C163" s="38">
        <f>IF(A163="","",COUNTIFS(PA_OECM_Register!$Z$5:$Z$1504,1,PA_OECM_Register!$E$5:$E$1504,"OECM",PA_OECM_Register!$AH$5:$AH$1504,"&gt;0",PA_OECM_Register!$AH$5:$AH$1504,"&lt;="&amp;A163)/MAX(1,COUNTIFS(PA_OECM_Register!$Z$5:$Z$1504,1,PA_OECM_Register!$E$5:$E$1504,"OECM",PA_OECM_Register!$AH$5:$AH$1504,"&gt;0")))</f>
        <v/>
      </c>
      <c r="D163" s="25">
        <f>IF(A163="","",SUMIFS(PA_OECM_Register!$AF$5:$AF$1504,PA_OECM_Register!$Z$5:$Z$1504,1,PA_OECM_Register!$E$5:$E$1504,"PA",PA_OECM_Register!$AH$5:$AH$1504,"&gt;0",PA_OECM_Register!$AH$5:$AH$1504,"&lt;="&amp;A163)+SUMIFS(PA_OECM_Register!$AF$5:$AF$1504,PA_OECM_Register!$Z$5:$Z$1504,1,PA_OECM_Register!$E$5:$E$1504,"PA",PA_OECM_Register!$AH$5:$AH$1504,0)*B163)</f>
        <v/>
      </c>
      <c r="E163" s="25">
        <f>IF(A163="","",SUMIFS(PA_OECM_Register!$AF$5:$AF$1504,PA_OECM_Register!$Z$5:$Z$1504,1,PA_OECM_Register!$E$5:$E$1504,"OECM",PA_OECM_Register!$AH$5:$AH$1504,"&gt;0",PA_OECM_Register!$AH$5:$AH$1504,"&lt;="&amp;A163)+SUMIFS(PA_OECM_Register!$AF$5:$AF$1504,PA_OECM_Register!$Z$5:$Z$1504,1,PA_OECM_Register!$E$5:$E$1504,"OECM",PA_OECM_Register!$AH$5:$AH$1504,0)*C163)</f>
        <v/>
      </c>
      <c r="F163" s="26">
        <f>IF(A163="","",IF(N(Setup!$B$10)&gt;0,(D163+E163)/Setup!$B$10,""))</f>
        <v/>
      </c>
      <c r="G163" s="25">
        <f>IF(A163="","",SUMIFS(PA_OECM_Register!$AG$5:$AG$1504,PA_OECM_Register!$Z$5:$Z$1504,1,PA_OECM_Register!$E$5:$E$1504,"PA",PA_OECM_Register!$AH$5:$AH$1504,"&gt;0",PA_OECM_Register!$AH$5:$AH$1504,"&lt;="&amp;A163)+SUMIFS(PA_OECM_Register!$AG$5:$AG$1504,PA_OECM_Register!$Z$5:$Z$1504,1,PA_OECM_Register!$E$5:$E$1504,"PA",PA_OECM_Register!$AH$5:$AH$1504,0)*B163)</f>
        <v/>
      </c>
      <c r="H163" s="25">
        <f>IF(A163="","",SUMIFS(PA_OECM_Register!$AG$5:$AG$1504,PA_OECM_Register!$Z$5:$Z$1504,1,PA_OECM_Register!$E$5:$E$1504,"OECM",PA_OECM_Register!$AH$5:$AH$1504,"&gt;0",PA_OECM_Register!$AH$5:$AH$1504,"&lt;="&amp;A163)+SUMIFS(PA_OECM_Register!$AG$5:$AG$1504,PA_OECM_Register!$Z$5:$Z$1504,1,PA_OECM_Register!$E$5:$E$1504,"OECM",PA_OECM_Register!$AH$5:$AH$1504,0)*C163)</f>
        <v/>
      </c>
      <c r="I163" s="26">
        <f>IF(A163="","",IF(N(Setup!$B$11)&gt;0,(G163+H163)/Setup!$B$11,""))</f>
        <v/>
      </c>
      <c r="J163" s="26">
        <f>IF(A163="","",IF(N(Setup!$B$10)&gt;0,SUMIFS(PA_OECM_Register!$AF$5:$AF$1504,PA_OECM_Register!$Z$5:$Z$1504,1,PA_OECM_Register!$AH$5:$AH$1504,"&gt;0",PA_OECM_Register!$AH$5:$AH$1504,"&lt;="&amp;A163)/Setup!$B$10,""))</f>
        <v/>
      </c>
      <c r="K163" s="26">
        <f>IF(A163="","",IF(N(Setup!$B$11)&gt;0,SUMIFS(PA_OECM_Register!$AG$5:$AG$1504,PA_OECM_Register!$Z$5:$Z$1504,1,PA_OECM_Register!$AH$5:$AH$1504,"&gt;0",PA_OECM_Register!$AH$5:$AH$1504,"&lt;="&amp;A163)/Setup!$B$11,""))</f>
        <v/>
      </c>
    </row>
    <row r="164">
      <c r="A164" s="33">
        <f>IF(Setup!$B$27+159&gt;Setup!$B$6,"",Setup!$B$27+159)</f>
        <v/>
      </c>
      <c r="B164" s="38">
        <f>IF(A164="","",COUNTIFS(PA_OECM_Register!$Z$5:$Z$1504,1,PA_OECM_Register!$E$5:$E$1504,"PA",PA_OECM_Register!$AH$5:$AH$1504,"&gt;0",PA_OECM_Register!$AH$5:$AH$1504,"&lt;="&amp;A164)/MAX(1,COUNTIFS(PA_OECM_Register!$Z$5:$Z$1504,1,PA_OECM_Register!$E$5:$E$1504,"PA",PA_OECM_Register!$AH$5:$AH$1504,"&gt;0")))</f>
        <v/>
      </c>
      <c r="C164" s="38">
        <f>IF(A164="","",COUNTIFS(PA_OECM_Register!$Z$5:$Z$1504,1,PA_OECM_Register!$E$5:$E$1504,"OECM",PA_OECM_Register!$AH$5:$AH$1504,"&gt;0",PA_OECM_Register!$AH$5:$AH$1504,"&lt;="&amp;A164)/MAX(1,COUNTIFS(PA_OECM_Register!$Z$5:$Z$1504,1,PA_OECM_Register!$E$5:$E$1504,"OECM",PA_OECM_Register!$AH$5:$AH$1504,"&gt;0")))</f>
        <v/>
      </c>
      <c r="D164" s="25">
        <f>IF(A164="","",SUMIFS(PA_OECM_Register!$AF$5:$AF$1504,PA_OECM_Register!$Z$5:$Z$1504,1,PA_OECM_Register!$E$5:$E$1504,"PA",PA_OECM_Register!$AH$5:$AH$1504,"&gt;0",PA_OECM_Register!$AH$5:$AH$1504,"&lt;="&amp;A164)+SUMIFS(PA_OECM_Register!$AF$5:$AF$1504,PA_OECM_Register!$Z$5:$Z$1504,1,PA_OECM_Register!$E$5:$E$1504,"PA",PA_OECM_Register!$AH$5:$AH$1504,0)*B164)</f>
        <v/>
      </c>
      <c r="E164" s="25">
        <f>IF(A164="","",SUMIFS(PA_OECM_Register!$AF$5:$AF$1504,PA_OECM_Register!$Z$5:$Z$1504,1,PA_OECM_Register!$E$5:$E$1504,"OECM",PA_OECM_Register!$AH$5:$AH$1504,"&gt;0",PA_OECM_Register!$AH$5:$AH$1504,"&lt;="&amp;A164)+SUMIFS(PA_OECM_Register!$AF$5:$AF$1504,PA_OECM_Register!$Z$5:$Z$1504,1,PA_OECM_Register!$E$5:$E$1504,"OECM",PA_OECM_Register!$AH$5:$AH$1504,0)*C164)</f>
        <v/>
      </c>
      <c r="F164" s="26">
        <f>IF(A164="","",IF(N(Setup!$B$10)&gt;0,(D164+E164)/Setup!$B$10,""))</f>
        <v/>
      </c>
      <c r="G164" s="25">
        <f>IF(A164="","",SUMIFS(PA_OECM_Register!$AG$5:$AG$1504,PA_OECM_Register!$Z$5:$Z$1504,1,PA_OECM_Register!$E$5:$E$1504,"PA",PA_OECM_Register!$AH$5:$AH$1504,"&gt;0",PA_OECM_Register!$AH$5:$AH$1504,"&lt;="&amp;A164)+SUMIFS(PA_OECM_Register!$AG$5:$AG$1504,PA_OECM_Register!$Z$5:$Z$1504,1,PA_OECM_Register!$E$5:$E$1504,"PA",PA_OECM_Register!$AH$5:$AH$1504,0)*B164)</f>
        <v/>
      </c>
      <c r="H164" s="25">
        <f>IF(A164="","",SUMIFS(PA_OECM_Register!$AG$5:$AG$1504,PA_OECM_Register!$Z$5:$Z$1504,1,PA_OECM_Register!$E$5:$E$1504,"OECM",PA_OECM_Register!$AH$5:$AH$1504,"&gt;0",PA_OECM_Register!$AH$5:$AH$1504,"&lt;="&amp;A164)+SUMIFS(PA_OECM_Register!$AG$5:$AG$1504,PA_OECM_Register!$Z$5:$Z$1504,1,PA_OECM_Register!$E$5:$E$1504,"OECM",PA_OECM_Register!$AH$5:$AH$1504,0)*C164)</f>
        <v/>
      </c>
      <c r="I164" s="26">
        <f>IF(A164="","",IF(N(Setup!$B$11)&gt;0,(G164+H164)/Setup!$B$11,""))</f>
        <v/>
      </c>
      <c r="J164" s="26">
        <f>IF(A164="","",IF(N(Setup!$B$10)&gt;0,SUMIFS(PA_OECM_Register!$AF$5:$AF$1504,PA_OECM_Register!$Z$5:$Z$1504,1,PA_OECM_Register!$AH$5:$AH$1504,"&gt;0",PA_OECM_Register!$AH$5:$AH$1504,"&lt;="&amp;A164)/Setup!$B$10,""))</f>
        <v/>
      </c>
      <c r="K164" s="26">
        <f>IF(A164="","",IF(N(Setup!$B$11)&gt;0,SUMIFS(PA_OECM_Register!$AG$5:$AG$1504,PA_OECM_Register!$Z$5:$Z$1504,1,PA_OECM_Register!$AH$5:$AH$1504,"&gt;0",PA_OECM_Register!$AH$5:$AH$1504,"&lt;="&amp;A164)/Setup!$B$11,""))</f>
        <v/>
      </c>
    </row>
    <row r="165">
      <c r="A165" s="33">
        <f>IF(Setup!$B$27+160&gt;Setup!$B$6,"",Setup!$B$27+160)</f>
        <v/>
      </c>
      <c r="B165" s="38">
        <f>IF(A165="","",COUNTIFS(PA_OECM_Register!$Z$5:$Z$1504,1,PA_OECM_Register!$E$5:$E$1504,"PA",PA_OECM_Register!$AH$5:$AH$1504,"&gt;0",PA_OECM_Register!$AH$5:$AH$1504,"&lt;="&amp;A165)/MAX(1,COUNTIFS(PA_OECM_Register!$Z$5:$Z$1504,1,PA_OECM_Register!$E$5:$E$1504,"PA",PA_OECM_Register!$AH$5:$AH$1504,"&gt;0")))</f>
        <v/>
      </c>
      <c r="C165" s="38">
        <f>IF(A165="","",COUNTIFS(PA_OECM_Register!$Z$5:$Z$1504,1,PA_OECM_Register!$E$5:$E$1504,"OECM",PA_OECM_Register!$AH$5:$AH$1504,"&gt;0",PA_OECM_Register!$AH$5:$AH$1504,"&lt;="&amp;A165)/MAX(1,COUNTIFS(PA_OECM_Register!$Z$5:$Z$1504,1,PA_OECM_Register!$E$5:$E$1504,"OECM",PA_OECM_Register!$AH$5:$AH$1504,"&gt;0")))</f>
        <v/>
      </c>
      <c r="D165" s="25">
        <f>IF(A165="","",SUMIFS(PA_OECM_Register!$AF$5:$AF$1504,PA_OECM_Register!$Z$5:$Z$1504,1,PA_OECM_Register!$E$5:$E$1504,"PA",PA_OECM_Register!$AH$5:$AH$1504,"&gt;0",PA_OECM_Register!$AH$5:$AH$1504,"&lt;="&amp;A165)+SUMIFS(PA_OECM_Register!$AF$5:$AF$1504,PA_OECM_Register!$Z$5:$Z$1504,1,PA_OECM_Register!$E$5:$E$1504,"PA",PA_OECM_Register!$AH$5:$AH$1504,0)*B165)</f>
        <v/>
      </c>
      <c r="E165" s="25">
        <f>IF(A165="","",SUMIFS(PA_OECM_Register!$AF$5:$AF$1504,PA_OECM_Register!$Z$5:$Z$1504,1,PA_OECM_Register!$E$5:$E$1504,"OECM",PA_OECM_Register!$AH$5:$AH$1504,"&gt;0",PA_OECM_Register!$AH$5:$AH$1504,"&lt;="&amp;A165)+SUMIFS(PA_OECM_Register!$AF$5:$AF$1504,PA_OECM_Register!$Z$5:$Z$1504,1,PA_OECM_Register!$E$5:$E$1504,"OECM",PA_OECM_Register!$AH$5:$AH$1504,0)*C165)</f>
        <v/>
      </c>
      <c r="F165" s="26">
        <f>IF(A165="","",IF(N(Setup!$B$10)&gt;0,(D165+E165)/Setup!$B$10,""))</f>
        <v/>
      </c>
      <c r="G165" s="25">
        <f>IF(A165="","",SUMIFS(PA_OECM_Register!$AG$5:$AG$1504,PA_OECM_Register!$Z$5:$Z$1504,1,PA_OECM_Register!$E$5:$E$1504,"PA",PA_OECM_Register!$AH$5:$AH$1504,"&gt;0",PA_OECM_Register!$AH$5:$AH$1504,"&lt;="&amp;A165)+SUMIFS(PA_OECM_Register!$AG$5:$AG$1504,PA_OECM_Register!$Z$5:$Z$1504,1,PA_OECM_Register!$E$5:$E$1504,"PA",PA_OECM_Register!$AH$5:$AH$1504,0)*B165)</f>
        <v/>
      </c>
      <c r="H165" s="25">
        <f>IF(A165="","",SUMIFS(PA_OECM_Register!$AG$5:$AG$1504,PA_OECM_Register!$Z$5:$Z$1504,1,PA_OECM_Register!$E$5:$E$1504,"OECM",PA_OECM_Register!$AH$5:$AH$1504,"&gt;0",PA_OECM_Register!$AH$5:$AH$1504,"&lt;="&amp;A165)+SUMIFS(PA_OECM_Register!$AG$5:$AG$1504,PA_OECM_Register!$Z$5:$Z$1504,1,PA_OECM_Register!$E$5:$E$1504,"OECM",PA_OECM_Register!$AH$5:$AH$1504,0)*C165)</f>
        <v/>
      </c>
      <c r="I165" s="26">
        <f>IF(A165="","",IF(N(Setup!$B$11)&gt;0,(G165+H165)/Setup!$B$11,""))</f>
        <v/>
      </c>
      <c r="J165" s="26">
        <f>IF(A165="","",IF(N(Setup!$B$10)&gt;0,SUMIFS(PA_OECM_Register!$AF$5:$AF$1504,PA_OECM_Register!$Z$5:$Z$1504,1,PA_OECM_Register!$AH$5:$AH$1504,"&gt;0",PA_OECM_Register!$AH$5:$AH$1504,"&lt;="&amp;A165)/Setup!$B$10,""))</f>
        <v/>
      </c>
      <c r="K165" s="26">
        <f>IF(A165="","",IF(N(Setup!$B$11)&gt;0,SUMIFS(PA_OECM_Register!$AG$5:$AG$1504,PA_OECM_Register!$Z$5:$Z$1504,1,PA_OECM_Register!$AH$5:$AH$1504,"&gt;0",PA_OECM_Register!$AH$5:$AH$1504,"&lt;="&amp;A165)/Setup!$B$11,""))</f>
        <v/>
      </c>
    </row>
    <row r="166">
      <c r="A166" s="33">
        <f>IF(Setup!$B$27+161&gt;Setup!$B$6,"",Setup!$B$27+161)</f>
        <v/>
      </c>
      <c r="B166" s="38">
        <f>IF(A166="","",COUNTIFS(PA_OECM_Register!$Z$5:$Z$1504,1,PA_OECM_Register!$E$5:$E$1504,"PA",PA_OECM_Register!$AH$5:$AH$1504,"&gt;0",PA_OECM_Register!$AH$5:$AH$1504,"&lt;="&amp;A166)/MAX(1,COUNTIFS(PA_OECM_Register!$Z$5:$Z$1504,1,PA_OECM_Register!$E$5:$E$1504,"PA",PA_OECM_Register!$AH$5:$AH$1504,"&gt;0")))</f>
        <v/>
      </c>
      <c r="C166" s="38">
        <f>IF(A166="","",COUNTIFS(PA_OECM_Register!$Z$5:$Z$1504,1,PA_OECM_Register!$E$5:$E$1504,"OECM",PA_OECM_Register!$AH$5:$AH$1504,"&gt;0",PA_OECM_Register!$AH$5:$AH$1504,"&lt;="&amp;A166)/MAX(1,COUNTIFS(PA_OECM_Register!$Z$5:$Z$1504,1,PA_OECM_Register!$E$5:$E$1504,"OECM",PA_OECM_Register!$AH$5:$AH$1504,"&gt;0")))</f>
        <v/>
      </c>
      <c r="D166" s="25">
        <f>IF(A166="","",SUMIFS(PA_OECM_Register!$AF$5:$AF$1504,PA_OECM_Register!$Z$5:$Z$1504,1,PA_OECM_Register!$E$5:$E$1504,"PA",PA_OECM_Register!$AH$5:$AH$1504,"&gt;0",PA_OECM_Register!$AH$5:$AH$1504,"&lt;="&amp;A166)+SUMIFS(PA_OECM_Register!$AF$5:$AF$1504,PA_OECM_Register!$Z$5:$Z$1504,1,PA_OECM_Register!$E$5:$E$1504,"PA",PA_OECM_Register!$AH$5:$AH$1504,0)*B166)</f>
        <v/>
      </c>
      <c r="E166" s="25">
        <f>IF(A166="","",SUMIFS(PA_OECM_Register!$AF$5:$AF$1504,PA_OECM_Register!$Z$5:$Z$1504,1,PA_OECM_Register!$E$5:$E$1504,"OECM",PA_OECM_Register!$AH$5:$AH$1504,"&gt;0",PA_OECM_Register!$AH$5:$AH$1504,"&lt;="&amp;A166)+SUMIFS(PA_OECM_Register!$AF$5:$AF$1504,PA_OECM_Register!$Z$5:$Z$1504,1,PA_OECM_Register!$E$5:$E$1504,"OECM",PA_OECM_Register!$AH$5:$AH$1504,0)*C166)</f>
        <v/>
      </c>
      <c r="F166" s="26">
        <f>IF(A166="","",IF(N(Setup!$B$10)&gt;0,(D166+E166)/Setup!$B$10,""))</f>
        <v/>
      </c>
      <c r="G166" s="25">
        <f>IF(A166="","",SUMIFS(PA_OECM_Register!$AG$5:$AG$1504,PA_OECM_Register!$Z$5:$Z$1504,1,PA_OECM_Register!$E$5:$E$1504,"PA",PA_OECM_Register!$AH$5:$AH$1504,"&gt;0",PA_OECM_Register!$AH$5:$AH$1504,"&lt;="&amp;A166)+SUMIFS(PA_OECM_Register!$AG$5:$AG$1504,PA_OECM_Register!$Z$5:$Z$1504,1,PA_OECM_Register!$E$5:$E$1504,"PA",PA_OECM_Register!$AH$5:$AH$1504,0)*B166)</f>
        <v/>
      </c>
      <c r="H166" s="25">
        <f>IF(A166="","",SUMIFS(PA_OECM_Register!$AG$5:$AG$1504,PA_OECM_Register!$Z$5:$Z$1504,1,PA_OECM_Register!$E$5:$E$1504,"OECM",PA_OECM_Register!$AH$5:$AH$1504,"&gt;0",PA_OECM_Register!$AH$5:$AH$1504,"&lt;="&amp;A166)+SUMIFS(PA_OECM_Register!$AG$5:$AG$1504,PA_OECM_Register!$Z$5:$Z$1504,1,PA_OECM_Register!$E$5:$E$1504,"OECM",PA_OECM_Register!$AH$5:$AH$1504,0)*C166)</f>
        <v/>
      </c>
      <c r="I166" s="26">
        <f>IF(A166="","",IF(N(Setup!$B$11)&gt;0,(G166+H166)/Setup!$B$11,""))</f>
        <v/>
      </c>
      <c r="J166" s="26">
        <f>IF(A166="","",IF(N(Setup!$B$10)&gt;0,SUMIFS(PA_OECM_Register!$AF$5:$AF$1504,PA_OECM_Register!$Z$5:$Z$1504,1,PA_OECM_Register!$AH$5:$AH$1504,"&gt;0",PA_OECM_Register!$AH$5:$AH$1504,"&lt;="&amp;A166)/Setup!$B$10,""))</f>
        <v/>
      </c>
      <c r="K166" s="26">
        <f>IF(A166="","",IF(N(Setup!$B$11)&gt;0,SUMIFS(PA_OECM_Register!$AG$5:$AG$1504,PA_OECM_Register!$Z$5:$Z$1504,1,PA_OECM_Register!$AH$5:$AH$1504,"&gt;0",PA_OECM_Register!$AH$5:$AH$1504,"&lt;="&amp;A166)/Setup!$B$11,""))</f>
        <v/>
      </c>
    </row>
    <row r="167">
      <c r="A167" s="33">
        <f>IF(Setup!$B$27+162&gt;Setup!$B$6,"",Setup!$B$27+162)</f>
        <v/>
      </c>
      <c r="B167" s="38">
        <f>IF(A167="","",COUNTIFS(PA_OECM_Register!$Z$5:$Z$1504,1,PA_OECM_Register!$E$5:$E$1504,"PA",PA_OECM_Register!$AH$5:$AH$1504,"&gt;0",PA_OECM_Register!$AH$5:$AH$1504,"&lt;="&amp;A167)/MAX(1,COUNTIFS(PA_OECM_Register!$Z$5:$Z$1504,1,PA_OECM_Register!$E$5:$E$1504,"PA",PA_OECM_Register!$AH$5:$AH$1504,"&gt;0")))</f>
        <v/>
      </c>
      <c r="C167" s="38">
        <f>IF(A167="","",COUNTIFS(PA_OECM_Register!$Z$5:$Z$1504,1,PA_OECM_Register!$E$5:$E$1504,"OECM",PA_OECM_Register!$AH$5:$AH$1504,"&gt;0",PA_OECM_Register!$AH$5:$AH$1504,"&lt;="&amp;A167)/MAX(1,COUNTIFS(PA_OECM_Register!$Z$5:$Z$1504,1,PA_OECM_Register!$E$5:$E$1504,"OECM",PA_OECM_Register!$AH$5:$AH$1504,"&gt;0")))</f>
        <v/>
      </c>
      <c r="D167" s="25">
        <f>IF(A167="","",SUMIFS(PA_OECM_Register!$AF$5:$AF$1504,PA_OECM_Register!$Z$5:$Z$1504,1,PA_OECM_Register!$E$5:$E$1504,"PA",PA_OECM_Register!$AH$5:$AH$1504,"&gt;0",PA_OECM_Register!$AH$5:$AH$1504,"&lt;="&amp;A167)+SUMIFS(PA_OECM_Register!$AF$5:$AF$1504,PA_OECM_Register!$Z$5:$Z$1504,1,PA_OECM_Register!$E$5:$E$1504,"PA",PA_OECM_Register!$AH$5:$AH$1504,0)*B167)</f>
        <v/>
      </c>
      <c r="E167" s="25">
        <f>IF(A167="","",SUMIFS(PA_OECM_Register!$AF$5:$AF$1504,PA_OECM_Register!$Z$5:$Z$1504,1,PA_OECM_Register!$E$5:$E$1504,"OECM",PA_OECM_Register!$AH$5:$AH$1504,"&gt;0",PA_OECM_Register!$AH$5:$AH$1504,"&lt;="&amp;A167)+SUMIFS(PA_OECM_Register!$AF$5:$AF$1504,PA_OECM_Register!$Z$5:$Z$1504,1,PA_OECM_Register!$E$5:$E$1504,"OECM",PA_OECM_Register!$AH$5:$AH$1504,0)*C167)</f>
        <v/>
      </c>
      <c r="F167" s="26">
        <f>IF(A167="","",IF(N(Setup!$B$10)&gt;0,(D167+E167)/Setup!$B$10,""))</f>
        <v/>
      </c>
      <c r="G167" s="25">
        <f>IF(A167="","",SUMIFS(PA_OECM_Register!$AG$5:$AG$1504,PA_OECM_Register!$Z$5:$Z$1504,1,PA_OECM_Register!$E$5:$E$1504,"PA",PA_OECM_Register!$AH$5:$AH$1504,"&gt;0",PA_OECM_Register!$AH$5:$AH$1504,"&lt;="&amp;A167)+SUMIFS(PA_OECM_Register!$AG$5:$AG$1504,PA_OECM_Register!$Z$5:$Z$1504,1,PA_OECM_Register!$E$5:$E$1504,"PA",PA_OECM_Register!$AH$5:$AH$1504,0)*B167)</f>
        <v/>
      </c>
      <c r="H167" s="25">
        <f>IF(A167="","",SUMIFS(PA_OECM_Register!$AG$5:$AG$1504,PA_OECM_Register!$Z$5:$Z$1504,1,PA_OECM_Register!$E$5:$E$1504,"OECM",PA_OECM_Register!$AH$5:$AH$1504,"&gt;0",PA_OECM_Register!$AH$5:$AH$1504,"&lt;="&amp;A167)+SUMIFS(PA_OECM_Register!$AG$5:$AG$1504,PA_OECM_Register!$Z$5:$Z$1504,1,PA_OECM_Register!$E$5:$E$1504,"OECM",PA_OECM_Register!$AH$5:$AH$1504,0)*C167)</f>
        <v/>
      </c>
      <c r="I167" s="26">
        <f>IF(A167="","",IF(N(Setup!$B$11)&gt;0,(G167+H167)/Setup!$B$11,""))</f>
        <v/>
      </c>
      <c r="J167" s="26">
        <f>IF(A167="","",IF(N(Setup!$B$10)&gt;0,SUMIFS(PA_OECM_Register!$AF$5:$AF$1504,PA_OECM_Register!$Z$5:$Z$1504,1,PA_OECM_Register!$AH$5:$AH$1504,"&gt;0",PA_OECM_Register!$AH$5:$AH$1504,"&lt;="&amp;A167)/Setup!$B$10,""))</f>
        <v/>
      </c>
      <c r="K167" s="26">
        <f>IF(A167="","",IF(N(Setup!$B$11)&gt;0,SUMIFS(PA_OECM_Register!$AG$5:$AG$1504,PA_OECM_Register!$Z$5:$Z$1504,1,PA_OECM_Register!$AH$5:$AH$1504,"&gt;0",PA_OECM_Register!$AH$5:$AH$1504,"&lt;="&amp;A167)/Setup!$B$11,""))</f>
        <v/>
      </c>
    </row>
    <row r="168">
      <c r="A168" s="33">
        <f>IF(Setup!$B$27+163&gt;Setup!$B$6,"",Setup!$B$27+163)</f>
        <v/>
      </c>
      <c r="B168" s="38">
        <f>IF(A168="","",COUNTIFS(PA_OECM_Register!$Z$5:$Z$1504,1,PA_OECM_Register!$E$5:$E$1504,"PA",PA_OECM_Register!$AH$5:$AH$1504,"&gt;0",PA_OECM_Register!$AH$5:$AH$1504,"&lt;="&amp;A168)/MAX(1,COUNTIFS(PA_OECM_Register!$Z$5:$Z$1504,1,PA_OECM_Register!$E$5:$E$1504,"PA",PA_OECM_Register!$AH$5:$AH$1504,"&gt;0")))</f>
        <v/>
      </c>
      <c r="C168" s="38">
        <f>IF(A168="","",COUNTIFS(PA_OECM_Register!$Z$5:$Z$1504,1,PA_OECM_Register!$E$5:$E$1504,"OECM",PA_OECM_Register!$AH$5:$AH$1504,"&gt;0",PA_OECM_Register!$AH$5:$AH$1504,"&lt;="&amp;A168)/MAX(1,COUNTIFS(PA_OECM_Register!$Z$5:$Z$1504,1,PA_OECM_Register!$E$5:$E$1504,"OECM",PA_OECM_Register!$AH$5:$AH$1504,"&gt;0")))</f>
        <v/>
      </c>
      <c r="D168" s="25">
        <f>IF(A168="","",SUMIFS(PA_OECM_Register!$AF$5:$AF$1504,PA_OECM_Register!$Z$5:$Z$1504,1,PA_OECM_Register!$E$5:$E$1504,"PA",PA_OECM_Register!$AH$5:$AH$1504,"&gt;0",PA_OECM_Register!$AH$5:$AH$1504,"&lt;="&amp;A168)+SUMIFS(PA_OECM_Register!$AF$5:$AF$1504,PA_OECM_Register!$Z$5:$Z$1504,1,PA_OECM_Register!$E$5:$E$1504,"PA",PA_OECM_Register!$AH$5:$AH$1504,0)*B168)</f>
        <v/>
      </c>
      <c r="E168" s="25">
        <f>IF(A168="","",SUMIFS(PA_OECM_Register!$AF$5:$AF$1504,PA_OECM_Register!$Z$5:$Z$1504,1,PA_OECM_Register!$E$5:$E$1504,"OECM",PA_OECM_Register!$AH$5:$AH$1504,"&gt;0",PA_OECM_Register!$AH$5:$AH$1504,"&lt;="&amp;A168)+SUMIFS(PA_OECM_Register!$AF$5:$AF$1504,PA_OECM_Register!$Z$5:$Z$1504,1,PA_OECM_Register!$E$5:$E$1504,"OECM",PA_OECM_Register!$AH$5:$AH$1504,0)*C168)</f>
        <v/>
      </c>
      <c r="F168" s="26">
        <f>IF(A168="","",IF(N(Setup!$B$10)&gt;0,(D168+E168)/Setup!$B$10,""))</f>
        <v/>
      </c>
      <c r="G168" s="25">
        <f>IF(A168="","",SUMIFS(PA_OECM_Register!$AG$5:$AG$1504,PA_OECM_Register!$Z$5:$Z$1504,1,PA_OECM_Register!$E$5:$E$1504,"PA",PA_OECM_Register!$AH$5:$AH$1504,"&gt;0",PA_OECM_Register!$AH$5:$AH$1504,"&lt;="&amp;A168)+SUMIFS(PA_OECM_Register!$AG$5:$AG$1504,PA_OECM_Register!$Z$5:$Z$1504,1,PA_OECM_Register!$E$5:$E$1504,"PA",PA_OECM_Register!$AH$5:$AH$1504,0)*B168)</f>
        <v/>
      </c>
      <c r="H168" s="25">
        <f>IF(A168="","",SUMIFS(PA_OECM_Register!$AG$5:$AG$1504,PA_OECM_Register!$Z$5:$Z$1504,1,PA_OECM_Register!$E$5:$E$1504,"OECM",PA_OECM_Register!$AH$5:$AH$1504,"&gt;0",PA_OECM_Register!$AH$5:$AH$1504,"&lt;="&amp;A168)+SUMIFS(PA_OECM_Register!$AG$5:$AG$1504,PA_OECM_Register!$Z$5:$Z$1504,1,PA_OECM_Register!$E$5:$E$1504,"OECM",PA_OECM_Register!$AH$5:$AH$1504,0)*C168)</f>
        <v/>
      </c>
      <c r="I168" s="26">
        <f>IF(A168="","",IF(N(Setup!$B$11)&gt;0,(G168+H168)/Setup!$B$11,""))</f>
        <v/>
      </c>
      <c r="J168" s="26">
        <f>IF(A168="","",IF(N(Setup!$B$10)&gt;0,SUMIFS(PA_OECM_Register!$AF$5:$AF$1504,PA_OECM_Register!$Z$5:$Z$1504,1,PA_OECM_Register!$AH$5:$AH$1504,"&gt;0",PA_OECM_Register!$AH$5:$AH$1504,"&lt;="&amp;A168)/Setup!$B$10,""))</f>
        <v/>
      </c>
      <c r="K168" s="26">
        <f>IF(A168="","",IF(N(Setup!$B$11)&gt;0,SUMIFS(PA_OECM_Register!$AG$5:$AG$1504,PA_OECM_Register!$Z$5:$Z$1504,1,PA_OECM_Register!$AH$5:$AH$1504,"&gt;0",PA_OECM_Register!$AH$5:$AH$1504,"&lt;="&amp;A168)/Setup!$B$11,""))</f>
        <v/>
      </c>
    </row>
    <row r="169">
      <c r="A169" s="33">
        <f>IF(Setup!$B$27+164&gt;Setup!$B$6,"",Setup!$B$27+164)</f>
        <v/>
      </c>
      <c r="B169" s="38">
        <f>IF(A169="","",COUNTIFS(PA_OECM_Register!$Z$5:$Z$1504,1,PA_OECM_Register!$E$5:$E$1504,"PA",PA_OECM_Register!$AH$5:$AH$1504,"&gt;0",PA_OECM_Register!$AH$5:$AH$1504,"&lt;="&amp;A169)/MAX(1,COUNTIFS(PA_OECM_Register!$Z$5:$Z$1504,1,PA_OECM_Register!$E$5:$E$1504,"PA",PA_OECM_Register!$AH$5:$AH$1504,"&gt;0")))</f>
        <v/>
      </c>
      <c r="C169" s="38">
        <f>IF(A169="","",COUNTIFS(PA_OECM_Register!$Z$5:$Z$1504,1,PA_OECM_Register!$E$5:$E$1504,"OECM",PA_OECM_Register!$AH$5:$AH$1504,"&gt;0",PA_OECM_Register!$AH$5:$AH$1504,"&lt;="&amp;A169)/MAX(1,COUNTIFS(PA_OECM_Register!$Z$5:$Z$1504,1,PA_OECM_Register!$E$5:$E$1504,"OECM",PA_OECM_Register!$AH$5:$AH$1504,"&gt;0")))</f>
        <v/>
      </c>
      <c r="D169" s="25">
        <f>IF(A169="","",SUMIFS(PA_OECM_Register!$AF$5:$AF$1504,PA_OECM_Register!$Z$5:$Z$1504,1,PA_OECM_Register!$E$5:$E$1504,"PA",PA_OECM_Register!$AH$5:$AH$1504,"&gt;0",PA_OECM_Register!$AH$5:$AH$1504,"&lt;="&amp;A169)+SUMIFS(PA_OECM_Register!$AF$5:$AF$1504,PA_OECM_Register!$Z$5:$Z$1504,1,PA_OECM_Register!$E$5:$E$1504,"PA",PA_OECM_Register!$AH$5:$AH$1504,0)*B169)</f>
        <v/>
      </c>
      <c r="E169" s="25">
        <f>IF(A169="","",SUMIFS(PA_OECM_Register!$AF$5:$AF$1504,PA_OECM_Register!$Z$5:$Z$1504,1,PA_OECM_Register!$E$5:$E$1504,"OECM",PA_OECM_Register!$AH$5:$AH$1504,"&gt;0",PA_OECM_Register!$AH$5:$AH$1504,"&lt;="&amp;A169)+SUMIFS(PA_OECM_Register!$AF$5:$AF$1504,PA_OECM_Register!$Z$5:$Z$1504,1,PA_OECM_Register!$E$5:$E$1504,"OECM",PA_OECM_Register!$AH$5:$AH$1504,0)*C169)</f>
        <v/>
      </c>
      <c r="F169" s="26">
        <f>IF(A169="","",IF(N(Setup!$B$10)&gt;0,(D169+E169)/Setup!$B$10,""))</f>
        <v/>
      </c>
      <c r="G169" s="25">
        <f>IF(A169="","",SUMIFS(PA_OECM_Register!$AG$5:$AG$1504,PA_OECM_Register!$Z$5:$Z$1504,1,PA_OECM_Register!$E$5:$E$1504,"PA",PA_OECM_Register!$AH$5:$AH$1504,"&gt;0",PA_OECM_Register!$AH$5:$AH$1504,"&lt;="&amp;A169)+SUMIFS(PA_OECM_Register!$AG$5:$AG$1504,PA_OECM_Register!$Z$5:$Z$1504,1,PA_OECM_Register!$E$5:$E$1504,"PA",PA_OECM_Register!$AH$5:$AH$1504,0)*B169)</f>
        <v/>
      </c>
      <c r="H169" s="25">
        <f>IF(A169="","",SUMIFS(PA_OECM_Register!$AG$5:$AG$1504,PA_OECM_Register!$Z$5:$Z$1504,1,PA_OECM_Register!$E$5:$E$1504,"OECM",PA_OECM_Register!$AH$5:$AH$1504,"&gt;0",PA_OECM_Register!$AH$5:$AH$1504,"&lt;="&amp;A169)+SUMIFS(PA_OECM_Register!$AG$5:$AG$1504,PA_OECM_Register!$Z$5:$Z$1504,1,PA_OECM_Register!$E$5:$E$1504,"OECM",PA_OECM_Register!$AH$5:$AH$1504,0)*C169)</f>
        <v/>
      </c>
      <c r="I169" s="26">
        <f>IF(A169="","",IF(N(Setup!$B$11)&gt;0,(G169+H169)/Setup!$B$11,""))</f>
        <v/>
      </c>
      <c r="J169" s="26">
        <f>IF(A169="","",IF(N(Setup!$B$10)&gt;0,SUMIFS(PA_OECM_Register!$AF$5:$AF$1504,PA_OECM_Register!$Z$5:$Z$1504,1,PA_OECM_Register!$AH$5:$AH$1504,"&gt;0",PA_OECM_Register!$AH$5:$AH$1504,"&lt;="&amp;A169)/Setup!$B$10,""))</f>
        <v/>
      </c>
      <c r="K169" s="26">
        <f>IF(A169="","",IF(N(Setup!$B$11)&gt;0,SUMIFS(PA_OECM_Register!$AG$5:$AG$1504,PA_OECM_Register!$Z$5:$Z$1504,1,PA_OECM_Register!$AH$5:$AH$1504,"&gt;0",PA_OECM_Register!$AH$5:$AH$1504,"&lt;="&amp;A169)/Setup!$B$11,""))</f>
        <v/>
      </c>
    </row>
    <row r="170">
      <c r="A170" s="33">
        <f>IF(Setup!$B$27+165&gt;Setup!$B$6,"",Setup!$B$27+165)</f>
        <v/>
      </c>
      <c r="B170" s="38">
        <f>IF(A170="","",COUNTIFS(PA_OECM_Register!$Z$5:$Z$1504,1,PA_OECM_Register!$E$5:$E$1504,"PA",PA_OECM_Register!$AH$5:$AH$1504,"&gt;0",PA_OECM_Register!$AH$5:$AH$1504,"&lt;="&amp;A170)/MAX(1,COUNTIFS(PA_OECM_Register!$Z$5:$Z$1504,1,PA_OECM_Register!$E$5:$E$1504,"PA",PA_OECM_Register!$AH$5:$AH$1504,"&gt;0")))</f>
        <v/>
      </c>
      <c r="C170" s="38">
        <f>IF(A170="","",COUNTIFS(PA_OECM_Register!$Z$5:$Z$1504,1,PA_OECM_Register!$E$5:$E$1504,"OECM",PA_OECM_Register!$AH$5:$AH$1504,"&gt;0",PA_OECM_Register!$AH$5:$AH$1504,"&lt;="&amp;A170)/MAX(1,COUNTIFS(PA_OECM_Register!$Z$5:$Z$1504,1,PA_OECM_Register!$E$5:$E$1504,"OECM",PA_OECM_Register!$AH$5:$AH$1504,"&gt;0")))</f>
        <v/>
      </c>
      <c r="D170" s="25">
        <f>IF(A170="","",SUMIFS(PA_OECM_Register!$AF$5:$AF$1504,PA_OECM_Register!$Z$5:$Z$1504,1,PA_OECM_Register!$E$5:$E$1504,"PA",PA_OECM_Register!$AH$5:$AH$1504,"&gt;0",PA_OECM_Register!$AH$5:$AH$1504,"&lt;="&amp;A170)+SUMIFS(PA_OECM_Register!$AF$5:$AF$1504,PA_OECM_Register!$Z$5:$Z$1504,1,PA_OECM_Register!$E$5:$E$1504,"PA",PA_OECM_Register!$AH$5:$AH$1504,0)*B170)</f>
        <v/>
      </c>
      <c r="E170" s="25">
        <f>IF(A170="","",SUMIFS(PA_OECM_Register!$AF$5:$AF$1504,PA_OECM_Register!$Z$5:$Z$1504,1,PA_OECM_Register!$E$5:$E$1504,"OECM",PA_OECM_Register!$AH$5:$AH$1504,"&gt;0",PA_OECM_Register!$AH$5:$AH$1504,"&lt;="&amp;A170)+SUMIFS(PA_OECM_Register!$AF$5:$AF$1504,PA_OECM_Register!$Z$5:$Z$1504,1,PA_OECM_Register!$E$5:$E$1504,"OECM",PA_OECM_Register!$AH$5:$AH$1504,0)*C170)</f>
        <v/>
      </c>
      <c r="F170" s="26">
        <f>IF(A170="","",IF(N(Setup!$B$10)&gt;0,(D170+E170)/Setup!$B$10,""))</f>
        <v/>
      </c>
      <c r="G170" s="25">
        <f>IF(A170="","",SUMIFS(PA_OECM_Register!$AG$5:$AG$1504,PA_OECM_Register!$Z$5:$Z$1504,1,PA_OECM_Register!$E$5:$E$1504,"PA",PA_OECM_Register!$AH$5:$AH$1504,"&gt;0",PA_OECM_Register!$AH$5:$AH$1504,"&lt;="&amp;A170)+SUMIFS(PA_OECM_Register!$AG$5:$AG$1504,PA_OECM_Register!$Z$5:$Z$1504,1,PA_OECM_Register!$E$5:$E$1504,"PA",PA_OECM_Register!$AH$5:$AH$1504,0)*B170)</f>
        <v/>
      </c>
      <c r="H170" s="25">
        <f>IF(A170="","",SUMIFS(PA_OECM_Register!$AG$5:$AG$1504,PA_OECM_Register!$Z$5:$Z$1504,1,PA_OECM_Register!$E$5:$E$1504,"OECM",PA_OECM_Register!$AH$5:$AH$1504,"&gt;0",PA_OECM_Register!$AH$5:$AH$1504,"&lt;="&amp;A170)+SUMIFS(PA_OECM_Register!$AG$5:$AG$1504,PA_OECM_Register!$Z$5:$Z$1504,1,PA_OECM_Register!$E$5:$E$1504,"OECM",PA_OECM_Register!$AH$5:$AH$1504,0)*C170)</f>
        <v/>
      </c>
      <c r="I170" s="26">
        <f>IF(A170="","",IF(N(Setup!$B$11)&gt;0,(G170+H170)/Setup!$B$11,""))</f>
        <v/>
      </c>
      <c r="J170" s="26">
        <f>IF(A170="","",IF(N(Setup!$B$10)&gt;0,SUMIFS(PA_OECM_Register!$AF$5:$AF$1504,PA_OECM_Register!$Z$5:$Z$1504,1,PA_OECM_Register!$AH$5:$AH$1504,"&gt;0",PA_OECM_Register!$AH$5:$AH$1504,"&lt;="&amp;A170)/Setup!$B$10,""))</f>
        <v/>
      </c>
      <c r="K170" s="26">
        <f>IF(A170="","",IF(N(Setup!$B$11)&gt;0,SUMIFS(PA_OECM_Register!$AG$5:$AG$1504,PA_OECM_Register!$Z$5:$Z$1504,1,PA_OECM_Register!$AH$5:$AH$1504,"&gt;0",PA_OECM_Register!$AH$5:$AH$1504,"&lt;="&amp;A170)/Setup!$B$11,""))</f>
        <v/>
      </c>
    </row>
    <row r="171">
      <c r="A171" s="33">
        <f>IF(Setup!$B$27+166&gt;Setup!$B$6,"",Setup!$B$27+166)</f>
        <v/>
      </c>
      <c r="B171" s="38">
        <f>IF(A171="","",COUNTIFS(PA_OECM_Register!$Z$5:$Z$1504,1,PA_OECM_Register!$E$5:$E$1504,"PA",PA_OECM_Register!$AH$5:$AH$1504,"&gt;0",PA_OECM_Register!$AH$5:$AH$1504,"&lt;="&amp;A171)/MAX(1,COUNTIFS(PA_OECM_Register!$Z$5:$Z$1504,1,PA_OECM_Register!$E$5:$E$1504,"PA",PA_OECM_Register!$AH$5:$AH$1504,"&gt;0")))</f>
        <v/>
      </c>
      <c r="C171" s="38">
        <f>IF(A171="","",COUNTIFS(PA_OECM_Register!$Z$5:$Z$1504,1,PA_OECM_Register!$E$5:$E$1504,"OECM",PA_OECM_Register!$AH$5:$AH$1504,"&gt;0",PA_OECM_Register!$AH$5:$AH$1504,"&lt;="&amp;A171)/MAX(1,COUNTIFS(PA_OECM_Register!$Z$5:$Z$1504,1,PA_OECM_Register!$E$5:$E$1504,"OECM",PA_OECM_Register!$AH$5:$AH$1504,"&gt;0")))</f>
        <v/>
      </c>
      <c r="D171" s="25">
        <f>IF(A171="","",SUMIFS(PA_OECM_Register!$AF$5:$AF$1504,PA_OECM_Register!$Z$5:$Z$1504,1,PA_OECM_Register!$E$5:$E$1504,"PA",PA_OECM_Register!$AH$5:$AH$1504,"&gt;0",PA_OECM_Register!$AH$5:$AH$1504,"&lt;="&amp;A171)+SUMIFS(PA_OECM_Register!$AF$5:$AF$1504,PA_OECM_Register!$Z$5:$Z$1504,1,PA_OECM_Register!$E$5:$E$1504,"PA",PA_OECM_Register!$AH$5:$AH$1504,0)*B171)</f>
        <v/>
      </c>
      <c r="E171" s="25">
        <f>IF(A171="","",SUMIFS(PA_OECM_Register!$AF$5:$AF$1504,PA_OECM_Register!$Z$5:$Z$1504,1,PA_OECM_Register!$E$5:$E$1504,"OECM",PA_OECM_Register!$AH$5:$AH$1504,"&gt;0",PA_OECM_Register!$AH$5:$AH$1504,"&lt;="&amp;A171)+SUMIFS(PA_OECM_Register!$AF$5:$AF$1504,PA_OECM_Register!$Z$5:$Z$1504,1,PA_OECM_Register!$E$5:$E$1504,"OECM",PA_OECM_Register!$AH$5:$AH$1504,0)*C171)</f>
        <v/>
      </c>
      <c r="F171" s="26">
        <f>IF(A171="","",IF(N(Setup!$B$10)&gt;0,(D171+E171)/Setup!$B$10,""))</f>
        <v/>
      </c>
      <c r="G171" s="25">
        <f>IF(A171="","",SUMIFS(PA_OECM_Register!$AG$5:$AG$1504,PA_OECM_Register!$Z$5:$Z$1504,1,PA_OECM_Register!$E$5:$E$1504,"PA",PA_OECM_Register!$AH$5:$AH$1504,"&gt;0",PA_OECM_Register!$AH$5:$AH$1504,"&lt;="&amp;A171)+SUMIFS(PA_OECM_Register!$AG$5:$AG$1504,PA_OECM_Register!$Z$5:$Z$1504,1,PA_OECM_Register!$E$5:$E$1504,"PA",PA_OECM_Register!$AH$5:$AH$1504,0)*B171)</f>
        <v/>
      </c>
      <c r="H171" s="25">
        <f>IF(A171="","",SUMIFS(PA_OECM_Register!$AG$5:$AG$1504,PA_OECM_Register!$Z$5:$Z$1504,1,PA_OECM_Register!$E$5:$E$1504,"OECM",PA_OECM_Register!$AH$5:$AH$1504,"&gt;0",PA_OECM_Register!$AH$5:$AH$1504,"&lt;="&amp;A171)+SUMIFS(PA_OECM_Register!$AG$5:$AG$1504,PA_OECM_Register!$Z$5:$Z$1504,1,PA_OECM_Register!$E$5:$E$1504,"OECM",PA_OECM_Register!$AH$5:$AH$1504,0)*C171)</f>
        <v/>
      </c>
      <c r="I171" s="26">
        <f>IF(A171="","",IF(N(Setup!$B$11)&gt;0,(G171+H171)/Setup!$B$11,""))</f>
        <v/>
      </c>
      <c r="J171" s="26">
        <f>IF(A171="","",IF(N(Setup!$B$10)&gt;0,SUMIFS(PA_OECM_Register!$AF$5:$AF$1504,PA_OECM_Register!$Z$5:$Z$1504,1,PA_OECM_Register!$AH$5:$AH$1504,"&gt;0",PA_OECM_Register!$AH$5:$AH$1504,"&lt;="&amp;A171)/Setup!$B$10,""))</f>
        <v/>
      </c>
      <c r="K171" s="26">
        <f>IF(A171="","",IF(N(Setup!$B$11)&gt;0,SUMIFS(PA_OECM_Register!$AG$5:$AG$1504,PA_OECM_Register!$Z$5:$Z$1504,1,PA_OECM_Register!$AH$5:$AH$1504,"&gt;0",PA_OECM_Register!$AH$5:$AH$1504,"&lt;="&amp;A171)/Setup!$B$11,""))</f>
        <v/>
      </c>
    </row>
    <row r="172">
      <c r="A172" s="33">
        <f>IF(Setup!$B$27+167&gt;Setup!$B$6,"",Setup!$B$27+167)</f>
        <v/>
      </c>
      <c r="B172" s="38">
        <f>IF(A172="","",COUNTIFS(PA_OECM_Register!$Z$5:$Z$1504,1,PA_OECM_Register!$E$5:$E$1504,"PA",PA_OECM_Register!$AH$5:$AH$1504,"&gt;0",PA_OECM_Register!$AH$5:$AH$1504,"&lt;="&amp;A172)/MAX(1,COUNTIFS(PA_OECM_Register!$Z$5:$Z$1504,1,PA_OECM_Register!$E$5:$E$1504,"PA",PA_OECM_Register!$AH$5:$AH$1504,"&gt;0")))</f>
        <v/>
      </c>
      <c r="C172" s="38">
        <f>IF(A172="","",COUNTIFS(PA_OECM_Register!$Z$5:$Z$1504,1,PA_OECM_Register!$E$5:$E$1504,"OECM",PA_OECM_Register!$AH$5:$AH$1504,"&gt;0",PA_OECM_Register!$AH$5:$AH$1504,"&lt;="&amp;A172)/MAX(1,COUNTIFS(PA_OECM_Register!$Z$5:$Z$1504,1,PA_OECM_Register!$E$5:$E$1504,"OECM",PA_OECM_Register!$AH$5:$AH$1504,"&gt;0")))</f>
        <v/>
      </c>
      <c r="D172" s="25">
        <f>IF(A172="","",SUMIFS(PA_OECM_Register!$AF$5:$AF$1504,PA_OECM_Register!$Z$5:$Z$1504,1,PA_OECM_Register!$E$5:$E$1504,"PA",PA_OECM_Register!$AH$5:$AH$1504,"&gt;0",PA_OECM_Register!$AH$5:$AH$1504,"&lt;="&amp;A172)+SUMIFS(PA_OECM_Register!$AF$5:$AF$1504,PA_OECM_Register!$Z$5:$Z$1504,1,PA_OECM_Register!$E$5:$E$1504,"PA",PA_OECM_Register!$AH$5:$AH$1504,0)*B172)</f>
        <v/>
      </c>
      <c r="E172" s="25">
        <f>IF(A172="","",SUMIFS(PA_OECM_Register!$AF$5:$AF$1504,PA_OECM_Register!$Z$5:$Z$1504,1,PA_OECM_Register!$E$5:$E$1504,"OECM",PA_OECM_Register!$AH$5:$AH$1504,"&gt;0",PA_OECM_Register!$AH$5:$AH$1504,"&lt;="&amp;A172)+SUMIFS(PA_OECM_Register!$AF$5:$AF$1504,PA_OECM_Register!$Z$5:$Z$1504,1,PA_OECM_Register!$E$5:$E$1504,"OECM",PA_OECM_Register!$AH$5:$AH$1504,0)*C172)</f>
        <v/>
      </c>
      <c r="F172" s="26">
        <f>IF(A172="","",IF(N(Setup!$B$10)&gt;0,(D172+E172)/Setup!$B$10,""))</f>
        <v/>
      </c>
      <c r="G172" s="25">
        <f>IF(A172="","",SUMIFS(PA_OECM_Register!$AG$5:$AG$1504,PA_OECM_Register!$Z$5:$Z$1504,1,PA_OECM_Register!$E$5:$E$1504,"PA",PA_OECM_Register!$AH$5:$AH$1504,"&gt;0",PA_OECM_Register!$AH$5:$AH$1504,"&lt;="&amp;A172)+SUMIFS(PA_OECM_Register!$AG$5:$AG$1504,PA_OECM_Register!$Z$5:$Z$1504,1,PA_OECM_Register!$E$5:$E$1504,"PA",PA_OECM_Register!$AH$5:$AH$1504,0)*B172)</f>
        <v/>
      </c>
      <c r="H172" s="25">
        <f>IF(A172="","",SUMIFS(PA_OECM_Register!$AG$5:$AG$1504,PA_OECM_Register!$Z$5:$Z$1504,1,PA_OECM_Register!$E$5:$E$1504,"OECM",PA_OECM_Register!$AH$5:$AH$1504,"&gt;0",PA_OECM_Register!$AH$5:$AH$1504,"&lt;="&amp;A172)+SUMIFS(PA_OECM_Register!$AG$5:$AG$1504,PA_OECM_Register!$Z$5:$Z$1504,1,PA_OECM_Register!$E$5:$E$1504,"OECM",PA_OECM_Register!$AH$5:$AH$1504,0)*C172)</f>
        <v/>
      </c>
      <c r="I172" s="26">
        <f>IF(A172="","",IF(N(Setup!$B$11)&gt;0,(G172+H172)/Setup!$B$11,""))</f>
        <v/>
      </c>
      <c r="J172" s="26">
        <f>IF(A172="","",IF(N(Setup!$B$10)&gt;0,SUMIFS(PA_OECM_Register!$AF$5:$AF$1504,PA_OECM_Register!$Z$5:$Z$1504,1,PA_OECM_Register!$AH$5:$AH$1504,"&gt;0",PA_OECM_Register!$AH$5:$AH$1504,"&lt;="&amp;A172)/Setup!$B$10,""))</f>
        <v/>
      </c>
      <c r="K172" s="26">
        <f>IF(A172="","",IF(N(Setup!$B$11)&gt;0,SUMIFS(PA_OECM_Register!$AG$5:$AG$1504,PA_OECM_Register!$Z$5:$Z$1504,1,PA_OECM_Register!$AH$5:$AH$1504,"&gt;0",PA_OECM_Register!$AH$5:$AH$1504,"&lt;="&amp;A172)/Setup!$B$11,""))</f>
        <v/>
      </c>
    </row>
    <row r="173">
      <c r="A173" s="33">
        <f>IF(Setup!$B$27+168&gt;Setup!$B$6,"",Setup!$B$27+168)</f>
        <v/>
      </c>
      <c r="B173" s="38">
        <f>IF(A173="","",COUNTIFS(PA_OECM_Register!$Z$5:$Z$1504,1,PA_OECM_Register!$E$5:$E$1504,"PA",PA_OECM_Register!$AH$5:$AH$1504,"&gt;0",PA_OECM_Register!$AH$5:$AH$1504,"&lt;="&amp;A173)/MAX(1,COUNTIFS(PA_OECM_Register!$Z$5:$Z$1504,1,PA_OECM_Register!$E$5:$E$1504,"PA",PA_OECM_Register!$AH$5:$AH$1504,"&gt;0")))</f>
        <v/>
      </c>
      <c r="C173" s="38">
        <f>IF(A173="","",COUNTIFS(PA_OECM_Register!$Z$5:$Z$1504,1,PA_OECM_Register!$E$5:$E$1504,"OECM",PA_OECM_Register!$AH$5:$AH$1504,"&gt;0",PA_OECM_Register!$AH$5:$AH$1504,"&lt;="&amp;A173)/MAX(1,COUNTIFS(PA_OECM_Register!$Z$5:$Z$1504,1,PA_OECM_Register!$E$5:$E$1504,"OECM",PA_OECM_Register!$AH$5:$AH$1504,"&gt;0")))</f>
        <v/>
      </c>
      <c r="D173" s="25">
        <f>IF(A173="","",SUMIFS(PA_OECM_Register!$AF$5:$AF$1504,PA_OECM_Register!$Z$5:$Z$1504,1,PA_OECM_Register!$E$5:$E$1504,"PA",PA_OECM_Register!$AH$5:$AH$1504,"&gt;0",PA_OECM_Register!$AH$5:$AH$1504,"&lt;="&amp;A173)+SUMIFS(PA_OECM_Register!$AF$5:$AF$1504,PA_OECM_Register!$Z$5:$Z$1504,1,PA_OECM_Register!$E$5:$E$1504,"PA",PA_OECM_Register!$AH$5:$AH$1504,0)*B173)</f>
        <v/>
      </c>
      <c r="E173" s="25">
        <f>IF(A173="","",SUMIFS(PA_OECM_Register!$AF$5:$AF$1504,PA_OECM_Register!$Z$5:$Z$1504,1,PA_OECM_Register!$E$5:$E$1504,"OECM",PA_OECM_Register!$AH$5:$AH$1504,"&gt;0",PA_OECM_Register!$AH$5:$AH$1504,"&lt;="&amp;A173)+SUMIFS(PA_OECM_Register!$AF$5:$AF$1504,PA_OECM_Register!$Z$5:$Z$1504,1,PA_OECM_Register!$E$5:$E$1504,"OECM",PA_OECM_Register!$AH$5:$AH$1504,0)*C173)</f>
        <v/>
      </c>
      <c r="F173" s="26">
        <f>IF(A173="","",IF(N(Setup!$B$10)&gt;0,(D173+E173)/Setup!$B$10,""))</f>
        <v/>
      </c>
      <c r="G173" s="25">
        <f>IF(A173="","",SUMIFS(PA_OECM_Register!$AG$5:$AG$1504,PA_OECM_Register!$Z$5:$Z$1504,1,PA_OECM_Register!$E$5:$E$1504,"PA",PA_OECM_Register!$AH$5:$AH$1504,"&gt;0",PA_OECM_Register!$AH$5:$AH$1504,"&lt;="&amp;A173)+SUMIFS(PA_OECM_Register!$AG$5:$AG$1504,PA_OECM_Register!$Z$5:$Z$1504,1,PA_OECM_Register!$E$5:$E$1504,"PA",PA_OECM_Register!$AH$5:$AH$1504,0)*B173)</f>
        <v/>
      </c>
      <c r="H173" s="25">
        <f>IF(A173="","",SUMIFS(PA_OECM_Register!$AG$5:$AG$1504,PA_OECM_Register!$Z$5:$Z$1504,1,PA_OECM_Register!$E$5:$E$1504,"OECM",PA_OECM_Register!$AH$5:$AH$1504,"&gt;0",PA_OECM_Register!$AH$5:$AH$1504,"&lt;="&amp;A173)+SUMIFS(PA_OECM_Register!$AG$5:$AG$1504,PA_OECM_Register!$Z$5:$Z$1504,1,PA_OECM_Register!$E$5:$E$1504,"OECM",PA_OECM_Register!$AH$5:$AH$1504,0)*C173)</f>
        <v/>
      </c>
      <c r="I173" s="26">
        <f>IF(A173="","",IF(N(Setup!$B$11)&gt;0,(G173+H173)/Setup!$B$11,""))</f>
        <v/>
      </c>
      <c r="J173" s="26">
        <f>IF(A173="","",IF(N(Setup!$B$10)&gt;0,SUMIFS(PA_OECM_Register!$AF$5:$AF$1504,PA_OECM_Register!$Z$5:$Z$1504,1,PA_OECM_Register!$AH$5:$AH$1504,"&gt;0",PA_OECM_Register!$AH$5:$AH$1504,"&lt;="&amp;A173)/Setup!$B$10,""))</f>
        <v/>
      </c>
      <c r="K173" s="26">
        <f>IF(A173="","",IF(N(Setup!$B$11)&gt;0,SUMIFS(PA_OECM_Register!$AG$5:$AG$1504,PA_OECM_Register!$Z$5:$Z$1504,1,PA_OECM_Register!$AH$5:$AH$1504,"&gt;0",PA_OECM_Register!$AH$5:$AH$1504,"&lt;="&amp;A173)/Setup!$B$11,""))</f>
        <v/>
      </c>
    </row>
    <row r="174">
      <c r="A174" s="33">
        <f>IF(Setup!$B$27+169&gt;Setup!$B$6,"",Setup!$B$27+169)</f>
        <v/>
      </c>
      <c r="B174" s="38">
        <f>IF(A174="","",COUNTIFS(PA_OECM_Register!$Z$5:$Z$1504,1,PA_OECM_Register!$E$5:$E$1504,"PA",PA_OECM_Register!$AH$5:$AH$1504,"&gt;0",PA_OECM_Register!$AH$5:$AH$1504,"&lt;="&amp;A174)/MAX(1,COUNTIFS(PA_OECM_Register!$Z$5:$Z$1504,1,PA_OECM_Register!$E$5:$E$1504,"PA",PA_OECM_Register!$AH$5:$AH$1504,"&gt;0")))</f>
        <v/>
      </c>
      <c r="C174" s="38">
        <f>IF(A174="","",COUNTIFS(PA_OECM_Register!$Z$5:$Z$1504,1,PA_OECM_Register!$E$5:$E$1504,"OECM",PA_OECM_Register!$AH$5:$AH$1504,"&gt;0",PA_OECM_Register!$AH$5:$AH$1504,"&lt;="&amp;A174)/MAX(1,COUNTIFS(PA_OECM_Register!$Z$5:$Z$1504,1,PA_OECM_Register!$E$5:$E$1504,"OECM",PA_OECM_Register!$AH$5:$AH$1504,"&gt;0")))</f>
        <v/>
      </c>
      <c r="D174" s="25">
        <f>IF(A174="","",SUMIFS(PA_OECM_Register!$AF$5:$AF$1504,PA_OECM_Register!$Z$5:$Z$1504,1,PA_OECM_Register!$E$5:$E$1504,"PA",PA_OECM_Register!$AH$5:$AH$1504,"&gt;0",PA_OECM_Register!$AH$5:$AH$1504,"&lt;="&amp;A174)+SUMIFS(PA_OECM_Register!$AF$5:$AF$1504,PA_OECM_Register!$Z$5:$Z$1504,1,PA_OECM_Register!$E$5:$E$1504,"PA",PA_OECM_Register!$AH$5:$AH$1504,0)*B174)</f>
        <v/>
      </c>
      <c r="E174" s="25">
        <f>IF(A174="","",SUMIFS(PA_OECM_Register!$AF$5:$AF$1504,PA_OECM_Register!$Z$5:$Z$1504,1,PA_OECM_Register!$E$5:$E$1504,"OECM",PA_OECM_Register!$AH$5:$AH$1504,"&gt;0",PA_OECM_Register!$AH$5:$AH$1504,"&lt;="&amp;A174)+SUMIFS(PA_OECM_Register!$AF$5:$AF$1504,PA_OECM_Register!$Z$5:$Z$1504,1,PA_OECM_Register!$E$5:$E$1504,"OECM",PA_OECM_Register!$AH$5:$AH$1504,0)*C174)</f>
        <v/>
      </c>
      <c r="F174" s="26">
        <f>IF(A174="","",IF(N(Setup!$B$10)&gt;0,(D174+E174)/Setup!$B$10,""))</f>
        <v/>
      </c>
      <c r="G174" s="25">
        <f>IF(A174="","",SUMIFS(PA_OECM_Register!$AG$5:$AG$1504,PA_OECM_Register!$Z$5:$Z$1504,1,PA_OECM_Register!$E$5:$E$1504,"PA",PA_OECM_Register!$AH$5:$AH$1504,"&gt;0",PA_OECM_Register!$AH$5:$AH$1504,"&lt;="&amp;A174)+SUMIFS(PA_OECM_Register!$AG$5:$AG$1504,PA_OECM_Register!$Z$5:$Z$1504,1,PA_OECM_Register!$E$5:$E$1504,"PA",PA_OECM_Register!$AH$5:$AH$1504,0)*B174)</f>
        <v/>
      </c>
      <c r="H174" s="25">
        <f>IF(A174="","",SUMIFS(PA_OECM_Register!$AG$5:$AG$1504,PA_OECM_Register!$Z$5:$Z$1504,1,PA_OECM_Register!$E$5:$E$1504,"OECM",PA_OECM_Register!$AH$5:$AH$1504,"&gt;0",PA_OECM_Register!$AH$5:$AH$1504,"&lt;="&amp;A174)+SUMIFS(PA_OECM_Register!$AG$5:$AG$1504,PA_OECM_Register!$Z$5:$Z$1504,1,PA_OECM_Register!$E$5:$E$1504,"OECM",PA_OECM_Register!$AH$5:$AH$1504,0)*C174)</f>
        <v/>
      </c>
      <c r="I174" s="26">
        <f>IF(A174="","",IF(N(Setup!$B$11)&gt;0,(G174+H174)/Setup!$B$11,""))</f>
        <v/>
      </c>
      <c r="J174" s="26">
        <f>IF(A174="","",IF(N(Setup!$B$10)&gt;0,SUMIFS(PA_OECM_Register!$AF$5:$AF$1504,PA_OECM_Register!$Z$5:$Z$1504,1,PA_OECM_Register!$AH$5:$AH$1504,"&gt;0",PA_OECM_Register!$AH$5:$AH$1504,"&lt;="&amp;A174)/Setup!$B$10,""))</f>
        <v/>
      </c>
      <c r="K174" s="26">
        <f>IF(A174="","",IF(N(Setup!$B$11)&gt;0,SUMIFS(PA_OECM_Register!$AG$5:$AG$1504,PA_OECM_Register!$Z$5:$Z$1504,1,PA_OECM_Register!$AH$5:$AH$1504,"&gt;0",PA_OECM_Register!$AH$5:$AH$1504,"&lt;="&amp;A174)/Setup!$B$11,""))</f>
        <v/>
      </c>
    </row>
    <row r="175">
      <c r="A175" s="33">
        <f>IF(Setup!$B$27+170&gt;Setup!$B$6,"",Setup!$B$27+170)</f>
        <v/>
      </c>
      <c r="B175" s="38">
        <f>IF(A175="","",COUNTIFS(PA_OECM_Register!$Z$5:$Z$1504,1,PA_OECM_Register!$E$5:$E$1504,"PA",PA_OECM_Register!$AH$5:$AH$1504,"&gt;0",PA_OECM_Register!$AH$5:$AH$1504,"&lt;="&amp;A175)/MAX(1,COUNTIFS(PA_OECM_Register!$Z$5:$Z$1504,1,PA_OECM_Register!$E$5:$E$1504,"PA",PA_OECM_Register!$AH$5:$AH$1504,"&gt;0")))</f>
        <v/>
      </c>
      <c r="C175" s="38">
        <f>IF(A175="","",COUNTIFS(PA_OECM_Register!$Z$5:$Z$1504,1,PA_OECM_Register!$E$5:$E$1504,"OECM",PA_OECM_Register!$AH$5:$AH$1504,"&gt;0",PA_OECM_Register!$AH$5:$AH$1504,"&lt;="&amp;A175)/MAX(1,COUNTIFS(PA_OECM_Register!$Z$5:$Z$1504,1,PA_OECM_Register!$E$5:$E$1504,"OECM",PA_OECM_Register!$AH$5:$AH$1504,"&gt;0")))</f>
        <v/>
      </c>
      <c r="D175" s="25">
        <f>IF(A175="","",SUMIFS(PA_OECM_Register!$AF$5:$AF$1504,PA_OECM_Register!$Z$5:$Z$1504,1,PA_OECM_Register!$E$5:$E$1504,"PA",PA_OECM_Register!$AH$5:$AH$1504,"&gt;0",PA_OECM_Register!$AH$5:$AH$1504,"&lt;="&amp;A175)+SUMIFS(PA_OECM_Register!$AF$5:$AF$1504,PA_OECM_Register!$Z$5:$Z$1504,1,PA_OECM_Register!$E$5:$E$1504,"PA",PA_OECM_Register!$AH$5:$AH$1504,0)*B175)</f>
        <v/>
      </c>
      <c r="E175" s="25">
        <f>IF(A175="","",SUMIFS(PA_OECM_Register!$AF$5:$AF$1504,PA_OECM_Register!$Z$5:$Z$1504,1,PA_OECM_Register!$E$5:$E$1504,"OECM",PA_OECM_Register!$AH$5:$AH$1504,"&gt;0",PA_OECM_Register!$AH$5:$AH$1504,"&lt;="&amp;A175)+SUMIFS(PA_OECM_Register!$AF$5:$AF$1504,PA_OECM_Register!$Z$5:$Z$1504,1,PA_OECM_Register!$E$5:$E$1504,"OECM",PA_OECM_Register!$AH$5:$AH$1504,0)*C175)</f>
        <v/>
      </c>
      <c r="F175" s="26">
        <f>IF(A175="","",IF(N(Setup!$B$10)&gt;0,(D175+E175)/Setup!$B$10,""))</f>
        <v/>
      </c>
      <c r="G175" s="25">
        <f>IF(A175="","",SUMIFS(PA_OECM_Register!$AG$5:$AG$1504,PA_OECM_Register!$Z$5:$Z$1504,1,PA_OECM_Register!$E$5:$E$1504,"PA",PA_OECM_Register!$AH$5:$AH$1504,"&gt;0",PA_OECM_Register!$AH$5:$AH$1504,"&lt;="&amp;A175)+SUMIFS(PA_OECM_Register!$AG$5:$AG$1504,PA_OECM_Register!$Z$5:$Z$1504,1,PA_OECM_Register!$E$5:$E$1504,"PA",PA_OECM_Register!$AH$5:$AH$1504,0)*B175)</f>
        <v/>
      </c>
      <c r="H175" s="25">
        <f>IF(A175="","",SUMIFS(PA_OECM_Register!$AG$5:$AG$1504,PA_OECM_Register!$Z$5:$Z$1504,1,PA_OECM_Register!$E$5:$E$1504,"OECM",PA_OECM_Register!$AH$5:$AH$1504,"&gt;0",PA_OECM_Register!$AH$5:$AH$1504,"&lt;="&amp;A175)+SUMIFS(PA_OECM_Register!$AG$5:$AG$1504,PA_OECM_Register!$Z$5:$Z$1504,1,PA_OECM_Register!$E$5:$E$1504,"OECM",PA_OECM_Register!$AH$5:$AH$1504,0)*C175)</f>
        <v/>
      </c>
      <c r="I175" s="26">
        <f>IF(A175="","",IF(N(Setup!$B$11)&gt;0,(G175+H175)/Setup!$B$11,""))</f>
        <v/>
      </c>
      <c r="J175" s="26">
        <f>IF(A175="","",IF(N(Setup!$B$10)&gt;0,SUMIFS(PA_OECM_Register!$AF$5:$AF$1504,PA_OECM_Register!$Z$5:$Z$1504,1,PA_OECM_Register!$AH$5:$AH$1504,"&gt;0",PA_OECM_Register!$AH$5:$AH$1504,"&lt;="&amp;A175)/Setup!$B$10,""))</f>
        <v/>
      </c>
      <c r="K175" s="26">
        <f>IF(A175="","",IF(N(Setup!$B$11)&gt;0,SUMIFS(PA_OECM_Register!$AG$5:$AG$1504,PA_OECM_Register!$Z$5:$Z$1504,1,PA_OECM_Register!$AH$5:$AH$1504,"&gt;0",PA_OECM_Register!$AH$5:$AH$1504,"&lt;="&amp;A175)/Setup!$B$11,""))</f>
        <v/>
      </c>
    </row>
    <row r="176">
      <c r="A176" s="33">
        <f>IF(Setup!$B$27+171&gt;Setup!$B$6,"",Setup!$B$27+171)</f>
        <v/>
      </c>
      <c r="B176" s="38">
        <f>IF(A176="","",COUNTIFS(PA_OECM_Register!$Z$5:$Z$1504,1,PA_OECM_Register!$E$5:$E$1504,"PA",PA_OECM_Register!$AH$5:$AH$1504,"&gt;0",PA_OECM_Register!$AH$5:$AH$1504,"&lt;="&amp;A176)/MAX(1,COUNTIFS(PA_OECM_Register!$Z$5:$Z$1504,1,PA_OECM_Register!$E$5:$E$1504,"PA",PA_OECM_Register!$AH$5:$AH$1504,"&gt;0")))</f>
        <v/>
      </c>
      <c r="C176" s="38">
        <f>IF(A176="","",COUNTIFS(PA_OECM_Register!$Z$5:$Z$1504,1,PA_OECM_Register!$E$5:$E$1504,"OECM",PA_OECM_Register!$AH$5:$AH$1504,"&gt;0",PA_OECM_Register!$AH$5:$AH$1504,"&lt;="&amp;A176)/MAX(1,COUNTIFS(PA_OECM_Register!$Z$5:$Z$1504,1,PA_OECM_Register!$E$5:$E$1504,"OECM",PA_OECM_Register!$AH$5:$AH$1504,"&gt;0")))</f>
        <v/>
      </c>
      <c r="D176" s="25">
        <f>IF(A176="","",SUMIFS(PA_OECM_Register!$AF$5:$AF$1504,PA_OECM_Register!$Z$5:$Z$1504,1,PA_OECM_Register!$E$5:$E$1504,"PA",PA_OECM_Register!$AH$5:$AH$1504,"&gt;0",PA_OECM_Register!$AH$5:$AH$1504,"&lt;="&amp;A176)+SUMIFS(PA_OECM_Register!$AF$5:$AF$1504,PA_OECM_Register!$Z$5:$Z$1504,1,PA_OECM_Register!$E$5:$E$1504,"PA",PA_OECM_Register!$AH$5:$AH$1504,0)*B176)</f>
        <v/>
      </c>
      <c r="E176" s="25">
        <f>IF(A176="","",SUMIFS(PA_OECM_Register!$AF$5:$AF$1504,PA_OECM_Register!$Z$5:$Z$1504,1,PA_OECM_Register!$E$5:$E$1504,"OECM",PA_OECM_Register!$AH$5:$AH$1504,"&gt;0",PA_OECM_Register!$AH$5:$AH$1504,"&lt;="&amp;A176)+SUMIFS(PA_OECM_Register!$AF$5:$AF$1504,PA_OECM_Register!$Z$5:$Z$1504,1,PA_OECM_Register!$E$5:$E$1504,"OECM",PA_OECM_Register!$AH$5:$AH$1504,0)*C176)</f>
        <v/>
      </c>
      <c r="F176" s="26">
        <f>IF(A176="","",IF(N(Setup!$B$10)&gt;0,(D176+E176)/Setup!$B$10,""))</f>
        <v/>
      </c>
      <c r="G176" s="25">
        <f>IF(A176="","",SUMIFS(PA_OECM_Register!$AG$5:$AG$1504,PA_OECM_Register!$Z$5:$Z$1504,1,PA_OECM_Register!$E$5:$E$1504,"PA",PA_OECM_Register!$AH$5:$AH$1504,"&gt;0",PA_OECM_Register!$AH$5:$AH$1504,"&lt;="&amp;A176)+SUMIFS(PA_OECM_Register!$AG$5:$AG$1504,PA_OECM_Register!$Z$5:$Z$1504,1,PA_OECM_Register!$E$5:$E$1504,"PA",PA_OECM_Register!$AH$5:$AH$1504,0)*B176)</f>
        <v/>
      </c>
      <c r="H176" s="25">
        <f>IF(A176="","",SUMIFS(PA_OECM_Register!$AG$5:$AG$1504,PA_OECM_Register!$Z$5:$Z$1504,1,PA_OECM_Register!$E$5:$E$1504,"OECM",PA_OECM_Register!$AH$5:$AH$1504,"&gt;0",PA_OECM_Register!$AH$5:$AH$1504,"&lt;="&amp;A176)+SUMIFS(PA_OECM_Register!$AG$5:$AG$1504,PA_OECM_Register!$Z$5:$Z$1504,1,PA_OECM_Register!$E$5:$E$1504,"OECM",PA_OECM_Register!$AH$5:$AH$1504,0)*C176)</f>
        <v/>
      </c>
      <c r="I176" s="26">
        <f>IF(A176="","",IF(N(Setup!$B$11)&gt;0,(G176+H176)/Setup!$B$11,""))</f>
        <v/>
      </c>
      <c r="J176" s="26">
        <f>IF(A176="","",IF(N(Setup!$B$10)&gt;0,SUMIFS(PA_OECM_Register!$AF$5:$AF$1504,PA_OECM_Register!$Z$5:$Z$1504,1,PA_OECM_Register!$AH$5:$AH$1504,"&gt;0",PA_OECM_Register!$AH$5:$AH$1504,"&lt;="&amp;A176)/Setup!$B$10,""))</f>
        <v/>
      </c>
      <c r="K176" s="26">
        <f>IF(A176="","",IF(N(Setup!$B$11)&gt;0,SUMIFS(PA_OECM_Register!$AG$5:$AG$1504,PA_OECM_Register!$Z$5:$Z$1504,1,PA_OECM_Register!$AH$5:$AH$1504,"&gt;0",PA_OECM_Register!$AH$5:$AH$1504,"&lt;="&amp;A176)/Setup!$B$11,""))</f>
        <v/>
      </c>
    </row>
    <row r="177">
      <c r="A177" s="33">
        <f>IF(Setup!$B$27+172&gt;Setup!$B$6,"",Setup!$B$27+172)</f>
        <v/>
      </c>
      <c r="B177" s="38">
        <f>IF(A177="","",COUNTIFS(PA_OECM_Register!$Z$5:$Z$1504,1,PA_OECM_Register!$E$5:$E$1504,"PA",PA_OECM_Register!$AH$5:$AH$1504,"&gt;0",PA_OECM_Register!$AH$5:$AH$1504,"&lt;="&amp;A177)/MAX(1,COUNTIFS(PA_OECM_Register!$Z$5:$Z$1504,1,PA_OECM_Register!$E$5:$E$1504,"PA",PA_OECM_Register!$AH$5:$AH$1504,"&gt;0")))</f>
        <v/>
      </c>
      <c r="C177" s="38">
        <f>IF(A177="","",COUNTIFS(PA_OECM_Register!$Z$5:$Z$1504,1,PA_OECM_Register!$E$5:$E$1504,"OECM",PA_OECM_Register!$AH$5:$AH$1504,"&gt;0",PA_OECM_Register!$AH$5:$AH$1504,"&lt;="&amp;A177)/MAX(1,COUNTIFS(PA_OECM_Register!$Z$5:$Z$1504,1,PA_OECM_Register!$E$5:$E$1504,"OECM",PA_OECM_Register!$AH$5:$AH$1504,"&gt;0")))</f>
        <v/>
      </c>
      <c r="D177" s="25">
        <f>IF(A177="","",SUMIFS(PA_OECM_Register!$AF$5:$AF$1504,PA_OECM_Register!$Z$5:$Z$1504,1,PA_OECM_Register!$E$5:$E$1504,"PA",PA_OECM_Register!$AH$5:$AH$1504,"&gt;0",PA_OECM_Register!$AH$5:$AH$1504,"&lt;="&amp;A177)+SUMIFS(PA_OECM_Register!$AF$5:$AF$1504,PA_OECM_Register!$Z$5:$Z$1504,1,PA_OECM_Register!$E$5:$E$1504,"PA",PA_OECM_Register!$AH$5:$AH$1504,0)*B177)</f>
        <v/>
      </c>
      <c r="E177" s="25">
        <f>IF(A177="","",SUMIFS(PA_OECM_Register!$AF$5:$AF$1504,PA_OECM_Register!$Z$5:$Z$1504,1,PA_OECM_Register!$E$5:$E$1504,"OECM",PA_OECM_Register!$AH$5:$AH$1504,"&gt;0",PA_OECM_Register!$AH$5:$AH$1504,"&lt;="&amp;A177)+SUMIFS(PA_OECM_Register!$AF$5:$AF$1504,PA_OECM_Register!$Z$5:$Z$1504,1,PA_OECM_Register!$E$5:$E$1504,"OECM",PA_OECM_Register!$AH$5:$AH$1504,0)*C177)</f>
        <v/>
      </c>
      <c r="F177" s="26">
        <f>IF(A177="","",IF(N(Setup!$B$10)&gt;0,(D177+E177)/Setup!$B$10,""))</f>
        <v/>
      </c>
      <c r="G177" s="25">
        <f>IF(A177="","",SUMIFS(PA_OECM_Register!$AG$5:$AG$1504,PA_OECM_Register!$Z$5:$Z$1504,1,PA_OECM_Register!$E$5:$E$1504,"PA",PA_OECM_Register!$AH$5:$AH$1504,"&gt;0",PA_OECM_Register!$AH$5:$AH$1504,"&lt;="&amp;A177)+SUMIFS(PA_OECM_Register!$AG$5:$AG$1504,PA_OECM_Register!$Z$5:$Z$1504,1,PA_OECM_Register!$E$5:$E$1504,"PA",PA_OECM_Register!$AH$5:$AH$1504,0)*B177)</f>
        <v/>
      </c>
      <c r="H177" s="25">
        <f>IF(A177="","",SUMIFS(PA_OECM_Register!$AG$5:$AG$1504,PA_OECM_Register!$Z$5:$Z$1504,1,PA_OECM_Register!$E$5:$E$1504,"OECM",PA_OECM_Register!$AH$5:$AH$1504,"&gt;0",PA_OECM_Register!$AH$5:$AH$1504,"&lt;="&amp;A177)+SUMIFS(PA_OECM_Register!$AG$5:$AG$1504,PA_OECM_Register!$Z$5:$Z$1504,1,PA_OECM_Register!$E$5:$E$1504,"OECM",PA_OECM_Register!$AH$5:$AH$1504,0)*C177)</f>
        <v/>
      </c>
      <c r="I177" s="26">
        <f>IF(A177="","",IF(N(Setup!$B$11)&gt;0,(G177+H177)/Setup!$B$11,""))</f>
        <v/>
      </c>
      <c r="J177" s="26">
        <f>IF(A177="","",IF(N(Setup!$B$10)&gt;0,SUMIFS(PA_OECM_Register!$AF$5:$AF$1504,PA_OECM_Register!$Z$5:$Z$1504,1,PA_OECM_Register!$AH$5:$AH$1504,"&gt;0",PA_OECM_Register!$AH$5:$AH$1504,"&lt;="&amp;A177)/Setup!$B$10,""))</f>
        <v/>
      </c>
      <c r="K177" s="26">
        <f>IF(A177="","",IF(N(Setup!$B$11)&gt;0,SUMIFS(PA_OECM_Register!$AG$5:$AG$1504,PA_OECM_Register!$Z$5:$Z$1504,1,PA_OECM_Register!$AH$5:$AH$1504,"&gt;0",PA_OECM_Register!$AH$5:$AH$1504,"&lt;="&amp;A177)/Setup!$B$11,""))</f>
        <v/>
      </c>
    </row>
    <row r="178">
      <c r="A178" s="33">
        <f>IF(Setup!$B$27+173&gt;Setup!$B$6,"",Setup!$B$27+173)</f>
        <v/>
      </c>
      <c r="B178" s="38">
        <f>IF(A178="","",COUNTIFS(PA_OECM_Register!$Z$5:$Z$1504,1,PA_OECM_Register!$E$5:$E$1504,"PA",PA_OECM_Register!$AH$5:$AH$1504,"&gt;0",PA_OECM_Register!$AH$5:$AH$1504,"&lt;="&amp;A178)/MAX(1,COUNTIFS(PA_OECM_Register!$Z$5:$Z$1504,1,PA_OECM_Register!$E$5:$E$1504,"PA",PA_OECM_Register!$AH$5:$AH$1504,"&gt;0")))</f>
        <v/>
      </c>
      <c r="C178" s="38">
        <f>IF(A178="","",COUNTIFS(PA_OECM_Register!$Z$5:$Z$1504,1,PA_OECM_Register!$E$5:$E$1504,"OECM",PA_OECM_Register!$AH$5:$AH$1504,"&gt;0",PA_OECM_Register!$AH$5:$AH$1504,"&lt;="&amp;A178)/MAX(1,COUNTIFS(PA_OECM_Register!$Z$5:$Z$1504,1,PA_OECM_Register!$E$5:$E$1504,"OECM",PA_OECM_Register!$AH$5:$AH$1504,"&gt;0")))</f>
        <v/>
      </c>
      <c r="D178" s="25">
        <f>IF(A178="","",SUMIFS(PA_OECM_Register!$AF$5:$AF$1504,PA_OECM_Register!$Z$5:$Z$1504,1,PA_OECM_Register!$E$5:$E$1504,"PA",PA_OECM_Register!$AH$5:$AH$1504,"&gt;0",PA_OECM_Register!$AH$5:$AH$1504,"&lt;="&amp;A178)+SUMIFS(PA_OECM_Register!$AF$5:$AF$1504,PA_OECM_Register!$Z$5:$Z$1504,1,PA_OECM_Register!$E$5:$E$1504,"PA",PA_OECM_Register!$AH$5:$AH$1504,0)*B178)</f>
        <v/>
      </c>
      <c r="E178" s="25">
        <f>IF(A178="","",SUMIFS(PA_OECM_Register!$AF$5:$AF$1504,PA_OECM_Register!$Z$5:$Z$1504,1,PA_OECM_Register!$E$5:$E$1504,"OECM",PA_OECM_Register!$AH$5:$AH$1504,"&gt;0",PA_OECM_Register!$AH$5:$AH$1504,"&lt;="&amp;A178)+SUMIFS(PA_OECM_Register!$AF$5:$AF$1504,PA_OECM_Register!$Z$5:$Z$1504,1,PA_OECM_Register!$E$5:$E$1504,"OECM",PA_OECM_Register!$AH$5:$AH$1504,0)*C178)</f>
        <v/>
      </c>
      <c r="F178" s="26">
        <f>IF(A178="","",IF(N(Setup!$B$10)&gt;0,(D178+E178)/Setup!$B$10,""))</f>
        <v/>
      </c>
      <c r="G178" s="25">
        <f>IF(A178="","",SUMIFS(PA_OECM_Register!$AG$5:$AG$1504,PA_OECM_Register!$Z$5:$Z$1504,1,PA_OECM_Register!$E$5:$E$1504,"PA",PA_OECM_Register!$AH$5:$AH$1504,"&gt;0",PA_OECM_Register!$AH$5:$AH$1504,"&lt;="&amp;A178)+SUMIFS(PA_OECM_Register!$AG$5:$AG$1504,PA_OECM_Register!$Z$5:$Z$1504,1,PA_OECM_Register!$E$5:$E$1504,"PA",PA_OECM_Register!$AH$5:$AH$1504,0)*B178)</f>
        <v/>
      </c>
      <c r="H178" s="25">
        <f>IF(A178="","",SUMIFS(PA_OECM_Register!$AG$5:$AG$1504,PA_OECM_Register!$Z$5:$Z$1504,1,PA_OECM_Register!$E$5:$E$1504,"OECM",PA_OECM_Register!$AH$5:$AH$1504,"&gt;0",PA_OECM_Register!$AH$5:$AH$1504,"&lt;="&amp;A178)+SUMIFS(PA_OECM_Register!$AG$5:$AG$1504,PA_OECM_Register!$Z$5:$Z$1504,1,PA_OECM_Register!$E$5:$E$1504,"OECM",PA_OECM_Register!$AH$5:$AH$1504,0)*C178)</f>
        <v/>
      </c>
      <c r="I178" s="26">
        <f>IF(A178="","",IF(N(Setup!$B$11)&gt;0,(G178+H178)/Setup!$B$11,""))</f>
        <v/>
      </c>
      <c r="J178" s="26">
        <f>IF(A178="","",IF(N(Setup!$B$10)&gt;0,SUMIFS(PA_OECM_Register!$AF$5:$AF$1504,PA_OECM_Register!$Z$5:$Z$1504,1,PA_OECM_Register!$AH$5:$AH$1504,"&gt;0",PA_OECM_Register!$AH$5:$AH$1504,"&lt;="&amp;A178)/Setup!$B$10,""))</f>
        <v/>
      </c>
      <c r="K178" s="26">
        <f>IF(A178="","",IF(N(Setup!$B$11)&gt;0,SUMIFS(PA_OECM_Register!$AG$5:$AG$1504,PA_OECM_Register!$Z$5:$Z$1504,1,PA_OECM_Register!$AH$5:$AH$1504,"&gt;0",PA_OECM_Register!$AH$5:$AH$1504,"&lt;="&amp;A178)/Setup!$B$11,""))</f>
        <v/>
      </c>
    </row>
    <row r="179">
      <c r="A179" s="33">
        <f>IF(Setup!$B$27+174&gt;Setup!$B$6,"",Setup!$B$27+174)</f>
        <v/>
      </c>
      <c r="B179" s="38">
        <f>IF(A179="","",COUNTIFS(PA_OECM_Register!$Z$5:$Z$1504,1,PA_OECM_Register!$E$5:$E$1504,"PA",PA_OECM_Register!$AH$5:$AH$1504,"&gt;0",PA_OECM_Register!$AH$5:$AH$1504,"&lt;="&amp;A179)/MAX(1,COUNTIFS(PA_OECM_Register!$Z$5:$Z$1504,1,PA_OECM_Register!$E$5:$E$1504,"PA",PA_OECM_Register!$AH$5:$AH$1504,"&gt;0")))</f>
        <v/>
      </c>
      <c r="C179" s="38">
        <f>IF(A179="","",COUNTIFS(PA_OECM_Register!$Z$5:$Z$1504,1,PA_OECM_Register!$E$5:$E$1504,"OECM",PA_OECM_Register!$AH$5:$AH$1504,"&gt;0",PA_OECM_Register!$AH$5:$AH$1504,"&lt;="&amp;A179)/MAX(1,COUNTIFS(PA_OECM_Register!$Z$5:$Z$1504,1,PA_OECM_Register!$E$5:$E$1504,"OECM",PA_OECM_Register!$AH$5:$AH$1504,"&gt;0")))</f>
        <v/>
      </c>
      <c r="D179" s="25">
        <f>IF(A179="","",SUMIFS(PA_OECM_Register!$AF$5:$AF$1504,PA_OECM_Register!$Z$5:$Z$1504,1,PA_OECM_Register!$E$5:$E$1504,"PA",PA_OECM_Register!$AH$5:$AH$1504,"&gt;0",PA_OECM_Register!$AH$5:$AH$1504,"&lt;="&amp;A179)+SUMIFS(PA_OECM_Register!$AF$5:$AF$1504,PA_OECM_Register!$Z$5:$Z$1504,1,PA_OECM_Register!$E$5:$E$1504,"PA",PA_OECM_Register!$AH$5:$AH$1504,0)*B179)</f>
        <v/>
      </c>
      <c r="E179" s="25">
        <f>IF(A179="","",SUMIFS(PA_OECM_Register!$AF$5:$AF$1504,PA_OECM_Register!$Z$5:$Z$1504,1,PA_OECM_Register!$E$5:$E$1504,"OECM",PA_OECM_Register!$AH$5:$AH$1504,"&gt;0",PA_OECM_Register!$AH$5:$AH$1504,"&lt;="&amp;A179)+SUMIFS(PA_OECM_Register!$AF$5:$AF$1504,PA_OECM_Register!$Z$5:$Z$1504,1,PA_OECM_Register!$E$5:$E$1504,"OECM",PA_OECM_Register!$AH$5:$AH$1504,0)*C179)</f>
        <v/>
      </c>
      <c r="F179" s="26">
        <f>IF(A179="","",IF(N(Setup!$B$10)&gt;0,(D179+E179)/Setup!$B$10,""))</f>
        <v/>
      </c>
      <c r="G179" s="25">
        <f>IF(A179="","",SUMIFS(PA_OECM_Register!$AG$5:$AG$1504,PA_OECM_Register!$Z$5:$Z$1504,1,PA_OECM_Register!$E$5:$E$1504,"PA",PA_OECM_Register!$AH$5:$AH$1504,"&gt;0",PA_OECM_Register!$AH$5:$AH$1504,"&lt;="&amp;A179)+SUMIFS(PA_OECM_Register!$AG$5:$AG$1504,PA_OECM_Register!$Z$5:$Z$1504,1,PA_OECM_Register!$E$5:$E$1504,"PA",PA_OECM_Register!$AH$5:$AH$1504,0)*B179)</f>
        <v/>
      </c>
      <c r="H179" s="25">
        <f>IF(A179="","",SUMIFS(PA_OECM_Register!$AG$5:$AG$1504,PA_OECM_Register!$Z$5:$Z$1504,1,PA_OECM_Register!$E$5:$E$1504,"OECM",PA_OECM_Register!$AH$5:$AH$1504,"&gt;0",PA_OECM_Register!$AH$5:$AH$1504,"&lt;="&amp;A179)+SUMIFS(PA_OECM_Register!$AG$5:$AG$1504,PA_OECM_Register!$Z$5:$Z$1504,1,PA_OECM_Register!$E$5:$E$1504,"OECM",PA_OECM_Register!$AH$5:$AH$1504,0)*C179)</f>
        <v/>
      </c>
      <c r="I179" s="26">
        <f>IF(A179="","",IF(N(Setup!$B$11)&gt;0,(G179+H179)/Setup!$B$11,""))</f>
        <v/>
      </c>
      <c r="J179" s="26">
        <f>IF(A179="","",IF(N(Setup!$B$10)&gt;0,SUMIFS(PA_OECM_Register!$AF$5:$AF$1504,PA_OECM_Register!$Z$5:$Z$1504,1,PA_OECM_Register!$AH$5:$AH$1504,"&gt;0",PA_OECM_Register!$AH$5:$AH$1504,"&lt;="&amp;A179)/Setup!$B$10,""))</f>
        <v/>
      </c>
      <c r="K179" s="26">
        <f>IF(A179="","",IF(N(Setup!$B$11)&gt;0,SUMIFS(PA_OECM_Register!$AG$5:$AG$1504,PA_OECM_Register!$Z$5:$Z$1504,1,PA_OECM_Register!$AH$5:$AH$1504,"&gt;0",PA_OECM_Register!$AH$5:$AH$1504,"&lt;="&amp;A179)/Setup!$B$11,""))</f>
        <v/>
      </c>
    </row>
    <row r="180">
      <c r="A180" s="33">
        <f>IF(Setup!$B$27+175&gt;Setup!$B$6,"",Setup!$B$27+175)</f>
        <v/>
      </c>
      <c r="B180" s="38">
        <f>IF(A180="","",COUNTIFS(PA_OECM_Register!$Z$5:$Z$1504,1,PA_OECM_Register!$E$5:$E$1504,"PA",PA_OECM_Register!$AH$5:$AH$1504,"&gt;0",PA_OECM_Register!$AH$5:$AH$1504,"&lt;="&amp;A180)/MAX(1,COUNTIFS(PA_OECM_Register!$Z$5:$Z$1504,1,PA_OECM_Register!$E$5:$E$1504,"PA",PA_OECM_Register!$AH$5:$AH$1504,"&gt;0")))</f>
        <v/>
      </c>
      <c r="C180" s="38">
        <f>IF(A180="","",COUNTIFS(PA_OECM_Register!$Z$5:$Z$1504,1,PA_OECM_Register!$E$5:$E$1504,"OECM",PA_OECM_Register!$AH$5:$AH$1504,"&gt;0",PA_OECM_Register!$AH$5:$AH$1504,"&lt;="&amp;A180)/MAX(1,COUNTIFS(PA_OECM_Register!$Z$5:$Z$1504,1,PA_OECM_Register!$E$5:$E$1504,"OECM",PA_OECM_Register!$AH$5:$AH$1504,"&gt;0")))</f>
        <v/>
      </c>
      <c r="D180" s="25">
        <f>IF(A180="","",SUMIFS(PA_OECM_Register!$AF$5:$AF$1504,PA_OECM_Register!$Z$5:$Z$1504,1,PA_OECM_Register!$E$5:$E$1504,"PA",PA_OECM_Register!$AH$5:$AH$1504,"&gt;0",PA_OECM_Register!$AH$5:$AH$1504,"&lt;="&amp;A180)+SUMIFS(PA_OECM_Register!$AF$5:$AF$1504,PA_OECM_Register!$Z$5:$Z$1504,1,PA_OECM_Register!$E$5:$E$1504,"PA",PA_OECM_Register!$AH$5:$AH$1504,0)*B180)</f>
        <v/>
      </c>
      <c r="E180" s="25">
        <f>IF(A180="","",SUMIFS(PA_OECM_Register!$AF$5:$AF$1504,PA_OECM_Register!$Z$5:$Z$1504,1,PA_OECM_Register!$E$5:$E$1504,"OECM",PA_OECM_Register!$AH$5:$AH$1504,"&gt;0",PA_OECM_Register!$AH$5:$AH$1504,"&lt;="&amp;A180)+SUMIFS(PA_OECM_Register!$AF$5:$AF$1504,PA_OECM_Register!$Z$5:$Z$1504,1,PA_OECM_Register!$E$5:$E$1504,"OECM",PA_OECM_Register!$AH$5:$AH$1504,0)*C180)</f>
        <v/>
      </c>
      <c r="F180" s="26">
        <f>IF(A180="","",IF(N(Setup!$B$10)&gt;0,(D180+E180)/Setup!$B$10,""))</f>
        <v/>
      </c>
      <c r="G180" s="25">
        <f>IF(A180="","",SUMIFS(PA_OECM_Register!$AG$5:$AG$1504,PA_OECM_Register!$Z$5:$Z$1504,1,PA_OECM_Register!$E$5:$E$1504,"PA",PA_OECM_Register!$AH$5:$AH$1504,"&gt;0",PA_OECM_Register!$AH$5:$AH$1504,"&lt;="&amp;A180)+SUMIFS(PA_OECM_Register!$AG$5:$AG$1504,PA_OECM_Register!$Z$5:$Z$1504,1,PA_OECM_Register!$E$5:$E$1504,"PA",PA_OECM_Register!$AH$5:$AH$1504,0)*B180)</f>
        <v/>
      </c>
      <c r="H180" s="25">
        <f>IF(A180="","",SUMIFS(PA_OECM_Register!$AG$5:$AG$1504,PA_OECM_Register!$Z$5:$Z$1504,1,PA_OECM_Register!$E$5:$E$1504,"OECM",PA_OECM_Register!$AH$5:$AH$1504,"&gt;0",PA_OECM_Register!$AH$5:$AH$1504,"&lt;="&amp;A180)+SUMIFS(PA_OECM_Register!$AG$5:$AG$1504,PA_OECM_Register!$Z$5:$Z$1504,1,PA_OECM_Register!$E$5:$E$1504,"OECM",PA_OECM_Register!$AH$5:$AH$1504,0)*C180)</f>
        <v/>
      </c>
      <c r="I180" s="26">
        <f>IF(A180="","",IF(N(Setup!$B$11)&gt;0,(G180+H180)/Setup!$B$11,""))</f>
        <v/>
      </c>
      <c r="J180" s="26">
        <f>IF(A180="","",IF(N(Setup!$B$10)&gt;0,SUMIFS(PA_OECM_Register!$AF$5:$AF$1504,PA_OECM_Register!$Z$5:$Z$1504,1,PA_OECM_Register!$AH$5:$AH$1504,"&gt;0",PA_OECM_Register!$AH$5:$AH$1504,"&lt;="&amp;A180)/Setup!$B$10,""))</f>
        <v/>
      </c>
      <c r="K180" s="26">
        <f>IF(A180="","",IF(N(Setup!$B$11)&gt;0,SUMIFS(PA_OECM_Register!$AG$5:$AG$1504,PA_OECM_Register!$Z$5:$Z$1504,1,PA_OECM_Register!$AH$5:$AH$1504,"&gt;0",PA_OECM_Register!$AH$5:$AH$1504,"&lt;="&amp;A180)/Setup!$B$11,""))</f>
        <v/>
      </c>
    </row>
    <row r="181">
      <c r="A181" s="33">
        <f>IF(Setup!$B$27+176&gt;Setup!$B$6,"",Setup!$B$27+176)</f>
        <v/>
      </c>
      <c r="B181" s="38">
        <f>IF(A181="","",COUNTIFS(PA_OECM_Register!$Z$5:$Z$1504,1,PA_OECM_Register!$E$5:$E$1504,"PA",PA_OECM_Register!$AH$5:$AH$1504,"&gt;0",PA_OECM_Register!$AH$5:$AH$1504,"&lt;="&amp;A181)/MAX(1,COUNTIFS(PA_OECM_Register!$Z$5:$Z$1504,1,PA_OECM_Register!$E$5:$E$1504,"PA",PA_OECM_Register!$AH$5:$AH$1504,"&gt;0")))</f>
        <v/>
      </c>
      <c r="C181" s="38">
        <f>IF(A181="","",COUNTIFS(PA_OECM_Register!$Z$5:$Z$1504,1,PA_OECM_Register!$E$5:$E$1504,"OECM",PA_OECM_Register!$AH$5:$AH$1504,"&gt;0",PA_OECM_Register!$AH$5:$AH$1504,"&lt;="&amp;A181)/MAX(1,COUNTIFS(PA_OECM_Register!$Z$5:$Z$1504,1,PA_OECM_Register!$E$5:$E$1504,"OECM",PA_OECM_Register!$AH$5:$AH$1504,"&gt;0")))</f>
        <v/>
      </c>
      <c r="D181" s="25">
        <f>IF(A181="","",SUMIFS(PA_OECM_Register!$AF$5:$AF$1504,PA_OECM_Register!$Z$5:$Z$1504,1,PA_OECM_Register!$E$5:$E$1504,"PA",PA_OECM_Register!$AH$5:$AH$1504,"&gt;0",PA_OECM_Register!$AH$5:$AH$1504,"&lt;="&amp;A181)+SUMIFS(PA_OECM_Register!$AF$5:$AF$1504,PA_OECM_Register!$Z$5:$Z$1504,1,PA_OECM_Register!$E$5:$E$1504,"PA",PA_OECM_Register!$AH$5:$AH$1504,0)*B181)</f>
        <v/>
      </c>
      <c r="E181" s="25">
        <f>IF(A181="","",SUMIFS(PA_OECM_Register!$AF$5:$AF$1504,PA_OECM_Register!$Z$5:$Z$1504,1,PA_OECM_Register!$E$5:$E$1504,"OECM",PA_OECM_Register!$AH$5:$AH$1504,"&gt;0",PA_OECM_Register!$AH$5:$AH$1504,"&lt;="&amp;A181)+SUMIFS(PA_OECM_Register!$AF$5:$AF$1504,PA_OECM_Register!$Z$5:$Z$1504,1,PA_OECM_Register!$E$5:$E$1504,"OECM",PA_OECM_Register!$AH$5:$AH$1504,0)*C181)</f>
        <v/>
      </c>
      <c r="F181" s="26">
        <f>IF(A181="","",IF(N(Setup!$B$10)&gt;0,(D181+E181)/Setup!$B$10,""))</f>
        <v/>
      </c>
      <c r="G181" s="25">
        <f>IF(A181="","",SUMIFS(PA_OECM_Register!$AG$5:$AG$1504,PA_OECM_Register!$Z$5:$Z$1504,1,PA_OECM_Register!$E$5:$E$1504,"PA",PA_OECM_Register!$AH$5:$AH$1504,"&gt;0",PA_OECM_Register!$AH$5:$AH$1504,"&lt;="&amp;A181)+SUMIFS(PA_OECM_Register!$AG$5:$AG$1504,PA_OECM_Register!$Z$5:$Z$1504,1,PA_OECM_Register!$E$5:$E$1504,"PA",PA_OECM_Register!$AH$5:$AH$1504,0)*B181)</f>
        <v/>
      </c>
      <c r="H181" s="25">
        <f>IF(A181="","",SUMIFS(PA_OECM_Register!$AG$5:$AG$1504,PA_OECM_Register!$Z$5:$Z$1504,1,PA_OECM_Register!$E$5:$E$1504,"OECM",PA_OECM_Register!$AH$5:$AH$1504,"&gt;0",PA_OECM_Register!$AH$5:$AH$1504,"&lt;="&amp;A181)+SUMIFS(PA_OECM_Register!$AG$5:$AG$1504,PA_OECM_Register!$Z$5:$Z$1504,1,PA_OECM_Register!$E$5:$E$1504,"OECM",PA_OECM_Register!$AH$5:$AH$1504,0)*C181)</f>
        <v/>
      </c>
      <c r="I181" s="26">
        <f>IF(A181="","",IF(N(Setup!$B$11)&gt;0,(G181+H181)/Setup!$B$11,""))</f>
        <v/>
      </c>
      <c r="J181" s="26">
        <f>IF(A181="","",IF(N(Setup!$B$10)&gt;0,SUMIFS(PA_OECM_Register!$AF$5:$AF$1504,PA_OECM_Register!$Z$5:$Z$1504,1,PA_OECM_Register!$AH$5:$AH$1504,"&gt;0",PA_OECM_Register!$AH$5:$AH$1504,"&lt;="&amp;A181)/Setup!$B$10,""))</f>
        <v/>
      </c>
      <c r="K181" s="26">
        <f>IF(A181="","",IF(N(Setup!$B$11)&gt;0,SUMIFS(PA_OECM_Register!$AG$5:$AG$1504,PA_OECM_Register!$Z$5:$Z$1504,1,PA_OECM_Register!$AH$5:$AH$1504,"&gt;0",PA_OECM_Register!$AH$5:$AH$1504,"&lt;="&amp;A181)/Setup!$B$11,""))</f>
        <v/>
      </c>
    </row>
    <row r="182">
      <c r="A182" s="33">
        <f>IF(Setup!$B$27+177&gt;Setup!$B$6,"",Setup!$B$27+177)</f>
        <v/>
      </c>
      <c r="B182" s="38">
        <f>IF(A182="","",COUNTIFS(PA_OECM_Register!$Z$5:$Z$1504,1,PA_OECM_Register!$E$5:$E$1504,"PA",PA_OECM_Register!$AH$5:$AH$1504,"&gt;0",PA_OECM_Register!$AH$5:$AH$1504,"&lt;="&amp;A182)/MAX(1,COUNTIFS(PA_OECM_Register!$Z$5:$Z$1504,1,PA_OECM_Register!$E$5:$E$1504,"PA",PA_OECM_Register!$AH$5:$AH$1504,"&gt;0")))</f>
        <v/>
      </c>
      <c r="C182" s="38">
        <f>IF(A182="","",COUNTIFS(PA_OECM_Register!$Z$5:$Z$1504,1,PA_OECM_Register!$E$5:$E$1504,"OECM",PA_OECM_Register!$AH$5:$AH$1504,"&gt;0",PA_OECM_Register!$AH$5:$AH$1504,"&lt;="&amp;A182)/MAX(1,COUNTIFS(PA_OECM_Register!$Z$5:$Z$1504,1,PA_OECM_Register!$E$5:$E$1504,"OECM",PA_OECM_Register!$AH$5:$AH$1504,"&gt;0")))</f>
        <v/>
      </c>
      <c r="D182" s="25">
        <f>IF(A182="","",SUMIFS(PA_OECM_Register!$AF$5:$AF$1504,PA_OECM_Register!$Z$5:$Z$1504,1,PA_OECM_Register!$E$5:$E$1504,"PA",PA_OECM_Register!$AH$5:$AH$1504,"&gt;0",PA_OECM_Register!$AH$5:$AH$1504,"&lt;="&amp;A182)+SUMIFS(PA_OECM_Register!$AF$5:$AF$1504,PA_OECM_Register!$Z$5:$Z$1504,1,PA_OECM_Register!$E$5:$E$1504,"PA",PA_OECM_Register!$AH$5:$AH$1504,0)*B182)</f>
        <v/>
      </c>
      <c r="E182" s="25">
        <f>IF(A182="","",SUMIFS(PA_OECM_Register!$AF$5:$AF$1504,PA_OECM_Register!$Z$5:$Z$1504,1,PA_OECM_Register!$E$5:$E$1504,"OECM",PA_OECM_Register!$AH$5:$AH$1504,"&gt;0",PA_OECM_Register!$AH$5:$AH$1504,"&lt;="&amp;A182)+SUMIFS(PA_OECM_Register!$AF$5:$AF$1504,PA_OECM_Register!$Z$5:$Z$1504,1,PA_OECM_Register!$E$5:$E$1504,"OECM",PA_OECM_Register!$AH$5:$AH$1504,0)*C182)</f>
        <v/>
      </c>
      <c r="F182" s="26">
        <f>IF(A182="","",IF(N(Setup!$B$10)&gt;0,(D182+E182)/Setup!$B$10,""))</f>
        <v/>
      </c>
      <c r="G182" s="25">
        <f>IF(A182="","",SUMIFS(PA_OECM_Register!$AG$5:$AG$1504,PA_OECM_Register!$Z$5:$Z$1504,1,PA_OECM_Register!$E$5:$E$1504,"PA",PA_OECM_Register!$AH$5:$AH$1504,"&gt;0",PA_OECM_Register!$AH$5:$AH$1504,"&lt;="&amp;A182)+SUMIFS(PA_OECM_Register!$AG$5:$AG$1504,PA_OECM_Register!$Z$5:$Z$1504,1,PA_OECM_Register!$E$5:$E$1504,"PA",PA_OECM_Register!$AH$5:$AH$1504,0)*B182)</f>
        <v/>
      </c>
      <c r="H182" s="25">
        <f>IF(A182="","",SUMIFS(PA_OECM_Register!$AG$5:$AG$1504,PA_OECM_Register!$Z$5:$Z$1504,1,PA_OECM_Register!$E$5:$E$1504,"OECM",PA_OECM_Register!$AH$5:$AH$1504,"&gt;0",PA_OECM_Register!$AH$5:$AH$1504,"&lt;="&amp;A182)+SUMIFS(PA_OECM_Register!$AG$5:$AG$1504,PA_OECM_Register!$Z$5:$Z$1504,1,PA_OECM_Register!$E$5:$E$1504,"OECM",PA_OECM_Register!$AH$5:$AH$1504,0)*C182)</f>
        <v/>
      </c>
      <c r="I182" s="26">
        <f>IF(A182="","",IF(N(Setup!$B$11)&gt;0,(G182+H182)/Setup!$B$11,""))</f>
        <v/>
      </c>
      <c r="J182" s="26">
        <f>IF(A182="","",IF(N(Setup!$B$10)&gt;0,SUMIFS(PA_OECM_Register!$AF$5:$AF$1504,PA_OECM_Register!$Z$5:$Z$1504,1,PA_OECM_Register!$AH$5:$AH$1504,"&gt;0",PA_OECM_Register!$AH$5:$AH$1504,"&lt;="&amp;A182)/Setup!$B$10,""))</f>
        <v/>
      </c>
      <c r="K182" s="26">
        <f>IF(A182="","",IF(N(Setup!$B$11)&gt;0,SUMIFS(PA_OECM_Register!$AG$5:$AG$1504,PA_OECM_Register!$Z$5:$Z$1504,1,PA_OECM_Register!$AH$5:$AH$1504,"&gt;0",PA_OECM_Register!$AH$5:$AH$1504,"&lt;="&amp;A182)/Setup!$B$11,""))</f>
        <v/>
      </c>
    </row>
    <row r="183">
      <c r="A183" s="33">
        <f>IF(Setup!$B$27+178&gt;Setup!$B$6,"",Setup!$B$27+178)</f>
        <v/>
      </c>
      <c r="B183" s="38">
        <f>IF(A183="","",COUNTIFS(PA_OECM_Register!$Z$5:$Z$1504,1,PA_OECM_Register!$E$5:$E$1504,"PA",PA_OECM_Register!$AH$5:$AH$1504,"&gt;0",PA_OECM_Register!$AH$5:$AH$1504,"&lt;="&amp;A183)/MAX(1,COUNTIFS(PA_OECM_Register!$Z$5:$Z$1504,1,PA_OECM_Register!$E$5:$E$1504,"PA",PA_OECM_Register!$AH$5:$AH$1504,"&gt;0")))</f>
        <v/>
      </c>
      <c r="C183" s="38">
        <f>IF(A183="","",COUNTIFS(PA_OECM_Register!$Z$5:$Z$1504,1,PA_OECM_Register!$E$5:$E$1504,"OECM",PA_OECM_Register!$AH$5:$AH$1504,"&gt;0",PA_OECM_Register!$AH$5:$AH$1504,"&lt;="&amp;A183)/MAX(1,COUNTIFS(PA_OECM_Register!$Z$5:$Z$1504,1,PA_OECM_Register!$E$5:$E$1504,"OECM",PA_OECM_Register!$AH$5:$AH$1504,"&gt;0")))</f>
        <v/>
      </c>
      <c r="D183" s="25">
        <f>IF(A183="","",SUMIFS(PA_OECM_Register!$AF$5:$AF$1504,PA_OECM_Register!$Z$5:$Z$1504,1,PA_OECM_Register!$E$5:$E$1504,"PA",PA_OECM_Register!$AH$5:$AH$1504,"&gt;0",PA_OECM_Register!$AH$5:$AH$1504,"&lt;="&amp;A183)+SUMIFS(PA_OECM_Register!$AF$5:$AF$1504,PA_OECM_Register!$Z$5:$Z$1504,1,PA_OECM_Register!$E$5:$E$1504,"PA",PA_OECM_Register!$AH$5:$AH$1504,0)*B183)</f>
        <v/>
      </c>
      <c r="E183" s="25">
        <f>IF(A183="","",SUMIFS(PA_OECM_Register!$AF$5:$AF$1504,PA_OECM_Register!$Z$5:$Z$1504,1,PA_OECM_Register!$E$5:$E$1504,"OECM",PA_OECM_Register!$AH$5:$AH$1504,"&gt;0",PA_OECM_Register!$AH$5:$AH$1504,"&lt;="&amp;A183)+SUMIFS(PA_OECM_Register!$AF$5:$AF$1504,PA_OECM_Register!$Z$5:$Z$1504,1,PA_OECM_Register!$E$5:$E$1504,"OECM",PA_OECM_Register!$AH$5:$AH$1504,0)*C183)</f>
        <v/>
      </c>
      <c r="F183" s="26">
        <f>IF(A183="","",IF(N(Setup!$B$10)&gt;0,(D183+E183)/Setup!$B$10,""))</f>
        <v/>
      </c>
      <c r="G183" s="25">
        <f>IF(A183="","",SUMIFS(PA_OECM_Register!$AG$5:$AG$1504,PA_OECM_Register!$Z$5:$Z$1504,1,PA_OECM_Register!$E$5:$E$1504,"PA",PA_OECM_Register!$AH$5:$AH$1504,"&gt;0",PA_OECM_Register!$AH$5:$AH$1504,"&lt;="&amp;A183)+SUMIFS(PA_OECM_Register!$AG$5:$AG$1504,PA_OECM_Register!$Z$5:$Z$1504,1,PA_OECM_Register!$E$5:$E$1504,"PA",PA_OECM_Register!$AH$5:$AH$1504,0)*B183)</f>
        <v/>
      </c>
      <c r="H183" s="25">
        <f>IF(A183="","",SUMIFS(PA_OECM_Register!$AG$5:$AG$1504,PA_OECM_Register!$Z$5:$Z$1504,1,PA_OECM_Register!$E$5:$E$1504,"OECM",PA_OECM_Register!$AH$5:$AH$1504,"&gt;0",PA_OECM_Register!$AH$5:$AH$1504,"&lt;="&amp;A183)+SUMIFS(PA_OECM_Register!$AG$5:$AG$1504,PA_OECM_Register!$Z$5:$Z$1504,1,PA_OECM_Register!$E$5:$E$1504,"OECM",PA_OECM_Register!$AH$5:$AH$1504,0)*C183)</f>
        <v/>
      </c>
      <c r="I183" s="26">
        <f>IF(A183="","",IF(N(Setup!$B$11)&gt;0,(G183+H183)/Setup!$B$11,""))</f>
        <v/>
      </c>
      <c r="J183" s="26">
        <f>IF(A183="","",IF(N(Setup!$B$10)&gt;0,SUMIFS(PA_OECM_Register!$AF$5:$AF$1504,PA_OECM_Register!$Z$5:$Z$1504,1,PA_OECM_Register!$AH$5:$AH$1504,"&gt;0",PA_OECM_Register!$AH$5:$AH$1504,"&lt;="&amp;A183)/Setup!$B$10,""))</f>
        <v/>
      </c>
      <c r="K183" s="26">
        <f>IF(A183="","",IF(N(Setup!$B$11)&gt;0,SUMIFS(PA_OECM_Register!$AG$5:$AG$1504,PA_OECM_Register!$Z$5:$Z$1504,1,PA_OECM_Register!$AH$5:$AH$1504,"&gt;0",PA_OECM_Register!$AH$5:$AH$1504,"&lt;="&amp;A183)/Setup!$B$11,""))</f>
        <v/>
      </c>
    </row>
    <row r="184">
      <c r="A184" s="33">
        <f>IF(Setup!$B$27+179&gt;Setup!$B$6,"",Setup!$B$27+179)</f>
        <v/>
      </c>
      <c r="B184" s="38">
        <f>IF(A184="","",COUNTIFS(PA_OECM_Register!$Z$5:$Z$1504,1,PA_OECM_Register!$E$5:$E$1504,"PA",PA_OECM_Register!$AH$5:$AH$1504,"&gt;0",PA_OECM_Register!$AH$5:$AH$1504,"&lt;="&amp;A184)/MAX(1,COUNTIFS(PA_OECM_Register!$Z$5:$Z$1504,1,PA_OECM_Register!$E$5:$E$1504,"PA",PA_OECM_Register!$AH$5:$AH$1504,"&gt;0")))</f>
        <v/>
      </c>
      <c r="C184" s="38">
        <f>IF(A184="","",COUNTIFS(PA_OECM_Register!$Z$5:$Z$1504,1,PA_OECM_Register!$E$5:$E$1504,"OECM",PA_OECM_Register!$AH$5:$AH$1504,"&gt;0",PA_OECM_Register!$AH$5:$AH$1504,"&lt;="&amp;A184)/MAX(1,COUNTIFS(PA_OECM_Register!$Z$5:$Z$1504,1,PA_OECM_Register!$E$5:$E$1504,"OECM",PA_OECM_Register!$AH$5:$AH$1504,"&gt;0")))</f>
        <v/>
      </c>
      <c r="D184" s="25">
        <f>IF(A184="","",SUMIFS(PA_OECM_Register!$AF$5:$AF$1504,PA_OECM_Register!$Z$5:$Z$1504,1,PA_OECM_Register!$E$5:$E$1504,"PA",PA_OECM_Register!$AH$5:$AH$1504,"&gt;0",PA_OECM_Register!$AH$5:$AH$1504,"&lt;="&amp;A184)+SUMIFS(PA_OECM_Register!$AF$5:$AF$1504,PA_OECM_Register!$Z$5:$Z$1504,1,PA_OECM_Register!$E$5:$E$1504,"PA",PA_OECM_Register!$AH$5:$AH$1504,0)*B184)</f>
        <v/>
      </c>
      <c r="E184" s="25">
        <f>IF(A184="","",SUMIFS(PA_OECM_Register!$AF$5:$AF$1504,PA_OECM_Register!$Z$5:$Z$1504,1,PA_OECM_Register!$E$5:$E$1504,"OECM",PA_OECM_Register!$AH$5:$AH$1504,"&gt;0",PA_OECM_Register!$AH$5:$AH$1504,"&lt;="&amp;A184)+SUMIFS(PA_OECM_Register!$AF$5:$AF$1504,PA_OECM_Register!$Z$5:$Z$1504,1,PA_OECM_Register!$E$5:$E$1504,"OECM",PA_OECM_Register!$AH$5:$AH$1504,0)*C184)</f>
        <v/>
      </c>
      <c r="F184" s="26">
        <f>IF(A184="","",IF(N(Setup!$B$10)&gt;0,(D184+E184)/Setup!$B$10,""))</f>
        <v/>
      </c>
      <c r="G184" s="25">
        <f>IF(A184="","",SUMIFS(PA_OECM_Register!$AG$5:$AG$1504,PA_OECM_Register!$Z$5:$Z$1504,1,PA_OECM_Register!$E$5:$E$1504,"PA",PA_OECM_Register!$AH$5:$AH$1504,"&gt;0",PA_OECM_Register!$AH$5:$AH$1504,"&lt;="&amp;A184)+SUMIFS(PA_OECM_Register!$AG$5:$AG$1504,PA_OECM_Register!$Z$5:$Z$1504,1,PA_OECM_Register!$E$5:$E$1504,"PA",PA_OECM_Register!$AH$5:$AH$1504,0)*B184)</f>
        <v/>
      </c>
      <c r="H184" s="25">
        <f>IF(A184="","",SUMIFS(PA_OECM_Register!$AG$5:$AG$1504,PA_OECM_Register!$Z$5:$Z$1504,1,PA_OECM_Register!$E$5:$E$1504,"OECM",PA_OECM_Register!$AH$5:$AH$1504,"&gt;0",PA_OECM_Register!$AH$5:$AH$1504,"&lt;="&amp;A184)+SUMIFS(PA_OECM_Register!$AG$5:$AG$1504,PA_OECM_Register!$Z$5:$Z$1504,1,PA_OECM_Register!$E$5:$E$1504,"OECM",PA_OECM_Register!$AH$5:$AH$1504,0)*C184)</f>
        <v/>
      </c>
      <c r="I184" s="26">
        <f>IF(A184="","",IF(N(Setup!$B$11)&gt;0,(G184+H184)/Setup!$B$11,""))</f>
        <v/>
      </c>
      <c r="J184" s="26">
        <f>IF(A184="","",IF(N(Setup!$B$10)&gt;0,SUMIFS(PA_OECM_Register!$AF$5:$AF$1504,PA_OECM_Register!$Z$5:$Z$1504,1,PA_OECM_Register!$AH$5:$AH$1504,"&gt;0",PA_OECM_Register!$AH$5:$AH$1504,"&lt;="&amp;A184)/Setup!$B$10,""))</f>
        <v/>
      </c>
      <c r="K184" s="26">
        <f>IF(A184="","",IF(N(Setup!$B$11)&gt;0,SUMIFS(PA_OECM_Register!$AG$5:$AG$1504,PA_OECM_Register!$Z$5:$Z$1504,1,PA_OECM_Register!$AH$5:$AH$1504,"&gt;0",PA_OECM_Register!$AH$5:$AH$1504,"&lt;="&amp;A184)/Setup!$B$11,""))</f>
        <v/>
      </c>
    </row>
    <row r="185">
      <c r="A185" s="33">
        <f>IF(Setup!$B$27+180&gt;Setup!$B$6,"",Setup!$B$27+180)</f>
        <v/>
      </c>
      <c r="B185" s="38">
        <f>IF(A185="","",COUNTIFS(PA_OECM_Register!$Z$5:$Z$1504,1,PA_OECM_Register!$E$5:$E$1504,"PA",PA_OECM_Register!$AH$5:$AH$1504,"&gt;0",PA_OECM_Register!$AH$5:$AH$1504,"&lt;="&amp;A185)/MAX(1,COUNTIFS(PA_OECM_Register!$Z$5:$Z$1504,1,PA_OECM_Register!$E$5:$E$1504,"PA",PA_OECM_Register!$AH$5:$AH$1504,"&gt;0")))</f>
        <v/>
      </c>
      <c r="C185" s="38">
        <f>IF(A185="","",COUNTIFS(PA_OECM_Register!$Z$5:$Z$1504,1,PA_OECM_Register!$E$5:$E$1504,"OECM",PA_OECM_Register!$AH$5:$AH$1504,"&gt;0",PA_OECM_Register!$AH$5:$AH$1504,"&lt;="&amp;A185)/MAX(1,COUNTIFS(PA_OECM_Register!$Z$5:$Z$1504,1,PA_OECM_Register!$E$5:$E$1504,"OECM",PA_OECM_Register!$AH$5:$AH$1504,"&gt;0")))</f>
        <v/>
      </c>
      <c r="D185" s="25">
        <f>IF(A185="","",SUMIFS(PA_OECM_Register!$AF$5:$AF$1504,PA_OECM_Register!$Z$5:$Z$1504,1,PA_OECM_Register!$E$5:$E$1504,"PA",PA_OECM_Register!$AH$5:$AH$1504,"&gt;0",PA_OECM_Register!$AH$5:$AH$1504,"&lt;="&amp;A185)+SUMIFS(PA_OECM_Register!$AF$5:$AF$1504,PA_OECM_Register!$Z$5:$Z$1504,1,PA_OECM_Register!$E$5:$E$1504,"PA",PA_OECM_Register!$AH$5:$AH$1504,0)*B185)</f>
        <v/>
      </c>
      <c r="E185" s="25">
        <f>IF(A185="","",SUMIFS(PA_OECM_Register!$AF$5:$AF$1504,PA_OECM_Register!$Z$5:$Z$1504,1,PA_OECM_Register!$E$5:$E$1504,"OECM",PA_OECM_Register!$AH$5:$AH$1504,"&gt;0",PA_OECM_Register!$AH$5:$AH$1504,"&lt;="&amp;A185)+SUMIFS(PA_OECM_Register!$AF$5:$AF$1504,PA_OECM_Register!$Z$5:$Z$1504,1,PA_OECM_Register!$E$5:$E$1504,"OECM",PA_OECM_Register!$AH$5:$AH$1504,0)*C185)</f>
        <v/>
      </c>
      <c r="F185" s="26">
        <f>IF(A185="","",IF(N(Setup!$B$10)&gt;0,(D185+E185)/Setup!$B$10,""))</f>
        <v/>
      </c>
      <c r="G185" s="25">
        <f>IF(A185="","",SUMIFS(PA_OECM_Register!$AG$5:$AG$1504,PA_OECM_Register!$Z$5:$Z$1504,1,PA_OECM_Register!$E$5:$E$1504,"PA",PA_OECM_Register!$AH$5:$AH$1504,"&gt;0",PA_OECM_Register!$AH$5:$AH$1504,"&lt;="&amp;A185)+SUMIFS(PA_OECM_Register!$AG$5:$AG$1504,PA_OECM_Register!$Z$5:$Z$1504,1,PA_OECM_Register!$E$5:$E$1504,"PA",PA_OECM_Register!$AH$5:$AH$1504,0)*B185)</f>
        <v/>
      </c>
      <c r="H185" s="25">
        <f>IF(A185="","",SUMIFS(PA_OECM_Register!$AG$5:$AG$1504,PA_OECM_Register!$Z$5:$Z$1504,1,PA_OECM_Register!$E$5:$E$1504,"OECM",PA_OECM_Register!$AH$5:$AH$1504,"&gt;0",PA_OECM_Register!$AH$5:$AH$1504,"&lt;="&amp;A185)+SUMIFS(PA_OECM_Register!$AG$5:$AG$1504,PA_OECM_Register!$Z$5:$Z$1504,1,PA_OECM_Register!$E$5:$E$1504,"OECM",PA_OECM_Register!$AH$5:$AH$1504,0)*C185)</f>
        <v/>
      </c>
      <c r="I185" s="26">
        <f>IF(A185="","",IF(N(Setup!$B$11)&gt;0,(G185+H185)/Setup!$B$11,""))</f>
        <v/>
      </c>
      <c r="J185" s="26">
        <f>IF(A185="","",IF(N(Setup!$B$10)&gt;0,SUMIFS(PA_OECM_Register!$AF$5:$AF$1504,PA_OECM_Register!$Z$5:$Z$1504,1,PA_OECM_Register!$AH$5:$AH$1504,"&gt;0",PA_OECM_Register!$AH$5:$AH$1504,"&lt;="&amp;A185)/Setup!$B$10,""))</f>
        <v/>
      </c>
      <c r="K185" s="26">
        <f>IF(A185="","",IF(N(Setup!$B$11)&gt;0,SUMIFS(PA_OECM_Register!$AG$5:$AG$1504,PA_OECM_Register!$Z$5:$Z$1504,1,PA_OECM_Register!$AH$5:$AH$1504,"&gt;0",PA_OECM_Register!$AH$5:$AH$1504,"&lt;="&amp;A185)/Setup!$B$11,""))</f>
        <v/>
      </c>
    </row>
    <row r="186">
      <c r="A186" s="33">
        <f>IF(Setup!$B$27+181&gt;Setup!$B$6,"",Setup!$B$27+181)</f>
        <v/>
      </c>
      <c r="B186" s="38">
        <f>IF(A186="","",COUNTIFS(PA_OECM_Register!$Z$5:$Z$1504,1,PA_OECM_Register!$E$5:$E$1504,"PA",PA_OECM_Register!$AH$5:$AH$1504,"&gt;0",PA_OECM_Register!$AH$5:$AH$1504,"&lt;="&amp;A186)/MAX(1,COUNTIFS(PA_OECM_Register!$Z$5:$Z$1504,1,PA_OECM_Register!$E$5:$E$1504,"PA",PA_OECM_Register!$AH$5:$AH$1504,"&gt;0")))</f>
        <v/>
      </c>
      <c r="C186" s="38">
        <f>IF(A186="","",COUNTIFS(PA_OECM_Register!$Z$5:$Z$1504,1,PA_OECM_Register!$E$5:$E$1504,"OECM",PA_OECM_Register!$AH$5:$AH$1504,"&gt;0",PA_OECM_Register!$AH$5:$AH$1504,"&lt;="&amp;A186)/MAX(1,COUNTIFS(PA_OECM_Register!$Z$5:$Z$1504,1,PA_OECM_Register!$E$5:$E$1504,"OECM",PA_OECM_Register!$AH$5:$AH$1504,"&gt;0")))</f>
        <v/>
      </c>
      <c r="D186" s="25">
        <f>IF(A186="","",SUMIFS(PA_OECM_Register!$AF$5:$AF$1504,PA_OECM_Register!$Z$5:$Z$1504,1,PA_OECM_Register!$E$5:$E$1504,"PA",PA_OECM_Register!$AH$5:$AH$1504,"&gt;0",PA_OECM_Register!$AH$5:$AH$1504,"&lt;="&amp;A186)+SUMIFS(PA_OECM_Register!$AF$5:$AF$1504,PA_OECM_Register!$Z$5:$Z$1504,1,PA_OECM_Register!$E$5:$E$1504,"PA",PA_OECM_Register!$AH$5:$AH$1504,0)*B186)</f>
        <v/>
      </c>
      <c r="E186" s="25">
        <f>IF(A186="","",SUMIFS(PA_OECM_Register!$AF$5:$AF$1504,PA_OECM_Register!$Z$5:$Z$1504,1,PA_OECM_Register!$E$5:$E$1504,"OECM",PA_OECM_Register!$AH$5:$AH$1504,"&gt;0",PA_OECM_Register!$AH$5:$AH$1504,"&lt;="&amp;A186)+SUMIFS(PA_OECM_Register!$AF$5:$AF$1504,PA_OECM_Register!$Z$5:$Z$1504,1,PA_OECM_Register!$E$5:$E$1504,"OECM",PA_OECM_Register!$AH$5:$AH$1504,0)*C186)</f>
        <v/>
      </c>
      <c r="F186" s="26">
        <f>IF(A186="","",IF(N(Setup!$B$10)&gt;0,(D186+E186)/Setup!$B$10,""))</f>
        <v/>
      </c>
      <c r="G186" s="25">
        <f>IF(A186="","",SUMIFS(PA_OECM_Register!$AG$5:$AG$1504,PA_OECM_Register!$Z$5:$Z$1504,1,PA_OECM_Register!$E$5:$E$1504,"PA",PA_OECM_Register!$AH$5:$AH$1504,"&gt;0",PA_OECM_Register!$AH$5:$AH$1504,"&lt;="&amp;A186)+SUMIFS(PA_OECM_Register!$AG$5:$AG$1504,PA_OECM_Register!$Z$5:$Z$1504,1,PA_OECM_Register!$E$5:$E$1504,"PA",PA_OECM_Register!$AH$5:$AH$1504,0)*B186)</f>
        <v/>
      </c>
      <c r="H186" s="25">
        <f>IF(A186="","",SUMIFS(PA_OECM_Register!$AG$5:$AG$1504,PA_OECM_Register!$Z$5:$Z$1504,1,PA_OECM_Register!$E$5:$E$1504,"OECM",PA_OECM_Register!$AH$5:$AH$1504,"&gt;0",PA_OECM_Register!$AH$5:$AH$1504,"&lt;="&amp;A186)+SUMIFS(PA_OECM_Register!$AG$5:$AG$1504,PA_OECM_Register!$Z$5:$Z$1504,1,PA_OECM_Register!$E$5:$E$1504,"OECM",PA_OECM_Register!$AH$5:$AH$1504,0)*C186)</f>
        <v/>
      </c>
      <c r="I186" s="26">
        <f>IF(A186="","",IF(N(Setup!$B$11)&gt;0,(G186+H186)/Setup!$B$11,""))</f>
        <v/>
      </c>
      <c r="J186" s="26">
        <f>IF(A186="","",IF(N(Setup!$B$10)&gt;0,SUMIFS(PA_OECM_Register!$AF$5:$AF$1504,PA_OECM_Register!$Z$5:$Z$1504,1,PA_OECM_Register!$AH$5:$AH$1504,"&gt;0",PA_OECM_Register!$AH$5:$AH$1504,"&lt;="&amp;A186)/Setup!$B$10,""))</f>
        <v/>
      </c>
      <c r="K186" s="26">
        <f>IF(A186="","",IF(N(Setup!$B$11)&gt;0,SUMIFS(PA_OECM_Register!$AG$5:$AG$1504,PA_OECM_Register!$Z$5:$Z$1504,1,PA_OECM_Register!$AH$5:$AH$1504,"&gt;0",PA_OECM_Register!$AH$5:$AH$1504,"&lt;="&amp;A186)/Setup!$B$11,""))</f>
        <v/>
      </c>
    </row>
    <row r="187">
      <c r="A187" s="33">
        <f>IF(Setup!$B$27+182&gt;Setup!$B$6,"",Setup!$B$27+182)</f>
        <v/>
      </c>
      <c r="B187" s="38">
        <f>IF(A187="","",COUNTIFS(PA_OECM_Register!$Z$5:$Z$1504,1,PA_OECM_Register!$E$5:$E$1504,"PA",PA_OECM_Register!$AH$5:$AH$1504,"&gt;0",PA_OECM_Register!$AH$5:$AH$1504,"&lt;="&amp;A187)/MAX(1,COUNTIFS(PA_OECM_Register!$Z$5:$Z$1504,1,PA_OECM_Register!$E$5:$E$1504,"PA",PA_OECM_Register!$AH$5:$AH$1504,"&gt;0")))</f>
        <v/>
      </c>
      <c r="C187" s="38">
        <f>IF(A187="","",COUNTIFS(PA_OECM_Register!$Z$5:$Z$1504,1,PA_OECM_Register!$E$5:$E$1504,"OECM",PA_OECM_Register!$AH$5:$AH$1504,"&gt;0",PA_OECM_Register!$AH$5:$AH$1504,"&lt;="&amp;A187)/MAX(1,COUNTIFS(PA_OECM_Register!$Z$5:$Z$1504,1,PA_OECM_Register!$E$5:$E$1504,"OECM",PA_OECM_Register!$AH$5:$AH$1504,"&gt;0")))</f>
        <v/>
      </c>
      <c r="D187" s="25">
        <f>IF(A187="","",SUMIFS(PA_OECM_Register!$AF$5:$AF$1504,PA_OECM_Register!$Z$5:$Z$1504,1,PA_OECM_Register!$E$5:$E$1504,"PA",PA_OECM_Register!$AH$5:$AH$1504,"&gt;0",PA_OECM_Register!$AH$5:$AH$1504,"&lt;="&amp;A187)+SUMIFS(PA_OECM_Register!$AF$5:$AF$1504,PA_OECM_Register!$Z$5:$Z$1504,1,PA_OECM_Register!$E$5:$E$1504,"PA",PA_OECM_Register!$AH$5:$AH$1504,0)*B187)</f>
        <v/>
      </c>
      <c r="E187" s="25">
        <f>IF(A187="","",SUMIFS(PA_OECM_Register!$AF$5:$AF$1504,PA_OECM_Register!$Z$5:$Z$1504,1,PA_OECM_Register!$E$5:$E$1504,"OECM",PA_OECM_Register!$AH$5:$AH$1504,"&gt;0",PA_OECM_Register!$AH$5:$AH$1504,"&lt;="&amp;A187)+SUMIFS(PA_OECM_Register!$AF$5:$AF$1504,PA_OECM_Register!$Z$5:$Z$1504,1,PA_OECM_Register!$E$5:$E$1504,"OECM",PA_OECM_Register!$AH$5:$AH$1504,0)*C187)</f>
        <v/>
      </c>
      <c r="F187" s="26">
        <f>IF(A187="","",IF(N(Setup!$B$10)&gt;0,(D187+E187)/Setup!$B$10,""))</f>
        <v/>
      </c>
      <c r="G187" s="25">
        <f>IF(A187="","",SUMIFS(PA_OECM_Register!$AG$5:$AG$1504,PA_OECM_Register!$Z$5:$Z$1504,1,PA_OECM_Register!$E$5:$E$1504,"PA",PA_OECM_Register!$AH$5:$AH$1504,"&gt;0",PA_OECM_Register!$AH$5:$AH$1504,"&lt;="&amp;A187)+SUMIFS(PA_OECM_Register!$AG$5:$AG$1504,PA_OECM_Register!$Z$5:$Z$1504,1,PA_OECM_Register!$E$5:$E$1504,"PA",PA_OECM_Register!$AH$5:$AH$1504,0)*B187)</f>
        <v/>
      </c>
      <c r="H187" s="25">
        <f>IF(A187="","",SUMIFS(PA_OECM_Register!$AG$5:$AG$1504,PA_OECM_Register!$Z$5:$Z$1504,1,PA_OECM_Register!$E$5:$E$1504,"OECM",PA_OECM_Register!$AH$5:$AH$1504,"&gt;0",PA_OECM_Register!$AH$5:$AH$1504,"&lt;="&amp;A187)+SUMIFS(PA_OECM_Register!$AG$5:$AG$1504,PA_OECM_Register!$Z$5:$Z$1504,1,PA_OECM_Register!$E$5:$E$1504,"OECM",PA_OECM_Register!$AH$5:$AH$1504,0)*C187)</f>
        <v/>
      </c>
      <c r="I187" s="26">
        <f>IF(A187="","",IF(N(Setup!$B$11)&gt;0,(G187+H187)/Setup!$B$11,""))</f>
        <v/>
      </c>
      <c r="J187" s="26">
        <f>IF(A187="","",IF(N(Setup!$B$10)&gt;0,SUMIFS(PA_OECM_Register!$AF$5:$AF$1504,PA_OECM_Register!$Z$5:$Z$1504,1,PA_OECM_Register!$AH$5:$AH$1504,"&gt;0",PA_OECM_Register!$AH$5:$AH$1504,"&lt;="&amp;A187)/Setup!$B$10,""))</f>
        <v/>
      </c>
      <c r="K187" s="26">
        <f>IF(A187="","",IF(N(Setup!$B$11)&gt;0,SUMIFS(PA_OECM_Register!$AG$5:$AG$1504,PA_OECM_Register!$Z$5:$Z$1504,1,PA_OECM_Register!$AH$5:$AH$1504,"&gt;0",PA_OECM_Register!$AH$5:$AH$1504,"&lt;="&amp;A187)/Setup!$B$11,""))</f>
        <v/>
      </c>
    </row>
    <row r="188">
      <c r="A188" s="33">
        <f>IF(Setup!$B$27+183&gt;Setup!$B$6,"",Setup!$B$27+183)</f>
        <v/>
      </c>
      <c r="B188" s="38">
        <f>IF(A188="","",COUNTIFS(PA_OECM_Register!$Z$5:$Z$1504,1,PA_OECM_Register!$E$5:$E$1504,"PA",PA_OECM_Register!$AH$5:$AH$1504,"&gt;0",PA_OECM_Register!$AH$5:$AH$1504,"&lt;="&amp;A188)/MAX(1,COUNTIFS(PA_OECM_Register!$Z$5:$Z$1504,1,PA_OECM_Register!$E$5:$E$1504,"PA",PA_OECM_Register!$AH$5:$AH$1504,"&gt;0")))</f>
        <v/>
      </c>
      <c r="C188" s="38">
        <f>IF(A188="","",COUNTIFS(PA_OECM_Register!$Z$5:$Z$1504,1,PA_OECM_Register!$E$5:$E$1504,"OECM",PA_OECM_Register!$AH$5:$AH$1504,"&gt;0",PA_OECM_Register!$AH$5:$AH$1504,"&lt;="&amp;A188)/MAX(1,COUNTIFS(PA_OECM_Register!$Z$5:$Z$1504,1,PA_OECM_Register!$E$5:$E$1504,"OECM",PA_OECM_Register!$AH$5:$AH$1504,"&gt;0")))</f>
        <v/>
      </c>
      <c r="D188" s="25">
        <f>IF(A188="","",SUMIFS(PA_OECM_Register!$AF$5:$AF$1504,PA_OECM_Register!$Z$5:$Z$1504,1,PA_OECM_Register!$E$5:$E$1504,"PA",PA_OECM_Register!$AH$5:$AH$1504,"&gt;0",PA_OECM_Register!$AH$5:$AH$1504,"&lt;="&amp;A188)+SUMIFS(PA_OECM_Register!$AF$5:$AF$1504,PA_OECM_Register!$Z$5:$Z$1504,1,PA_OECM_Register!$E$5:$E$1504,"PA",PA_OECM_Register!$AH$5:$AH$1504,0)*B188)</f>
        <v/>
      </c>
      <c r="E188" s="25">
        <f>IF(A188="","",SUMIFS(PA_OECM_Register!$AF$5:$AF$1504,PA_OECM_Register!$Z$5:$Z$1504,1,PA_OECM_Register!$E$5:$E$1504,"OECM",PA_OECM_Register!$AH$5:$AH$1504,"&gt;0",PA_OECM_Register!$AH$5:$AH$1504,"&lt;="&amp;A188)+SUMIFS(PA_OECM_Register!$AF$5:$AF$1504,PA_OECM_Register!$Z$5:$Z$1504,1,PA_OECM_Register!$E$5:$E$1504,"OECM",PA_OECM_Register!$AH$5:$AH$1504,0)*C188)</f>
        <v/>
      </c>
      <c r="F188" s="26">
        <f>IF(A188="","",IF(N(Setup!$B$10)&gt;0,(D188+E188)/Setup!$B$10,""))</f>
        <v/>
      </c>
      <c r="G188" s="25">
        <f>IF(A188="","",SUMIFS(PA_OECM_Register!$AG$5:$AG$1504,PA_OECM_Register!$Z$5:$Z$1504,1,PA_OECM_Register!$E$5:$E$1504,"PA",PA_OECM_Register!$AH$5:$AH$1504,"&gt;0",PA_OECM_Register!$AH$5:$AH$1504,"&lt;="&amp;A188)+SUMIFS(PA_OECM_Register!$AG$5:$AG$1504,PA_OECM_Register!$Z$5:$Z$1504,1,PA_OECM_Register!$E$5:$E$1504,"PA",PA_OECM_Register!$AH$5:$AH$1504,0)*B188)</f>
        <v/>
      </c>
      <c r="H188" s="25">
        <f>IF(A188="","",SUMIFS(PA_OECM_Register!$AG$5:$AG$1504,PA_OECM_Register!$Z$5:$Z$1504,1,PA_OECM_Register!$E$5:$E$1504,"OECM",PA_OECM_Register!$AH$5:$AH$1504,"&gt;0",PA_OECM_Register!$AH$5:$AH$1504,"&lt;="&amp;A188)+SUMIFS(PA_OECM_Register!$AG$5:$AG$1504,PA_OECM_Register!$Z$5:$Z$1504,1,PA_OECM_Register!$E$5:$E$1504,"OECM",PA_OECM_Register!$AH$5:$AH$1504,0)*C188)</f>
        <v/>
      </c>
      <c r="I188" s="26">
        <f>IF(A188="","",IF(N(Setup!$B$11)&gt;0,(G188+H188)/Setup!$B$11,""))</f>
        <v/>
      </c>
      <c r="J188" s="26">
        <f>IF(A188="","",IF(N(Setup!$B$10)&gt;0,SUMIFS(PA_OECM_Register!$AF$5:$AF$1504,PA_OECM_Register!$Z$5:$Z$1504,1,PA_OECM_Register!$AH$5:$AH$1504,"&gt;0",PA_OECM_Register!$AH$5:$AH$1504,"&lt;="&amp;A188)/Setup!$B$10,""))</f>
        <v/>
      </c>
      <c r="K188" s="26">
        <f>IF(A188="","",IF(N(Setup!$B$11)&gt;0,SUMIFS(PA_OECM_Register!$AG$5:$AG$1504,PA_OECM_Register!$Z$5:$Z$1504,1,PA_OECM_Register!$AH$5:$AH$1504,"&gt;0",PA_OECM_Register!$AH$5:$AH$1504,"&lt;="&amp;A188)/Setup!$B$11,""))</f>
        <v/>
      </c>
    </row>
    <row r="189">
      <c r="A189" s="33">
        <f>IF(Setup!$B$27+184&gt;Setup!$B$6,"",Setup!$B$27+184)</f>
        <v/>
      </c>
      <c r="B189" s="38">
        <f>IF(A189="","",COUNTIFS(PA_OECM_Register!$Z$5:$Z$1504,1,PA_OECM_Register!$E$5:$E$1504,"PA",PA_OECM_Register!$AH$5:$AH$1504,"&gt;0",PA_OECM_Register!$AH$5:$AH$1504,"&lt;="&amp;A189)/MAX(1,COUNTIFS(PA_OECM_Register!$Z$5:$Z$1504,1,PA_OECM_Register!$E$5:$E$1504,"PA",PA_OECM_Register!$AH$5:$AH$1504,"&gt;0")))</f>
        <v/>
      </c>
      <c r="C189" s="38">
        <f>IF(A189="","",COUNTIFS(PA_OECM_Register!$Z$5:$Z$1504,1,PA_OECM_Register!$E$5:$E$1504,"OECM",PA_OECM_Register!$AH$5:$AH$1504,"&gt;0",PA_OECM_Register!$AH$5:$AH$1504,"&lt;="&amp;A189)/MAX(1,COUNTIFS(PA_OECM_Register!$Z$5:$Z$1504,1,PA_OECM_Register!$E$5:$E$1504,"OECM",PA_OECM_Register!$AH$5:$AH$1504,"&gt;0")))</f>
        <v/>
      </c>
      <c r="D189" s="25">
        <f>IF(A189="","",SUMIFS(PA_OECM_Register!$AF$5:$AF$1504,PA_OECM_Register!$Z$5:$Z$1504,1,PA_OECM_Register!$E$5:$E$1504,"PA",PA_OECM_Register!$AH$5:$AH$1504,"&gt;0",PA_OECM_Register!$AH$5:$AH$1504,"&lt;="&amp;A189)+SUMIFS(PA_OECM_Register!$AF$5:$AF$1504,PA_OECM_Register!$Z$5:$Z$1504,1,PA_OECM_Register!$E$5:$E$1504,"PA",PA_OECM_Register!$AH$5:$AH$1504,0)*B189)</f>
        <v/>
      </c>
      <c r="E189" s="25">
        <f>IF(A189="","",SUMIFS(PA_OECM_Register!$AF$5:$AF$1504,PA_OECM_Register!$Z$5:$Z$1504,1,PA_OECM_Register!$E$5:$E$1504,"OECM",PA_OECM_Register!$AH$5:$AH$1504,"&gt;0",PA_OECM_Register!$AH$5:$AH$1504,"&lt;="&amp;A189)+SUMIFS(PA_OECM_Register!$AF$5:$AF$1504,PA_OECM_Register!$Z$5:$Z$1504,1,PA_OECM_Register!$E$5:$E$1504,"OECM",PA_OECM_Register!$AH$5:$AH$1504,0)*C189)</f>
        <v/>
      </c>
      <c r="F189" s="26">
        <f>IF(A189="","",IF(N(Setup!$B$10)&gt;0,(D189+E189)/Setup!$B$10,""))</f>
        <v/>
      </c>
      <c r="G189" s="25">
        <f>IF(A189="","",SUMIFS(PA_OECM_Register!$AG$5:$AG$1504,PA_OECM_Register!$Z$5:$Z$1504,1,PA_OECM_Register!$E$5:$E$1504,"PA",PA_OECM_Register!$AH$5:$AH$1504,"&gt;0",PA_OECM_Register!$AH$5:$AH$1504,"&lt;="&amp;A189)+SUMIFS(PA_OECM_Register!$AG$5:$AG$1504,PA_OECM_Register!$Z$5:$Z$1504,1,PA_OECM_Register!$E$5:$E$1504,"PA",PA_OECM_Register!$AH$5:$AH$1504,0)*B189)</f>
        <v/>
      </c>
      <c r="H189" s="25">
        <f>IF(A189="","",SUMIFS(PA_OECM_Register!$AG$5:$AG$1504,PA_OECM_Register!$Z$5:$Z$1504,1,PA_OECM_Register!$E$5:$E$1504,"OECM",PA_OECM_Register!$AH$5:$AH$1504,"&gt;0",PA_OECM_Register!$AH$5:$AH$1504,"&lt;="&amp;A189)+SUMIFS(PA_OECM_Register!$AG$5:$AG$1504,PA_OECM_Register!$Z$5:$Z$1504,1,PA_OECM_Register!$E$5:$E$1504,"OECM",PA_OECM_Register!$AH$5:$AH$1504,0)*C189)</f>
        <v/>
      </c>
      <c r="I189" s="26">
        <f>IF(A189="","",IF(N(Setup!$B$11)&gt;0,(G189+H189)/Setup!$B$11,""))</f>
        <v/>
      </c>
      <c r="J189" s="26">
        <f>IF(A189="","",IF(N(Setup!$B$10)&gt;0,SUMIFS(PA_OECM_Register!$AF$5:$AF$1504,PA_OECM_Register!$Z$5:$Z$1504,1,PA_OECM_Register!$AH$5:$AH$1504,"&gt;0",PA_OECM_Register!$AH$5:$AH$1504,"&lt;="&amp;A189)/Setup!$B$10,""))</f>
        <v/>
      </c>
      <c r="K189" s="26">
        <f>IF(A189="","",IF(N(Setup!$B$11)&gt;0,SUMIFS(PA_OECM_Register!$AG$5:$AG$1504,PA_OECM_Register!$Z$5:$Z$1504,1,PA_OECM_Register!$AH$5:$AH$1504,"&gt;0",PA_OECM_Register!$AH$5:$AH$1504,"&lt;="&amp;A189)/Setup!$B$11,""))</f>
        <v/>
      </c>
    </row>
    <row r="190">
      <c r="A190" s="33">
        <f>IF(Setup!$B$27+185&gt;Setup!$B$6,"",Setup!$B$27+185)</f>
        <v/>
      </c>
      <c r="B190" s="38">
        <f>IF(A190="","",COUNTIFS(PA_OECM_Register!$Z$5:$Z$1504,1,PA_OECM_Register!$E$5:$E$1504,"PA",PA_OECM_Register!$AH$5:$AH$1504,"&gt;0",PA_OECM_Register!$AH$5:$AH$1504,"&lt;="&amp;A190)/MAX(1,COUNTIFS(PA_OECM_Register!$Z$5:$Z$1504,1,PA_OECM_Register!$E$5:$E$1504,"PA",PA_OECM_Register!$AH$5:$AH$1504,"&gt;0")))</f>
        <v/>
      </c>
      <c r="C190" s="38">
        <f>IF(A190="","",COUNTIFS(PA_OECM_Register!$Z$5:$Z$1504,1,PA_OECM_Register!$E$5:$E$1504,"OECM",PA_OECM_Register!$AH$5:$AH$1504,"&gt;0",PA_OECM_Register!$AH$5:$AH$1504,"&lt;="&amp;A190)/MAX(1,COUNTIFS(PA_OECM_Register!$Z$5:$Z$1504,1,PA_OECM_Register!$E$5:$E$1504,"OECM",PA_OECM_Register!$AH$5:$AH$1504,"&gt;0")))</f>
        <v/>
      </c>
      <c r="D190" s="25">
        <f>IF(A190="","",SUMIFS(PA_OECM_Register!$AF$5:$AF$1504,PA_OECM_Register!$Z$5:$Z$1504,1,PA_OECM_Register!$E$5:$E$1504,"PA",PA_OECM_Register!$AH$5:$AH$1504,"&gt;0",PA_OECM_Register!$AH$5:$AH$1504,"&lt;="&amp;A190)+SUMIFS(PA_OECM_Register!$AF$5:$AF$1504,PA_OECM_Register!$Z$5:$Z$1504,1,PA_OECM_Register!$E$5:$E$1504,"PA",PA_OECM_Register!$AH$5:$AH$1504,0)*B190)</f>
        <v/>
      </c>
      <c r="E190" s="25">
        <f>IF(A190="","",SUMIFS(PA_OECM_Register!$AF$5:$AF$1504,PA_OECM_Register!$Z$5:$Z$1504,1,PA_OECM_Register!$E$5:$E$1504,"OECM",PA_OECM_Register!$AH$5:$AH$1504,"&gt;0",PA_OECM_Register!$AH$5:$AH$1504,"&lt;="&amp;A190)+SUMIFS(PA_OECM_Register!$AF$5:$AF$1504,PA_OECM_Register!$Z$5:$Z$1504,1,PA_OECM_Register!$E$5:$E$1504,"OECM",PA_OECM_Register!$AH$5:$AH$1504,0)*C190)</f>
        <v/>
      </c>
      <c r="F190" s="26">
        <f>IF(A190="","",IF(N(Setup!$B$10)&gt;0,(D190+E190)/Setup!$B$10,""))</f>
        <v/>
      </c>
      <c r="G190" s="25">
        <f>IF(A190="","",SUMIFS(PA_OECM_Register!$AG$5:$AG$1504,PA_OECM_Register!$Z$5:$Z$1504,1,PA_OECM_Register!$E$5:$E$1504,"PA",PA_OECM_Register!$AH$5:$AH$1504,"&gt;0",PA_OECM_Register!$AH$5:$AH$1504,"&lt;="&amp;A190)+SUMIFS(PA_OECM_Register!$AG$5:$AG$1504,PA_OECM_Register!$Z$5:$Z$1504,1,PA_OECM_Register!$E$5:$E$1504,"PA",PA_OECM_Register!$AH$5:$AH$1504,0)*B190)</f>
        <v/>
      </c>
      <c r="H190" s="25">
        <f>IF(A190="","",SUMIFS(PA_OECM_Register!$AG$5:$AG$1504,PA_OECM_Register!$Z$5:$Z$1504,1,PA_OECM_Register!$E$5:$E$1504,"OECM",PA_OECM_Register!$AH$5:$AH$1504,"&gt;0",PA_OECM_Register!$AH$5:$AH$1504,"&lt;="&amp;A190)+SUMIFS(PA_OECM_Register!$AG$5:$AG$1504,PA_OECM_Register!$Z$5:$Z$1504,1,PA_OECM_Register!$E$5:$E$1504,"OECM",PA_OECM_Register!$AH$5:$AH$1504,0)*C190)</f>
        <v/>
      </c>
      <c r="I190" s="26">
        <f>IF(A190="","",IF(N(Setup!$B$11)&gt;0,(G190+H190)/Setup!$B$11,""))</f>
        <v/>
      </c>
      <c r="J190" s="26">
        <f>IF(A190="","",IF(N(Setup!$B$10)&gt;0,SUMIFS(PA_OECM_Register!$AF$5:$AF$1504,PA_OECM_Register!$Z$5:$Z$1504,1,PA_OECM_Register!$AH$5:$AH$1504,"&gt;0",PA_OECM_Register!$AH$5:$AH$1504,"&lt;="&amp;A190)/Setup!$B$10,""))</f>
        <v/>
      </c>
      <c r="K190" s="26">
        <f>IF(A190="","",IF(N(Setup!$B$11)&gt;0,SUMIFS(PA_OECM_Register!$AG$5:$AG$1504,PA_OECM_Register!$Z$5:$Z$1504,1,PA_OECM_Register!$AH$5:$AH$1504,"&gt;0",PA_OECM_Register!$AH$5:$AH$1504,"&lt;="&amp;A190)/Setup!$B$11,""))</f>
        <v/>
      </c>
    </row>
    <row r="191">
      <c r="A191" s="33">
        <f>IF(Setup!$B$27+186&gt;Setup!$B$6,"",Setup!$B$27+186)</f>
        <v/>
      </c>
      <c r="B191" s="38">
        <f>IF(A191="","",COUNTIFS(PA_OECM_Register!$Z$5:$Z$1504,1,PA_OECM_Register!$E$5:$E$1504,"PA",PA_OECM_Register!$AH$5:$AH$1504,"&gt;0",PA_OECM_Register!$AH$5:$AH$1504,"&lt;="&amp;A191)/MAX(1,COUNTIFS(PA_OECM_Register!$Z$5:$Z$1504,1,PA_OECM_Register!$E$5:$E$1504,"PA",PA_OECM_Register!$AH$5:$AH$1504,"&gt;0")))</f>
        <v/>
      </c>
      <c r="C191" s="38">
        <f>IF(A191="","",COUNTIFS(PA_OECM_Register!$Z$5:$Z$1504,1,PA_OECM_Register!$E$5:$E$1504,"OECM",PA_OECM_Register!$AH$5:$AH$1504,"&gt;0",PA_OECM_Register!$AH$5:$AH$1504,"&lt;="&amp;A191)/MAX(1,COUNTIFS(PA_OECM_Register!$Z$5:$Z$1504,1,PA_OECM_Register!$E$5:$E$1504,"OECM",PA_OECM_Register!$AH$5:$AH$1504,"&gt;0")))</f>
        <v/>
      </c>
      <c r="D191" s="25">
        <f>IF(A191="","",SUMIFS(PA_OECM_Register!$AF$5:$AF$1504,PA_OECM_Register!$Z$5:$Z$1504,1,PA_OECM_Register!$E$5:$E$1504,"PA",PA_OECM_Register!$AH$5:$AH$1504,"&gt;0",PA_OECM_Register!$AH$5:$AH$1504,"&lt;="&amp;A191)+SUMIFS(PA_OECM_Register!$AF$5:$AF$1504,PA_OECM_Register!$Z$5:$Z$1504,1,PA_OECM_Register!$E$5:$E$1504,"PA",PA_OECM_Register!$AH$5:$AH$1504,0)*B191)</f>
        <v/>
      </c>
      <c r="E191" s="25">
        <f>IF(A191="","",SUMIFS(PA_OECM_Register!$AF$5:$AF$1504,PA_OECM_Register!$Z$5:$Z$1504,1,PA_OECM_Register!$E$5:$E$1504,"OECM",PA_OECM_Register!$AH$5:$AH$1504,"&gt;0",PA_OECM_Register!$AH$5:$AH$1504,"&lt;="&amp;A191)+SUMIFS(PA_OECM_Register!$AF$5:$AF$1504,PA_OECM_Register!$Z$5:$Z$1504,1,PA_OECM_Register!$E$5:$E$1504,"OECM",PA_OECM_Register!$AH$5:$AH$1504,0)*C191)</f>
        <v/>
      </c>
      <c r="F191" s="26">
        <f>IF(A191="","",IF(N(Setup!$B$10)&gt;0,(D191+E191)/Setup!$B$10,""))</f>
        <v/>
      </c>
      <c r="G191" s="25">
        <f>IF(A191="","",SUMIFS(PA_OECM_Register!$AG$5:$AG$1504,PA_OECM_Register!$Z$5:$Z$1504,1,PA_OECM_Register!$E$5:$E$1504,"PA",PA_OECM_Register!$AH$5:$AH$1504,"&gt;0",PA_OECM_Register!$AH$5:$AH$1504,"&lt;="&amp;A191)+SUMIFS(PA_OECM_Register!$AG$5:$AG$1504,PA_OECM_Register!$Z$5:$Z$1504,1,PA_OECM_Register!$E$5:$E$1504,"PA",PA_OECM_Register!$AH$5:$AH$1504,0)*B191)</f>
        <v/>
      </c>
      <c r="H191" s="25">
        <f>IF(A191="","",SUMIFS(PA_OECM_Register!$AG$5:$AG$1504,PA_OECM_Register!$Z$5:$Z$1504,1,PA_OECM_Register!$E$5:$E$1504,"OECM",PA_OECM_Register!$AH$5:$AH$1504,"&gt;0",PA_OECM_Register!$AH$5:$AH$1504,"&lt;="&amp;A191)+SUMIFS(PA_OECM_Register!$AG$5:$AG$1504,PA_OECM_Register!$Z$5:$Z$1504,1,PA_OECM_Register!$E$5:$E$1504,"OECM",PA_OECM_Register!$AH$5:$AH$1504,0)*C191)</f>
        <v/>
      </c>
      <c r="I191" s="26">
        <f>IF(A191="","",IF(N(Setup!$B$11)&gt;0,(G191+H191)/Setup!$B$11,""))</f>
        <v/>
      </c>
      <c r="J191" s="26">
        <f>IF(A191="","",IF(N(Setup!$B$10)&gt;0,SUMIFS(PA_OECM_Register!$AF$5:$AF$1504,PA_OECM_Register!$Z$5:$Z$1504,1,PA_OECM_Register!$AH$5:$AH$1504,"&gt;0",PA_OECM_Register!$AH$5:$AH$1504,"&lt;="&amp;A191)/Setup!$B$10,""))</f>
        <v/>
      </c>
      <c r="K191" s="26">
        <f>IF(A191="","",IF(N(Setup!$B$11)&gt;0,SUMIFS(PA_OECM_Register!$AG$5:$AG$1504,PA_OECM_Register!$Z$5:$Z$1504,1,PA_OECM_Register!$AH$5:$AH$1504,"&gt;0",PA_OECM_Register!$AH$5:$AH$1504,"&lt;="&amp;A191)/Setup!$B$11,""))</f>
        <v/>
      </c>
    </row>
    <row r="192">
      <c r="A192" s="33">
        <f>IF(Setup!$B$27+187&gt;Setup!$B$6,"",Setup!$B$27+187)</f>
        <v/>
      </c>
      <c r="B192" s="38">
        <f>IF(A192="","",COUNTIFS(PA_OECM_Register!$Z$5:$Z$1504,1,PA_OECM_Register!$E$5:$E$1504,"PA",PA_OECM_Register!$AH$5:$AH$1504,"&gt;0",PA_OECM_Register!$AH$5:$AH$1504,"&lt;="&amp;A192)/MAX(1,COUNTIFS(PA_OECM_Register!$Z$5:$Z$1504,1,PA_OECM_Register!$E$5:$E$1504,"PA",PA_OECM_Register!$AH$5:$AH$1504,"&gt;0")))</f>
        <v/>
      </c>
      <c r="C192" s="38">
        <f>IF(A192="","",COUNTIFS(PA_OECM_Register!$Z$5:$Z$1504,1,PA_OECM_Register!$E$5:$E$1504,"OECM",PA_OECM_Register!$AH$5:$AH$1504,"&gt;0",PA_OECM_Register!$AH$5:$AH$1504,"&lt;="&amp;A192)/MAX(1,COUNTIFS(PA_OECM_Register!$Z$5:$Z$1504,1,PA_OECM_Register!$E$5:$E$1504,"OECM",PA_OECM_Register!$AH$5:$AH$1504,"&gt;0")))</f>
        <v/>
      </c>
      <c r="D192" s="25">
        <f>IF(A192="","",SUMIFS(PA_OECM_Register!$AF$5:$AF$1504,PA_OECM_Register!$Z$5:$Z$1504,1,PA_OECM_Register!$E$5:$E$1504,"PA",PA_OECM_Register!$AH$5:$AH$1504,"&gt;0",PA_OECM_Register!$AH$5:$AH$1504,"&lt;="&amp;A192)+SUMIFS(PA_OECM_Register!$AF$5:$AF$1504,PA_OECM_Register!$Z$5:$Z$1504,1,PA_OECM_Register!$E$5:$E$1504,"PA",PA_OECM_Register!$AH$5:$AH$1504,0)*B192)</f>
        <v/>
      </c>
      <c r="E192" s="25">
        <f>IF(A192="","",SUMIFS(PA_OECM_Register!$AF$5:$AF$1504,PA_OECM_Register!$Z$5:$Z$1504,1,PA_OECM_Register!$E$5:$E$1504,"OECM",PA_OECM_Register!$AH$5:$AH$1504,"&gt;0",PA_OECM_Register!$AH$5:$AH$1504,"&lt;="&amp;A192)+SUMIFS(PA_OECM_Register!$AF$5:$AF$1504,PA_OECM_Register!$Z$5:$Z$1504,1,PA_OECM_Register!$E$5:$E$1504,"OECM",PA_OECM_Register!$AH$5:$AH$1504,0)*C192)</f>
        <v/>
      </c>
      <c r="F192" s="26">
        <f>IF(A192="","",IF(N(Setup!$B$10)&gt;0,(D192+E192)/Setup!$B$10,""))</f>
        <v/>
      </c>
      <c r="G192" s="25">
        <f>IF(A192="","",SUMIFS(PA_OECM_Register!$AG$5:$AG$1504,PA_OECM_Register!$Z$5:$Z$1504,1,PA_OECM_Register!$E$5:$E$1504,"PA",PA_OECM_Register!$AH$5:$AH$1504,"&gt;0",PA_OECM_Register!$AH$5:$AH$1504,"&lt;="&amp;A192)+SUMIFS(PA_OECM_Register!$AG$5:$AG$1504,PA_OECM_Register!$Z$5:$Z$1504,1,PA_OECM_Register!$E$5:$E$1504,"PA",PA_OECM_Register!$AH$5:$AH$1504,0)*B192)</f>
        <v/>
      </c>
      <c r="H192" s="25">
        <f>IF(A192="","",SUMIFS(PA_OECM_Register!$AG$5:$AG$1504,PA_OECM_Register!$Z$5:$Z$1504,1,PA_OECM_Register!$E$5:$E$1504,"OECM",PA_OECM_Register!$AH$5:$AH$1504,"&gt;0",PA_OECM_Register!$AH$5:$AH$1504,"&lt;="&amp;A192)+SUMIFS(PA_OECM_Register!$AG$5:$AG$1504,PA_OECM_Register!$Z$5:$Z$1504,1,PA_OECM_Register!$E$5:$E$1504,"OECM",PA_OECM_Register!$AH$5:$AH$1504,0)*C192)</f>
        <v/>
      </c>
      <c r="I192" s="26">
        <f>IF(A192="","",IF(N(Setup!$B$11)&gt;0,(G192+H192)/Setup!$B$11,""))</f>
        <v/>
      </c>
      <c r="J192" s="26">
        <f>IF(A192="","",IF(N(Setup!$B$10)&gt;0,SUMIFS(PA_OECM_Register!$AF$5:$AF$1504,PA_OECM_Register!$Z$5:$Z$1504,1,PA_OECM_Register!$AH$5:$AH$1504,"&gt;0",PA_OECM_Register!$AH$5:$AH$1504,"&lt;="&amp;A192)/Setup!$B$10,""))</f>
        <v/>
      </c>
      <c r="K192" s="26">
        <f>IF(A192="","",IF(N(Setup!$B$11)&gt;0,SUMIFS(PA_OECM_Register!$AG$5:$AG$1504,PA_OECM_Register!$Z$5:$Z$1504,1,PA_OECM_Register!$AH$5:$AH$1504,"&gt;0",PA_OECM_Register!$AH$5:$AH$1504,"&lt;="&amp;A192)/Setup!$B$11,""))</f>
        <v/>
      </c>
    </row>
    <row r="193">
      <c r="A193" s="33">
        <f>IF(Setup!$B$27+188&gt;Setup!$B$6,"",Setup!$B$27+188)</f>
        <v/>
      </c>
      <c r="B193" s="38">
        <f>IF(A193="","",COUNTIFS(PA_OECM_Register!$Z$5:$Z$1504,1,PA_OECM_Register!$E$5:$E$1504,"PA",PA_OECM_Register!$AH$5:$AH$1504,"&gt;0",PA_OECM_Register!$AH$5:$AH$1504,"&lt;="&amp;A193)/MAX(1,COUNTIFS(PA_OECM_Register!$Z$5:$Z$1504,1,PA_OECM_Register!$E$5:$E$1504,"PA",PA_OECM_Register!$AH$5:$AH$1504,"&gt;0")))</f>
        <v/>
      </c>
      <c r="C193" s="38">
        <f>IF(A193="","",COUNTIFS(PA_OECM_Register!$Z$5:$Z$1504,1,PA_OECM_Register!$E$5:$E$1504,"OECM",PA_OECM_Register!$AH$5:$AH$1504,"&gt;0",PA_OECM_Register!$AH$5:$AH$1504,"&lt;="&amp;A193)/MAX(1,COUNTIFS(PA_OECM_Register!$Z$5:$Z$1504,1,PA_OECM_Register!$E$5:$E$1504,"OECM",PA_OECM_Register!$AH$5:$AH$1504,"&gt;0")))</f>
        <v/>
      </c>
      <c r="D193" s="25">
        <f>IF(A193="","",SUMIFS(PA_OECM_Register!$AF$5:$AF$1504,PA_OECM_Register!$Z$5:$Z$1504,1,PA_OECM_Register!$E$5:$E$1504,"PA",PA_OECM_Register!$AH$5:$AH$1504,"&gt;0",PA_OECM_Register!$AH$5:$AH$1504,"&lt;="&amp;A193)+SUMIFS(PA_OECM_Register!$AF$5:$AF$1504,PA_OECM_Register!$Z$5:$Z$1504,1,PA_OECM_Register!$E$5:$E$1504,"PA",PA_OECM_Register!$AH$5:$AH$1504,0)*B193)</f>
        <v/>
      </c>
      <c r="E193" s="25">
        <f>IF(A193="","",SUMIFS(PA_OECM_Register!$AF$5:$AF$1504,PA_OECM_Register!$Z$5:$Z$1504,1,PA_OECM_Register!$E$5:$E$1504,"OECM",PA_OECM_Register!$AH$5:$AH$1504,"&gt;0",PA_OECM_Register!$AH$5:$AH$1504,"&lt;="&amp;A193)+SUMIFS(PA_OECM_Register!$AF$5:$AF$1504,PA_OECM_Register!$Z$5:$Z$1504,1,PA_OECM_Register!$E$5:$E$1504,"OECM",PA_OECM_Register!$AH$5:$AH$1504,0)*C193)</f>
        <v/>
      </c>
      <c r="F193" s="26">
        <f>IF(A193="","",IF(N(Setup!$B$10)&gt;0,(D193+E193)/Setup!$B$10,""))</f>
        <v/>
      </c>
      <c r="G193" s="25">
        <f>IF(A193="","",SUMIFS(PA_OECM_Register!$AG$5:$AG$1504,PA_OECM_Register!$Z$5:$Z$1504,1,PA_OECM_Register!$E$5:$E$1504,"PA",PA_OECM_Register!$AH$5:$AH$1504,"&gt;0",PA_OECM_Register!$AH$5:$AH$1504,"&lt;="&amp;A193)+SUMIFS(PA_OECM_Register!$AG$5:$AG$1504,PA_OECM_Register!$Z$5:$Z$1504,1,PA_OECM_Register!$E$5:$E$1504,"PA",PA_OECM_Register!$AH$5:$AH$1504,0)*B193)</f>
        <v/>
      </c>
      <c r="H193" s="25">
        <f>IF(A193="","",SUMIFS(PA_OECM_Register!$AG$5:$AG$1504,PA_OECM_Register!$Z$5:$Z$1504,1,PA_OECM_Register!$E$5:$E$1504,"OECM",PA_OECM_Register!$AH$5:$AH$1504,"&gt;0",PA_OECM_Register!$AH$5:$AH$1504,"&lt;="&amp;A193)+SUMIFS(PA_OECM_Register!$AG$5:$AG$1504,PA_OECM_Register!$Z$5:$Z$1504,1,PA_OECM_Register!$E$5:$E$1504,"OECM",PA_OECM_Register!$AH$5:$AH$1504,0)*C193)</f>
        <v/>
      </c>
      <c r="I193" s="26">
        <f>IF(A193="","",IF(N(Setup!$B$11)&gt;0,(G193+H193)/Setup!$B$11,""))</f>
        <v/>
      </c>
      <c r="J193" s="26">
        <f>IF(A193="","",IF(N(Setup!$B$10)&gt;0,SUMIFS(PA_OECM_Register!$AF$5:$AF$1504,PA_OECM_Register!$Z$5:$Z$1504,1,PA_OECM_Register!$AH$5:$AH$1504,"&gt;0",PA_OECM_Register!$AH$5:$AH$1504,"&lt;="&amp;A193)/Setup!$B$10,""))</f>
        <v/>
      </c>
      <c r="K193" s="26">
        <f>IF(A193="","",IF(N(Setup!$B$11)&gt;0,SUMIFS(PA_OECM_Register!$AG$5:$AG$1504,PA_OECM_Register!$Z$5:$Z$1504,1,PA_OECM_Register!$AH$5:$AH$1504,"&gt;0",PA_OECM_Register!$AH$5:$AH$1504,"&lt;="&amp;A193)/Setup!$B$11,""))</f>
        <v/>
      </c>
    </row>
    <row r="194">
      <c r="A194" s="33">
        <f>IF(Setup!$B$27+189&gt;Setup!$B$6,"",Setup!$B$27+189)</f>
        <v/>
      </c>
      <c r="B194" s="38">
        <f>IF(A194="","",COUNTIFS(PA_OECM_Register!$Z$5:$Z$1504,1,PA_OECM_Register!$E$5:$E$1504,"PA",PA_OECM_Register!$AH$5:$AH$1504,"&gt;0",PA_OECM_Register!$AH$5:$AH$1504,"&lt;="&amp;A194)/MAX(1,COUNTIFS(PA_OECM_Register!$Z$5:$Z$1504,1,PA_OECM_Register!$E$5:$E$1504,"PA",PA_OECM_Register!$AH$5:$AH$1504,"&gt;0")))</f>
        <v/>
      </c>
      <c r="C194" s="38">
        <f>IF(A194="","",COUNTIFS(PA_OECM_Register!$Z$5:$Z$1504,1,PA_OECM_Register!$E$5:$E$1504,"OECM",PA_OECM_Register!$AH$5:$AH$1504,"&gt;0",PA_OECM_Register!$AH$5:$AH$1504,"&lt;="&amp;A194)/MAX(1,COUNTIFS(PA_OECM_Register!$Z$5:$Z$1504,1,PA_OECM_Register!$E$5:$E$1504,"OECM",PA_OECM_Register!$AH$5:$AH$1504,"&gt;0")))</f>
        <v/>
      </c>
      <c r="D194" s="25">
        <f>IF(A194="","",SUMIFS(PA_OECM_Register!$AF$5:$AF$1504,PA_OECM_Register!$Z$5:$Z$1504,1,PA_OECM_Register!$E$5:$E$1504,"PA",PA_OECM_Register!$AH$5:$AH$1504,"&gt;0",PA_OECM_Register!$AH$5:$AH$1504,"&lt;="&amp;A194)+SUMIFS(PA_OECM_Register!$AF$5:$AF$1504,PA_OECM_Register!$Z$5:$Z$1504,1,PA_OECM_Register!$E$5:$E$1504,"PA",PA_OECM_Register!$AH$5:$AH$1504,0)*B194)</f>
        <v/>
      </c>
      <c r="E194" s="25">
        <f>IF(A194="","",SUMIFS(PA_OECM_Register!$AF$5:$AF$1504,PA_OECM_Register!$Z$5:$Z$1504,1,PA_OECM_Register!$E$5:$E$1504,"OECM",PA_OECM_Register!$AH$5:$AH$1504,"&gt;0",PA_OECM_Register!$AH$5:$AH$1504,"&lt;="&amp;A194)+SUMIFS(PA_OECM_Register!$AF$5:$AF$1504,PA_OECM_Register!$Z$5:$Z$1504,1,PA_OECM_Register!$E$5:$E$1504,"OECM",PA_OECM_Register!$AH$5:$AH$1504,0)*C194)</f>
        <v/>
      </c>
      <c r="F194" s="26">
        <f>IF(A194="","",IF(N(Setup!$B$10)&gt;0,(D194+E194)/Setup!$B$10,""))</f>
        <v/>
      </c>
      <c r="G194" s="25">
        <f>IF(A194="","",SUMIFS(PA_OECM_Register!$AG$5:$AG$1504,PA_OECM_Register!$Z$5:$Z$1504,1,PA_OECM_Register!$E$5:$E$1504,"PA",PA_OECM_Register!$AH$5:$AH$1504,"&gt;0",PA_OECM_Register!$AH$5:$AH$1504,"&lt;="&amp;A194)+SUMIFS(PA_OECM_Register!$AG$5:$AG$1504,PA_OECM_Register!$Z$5:$Z$1504,1,PA_OECM_Register!$E$5:$E$1504,"PA",PA_OECM_Register!$AH$5:$AH$1504,0)*B194)</f>
        <v/>
      </c>
      <c r="H194" s="25">
        <f>IF(A194="","",SUMIFS(PA_OECM_Register!$AG$5:$AG$1504,PA_OECM_Register!$Z$5:$Z$1504,1,PA_OECM_Register!$E$5:$E$1504,"OECM",PA_OECM_Register!$AH$5:$AH$1504,"&gt;0",PA_OECM_Register!$AH$5:$AH$1504,"&lt;="&amp;A194)+SUMIFS(PA_OECM_Register!$AG$5:$AG$1504,PA_OECM_Register!$Z$5:$Z$1504,1,PA_OECM_Register!$E$5:$E$1504,"OECM",PA_OECM_Register!$AH$5:$AH$1504,0)*C194)</f>
        <v/>
      </c>
      <c r="I194" s="26">
        <f>IF(A194="","",IF(N(Setup!$B$11)&gt;0,(G194+H194)/Setup!$B$11,""))</f>
        <v/>
      </c>
      <c r="J194" s="26">
        <f>IF(A194="","",IF(N(Setup!$B$10)&gt;0,SUMIFS(PA_OECM_Register!$AF$5:$AF$1504,PA_OECM_Register!$Z$5:$Z$1504,1,PA_OECM_Register!$AH$5:$AH$1504,"&gt;0",PA_OECM_Register!$AH$5:$AH$1504,"&lt;="&amp;A194)/Setup!$B$10,""))</f>
        <v/>
      </c>
      <c r="K194" s="26">
        <f>IF(A194="","",IF(N(Setup!$B$11)&gt;0,SUMIFS(PA_OECM_Register!$AG$5:$AG$1504,PA_OECM_Register!$Z$5:$Z$1504,1,PA_OECM_Register!$AH$5:$AH$1504,"&gt;0",PA_OECM_Register!$AH$5:$AH$1504,"&lt;="&amp;A194)/Setup!$B$11,""))</f>
        <v/>
      </c>
    </row>
    <row r="195">
      <c r="A195" s="33">
        <f>IF(Setup!$B$27+190&gt;Setup!$B$6,"",Setup!$B$27+190)</f>
        <v/>
      </c>
      <c r="B195" s="38">
        <f>IF(A195="","",COUNTIFS(PA_OECM_Register!$Z$5:$Z$1504,1,PA_OECM_Register!$E$5:$E$1504,"PA",PA_OECM_Register!$AH$5:$AH$1504,"&gt;0",PA_OECM_Register!$AH$5:$AH$1504,"&lt;="&amp;A195)/MAX(1,COUNTIFS(PA_OECM_Register!$Z$5:$Z$1504,1,PA_OECM_Register!$E$5:$E$1504,"PA",PA_OECM_Register!$AH$5:$AH$1504,"&gt;0")))</f>
        <v/>
      </c>
      <c r="C195" s="38">
        <f>IF(A195="","",COUNTIFS(PA_OECM_Register!$Z$5:$Z$1504,1,PA_OECM_Register!$E$5:$E$1504,"OECM",PA_OECM_Register!$AH$5:$AH$1504,"&gt;0",PA_OECM_Register!$AH$5:$AH$1504,"&lt;="&amp;A195)/MAX(1,COUNTIFS(PA_OECM_Register!$Z$5:$Z$1504,1,PA_OECM_Register!$E$5:$E$1504,"OECM",PA_OECM_Register!$AH$5:$AH$1504,"&gt;0")))</f>
        <v/>
      </c>
      <c r="D195" s="25">
        <f>IF(A195="","",SUMIFS(PA_OECM_Register!$AF$5:$AF$1504,PA_OECM_Register!$Z$5:$Z$1504,1,PA_OECM_Register!$E$5:$E$1504,"PA",PA_OECM_Register!$AH$5:$AH$1504,"&gt;0",PA_OECM_Register!$AH$5:$AH$1504,"&lt;="&amp;A195)+SUMIFS(PA_OECM_Register!$AF$5:$AF$1504,PA_OECM_Register!$Z$5:$Z$1504,1,PA_OECM_Register!$E$5:$E$1504,"PA",PA_OECM_Register!$AH$5:$AH$1504,0)*B195)</f>
        <v/>
      </c>
      <c r="E195" s="25">
        <f>IF(A195="","",SUMIFS(PA_OECM_Register!$AF$5:$AF$1504,PA_OECM_Register!$Z$5:$Z$1504,1,PA_OECM_Register!$E$5:$E$1504,"OECM",PA_OECM_Register!$AH$5:$AH$1504,"&gt;0",PA_OECM_Register!$AH$5:$AH$1504,"&lt;="&amp;A195)+SUMIFS(PA_OECM_Register!$AF$5:$AF$1504,PA_OECM_Register!$Z$5:$Z$1504,1,PA_OECM_Register!$E$5:$E$1504,"OECM",PA_OECM_Register!$AH$5:$AH$1504,0)*C195)</f>
        <v/>
      </c>
      <c r="F195" s="26">
        <f>IF(A195="","",IF(N(Setup!$B$10)&gt;0,(D195+E195)/Setup!$B$10,""))</f>
        <v/>
      </c>
      <c r="G195" s="25">
        <f>IF(A195="","",SUMIFS(PA_OECM_Register!$AG$5:$AG$1504,PA_OECM_Register!$Z$5:$Z$1504,1,PA_OECM_Register!$E$5:$E$1504,"PA",PA_OECM_Register!$AH$5:$AH$1504,"&gt;0",PA_OECM_Register!$AH$5:$AH$1504,"&lt;="&amp;A195)+SUMIFS(PA_OECM_Register!$AG$5:$AG$1504,PA_OECM_Register!$Z$5:$Z$1504,1,PA_OECM_Register!$E$5:$E$1504,"PA",PA_OECM_Register!$AH$5:$AH$1504,0)*B195)</f>
        <v/>
      </c>
      <c r="H195" s="25">
        <f>IF(A195="","",SUMIFS(PA_OECM_Register!$AG$5:$AG$1504,PA_OECM_Register!$Z$5:$Z$1504,1,PA_OECM_Register!$E$5:$E$1504,"OECM",PA_OECM_Register!$AH$5:$AH$1504,"&gt;0",PA_OECM_Register!$AH$5:$AH$1504,"&lt;="&amp;A195)+SUMIFS(PA_OECM_Register!$AG$5:$AG$1504,PA_OECM_Register!$Z$5:$Z$1504,1,PA_OECM_Register!$E$5:$E$1504,"OECM",PA_OECM_Register!$AH$5:$AH$1504,0)*C195)</f>
        <v/>
      </c>
      <c r="I195" s="26">
        <f>IF(A195="","",IF(N(Setup!$B$11)&gt;0,(G195+H195)/Setup!$B$11,""))</f>
        <v/>
      </c>
      <c r="J195" s="26">
        <f>IF(A195="","",IF(N(Setup!$B$10)&gt;0,SUMIFS(PA_OECM_Register!$AF$5:$AF$1504,PA_OECM_Register!$Z$5:$Z$1504,1,PA_OECM_Register!$AH$5:$AH$1504,"&gt;0",PA_OECM_Register!$AH$5:$AH$1504,"&lt;="&amp;A195)/Setup!$B$10,""))</f>
        <v/>
      </c>
      <c r="K195" s="26">
        <f>IF(A195="","",IF(N(Setup!$B$11)&gt;0,SUMIFS(PA_OECM_Register!$AG$5:$AG$1504,PA_OECM_Register!$Z$5:$Z$1504,1,PA_OECM_Register!$AH$5:$AH$1504,"&gt;0",PA_OECM_Register!$AH$5:$AH$1504,"&lt;="&amp;A195)/Setup!$B$11,""))</f>
        <v/>
      </c>
    </row>
    <row r="196">
      <c r="A196" s="33">
        <f>IF(Setup!$B$27+191&gt;Setup!$B$6,"",Setup!$B$27+191)</f>
        <v/>
      </c>
      <c r="B196" s="38">
        <f>IF(A196="","",COUNTIFS(PA_OECM_Register!$Z$5:$Z$1504,1,PA_OECM_Register!$E$5:$E$1504,"PA",PA_OECM_Register!$AH$5:$AH$1504,"&gt;0",PA_OECM_Register!$AH$5:$AH$1504,"&lt;="&amp;A196)/MAX(1,COUNTIFS(PA_OECM_Register!$Z$5:$Z$1504,1,PA_OECM_Register!$E$5:$E$1504,"PA",PA_OECM_Register!$AH$5:$AH$1504,"&gt;0")))</f>
        <v/>
      </c>
      <c r="C196" s="38">
        <f>IF(A196="","",COUNTIFS(PA_OECM_Register!$Z$5:$Z$1504,1,PA_OECM_Register!$E$5:$E$1504,"OECM",PA_OECM_Register!$AH$5:$AH$1504,"&gt;0",PA_OECM_Register!$AH$5:$AH$1504,"&lt;="&amp;A196)/MAX(1,COUNTIFS(PA_OECM_Register!$Z$5:$Z$1504,1,PA_OECM_Register!$E$5:$E$1504,"OECM",PA_OECM_Register!$AH$5:$AH$1504,"&gt;0")))</f>
        <v/>
      </c>
      <c r="D196" s="25">
        <f>IF(A196="","",SUMIFS(PA_OECM_Register!$AF$5:$AF$1504,PA_OECM_Register!$Z$5:$Z$1504,1,PA_OECM_Register!$E$5:$E$1504,"PA",PA_OECM_Register!$AH$5:$AH$1504,"&gt;0",PA_OECM_Register!$AH$5:$AH$1504,"&lt;="&amp;A196)+SUMIFS(PA_OECM_Register!$AF$5:$AF$1504,PA_OECM_Register!$Z$5:$Z$1504,1,PA_OECM_Register!$E$5:$E$1504,"PA",PA_OECM_Register!$AH$5:$AH$1504,0)*B196)</f>
        <v/>
      </c>
      <c r="E196" s="25">
        <f>IF(A196="","",SUMIFS(PA_OECM_Register!$AF$5:$AF$1504,PA_OECM_Register!$Z$5:$Z$1504,1,PA_OECM_Register!$E$5:$E$1504,"OECM",PA_OECM_Register!$AH$5:$AH$1504,"&gt;0",PA_OECM_Register!$AH$5:$AH$1504,"&lt;="&amp;A196)+SUMIFS(PA_OECM_Register!$AF$5:$AF$1504,PA_OECM_Register!$Z$5:$Z$1504,1,PA_OECM_Register!$E$5:$E$1504,"OECM",PA_OECM_Register!$AH$5:$AH$1504,0)*C196)</f>
        <v/>
      </c>
      <c r="F196" s="26">
        <f>IF(A196="","",IF(N(Setup!$B$10)&gt;0,(D196+E196)/Setup!$B$10,""))</f>
        <v/>
      </c>
      <c r="G196" s="25">
        <f>IF(A196="","",SUMIFS(PA_OECM_Register!$AG$5:$AG$1504,PA_OECM_Register!$Z$5:$Z$1504,1,PA_OECM_Register!$E$5:$E$1504,"PA",PA_OECM_Register!$AH$5:$AH$1504,"&gt;0",PA_OECM_Register!$AH$5:$AH$1504,"&lt;="&amp;A196)+SUMIFS(PA_OECM_Register!$AG$5:$AG$1504,PA_OECM_Register!$Z$5:$Z$1504,1,PA_OECM_Register!$E$5:$E$1504,"PA",PA_OECM_Register!$AH$5:$AH$1504,0)*B196)</f>
        <v/>
      </c>
      <c r="H196" s="25">
        <f>IF(A196="","",SUMIFS(PA_OECM_Register!$AG$5:$AG$1504,PA_OECM_Register!$Z$5:$Z$1504,1,PA_OECM_Register!$E$5:$E$1504,"OECM",PA_OECM_Register!$AH$5:$AH$1504,"&gt;0",PA_OECM_Register!$AH$5:$AH$1504,"&lt;="&amp;A196)+SUMIFS(PA_OECM_Register!$AG$5:$AG$1504,PA_OECM_Register!$Z$5:$Z$1504,1,PA_OECM_Register!$E$5:$E$1504,"OECM",PA_OECM_Register!$AH$5:$AH$1504,0)*C196)</f>
        <v/>
      </c>
      <c r="I196" s="26">
        <f>IF(A196="","",IF(N(Setup!$B$11)&gt;0,(G196+H196)/Setup!$B$11,""))</f>
        <v/>
      </c>
      <c r="J196" s="26">
        <f>IF(A196="","",IF(N(Setup!$B$10)&gt;0,SUMIFS(PA_OECM_Register!$AF$5:$AF$1504,PA_OECM_Register!$Z$5:$Z$1504,1,PA_OECM_Register!$AH$5:$AH$1504,"&gt;0",PA_OECM_Register!$AH$5:$AH$1504,"&lt;="&amp;A196)/Setup!$B$10,""))</f>
        <v/>
      </c>
      <c r="K196" s="26">
        <f>IF(A196="","",IF(N(Setup!$B$11)&gt;0,SUMIFS(PA_OECM_Register!$AG$5:$AG$1504,PA_OECM_Register!$Z$5:$Z$1504,1,PA_OECM_Register!$AH$5:$AH$1504,"&gt;0",PA_OECM_Register!$AH$5:$AH$1504,"&lt;="&amp;A196)/Setup!$B$11,""))</f>
        <v/>
      </c>
    </row>
    <row r="197">
      <c r="A197" s="33">
        <f>IF(Setup!$B$27+192&gt;Setup!$B$6,"",Setup!$B$27+192)</f>
        <v/>
      </c>
      <c r="B197" s="38">
        <f>IF(A197="","",COUNTIFS(PA_OECM_Register!$Z$5:$Z$1504,1,PA_OECM_Register!$E$5:$E$1504,"PA",PA_OECM_Register!$AH$5:$AH$1504,"&gt;0",PA_OECM_Register!$AH$5:$AH$1504,"&lt;="&amp;A197)/MAX(1,COUNTIFS(PA_OECM_Register!$Z$5:$Z$1504,1,PA_OECM_Register!$E$5:$E$1504,"PA",PA_OECM_Register!$AH$5:$AH$1504,"&gt;0")))</f>
        <v/>
      </c>
      <c r="C197" s="38">
        <f>IF(A197="","",COUNTIFS(PA_OECM_Register!$Z$5:$Z$1504,1,PA_OECM_Register!$E$5:$E$1504,"OECM",PA_OECM_Register!$AH$5:$AH$1504,"&gt;0",PA_OECM_Register!$AH$5:$AH$1504,"&lt;="&amp;A197)/MAX(1,COUNTIFS(PA_OECM_Register!$Z$5:$Z$1504,1,PA_OECM_Register!$E$5:$E$1504,"OECM",PA_OECM_Register!$AH$5:$AH$1504,"&gt;0")))</f>
        <v/>
      </c>
      <c r="D197" s="25">
        <f>IF(A197="","",SUMIFS(PA_OECM_Register!$AF$5:$AF$1504,PA_OECM_Register!$Z$5:$Z$1504,1,PA_OECM_Register!$E$5:$E$1504,"PA",PA_OECM_Register!$AH$5:$AH$1504,"&gt;0",PA_OECM_Register!$AH$5:$AH$1504,"&lt;="&amp;A197)+SUMIFS(PA_OECM_Register!$AF$5:$AF$1504,PA_OECM_Register!$Z$5:$Z$1504,1,PA_OECM_Register!$E$5:$E$1504,"PA",PA_OECM_Register!$AH$5:$AH$1504,0)*B197)</f>
        <v/>
      </c>
      <c r="E197" s="25">
        <f>IF(A197="","",SUMIFS(PA_OECM_Register!$AF$5:$AF$1504,PA_OECM_Register!$Z$5:$Z$1504,1,PA_OECM_Register!$E$5:$E$1504,"OECM",PA_OECM_Register!$AH$5:$AH$1504,"&gt;0",PA_OECM_Register!$AH$5:$AH$1504,"&lt;="&amp;A197)+SUMIFS(PA_OECM_Register!$AF$5:$AF$1504,PA_OECM_Register!$Z$5:$Z$1504,1,PA_OECM_Register!$E$5:$E$1504,"OECM",PA_OECM_Register!$AH$5:$AH$1504,0)*C197)</f>
        <v/>
      </c>
      <c r="F197" s="26">
        <f>IF(A197="","",IF(N(Setup!$B$10)&gt;0,(D197+E197)/Setup!$B$10,""))</f>
        <v/>
      </c>
      <c r="G197" s="25">
        <f>IF(A197="","",SUMIFS(PA_OECM_Register!$AG$5:$AG$1504,PA_OECM_Register!$Z$5:$Z$1504,1,PA_OECM_Register!$E$5:$E$1504,"PA",PA_OECM_Register!$AH$5:$AH$1504,"&gt;0",PA_OECM_Register!$AH$5:$AH$1504,"&lt;="&amp;A197)+SUMIFS(PA_OECM_Register!$AG$5:$AG$1504,PA_OECM_Register!$Z$5:$Z$1504,1,PA_OECM_Register!$E$5:$E$1504,"PA",PA_OECM_Register!$AH$5:$AH$1504,0)*B197)</f>
        <v/>
      </c>
      <c r="H197" s="25">
        <f>IF(A197="","",SUMIFS(PA_OECM_Register!$AG$5:$AG$1504,PA_OECM_Register!$Z$5:$Z$1504,1,PA_OECM_Register!$E$5:$E$1504,"OECM",PA_OECM_Register!$AH$5:$AH$1504,"&gt;0",PA_OECM_Register!$AH$5:$AH$1504,"&lt;="&amp;A197)+SUMIFS(PA_OECM_Register!$AG$5:$AG$1504,PA_OECM_Register!$Z$5:$Z$1504,1,PA_OECM_Register!$E$5:$E$1504,"OECM",PA_OECM_Register!$AH$5:$AH$1504,0)*C197)</f>
        <v/>
      </c>
      <c r="I197" s="26">
        <f>IF(A197="","",IF(N(Setup!$B$11)&gt;0,(G197+H197)/Setup!$B$11,""))</f>
        <v/>
      </c>
      <c r="J197" s="26">
        <f>IF(A197="","",IF(N(Setup!$B$10)&gt;0,SUMIFS(PA_OECM_Register!$AF$5:$AF$1504,PA_OECM_Register!$Z$5:$Z$1504,1,PA_OECM_Register!$AH$5:$AH$1504,"&gt;0",PA_OECM_Register!$AH$5:$AH$1504,"&lt;="&amp;A197)/Setup!$B$10,""))</f>
        <v/>
      </c>
      <c r="K197" s="26">
        <f>IF(A197="","",IF(N(Setup!$B$11)&gt;0,SUMIFS(PA_OECM_Register!$AG$5:$AG$1504,PA_OECM_Register!$Z$5:$Z$1504,1,PA_OECM_Register!$AH$5:$AH$1504,"&gt;0",PA_OECM_Register!$AH$5:$AH$1504,"&lt;="&amp;A197)/Setup!$B$11,""))</f>
        <v/>
      </c>
    </row>
    <row r="198">
      <c r="A198" s="33">
        <f>IF(Setup!$B$27+193&gt;Setup!$B$6,"",Setup!$B$27+193)</f>
        <v/>
      </c>
      <c r="B198" s="38">
        <f>IF(A198="","",COUNTIFS(PA_OECM_Register!$Z$5:$Z$1504,1,PA_OECM_Register!$E$5:$E$1504,"PA",PA_OECM_Register!$AH$5:$AH$1504,"&gt;0",PA_OECM_Register!$AH$5:$AH$1504,"&lt;="&amp;A198)/MAX(1,COUNTIFS(PA_OECM_Register!$Z$5:$Z$1504,1,PA_OECM_Register!$E$5:$E$1504,"PA",PA_OECM_Register!$AH$5:$AH$1504,"&gt;0")))</f>
        <v/>
      </c>
      <c r="C198" s="38">
        <f>IF(A198="","",COUNTIFS(PA_OECM_Register!$Z$5:$Z$1504,1,PA_OECM_Register!$E$5:$E$1504,"OECM",PA_OECM_Register!$AH$5:$AH$1504,"&gt;0",PA_OECM_Register!$AH$5:$AH$1504,"&lt;="&amp;A198)/MAX(1,COUNTIFS(PA_OECM_Register!$Z$5:$Z$1504,1,PA_OECM_Register!$E$5:$E$1504,"OECM",PA_OECM_Register!$AH$5:$AH$1504,"&gt;0")))</f>
        <v/>
      </c>
      <c r="D198" s="25">
        <f>IF(A198="","",SUMIFS(PA_OECM_Register!$AF$5:$AF$1504,PA_OECM_Register!$Z$5:$Z$1504,1,PA_OECM_Register!$E$5:$E$1504,"PA",PA_OECM_Register!$AH$5:$AH$1504,"&gt;0",PA_OECM_Register!$AH$5:$AH$1504,"&lt;="&amp;A198)+SUMIFS(PA_OECM_Register!$AF$5:$AF$1504,PA_OECM_Register!$Z$5:$Z$1504,1,PA_OECM_Register!$E$5:$E$1504,"PA",PA_OECM_Register!$AH$5:$AH$1504,0)*B198)</f>
        <v/>
      </c>
      <c r="E198" s="25">
        <f>IF(A198="","",SUMIFS(PA_OECM_Register!$AF$5:$AF$1504,PA_OECM_Register!$Z$5:$Z$1504,1,PA_OECM_Register!$E$5:$E$1504,"OECM",PA_OECM_Register!$AH$5:$AH$1504,"&gt;0",PA_OECM_Register!$AH$5:$AH$1504,"&lt;="&amp;A198)+SUMIFS(PA_OECM_Register!$AF$5:$AF$1504,PA_OECM_Register!$Z$5:$Z$1504,1,PA_OECM_Register!$E$5:$E$1504,"OECM",PA_OECM_Register!$AH$5:$AH$1504,0)*C198)</f>
        <v/>
      </c>
      <c r="F198" s="26">
        <f>IF(A198="","",IF(N(Setup!$B$10)&gt;0,(D198+E198)/Setup!$B$10,""))</f>
        <v/>
      </c>
      <c r="G198" s="25">
        <f>IF(A198="","",SUMIFS(PA_OECM_Register!$AG$5:$AG$1504,PA_OECM_Register!$Z$5:$Z$1504,1,PA_OECM_Register!$E$5:$E$1504,"PA",PA_OECM_Register!$AH$5:$AH$1504,"&gt;0",PA_OECM_Register!$AH$5:$AH$1504,"&lt;="&amp;A198)+SUMIFS(PA_OECM_Register!$AG$5:$AG$1504,PA_OECM_Register!$Z$5:$Z$1504,1,PA_OECM_Register!$E$5:$E$1504,"PA",PA_OECM_Register!$AH$5:$AH$1504,0)*B198)</f>
        <v/>
      </c>
      <c r="H198" s="25">
        <f>IF(A198="","",SUMIFS(PA_OECM_Register!$AG$5:$AG$1504,PA_OECM_Register!$Z$5:$Z$1504,1,PA_OECM_Register!$E$5:$E$1504,"OECM",PA_OECM_Register!$AH$5:$AH$1504,"&gt;0",PA_OECM_Register!$AH$5:$AH$1504,"&lt;="&amp;A198)+SUMIFS(PA_OECM_Register!$AG$5:$AG$1504,PA_OECM_Register!$Z$5:$Z$1504,1,PA_OECM_Register!$E$5:$E$1504,"OECM",PA_OECM_Register!$AH$5:$AH$1504,0)*C198)</f>
        <v/>
      </c>
      <c r="I198" s="26">
        <f>IF(A198="","",IF(N(Setup!$B$11)&gt;0,(G198+H198)/Setup!$B$11,""))</f>
        <v/>
      </c>
      <c r="J198" s="26">
        <f>IF(A198="","",IF(N(Setup!$B$10)&gt;0,SUMIFS(PA_OECM_Register!$AF$5:$AF$1504,PA_OECM_Register!$Z$5:$Z$1504,1,PA_OECM_Register!$AH$5:$AH$1504,"&gt;0",PA_OECM_Register!$AH$5:$AH$1504,"&lt;="&amp;A198)/Setup!$B$10,""))</f>
        <v/>
      </c>
      <c r="K198" s="26">
        <f>IF(A198="","",IF(N(Setup!$B$11)&gt;0,SUMIFS(PA_OECM_Register!$AG$5:$AG$1504,PA_OECM_Register!$Z$5:$Z$1504,1,PA_OECM_Register!$AH$5:$AH$1504,"&gt;0",PA_OECM_Register!$AH$5:$AH$1504,"&lt;="&amp;A198)/Setup!$B$11,""))</f>
        <v/>
      </c>
    </row>
    <row r="199">
      <c r="A199" s="33">
        <f>IF(Setup!$B$27+194&gt;Setup!$B$6,"",Setup!$B$27+194)</f>
        <v/>
      </c>
      <c r="B199" s="38">
        <f>IF(A199="","",COUNTIFS(PA_OECM_Register!$Z$5:$Z$1504,1,PA_OECM_Register!$E$5:$E$1504,"PA",PA_OECM_Register!$AH$5:$AH$1504,"&gt;0",PA_OECM_Register!$AH$5:$AH$1504,"&lt;="&amp;A199)/MAX(1,COUNTIFS(PA_OECM_Register!$Z$5:$Z$1504,1,PA_OECM_Register!$E$5:$E$1504,"PA",PA_OECM_Register!$AH$5:$AH$1504,"&gt;0")))</f>
        <v/>
      </c>
      <c r="C199" s="38">
        <f>IF(A199="","",COUNTIFS(PA_OECM_Register!$Z$5:$Z$1504,1,PA_OECM_Register!$E$5:$E$1504,"OECM",PA_OECM_Register!$AH$5:$AH$1504,"&gt;0",PA_OECM_Register!$AH$5:$AH$1504,"&lt;="&amp;A199)/MAX(1,COUNTIFS(PA_OECM_Register!$Z$5:$Z$1504,1,PA_OECM_Register!$E$5:$E$1504,"OECM",PA_OECM_Register!$AH$5:$AH$1504,"&gt;0")))</f>
        <v/>
      </c>
      <c r="D199" s="25">
        <f>IF(A199="","",SUMIFS(PA_OECM_Register!$AF$5:$AF$1504,PA_OECM_Register!$Z$5:$Z$1504,1,PA_OECM_Register!$E$5:$E$1504,"PA",PA_OECM_Register!$AH$5:$AH$1504,"&gt;0",PA_OECM_Register!$AH$5:$AH$1504,"&lt;="&amp;A199)+SUMIFS(PA_OECM_Register!$AF$5:$AF$1504,PA_OECM_Register!$Z$5:$Z$1504,1,PA_OECM_Register!$E$5:$E$1504,"PA",PA_OECM_Register!$AH$5:$AH$1504,0)*B199)</f>
        <v/>
      </c>
      <c r="E199" s="25">
        <f>IF(A199="","",SUMIFS(PA_OECM_Register!$AF$5:$AF$1504,PA_OECM_Register!$Z$5:$Z$1504,1,PA_OECM_Register!$E$5:$E$1504,"OECM",PA_OECM_Register!$AH$5:$AH$1504,"&gt;0",PA_OECM_Register!$AH$5:$AH$1504,"&lt;="&amp;A199)+SUMIFS(PA_OECM_Register!$AF$5:$AF$1504,PA_OECM_Register!$Z$5:$Z$1504,1,PA_OECM_Register!$E$5:$E$1504,"OECM",PA_OECM_Register!$AH$5:$AH$1504,0)*C199)</f>
        <v/>
      </c>
      <c r="F199" s="26">
        <f>IF(A199="","",IF(N(Setup!$B$10)&gt;0,(D199+E199)/Setup!$B$10,""))</f>
        <v/>
      </c>
      <c r="G199" s="25">
        <f>IF(A199="","",SUMIFS(PA_OECM_Register!$AG$5:$AG$1504,PA_OECM_Register!$Z$5:$Z$1504,1,PA_OECM_Register!$E$5:$E$1504,"PA",PA_OECM_Register!$AH$5:$AH$1504,"&gt;0",PA_OECM_Register!$AH$5:$AH$1504,"&lt;="&amp;A199)+SUMIFS(PA_OECM_Register!$AG$5:$AG$1504,PA_OECM_Register!$Z$5:$Z$1504,1,PA_OECM_Register!$E$5:$E$1504,"PA",PA_OECM_Register!$AH$5:$AH$1504,0)*B199)</f>
        <v/>
      </c>
      <c r="H199" s="25">
        <f>IF(A199="","",SUMIFS(PA_OECM_Register!$AG$5:$AG$1504,PA_OECM_Register!$Z$5:$Z$1504,1,PA_OECM_Register!$E$5:$E$1504,"OECM",PA_OECM_Register!$AH$5:$AH$1504,"&gt;0",PA_OECM_Register!$AH$5:$AH$1504,"&lt;="&amp;A199)+SUMIFS(PA_OECM_Register!$AG$5:$AG$1504,PA_OECM_Register!$Z$5:$Z$1504,1,PA_OECM_Register!$E$5:$E$1504,"OECM",PA_OECM_Register!$AH$5:$AH$1504,0)*C199)</f>
        <v/>
      </c>
      <c r="I199" s="26">
        <f>IF(A199="","",IF(N(Setup!$B$11)&gt;0,(G199+H199)/Setup!$B$11,""))</f>
        <v/>
      </c>
      <c r="J199" s="26">
        <f>IF(A199="","",IF(N(Setup!$B$10)&gt;0,SUMIFS(PA_OECM_Register!$AF$5:$AF$1504,PA_OECM_Register!$Z$5:$Z$1504,1,PA_OECM_Register!$AH$5:$AH$1504,"&gt;0",PA_OECM_Register!$AH$5:$AH$1504,"&lt;="&amp;A199)/Setup!$B$10,""))</f>
        <v/>
      </c>
      <c r="K199" s="26">
        <f>IF(A199="","",IF(N(Setup!$B$11)&gt;0,SUMIFS(PA_OECM_Register!$AG$5:$AG$1504,PA_OECM_Register!$Z$5:$Z$1504,1,PA_OECM_Register!$AH$5:$AH$1504,"&gt;0",PA_OECM_Register!$AH$5:$AH$1504,"&lt;="&amp;A199)/Setup!$B$11,""))</f>
        <v/>
      </c>
    </row>
    <row r="200">
      <c r="A200" s="33">
        <f>IF(Setup!$B$27+195&gt;Setup!$B$6,"",Setup!$B$27+195)</f>
        <v/>
      </c>
      <c r="B200" s="38">
        <f>IF(A200="","",COUNTIFS(PA_OECM_Register!$Z$5:$Z$1504,1,PA_OECM_Register!$E$5:$E$1504,"PA",PA_OECM_Register!$AH$5:$AH$1504,"&gt;0",PA_OECM_Register!$AH$5:$AH$1504,"&lt;="&amp;A200)/MAX(1,COUNTIFS(PA_OECM_Register!$Z$5:$Z$1504,1,PA_OECM_Register!$E$5:$E$1504,"PA",PA_OECM_Register!$AH$5:$AH$1504,"&gt;0")))</f>
        <v/>
      </c>
      <c r="C200" s="38">
        <f>IF(A200="","",COUNTIFS(PA_OECM_Register!$Z$5:$Z$1504,1,PA_OECM_Register!$E$5:$E$1504,"OECM",PA_OECM_Register!$AH$5:$AH$1504,"&gt;0",PA_OECM_Register!$AH$5:$AH$1504,"&lt;="&amp;A200)/MAX(1,COUNTIFS(PA_OECM_Register!$Z$5:$Z$1504,1,PA_OECM_Register!$E$5:$E$1504,"OECM",PA_OECM_Register!$AH$5:$AH$1504,"&gt;0")))</f>
        <v/>
      </c>
      <c r="D200" s="25">
        <f>IF(A200="","",SUMIFS(PA_OECM_Register!$AF$5:$AF$1504,PA_OECM_Register!$Z$5:$Z$1504,1,PA_OECM_Register!$E$5:$E$1504,"PA",PA_OECM_Register!$AH$5:$AH$1504,"&gt;0",PA_OECM_Register!$AH$5:$AH$1504,"&lt;="&amp;A200)+SUMIFS(PA_OECM_Register!$AF$5:$AF$1504,PA_OECM_Register!$Z$5:$Z$1504,1,PA_OECM_Register!$E$5:$E$1504,"PA",PA_OECM_Register!$AH$5:$AH$1504,0)*B200)</f>
        <v/>
      </c>
      <c r="E200" s="25">
        <f>IF(A200="","",SUMIFS(PA_OECM_Register!$AF$5:$AF$1504,PA_OECM_Register!$Z$5:$Z$1504,1,PA_OECM_Register!$E$5:$E$1504,"OECM",PA_OECM_Register!$AH$5:$AH$1504,"&gt;0",PA_OECM_Register!$AH$5:$AH$1504,"&lt;="&amp;A200)+SUMIFS(PA_OECM_Register!$AF$5:$AF$1504,PA_OECM_Register!$Z$5:$Z$1504,1,PA_OECM_Register!$E$5:$E$1504,"OECM",PA_OECM_Register!$AH$5:$AH$1504,0)*C200)</f>
        <v/>
      </c>
      <c r="F200" s="26">
        <f>IF(A200="","",IF(N(Setup!$B$10)&gt;0,(D200+E200)/Setup!$B$10,""))</f>
        <v/>
      </c>
      <c r="G200" s="25">
        <f>IF(A200="","",SUMIFS(PA_OECM_Register!$AG$5:$AG$1504,PA_OECM_Register!$Z$5:$Z$1504,1,PA_OECM_Register!$E$5:$E$1504,"PA",PA_OECM_Register!$AH$5:$AH$1504,"&gt;0",PA_OECM_Register!$AH$5:$AH$1504,"&lt;="&amp;A200)+SUMIFS(PA_OECM_Register!$AG$5:$AG$1504,PA_OECM_Register!$Z$5:$Z$1504,1,PA_OECM_Register!$E$5:$E$1504,"PA",PA_OECM_Register!$AH$5:$AH$1504,0)*B200)</f>
        <v/>
      </c>
      <c r="H200" s="25">
        <f>IF(A200="","",SUMIFS(PA_OECM_Register!$AG$5:$AG$1504,PA_OECM_Register!$Z$5:$Z$1504,1,PA_OECM_Register!$E$5:$E$1504,"OECM",PA_OECM_Register!$AH$5:$AH$1504,"&gt;0",PA_OECM_Register!$AH$5:$AH$1504,"&lt;="&amp;A200)+SUMIFS(PA_OECM_Register!$AG$5:$AG$1504,PA_OECM_Register!$Z$5:$Z$1504,1,PA_OECM_Register!$E$5:$E$1504,"OECM",PA_OECM_Register!$AH$5:$AH$1504,0)*C200)</f>
        <v/>
      </c>
      <c r="I200" s="26">
        <f>IF(A200="","",IF(N(Setup!$B$11)&gt;0,(G200+H200)/Setup!$B$11,""))</f>
        <v/>
      </c>
      <c r="J200" s="26">
        <f>IF(A200="","",IF(N(Setup!$B$10)&gt;0,SUMIFS(PA_OECM_Register!$AF$5:$AF$1504,PA_OECM_Register!$Z$5:$Z$1504,1,PA_OECM_Register!$AH$5:$AH$1504,"&gt;0",PA_OECM_Register!$AH$5:$AH$1504,"&lt;="&amp;A200)/Setup!$B$10,""))</f>
        <v/>
      </c>
      <c r="K200" s="26">
        <f>IF(A200="","",IF(N(Setup!$B$11)&gt;0,SUMIFS(PA_OECM_Register!$AG$5:$AG$1504,PA_OECM_Register!$Z$5:$Z$1504,1,PA_OECM_Register!$AH$5:$AH$1504,"&gt;0",PA_OECM_Register!$AH$5:$AH$1504,"&lt;="&amp;A200)/Setup!$B$11,""))</f>
        <v/>
      </c>
    </row>
    <row r="201">
      <c r="A201" s="33">
        <f>IF(Setup!$B$27+196&gt;Setup!$B$6,"",Setup!$B$27+196)</f>
        <v/>
      </c>
      <c r="B201" s="38">
        <f>IF(A201="","",COUNTIFS(PA_OECM_Register!$Z$5:$Z$1504,1,PA_OECM_Register!$E$5:$E$1504,"PA",PA_OECM_Register!$AH$5:$AH$1504,"&gt;0",PA_OECM_Register!$AH$5:$AH$1504,"&lt;="&amp;A201)/MAX(1,COUNTIFS(PA_OECM_Register!$Z$5:$Z$1504,1,PA_OECM_Register!$E$5:$E$1504,"PA",PA_OECM_Register!$AH$5:$AH$1504,"&gt;0")))</f>
        <v/>
      </c>
      <c r="C201" s="38">
        <f>IF(A201="","",COUNTIFS(PA_OECM_Register!$Z$5:$Z$1504,1,PA_OECM_Register!$E$5:$E$1504,"OECM",PA_OECM_Register!$AH$5:$AH$1504,"&gt;0",PA_OECM_Register!$AH$5:$AH$1504,"&lt;="&amp;A201)/MAX(1,COUNTIFS(PA_OECM_Register!$Z$5:$Z$1504,1,PA_OECM_Register!$E$5:$E$1504,"OECM",PA_OECM_Register!$AH$5:$AH$1504,"&gt;0")))</f>
        <v/>
      </c>
      <c r="D201" s="25">
        <f>IF(A201="","",SUMIFS(PA_OECM_Register!$AF$5:$AF$1504,PA_OECM_Register!$Z$5:$Z$1504,1,PA_OECM_Register!$E$5:$E$1504,"PA",PA_OECM_Register!$AH$5:$AH$1504,"&gt;0",PA_OECM_Register!$AH$5:$AH$1504,"&lt;="&amp;A201)+SUMIFS(PA_OECM_Register!$AF$5:$AF$1504,PA_OECM_Register!$Z$5:$Z$1504,1,PA_OECM_Register!$E$5:$E$1504,"PA",PA_OECM_Register!$AH$5:$AH$1504,0)*B201)</f>
        <v/>
      </c>
      <c r="E201" s="25">
        <f>IF(A201="","",SUMIFS(PA_OECM_Register!$AF$5:$AF$1504,PA_OECM_Register!$Z$5:$Z$1504,1,PA_OECM_Register!$E$5:$E$1504,"OECM",PA_OECM_Register!$AH$5:$AH$1504,"&gt;0",PA_OECM_Register!$AH$5:$AH$1504,"&lt;="&amp;A201)+SUMIFS(PA_OECM_Register!$AF$5:$AF$1504,PA_OECM_Register!$Z$5:$Z$1504,1,PA_OECM_Register!$E$5:$E$1504,"OECM",PA_OECM_Register!$AH$5:$AH$1504,0)*C201)</f>
        <v/>
      </c>
      <c r="F201" s="26">
        <f>IF(A201="","",IF(N(Setup!$B$10)&gt;0,(D201+E201)/Setup!$B$10,""))</f>
        <v/>
      </c>
      <c r="G201" s="25">
        <f>IF(A201="","",SUMIFS(PA_OECM_Register!$AG$5:$AG$1504,PA_OECM_Register!$Z$5:$Z$1504,1,PA_OECM_Register!$E$5:$E$1504,"PA",PA_OECM_Register!$AH$5:$AH$1504,"&gt;0",PA_OECM_Register!$AH$5:$AH$1504,"&lt;="&amp;A201)+SUMIFS(PA_OECM_Register!$AG$5:$AG$1504,PA_OECM_Register!$Z$5:$Z$1504,1,PA_OECM_Register!$E$5:$E$1504,"PA",PA_OECM_Register!$AH$5:$AH$1504,0)*B201)</f>
        <v/>
      </c>
      <c r="H201" s="25">
        <f>IF(A201="","",SUMIFS(PA_OECM_Register!$AG$5:$AG$1504,PA_OECM_Register!$Z$5:$Z$1504,1,PA_OECM_Register!$E$5:$E$1504,"OECM",PA_OECM_Register!$AH$5:$AH$1504,"&gt;0",PA_OECM_Register!$AH$5:$AH$1504,"&lt;="&amp;A201)+SUMIFS(PA_OECM_Register!$AG$5:$AG$1504,PA_OECM_Register!$Z$5:$Z$1504,1,PA_OECM_Register!$E$5:$E$1504,"OECM",PA_OECM_Register!$AH$5:$AH$1504,0)*C201)</f>
        <v/>
      </c>
      <c r="I201" s="26">
        <f>IF(A201="","",IF(N(Setup!$B$11)&gt;0,(G201+H201)/Setup!$B$11,""))</f>
        <v/>
      </c>
      <c r="J201" s="26">
        <f>IF(A201="","",IF(N(Setup!$B$10)&gt;0,SUMIFS(PA_OECM_Register!$AF$5:$AF$1504,PA_OECM_Register!$Z$5:$Z$1504,1,PA_OECM_Register!$AH$5:$AH$1504,"&gt;0",PA_OECM_Register!$AH$5:$AH$1504,"&lt;="&amp;A201)/Setup!$B$10,""))</f>
        <v/>
      </c>
      <c r="K201" s="26">
        <f>IF(A201="","",IF(N(Setup!$B$11)&gt;0,SUMIFS(PA_OECM_Register!$AG$5:$AG$1504,PA_OECM_Register!$Z$5:$Z$1504,1,PA_OECM_Register!$AH$5:$AH$1504,"&gt;0",PA_OECM_Register!$AH$5:$AH$1504,"&lt;="&amp;A201)/Setup!$B$11,""))</f>
        <v/>
      </c>
    </row>
    <row r="202">
      <c r="A202" s="33">
        <f>IF(Setup!$B$27+197&gt;Setup!$B$6,"",Setup!$B$27+197)</f>
        <v/>
      </c>
      <c r="B202" s="38">
        <f>IF(A202="","",COUNTIFS(PA_OECM_Register!$Z$5:$Z$1504,1,PA_OECM_Register!$E$5:$E$1504,"PA",PA_OECM_Register!$AH$5:$AH$1504,"&gt;0",PA_OECM_Register!$AH$5:$AH$1504,"&lt;="&amp;A202)/MAX(1,COUNTIFS(PA_OECM_Register!$Z$5:$Z$1504,1,PA_OECM_Register!$E$5:$E$1504,"PA",PA_OECM_Register!$AH$5:$AH$1504,"&gt;0")))</f>
        <v/>
      </c>
      <c r="C202" s="38">
        <f>IF(A202="","",COUNTIFS(PA_OECM_Register!$Z$5:$Z$1504,1,PA_OECM_Register!$E$5:$E$1504,"OECM",PA_OECM_Register!$AH$5:$AH$1504,"&gt;0",PA_OECM_Register!$AH$5:$AH$1504,"&lt;="&amp;A202)/MAX(1,COUNTIFS(PA_OECM_Register!$Z$5:$Z$1504,1,PA_OECM_Register!$E$5:$E$1504,"OECM",PA_OECM_Register!$AH$5:$AH$1504,"&gt;0")))</f>
        <v/>
      </c>
      <c r="D202" s="25">
        <f>IF(A202="","",SUMIFS(PA_OECM_Register!$AF$5:$AF$1504,PA_OECM_Register!$Z$5:$Z$1504,1,PA_OECM_Register!$E$5:$E$1504,"PA",PA_OECM_Register!$AH$5:$AH$1504,"&gt;0",PA_OECM_Register!$AH$5:$AH$1504,"&lt;="&amp;A202)+SUMIFS(PA_OECM_Register!$AF$5:$AF$1504,PA_OECM_Register!$Z$5:$Z$1504,1,PA_OECM_Register!$E$5:$E$1504,"PA",PA_OECM_Register!$AH$5:$AH$1504,0)*B202)</f>
        <v/>
      </c>
      <c r="E202" s="25">
        <f>IF(A202="","",SUMIFS(PA_OECM_Register!$AF$5:$AF$1504,PA_OECM_Register!$Z$5:$Z$1504,1,PA_OECM_Register!$E$5:$E$1504,"OECM",PA_OECM_Register!$AH$5:$AH$1504,"&gt;0",PA_OECM_Register!$AH$5:$AH$1504,"&lt;="&amp;A202)+SUMIFS(PA_OECM_Register!$AF$5:$AF$1504,PA_OECM_Register!$Z$5:$Z$1504,1,PA_OECM_Register!$E$5:$E$1504,"OECM",PA_OECM_Register!$AH$5:$AH$1504,0)*C202)</f>
        <v/>
      </c>
      <c r="F202" s="26">
        <f>IF(A202="","",IF(N(Setup!$B$10)&gt;0,(D202+E202)/Setup!$B$10,""))</f>
        <v/>
      </c>
      <c r="G202" s="25">
        <f>IF(A202="","",SUMIFS(PA_OECM_Register!$AG$5:$AG$1504,PA_OECM_Register!$Z$5:$Z$1504,1,PA_OECM_Register!$E$5:$E$1504,"PA",PA_OECM_Register!$AH$5:$AH$1504,"&gt;0",PA_OECM_Register!$AH$5:$AH$1504,"&lt;="&amp;A202)+SUMIFS(PA_OECM_Register!$AG$5:$AG$1504,PA_OECM_Register!$Z$5:$Z$1504,1,PA_OECM_Register!$E$5:$E$1504,"PA",PA_OECM_Register!$AH$5:$AH$1504,0)*B202)</f>
        <v/>
      </c>
      <c r="H202" s="25">
        <f>IF(A202="","",SUMIFS(PA_OECM_Register!$AG$5:$AG$1504,PA_OECM_Register!$Z$5:$Z$1504,1,PA_OECM_Register!$E$5:$E$1504,"OECM",PA_OECM_Register!$AH$5:$AH$1504,"&gt;0",PA_OECM_Register!$AH$5:$AH$1504,"&lt;="&amp;A202)+SUMIFS(PA_OECM_Register!$AG$5:$AG$1504,PA_OECM_Register!$Z$5:$Z$1504,1,PA_OECM_Register!$E$5:$E$1504,"OECM",PA_OECM_Register!$AH$5:$AH$1504,0)*C202)</f>
        <v/>
      </c>
      <c r="I202" s="26">
        <f>IF(A202="","",IF(N(Setup!$B$11)&gt;0,(G202+H202)/Setup!$B$11,""))</f>
        <v/>
      </c>
      <c r="J202" s="26">
        <f>IF(A202="","",IF(N(Setup!$B$10)&gt;0,SUMIFS(PA_OECM_Register!$AF$5:$AF$1504,PA_OECM_Register!$Z$5:$Z$1504,1,PA_OECM_Register!$AH$5:$AH$1504,"&gt;0",PA_OECM_Register!$AH$5:$AH$1504,"&lt;="&amp;A202)/Setup!$B$10,""))</f>
        <v/>
      </c>
      <c r="K202" s="26">
        <f>IF(A202="","",IF(N(Setup!$B$11)&gt;0,SUMIFS(PA_OECM_Register!$AG$5:$AG$1504,PA_OECM_Register!$Z$5:$Z$1504,1,PA_OECM_Register!$AH$5:$AH$1504,"&gt;0",PA_OECM_Register!$AH$5:$AH$1504,"&lt;="&amp;A202)/Setup!$B$11,""))</f>
        <v/>
      </c>
    </row>
    <row r="203">
      <c r="A203" s="33">
        <f>IF(Setup!$B$27+198&gt;Setup!$B$6,"",Setup!$B$27+198)</f>
        <v/>
      </c>
      <c r="B203" s="38">
        <f>IF(A203="","",COUNTIFS(PA_OECM_Register!$Z$5:$Z$1504,1,PA_OECM_Register!$E$5:$E$1504,"PA",PA_OECM_Register!$AH$5:$AH$1504,"&gt;0",PA_OECM_Register!$AH$5:$AH$1504,"&lt;="&amp;A203)/MAX(1,COUNTIFS(PA_OECM_Register!$Z$5:$Z$1504,1,PA_OECM_Register!$E$5:$E$1504,"PA",PA_OECM_Register!$AH$5:$AH$1504,"&gt;0")))</f>
        <v/>
      </c>
      <c r="C203" s="38">
        <f>IF(A203="","",COUNTIFS(PA_OECM_Register!$Z$5:$Z$1504,1,PA_OECM_Register!$E$5:$E$1504,"OECM",PA_OECM_Register!$AH$5:$AH$1504,"&gt;0",PA_OECM_Register!$AH$5:$AH$1504,"&lt;="&amp;A203)/MAX(1,COUNTIFS(PA_OECM_Register!$Z$5:$Z$1504,1,PA_OECM_Register!$E$5:$E$1504,"OECM",PA_OECM_Register!$AH$5:$AH$1504,"&gt;0")))</f>
        <v/>
      </c>
      <c r="D203" s="25">
        <f>IF(A203="","",SUMIFS(PA_OECM_Register!$AF$5:$AF$1504,PA_OECM_Register!$Z$5:$Z$1504,1,PA_OECM_Register!$E$5:$E$1504,"PA",PA_OECM_Register!$AH$5:$AH$1504,"&gt;0",PA_OECM_Register!$AH$5:$AH$1504,"&lt;="&amp;A203)+SUMIFS(PA_OECM_Register!$AF$5:$AF$1504,PA_OECM_Register!$Z$5:$Z$1504,1,PA_OECM_Register!$E$5:$E$1504,"PA",PA_OECM_Register!$AH$5:$AH$1504,0)*B203)</f>
        <v/>
      </c>
      <c r="E203" s="25">
        <f>IF(A203="","",SUMIFS(PA_OECM_Register!$AF$5:$AF$1504,PA_OECM_Register!$Z$5:$Z$1504,1,PA_OECM_Register!$E$5:$E$1504,"OECM",PA_OECM_Register!$AH$5:$AH$1504,"&gt;0",PA_OECM_Register!$AH$5:$AH$1504,"&lt;="&amp;A203)+SUMIFS(PA_OECM_Register!$AF$5:$AF$1504,PA_OECM_Register!$Z$5:$Z$1504,1,PA_OECM_Register!$E$5:$E$1504,"OECM",PA_OECM_Register!$AH$5:$AH$1504,0)*C203)</f>
        <v/>
      </c>
      <c r="F203" s="26">
        <f>IF(A203="","",IF(N(Setup!$B$10)&gt;0,(D203+E203)/Setup!$B$10,""))</f>
        <v/>
      </c>
      <c r="G203" s="25">
        <f>IF(A203="","",SUMIFS(PA_OECM_Register!$AG$5:$AG$1504,PA_OECM_Register!$Z$5:$Z$1504,1,PA_OECM_Register!$E$5:$E$1504,"PA",PA_OECM_Register!$AH$5:$AH$1504,"&gt;0",PA_OECM_Register!$AH$5:$AH$1504,"&lt;="&amp;A203)+SUMIFS(PA_OECM_Register!$AG$5:$AG$1504,PA_OECM_Register!$Z$5:$Z$1504,1,PA_OECM_Register!$E$5:$E$1504,"PA",PA_OECM_Register!$AH$5:$AH$1504,0)*B203)</f>
        <v/>
      </c>
      <c r="H203" s="25">
        <f>IF(A203="","",SUMIFS(PA_OECM_Register!$AG$5:$AG$1504,PA_OECM_Register!$Z$5:$Z$1504,1,PA_OECM_Register!$E$5:$E$1504,"OECM",PA_OECM_Register!$AH$5:$AH$1504,"&gt;0",PA_OECM_Register!$AH$5:$AH$1504,"&lt;="&amp;A203)+SUMIFS(PA_OECM_Register!$AG$5:$AG$1504,PA_OECM_Register!$Z$5:$Z$1504,1,PA_OECM_Register!$E$5:$E$1504,"OECM",PA_OECM_Register!$AH$5:$AH$1504,0)*C203)</f>
        <v/>
      </c>
      <c r="I203" s="26">
        <f>IF(A203="","",IF(N(Setup!$B$11)&gt;0,(G203+H203)/Setup!$B$11,""))</f>
        <v/>
      </c>
      <c r="J203" s="26">
        <f>IF(A203="","",IF(N(Setup!$B$10)&gt;0,SUMIFS(PA_OECM_Register!$AF$5:$AF$1504,PA_OECM_Register!$Z$5:$Z$1504,1,PA_OECM_Register!$AH$5:$AH$1504,"&gt;0",PA_OECM_Register!$AH$5:$AH$1504,"&lt;="&amp;A203)/Setup!$B$10,""))</f>
        <v/>
      </c>
      <c r="K203" s="26">
        <f>IF(A203="","",IF(N(Setup!$B$11)&gt;0,SUMIFS(PA_OECM_Register!$AG$5:$AG$1504,PA_OECM_Register!$Z$5:$Z$1504,1,PA_OECM_Register!$AH$5:$AH$1504,"&gt;0",PA_OECM_Register!$AH$5:$AH$1504,"&lt;="&amp;A203)/Setup!$B$11,""))</f>
        <v/>
      </c>
    </row>
    <row r="204">
      <c r="A204" s="33">
        <f>IF(Setup!$B$27+199&gt;Setup!$B$6,"",Setup!$B$27+199)</f>
        <v/>
      </c>
      <c r="B204" s="38">
        <f>IF(A204="","",COUNTIFS(PA_OECM_Register!$Z$5:$Z$1504,1,PA_OECM_Register!$E$5:$E$1504,"PA",PA_OECM_Register!$AH$5:$AH$1504,"&gt;0",PA_OECM_Register!$AH$5:$AH$1504,"&lt;="&amp;A204)/MAX(1,COUNTIFS(PA_OECM_Register!$Z$5:$Z$1504,1,PA_OECM_Register!$E$5:$E$1504,"PA",PA_OECM_Register!$AH$5:$AH$1504,"&gt;0")))</f>
        <v/>
      </c>
      <c r="C204" s="38">
        <f>IF(A204="","",COUNTIFS(PA_OECM_Register!$Z$5:$Z$1504,1,PA_OECM_Register!$E$5:$E$1504,"OECM",PA_OECM_Register!$AH$5:$AH$1504,"&gt;0",PA_OECM_Register!$AH$5:$AH$1504,"&lt;="&amp;A204)/MAX(1,COUNTIFS(PA_OECM_Register!$Z$5:$Z$1504,1,PA_OECM_Register!$E$5:$E$1504,"OECM",PA_OECM_Register!$AH$5:$AH$1504,"&gt;0")))</f>
        <v/>
      </c>
      <c r="D204" s="25">
        <f>IF(A204="","",SUMIFS(PA_OECM_Register!$AF$5:$AF$1504,PA_OECM_Register!$Z$5:$Z$1504,1,PA_OECM_Register!$E$5:$E$1504,"PA",PA_OECM_Register!$AH$5:$AH$1504,"&gt;0",PA_OECM_Register!$AH$5:$AH$1504,"&lt;="&amp;A204)+SUMIFS(PA_OECM_Register!$AF$5:$AF$1504,PA_OECM_Register!$Z$5:$Z$1504,1,PA_OECM_Register!$E$5:$E$1504,"PA",PA_OECM_Register!$AH$5:$AH$1504,0)*B204)</f>
        <v/>
      </c>
      <c r="E204" s="25">
        <f>IF(A204="","",SUMIFS(PA_OECM_Register!$AF$5:$AF$1504,PA_OECM_Register!$Z$5:$Z$1504,1,PA_OECM_Register!$E$5:$E$1504,"OECM",PA_OECM_Register!$AH$5:$AH$1504,"&gt;0",PA_OECM_Register!$AH$5:$AH$1504,"&lt;="&amp;A204)+SUMIFS(PA_OECM_Register!$AF$5:$AF$1504,PA_OECM_Register!$Z$5:$Z$1504,1,PA_OECM_Register!$E$5:$E$1504,"OECM",PA_OECM_Register!$AH$5:$AH$1504,0)*C204)</f>
        <v/>
      </c>
      <c r="F204" s="26">
        <f>IF(A204="","",IF(N(Setup!$B$10)&gt;0,(D204+E204)/Setup!$B$10,""))</f>
        <v/>
      </c>
      <c r="G204" s="25">
        <f>IF(A204="","",SUMIFS(PA_OECM_Register!$AG$5:$AG$1504,PA_OECM_Register!$Z$5:$Z$1504,1,PA_OECM_Register!$E$5:$E$1504,"PA",PA_OECM_Register!$AH$5:$AH$1504,"&gt;0",PA_OECM_Register!$AH$5:$AH$1504,"&lt;="&amp;A204)+SUMIFS(PA_OECM_Register!$AG$5:$AG$1504,PA_OECM_Register!$Z$5:$Z$1504,1,PA_OECM_Register!$E$5:$E$1504,"PA",PA_OECM_Register!$AH$5:$AH$1504,0)*B204)</f>
        <v/>
      </c>
      <c r="H204" s="25">
        <f>IF(A204="","",SUMIFS(PA_OECM_Register!$AG$5:$AG$1504,PA_OECM_Register!$Z$5:$Z$1504,1,PA_OECM_Register!$E$5:$E$1504,"OECM",PA_OECM_Register!$AH$5:$AH$1504,"&gt;0",PA_OECM_Register!$AH$5:$AH$1504,"&lt;="&amp;A204)+SUMIFS(PA_OECM_Register!$AG$5:$AG$1504,PA_OECM_Register!$Z$5:$Z$1504,1,PA_OECM_Register!$E$5:$E$1504,"OECM",PA_OECM_Register!$AH$5:$AH$1504,0)*C204)</f>
        <v/>
      </c>
      <c r="I204" s="26">
        <f>IF(A204="","",IF(N(Setup!$B$11)&gt;0,(G204+H204)/Setup!$B$11,""))</f>
        <v/>
      </c>
      <c r="J204" s="26">
        <f>IF(A204="","",IF(N(Setup!$B$10)&gt;0,SUMIFS(PA_OECM_Register!$AF$5:$AF$1504,PA_OECM_Register!$Z$5:$Z$1504,1,PA_OECM_Register!$AH$5:$AH$1504,"&gt;0",PA_OECM_Register!$AH$5:$AH$1504,"&lt;="&amp;A204)/Setup!$B$10,""))</f>
        <v/>
      </c>
      <c r="K204" s="26">
        <f>IF(A204="","",IF(N(Setup!$B$11)&gt;0,SUMIFS(PA_OECM_Register!$AG$5:$AG$1504,PA_OECM_Register!$Z$5:$Z$1504,1,PA_OECM_Register!$AH$5:$AH$1504,"&gt;0",PA_OECM_Register!$AH$5:$AH$1504,"&lt;="&amp;A204)/Setup!$B$11,""))</f>
        <v/>
      </c>
    </row>
    <row r="205">
      <c r="A205" s="33">
        <f>IF(Setup!$B$27+200&gt;Setup!$B$6,"",Setup!$B$27+200)</f>
        <v/>
      </c>
      <c r="B205" s="38">
        <f>IF(A205="","",COUNTIFS(PA_OECM_Register!$Z$5:$Z$1504,1,PA_OECM_Register!$E$5:$E$1504,"PA",PA_OECM_Register!$AH$5:$AH$1504,"&gt;0",PA_OECM_Register!$AH$5:$AH$1504,"&lt;="&amp;A205)/MAX(1,COUNTIFS(PA_OECM_Register!$Z$5:$Z$1504,1,PA_OECM_Register!$E$5:$E$1504,"PA",PA_OECM_Register!$AH$5:$AH$1504,"&gt;0")))</f>
        <v/>
      </c>
      <c r="C205" s="38">
        <f>IF(A205="","",COUNTIFS(PA_OECM_Register!$Z$5:$Z$1504,1,PA_OECM_Register!$E$5:$E$1504,"OECM",PA_OECM_Register!$AH$5:$AH$1504,"&gt;0",PA_OECM_Register!$AH$5:$AH$1504,"&lt;="&amp;A205)/MAX(1,COUNTIFS(PA_OECM_Register!$Z$5:$Z$1504,1,PA_OECM_Register!$E$5:$E$1504,"OECM",PA_OECM_Register!$AH$5:$AH$1504,"&gt;0")))</f>
        <v/>
      </c>
      <c r="D205" s="25">
        <f>IF(A205="","",SUMIFS(PA_OECM_Register!$AF$5:$AF$1504,PA_OECM_Register!$Z$5:$Z$1504,1,PA_OECM_Register!$E$5:$E$1504,"PA",PA_OECM_Register!$AH$5:$AH$1504,"&gt;0",PA_OECM_Register!$AH$5:$AH$1504,"&lt;="&amp;A205)+SUMIFS(PA_OECM_Register!$AF$5:$AF$1504,PA_OECM_Register!$Z$5:$Z$1504,1,PA_OECM_Register!$E$5:$E$1504,"PA",PA_OECM_Register!$AH$5:$AH$1504,0)*B205)</f>
        <v/>
      </c>
      <c r="E205" s="25">
        <f>IF(A205="","",SUMIFS(PA_OECM_Register!$AF$5:$AF$1504,PA_OECM_Register!$Z$5:$Z$1504,1,PA_OECM_Register!$E$5:$E$1504,"OECM",PA_OECM_Register!$AH$5:$AH$1504,"&gt;0",PA_OECM_Register!$AH$5:$AH$1504,"&lt;="&amp;A205)+SUMIFS(PA_OECM_Register!$AF$5:$AF$1504,PA_OECM_Register!$Z$5:$Z$1504,1,PA_OECM_Register!$E$5:$E$1504,"OECM",PA_OECM_Register!$AH$5:$AH$1504,0)*C205)</f>
        <v/>
      </c>
      <c r="F205" s="26">
        <f>IF(A205="","",IF(N(Setup!$B$10)&gt;0,(D205+E205)/Setup!$B$10,""))</f>
        <v/>
      </c>
      <c r="G205" s="25">
        <f>IF(A205="","",SUMIFS(PA_OECM_Register!$AG$5:$AG$1504,PA_OECM_Register!$Z$5:$Z$1504,1,PA_OECM_Register!$E$5:$E$1504,"PA",PA_OECM_Register!$AH$5:$AH$1504,"&gt;0",PA_OECM_Register!$AH$5:$AH$1504,"&lt;="&amp;A205)+SUMIFS(PA_OECM_Register!$AG$5:$AG$1504,PA_OECM_Register!$Z$5:$Z$1504,1,PA_OECM_Register!$E$5:$E$1504,"PA",PA_OECM_Register!$AH$5:$AH$1504,0)*B205)</f>
        <v/>
      </c>
      <c r="H205" s="25">
        <f>IF(A205="","",SUMIFS(PA_OECM_Register!$AG$5:$AG$1504,PA_OECM_Register!$Z$5:$Z$1504,1,PA_OECM_Register!$E$5:$E$1504,"OECM",PA_OECM_Register!$AH$5:$AH$1504,"&gt;0",PA_OECM_Register!$AH$5:$AH$1504,"&lt;="&amp;A205)+SUMIFS(PA_OECM_Register!$AG$5:$AG$1504,PA_OECM_Register!$Z$5:$Z$1504,1,PA_OECM_Register!$E$5:$E$1504,"OECM",PA_OECM_Register!$AH$5:$AH$1504,0)*C205)</f>
        <v/>
      </c>
      <c r="I205" s="26">
        <f>IF(A205="","",IF(N(Setup!$B$11)&gt;0,(G205+H205)/Setup!$B$11,""))</f>
        <v/>
      </c>
      <c r="J205" s="26">
        <f>IF(A205="","",IF(N(Setup!$B$10)&gt;0,SUMIFS(PA_OECM_Register!$AF$5:$AF$1504,PA_OECM_Register!$Z$5:$Z$1504,1,PA_OECM_Register!$AH$5:$AH$1504,"&gt;0",PA_OECM_Register!$AH$5:$AH$1504,"&lt;="&amp;A205)/Setup!$B$10,""))</f>
        <v/>
      </c>
      <c r="K205" s="26">
        <f>IF(A205="","",IF(N(Setup!$B$11)&gt;0,SUMIFS(PA_OECM_Register!$AG$5:$AG$1504,PA_OECM_Register!$Z$5:$Z$1504,1,PA_OECM_Register!$AH$5:$AH$1504,"&gt;0",PA_OECM_Register!$AH$5:$AH$1504,"&lt;="&amp;A205)/Setup!$B$11,""))</f>
        <v/>
      </c>
    </row>
  </sheetData>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E26"/>
  <sheetViews>
    <sheetView showGridLines="0" workbookViewId="0">
      <selection activeCell="A1" sqref="A1"/>
    </sheetView>
  </sheetViews>
  <sheetFormatPr baseColWidth="8" defaultRowHeight="15"/>
  <cols>
    <col width="5" customWidth="1" min="1" max="1"/>
    <col width="58" customWidth="1" min="2" max="2"/>
    <col width="14" customWidth="1" min="3" max="3"/>
    <col width="10" customWidth="1" min="4" max="4"/>
    <col width="90" customWidth="1" min="5" max="5"/>
  </cols>
  <sheetData>
    <row r="1">
      <c r="A1" s="1" t="inlineStr">
        <is>
          <t>9. Quality-control and method-compliance checks</t>
        </is>
      </c>
    </row>
    <row r="2">
      <c r="A2" s="2" t="inlineStr">
        <is>
          <t>Resolve every WARN before reporting. INFO rows document known limitations.</t>
        </is>
      </c>
    </row>
    <row r="3"/>
    <row r="4" ht="30" customHeight="1">
      <c r="A4" s="11" t="inlineStr">
        <is>
          <t>#</t>
        </is>
      </c>
      <c r="B4" s="11" t="inlineStr">
        <is>
          <t>Check</t>
        </is>
      </c>
      <c r="C4" s="11" t="inlineStr">
        <is>
          <t>Value</t>
        </is>
      </c>
      <c r="D4" s="11" t="inlineStr">
        <is>
          <t>Result</t>
        </is>
      </c>
      <c r="E4" s="11" t="inlineStr">
        <is>
          <t>What to do</t>
        </is>
      </c>
    </row>
    <row r="5">
      <c r="A5" s="6" t="n">
        <v>1</v>
      </c>
      <c r="B5" s="5" t="inlineStr">
        <is>
          <t>Realm areas entered in Setup</t>
        </is>
      </c>
      <c r="C5" s="30">
        <f>IF(N(Setup!$B$10)&gt;0,IF(N(Setup!$B$11)&gt;0,"Both","Terrestrial only"),"No")</f>
        <v/>
      </c>
      <c r="D5" s="39">
        <f>IF(C5="No","WARN","PASS")</f>
        <v/>
      </c>
      <c r="E5" s="6" t="inlineStr">
        <is>
          <t>Enter the terrestrial denominator (Setup B10) and the marine one (B11) unless the country is landlocked (enter 0).</t>
        </is>
      </c>
    </row>
    <row r="6">
      <c r="A6" s="6" t="n">
        <v>2</v>
      </c>
      <c r="B6" s="5" t="inlineStr">
        <is>
          <t>PA layer flattened (Setup B14)</t>
        </is>
      </c>
      <c r="C6" s="30">
        <f>Setup!$B$14</f>
        <v/>
      </c>
      <c r="D6" s="39">
        <f>IF(C6="Y","PASS","WARN")</f>
        <v/>
      </c>
      <c r="E6" s="6" t="inlineStr">
        <is>
          <t>Dissolve overlapping PAs before computing areas (method step 4).</t>
        </is>
      </c>
    </row>
    <row r="7">
      <c r="A7" s="6" t="n">
        <v>3</v>
      </c>
      <c r="B7" s="5" t="inlineStr">
        <is>
          <t>OECMs: PA overlap erased (Setup B15)</t>
        </is>
      </c>
      <c r="C7" s="30">
        <f>Setup!$B$15</f>
        <v/>
      </c>
      <c r="D7" s="39">
        <f>IF(C7="Y","PASS","WARN")</f>
        <v/>
      </c>
      <c r="E7" s="6" t="inlineStr">
        <is>
          <t>Erase OECM areas overlapping PAs, then flatten (OECM step 4).</t>
        </is>
      </c>
    </row>
    <row r="8">
      <c r="A8" s="6" t="n">
        <v>4</v>
      </c>
      <c r="B8" s="5" t="inlineStr">
        <is>
          <t>Mollweide equal-area projection (Setup B16)</t>
        </is>
      </c>
      <c r="C8" s="30">
        <f>Setup!$B$16</f>
        <v/>
      </c>
      <c r="D8" s="39">
        <f>IF(C8="Y","PASS","WARN")</f>
        <v/>
      </c>
      <c r="E8" s="6" t="inlineStr">
        <is>
          <t>Recompute areas in an equal-area projection (step 6).</t>
        </is>
      </c>
    </row>
    <row r="9">
      <c r="A9" s="6" t="n">
        <v>5</v>
      </c>
      <c r="B9" s="5" t="inlineStr">
        <is>
          <t>Included sites without flattened net area</t>
        </is>
      </c>
      <c r="C9" s="30">
        <f>Headline_3.1!D26</f>
        <v/>
      </c>
      <c r="D9" s="39">
        <f>IF(C9=0,"PASS","WARN")</f>
        <v/>
      </c>
      <c r="E9" s="6" t="inlineStr">
        <is>
          <t>Enter net areas (register R–S) or GIS totals in Setup; otherwise the result is an upper bound.</t>
        </is>
      </c>
    </row>
    <row r="10">
      <c r="A10" s="6" t="n">
        <v>6</v>
      </c>
      <c r="B10" s="5" t="inlineStr">
        <is>
          <t>Terrestrial PA+OECM area ≤ terrestrial realm</t>
        </is>
      </c>
      <c r="C10" s="26">
        <f>Headline_3.1!J6</f>
        <v/>
      </c>
      <c r="D10" s="39">
        <f>IF(C10="","WARN",IF(C10&lt;=1,"PASS","WARN"))</f>
        <v/>
      </c>
      <c r="E10" s="6" t="inlineStr">
        <is>
          <t>Coverage &gt;100%: check units (km² vs ha), denominators and double counting.</t>
        </is>
      </c>
    </row>
    <row r="11">
      <c r="A11" s="6" t="n">
        <v>7</v>
      </c>
      <c r="B11" s="5" t="inlineStr">
        <is>
          <t>Marine PA+OECM area ≤ marine realm</t>
        </is>
      </c>
      <c r="C11" s="26">
        <f>Headline_3.1!J7</f>
        <v/>
      </c>
      <c r="D11" s="39">
        <f>IF(C11="",IF(N(Setup!$B$11)=0,"PASS","WARN"),IF(C11&lt;=1,"PASS","WARN"))</f>
        <v/>
      </c>
      <c r="E11" s="6" t="inlineStr">
        <is>
          <t>As above (PASS automatically for landlocked countries).</t>
        </is>
      </c>
    </row>
    <row r="12">
      <c r="A12" s="6" t="n">
        <v>8</v>
      </c>
      <c r="B12" s="5" t="inlineStr">
        <is>
          <t>Register vs GIS override – terrestrial difference (%)</t>
        </is>
      </c>
      <c r="C12" s="26">
        <f>IF(ISNUMBER(Setup!$B$18),IFERROR((Headline_3.1!C6+Headline_3.1!D6)/(N(Setup!$B$18)+N(Setup!$B$19))-1,""),"")</f>
        <v/>
      </c>
      <c r="D12" s="39">
        <f>IF(C12="","PASS",IF(ABS(C12)&lt;=0.01,"PASS","WARN"))</f>
        <v/>
      </c>
      <c r="E12" s="6" t="inlineStr">
        <is>
          <t>If &gt;1%, sites are missing from the register or net areas are inconsistent.</t>
        </is>
      </c>
    </row>
    <row r="13">
      <c r="A13" s="6" t="n">
        <v>9</v>
      </c>
      <c r="B13" s="5" t="inlineStr">
        <is>
          <t>Register vs GIS override – marine difference (%)</t>
        </is>
      </c>
      <c r="C13" s="26">
        <f>IF(ISNUMBER(Setup!$B$20),IFERROR((Headline_3.1!C7+Headline_3.1!D7)/(N(Setup!$B$20)+N(Setup!$B$21))-1,""),"")</f>
        <v/>
      </c>
      <c r="D13" s="39">
        <f>IF(C13="","PASS",IF(ABS(C13)&lt;=0.01,"PASS","WARN"))</f>
        <v/>
      </c>
      <c r="E13" s="6" t="inlineStr">
        <is>
          <t>As above.</t>
        </is>
      </c>
    </row>
    <row r="14">
      <c r="A14" s="6" t="n">
        <v>10</v>
      </c>
      <c r="B14" s="5" t="inlineStr">
        <is>
          <t>Included sites with any QC flag</t>
        </is>
      </c>
      <c r="C14" s="30">
        <f>COUNTIFS(PA_OECM_Register!$Z$5:$Z$1504,1,PA_OECM_Register!$AL$5:$AL$1504,"?*")</f>
        <v/>
      </c>
      <c r="D14" s="39">
        <f>IF(C14=0,"PASS","WARN")</f>
        <v/>
      </c>
      <c r="E14" s="6" t="inlineStr">
        <is>
          <t>Filter register column AL and resolve each flag.</t>
        </is>
      </c>
    </row>
    <row r="15">
      <c r="A15" s="6" t="n">
        <v>11</v>
      </c>
      <c r="B15" s="5" t="inlineStr">
        <is>
          <t>Included sites with STATUS_YR missing</t>
        </is>
      </c>
      <c r="C15" s="30">
        <f>Headline_3.1!D27</f>
        <v/>
      </c>
      <c r="D15" s="39">
        <f>IF(C15=0,"PASS","INFO")</f>
        <v/>
      </c>
      <c r="E15" s="6" t="inlineStr">
        <is>
          <t>Imputed in the time series (metadata method). Obtain dates where possible.</t>
        </is>
      </c>
    </row>
    <row r="16">
      <c r="A16" s="6" t="n">
        <v>12</v>
      </c>
      <c r="B16" s="5" t="inlineStr">
        <is>
          <t>Included point (buffered) sites</t>
        </is>
      </c>
      <c r="C16" s="30">
        <f>Headline_3.1!D25</f>
        <v/>
      </c>
      <c r="D16" s="39">
        <f>IF(C16=0,"PASS","INFO")</f>
        <v/>
      </c>
      <c r="E16" s="6" t="inlineStr">
        <is>
          <t>Buffered circles may over- or under-estimate coverage; obtain boundaries.</t>
        </is>
      </c>
    </row>
    <row r="17">
      <c r="A17" s="6" t="n">
        <v>13</v>
      </c>
      <c r="B17" s="5" t="inlineStr">
        <is>
          <t>Share of included area with GOV_TYPE not reported</t>
        </is>
      </c>
      <c r="C17" s="26">
        <f>IFERROR((Governance!E10+Governance!J10)/(Governance!E11+Governance!J11),"")</f>
        <v/>
      </c>
      <c r="D17" s="39">
        <f>IF(C17="","PASS",IF(C17&lt;=0.05,"PASS","WARN"))</f>
        <v/>
      </c>
      <c r="E17" s="6" t="inlineStr">
        <is>
          <t>Complete GOV_TYPE – needed for the governance disaggregation.</t>
        </is>
      </c>
    </row>
    <row r="18">
      <c r="A18" s="6" t="n">
        <v>14</v>
      </c>
      <c r="B18" s="5" t="inlineStr">
        <is>
          <t>Governance table total = headline register total</t>
        </is>
      </c>
      <c r="C18" s="30">
        <f>ROUND(Governance!E11+Governance!J11-(Headline_3.1!C6+Headline_3.1!D6+Headline_3.1!C7+Headline_3.1!D7),3)</f>
        <v/>
      </c>
      <c r="D18" s="39">
        <f>IF(C18=0,"PASS","WARN")</f>
        <v/>
      </c>
      <c r="E18" s="6" t="inlineStr">
        <is>
          <t>Non-standard GOV_TYPE values – use the drop-down list.</t>
        </is>
      </c>
    </row>
    <row r="19">
      <c r="A19" s="6" t="n">
        <v>15</v>
      </c>
      <c r="B19" s="5" t="inlineStr">
        <is>
          <t>KBAs with covered area &gt; KBA area</t>
        </is>
      </c>
      <c r="C19" s="30">
        <f>COUNTIFS(KBA_Coverage!$P$16:$P$515,"Covered*")</f>
        <v/>
      </c>
      <c r="D19" s="39">
        <f>IF(C19=0,"PASS","WARN")</f>
        <v/>
      </c>
      <c r="E19" s="6" t="inlineStr">
        <is>
          <t>Use the flattened, PA-erased layers when intersecting KBAs.</t>
        </is>
      </c>
    </row>
    <row r="20">
      <c r="A20" s="6" t="n">
        <v>16</v>
      </c>
      <c r="B20" s="5" t="inlineStr">
        <is>
          <t>KBAs without realm</t>
        </is>
      </c>
      <c r="C20" s="30">
        <f>COUNTIFS(KBA_Coverage!$P$16:$P$515,"*No realm*")</f>
        <v/>
      </c>
      <c r="D20" s="39">
        <f>IF(C20=0,"PASS","WARN")</f>
        <v/>
      </c>
      <c r="E20" s="6" t="inlineStr">
        <is>
          <t>Assign terrestrial / freshwater / ocean fraction.</t>
        </is>
      </c>
    </row>
    <row r="21">
      <c r="A21" s="6" t="n">
        <v>17</v>
      </c>
      <c r="B21" s="5" t="inlineStr">
        <is>
          <t>Ecosystem units with coverage &gt;100%</t>
        </is>
      </c>
      <c r="C21" s="26">
        <f>COUNTIFS(Ecosystems!$L$6:$L$30,"Covered*")+COUNTIFS(Ecosystems!$L$58:$L$357,"Covered*")</f>
        <v/>
      </c>
      <c r="D21" s="39">
        <f>IF(C21=0,"PASS","WARN")</f>
        <v/>
      </c>
      <c r="E21" s="6" t="inlineStr">
        <is>
          <t>Check ecosystem extents and overlaps.</t>
        </is>
      </c>
    </row>
    <row r="22">
      <c r="A22" s="6" t="n">
        <v>18</v>
      </c>
      <c r="B22" s="5" t="inlineStr">
        <is>
          <t>Example (fictional) data still present</t>
        </is>
      </c>
      <c r="C22" s="30">
        <f>COUNTIFS(PA_OECM_Register!$B$5:$B$1504,"EXAMPLE*")+COUNTIFS(KBA_Coverage!$B$16:$B$515,"EXAMPLE*")</f>
        <v/>
      </c>
      <c r="D22" s="39">
        <f>IF(C22=0,"PASS","WARN")</f>
        <v/>
      </c>
      <c r="E22" s="6" t="inlineStr">
        <is>
          <t>Delete orange example rows (register, KBA, Ecosystems, Setup) before reporting.</t>
        </is>
      </c>
    </row>
    <row r="23">
      <c r="A23" s="6" t="n">
        <v>19</v>
      </c>
      <c r="B23" s="5" t="inlineStr">
        <is>
          <t>Known limitation – non-state governed sites under-represented</t>
        </is>
      </c>
      <c r="C23" s="30" t="inlineStr">
        <is>
          <t>—</t>
        </is>
      </c>
      <c r="D23" s="39">
        <f>"INFO"</f>
        <v/>
      </c>
      <c r="E23" s="6" t="inlineStr">
        <is>
          <t>Engage private/IPLC governance authorities to report sites (metadata limitation).</t>
        </is>
      </c>
    </row>
    <row r="24">
      <c r="A24" s="6" t="n">
        <v>20</v>
      </c>
      <c r="B24" s="5" t="inlineStr">
        <is>
          <t>Known limitation – lag between designation and database reporting</t>
        </is>
      </c>
      <c r="C24" s="30" t="inlineStr">
        <is>
          <t>—</t>
        </is>
      </c>
      <c r="D24" s="39">
        <f>"INFO"</f>
        <v/>
      </c>
      <c r="E24" s="6" t="inlineStr">
        <is>
          <t>Record dataset release month in Setup B7.</t>
        </is>
      </c>
    </row>
    <row r="25"/>
    <row r="26">
      <c r="B26" s="5" t="inlineStr">
        <is>
          <t>Number of WARN</t>
        </is>
      </c>
      <c r="C26" s="40">
        <f>COUNTIF(D5:D24,"WARN")</f>
        <v/>
      </c>
    </row>
  </sheetData>
  <conditionalFormatting sqref="D5:D24">
    <cfRule type="cellIs" priority="1" operator="equal" dxfId="0">
      <formula>"PASS"</formula>
    </cfRule>
    <cfRule type="cellIs" priority="2" operator="equal" dxfId="1">
      <formula>"WARN"</formula>
    </cfRule>
    <cfRule type="cellIs" priority="3" operator="equal" dxfId="2">
      <formula>"INFO"</formula>
    </cfRule>
  </conditionalFormatting>
  <pageMargins left="0.75" right="0.75" top="1" bottom="1" header="0.5" footer="0.5"/>
</worksheet>
</file>

<file path=xl/worksheets/sheet11.xml><?xml version="1.0" encoding="utf-8"?>
<worksheet xmlns="http://schemas.openxmlformats.org/spreadsheetml/2006/main">
  <sheetPr>
    <tabColor rgb="0000B0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26" customWidth="1" min="2" max="2"/>
    <col width="34" customWidth="1" min="3" max="3"/>
  </cols>
  <sheetData>
    <row r="1">
      <c r="A1" s="1" t="inlineStr">
        <is>
          <t>10. Dashboard – GBF Headline Indicator 3.1</t>
        </is>
      </c>
    </row>
    <row r="2"/>
    <row r="3">
      <c r="A3" s="5">
        <f>Setup!B4&amp;" ("&amp;Setup!B5&amp;") – reporting year "&amp;Setup!B6&amp;" – data: "&amp;Setup!B7</f>
        <v/>
      </c>
    </row>
    <row r="4"/>
    <row r="5" ht="30" customHeight="1">
      <c r="A5" s="11" t="inlineStr">
        <is>
          <t>Headline figure</t>
        </is>
      </c>
      <c r="B5" s="11" t="inlineStr">
        <is>
          <t>Terrestrial &amp; inland waters</t>
        </is>
      </c>
      <c r="C5" s="11" t="inlineStr">
        <is>
          <t>Marine &amp; coastal</t>
        </is>
      </c>
    </row>
    <row r="6">
      <c r="A6" s="5" t="inlineStr">
        <is>
          <t>Coverage by PAs + OECMs (Indicator 3.1)</t>
        </is>
      </c>
      <c r="B6" s="27">
        <f>Headline_3.1!J6</f>
        <v/>
      </c>
      <c r="C6" s="27">
        <f>Headline_3.1!J7</f>
        <v/>
      </c>
    </row>
    <row r="7">
      <c r="A7" s="5" t="inlineStr">
        <is>
          <t>of which PAs</t>
        </is>
      </c>
      <c r="B7" s="26">
        <f>Headline_3.1!H6</f>
        <v/>
      </c>
      <c r="C7" s="26">
        <f>Headline_3.1!H7</f>
        <v/>
      </c>
    </row>
    <row r="8">
      <c r="A8" s="5" t="inlineStr">
        <is>
          <t>of which OECMs</t>
        </is>
      </c>
      <c r="B8" s="26">
        <f>Headline_3.1!I6</f>
        <v/>
      </c>
      <c r="C8" s="26">
        <f>Headline_3.1!I7</f>
        <v/>
      </c>
    </row>
    <row r="9">
      <c r="A9" s="5" t="inlineStr">
        <is>
          <t>Target</t>
        </is>
      </c>
      <c r="B9" s="26">
        <f>Headline_3.1!K6</f>
        <v/>
      </c>
      <c r="C9" s="26">
        <f>Headline_3.1!K7</f>
        <v/>
      </c>
    </row>
    <row r="10">
      <c r="A10" s="5" t="inlineStr">
        <is>
          <t>Gap to target (percentage points)</t>
        </is>
      </c>
      <c r="B10" s="29">
        <f>Headline_3.1!L6</f>
        <v/>
      </c>
      <c r="C10" s="29">
        <f>Headline_3.1!L7</f>
        <v/>
      </c>
    </row>
    <row r="11">
      <c r="A11" s="5" t="inlineStr">
        <is>
          <t>Additional area needed (km²)</t>
        </is>
      </c>
      <c r="B11" s="25">
        <f>Headline_3.1!M6</f>
        <v/>
      </c>
      <c r="C11" s="25">
        <f>Headline_3.1!M7</f>
        <v/>
      </c>
    </row>
    <row r="12">
      <c r="A12" s="5" t="inlineStr">
        <is>
          <t>Status</t>
        </is>
      </c>
      <c r="B12" s="30">
        <f>Headline_3.1!N6</f>
        <v/>
      </c>
      <c r="C12" s="30">
        <f>Headline_3.1!N7</f>
        <v/>
      </c>
    </row>
    <row r="13"/>
    <row r="14" ht="30" customHeight="1">
      <c r="A14" s="11" t="inlineStr">
        <is>
          <t>Disaggregation</t>
        </is>
      </c>
      <c r="B14" s="11" t="inlineStr">
        <is>
          <t>Value</t>
        </is>
      </c>
      <c r="C14" s="11" t="inlineStr">
        <is>
          <t>Note</t>
        </is>
      </c>
    </row>
    <row r="15">
      <c r="A15" s="5" t="inlineStr">
        <is>
          <t>Inland waters – rivers (length covered)</t>
        </is>
      </c>
      <c r="B15" s="26">
        <f>Headline_3.1!G17</f>
        <v/>
      </c>
      <c r="C15" s="6" t="inlineStr">
        <is>
          <t>RiverATLAS / national hydrography</t>
        </is>
      </c>
    </row>
    <row r="16">
      <c r="A16" s="5" t="inlineStr">
        <is>
          <t>Inland waters – lakes &amp; wetlands</t>
        </is>
      </c>
      <c r="B16" s="26">
        <f>Headline_3.1!G18</f>
        <v/>
      </c>
      <c r="C16" s="6" t="inlineStr">
        <is>
          <t>GLWD v2 / national data</t>
        </is>
      </c>
    </row>
    <row r="17">
      <c r="A17" s="5" t="inlineStr">
        <is>
          <t>Mean % of KBAs covered (all)</t>
        </is>
      </c>
      <c r="B17" s="26">
        <f>KBA_Coverage!D6</f>
        <v/>
      </c>
      <c r="C17" s="6" t="inlineStr">
        <is>
          <t>SDG 14.5.1 / 15.1.2 / 15.4.1 family</t>
        </is>
      </c>
    </row>
    <row r="18">
      <c r="A18" s="5" t="inlineStr">
        <is>
          <t>Mean % terrestrial KBAs covered</t>
        </is>
      </c>
      <c r="B18" s="26">
        <f>KBA_Coverage!D7</f>
        <v/>
      </c>
      <c r="C18" s="6" t="inlineStr">
        <is>
          <t>SDG 15.1.2</t>
        </is>
      </c>
    </row>
    <row r="19">
      <c r="A19" s="5" t="inlineStr">
        <is>
          <t>Mean % freshwater KBAs covered</t>
        </is>
      </c>
      <c r="B19" s="26">
        <f>KBA_Coverage!D8</f>
        <v/>
      </c>
      <c r="C19" s="6" t="inlineStr">
        <is>
          <t>SDG 15.1.2</t>
        </is>
      </c>
    </row>
    <row r="20">
      <c r="A20" s="5" t="inlineStr">
        <is>
          <t>Mean % marine KBAs covered</t>
        </is>
      </c>
      <c r="B20" s="26">
        <f>KBA_Coverage!D9</f>
        <v/>
      </c>
      <c r="C20" s="6" t="inlineStr">
        <is>
          <t>SDG 14.5.1</t>
        </is>
      </c>
    </row>
    <row r="21">
      <c r="A21" s="5" t="inlineStr">
        <is>
          <t>Mean % mountain KBAs covered</t>
        </is>
      </c>
      <c r="B21" s="26">
        <f>KBA_Coverage!D10</f>
        <v/>
      </c>
      <c r="C21" s="6" t="inlineStr">
        <is>
          <t>SDG 15.4.1</t>
        </is>
      </c>
    </row>
    <row r="22">
      <c r="A22" s="5" t="inlineStr">
        <is>
          <t>GET biomes assessed / ≥ target</t>
        </is>
      </c>
      <c r="B22" s="30">
        <f>Ecosystems!B35&amp;" / "&amp;Ecosystems!B36</f>
        <v/>
      </c>
      <c r="C22" s="6" t="inlineStr">
        <is>
          <t>Representativeness</t>
        </is>
      </c>
    </row>
    <row r="23">
      <c r="A23" s="5" t="inlineStr">
        <is>
          <t>Terrestrial coverage governed by IPs &amp; LCs</t>
        </is>
      </c>
      <c r="B23" s="26">
        <f>Governance!F9</f>
        <v/>
      </c>
      <c r="C23" s="6" t="inlineStr">
        <is>
          <t>IUCN governance type D</t>
        </is>
      </c>
    </row>
    <row r="24">
      <c r="A24" s="5" t="inlineStr">
        <is>
          <t>Marine coverage governed by IPs &amp; LCs</t>
        </is>
      </c>
      <c r="B24" s="26">
        <f>Governance!K9</f>
        <v/>
      </c>
      <c r="C24" s="6" t="inlineStr">
        <is>
          <t>IUCN governance type D</t>
        </is>
      </c>
    </row>
    <row r="25">
      <c r="A25" s="5" t="inlineStr">
        <is>
          <t>PA+OECM area with valid PAME (terrestrial)</t>
        </is>
      </c>
      <c r="B25" s="26">
        <f>Mgmt_Effectiveness!B16</f>
        <v/>
      </c>
      <c r="C25" s="6" t="inlineStr">
        <is>
          <t>PROVISIONAL</t>
        </is>
      </c>
    </row>
    <row r="26">
      <c r="A26" s="5" t="inlineStr">
        <is>
          <t>Quality-control warnings</t>
        </is>
      </c>
      <c r="B26" s="33">
        <f>QC_Checks!C26</f>
        <v/>
      </c>
      <c r="C26" s="6" t="inlineStr">
        <is>
          <t>Must be 0 for an official figure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08080"/>
    <outlinePr summaryBelow="1" summaryRight="1"/>
    <pageSetUpPr/>
  </sheetPr>
  <dimension ref="A1:B40"/>
  <sheetViews>
    <sheetView showGridLines="0" workbookViewId="0">
      <selection activeCell="A1" sqref="A1"/>
    </sheetView>
  </sheetViews>
  <sheetFormatPr baseColWidth="8" defaultRowHeight="15"/>
  <cols>
    <col width="30" customWidth="1" min="1" max="1"/>
    <col width="150" customWidth="1" min="2" max="2"/>
  </cols>
  <sheetData>
    <row r="1">
      <c r="A1" s="1" t="inlineStr">
        <is>
          <t>11. Summary of the official metadata – Headline Indicator 3.1</t>
        </is>
      </c>
    </row>
    <row r="2">
      <c r="A2" s="2" t="inlineStr">
        <is>
          <t>Source: gbf-indicators.org/metadata/headline/3-1 (metadata last updated 1 September 2024). Custodians: UNEP-WCMC, IUCN, BirdLife International.</t>
        </is>
      </c>
    </row>
    <row r="3"/>
    <row r="4">
      <c r="A4" s="3" t="inlineStr">
        <is>
          <t>IDENTIFICATION</t>
        </is>
      </c>
      <c r="B4" s="4" t="n"/>
    </row>
    <row r="5" ht="15" customHeight="1">
      <c r="A5" s="5" t="inlineStr">
        <is>
          <t>Indicator</t>
        </is>
      </c>
      <c r="B5" s="6" t="inlineStr">
        <is>
          <t>3.1 Coverage of protected areas and other effective area-based conservation measures</t>
        </is>
      </c>
    </row>
    <row r="6" ht="56" customHeight="1">
      <c r="A6" s="5" t="inlineStr">
        <is>
          <t>Goal / Target</t>
        </is>
      </c>
      <c r="B6" s="6" t="inlineStr">
        <is>
          <t>KMGBF Target 3: ensure and enable that by 2030 at least 30 per cent of terrestrial and inland water areas, and of marine and coastal areas, especially areas of particular importance for biodiversity and ecosystem functions and services, are effectively conserved and managed through ecologically representative, well-connected and equitably governed systems of protected areas and OECMs, recognizing indigenous and traditional territories, where applicable.</t>
        </is>
      </c>
    </row>
    <row r="7" ht="28" customHeight="1">
      <c r="A7" s="5" t="inlineStr">
        <is>
          <t>Definition</t>
        </is>
      </c>
      <c r="B7" s="6" t="inlineStr">
        <is>
          <t>The percentage area covered by protected areas or OECMs, with five disaggregations: PA vs OECM; realm/biome/ecosystem; KBAs; management effectiveness; governance type.</t>
        </is>
      </c>
    </row>
    <row r="8" ht="15" customHeight="1">
      <c r="A8" s="5" t="inlineStr">
        <is>
          <t>Unit</t>
        </is>
      </c>
      <c r="B8" s="6" t="inlineStr">
        <is>
          <t>Percentage (%) of the realm area (terrestrial &amp; inland waters; marine &amp; coastal).</t>
        </is>
      </c>
    </row>
    <row r="9">
      <c r="A9" s="3" t="inlineStr">
        <is>
          <t>CONCEPTS</t>
        </is>
      </c>
      <c r="B9" s="4" t="n"/>
    </row>
    <row r="10" ht="28" customHeight="1">
      <c r="A10" s="5" t="inlineStr">
        <is>
          <t>Protected area</t>
        </is>
      </c>
      <c r="B10" s="6" t="inlineStr">
        <is>
          <t>A clearly defined geographical space, recognised, dedicated and managed, through legal or other effective means, to achieve the long-term conservation of nature with associated ecosystem services and cultural values (Dudley 2008).</t>
        </is>
      </c>
    </row>
    <row r="11" ht="42" customHeight="1">
      <c r="A11" s="5" t="inlineStr">
        <is>
          <t>OECM</t>
        </is>
      </c>
      <c r="B11" s="6" t="inlineStr">
        <is>
          <t>A geographically defined area other than a Protected Area, which is governed and managed in ways that achieve positive and sustained long-term outcomes for the in situ conservation of biodiversity, with associated ecosystem functions and services and where applicable, cultural, spiritual, socio-economic, and other locally relevant values (CBD Decision 14/8).</t>
        </is>
      </c>
    </row>
    <row r="12" ht="28" customHeight="1">
      <c r="A12" s="5" t="inlineStr">
        <is>
          <t>Areas of particular importance</t>
        </is>
      </c>
      <c r="B12" s="6" t="inlineStr">
        <is>
          <t>Sites holding significant populations/extents of threatened or geographically restricted species or ecosystems, or showing significant ecological integrity or irreplaceability; KBAs are the main operational proxy.</t>
        </is>
      </c>
    </row>
    <row r="13" ht="28" customHeight="1">
      <c r="A13" s="5" t="inlineStr">
        <is>
          <t>Key Biodiversity Area</t>
        </is>
      </c>
      <c r="B13" s="6" t="inlineStr">
        <is>
          <t>Sites contributing significantly to the global persistence of biodiversity, identified nationally through multi-stakeholder processes using the Global Standard for the Identification of KBAs (IUCN 2016).</t>
        </is>
      </c>
    </row>
    <row r="14">
      <c r="A14" s="3" t="inlineStr">
        <is>
          <t>METHOD – PROTECTED AREAS</t>
        </is>
      </c>
      <c r="B14" s="4" t="n"/>
    </row>
    <row r="15" ht="28" customHeight="1">
      <c r="A15" s="5" t="inlineStr">
        <is>
          <t>Step 1</t>
        </is>
      </c>
      <c r="B15" s="6" t="inlineStr">
        <is>
          <t>Filter WDPA: remove proposed sites, sites with status not reported, points with no reported area, and (most) UNESCO-MAB Biosphere Reserves.</t>
        </is>
      </c>
    </row>
    <row r="16" ht="15" customHeight="1">
      <c r="A16" s="5" t="inlineStr">
        <is>
          <t>Step 2</t>
        </is>
      </c>
      <c r="B16" s="6" t="inlineStr">
        <is>
          <t>Buffer point locations to a circle with area equal to the reported area.</t>
        </is>
      </c>
    </row>
    <row r="17" ht="15" customHeight="1">
      <c r="A17" s="5" t="inlineStr">
        <is>
          <t>Step 3</t>
        </is>
      </c>
      <c r="B17" s="6" t="inlineStr">
        <is>
          <t>Combine polygons and buffered points.</t>
        </is>
      </c>
    </row>
    <row r="18" ht="15" customHeight="1">
      <c r="A18" s="5" t="inlineStr">
        <is>
          <t>Step 4</t>
        </is>
      </c>
      <c r="B18" s="6" t="inlineStr">
        <is>
          <t>Flatten (dissolve) to remove overlaps and avoid double counting.</t>
        </is>
      </c>
    </row>
    <row r="19" ht="15" customHeight="1">
      <c r="A19" s="5" t="inlineStr">
        <is>
          <t>Step 5</t>
        </is>
      </c>
      <c r="B19" s="6" t="inlineStr">
        <is>
          <t>Intersect with base map (EEZ + land boundaries).</t>
        </is>
      </c>
    </row>
    <row r="20" ht="15" customHeight="1">
      <c r="A20" s="5" t="inlineStr">
        <is>
          <t>Step 6</t>
        </is>
      </c>
      <c r="B20" s="6" t="inlineStr">
        <is>
          <t>Project to Mollweide equal-area.</t>
        </is>
      </c>
    </row>
    <row r="21" ht="15" customHeight="1">
      <c r="A21" s="5" t="inlineStr">
        <is>
          <t>Step 7</t>
        </is>
      </c>
      <c r="B21" s="6" t="inlineStr">
        <is>
          <t>Coverage = PA area (km²) ÷ realm area (km²).</t>
        </is>
      </c>
    </row>
    <row r="22">
      <c r="A22" s="3" t="inlineStr">
        <is>
          <t>METHOD – OECMs</t>
        </is>
      </c>
      <c r="B22" s="4" t="n"/>
    </row>
    <row r="23" ht="28" customHeight="1">
      <c r="A23" s="5" t="inlineStr">
        <is>
          <t>OECM steps</t>
        </is>
      </c>
      <c r="B23" s="6" t="inlineStr">
        <is>
          <t>Latest WD-OECM → buffer points → combine → ERASE areas overlapping PAs → flatten → intersect base map → Mollweide → coverage. Combined coverage = PA statistics + OECM statistics (no double counting because overlaps were erased).</t>
        </is>
      </c>
    </row>
    <row r="24" ht="28" customHeight="1">
      <c r="A24" s="5" t="inlineStr">
        <is>
          <t>Realm formulas</t>
        </is>
      </c>
      <c r="B24" s="6" t="inlineStr">
        <is>
          <t>Terrestrial coverage = (terrestrial PA area + terrestrial OECM area) / terrestrial area. Marine coverage = (marine PA area + marine OECM area) / marine &amp; coastal area.</t>
        </is>
      </c>
    </row>
    <row r="25" ht="28" customHeight="1">
      <c r="A25" s="5" t="inlineStr">
        <is>
          <t>KBA coverage</t>
        </is>
      </c>
      <c r="B25" s="6" t="inlineStr">
        <is>
          <t>Mean percentage of each KBA currently recognised that is covered by PAs and/or OECMs. KBA with ≥5% ocean overlap = marine. Sites may belong to several realms.</t>
        </is>
      </c>
    </row>
    <row r="26" ht="28" customHeight="1">
      <c r="A26" s="5" t="inlineStr">
        <is>
          <t>Time series</t>
        </is>
      </c>
      <c r="B26" s="6" t="inlineStr">
        <is>
          <t>Missing designation years: random year from another PA in the same country, 1,000 repetitions, median plotted. Global series 1819–present.</t>
        </is>
      </c>
    </row>
    <row r="27" ht="42" customHeight="1">
      <c r="A27" s="5" t="inlineStr">
        <is>
          <t>Ecosystems</t>
        </is>
      </c>
      <c r="B27" s="6" t="inlineStr">
        <is>
          <t>National approach: match ecosystem maps to the Global Ecosystem Typology; assess coverage; exclude inappropriate groups; aggregate EFGs to biomes; inland waters as river length and lake/wetland area covered. Ecoregions: Dinerstein et al. 2017 (terrestrial), Abell et al. 2008 (freshwater), Spalding et al. 2007/2012 (marine).</t>
        </is>
      </c>
    </row>
    <row r="28" ht="28" customHeight="1">
      <c r="A28" s="5" t="inlineStr">
        <is>
          <t>Management effectiveness</t>
        </is>
      </c>
      <c r="B28" s="6" t="inlineStr">
        <is>
          <t>Methodology under development: groups areas by governance, outcomes, design/planning and management-effectiveness assessments (UNEP-WCMC, IUCN &amp; JNCC 2023).</t>
        </is>
      </c>
    </row>
    <row r="29" ht="15" customHeight="1">
      <c r="A29" s="5" t="inlineStr">
        <is>
          <t>Governance</t>
        </is>
      </c>
      <c r="B29" s="6" t="inlineStr">
        <is>
          <t>IUCN governance types: government; shared; private; Indigenous peoples and local communities. Proxy for 'equitably governed'.</t>
        </is>
      </c>
    </row>
    <row r="30" ht="28" customHeight="1">
      <c r="A30" s="5" t="inlineStr">
        <is>
          <t>Indigenous &amp; traditional territories</t>
        </is>
      </c>
      <c r="B30" s="6" t="inlineStr">
        <is>
          <t>Not added as a third category. Counted only when they are PAs/OECMs (disaggregated by IPLC governance). Complementary indicator: extent of IPLC lands.</t>
        </is>
      </c>
    </row>
    <row r="31">
      <c r="A31" s="3" t="inlineStr">
        <is>
          <t>DATA SOURCES</t>
        </is>
      </c>
      <c r="B31" s="4" t="n"/>
    </row>
    <row r="32" ht="28" customHeight="1">
      <c r="A32" s="5" t="inlineStr">
        <is>
          <t>Data</t>
        </is>
      </c>
      <c r="B32" s="6" t="inlineStr">
        <is>
          <t>WDPA and WD-OECM (UNEP-WCMC/IUCN, Protected Planet, monthly); World Database of KBAs (BirdLife International for the KBA Partnership); GET maps; RiverATLAS; GLWD v2; base maps: EEZ (VLIZ), World Vector Shoreline, GADM.</t>
        </is>
      </c>
    </row>
    <row r="33" ht="28" customHeight="1">
      <c r="A33" s="5" t="inlineStr">
        <is>
          <t>Data provision</t>
        </is>
      </c>
      <c r="B33" s="6" t="inlineStr">
        <is>
          <t>Data submitted by national governments or governance authorities, verified by UNEP-WCMC; quality controls and manual resolution of discrepancies.</t>
        </is>
      </c>
    </row>
    <row r="34" ht="28" customHeight="1">
      <c r="A34" s="5" t="inlineStr">
        <is>
          <t>Release</t>
        </is>
      </c>
      <c r="B34" s="6" t="inlineStr">
        <is>
          <t>Monthly (headline, PA/OECM, realm) on Protected Planet; annual (KBA – SDG database, IBAT); biennial Protected Planet Report (ecoregion, biome, governance, trends).</t>
        </is>
      </c>
    </row>
    <row r="35">
      <c r="A35" s="3" t="inlineStr">
        <is>
          <t>LIMITATIONS</t>
        </is>
      </c>
      <c r="B35" s="4" t="n"/>
    </row>
    <row r="36" ht="28" customHeight="1">
      <c r="A36" s="5" t="inlineStr">
        <is>
          <t>Protected areas</t>
        </is>
      </c>
      <c r="B36" s="6" t="inlineStr">
        <is>
          <t>Non-state governed sites under-represented; some designation dates unknown; most countries have not yet reported OECMs; lag between designation and reporting; degazettement not comprehensively documented; buffered points over/under-estimate coverage.</t>
        </is>
      </c>
    </row>
    <row r="37" ht="28" customHeight="1">
      <c r="A37" s="5" t="inlineStr">
        <is>
          <t>KBAs</t>
        </is>
      </c>
      <c r="B37" s="6" t="inlineStr">
        <is>
          <t>Historic bias toward birds (IBAs), now &lt;50% of KBA trigger species; focus on highly threatened species (AZE); taxonomic and ecosystem coverage incomplete.</t>
        </is>
      </c>
    </row>
    <row r="38" ht="28" customHeight="1">
      <c r="A38" s="5" t="inlineStr">
        <is>
          <t>Coverage ≠ effectiveness</t>
        </is>
      </c>
      <c r="B38" s="6" t="inlineStr">
        <is>
          <t>Area coverage does not by itself show effective conservation, connectivity or equity – hence the disaggregations and complementary indicators (e.g. ProtConn, MEPCA, R-METT, KBA status).</t>
        </is>
      </c>
    </row>
    <row r="39" ht="28" customHeight="1">
      <c r="A39" s="5" t="inlineStr">
        <is>
          <t>Related indicators</t>
        </is>
      </c>
      <c r="B39" s="6" t="inlineStr">
        <is>
          <t>SDG 14.5.1, 15.1.2, 15.4.1; complementary: status of KBAs; PA/OECM coverage of KBAs important for migratory species; MEPCA; R-METT; % of Biosphere Reserves with positive conservation outcomes; ProtConn; extent of IPLC lands.</t>
        </is>
      </c>
    </row>
    <row r="40" ht="15" customHeight="1">
      <c r="A40" s="5" t="inlineStr">
        <is>
          <t>Contact</t>
        </is>
      </c>
      <c r="B40" s="6" t="inlineStr">
        <is>
          <t>UNEP-WCMC (Protected Planet team) – see metadata page for current contact.</t>
        </is>
      </c>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A24"/>
  <sheetViews>
    <sheetView showGridLines="0" workbookViewId="0">
      <selection activeCell="A1" sqref="A1"/>
    </sheetView>
  </sheetViews>
  <sheetFormatPr baseColWidth="8" defaultRowHeight="15"/>
  <cols>
    <col width="170" customWidth="1" min="1" max="1"/>
  </cols>
  <sheetData>
    <row r="1">
      <c r="A1" s="1" t="inlineStr">
        <is>
          <t>References</t>
        </is>
      </c>
    </row>
    <row r="2"/>
    <row r="3">
      <c r="A3" s="6" t="inlineStr">
        <is>
          <t>CBD (2022). Decision 15/4 Kunming-Montreal Global Biodiversity Framework; Decision 15/5 Monitoring framework. Montreal: Secretariat of the CBD.</t>
        </is>
      </c>
    </row>
    <row r="4">
      <c r="A4" s="6" t="inlineStr">
        <is>
          <t>CBD (2018). Decision 14/8 Protected areas and other effective area-based conservation measures.</t>
        </is>
      </c>
    </row>
    <row r="5">
      <c r="A5" s="6" t="inlineStr">
        <is>
          <t>GBF Indicators – Metadata for Headline Indicator 3.1. https://www.gbf-indicators.org/metadata/headline/3-1 (updated 1 Sept 2024).</t>
        </is>
      </c>
    </row>
    <row r="6">
      <c r="A6" s="6" t="inlineStr">
        <is>
          <t>Dudley, N. (ed.) (2008). Guidelines for Applying Protected Area Management Categories. Gland: IUCN.</t>
        </is>
      </c>
    </row>
    <row r="7">
      <c r="A7" s="6" t="inlineStr">
        <is>
          <t>IUCN-WCPA Task Force on OECMs (2019). Recognising and reporting other effective area-based conservation measures. Gland: IUCN.</t>
        </is>
      </c>
    </row>
    <row r="8">
      <c r="A8" s="6" t="inlineStr">
        <is>
          <t>Borrini-Feyerabend, G. et al. (2013). Governance of Protected Areas: From understanding to action. Best Practice PA Guidelines Series No. 20. Gland: IUCN.</t>
        </is>
      </c>
    </row>
    <row r="9">
      <c r="A9" s="6" t="inlineStr">
        <is>
          <t>IUCN (2016). A Global Standard for the Identification of Key Biodiversity Areas, Version 1.0. Gland: IUCN.</t>
        </is>
      </c>
    </row>
    <row r="10">
      <c r="A10" s="6" t="inlineStr">
        <is>
          <t>Butchart, S.H.M. et al. (2012). Protecting important sites for biodiversity contributes to meeting global conservation targets. PLoS ONE 7(3): e32529.</t>
        </is>
      </c>
    </row>
    <row r="11">
      <c r="A11" s="6" t="inlineStr">
        <is>
          <t>Butchart, S.H.M. et al. (2015). Shortfalls and solutions for meeting national and global conservation area targets. Conservation Letters 8(5): 329–337.</t>
        </is>
      </c>
    </row>
    <row r="12">
      <c r="A12" s="6" t="inlineStr">
        <is>
          <t>Keith, D.A. et al. (2022). A function-based typology for Earth's ecosystems. Nature 610: 513–518. (IUCN Global Ecosystem Typology, https://global-ecosystems.org)</t>
        </is>
      </c>
    </row>
    <row r="13">
      <c r="A13" s="6" t="inlineStr">
        <is>
          <t>Dinerstein, E. et al. (2017). An ecoregion-based approach to protecting half the terrestrial realm. BioScience 67(6): 534–545.</t>
        </is>
      </c>
    </row>
    <row r="14">
      <c r="A14" s="6" t="inlineStr">
        <is>
          <t>Abell, R. et al. (2008). Freshwater ecoregions of the world. BioScience 58(5): 403–414.</t>
        </is>
      </c>
    </row>
    <row r="15">
      <c r="A15" s="6" t="inlineStr">
        <is>
          <t>Spalding, M.D. et al. (2007). Marine ecoregions of the world. BioScience 57(7): 573–583.</t>
        </is>
      </c>
    </row>
    <row r="16">
      <c r="A16" s="6" t="inlineStr">
        <is>
          <t>Spalding, M.D. et al. (2012). Pelagic provinces of the world. Ocean &amp; Coastal Management 60: 19–30.</t>
        </is>
      </c>
    </row>
    <row r="17">
      <c r="A17" s="6" t="inlineStr">
        <is>
          <t>Linke, S. et al. (2019). Global hydro-environmental sub-basin and river reach characteristics at high spatial resolution (RiverATLAS). Scientific Data 6: 283.</t>
        </is>
      </c>
    </row>
    <row r="18">
      <c r="A18" s="6" t="inlineStr">
        <is>
          <t>Lehner, B. et al. (2024). Global Lakes and Wetlands Database (GLWD) version 2.</t>
        </is>
      </c>
    </row>
    <row r="19">
      <c r="A19" s="6" t="inlineStr">
        <is>
          <t>Visconti, P. et al. (2013). Effects of errors and gaps in spatial data sets on assessment of conservation progress. Conservation Biology 27(5): 1000–1010.</t>
        </is>
      </c>
    </row>
    <row r="20">
      <c r="A20" s="6" t="inlineStr">
        <is>
          <t>Plumptre, A.J. et al. (2024). Targeting site conservation to increase the effectiveness of new global biodiversity targets. One Earth 7(1): 11–17.</t>
        </is>
      </c>
    </row>
    <row r="21">
      <c r="A21" s="6" t="inlineStr">
        <is>
          <t>UNEP-WCMC, IUCN &amp; JNCC (2023). Proposed methodology for disaggregating coverage of PAs and OECMs by management effectiveness (cited in metadata).</t>
        </is>
      </c>
    </row>
    <row r="22">
      <c r="A22" s="6" t="inlineStr">
        <is>
          <t>UNEP-WCMC &amp; IUCN (2024). Protected Planet Report 2024. Cambridge &amp; Gland. https://www.protectedplanet.net</t>
        </is>
      </c>
    </row>
    <row r="23">
      <c r="A23" s="6" t="inlineStr">
        <is>
          <t>UNEP-WCMC (2019 and later). User Manual for the World Database on Protected Areas and World Database on OECMs. Cambridge: UNEP-WCMC.</t>
        </is>
      </c>
    </row>
    <row r="24">
      <c r="A24" s="6" t="inlineStr">
        <is>
          <t>Protected Planet – Calculating protected area coverage. https://www.protectedplanet.net/c/calculating-protected-area-coverage</t>
        </is>
      </c>
    </row>
  </sheetData>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M2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5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7" t="inlineStr">
        <is>
          <t>Drop-down lists and lookup tables (do not edit unless the WDPA schema changes)</t>
        </is>
      </c>
    </row>
    <row r="2"/>
    <row r="3">
      <c r="A3" s="41" t="inlineStr">
        <is>
          <t>Site type</t>
        </is>
      </c>
      <c r="B3" s="41" t="inlineStr">
        <is>
          <t>IUCN_CAT</t>
        </is>
      </c>
      <c r="C3" s="41" t="inlineStr">
        <is>
          <t>STATUS</t>
        </is>
      </c>
      <c r="D3" s="41" t="inlineStr">
        <is>
          <t>GOV_TYPE (WDPA)</t>
        </is>
      </c>
      <c r="E3" s="41" t="inlineStr">
        <is>
          <t>IUCN governance type</t>
        </is>
      </c>
      <c r="F3" s="41" t="inlineStr">
        <is>
          <t>MARINE</t>
        </is>
      </c>
      <c r="G3" s="41" t="inlineStr">
        <is>
          <t>Geometry</t>
        </is>
      </c>
      <c r="H3" s="41" t="inlineStr">
        <is>
          <t>Y/N</t>
        </is>
      </c>
      <c r="I3" s="41" t="inlineStr">
        <is>
          <t>DESIG_TYPE</t>
        </is>
      </c>
      <c r="J3" s="41" t="inlineStr">
        <is>
          <t>PAME class</t>
        </is>
      </c>
      <c r="K3" s="41" t="inlineStr">
        <is>
          <t>PAME tool</t>
        </is>
      </c>
      <c r="L3" s="41" t="inlineStr">
        <is>
          <t>Ecosystem unit level</t>
        </is>
      </c>
      <c r="M3" s="41" t="inlineStr">
        <is>
          <t>GET biome code</t>
        </is>
      </c>
    </row>
    <row r="4">
      <c r="A4" s="42" t="inlineStr">
        <is>
          <t>PA</t>
        </is>
      </c>
      <c r="B4" s="42" t="inlineStr">
        <is>
          <t>Ia</t>
        </is>
      </c>
      <c r="C4" s="42" t="inlineStr">
        <is>
          <t>Designated</t>
        </is>
      </c>
      <c r="D4" s="42" t="inlineStr">
        <is>
          <t>Federal or national ministry or agency</t>
        </is>
      </c>
      <c r="E4" s="42" t="inlineStr">
        <is>
          <t>A. Governance by government</t>
        </is>
      </c>
      <c r="F4" s="42" t="n">
        <v>0</v>
      </c>
      <c r="G4" s="42" t="inlineStr">
        <is>
          <t>Polygon</t>
        </is>
      </c>
      <c r="H4" s="42" t="inlineStr">
        <is>
          <t>Y</t>
        </is>
      </c>
      <c r="I4" s="42" t="inlineStr">
        <is>
          <t>National</t>
        </is>
      </c>
      <c r="J4" s="42" t="inlineStr">
        <is>
          <t>High</t>
        </is>
      </c>
      <c r="K4" s="42" t="inlineStr">
        <is>
          <t>METT</t>
        </is>
      </c>
      <c r="L4" s="42" t="inlineStr">
        <is>
          <t>GET Ecosystem Functional Group</t>
        </is>
      </c>
      <c r="M4" s="42" t="inlineStr">
        <is>
          <t>T1</t>
        </is>
      </c>
    </row>
    <row r="5">
      <c r="A5" s="42" t="inlineStr">
        <is>
          <t>OECM</t>
        </is>
      </c>
      <c r="B5" s="42" t="inlineStr">
        <is>
          <t>Ib</t>
        </is>
      </c>
      <c r="C5" s="42" t="inlineStr">
        <is>
          <t>Inscribed</t>
        </is>
      </c>
      <c r="D5" s="42" t="inlineStr">
        <is>
          <t>Sub-national ministry or agency</t>
        </is>
      </c>
      <c r="E5" s="42" t="inlineStr">
        <is>
          <t>A. Governance by government</t>
        </is>
      </c>
      <c r="F5" s="42" t="n">
        <v>1</v>
      </c>
      <c r="G5" s="42" t="inlineStr">
        <is>
          <t>Point</t>
        </is>
      </c>
      <c r="H5" s="42" t="inlineStr">
        <is>
          <t>N</t>
        </is>
      </c>
      <c r="I5" s="42" t="inlineStr">
        <is>
          <t>Regional</t>
        </is>
      </c>
      <c r="J5" s="42" t="inlineStr">
        <is>
          <t>Moderate</t>
        </is>
      </c>
      <c r="K5" s="42" t="inlineStr">
        <is>
          <t>METT-4</t>
        </is>
      </c>
      <c r="L5" s="42" t="inlineStr">
        <is>
          <t>Terrestrial ecoregion (Dinerstein et al. 2017)</t>
        </is>
      </c>
      <c r="M5" s="42" t="inlineStr">
        <is>
          <t>T2</t>
        </is>
      </c>
    </row>
    <row r="6">
      <c r="B6" s="42" t="inlineStr">
        <is>
          <t>II</t>
        </is>
      </c>
      <c r="C6" s="42" t="inlineStr">
        <is>
          <t>Adopted</t>
        </is>
      </c>
      <c r="D6" s="42" t="inlineStr">
        <is>
          <t>Government-delegated management</t>
        </is>
      </c>
      <c r="E6" s="42" t="inlineStr">
        <is>
          <t>A. Governance by government</t>
        </is>
      </c>
      <c r="F6" s="42" t="n">
        <v>2</v>
      </c>
      <c r="I6" s="42" t="inlineStr">
        <is>
          <t>International</t>
        </is>
      </c>
      <c r="J6" s="42" t="inlineStr">
        <is>
          <t>Low</t>
        </is>
      </c>
      <c r="K6" s="42" t="inlineStr">
        <is>
          <t>RAPPAM</t>
        </is>
      </c>
      <c r="L6" s="42" t="inlineStr">
        <is>
          <t>Freshwater ecoregion (Abell et al. 2008)</t>
        </is>
      </c>
      <c r="M6" s="42" t="inlineStr">
        <is>
          <t>T3</t>
        </is>
      </c>
    </row>
    <row r="7">
      <c r="B7" s="42" t="inlineStr">
        <is>
          <t>III</t>
        </is>
      </c>
      <c r="C7" s="42" t="inlineStr">
        <is>
          <t>Established</t>
        </is>
      </c>
      <c r="D7" s="42" t="inlineStr">
        <is>
          <t>Transboundary governance</t>
        </is>
      </c>
      <c r="E7" s="42" t="inlineStr">
        <is>
          <t>B. Shared governance</t>
        </is>
      </c>
      <c r="I7" s="42" t="inlineStr">
        <is>
          <t>Not Applicable</t>
        </is>
      </c>
      <c r="J7" s="42" t="inlineStr">
        <is>
          <t>Assessed – no score</t>
        </is>
      </c>
      <c r="K7" s="42" t="inlineStr">
        <is>
          <t>IMET</t>
        </is>
      </c>
      <c r="L7" s="42" t="inlineStr">
        <is>
          <t>Marine ecoregion (Spalding et al. 2007)</t>
        </is>
      </c>
      <c r="M7" s="42" t="inlineStr">
        <is>
          <t>T4</t>
        </is>
      </c>
    </row>
    <row r="8">
      <c r="B8" s="42" t="inlineStr">
        <is>
          <t>IV</t>
        </is>
      </c>
      <c r="C8" s="42" t="inlineStr">
        <is>
          <t>Proposed</t>
        </is>
      </c>
      <c r="D8" s="42" t="inlineStr">
        <is>
          <t>Collaborative governance</t>
        </is>
      </c>
      <c r="E8" s="42" t="inlineStr">
        <is>
          <t>B. Shared governance</t>
        </is>
      </c>
      <c r="J8" s="42" t="inlineStr">
        <is>
          <t>Assessment outdated</t>
        </is>
      </c>
      <c r="K8" s="42" t="inlineStr">
        <is>
          <t>Enhancing our Heritage (EoH)</t>
        </is>
      </c>
      <c r="L8" s="42" t="inlineStr">
        <is>
          <t>Pelagic province (Spalding et al. 2012)</t>
        </is>
      </c>
      <c r="M8" s="42" t="inlineStr">
        <is>
          <t>T5</t>
        </is>
      </c>
    </row>
    <row r="9">
      <c r="B9" s="42" t="inlineStr">
        <is>
          <t>V</t>
        </is>
      </c>
      <c r="C9" s="42" t="inlineStr">
        <is>
          <t>Not Reported</t>
        </is>
      </c>
      <c r="D9" s="42" t="inlineStr">
        <is>
          <t>Joint governance</t>
        </is>
      </c>
      <c r="E9" s="42" t="inlineStr">
        <is>
          <t>B. Shared governance</t>
        </is>
      </c>
      <c r="J9" s="42" t="inlineStr">
        <is>
          <t>Not assessed</t>
        </is>
      </c>
      <c r="K9" s="42" t="inlineStr">
        <is>
          <t>Management Effectiveness Evaluation (MEE)</t>
        </is>
      </c>
      <c r="L9" s="42" t="inlineStr">
        <is>
          <t>National ecosystem type</t>
        </is>
      </c>
      <c r="M9" s="42" t="inlineStr">
        <is>
          <t>T6</t>
        </is>
      </c>
    </row>
    <row r="10">
      <c r="B10" s="42" t="inlineStr">
        <is>
          <t>VI</t>
        </is>
      </c>
      <c r="D10" s="42" t="inlineStr">
        <is>
          <t>Individual landowners</t>
        </is>
      </c>
      <c r="E10" s="42" t="inlineStr">
        <is>
          <t>C. Private governance</t>
        </is>
      </c>
      <c r="K10" s="42" t="inlineStr">
        <is>
          <t>R-METT (Ramsar)</t>
        </is>
      </c>
      <c r="M10" s="42" t="inlineStr">
        <is>
          <t>T7</t>
        </is>
      </c>
    </row>
    <row r="11">
      <c r="B11" s="42" t="inlineStr">
        <is>
          <t>Not Reported</t>
        </is>
      </c>
      <c r="D11" s="42" t="inlineStr">
        <is>
          <t>Non-profit organisations</t>
        </is>
      </c>
      <c r="E11" s="42" t="inlineStr">
        <is>
          <t>C. Private governance</t>
        </is>
      </c>
      <c r="K11" s="42" t="inlineStr">
        <is>
          <t>IUCN Green List assessment</t>
        </is>
      </c>
      <c r="M11" s="42" t="inlineStr">
        <is>
          <t>S1</t>
        </is>
      </c>
    </row>
    <row r="12">
      <c r="B12" s="42" t="inlineStr">
        <is>
          <t>Not Applicable</t>
        </is>
      </c>
      <c r="D12" s="42" t="inlineStr">
        <is>
          <t>For-profit organisations</t>
        </is>
      </c>
      <c r="E12" s="42" t="inlineStr">
        <is>
          <t>C. Private governance</t>
        </is>
      </c>
      <c r="K12" s="42" t="inlineStr">
        <is>
          <t>SAGE (governance &amp; equity)</t>
        </is>
      </c>
      <c r="M12" s="42" t="inlineStr">
        <is>
          <t>S2</t>
        </is>
      </c>
    </row>
    <row r="13">
      <c r="B13" s="42" t="inlineStr">
        <is>
          <t>Not Assigned</t>
        </is>
      </c>
      <c r="D13" s="42" t="inlineStr">
        <is>
          <t>Indigenous peoples</t>
        </is>
      </c>
      <c r="E13" s="42" t="inlineStr">
        <is>
          <t>D. Governance by Indigenous peoples and local communities</t>
        </is>
      </c>
      <c r="K13" s="42" t="inlineStr">
        <is>
          <t>National methodology</t>
        </is>
      </c>
      <c r="M13" s="42" t="inlineStr">
        <is>
          <t>SF1</t>
        </is>
      </c>
    </row>
    <row r="14">
      <c r="D14" s="42" t="inlineStr">
        <is>
          <t>Local communities</t>
        </is>
      </c>
      <c r="E14" s="42" t="inlineStr">
        <is>
          <t>D. Governance by Indigenous peoples and local communities</t>
        </is>
      </c>
      <c r="K14" s="42" t="inlineStr">
        <is>
          <t>Other</t>
        </is>
      </c>
      <c r="M14" s="42" t="inlineStr">
        <is>
          <t>SF2</t>
        </is>
      </c>
    </row>
    <row r="15">
      <c r="D15" s="42" t="inlineStr">
        <is>
          <t>Not Reported</t>
        </is>
      </c>
      <c r="E15" s="42" t="inlineStr">
        <is>
          <t>Not reported</t>
        </is>
      </c>
      <c r="M15" s="42" t="inlineStr">
        <is>
          <t>SM1</t>
        </is>
      </c>
    </row>
    <row r="16">
      <c r="M16" s="42" t="inlineStr">
        <is>
          <t>TF1</t>
        </is>
      </c>
    </row>
    <row r="17">
      <c r="M17" s="42" t="inlineStr">
        <is>
          <t>F1</t>
        </is>
      </c>
    </row>
    <row r="18">
      <c r="M18" s="42" t="inlineStr">
        <is>
          <t>F2</t>
        </is>
      </c>
    </row>
    <row r="19">
      <c r="M19" s="42" t="inlineStr">
        <is>
          <t>F3</t>
        </is>
      </c>
    </row>
    <row r="20">
      <c r="M20" s="42" t="inlineStr">
        <is>
          <t>FM1</t>
        </is>
      </c>
    </row>
    <row r="21">
      <c r="M21" s="42" t="inlineStr">
        <is>
          <t>M1</t>
        </is>
      </c>
    </row>
    <row r="22">
      <c r="M22" s="42" t="inlineStr">
        <is>
          <t>M2</t>
        </is>
      </c>
    </row>
    <row r="23">
      <c r="M23" s="42" t="inlineStr">
        <is>
          <t>M3</t>
        </is>
      </c>
    </row>
    <row r="24">
      <c r="M24" s="42" t="inlineStr">
        <is>
          <t>M4</t>
        </is>
      </c>
    </row>
    <row r="25">
      <c r="M25" s="42" t="inlineStr">
        <is>
          <t>MT1</t>
        </is>
      </c>
    </row>
    <row r="26">
      <c r="M26" s="42" t="inlineStr">
        <is>
          <t>MT2</t>
        </is>
      </c>
    </row>
    <row r="27">
      <c r="M27" s="42" t="inlineStr">
        <is>
          <t>MT3</t>
        </is>
      </c>
    </row>
    <row r="28">
      <c r="M28" s="42" t="inlineStr">
        <is>
          <t>MFT1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2026-10-11T15:37:30Z</dcterms:created>
  <dcterms:modified xsi:type="dcterms:W3CDTF">2026-10-11T15:37:31Z</dcterms:modified>
</cp:coreProperties>
</file>